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G_Analysis\"/>
    </mc:Choice>
  </mc:AlternateContent>
  <xr:revisionPtr revIDLastSave="0" documentId="13_ncr:1_{566F748A-CA8C-45BF-9B3B-90A0C4272F2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3" r:id="rId1"/>
    <sheet name="Current" sheetId="12" r:id="rId2"/>
    <sheet name="DaysSince100" sheetId="8" r:id="rId3"/>
    <sheet name="CumulativeAll" sheetId="3" r:id="rId4"/>
    <sheet name="RawData" sheetId="2" r:id="rId5"/>
  </sheets>
  <definedNames>
    <definedName name="_xlnm._FilterDatabase" localSheetId="3" hidden="1">CumulativeAll!$A$1:$BA$1</definedName>
    <definedName name="_xlnm._FilterDatabase" localSheetId="2" hidden="1">DaysSince100!$B$1:$CU$1</definedName>
    <definedName name="xMax">Current!$S$8</definedName>
    <definedName name="xMax2">Projections!$C$18</definedName>
    <definedName name="xMin">Current!$S$7</definedName>
    <definedName name="xMin2">Projections!$C$17</definedName>
    <definedName name="yMax">Current!$S$5</definedName>
    <definedName name="yMax2">Projections!$C$15</definedName>
    <definedName name="yMin">Current!$S$4</definedName>
    <definedName name="yMin2">Projections!$C$14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9" i="8" l="1" a="1"/>
  <c r="B39" i="8" s="1"/>
  <c r="B40" i="8" a="1"/>
  <c r="B40" i="8"/>
  <c r="B41" i="8" a="1"/>
  <c r="B41" i="8" s="1"/>
  <c r="B42" i="8" a="1"/>
  <c r="B42" i="8"/>
  <c r="B43" i="8" a="1"/>
  <c r="B43" i="8" s="1"/>
  <c r="B44" i="8" a="1"/>
  <c r="B44" i="8"/>
  <c r="B45" i="8" a="1"/>
  <c r="B45" i="8" s="1"/>
  <c r="B46" i="8" a="1"/>
  <c r="B46" i="8"/>
  <c r="B47" i="8" a="1"/>
  <c r="B47" i="8" s="1"/>
  <c r="B48" i="8" a="1"/>
  <c r="B48" i="8" s="1"/>
  <c r="B49" i="8" a="1"/>
  <c r="B49" i="8" s="1"/>
  <c r="B50" i="8" a="1"/>
  <c r="B50" i="8"/>
  <c r="B51" i="8" a="1"/>
  <c r="B51" i="8" s="1"/>
  <c r="B52" i="8" a="1"/>
  <c r="B52" i="8" s="1"/>
  <c r="B53" i="8" a="1"/>
  <c r="B53" i="8" s="1"/>
  <c r="B54" i="8" a="1"/>
  <c r="B54" i="8"/>
  <c r="B55" i="8" a="1"/>
  <c r="B55" i="8" s="1"/>
  <c r="B56" i="8" a="1"/>
  <c r="B56" i="8" s="1"/>
  <c r="B57" i="8" a="1"/>
  <c r="B57" i="8" s="1"/>
  <c r="B58" i="8" a="1"/>
  <c r="B58" i="8"/>
  <c r="B59" i="8" a="1"/>
  <c r="B59" i="8" s="1"/>
  <c r="B60" i="8" a="1"/>
  <c r="B60" i="8" s="1"/>
  <c r="B61" i="8" a="1"/>
  <c r="B61" i="8" s="1"/>
  <c r="B62" i="8" a="1"/>
  <c r="B62" i="8"/>
  <c r="B63" i="8" a="1"/>
  <c r="B63" i="8" s="1"/>
  <c r="B64" i="8" a="1"/>
  <c r="B64" i="8" s="1"/>
  <c r="B65" i="8" a="1"/>
  <c r="B65" i="8" s="1"/>
  <c r="B66" i="8" a="1"/>
  <c r="B66" i="8"/>
  <c r="B67" i="8" a="1"/>
  <c r="B67" i="8" s="1"/>
  <c r="B68" i="8" a="1"/>
  <c r="B68" i="8" s="1"/>
  <c r="B69" i="8" a="1"/>
  <c r="B69" i="8" s="1"/>
  <c r="B70" i="8" a="1"/>
  <c r="B70" i="8"/>
  <c r="B71" i="8" a="1"/>
  <c r="B71" i="8" s="1"/>
  <c r="B72" i="8" a="1"/>
  <c r="B72" i="8" s="1"/>
  <c r="B73" i="8" a="1"/>
  <c r="B73" i="8" s="1"/>
  <c r="B74" i="8" a="1"/>
  <c r="B74" i="8"/>
  <c r="B75" i="8" a="1"/>
  <c r="B75" i="8" s="1"/>
  <c r="B76" i="8" a="1"/>
  <c r="B76" i="8" s="1"/>
  <c r="B77" i="8" a="1"/>
  <c r="B77" i="8" s="1"/>
  <c r="B78" i="8" a="1"/>
  <c r="B78" i="8"/>
  <c r="B79" i="8" a="1"/>
  <c r="B79" i="8" s="1"/>
  <c r="B80" i="8" a="1"/>
  <c r="B80" i="8" s="1"/>
  <c r="B81" i="8" a="1"/>
  <c r="B81" i="8" s="1"/>
  <c r="B82" i="8" a="1"/>
  <c r="B82" i="8"/>
  <c r="B83" i="8" a="1"/>
  <c r="B83" i="8" s="1"/>
  <c r="B84" i="8" a="1"/>
  <c r="B84" i="8" s="1"/>
  <c r="B85" i="8" a="1"/>
  <c r="B85" i="8" s="1"/>
  <c r="B86" i="8" a="1"/>
  <c r="B86" i="8"/>
  <c r="B87" i="8" a="1"/>
  <c r="B87" i="8" s="1"/>
  <c r="B88" i="8" a="1"/>
  <c r="B88" i="8" s="1"/>
  <c r="B89" i="8" a="1"/>
  <c r="B89" i="8" s="1"/>
  <c r="B90" i="8" a="1"/>
  <c r="B90" i="8"/>
  <c r="B91" i="8" a="1"/>
  <c r="B91" i="8" s="1"/>
  <c r="B92" i="8" a="1"/>
  <c r="B92" i="8" s="1"/>
  <c r="B93" i="8" a="1"/>
  <c r="B93" i="8" s="1"/>
  <c r="B94" i="8" a="1"/>
  <c r="B94" i="8"/>
  <c r="B95" i="8" a="1"/>
  <c r="B95" i="8" s="1"/>
  <c r="B96" i="8" a="1"/>
  <c r="B96" i="8" s="1"/>
  <c r="B97" i="8" a="1"/>
  <c r="B97" i="8" s="1"/>
  <c r="B98" i="8" a="1"/>
  <c r="B98" i="8"/>
  <c r="B99" i="8" a="1"/>
  <c r="B99" i="8" s="1"/>
  <c r="B100" i="8" a="1"/>
  <c r="B100" i="8" s="1"/>
  <c r="B101" i="8" a="1"/>
  <c r="B101" i="8" s="1"/>
  <c r="B102" i="8" a="1"/>
  <c r="B102" i="8"/>
  <c r="B103" i="8" a="1"/>
  <c r="B103" i="8" s="1"/>
  <c r="B104" i="8" a="1"/>
  <c r="B104" i="8" s="1"/>
  <c r="B105" i="8" a="1"/>
  <c r="B105" i="8" s="1"/>
  <c r="B106" i="8" a="1"/>
  <c r="B106" i="8"/>
  <c r="B107" i="8" a="1"/>
  <c r="B107" i="8" s="1"/>
  <c r="B108" i="8" a="1"/>
  <c r="B108" i="8" s="1"/>
  <c r="B109" i="8" a="1"/>
  <c r="B109" i="8" s="1"/>
  <c r="B110" i="8" a="1"/>
  <c r="B110" i="8"/>
  <c r="B111" i="8" a="1"/>
  <c r="B111" i="8" s="1"/>
  <c r="B112" i="8" a="1"/>
  <c r="B112" i="8" s="1"/>
  <c r="B113" i="8" a="1"/>
  <c r="B113" i="8" s="1"/>
  <c r="B114" i="8" a="1"/>
  <c r="B114" i="8"/>
  <c r="B115" i="8" a="1"/>
  <c r="B115" i="8" s="1"/>
  <c r="B116" i="8" a="1"/>
  <c r="B116" i="8" s="1"/>
  <c r="B117" i="8" a="1"/>
  <c r="B117" i="8" s="1"/>
  <c r="B118" i="8" a="1"/>
  <c r="B118" i="8"/>
  <c r="B119" i="8" a="1"/>
  <c r="B119" i="8" s="1"/>
  <c r="B120" i="8" a="1"/>
  <c r="B120" i="8" s="1"/>
  <c r="B121" i="8" a="1"/>
  <c r="B121" i="8" s="1"/>
  <c r="D5" i="8"/>
  <c r="D6" i="8"/>
  <c r="D9" i="8"/>
  <c r="D10" i="8"/>
  <c r="D11" i="8"/>
  <c r="D12" i="8"/>
  <c r="D13" i="8"/>
  <c r="D7" i="8"/>
  <c r="D14" i="8"/>
  <c r="D15" i="8"/>
  <c r="D17" i="8"/>
  <c r="D19" i="8"/>
  <c r="D16" i="8"/>
  <c r="D8" i="8"/>
  <c r="D21" i="8"/>
  <c r="D22" i="8"/>
  <c r="D18" i="8"/>
  <c r="D20" i="8"/>
  <c r="D24" i="8"/>
  <c r="D26" i="8"/>
  <c r="D32" i="8"/>
  <c r="D23" i="8"/>
  <c r="D28" i="8"/>
  <c r="D25" i="8"/>
  <c r="D34" i="8"/>
  <c r="D29" i="8"/>
  <c r="D31" i="8"/>
  <c r="D36" i="8"/>
  <c r="D27" i="8"/>
  <c r="D33" i="8"/>
  <c r="D35" i="8"/>
  <c r="D30" i="8"/>
  <c r="D38" i="8"/>
  <c r="D37" i="8"/>
  <c r="D41" i="8"/>
  <c r="D49" i="8"/>
  <c r="D45" i="8"/>
  <c r="D47" i="8"/>
  <c r="D46" i="8"/>
  <c r="D50" i="8"/>
  <c r="E50" i="8"/>
  <c r="D39" i="8"/>
  <c r="D48" i="8"/>
  <c r="E48" i="8"/>
  <c r="D44" i="8"/>
  <c r="E44" i="8"/>
  <c r="D43" i="8"/>
  <c r="E43" i="8"/>
  <c r="D42" i="8"/>
  <c r="D40" i="8"/>
  <c r="D51" i="8"/>
  <c r="E51" i="8"/>
  <c r="F51" i="8"/>
  <c r="G51" i="8"/>
  <c r="D52" i="8"/>
  <c r="E52" i="8"/>
  <c r="F52" i="8"/>
  <c r="G52" i="8"/>
  <c r="D53" i="8"/>
  <c r="E53" i="8"/>
  <c r="F53" i="8"/>
  <c r="G53" i="8"/>
  <c r="D54" i="8"/>
  <c r="E54" i="8"/>
  <c r="F54" i="8"/>
  <c r="G54" i="8"/>
  <c r="D55" i="8"/>
  <c r="E55" i="8"/>
  <c r="F55" i="8"/>
  <c r="G55" i="8"/>
  <c r="D56" i="8"/>
  <c r="E56" i="8"/>
  <c r="F56" i="8"/>
  <c r="G56" i="8"/>
  <c r="D57" i="8"/>
  <c r="E57" i="8"/>
  <c r="F57" i="8"/>
  <c r="G57" i="8"/>
  <c r="D58" i="8"/>
  <c r="E58" i="8"/>
  <c r="F58" i="8"/>
  <c r="G58" i="8"/>
  <c r="D59" i="8"/>
  <c r="E59" i="8"/>
  <c r="F59" i="8"/>
  <c r="G59" i="8"/>
  <c r="D60" i="8"/>
  <c r="E60" i="8"/>
  <c r="F60" i="8"/>
  <c r="G60" i="8"/>
  <c r="D61" i="8"/>
  <c r="E61" i="8"/>
  <c r="F61" i="8"/>
  <c r="G61" i="8"/>
  <c r="D62" i="8"/>
  <c r="E62" i="8"/>
  <c r="F62" i="8"/>
  <c r="G62" i="8"/>
  <c r="D63" i="8"/>
  <c r="E63" i="8"/>
  <c r="F63" i="8"/>
  <c r="G63" i="8"/>
  <c r="D64" i="8"/>
  <c r="E64" i="8"/>
  <c r="F64" i="8"/>
  <c r="G64" i="8"/>
  <c r="D65" i="8"/>
  <c r="E65" i="8"/>
  <c r="F65" i="8"/>
  <c r="G65" i="8"/>
  <c r="D66" i="8"/>
  <c r="E66" i="8"/>
  <c r="F66" i="8"/>
  <c r="G66" i="8"/>
  <c r="D67" i="8"/>
  <c r="E67" i="8"/>
  <c r="F67" i="8"/>
  <c r="G67" i="8"/>
  <c r="D68" i="8"/>
  <c r="E68" i="8"/>
  <c r="F68" i="8"/>
  <c r="G68" i="8"/>
  <c r="D69" i="8"/>
  <c r="E69" i="8"/>
  <c r="F69" i="8"/>
  <c r="G69" i="8"/>
  <c r="D70" i="8"/>
  <c r="E70" i="8"/>
  <c r="F70" i="8"/>
  <c r="G70" i="8"/>
  <c r="D71" i="8"/>
  <c r="E71" i="8"/>
  <c r="F71" i="8"/>
  <c r="G71" i="8"/>
  <c r="D72" i="8"/>
  <c r="E72" i="8"/>
  <c r="F72" i="8"/>
  <c r="G72" i="8"/>
  <c r="D73" i="8"/>
  <c r="E73" i="8"/>
  <c r="F73" i="8"/>
  <c r="G73" i="8"/>
  <c r="D74" i="8"/>
  <c r="E74" i="8"/>
  <c r="F74" i="8"/>
  <c r="G74" i="8"/>
  <c r="D75" i="8"/>
  <c r="E75" i="8"/>
  <c r="F75" i="8"/>
  <c r="G75" i="8"/>
  <c r="D76" i="8"/>
  <c r="E76" i="8"/>
  <c r="F76" i="8"/>
  <c r="G76" i="8"/>
  <c r="D77" i="8"/>
  <c r="E77" i="8"/>
  <c r="F77" i="8"/>
  <c r="G77" i="8"/>
  <c r="D78" i="8"/>
  <c r="E78" i="8"/>
  <c r="F78" i="8"/>
  <c r="G78" i="8"/>
  <c r="D79" i="8"/>
  <c r="E79" i="8"/>
  <c r="F79" i="8"/>
  <c r="G79" i="8"/>
  <c r="D80" i="8"/>
  <c r="E80" i="8"/>
  <c r="F80" i="8"/>
  <c r="G80" i="8"/>
  <c r="D81" i="8"/>
  <c r="E81" i="8"/>
  <c r="F81" i="8"/>
  <c r="G81" i="8"/>
  <c r="D82" i="8"/>
  <c r="E82" i="8"/>
  <c r="F82" i="8"/>
  <c r="G82" i="8"/>
  <c r="D83" i="8"/>
  <c r="E83" i="8"/>
  <c r="F83" i="8"/>
  <c r="G83" i="8"/>
  <c r="D84" i="8"/>
  <c r="E84" i="8"/>
  <c r="F84" i="8"/>
  <c r="G84" i="8"/>
  <c r="D85" i="8"/>
  <c r="E85" i="8"/>
  <c r="F85" i="8"/>
  <c r="G85" i="8"/>
  <c r="D86" i="8"/>
  <c r="E86" i="8"/>
  <c r="F86" i="8"/>
  <c r="G86" i="8"/>
  <c r="D87" i="8"/>
  <c r="E87" i="8"/>
  <c r="F87" i="8"/>
  <c r="G87" i="8"/>
  <c r="D88" i="8"/>
  <c r="E88" i="8"/>
  <c r="F88" i="8"/>
  <c r="G88" i="8"/>
  <c r="D89" i="8"/>
  <c r="E89" i="8"/>
  <c r="F89" i="8"/>
  <c r="G89" i="8"/>
  <c r="D90" i="8"/>
  <c r="E90" i="8"/>
  <c r="F90" i="8"/>
  <c r="G90" i="8"/>
  <c r="D91" i="8"/>
  <c r="E91" i="8"/>
  <c r="F91" i="8"/>
  <c r="G91" i="8"/>
  <c r="D92" i="8"/>
  <c r="E92" i="8"/>
  <c r="F92" i="8"/>
  <c r="G92" i="8"/>
  <c r="D93" i="8"/>
  <c r="E93" i="8"/>
  <c r="F93" i="8"/>
  <c r="G93" i="8"/>
  <c r="D94" i="8"/>
  <c r="E94" i="8"/>
  <c r="F94" i="8"/>
  <c r="G94" i="8"/>
  <c r="D95" i="8"/>
  <c r="E95" i="8"/>
  <c r="F95" i="8"/>
  <c r="G95" i="8"/>
  <c r="D96" i="8"/>
  <c r="E96" i="8"/>
  <c r="F96" i="8"/>
  <c r="G96" i="8"/>
  <c r="D97" i="8"/>
  <c r="E97" i="8"/>
  <c r="F97" i="8"/>
  <c r="G97" i="8"/>
  <c r="D98" i="8"/>
  <c r="E98" i="8"/>
  <c r="F98" i="8"/>
  <c r="G98" i="8"/>
  <c r="D99" i="8"/>
  <c r="E99" i="8"/>
  <c r="F99" i="8"/>
  <c r="G99" i="8"/>
  <c r="D100" i="8"/>
  <c r="E100" i="8"/>
  <c r="F100" i="8"/>
  <c r="G100" i="8"/>
  <c r="D101" i="8"/>
  <c r="E101" i="8"/>
  <c r="F101" i="8"/>
  <c r="G101" i="8"/>
  <c r="D102" i="8"/>
  <c r="E102" i="8"/>
  <c r="F102" i="8"/>
  <c r="G102" i="8"/>
  <c r="D103" i="8"/>
  <c r="E103" i="8"/>
  <c r="F103" i="8"/>
  <c r="G103" i="8"/>
  <c r="D104" i="8"/>
  <c r="E104" i="8"/>
  <c r="F104" i="8"/>
  <c r="G104" i="8"/>
  <c r="D105" i="8"/>
  <c r="E105" i="8"/>
  <c r="F105" i="8"/>
  <c r="G105" i="8"/>
  <c r="D106" i="8"/>
  <c r="E106" i="8"/>
  <c r="F106" i="8"/>
  <c r="G106" i="8"/>
  <c r="D107" i="8"/>
  <c r="E107" i="8"/>
  <c r="F107" i="8"/>
  <c r="G107" i="8"/>
  <c r="D108" i="8"/>
  <c r="E108" i="8"/>
  <c r="F108" i="8"/>
  <c r="G108" i="8"/>
  <c r="D109" i="8"/>
  <c r="E109" i="8"/>
  <c r="F109" i="8"/>
  <c r="G109" i="8"/>
  <c r="D110" i="8"/>
  <c r="E110" i="8"/>
  <c r="F110" i="8"/>
  <c r="G110" i="8"/>
  <c r="D111" i="8"/>
  <c r="E111" i="8"/>
  <c r="F111" i="8"/>
  <c r="G111" i="8"/>
  <c r="D112" i="8"/>
  <c r="E112" i="8"/>
  <c r="F112" i="8"/>
  <c r="G112" i="8"/>
  <c r="D113" i="8"/>
  <c r="E113" i="8"/>
  <c r="F113" i="8"/>
  <c r="G113" i="8"/>
  <c r="D114" i="8"/>
  <c r="E114" i="8"/>
  <c r="F114" i="8"/>
  <c r="G114" i="8"/>
  <c r="D115" i="8"/>
  <c r="E115" i="8"/>
  <c r="F115" i="8"/>
  <c r="G115" i="8"/>
  <c r="D116" i="8"/>
  <c r="E116" i="8"/>
  <c r="F116" i="8"/>
  <c r="G116" i="8"/>
  <c r="D117" i="8"/>
  <c r="E117" i="8"/>
  <c r="F117" i="8"/>
  <c r="G117" i="8"/>
  <c r="D118" i="8"/>
  <c r="E118" i="8"/>
  <c r="F118" i="8"/>
  <c r="G118" i="8"/>
  <c r="D119" i="8"/>
  <c r="E119" i="8"/>
  <c r="F119" i="8"/>
  <c r="G119" i="8"/>
  <c r="D120" i="8"/>
  <c r="E120" i="8"/>
  <c r="F120" i="8"/>
  <c r="G120" i="8"/>
  <c r="D121" i="8"/>
  <c r="E121" i="8"/>
  <c r="F121" i="8"/>
  <c r="G121" i="8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B22" i="13" l="1"/>
  <c r="S3" i="13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R3" i="13"/>
  <c r="P3" i="13"/>
  <c r="O3" i="13" s="1"/>
  <c r="N3" i="13" s="1"/>
  <c r="M3" i="13" s="1"/>
  <c r="L3" i="13" s="1"/>
  <c r="K3" i="13" s="1"/>
  <c r="J3" i="13" s="1"/>
  <c r="I3" i="13" s="1"/>
  <c r="H3" i="13" s="1"/>
  <c r="G3" i="13" s="1"/>
  <c r="B21" i="13"/>
  <c r="G5" i="13"/>
  <c r="G7" i="13" s="1"/>
  <c r="H4" i="13"/>
  <c r="H5" i="13" s="1"/>
  <c r="F1" i="8"/>
  <c r="C3" i="8"/>
  <c r="C4" i="8"/>
  <c r="C9" i="8"/>
  <c r="C10" i="8"/>
  <c r="C11" i="8"/>
  <c r="C12" i="8"/>
  <c r="C13" i="8"/>
  <c r="C7" i="8"/>
  <c r="C14" i="8"/>
  <c r="C5" i="8"/>
  <c r="C15" i="8"/>
  <c r="C17" i="8"/>
  <c r="C19" i="8"/>
  <c r="C16" i="8"/>
  <c r="C8" i="8"/>
  <c r="C6" i="8"/>
  <c r="C21" i="8"/>
  <c r="C22" i="8"/>
  <c r="C18" i="8"/>
  <c r="C20" i="8"/>
  <c r="C24" i="8"/>
  <c r="C26" i="8"/>
  <c r="C32" i="8"/>
  <c r="C23" i="8"/>
  <c r="C28" i="8"/>
  <c r="C25" i="8"/>
  <c r="C34" i="8"/>
  <c r="C29" i="8"/>
  <c r="C31" i="8"/>
  <c r="C36" i="8"/>
  <c r="C27" i="8"/>
  <c r="C33" i="8"/>
  <c r="C35" i="8"/>
  <c r="C30" i="8"/>
  <c r="C38" i="8"/>
  <c r="C37" i="8"/>
  <c r="C41" i="8"/>
  <c r="C49" i="8"/>
  <c r="C45" i="8"/>
  <c r="C47" i="8"/>
  <c r="C46" i="8"/>
  <c r="C50" i="8"/>
  <c r="C39" i="8"/>
  <c r="C48" i="8"/>
  <c r="C44" i="8"/>
  <c r="C43" i="8"/>
  <c r="C42" i="8"/>
  <c r="C40" i="8"/>
  <c r="C2" i="8"/>
  <c r="AY15" i="3"/>
  <c r="AZ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F24" i="8" l="1"/>
  <c r="F29" i="8"/>
  <c r="F41" i="8"/>
  <c r="F43" i="8"/>
  <c r="G43" i="8" s="1"/>
  <c r="F25" i="8"/>
  <c r="F38" i="8"/>
  <c r="F48" i="8"/>
  <c r="G48" i="8" s="1"/>
  <c r="F35" i="8"/>
  <c r="F50" i="8"/>
  <c r="G50" i="8" s="1"/>
  <c r="F26" i="8"/>
  <c r="F27" i="8"/>
  <c r="F49" i="8"/>
  <c r="F47" i="8"/>
  <c r="F42" i="8"/>
  <c r="F31" i="8"/>
  <c r="F37" i="8"/>
  <c r="F44" i="8"/>
  <c r="G44" i="8" s="1"/>
  <c r="F34" i="8"/>
  <c r="F30" i="8"/>
  <c r="F39" i="8"/>
  <c r="F28" i="8"/>
  <c r="F46" i="8"/>
  <c r="F19" i="8"/>
  <c r="F36" i="8"/>
  <c r="F45" i="8"/>
  <c r="F40" i="8"/>
  <c r="F33" i="8"/>
  <c r="C4" i="13"/>
  <c r="H8" i="13"/>
  <c r="H7" i="13"/>
  <c r="I4" i="13"/>
  <c r="G8" i="13"/>
  <c r="H6" i="13"/>
  <c r="H11" i="13" s="1"/>
  <c r="H9" i="13"/>
  <c r="G6" i="13"/>
  <c r="G11" i="13" s="1"/>
  <c r="G9" i="13"/>
  <c r="J2" i="8"/>
  <c r="J3" i="8"/>
  <c r="J4" i="8"/>
  <c r="B37" i="8" a="1"/>
  <c r="B37" i="8" s="1"/>
  <c r="R21" i="12"/>
  <c r="R22" i="12" s="1"/>
  <c r="R23" i="12" s="1"/>
  <c r="R24" i="12" s="1"/>
  <c r="R25" i="12" s="1"/>
  <c r="R26" i="12" s="1"/>
  <c r="R27" i="12" s="1"/>
  <c r="R28" i="12" s="1"/>
  <c r="R29" i="12" s="1"/>
  <c r="B16" i="8" a="1"/>
  <c r="B16" i="8" s="1"/>
  <c r="B12" i="8" a="1"/>
  <c r="B12" i="8" s="1"/>
  <c r="B8" i="8" a="1"/>
  <c r="B8" i="8" s="1"/>
  <c r="B14" i="8" a="1"/>
  <c r="B14" i="8" s="1"/>
  <c r="B21" i="8" a="1"/>
  <c r="B21" i="8" s="1"/>
  <c r="B6" i="8" a="1"/>
  <c r="B6" i="8" s="1"/>
  <c r="B15" i="8" a="1"/>
  <c r="B15" i="8" s="1"/>
  <c r="B11" i="8" a="1"/>
  <c r="B11" i="8" s="1"/>
  <c r="B10" i="8" a="1"/>
  <c r="B10" i="8" s="1"/>
  <c r="B13" i="8" a="1"/>
  <c r="B13" i="8" s="1"/>
  <c r="B5" i="8" a="1"/>
  <c r="B5" i="8" s="1"/>
  <c r="B9" i="8" a="1"/>
  <c r="B9" i="8" s="1"/>
  <c r="B17" i="8" a="1"/>
  <c r="B17" i="8" s="1"/>
  <c r="B22" i="8" a="1"/>
  <c r="B22" i="8" s="1"/>
  <c r="B7" i="8" a="1"/>
  <c r="B7" i="8" s="1"/>
  <c r="B18" i="8" a="1"/>
  <c r="B18" i="8" s="1"/>
  <c r="B20" i="8" a="1"/>
  <c r="B20" i="8" s="1"/>
  <c r="B24" i="8" a="1"/>
  <c r="B24" i="8" s="1"/>
  <c r="B23" i="8" a="1"/>
  <c r="B23" i="8" s="1"/>
  <c r="B26" i="8" a="1"/>
  <c r="B26" i="8" s="1"/>
  <c r="B25" i="8" a="1"/>
  <c r="B25" i="8" s="1"/>
  <c r="B32" i="8" a="1"/>
  <c r="B32" i="8" s="1"/>
  <c r="B34" i="8" a="1"/>
  <c r="B34" i="8" s="1"/>
  <c r="B31" i="8" a="1"/>
  <c r="B31" i="8" s="1"/>
  <c r="B28" i="8" a="1"/>
  <c r="B28" i="8" s="1"/>
  <c r="B29" i="8" a="1"/>
  <c r="B29" i="8" s="1"/>
  <c r="B33" i="8" a="1"/>
  <c r="B33" i="8" s="1"/>
  <c r="B36" i="8" a="1"/>
  <c r="B36" i="8" s="1"/>
  <c r="B30" i="8" a="1"/>
  <c r="B30" i="8" s="1"/>
  <c r="B35" i="8" a="1"/>
  <c r="B35" i="8" s="1"/>
  <c r="B27" i="8" a="1"/>
  <c r="B27" i="8" s="1"/>
  <c r="B38" i="8" a="1"/>
  <c r="B38" i="8" s="1"/>
  <c r="B19" i="8" a="1"/>
  <c r="B19" i="8" s="1"/>
  <c r="D3" i="8" l="1"/>
  <c r="J4" i="13"/>
  <c r="I5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E49" i="8" l="1"/>
  <c r="G49" i="8" s="1"/>
  <c r="E47" i="8"/>
  <c r="G47" i="8" s="1"/>
  <c r="E42" i="8"/>
  <c r="G42" i="8" s="1"/>
  <c r="E40" i="8"/>
  <c r="G40" i="8" s="1"/>
  <c r="E37" i="8"/>
  <c r="G37" i="8" s="1"/>
  <c r="E39" i="8"/>
  <c r="G39" i="8" s="1"/>
  <c r="E45" i="8"/>
  <c r="G45" i="8" s="1"/>
  <c r="E13" i="8"/>
  <c r="E46" i="8"/>
  <c r="G46" i="8" s="1"/>
  <c r="E24" i="8"/>
  <c r="G24" i="8" s="1"/>
  <c r="E41" i="8"/>
  <c r="G41" i="8" s="1"/>
  <c r="F10" i="8"/>
  <c r="F17" i="8"/>
  <c r="F8" i="8"/>
  <c r="F21" i="8"/>
  <c r="F11" i="8"/>
  <c r="F23" i="8"/>
  <c r="F14" i="8"/>
  <c r="F4" i="8"/>
  <c r="E4" i="8"/>
  <c r="G4" i="8" s="1"/>
  <c r="D4" i="8"/>
  <c r="K1" i="8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I9" i="13"/>
  <c r="I7" i="13"/>
  <c r="I8" i="13"/>
  <c r="I6" i="13"/>
  <c r="I11" i="13" s="1"/>
  <c r="K4" i="13"/>
  <c r="J5" i="13"/>
  <c r="F2" i="8"/>
  <c r="D2" i="8"/>
  <c r="F15" i="8" l="1"/>
  <c r="E32" i="8"/>
  <c r="G32" i="8" s="1"/>
  <c r="E31" i="8"/>
  <c r="G31" i="8" s="1"/>
  <c r="E27" i="8"/>
  <c r="G27" i="8" s="1"/>
  <c r="E36" i="8"/>
  <c r="G36" i="8" s="1"/>
  <c r="F22" i="8"/>
  <c r="F12" i="8"/>
  <c r="F6" i="8"/>
  <c r="E11" i="8"/>
  <c r="G11" i="8" s="1"/>
  <c r="E19" i="8"/>
  <c r="G19" i="8" s="1"/>
  <c r="E20" i="8"/>
  <c r="E26" i="8"/>
  <c r="G26" i="8" s="1"/>
  <c r="E38" i="8"/>
  <c r="G38" i="8" s="1"/>
  <c r="E9" i="8"/>
  <c r="F7" i="8"/>
  <c r="F13" i="8"/>
  <c r="F18" i="8"/>
  <c r="E17" i="8"/>
  <c r="G17" i="8" s="1"/>
  <c r="E16" i="8"/>
  <c r="E25" i="8"/>
  <c r="G25" i="8" s="1"/>
  <c r="F20" i="8"/>
  <c r="F9" i="8"/>
  <c r="E33" i="8"/>
  <c r="G33" i="8" s="1"/>
  <c r="E30" i="8"/>
  <c r="G30" i="8" s="1"/>
  <c r="E6" i="8"/>
  <c r="G6" i="8" s="1"/>
  <c r="E10" i="8"/>
  <c r="G10" i="8" s="1"/>
  <c r="E18" i="8"/>
  <c r="F16" i="8"/>
  <c r="E28" i="8"/>
  <c r="G28" i="8" s="1"/>
  <c r="E34" i="8"/>
  <c r="G34" i="8" s="1"/>
  <c r="E7" i="8"/>
  <c r="G7" i="8" s="1"/>
  <c r="E35" i="8"/>
  <c r="G35" i="8" s="1"/>
  <c r="E2" i="8"/>
  <c r="F5" i="8"/>
  <c r="F32" i="8"/>
  <c r="E29" i="8"/>
  <c r="G29" i="8" s="1"/>
  <c r="E8" i="8"/>
  <c r="G8" i="8" s="1"/>
  <c r="E22" i="8"/>
  <c r="G22" i="8" s="1"/>
  <c r="E23" i="8"/>
  <c r="G23" i="8" s="1"/>
  <c r="E5" i="8"/>
  <c r="G13" i="8"/>
  <c r="E14" i="8"/>
  <c r="G14" i="8" s="1"/>
  <c r="E21" i="8"/>
  <c r="G21" i="8" s="1"/>
  <c r="E3" i="8"/>
  <c r="G3" i="8" s="1"/>
  <c r="E15" i="8"/>
  <c r="G15" i="8" s="1"/>
  <c r="E12" i="8"/>
  <c r="G12" i="8" s="1"/>
  <c r="F3" i="8"/>
  <c r="G2" i="8"/>
  <c r="J9" i="13"/>
  <c r="J6" i="13"/>
  <c r="J11" i="13" s="1"/>
  <c r="J7" i="13"/>
  <c r="J8" i="13"/>
  <c r="L4" i="13"/>
  <c r="K5" i="13"/>
  <c r="G5" i="8" l="1"/>
  <c r="G9" i="8"/>
  <c r="G18" i="8"/>
  <c r="G16" i="8"/>
  <c r="G20" i="8"/>
  <c r="C8" i="13"/>
  <c r="K9" i="13"/>
  <c r="K8" i="13"/>
  <c r="K6" i="13"/>
  <c r="K11" i="13" s="1"/>
  <c r="K7" i="13"/>
  <c r="M4" i="13"/>
  <c r="L5" i="13"/>
  <c r="F6" i="13" l="1"/>
  <c r="C10" i="13"/>
  <c r="L8" i="13"/>
  <c r="L6" i="13"/>
  <c r="L11" i="13" s="1"/>
  <c r="L9" i="13"/>
  <c r="L7" i="13"/>
  <c r="N4" i="13"/>
  <c r="M5" i="13"/>
  <c r="M8" i="13" l="1"/>
  <c r="M6" i="13"/>
  <c r="M11" i="13" s="1"/>
  <c r="M9" i="13"/>
  <c r="M7" i="13"/>
  <c r="O4" i="13"/>
  <c r="N5" i="13"/>
  <c r="N8" i="13" l="1"/>
  <c r="N6" i="13"/>
  <c r="N11" i="13" s="1"/>
  <c r="N7" i="13"/>
  <c r="N9" i="13"/>
  <c r="P4" i="13"/>
  <c r="O5" i="13"/>
  <c r="O7" i="13" l="1"/>
  <c r="O6" i="13"/>
  <c r="O11" i="13" s="1"/>
  <c r="O8" i="13"/>
  <c r="O9" i="13"/>
  <c r="Q4" i="13"/>
  <c r="P5" i="13"/>
  <c r="P8" i="13" l="1"/>
  <c r="P7" i="13"/>
  <c r="P6" i="13"/>
  <c r="P11" i="13" s="1"/>
  <c r="P9" i="13"/>
  <c r="Q5" i="13"/>
  <c r="R4" i="13"/>
  <c r="Q9" i="13" l="1"/>
  <c r="Q6" i="13"/>
  <c r="Q11" i="13" s="1"/>
  <c r="Q8" i="13"/>
  <c r="Q7" i="13"/>
  <c r="R5" i="13"/>
  <c r="S4" i="13"/>
  <c r="R9" i="13" l="1"/>
  <c r="R6" i="13"/>
  <c r="R11" i="13" s="1"/>
  <c r="T4" i="13"/>
  <c r="S5" i="13"/>
  <c r="R7" i="13"/>
  <c r="R8" i="13"/>
  <c r="S7" i="13" l="1"/>
  <c r="S9" i="13"/>
  <c r="S8" i="13"/>
  <c r="S6" i="13"/>
  <c r="S11" i="13" s="1"/>
  <c r="T5" i="13"/>
  <c r="U4" i="13"/>
  <c r="T9" i="13" l="1"/>
  <c r="T7" i="13"/>
  <c r="V4" i="13"/>
  <c r="U5" i="13"/>
  <c r="T6" i="13"/>
  <c r="T11" i="13" s="1"/>
  <c r="T8" i="13"/>
  <c r="U9" i="13" l="1"/>
  <c r="U6" i="13"/>
  <c r="U11" i="13" s="1"/>
  <c r="U7" i="13"/>
  <c r="U8" i="13"/>
  <c r="W4" i="13"/>
  <c r="V5" i="13"/>
  <c r="V6" i="13" l="1"/>
  <c r="V11" i="13" s="1"/>
  <c r="V7" i="13"/>
  <c r="V9" i="13"/>
  <c r="X4" i="13"/>
  <c r="W5" i="13"/>
  <c r="V8" i="13"/>
  <c r="W6" i="13" l="1"/>
  <c r="W11" i="13" s="1"/>
  <c r="W8" i="13"/>
  <c r="Y4" i="13"/>
  <c r="X5" i="13"/>
  <c r="W9" i="13"/>
  <c r="W7" i="13"/>
  <c r="X6" i="13" l="1"/>
  <c r="X11" i="13" s="1"/>
  <c r="X9" i="13"/>
  <c r="X7" i="13"/>
  <c r="X8" i="13"/>
  <c r="Z4" i="13"/>
  <c r="Y5" i="13"/>
  <c r="Y6" i="13" s="1"/>
  <c r="Y11" i="13" s="1"/>
  <c r="AA4" i="13" l="1"/>
  <c r="Z5" i="13"/>
  <c r="Z6" i="13" s="1"/>
  <c r="Z11" i="13" s="1"/>
  <c r="Y7" i="13"/>
  <c r="Y8" i="13"/>
  <c r="Y9" i="13"/>
  <c r="Z9" i="13" l="1"/>
  <c r="Z8" i="13"/>
  <c r="Z7" i="13"/>
  <c r="AB4" i="13"/>
  <c r="AA5" i="13"/>
  <c r="AA6" i="13" s="1"/>
  <c r="AA11" i="13" s="1"/>
  <c r="AC4" i="13" l="1"/>
  <c r="AB5" i="13"/>
  <c r="AB6" i="13" s="1"/>
  <c r="AB11" i="13" s="1"/>
  <c r="AA8" i="13"/>
  <c r="AA7" i="13"/>
  <c r="AA9" i="13"/>
  <c r="AB7" i="13" l="1"/>
  <c r="AB9" i="13"/>
  <c r="AB8" i="13"/>
  <c r="AD4" i="13"/>
  <c r="AC5" i="13"/>
  <c r="AC6" i="13" s="1"/>
  <c r="AC11" i="13" s="1"/>
  <c r="AE4" i="13" l="1"/>
  <c r="AD5" i="13"/>
  <c r="AD6" i="13" s="1"/>
  <c r="AD11" i="13" s="1"/>
  <c r="AC8" i="13"/>
  <c r="AC9" i="13"/>
  <c r="AC7" i="13"/>
  <c r="AD7" i="13" l="1"/>
  <c r="AD9" i="13"/>
  <c r="AD8" i="13"/>
  <c r="AF4" i="13"/>
  <c r="AE5" i="13"/>
  <c r="AE6" i="13" s="1"/>
  <c r="AE11" i="13" s="1"/>
  <c r="AE8" i="13" l="1"/>
  <c r="AE9" i="13"/>
  <c r="AG4" i="13"/>
  <c r="AF5" i="13"/>
  <c r="AF6" i="13" s="1"/>
  <c r="AF11" i="13" s="1"/>
  <c r="AE7" i="13"/>
  <c r="AF7" i="13" l="1"/>
  <c r="AF9" i="13"/>
  <c r="AH4" i="13"/>
  <c r="AG5" i="13"/>
  <c r="AG6" i="13" s="1"/>
  <c r="AG11" i="13" s="1"/>
  <c r="AF8" i="13"/>
  <c r="AG8" i="13" l="1"/>
  <c r="AG9" i="13"/>
  <c r="AI4" i="13"/>
  <c r="AH5" i="13"/>
  <c r="AH6" i="13" s="1"/>
  <c r="AH11" i="13" s="1"/>
  <c r="AG7" i="13"/>
  <c r="AH7" i="13" l="1"/>
  <c r="AH9" i="13"/>
  <c r="AJ4" i="13"/>
  <c r="AI5" i="13"/>
  <c r="AI6" i="13" s="1"/>
  <c r="AI11" i="13" s="1"/>
  <c r="AH8" i="13"/>
  <c r="AI8" i="13" l="1"/>
  <c r="AI9" i="13"/>
  <c r="AK4" i="13"/>
  <c r="AJ5" i="13"/>
  <c r="AJ6" i="13" s="1"/>
  <c r="AJ11" i="13" s="1"/>
  <c r="AI7" i="13"/>
  <c r="AJ7" i="13" l="1"/>
  <c r="AJ9" i="13"/>
  <c r="AL4" i="13"/>
  <c r="AK5" i="13"/>
  <c r="AK6" i="13" s="1"/>
  <c r="AK11" i="13" s="1"/>
  <c r="AJ8" i="13"/>
  <c r="AK8" i="13" l="1"/>
  <c r="AK9" i="13"/>
  <c r="AM4" i="13"/>
  <c r="AL5" i="13"/>
  <c r="AL6" i="13" s="1"/>
  <c r="AL11" i="13" s="1"/>
  <c r="AK7" i="13"/>
  <c r="AL7" i="13" l="1"/>
  <c r="AL9" i="13"/>
  <c r="AN4" i="13"/>
  <c r="AM5" i="13"/>
  <c r="AM6" i="13" s="1"/>
  <c r="AM11" i="13" s="1"/>
  <c r="AL8" i="13"/>
  <c r="AM8" i="13" l="1"/>
  <c r="AM9" i="13"/>
  <c r="AO4" i="13"/>
  <c r="AN5" i="13"/>
  <c r="AN6" i="13" s="1"/>
  <c r="AN11" i="13" s="1"/>
  <c r="AM7" i="13"/>
  <c r="AN7" i="13" l="1"/>
  <c r="AN9" i="13"/>
  <c r="AP4" i="13"/>
  <c r="AO5" i="13"/>
  <c r="AO6" i="13" s="1"/>
  <c r="AO11" i="13" s="1"/>
  <c r="AN8" i="13"/>
  <c r="AO8" i="13" l="1"/>
  <c r="AO9" i="13"/>
  <c r="AQ4" i="13"/>
  <c r="AP5" i="13"/>
  <c r="AP6" i="13" s="1"/>
  <c r="AP11" i="13" s="1"/>
  <c r="AO7" i="13"/>
  <c r="AP7" i="13" l="1"/>
  <c r="AP9" i="13"/>
  <c r="AR4" i="13"/>
  <c r="AQ5" i="13"/>
  <c r="AQ6" i="13" s="1"/>
  <c r="AQ11" i="13" s="1"/>
  <c r="AP8" i="13"/>
  <c r="AQ8" i="13" l="1"/>
  <c r="AQ9" i="13"/>
  <c r="AR5" i="13"/>
  <c r="AR6" i="13" s="1"/>
  <c r="AR11" i="13" s="1"/>
  <c r="AS4" i="13"/>
  <c r="AQ7" i="13"/>
  <c r="AR7" i="13" l="1"/>
  <c r="AT4" i="13"/>
  <c r="AS5" i="13"/>
  <c r="AS6" i="13" s="1"/>
  <c r="AS11" i="13" s="1"/>
  <c r="AR9" i="13"/>
  <c r="AR8" i="13"/>
  <c r="AS8" i="13" l="1"/>
  <c r="AU4" i="13"/>
  <c r="AT5" i="13"/>
  <c r="AT6" i="13" s="1"/>
  <c r="AT11" i="13" s="1"/>
  <c r="AS9" i="13"/>
  <c r="AS7" i="13"/>
  <c r="AV4" i="13" l="1"/>
  <c r="AU5" i="13"/>
  <c r="AU6" i="13" s="1"/>
  <c r="AU11" i="13" s="1"/>
  <c r="AT7" i="13"/>
  <c r="AT9" i="13"/>
  <c r="AT8" i="13"/>
  <c r="AU8" i="13" l="1"/>
  <c r="AU9" i="13"/>
  <c r="AU7" i="13"/>
  <c r="AW4" i="13"/>
  <c r="AV5" i="13"/>
  <c r="AV6" i="13" s="1"/>
  <c r="AV11" i="13" s="1"/>
  <c r="AX4" i="13" l="1"/>
  <c r="AW5" i="13"/>
  <c r="AW6" i="13" s="1"/>
  <c r="AW11" i="13" s="1"/>
  <c r="AV9" i="13"/>
  <c r="AV7" i="13"/>
  <c r="AV8" i="13"/>
  <c r="AW8" i="13" l="1"/>
  <c r="AW9" i="13"/>
  <c r="AW7" i="13"/>
  <c r="AY4" i="13"/>
  <c r="AX5" i="13"/>
  <c r="AX6" i="13" s="1"/>
  <c r="AX11" i="13" s="1"/>
  <c r="AX9" i="13" l="1"/>
  <c r="AZ4" i="13"/>
  <c r="AY5" i="13"/>
  <c r="AY6" i="13" s="1"/>
  <c r="AY11" i="13" s="1"/>
  <c r="AX7" i="13"/>
  <c r="AX8" i="13"/>
  <c r="AY8" i="13" l="1"/>
  <c r="BA4" i="13"/>
  <c r="AZ5" i="13"/>
  <c r="AZ6" i="13" s="1"/>
  <c r="AZ11" i="13" s="1"/>
  <c r="AY7" i="13"/>
  <c r="AY9" i="13"/>
  <c r="AZ9" i="13" l="1"/>
  <c r="AZ7" i="13"/>
  <c r="BB4" i="13"/>
  <c r="BA5" i="13"/>
  <c r="BA6" i="13" s="1"/>
  <c r="BA11" i="13" s="1"/>
  <c r="AZ8" i="13"/>
  <c r="BA8" i="13" l="1"/>
  <c r="BA7" i="13"/>
  <c r="BC4" i="13"/>
  <c r="BB5" i="13"/>
  <c r="BB6" i="13" s="1"/>
  <c r="BB11" i="13" s="1"/>
  <c r="BA9" i="13"/>
  <c r="BB9" i="13" l="1"/>
  <c r="BB7" i="13"/>
  <c r="BD4" i="13"/>
  <c r="BC5" i="13"/>
  <c r="BC6" i="13" s="1"/>
  <c r="BC11" i="13" s="1"/>
  <c r="BB8" i="13"/>
  <c r="BC7" i="13" l="1"/>
  <c r="BC8" i="13"/>
  <c r="BE4" i="13"/>
  <c r="BD5" i="13"/>
  <c r="BD6" i="13" s="1"/>
  <c r="BD11" i="13" s="1"/>
  <c r="BC9" i="13"/>
  <c r="BD8" i="13" l="1"/>
  <c r="BD9" i="13"/>
  <c r="BF4" i="13"/>
  <c r="BE5" i="13"/>
  <c r="BE6" i="13" s="1"/>
  <c r="BE11" i="13" s="1"/>
  <c r="BD7" i="13"/>
  <c r="BE9" i="13" l="1"/>
  <c r="BE7" i="13"/>
  <c r="BG4" i="13"/>
  <c r="BF5" i="13"/>
  <c r="BF6" i="13" s="1"/>
  <c r="BF11" i="13" s="1"/>
  <c r="BE8" i="13"/>
  <c r="BF8" i="13" l="1"/>
  <c r="BF7" i="13"/>
  <c r="BH4" i="13"/>
  <c r="BG5" i="13"/>
  <c r="BG6" i="13" s="1"/>
  <c r="BG11" i="13" s="1"/>
  <c r="BF9" i="13"/>
  <c r="BG9" i="13" l="1"/>
  <c r="BG7" i="13"/>
  <c r="BI4" i="13"/>
  <c r="BH5" i="13"/>
  <c r="BH6" i="13" s="1"/>
  <c r="BH11" i="13" s="1"/>
  <c r="BG8" i="13"/>
  <c r="BH8" i="13" l="1"/>
  <c r="BJ4" i="13"/>
  <c r="BI5" i="13"/>
  <c r="BI6" i="13" s="1"/>
  <c r="BI11" i="13" s="1"/>
  <c r="BH9" i="13"/>
  <c r="BH7" i="13"/>
  <c r="BI7" i="13" l="1"/>
  <c r="BK4" i="13"/>
  <c r="BJ5" i="13"/>
  <c r="BJ6" i="13" s="1"/>
  <c r="BJ11" i="13" s="1"/>
  <c r="BI9" i="13"/>
  <c r="BI8" i="13"/>
  <c r="BJ8" i="13" l="1"/>
  <c r="BL4" i="13"/>
  <c r="BL5" i="13" s="1"/>
  <c r="BK5" i="13"/>
  <c r="BK6" i="13" s="1"/>
  <c r="BK11" i="13" s="1"/>
  <c r="BJ9" i="13"/>
  <c r="BJ7" i="13"/>
  <c r="C5" i="13" l="1"/>
  <c r="C18" i="13" s="1"/>
  <c r="C15" i="13" s="1"/>
  <c r="BL6" i="13"/>
  <c r="BL11" i="13" s="1"/>
  <c r="BK7" i="13"/>
  <c r="BL7" i="13" s="1"/>
  <c r="BK9" i="13"/>
  <c r="BL9" i="13" s="1"/>
  <c r="BK8" i="13"/>
  <c r="BL8" i="13" s="1"/>
</calcChain>
</file>

<file path=xl/sharedStrings.xml><?xml version="1.0" encoding="utf-8"?>
<sst xmlns="http://schemas.openxmlformats.org/spreadsheetml/2006/main" count="995" uniqueCount="506">
  <si>
    <t>Province/State</t>
  </si>
  <si>
    <t>Country/Region</t>
  </si>
  <si>
    <t>Lat</t>
  </si>
  <si>
    <t>Long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</si>
  <si>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</si>
  <si>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</si>
  <si>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</si>
  <si>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</si>
  <si>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</si>
  <si>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</si>
  <si>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</si>
  <si>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</si>
  <si>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</si>
  <si>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</si>
  <si>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</si>
  <si>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</si>
  <si>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</si>
  <si>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</si>
  <si>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</si>
  <si>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</si>
  <si>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</si>
  <si>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</si>
  <si>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</si>
  <si>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</si>
  <si>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</si>
  <si>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</si>
  <si>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</si>
  <si>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</si>
  <si>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</si>
  <si>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</si>
  <si>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</si>
  <si>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</si>
  <si>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</si>
  <si>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</si>
  <si>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</si>
  <si>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</si>
  <si>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</si>
  <si>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</si>
  <si>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</si>
  <si>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</si>
  <si>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</si>
  <si>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</si>
  <si>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</si>
  <si>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</si>
  <si>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</si>
  <si>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</si>
  <si>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</si>
  <si>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</si>
  <si>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</si>
  <si>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</si>
  <si>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</si>
  <si>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</si>
  <si>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</si>
  <si>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</si>
  <si>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</si>
  <si>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</si>
  <si>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</si>
  <si>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</si>
  <si>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</si>
  <si>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</si>
  <si>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</si>
  <si>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</si>
  <si>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</si>
  <si>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</si>
  <si>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</si>
  <si>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</si>
  <si>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</si>
  <si>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</si>
  <si>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</si>
  <si>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</si>
  <si>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</si>
  <si>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</si>
  <si>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</si>
  <si>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</si>
  <si>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</si>
  <si>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</si>
  <si>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</si>
  <si>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</si>
  <si>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</si>
  <si>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</si>
  <si>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</si>
  <si>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</si>
  <si>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</si>
  <si>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</si>
  <si>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</si>
  <si>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</si>
  <si>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</si>
  <si>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</si>
  <si>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</si>
  <si>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</si>
  <si>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</si>
  <si>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</si>
  <si>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</si>
  <si>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</si>
  <si>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</si>
  <si>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</si>
  <si>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</si>
  <si>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</si>
  <si>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</si>
  <si>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</si>
  <si>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</si>
  <si>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</si>
  <si>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</si>
  <si>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</si>
  <si>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</si>
  <si>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</si>
  <si>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</si>
  <si>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</si>
  <si>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</si>
  <si>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</si>
  <si>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</si>
  <si>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</si>
  <si>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</si>
  <si>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</si>
  <si>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</si>
  <si>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</si>
  <si>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</si>
  <si>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</si>
  <si>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</si>
  <si>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</si>
  <si>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</si>
  <si>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</si>
  <si>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</si>
  <si>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</si>
  <si>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</si>
  <si>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</si>
  <si>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</si>
  <si>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</si>
  <si>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</si>
  <si>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</si>
  <si>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</si>
  <si>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</si>
  <si>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</si>
  <si>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</si>
  <si>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</si>
  <si>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</si>
  <si>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</si>
  <si>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</si>
  <si>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</si>
  <si>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</si>
  <si>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</si>
  <si>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</si>
  <si>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</si>
  <si>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</si>
  <si>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</si>
  <si>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</si>
  <si>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</si>
  <si>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</si>
  <si>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</si>
  <si>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</si>
  <si>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</si>
  <si>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</si>
  <si>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</si>
  <si>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</si>
  <si>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</si>
  <si>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</si>
  <si>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</si>
  <si>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</si>
  <si>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</si>
  <si>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</si>
  <si>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</si>
  <si>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</si>
  <si>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</si>
  <si>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</si>
  <si>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</si>
  <si>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</si>
  <si>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</si>
  <si>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</si>
  <si>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</si>
  <si>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</si>
  <si>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</si>
  <si>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</si>
  <si>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</si>
  <si>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</si>
  <si>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</si>
  <si>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</si>
  <si>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</si>
  <si>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</si>
  <si>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</si>
  <si>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</si>
  <si>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</si>
  <si>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</si>
  <si>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</si>
  <si>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</si>
  <si>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</si>
  <si>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</si>
  <si>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</si>
  <si>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</si>
  <si>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</si>
  <si>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</si>
  <si>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</si>
  <si>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</si>
  <si>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</si>
  <si>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</si>
  <si>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</si>
  <si>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</si>
  <si>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</si>
  <si>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</si>
  <si>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</si>
  <si>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</si>
  <si>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</si>
  <si>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</si>
  <si>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</si>
  <si>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</si>
  <si>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</si>
  <si>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</si>
  <si>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</si>
  <si>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</si>
  <si>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</si>
  <si>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</si>
  <si>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</si>
  <si>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</si>
  <si>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</si>
  <si>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</si>
  <si>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</si>
  <si>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</si>
  <si>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</si>
  <si>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</si>
  <si>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</si>
  <si>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</si>
  <si>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</si>
  <si>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</si>
  <si>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</si>
  <si>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</si>
  <si>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</si>
  <si>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</si>
  <si>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</si>
  <si>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</si>
  <si>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</si>
  <si>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</si>
  <si>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</si>
  <si>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</si>
  <si>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</si>
  <si>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</si>
  <si>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</si>
  <si>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</si>
  <si>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</si>
  <si>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</si>
  <si>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</si>
  <si>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</si>
  <si>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</si>
  <si>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</si>
  <si>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</si>
  <si>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</si>
  <si>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</si>
  <si>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</si>
  <si>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</si>
  <si>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</si>
  <si>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</si>
  <si>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</si>
  <si>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</si>
  <si>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</si>
  <si>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</si>
  <si>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</si>
  <si>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</si>
  <si>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</si>
  <si>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</si>
  <si>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</si>
  <si>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</si>
  <si>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</si>
  <si>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</si>
  <si>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</si>
  <si>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</si>
  <si>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</si>
  <si>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</si>
  <si>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</si>
  <si>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</si>
  <si>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</si>
  <si>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</si>
  <si>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</si>
  <si>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</si>
  <si>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</si>
  <si>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</si>
  <si>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</si>
  <si>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</si>
  <si>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</si>
  <si>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</si>
  <si>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</si>
  <si>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</si>
  <si>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</si>
  <si>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</si>
  <si>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</si>
  <si>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</si>
  <si>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</si>
  <si>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</si>
  <si>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</si>
  <si>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</si>
  <si>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</si>
  <si>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</si>
  <si>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</si>
  <si>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</si>
  <si>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</si>
  <si>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</si>
  <si>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</si>
  <si>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</si>
  <si>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</si>
  <si>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</si>
  <si>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</si>
  <si>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</si>
  <si>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</si>
  <si>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</si>
  <si>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</si>
  <si>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</si>
  <si>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</si>
  <si>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</si>
  <si>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</si>
  <si>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</si>
  <si>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</si>
  <si>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</si>
  <si>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</si>
  <si>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</si>
  <si>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</si>
  <si>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</si>
  <si>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</si>
  <si>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</si>
  <si>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</si>
  <si>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</si>
  <si>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</si>
  <si>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</si>
  <si>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</si>
  <si>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</si>
  <si>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</si>
  <si>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</si>
  <si>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</si>
  <si>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</si>
  <si>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</si>
  <si>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</si>
  <si>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</si>
  <si>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</si>
  <si>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</si>
  <si>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</si>
  <si>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</si>
  <si>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</si>
  <si>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</si>
  <si>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</si>
  <si>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</si>
  <si>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</si>
  <si>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</si>
  <si>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</si>
  <si>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</si>
  <si>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</si>
  <si>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</si>
  <si>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</si>
  <si>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</si>
  <si>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</si>
  <si>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</si>
  <si>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</si>
  <si>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</si>
  <si>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</si>
  <si>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</si>
  <si>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</si>
  <si>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</si>
  <si>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</si>
  <si>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</si>
  <si>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</si>
  <si>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</si>
  <si>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</si>
  <si>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</si>
  <si>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</si>
  <si>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</si>
  <si>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</si>
  <si>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</si>
  <si>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</si>
  <si>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</si>
  <si>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3/13/20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</si>
  <si>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</si>
  <si>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</si>
  <si>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</si>
  <si>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</si>
  <si>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</si>
  <si>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</si>
  <si>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</si>
  <si>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</si>
  <si>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</si>
  <si>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</si>
  <si>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</si>
  <si>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</si>
  <si>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</si>
  <si>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</si>
  <si>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</si>
  <si>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</si>
  <si>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</si>
  <si>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</si>
  <si>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</si>
  <si>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</si>
  <si>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</si>
  <si>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</si>
  <si>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</si>
  <si>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</si>
  <si>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</si>
  <si>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</si>
  <si>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</si>
  <si>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</si>
  <si>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</si>
  <si>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</si>
  <si>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</si>
  <si>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</si>
  <si>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</si>
  <si>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</si>
  <si>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</si>
  <si>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</si>
  <si>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</si>
  <si>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</si>
  <si>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</si>
  <si>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</si>
  <si>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</si>
  <si>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</si>
  <si>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</si>
  <si>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</si>
  <si>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</si>
  <si>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</si>
  <si>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</si>
  <si>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</si>
  <si>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</si>
  <si>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</si>
  <si>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</si>
  <si>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</si>
  <si>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</si>
  <si>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</si>
  <si>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</si>
  <si>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</si>
  <si>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</si>
  <si>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</si>
  <si>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</si>
  <si>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</si>
  <si>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</si>
  <si>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</si>
  <si>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</si>
  <si>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</si>
  <si>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</si>
  <si>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</si>
  <si>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</si>
  <si>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</si>
  <si>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</si>
  <si>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</si>
  <si>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</si>
  <si>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</si>
  <si>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</si>
  <si>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</si>
  <si>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</si>
  <si>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</si>
  <si>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</si>
  <si>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</si>
  <si>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</si>
  <si>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</si>
  <si>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</si>
  <si>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</si>
  <si>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</si>
  <si>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</si>
  <si>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</si>
  <si>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</si>
  <si>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</si>
  <si>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</si>
  <si>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</si>
  <si>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</si>
  <si>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</si>
  <si>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</si>
  <si>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</si>
  <si>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</si>
  <si>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</si>
  <si>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</si>
  <si>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>3/14/20</t>
  </si>
  <si>
    <t xml:space="preserve">Jackson County, OR 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</si>
  <si>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</si>
  <si>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</si>
  <si>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</si>
  <si>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</si>
  <si>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</si>
  <si>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</si>
  <si>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</si>
  <si>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</si>
  <si>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</si>
  <si>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</si>
  <si>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</si>
  <si>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</si>
  <si>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</si>
  <si>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</si>
  <si>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</si>
  <si>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</si>
  <si>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</si>
  <si>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</si>
  <si>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Virgin Islands, U.S.</t>
  </si>
  <si>
    <t>Currently</t>
  </si>
  <si>
    <t>Rate of increase</t>
  </si>
  <si>
    <t>Last x days</t>
  </si>
  <si>
    <t>Expected tomorrow</t>
  </si>
  <si>
    <t>Actual</t>
  </si>
  <si>
    <t>20% daily increase</t>
  </si>
  <si>
    <t>30% daily increase</t>
  </si>
  <si>
    <t>40% daily increase</t>
  </si>
  <si>
    <t>Day</t>
  </si>
  <si>
    <t>xMax2</t>
  </si>
  <si>
    <t>3/15/20</t>
  </si>
  <si>
    <t>occupied Palestinian territory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</si>
  <si>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</si>
  <si>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</si>
  <si>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</si>
  <si>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</si>
  <si>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</si>
  <si>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</si>
  <si>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</si>
  <si>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</si>
  <si>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</si>
  <si>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</si>
  <si>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Critically Ill</t>
  </si>
  <si>
    <t>Critical care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</si>
</sst>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809]dd\ mmmm\ yyyy;@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7"/>
      <color rgb="FF24292E"/>
      <name val="Consolas"/>
      <family val="3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vertical="top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43" fontId="0" fillId="0" borderId="0" xfId="1" applyFont="1"/>
    <xf numFmtId="165" fontId="6" fillId="0" borderId="0" xfId="1" applyNumberFormat="1" applyFont="1" applyFill="1" applyBorder="1" applyAlignment="1">
      <alignment horizontal="left" vertical="center"/>
    </xf>
    <xf numFmtId="165" fontId="6" fillId="0" borderId="0" xfId="1" applyNumberFormat="1" applyFont="1" applyFill="1" applyBorder="1" applyAlignment="1">
      <alignment horizontal="center" vertical="center"/>
    </xf>
    <xf numFmtId="43" fontId="6" fillId="0" borderId="0" xfId="1" applyFont="1" applyFill="1" applyBorder="1" applyAlignment="1">
      <alignment horizontal="left" vertical="center"/>
    </xf>
    <xf numFmtId="0" fontId="4" fillId="0" borderId="0" xfId="0" applyFont="1" applyFill="1" applyBorder="1"/>
    <xf numFmtId="165" fontId="4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left"/>
    </xf>
    <xf numFmtId="43" fontId="4" fillId="0" borderId="0" xfId="1" applyFont="1" applyFill="1" applyBorder="1"/>
    <xf numFmtId="164" fontId="4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9" fontId="0" fillId="0" borderId="0" xfId="2" applyFont="1"/>
    <xf numFmtId="9" fontId="0" fillId="0" borderId="0" xfId="0" applyNumberFormat="1"/>
    <xf numFmtId="14" fontId="0" fillId="0" borderId="0" xfId="0" applyNumberFormat="1"/>
    <xf numFmtId="165" fontId="0" fillId="0" borderId="0" xfId="0" applyNumberFormat="1"/>
    <xf numFmtId="10" fontId="0" fillId="0" borderId="0" xfId="0" applyNumberFormat="1"/>
    <xf numFmtId="0" fontId="0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Projections!$B$21</c:f>
          <c:strCache>
            <c:ptCount val="1"/>
            <c:pt idx="0">
              <c:v>United Kingdom 'rona projections</c:v>
            </c:pt>
          </c:strCache>
        </c:strRef>
      </c:tx>
      <c:layout>
        <c:manualLayout>
          <c:xMode val="edge"/>
          <c:yMode val="edge"/>
          <c:x val="0.37709523809523809"/>
          <c:y val="3.50026925148088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068741407324084E-2"/>
          <c:y val="2.9672785247562956E-2"/>
          <c:w val="0.90287650157211596"/>
          <c:h val="0.86276930448314315"/>
        </c:manualLayout>
      </c:layout>
      <c:lineChart>
        <c:grouping val="standard"/>
        <c:varyColors val="0"/>
        <c:ser>
          <c:idx val="3"/>
          <c:order val="0"/>
          <c:tx>
            <c:strRef>
              <c:f>Projections!$F$7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Projections!$G$7:$BL$7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1674</c:v>
                </c:pt>
                <c:pt idx="12">
                  <c:v>2008.8</c:v>
                </c:pt>
                <c:pt idx="13">
                  <c:v>2410.56</c:v>
                </c:pt>
                <c:pt idx="14">
                  <c:v>2892.672</c:v>
                </c:pt>
                <c:pt idx="15">
                  <c:v>3471.2064</c:v>
                </c:pt>
                <c:pt idx="16">
                  <c:v>4165.4476800000002</c:v>
                </c:pt>
                <c:pt idx="17">
                  <c:v>4998.5372159999997</c:v>
                </c:pt>
                <c:pt idx="18">
                  <c:v>5998.2446591999997</c:v>
                </c:pt>
                <c:pt idx="19">
                  <c:v>7197.8935910399996</c:v>
                </c:pt>
                <c:pt idx="20">
                  <c:v>8637.4723092479999</c:v>
                </c:pt>
                <c:pt idx="21">
                  <c:v>10364.966771097599</c:v>
                </c:pt>
                <c:pt idx="22">
                  <c:v>12437.960125317119</c:v>
                </c:pt>
                <c:pt idx="23">
                  <c:v>14925.552150380541</c:v>
                </c:pt>
                <c:pt idx="24">
                  <c:v>17910.66258045665</c:v>
                </c:pt>
                <c:pt idx="25">
                  <c:v>21492.795096547979</c:v>
                </c:pt>
                <c:pt idx="26">
                  <c:v>25791.354115857575</c:v>
                </c:pt>
                <c:pt idx="27">
                  <c:v>30949.62493902909</c:v>
                </c:pt>
                <c:pt idx="28">
                  <c:v>37139.549926834909</c:v>
                </c:pt>
                <c:pt idx="29">
                  <c:v>44567.459912201892</c:v>
                </c:pt>
                <c:pt idx="30">
                  <c:v>53480.951894642269</c:v>
                </c:pt>
                <c:pt idx="31">
                  <c:v>64177.142273570716</c:v>
                </c:pt>
                <c:pt idx="32">
                  <c:v>77012.57072828486</c:v>
                </c:pt>
                <c:pt idx="33">
                  <c:v>92415.084873941829</c:v>
                </c:pt>
                <c:pt idx="34">
                  <c:v>110898.10184873019</c:v>
                </c:pt>
                <c:pt idx="35">
                  <c:v>133077.72221847624</c:v>
                </c:pt>
                <c:pt idx="36">
                  <c:v>159693.26666217149</c:v>
                </c:pt>
                <c:pt idx="37">
                  <c:v>191631.91999460579</c:v>
                </c:pt>
                <c:pt idx="38">
                  <c:v>229958.30399352693</c:v>
                </c:pt>
                <c:pt idx="39">
                  <c:v>275949.96479223232</c:v>
                </c:pt>
                <c:pt idx="40">
                  <c:v>331139.95775067876</c:v>
                </c:pt>
                <c:pt idx="41">
                  <c:v>397367.94930081448</c:v>
                </c:pt>
                <c:pt idx="42">
                  <c:v>476841.53916097735</c:v>
                </c:pt>
                <c:pt idx="43">
                  <c:v>572209.84699317277</c:v>
                </c:pt>
                <c:pt idx="44">
                  <c:v>686651.81639180728</c:v>
                </c:pt>
                <c:pt idx="45">
                  <c:v>823982.17967016867</c:v>
                </c:pt>
                <c:pt idx="46">
                  <c:v>988778.61560420238</c:v>
                </c:pt>
                <c:pt idx="47">
                  <c:v>1186534.3387250428</c:v>
                </c:pt>
                <c:pt idx="48">
                  <c:v>1423841.2064700513</c:v>
                </c:pt>
                <c:pt idx="49">
                  <c:v>1708609.4477640616</c:v>
                </c:pt>
                <c:pt idx="50">
                  <c:v>2050331.3373168739</c:v>
                </c:pt>
                <c:pt idx="51">
                  <c:v>2460397.6047802488</c:v>
                </c:pt>
                <c:pt idx="52">
                  <c:v>2952477.1257362985</c:v>
                </c:pt>
                <c:pt idx="53">
                  <c:v>3542972.5508835581</c:v>
                </c:pt>
                <c:pt idx="54">
                  <c:v>4251567.0610602694</c:v>
                </c:pt>
                <c:pt idx="55">
                  <c:v>5101880.4732723227</c:v>
                </c:pt>
                <c:pt idx="56">
                  <c:v>6122256.5679267868</c:v>
                </c:pt>
                <c:pt idx="57">
                  <c:v>7346707.8815121436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D6-40AF-AEA3-9455763AF621}"/>
            </c:ext>
          </c:extLst>
        </c:ser>
        <c:ser>
          <c:idx val="4"/>
          <c:order val="1"/>
          <c:tx>
            <c:strRef>
              <c:f>Projections!$F$8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Projections!$G$8:$BL$8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1813.5</c:v>
                </c:pt>
                <c:pt idx="12">
                  <c:v>2357.5500000000002</c:v>
                </c:pt>
                <c:pt idx="13">
                  <c:v>3064.8150000000005</c:v>
                </c:pt>
                <c:pt idx="14">
                  <c:v>3984.2595000000006</c:v>
                </c:pt>
                <c:pt idx="15">
                  <c:v>5179.5373500000005</c:v>
                </c:pt>
                <c:pt idx="16">
                  <c:v>6733.3985550000007</c:v>
                </c:pt>
                <c:pt idx="17">
                  <c:v>8753.4181215000008</c:v>
                </c:pt>
                <c:pt idx="18">
                  <c:v>11379.443557950002</c:v>
                </c:pt>
                <c:pt idx="19">
                  <c:v>14793.276625335004</c:v>
                </c:pt>
                <c:pt idx="20">
                  <c:v>19231.259612935504</c:v>
                </c:pt>
                <c:pt idx="21">
                  <c:v>25000.637496816158</c:v>
                </c:pt>
                <c:pt idx="22">
                  <c:v>32500.828745861007</c:v>
                </c:pt>
                <c:pt idx="23">
                  <c:v>42251.077369619306</c:v>
                </c:pt>
                <c:pt idx="24">
                  <c:v>54926.400580505098</c:v>
                </c:pt>
                <c:pt idx="25">
                  <c:v>71404.320754656626</c:v>
                </c:pt>
                <c:pt idx="26">
                  <c:v>92825.616981053623</c:v>
                </c:pt>
                <c:pt idx="27">
                  <c:v>120673.30207536972</c:v>
                </c:pt>
                <c:pt idx="28">
                  <c:v>156875.29269798065</c:v>
                </c:pt>
                <c:pt idx="29">
                  <c:v>203937.88050737485</c:v>
                </c:pt>
                <c:pt idx="30">
                  <c:v>265119.24465958733</c:v>
                </c:pt>
                <c:pt idx="31">
                  <c:v>344655.01805746357</c:v>
                </c:pt>
                <c:pt idx="32">
                  <c:v>448051.52347470267</c:v>
                </c:pt>
                <c:pt idx="33">
                  <c:v>582466.98051711346</c:v>
                </c:pt>
                <c:pt idx="34">
                  <c:v>757207.07467224752</c:v>
                </c:pt>
                <c:pt idx="35">
                  <c:v>984369.19707392179</c:v>
                </c:pt>
                <c:pt idx="36">
                  <c:v>1279679.9561960984</c:v>
                </c:pt>
                <c:pt idx="37">
                  <c:v>1663583.943054928</c:v>
                </c:pt>
                <c:pt idx="38">
                  <c:v>2162659.1259714062</c:v>
                </c:pt>
                <c:pt idx="39">
                  <c:v>2811456.8637628281</c:v>
                </c:pt>
                <c:pt idx="40">
                  <c:v>3654893.9228916764</c:v>
                </c:pt>
                <c:pt idx="41">
                  <c:v>4751362.0997591792</c:v>
                </c:pt>
                <c:pt idx="42">
                  <c:v>6176770.7296869336</c:v>
                </c:pt>
                <c:pt idx="43">
                  <c:v>8029801.9485930139</c:v>
                </c:pt>
                <c:pt idx="44">
                  <c:v>10438742.533170918</c:v>
                </c:pt>
                <c:pt idx="45">
                  <c:v>13570365.293122195</c:v>
                </c:pt>
                <c:pt idx="46">
                  <c:v>17641474.881058853</c:v>
                </c:pt>
                <c:pt idx="47">
                  <c:v>22933917.34537651</c:v>
                </c:pt>
                <c:pt idx="48">
                  <c:v>29814092.548989464</c:v>
                </c:pt>
                <c:pt idx="49">
                  <c:v>38758320.313686304</c:v>
                </c:pt>
                <c:pt idx="50">
                  <c:v>50385816.407792196</c:v>
                </c:pt>
                <c:pt idx="51">
                  <c:v>65501561.330129854</c:v>
                </c:pt>
                <c:pt idx="52">
                  <c:v>85152029.729168817</c:v>
                </c:pt>
                <c:pt idx="53">
                  <c:v>110697638.64791946</c:v>
                </c:pt>
                <c:pt idx="54">
                  <c:v>143906930.2422953</c:v>
                </c:pt>
                <c:pt idx="55">
                  <c:v>187079009.3149839</c:v>
                </c:pt>
                <c:pt idx="56">
                  <c:v>243202712.10947907</c:v>
                </c:pt>
                <c:pt idx="57">
                  <c:v>316163525.7423228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D6-40AF-AEA3-9455763AF621}"/>
            </c:ext>
          </c:extLst>
        </c:ser>
        <c:ser>
          <c:idx val="5"/>
          <c:order val="2"/>
          <c:tx>
            <c:strRef>
              <c:f>Projections!$F$9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Projections!$G$9:$BL$9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1952.9999999999998</c:v>
                </c:pt>
                <c:pt idx="12">
                  <c:v>2734.1999999999994</c:v>
                </c:pt>
                <c:pt idx="13">
                  <c:v>3827.8799999999987</c:v>
                </c:pt>
                <c:pt idx="14">
                  <c:v>5359.0319999999983</c:v>
                </c:pt>
                <c:pt idx="15">
                  <c:v>7502.6447999999973</c:v>
                </c:pt>
                <c:pt idx="16">
                  <c:v>10503.702719999996</c:v>
                </c:pt>
                <c:pt idx="17">
                  <c:v>14705.183807999992</c:v>
                </c:pt>
                <c:pt idx="18">
                  <c:v>20587.257331199988</c:v>
                </c:pt>
                <c:pt idx="19">
                  <c:v>28822.16026367998</c:v>
                </c:pt>
                <c:pt idx="20">
                  <c:v>40351.024369151972</c:v>
                </c:pt>
                <c:pt idx="21">
                  <c:v>56491.434116812758</c:v>
                </c:pt>
                <c:pt idx="22">
                  <c:v>79088.007763537855</c:v>
                </c:pt>
                <c:pt idx="23">
                  <c:v>110723.21086895299</c:v>
                </c:pt>
                <c:pt idx="24">
                  <c:v>155012.49521653418</c:v>
                </c:pt>
                <c:pt idx="25">
                  <c:v>217017.49330314784</c:v>
                </c:pt>
                <c:pt idx="26">
                  <c:v>303824.49062440696</c:v>
                </c:pt>
                <c:pt idx="27">
                  <c:v>425354.28687416972</c:v>
                </c:pt>
                <c:pt idx="28">
                  <c:v>595496.00162383751</c:v>
                </c:pt>
                <c:pt idx="29">
                  <c:v>833694.40227337251</c:v>
                </c:pt>
                <c:pt idx="30">
                  <c:v>1167172.1631827215</c:v>
                </c:pt>
                <c:pt idx="31">
                  <c:v>1634041.0284558099</c:v>
                </c:pt>
                <c:pt idx="32">
                  <c:v>2287657.4398381338</c:v>
                </c:pt>
                <c:pt idx="33">
                  <c:v>3202720.4157733871</c:v>
                </c:pt>
                <c:pt idx="34">
                  <c:v>4483808.5820827419</c:v>
                </c:pt>
                <c:pt idx="35">
                  <c:v>6277332.0149158379</c:v>
                </c:pt>
                <c:pt idx="36">
                  <c:v>8788264.8208821733</c:v>
                </c:pt>
                <c:pt idx="37">
                  <c:v>12303570.749235041</c:v>
                </c:pt>
                <c:pt idx="38">
                  <c:v>17224999.048929058</c:v>
                </c:pt>
                <c:pt idx="39">
                  <c:v>24114998.66850068</c:v>
                </c:pt>
                <c:pt idx="40">
                  <c:v>33760998.135900952</c:v>
                </c:pt>
                <c:pt idx="41">
                  <c:v>47265397.39026133</c:v>
                </c:pt>
                <c:pt idx="42">
                  <c:v>66171556.346365854</c:v>
                </c:pt>
                <c:pt idx="43">
                  <c:v>92640178.884912193</c:v>
                </c:pt>
                <c:pt idx="44">
                  <c:v>129696250.43887706</c:v>
                </c:pt>
                <c:pt idx="45">
                  <c:v>181574750.61442786</c:v>
                </c:pt>
                <c:pt idx="46">
                  <c:v>254204650.860199</c:v>
                </c:pt>
                <c:pt idx="47">
                  <c:v>355886511.20427859</c:v>
                </c:pt>
                <c:pt idx="48">
                  <c:v>498241115.68598998</c:v>
                </c:pt>
                <c:pt idx="49">
                  <c:v>697537561.96038592</c:v>
                </c:pt>
                <c:pt idx="50">
                  <c:v>976552586.74454021</c:v>
                </c:pt>
                <c:pt idx="51">
                  <c:v>1367173621.4423561</c:v>
                </c:pt>
                <c:pt idx="52">
                  <c:v>1914043070.0192983</c:v>
                </c:pt>
                <c:pt idx="53">
                  <c:v>2679660298.0270176</c:v>
                </c:pt>
                <c:pt idx="54">
                  <c:v>3751524417.2378244</c:v>
                </c:pt>
                <c:pt idx="55">
                  <c:v>5252134184.1329536</c:v>
                </c:pt>
                <c:pt idx="56">
                  <c:v>7352987857.7861347</c:v>
                </c:pt>
                <c:pt idx="57">
                  <c:v>10294183000.900587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D6-40AF-AEA3-9455763AF621}"/>
            </c:ext>
          </c:extLst>
        </c:ser>
        <c:ser>
          <c:idx val="2"/>
          <c:order val="3"/>
          <c:tx>
            <c:strRef>
              <c:f>Projections!$F$6</c:f>
              <c:strCache>
                <c:ptCount val="1"/>
                <c:pt idx="0">
                  <c:v>Projected (29%) based on 5 day rolling avg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Projections!$G$6:$BL$6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1805.6052309854954</c:v>
                </c:pt>
                <c:pt idx="12">
                  <c:v>2337.0682796861538</c:v>
                </c:pt>
                <c:pt idx="13">
                  <c:v>3024.9625168255143</c:v>
                </c:pt>
                <c:pt idx="14">
                  <c:v>3915.3320028065937</c:v>
                </c:pt>
                <c:pt idx="15">
                  <c:v>5067.7734375000018</c:v>
                </c:pt>
                <c:pt idx="16">
                  <c:v>6559.4252531894972</c:v>
                </c:pt>
                <c:pt idx="17">
                  <c:v>8490.1308597973584</c:v>
                </c:pt>
                <c:pt idx="18">
                  <c:v>10989.121643155191</c:v>
                </c:pt>
                <c:pt idx="19">
                  <c:v>14223.667041445833</c:v>
                </c:pt>
                <c:pt idx="20">
                  <c:v>18410.27069091798</c:v>
                </c:pt>
                <c:pt idx="21">
                  <c:v>23829.162052602478</c:v>
                </c:pt>
                <c:pt idx="22">
                  <c:v>30843.0535141076</c:v>
                </c:pt>
                <c:pt idx="23">
                  <c:v>39921.418469274729</c:v>
                </c:pt>
                <c:pt idx="24">
                  <c:v>51671.915424002451</c:v>
                </c:pt>
                <c:pt idx="25">
                  <c:v>66881.061494350492</c:v>
                </c:pt>
                <c:pt idx="26">
                  <c:v>86566.877769219966</c:v>
                </c:pt>
                <c:pt idx="27">
                  <c:v>112047.03034421905</c:v>
                </c:pt>
                <c:pt idx="28">
                  <c:v>145027.02803291215</c:v>
                </c:pt>
                <c:pt idx="29">
                  <c:v>187714.38025125896</c:v>
                </c:pt>
                <c:pt idx="30">
                  <c:v>242966.3562099452</c:v>
                </c:pt>
                <c:pt idx="31">
                  <c:v>314481.23564599449</c:v>
                </c:pt>
                <c:pt idx="32">
                  <c:v>407045.85242235835</c:v>
                </c:pt>
                <c:pt idx="33">
                  <c:v>526856.00027581386</c:v>
                </c:pt>
                <c:pt idx="34">
                  <c:v>681931.14700652694</c:v>
                </c:pt>
                <c:pt idx="35">
                  <c:v>882651.21591894189</c:v>
                </c:pt>
                <c:pt idx="36">
                  <c:v>1142451.3638702147</c:v>
                </c:pt>
                <c:pt idx="37">
                  <c:v>1478721.2607530991</c:v>
                </c:pt>
                <c:pt idx="38">
                  <c:v>1913969.0635019804</c:v>
                </c:pt>
                <c:pt idx="39">
                  <c:v>2477327.9949846491</c:v>
                </c:pt>
                <c:pt idx="40">
                  <c:v>3206506.3703305316</c:v>
                </c:pt>
                <c:pt idx="41">
                  <c:v>4150311.5953097651</c:v>
                </c:pt>
                <c:pt idx="42">
                  <c:v>5371917.0800796188</c:v>
                </c:pt>
                <c:pt idx="43">
                  <c:v>6953090.7385032894</c:v>
                </c:pt>
                <c:pt idx="44">
                  <c:v>8999668.1067801733</c:v>
                </c:pt>
                <c:pt idx="45">
                  <c:v>11648636.423466388</c:v>
                </c:pt>
                <c:pt idx="46">
                  <c:v>15077303.84233626</c:v>
                </c:pt>
                <c:pt idx="47">
                  <c:v>19515167.517476745</c:v>
                </c:pt>
                <c:pt idx="48">
                  <c:v>25259274.948468987</c:v>
                </c:pt>
                <c:pt idx="49">
                  <c:v>32694106.794162355</c:v>
                </c:pt>
                <c:pt idx="50">
                  <c:v>42317312.007123999</c:v>
                </c:pt>
                <c:pt idx="51">
                  <c:v>54773017.864737213</c:v>
                </c:pt>
                <c:pt idx="52">
                  <c:v>70894944.497083515</c:v>
                </c:pt>
                <c:pt idx="53">
                  <c:v>91762209.773735031</c:v>
                </c:pt>
                <c:pt idx="54">
                  <c:v>118771559.83816798</c:v>
                </c:pt>
                <c:pt idx="55">
                  <c:v>153730860.02588022</c:v>
                </c:pt>
                <c:pt idx="56">
                  <c:v>198980103.96174073</c:v>
                </c:pt>
                <c:pt idx="57">
                  <c:v>257548040.55581132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D6-40AF-AEA3-9455763AF621}"/>
            </c:ext>
          </c:extLst>
        </c:ser>
        <c:ser>
          <c:idx val="1"/>
          <c:order val="4"/>
          <c:tx>
            <c:strRef>
              <c:f>Projections!$F$5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Projections!$G$4:$BL$4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cat>
          <c:val>
            <c:numRef>
              <c:f>Projections!$G$5:$BL$5</c:f>
              <c:numCache>
                <c:formatCode>_-* #,##0_-;\-* #,##0_-;_-* "-"??_-;_-@_-</c:formatCode>
                <c:ptCount val="5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0AF-AEA3-9455763AF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9211696"/>
        <c:axId val="605234544"/>
      </c:lineChart>
      <c:dateAx>
        <c:axId val="1119211696"/>
        <c:scaling>
          <c:orientation val="minMax"/>
          <c:max val="1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/>
                  <a:t>Days since 100th infection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605234544"/>
        <c:crosses val="autoZero"/>
        <c:auto val="0"/>
        <c:lblOffset val="100"/>
        <c:baseTimeUnit val="days"/>
      </c:dateAx>
      <c:valAx>
        <c:axId val="605234544"/>
        <c:scaling>
          <c:orientation val="minMax"/>
          <c:max val="6610.4315828434837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1192116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7455703062714432E-2"/>
          <c:y val="4.3672707702027601E-2"/>
          <c:w val="0.42306424196975378"/>
          <c:h val="0.323197181127803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Projections!$B$22</c:f>
          <c:strCache>
            <c:ptCount val="1"/>
            <c:pt idx="0">
              <c:v>United Kingdom critically ill projections based on 4.7% of people requiring critical care</c:v>
            </c:pt>
          </c:strCache>
        </c:strRef>
      </c:tx>
      <c:layout>
        <c:manualLayout>
          <c:xMode val="edge"/>
          <c:yMode val="edge"/>
          <c:x val="9.1887275832621684E-2"/>
          <c:y val="6.0272536687631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148008185569457E-2"/>
          <c:y val="1.6797693920335428E-2"/>
          <c:w val="0.91241014813370358"/>
          <c:h val="0.82916914277224774"/>
        </c:manualLayout>
      </c:layout>
      <c:lineChart>
        <c:grouping val="standard"/>
        <c:varyColors val="0"/>
        <c:ser>
          <c:idx val="0"/>
          <c:order val="0"/>
          <c:tx>
            <c:strRef>
              <c:f>Projections!$F$10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Projections!$G$3:$BL$3</c:f>
              <c:numCache>
                <c:formatCode>m/d/yyyy</c:formatCode>
                <c:ptCount val="58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</c:numCache>
            </c:numRef>
          </c:cat>
          <c:val>
            <c:numRef>
              <c:f>Projections!$G$10:$AT$10</c:f>
              <c:numCache>
                <c:formatCode>_-* #,##0_-;\-* #,##0_-;_-* "-"??_-;_-@_-</c:formatCode>
                <c:ptCount val="4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9-4BAA-BC65-E55FE70894DF}"/>
            </c:ext>
          </c:extLst>
        </c:ser>
        <c:ser>
          <c:idx val="1"/>
          <c:order val="1"/>
          <c:tx>
            <c:strRef>
              <c:f>Projections!$F$11</c:f>
              <c:strCache>
                <c:ptCount val="1"/>
                <c:pt idx="0">
                  <c:v>Critically Ill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Projections!$G$3:$BL$3</c:f>
              <c:numCache>
                <c:formatCode>m/d/yyyy</c:formatCode>
                <c:ptCount val="58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</c:numCache>
            </c:numRef>
          </c:cat>
          <c:val>
            <c:numRef>
              <c:f>Projections!$G$11:$AT$11</c:f>
              <c:numCache>
                <c:formatCode>_-* #,##0_-;\-* #,##0_-;_-* "-"??_-;_-@_-</c:formatCode>
                <c:ptCount val="40"/>
                <c:pt idx="0">
                  <c:v>5.452</c:v>
                </c:pt>
                <c:pt idx="1">
                  <c:v>7.7080000000000002</c:v>
                </c:pt>
                <c:pt idx="2">
                  <c:v>9.7289999999999992</c:v>
                </c:pt>
                <c:pt idx="3">
                  <c:v>12.878</c:v>
                </c:pt>
                <c:pt idx="4">
                  <c:v>15.134</c:v>
                </c:pt>
                <c:pt idx="5">
                  <c:v>18.048000000000002</c:v>
                </c:pt>
                <c:pt idx="6">
                  <c:v>21.573</c:v>
                </c:pt>
                <c:pt idx="7">
                  <c:v>22.418999999999997</c:v>
                </c:pt>
                <c:pt idx="8">
                  <c:v>29.939</c:v>
                </c:pt>
                <c:pt idx="9">
                  <c:v>43.992000000000004</c:v>
                </c:pt>
                <c:pt idx="10">
                  <c:v>52.686999999999998</c:v>
                </c:pt>
                <c:pt idx="11">
                  <c:v>69.729445856318279</c:v>
                </c:pt>
                <c:pt idx="12">
                  <c:v>91.794209145249226</c:v>
                </c:pt>
                <c:pt idx="13">
                  <c:v>120.60023829079915</c:v>
                </c:pt>
                <c:pt idx="14">
                  <c:v>161.60160413190988</c:v>
                </c:pt>
                <c:pt idx="15">
                  <c:v>208.24635156250008</c:v>
                </c:pt>
                <c:pt idx="16">
                  <c:v>264.30098689990638</c:v>
                </c:pt>
                <c:pt idx="17">
                  <c:v>346.34915041047583</c:v>
                </c:pt>
                <c:pt idx="18">
                  <c:v>446.75927137197573</c:v>
                </c:pt>
                <c:pt idx="19">
                  <c:v>576.71814180270485</c:v>
                </c:pt>
                <c:pt idx="20">
                  <c:v>744.68248418234589</c:v>
                </c:pt>
                <c:pt idx="21">
                  <c:v>958.3690123404067</c:v>
                </c:pt>
                <c:pt idx="22">
                  <c:v>1241.3771636005572</c:v>
                </c:pt>
                <c:pt idx="23">
                  <c:v>1612.0056811560059</c:v>
                </c:pt>
                <c:pt idx="24">
                  <c:v>2082.2308745176392</c:v>
                </c:pt>
                <c:pt idx="25">
                  <c:v>2696.6506188624971</c:v>
                </c:pt>
                <c:pt idx="26">
                  <c:v>3491.9251133506336</c:v>
                </c:pt>
                <c:pt idx="27">
                  <c:v>4521.5279419959497</c:v>
                </c:pt>
                <c:pt idx="28">
                  <c:v>5857.9013052064638</c:v>
                </c:pt>
                <c:pt idx="29">
                  <c:v>7581.1987082086143</c:v>
                </c:pt>
                <c:pt idx="30">
                  <c:v>9807.4130607114184</c:v>
                </c:pt>
                <c:pt idx="31">
                  <c:v>12698.387200844101</c:v>
                </c:pt>
                <c:pt idx="32">
                  <c:v>16434.504444988343</c:v>
                </c:pt>
                <c:pt idx="33">
                  <c:v>21270.306899612617</c:v>
                </c:pt>
                <c:pt idx="34">
                  <c:v>27529.235967310815</c:v>
                </c:pt>
                <c:pt idx="35">
                  <c:v>35626.705842983807</c:v>
                </c:pt>
                <c:pt idx="36">
                  <c:v>46114.015393691479</c:v>
                </c:pt>
                <c:pt idx="37">
                  <c:v>59692.486194684243</c:v>
                </c:pt>
                <c:pt idx="38">
                  <c:v>77258.158783748979</c:v>
                </c:pt>
                <c:pt idx="39">
                  <c:v>99999.911319290171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B9-4BAA-BC65-E55FE7089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9219360"/>
        <c:axId val="973158368"/>
      </c:lineChart>
      <c:dateAx>
        <c:axId val="120921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973158368"/>
        <c:crosses val="autoZero"/>
        <c:auto val="0"/>
        <c:lblOffset val="100"/>
        <c:baseTimeUnit val="days"/>
        <c:majorUnit val="3"/>
        <c:majorTimeUnit val="days"/>
        <c:minorUnit val="3"/>
        <c:minorTimeUnit val="days"/>
      </c:dateAx>
      <c:valAx>
        <c:axId val="973158368"/>
        <c:scaling>
          <c:orientation val="minMax"/>
          <c:max val="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2092193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587184607901818"/>
          <c:y val="0.61820824873305935"/>
          <c:w val="0.28304127974609494"/>
          <c:h val="4.89825269482824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5542965665876E-2"/>
          <c:y val="4.0204678362573097E-2"/>
          <c:w val="0.72780846534149513"/>
          <c:h val="0.85166300298134812"/>
        </c:manualLayout>
      </c:layout>
      <c:lineChart>
        <c:grouping val="standard"/>
        <c:varyColors val="0"/>
        <c:ser>
          <c:idx val="1"/>
          <c:order val="0"/>
          <c:tx>
            <c:strRef>
              <c:f>DaysSince100!$H$2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DaysSince100!$I$2:$CU$2</c:f>
              <c:numCache>
                <c:formatCode>_-* #,##0_-;\-* #,##0_-;_-* "-"??_-;_-@_-</c:formatCode>
                <c:ptCount val="91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DaysSince100!$H$3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DaysSince100!$I$3:$CU$3</c:f>
              <c:numCache>
                <c:formatCode>_-* #,##0_-;\-* #,##0_-;_-* "-"??_-;_-@_-</c:formatCode>
                <c:ptCount val="91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DaysSince100!$H$4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DaysSince100!$I$4:$CU$4</c:f>
              <c:numCache>
                <c:formatCode>_-* #,##0_-;\-* #,##0_-;_-* "-"??_-;_-@_-</c:formatCode>
                <c:ptCount val="91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DaysSince100!$H$5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DaysSince100!$I$5:$CU$5</c:f>
              <c:numCache>
                <c:formatCode>General</c:formatCode>
                <c:ptCount val="91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DaysSince100!$H$6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70AD4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DaysSince100!$H$7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DaysSince100!$I$7:$AG$7</c:f>
              <c:numCache>
                <c:formatCode>General</c:formatCode>
                <c:ptCount val="25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DaysSince100!$H$8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ED7D31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DaysSince100!$I$8:$AO$8</c:f>
              <c:numCache>
                <c:formatCode>General</c:formatCode>
                <c:ptCount val="33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593</c:v>
                </c:pt>
                <c:pt idx="8">
                  <c:v>801</c:v>
                </c:pt>
                <c:pt idx="9">
                  <c:v>1143</c:v>
                </c:pt>
                <c:pt idx="10">
                  <c:v>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DaysSince100!$H$9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00206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DaysSince100!$I$9:$S$9</c:f>
              <c:numCache>
                <c:formatCode>General</c:formatCode>
                <c:ptCount val="11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DaysSince100!$H$10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0070C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DaysSince100!$I$10:$U$10</c:f>
              <c:numCache>
                <c:formatCode>General</c:formatCode>
                <c:ptCount val="13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DaysSince100!$H$11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DaysSince100!$I$11:$U$11</c:f>
              <c:numCache>
                <c:formatCode>General</c:formatCode>
                <c:ptCount val="13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DaysSince100!$H$12</c:f>
              <c:strCache>
                <c:ptCount val="1"/>
                <c:pt idx="0">
                  <c:v>Germany</c:v>
                </c:pt>
              </c:strCache>
            </c:strRef>
          </c:tx>
          <c:spPr>
            <a:ln w="25400" cap="rnd" cmpd="sng" algn="ctr">
              <a:solidFill>
                <a:srgbClr val="FF0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DaysSince100!$I$12:$Q$12</c:f>
              <c:numCache>
                <c:formatCode>General</c:formatCode>
                <c:ptCount val="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DaysSince100!$H$13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DaysSince100!$I$13:$M$13</c:f>
              <c:numCache>
                <c:formatCode>General</c:formatCode>
                <c:ptCount val="5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DaysSince100!$H$14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DaysSince100!$I$14:$K$14</c:f>
              <c:numCache>
                <c:formatCode>General</c:formatCode>
                <c:ptCount val="3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DaysSince100!$H$15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DaysSince100!$I$15:$K$15</c:f>
              <c:numCache>
                <c:formatCode>General</c:formatCode>
                <c:ptCount val="3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DaysSince100!$H$16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DaysSince100!$H$17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DaysSince100!$I$17:$K$17</c:f>
              <c:numCache>
                <c:formatCode>General</c:formatCode>
                <c:ptCount val="3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DaysSince100!$H$18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DaysSince100!$I$18:$M$18</c:f>
              <c:numCache>
                <c:formatCode>General</c:formatCode>
                <c:ptCount val="5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DaysSince100!$H$19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DaysSince100!$I$19:$AM$19</c:f>
              <c:numCache>
                <c:formatCode>General</c:formatCode>
                <c:ptCount val="31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DaysSince100!$H$21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DaysSince100!$I$21:$K$21</c:f>
              <c:numCache>
                <c:formatCode>General</c:formatCode>
                <c:ptCount val="3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DaysSince100!$H$22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8"/>
          <c:order val="20"/>
          <c:tx>
            <c:strRef>
              <c:f>DaysSince100!$H$23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939-447C-95C3-9E180202C83B}"/>
            </c:ext>
          </c:extLst>
        </c:ser>
        <c:ser>
          <c:idx val="29"/>
          <c:order val="21"/>
          <c:tx>
            <c:strRef>
              <c:f>DaysSince100!$H$24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2"/>
          <c:tx>
            <c:strRef>
              <c:f>DaysSince100!$H$25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DaysSince100!$I$25:$W$25</c:f>
              <c:numCache>
                <c:formatCode>General</c:formatCode>
                <c:ptCount val="15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3"/>
          <c:tx>
            <c:strRef>
              <c:f>DaysSince100!$H$26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4"/>
          <c:tx>
            <c:strRef>
              <c:f>DaysSince100!$H$27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5"/>
          <c:tx>
            <c:strRef>
              <c:f>DaysSince100!$H$28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6"/>
          <c:tx>
            <c:strRef>
              <c:f>DaysSince100!$H$29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7"/>
          <c:tx>
            <c:strRef>
              <c:f>DaysSince100!$H$30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8"/>
          <c:tx>
            <c:strRef>
              <c:f>DaysSince100!$H$31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9"/>
          <c:tx>
            <c:strRef>
              <c:f>DaysSince100!$H$32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30"/>
          <c:tx>
            <c:strRef>
              <c:f>DaysSince100!$H$33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1"/>
          <c:tx>
            <c:strRef>
              <c:f>DaysSince100!$H$34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2"/>
          <c:tx>
            <c:strRef>
              <c:f>DaysSince100!$H$35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3"/>
          <c:tx>
            <c:strRef>
              <c:f>DaysSince100!$H$36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4"/>
          <c:tx>
            <c:strRef>
              <c:f>DaysSince100!$H$37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5"/>
          <c:tx>
            <c:strRef>
              <c:f>DaysSince100!$H$38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6"/>
          <c:tx>
            <c:strRef>
              <c:f>DaysSince100!$H$39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7"/>
          <c:tx>
            <c:strRef>
              <c:f>DaysSince100!$H$40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9"/>
          <c:tx>
            <c:strRef>
              <c:f>DaysSince100!$H$41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40"/>
          <c:tx>
            <c:strRef>
              <c:f>DaysSince100!$H$42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1"/>
          <c:tx>
            <c:strRef>
              <c:f>DaysSince100!$H$43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2"/>
          <c:tx>
            <c:strRef>
              <c:f>DaysSince100!$H$44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3"/>
          <c:tx>
            <c:strRef>
              <c:f>DaysSince100!$H$45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4"/>
          <c:tx>
            <c:strRef>
              <c:f>DaysSince100!$H$46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5"/>
          <c:tx>
            <c:strRef>
              <c:f>DaysSince100!$H$47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6"/>
          <c:tx>
            <c:strRef>
              <c:f>DaysSince100!$H$48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7"/>
          <c:tx>
            <c:strRef>
              <c:f>DaysSince100!$H$49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8"/>
          <c:tx>
            <c:strRef>
              <c:f>DaysSince100!$H$50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5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53"/>
          <c:order val="5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939-447C-95C3-9E180202C83B}"/>
            </c:ext>
          </c:extLst>
        </c:ser>
        <c:ser>
          <c:idx val="54"/>
          <c:order val="5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939-447C-95C3-9E180202C83B}"/>
            </c:ext>
          </c:extLst>
        </c:ser>
        <c:ser>
          <c:idx val="55"/>
          <c:order val="5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939-447C-95C3-9E180202C83B}"/>
            </c:ext>
          </c:extLst>
        </c:ser>
        <c:ser>
          <c:idx val="56"/>
          <c:order val="5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939-447C-95C3-9E180202C83B}"/>
            </c:ext>
          </c:extLst>
        </c:ser>
        <c:ser>
          <c:idx val="57"/>
          <c:order val="5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939-447C-95C3-9E180202C83B}"/>
            </c:ext>
          </c:extLst>
        </c:ser>
        <c:ser>
          <c:idx val="58"/>
          <c:order val="5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939-447C-95C3-9E180202C83B}"/>
            </c:ext>
          </c:extLst>
        </c:ser>
        <c:ser>
          <c:idx val="59"/>
          <c:order val="5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939-447C-95C3-9E180202C83B}"/>
            </c:ext>
          </c:extLst>
        </c:ser>
        <c:ser>
          <c:idx val="60"/>
          <c:order val="5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939-447C-95C3-9E180202C83B}"/>
            </c:ext>
          </c:extLst>
        </c:ser>
        <c:ser>
          <c:idx val="61"/>
          <c:order val="5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939-447C-95C3-9E180202C83B}"/>
            </c:ext>
          </c:extLst>
        </c:ser>
        <c:ser>
          <c:idx val="62"/>
          <c:order val="6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939-447C-95C3-9E180202C83B}"/>
            </c:ext>
          </c:extLst>
        </c:ser>
        <c:ser>
          <c:idx val="63"/>
          <c:order val="6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939-447C-95C3-9E180202C83B}"/>
            </c:ext>
          </c:extLst>
        </c:ser>
        <c:ser>
          <c:idx val="64"/>
          <c:order val="6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939-447C-95C3-9E180202C83B}"/>
            </c:ext>
          </c:extLst>
        </c:ser>
        <c:ser>
          <c:idx val="65"/>
          <c:order val="6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939-447C-95C3-9E180202C83B}"/>
            </c:ext>
          </c:extLst>
        </c:ser>
        <c:ser>
          <c:idx val="66"/>
          <c:order val="6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939-447C-95C3-9E180202C83B}"/>
            </c:ext>
          </c:extLst>
        </c:ser>
        <c:ser>
          <c:idx val="67"/>
          <c:order val="6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939-447C-95C3-9E180202C83B}"/>
            </c:ext>
          </c:extLst>
        </c:ser>
        <c:ser>
          <c:idx val="68"/>
          <c:order val="6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939-447C-95C3-9E180202C83B}"/>
            </c:ext>
          </c:extLst>
        </c:ser>
        <c:ser>
          <c:idx val="69"/>
          <c:order val="6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939-447C-95C3-9E180202C83B}"/>
            </c:ext>
          </c:extLst>
        </c:ser>
        <c:ser>
          <c:idx val="70"/>
          <c:order val="6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939-447C-95C3-9E180202C83B}"/>
            </c:ext>
          </c:extLst>
        </c:ser>
        <c:ser>
          <c:idx val="71"/>
          <c:order val="6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939-447C-95C3-9E180202C83B}"/>
            </c:ext>
          </c:extLst>
        </c:ser>
        <c:ser>
          <c:idx val="72"/>
          <c:order val="7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939-447C-95C3-9E180202C83B}"/>
            </c:ext>
          </c:extLst>
        </c:ser>
        <c:ser>
          <c:idx val="73"/>
          <c:order val="7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939-447C-95C3-9E180202C83B}"/>
            </c:ext>
          </c:extLst>
        </c:ser>
        <c:ser>
          <c:idx val="74"/>
          <c:order val="7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939-447C-95C3-9E180202C83B}"/>
            </c:ext>
          </c:extLst>
        </c:ser>
        <c:ser>
          <c:idx val="75"/>
          <c:order val="7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939-447C-95C3-9E180202C83B}"/>
            </c:ext>
          </c:extLst>
        </c:ser>
        <c:ser>
          <c:idx val="76"/>
          <c:order val="7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939-447C-95C3-9E180202C83B}"/>
            </c:ext>
          </c:extLst>
        </c:ser>
        <c:ser>
          <c:idx val="77"/>
          <c:order val="7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939-447C-95C3-9E180202C83B}"/>
            </c:ext>
          </c:extLst>
        </c:ser>
        <c:ser>
          <c:idx val="78"/>
          <c:order val="7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939-447C-95C3-9E180202C83B}"/>
            </c:ext>
          </c:extLst>
        </c:ser>
        <c:ser>
          <c:idx val="79"/>
          <c:order val="7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939-447C-95C3-9E180202C83B}"/>
            </c:ext>
          </c:extLst>
        </c:ser>
        <c:ser>
          <c:idx val="80"/>
          <c:order val="7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939-447C-95C3-9E180202C83B}"/>
            </c:ext>
          </c:extLst>
        </c:ser>
        <c:ser>
          <c:idx val="81"/>
          <c:order val="7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939-447C-95C3-9E180202C83B}"/>
            </c:ext>
          </c:extLst>
        </c:ser>
        <c:ser>
          <c:idx val="82"/>
          <c:order val="8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939-447C-95C3-9E180202C83B}"/>
            </c:ext>
          </c:extLst>
        </c:ser>
        <c:ser>
          <c:idx val="83"/>
          <c:order val="8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939-447C-95C3-9E180202C83B}"/>
            </c:ext>
          </c:extLst>
        </c:ser>
        <c:ser>
          <c:idx val="84"/>
          <c:order val="8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939-447C-95C3-9E180202C83B}"/>
            </c:ext>
          </c:extLst>
        </c:ser>
        <c:ser>
          <c:idx val="85"/>
          <c:order val="8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939-447C-95C3-9E180202C83B}"/>
            </c:ext>
          </c:extLst>
        </c:ser>
        <c:ser>
          <c:idx val="86"/>
          <c:order val="8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939-447C-95C3-9E180202C83B}"/>
            </c:ext>
          </c:extLst>
        </c:ser>
        <c:ser>
          <c:idx val="87"/>
          <c:order val="8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939-447C-95C3-9E180202C83B}"/>
            </c:ext>
          </c:extLst>
        </c:ser>
        <c:ser>
          <c:idx val="88"/>
          <c:order val="8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939-447C-95C3-9E180202C83B}"/>
            </c:ext>
          </c:extLst>
        </c:ser>
        <c:ser>
          <c:idx val="89"/>
          <c:order val="8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939-447C-95C3-9E180202C83B}"/>
            </c:ext>
          </c:extLst>
        </c:ser>
        <c:ser>
          <c:idx val="90"/>
          <c:order val="8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939-447C-95C3-9E180202C83B}"/>
            </c:ext>
          </c:extLst>
        </c:ser>
        <c:ser>
          <c:idx val="91"/>
          <c:order val="8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939-447C-95C3-9E180202C83B}"/>
            </c:ext>
          </c:extLst>
        </c:ser>
        <c:ser>
          <c:idx val="92"/>
          <c:order val="9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939-447C-95C3-9E180202C83B}"/>
            </c:ext>
          </c:extLst>
        </c:ser>
        <c:ser>
          <c:idx val="93"/>
          <c:order val="9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939-447C-95C3-9E180202C83B}"/>
            </c:ext>
          </c:extLst>
        </c:ser>
        <c:ser>
          <c:idx val="94"/>
          <c:order val="9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939-447C-95C3-9E180202C83B}"/>
            </c:ext>
          </c:extLst>
        </c:ser>
        <c:ser>
          <c:idx val="95"/>
          <c:order val="9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939-447C-95C3-9E180202C83B}"/>
            </c:ext>
          </c:extLst>
        </c:ser>
        <c:ser>
          <c:idx val="96"/>
          <c:order val="9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4939-447C-95C3-9E180202C83B}"/>
            </c:ext>
          </c:extLst>
        </c:ser>
        <c:ser>
          <c:idx val="97"/>
          <c:order val="9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4939-447C-95C3-9E180202C83B}"/>
            </c:ext>
          </c:extLst>
        </c:ser>
        <c:ser>
          <c:idx val="98"/>
          <c:order val="9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4939-447C-95C3-9E180202C83B}"/>
            </c:ext>
          </c:extLst>
        </c:ser>
        <c:ser>
          <c:idx val="99"/>
          <c:order val="9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4939-447C-95C3-9E180202C83B}"/>
            </c:ext>
          </c:extLst>
        </c:ser>
        <c:ser>
          <c:idx val="100"/>
          <c:order val="9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4939-447C-95C3-9E180202C83B}"/>
            </c:ext>
          </c:extLst>
        </c:ser>
        <c:ser>
          <c:idx val="101"/>
          <c:order val="9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4939-447C-95C3-9E180202C83B}"/>
            </c:ext>
          </c:extLst>
        </c:ser>
        <c:ser>
          <c:idx val="102"/>
          <c:order val="10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4939-447C-95C3-9E180202C83B}"/>
            </c:ext>
          </c:extLst>
        </c:ser>
        <c:ser>
          <c:idx val="103"/>
          <c:order val="10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4939-447C-95C3-9E180202C83B}"/>
            </c:ext>
          </c:extLst>
        </c:ser>
        <c:ser>
          <c:idx val="104"/>
          <c:order val="10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4939-447C-95C3-9E180202C83B}"/>
            </c:ext>
          </c:extLst>
        </c:ser>
        <c:ser>
          <c:idx val="105"/>
          <c:order val="10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4939-447C-95C3-9E180202C83B}"/>
            </c:ext>
          </c:extLst>
        </c:ser>
        <c:ser>
          <c:idx val="106"/>
          <c:order val="10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4939-447C-95C3-9E180202C83B}"/>
            </c:ext>
          </c:extLst>
        </c:ser>
        <c:ser>
          <c:idx val="107"/>
          <c:order val="10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4939-447C-95C3-9E180202C83B}"/>
            </c:ext>
          </c:extLst>
        </c:ser>
        <c:ser>
          <c:idx val="108"/>
          <c:order val="10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4939-447C-95C3-9E180202C83B}"/>
            </c:ext>
          </c:extLst>
        </c:ser>
        <c:ser>
          <c:idx val="109"/>
          <c:order val="10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4939-447C-95C3-9E180202C83B}"/>
            </c:ext>
          </c:extLst>
        </c:ser>
        <c:ser>
          <c:idx val="110"/>
          <c:order val="10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4939-447C-95C3-9E180202C83B}"/>
            </c:ext>
          </c:extLst>
        </c:ser>
        <c:ser>
          <c:idx val="111"/>
          <c:order val="10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4939-447C-95C3-9E180202C83B}"/>
            </c:ext>
          </c:extLst>
        </c:ser>
        <c:ser>
          <c:idx val="112"/>
          <c:order val="11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4939-447C-95C3-9E180202C83B}"/>
            </c:ext>
          </c:extLst>
        </c:ser>
        <c:ser>
          <c:idx val="113"/>
          <c:order val="11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4939-447C-95C3-9E180202C83B}"/>
            </c:ext>
          </c:extLst>
        </c:ser>
        <c:ser>
          <c:idx val="114"/>
          <c:order val="11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4939-447C-95C3-9E180202C83B}"/>
            </c:ext>
          </c:extLst>
        </c:ser>
        <c:ser>
          <c:idx val="115"/>
          <c:order val="11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4939-447C-95C3-9E180202C83B}"/>
            </c:ext>
          </c:extLst>
        </c:ser>
        <c:ser>
          <c:idx val="116"/>
          <c:order val="11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4939-447C-95C3-9E180202C83B}"/>
            </c:ext>
          </c:extLst>
        </c:ser>
        <c:ser>
          <c:idx val="117"/>
          <c:order val="11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4939-447C-95C3-9E180202C83B}"/>
            </c:ext>
          </c:extLst>
        </c:ser>
        <c:ser>
          <c:idx val="118"/>
          <c:order val="11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4939-447C-95C3-9E180202C83B}"/>
            </c:ext>
          </c:extLst>
        </c:ser>
        <c:ser>
          <c:idx val="119"/>
          <c:order val="117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4939-447C-95C3-9E180202C83B}"/>
            </c:ext>
          </c:extLst>
        </c:ser>
        <c:ser>
          <c:idx val="120"/>
          <c:order val="11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4939-447C-95C3-9E180202C83B}"/>
            </c:ext>
          </c:extLst>
        </c:ser>
        <c:ser>
          <c:idx val="121"/>
          <c:order val="11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4939-447C-95C3-9E180202C83B}"/>
            </c:ext>
          </c:extLst>
        </c:ser>
        <c:ser>
          <c:idx val="122"/>
          <c:order val="120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4939-447C-95C3-9E180202C83B}"/>
            </c:ext>
          </c:extLst>
        </c:ser>
        <c:ser>
          <c:idx val="123"/>
          <c:order val="121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4939-447C-95C3-9E180202C83B}"/>
            </c:ext>
          </c:extLst>
        </c:ser>
        <c:ser>
          <c:idx val="124"/>
          <c:order val="122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4939-447C-95C3-9E180202C83B}"/>
            </c:ext>
          </c:extLst>
        </c:ser>
        <c:ser>
          <c:idx val="125"/>
          <c:order val="123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4939-447C-95C3-9E180202C83B}"/>
            </c:ext>
          </c:extLst>
        </c:ser>
        <c:ser>
          <c:idx val="126"/>
          <c:order val="124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4939-447C-95C3-9E180202C83B}"/>
            </c:ext>
          </c:extLst>
        </c:ser>
        <c:ser>
          <c:idx val="127"/>
          <c:order val="125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4939-447C-95C3-9E180202C83B}"/>
            </c:ext>
          </c:extLst>
        </c:ser>
        <c:ser>
          <c:idx val="24"/>
          <c:order val="126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DaysSince100!$I$1:$CU$1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B9-4123-8BEB-94C99B39D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3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4.87225562831234E-2"/>
          <c:w val="0.18334793943337185"/>
          <c:h val="0.874305547478647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91440</xdr:rowOff>
    </xdr:from>
    <xdr:to>
      <xdr:col>16</xdr:col>
      <xdr:colOff>556260</xdr:colOff>
      <xdr:row>40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1AE7BB-6506-4063-BE59-B976BBFA6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76200</xdr:colOff>
      <xdr:row>22</xdr:row>
      <xdr:rowOff>30480</xdr:rowOff>
    </xdr:from>
    <xdr:ext cx="1417320" cy="264560"/>
    <xdr:sp macro="[0]!Sheet5.MinMax2" textlink="">
      <xdr:nvSpPr>
        <xdr:cNvPr id="4" name="TextBox 3">
          <a:extLst>
            <a:ext uri="{FF2B5EF4-FFF2-40B4-BE49-F238E27FC236}">
              <a16:creationId xmlns:a16="http://schemas.microsoft.com/office/drawing/2014/main" id="{5FBA328C-7E87-44E8-B2E8-AB87C20D3C2C}"/>
            </a:ext>
          </a:extLst>
        </xdr:cNvPr>
        <xdr:cNvSpPr txBox="1"/>
      </xdr:nvSpPr>
      <xdr:spPr>
        <a:xfrm>
          <a:off x="685800" y="3870960"/>
          <a:ext cx="141732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4</xdr:col>
      <xdr:colOff>243840</xdr:colOff>
      <xdr:row>41</xdr:row>
      <xdr:rowOff>45720</xdr:rowOff>
    </xdr:from>
    <xdr:to>
      <xdr:col>16</xdr:col>
      <xdr:colOff>518160</xdr:colOff>
      <xdr:row>67</xdr:row>
      <xdr:rowOff>137160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CF71C1-1742-40A6-9B85-F61A2D015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22860</xdr:rowOff>
    </xdr:from>
    <xdr:to>
      <xdr:col>15</xdr:col>
      <xdr:colOff>502920</xdr:colOff>
      <xdr:row>29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82296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RUN</a:t>
          </a:r>
        </a:p>
      </xdr:txBody>
    </xdr:sp>
    <xdr:clientData/>
  </xdr:oneCellAnchor>
  <xdr:oneCellAnchor>
    <xdr:from>
      <xdr:col>20</xdr:col>
      <xdr:colOff>137160</xdr:colOff>
      <xdr:row>6</xdr:row>
      <xdr:rowOff>7620</xdr:rowOff>
    </xdr:from>
    <xdr:ext cx="822960" cy="264560"/>
    <xdr:sp macro="[0]!Macro" textlink="">
      <xdr:nvSpPr>
        <xdr:cNvPr id="4" name="TextBox 3">
          <a:extLst>
            <a:ext uri="{FF2B5EF4-FFF2-40B4-BE49-F238E27FC236}">
              <a16:creationId xmlns:a16="http://schemas.microsoft.com/office/drawing/2014/main" id="{749CAB7E-3D04-40FF-AB14-4D2D57C87734}"/>
            </a:ext>
          </a:extLst>
        </xdr:cNvPr>
        <xdr:cNvSpPr txBox="1"/>
      </xdr:nvSpPr>
      <xdr:spPr>
        <a:xfrm>
          <a:off x="12496800" y="110490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BL30"/>
  <sheetViews>
    <sheetView tabSelected="1" topLeftCell="A3" workbookViewId="0">
      <selection activeCell="B28" sqref="B28:B30"/>
    </sheetView>
  </sheetViews>
  <sheetFormatPr defaultColWidth="8.77734375" defaultRowHeight="14.4" x14ac:dyDescent="0.3"/>
  <cols>
    <col min="1" max="1" width="8.88671875" customWidth="1"/>
    <col min="2" max="2" width="19" customWidth="1"/>
    <col min="3" max="3" width="7.77734375" bestFit="1" customWidth="1"/>
    <col min="4" max="4" width="8.88671875" customWidth="1"/>
    <col min="5" max="5" width="4" bestFit="1" customWidth="1"/>
    <col min="6" max="6" width="16.5546875" customWidth="1"/>
    <col min="7" max="43" width="10.5546875" bestFit="1" customWidth="1"/>
    <col min="44" max="50" width="11.21875" bestFit="1" customWidth="1"/>
    <col min="51" max="57" width="12.21875" bestFit="1" customWidth="1"/>
    <col min="58" max="63" width="13.77734375" bestFit="1" customWidth="1"/>
    <col min="64" max="64" width="14.77734375" bestFit="1" customWidth="1"/>
  </cols>
  <sheetData>
    <row r="2" spans="2:64" x14ac:dyDescent="0.3">
      <c r="B2" t="s">
        <v>377</v>
      </c>
    </row>
    <row r="3" spans="2:64" x14ac:dyDescent="0.3">
      <c r="G3" s="20">
        <f t="shared" ref="G3:O3" si="0">H3-1</f>
        <v>43895</v>
      </c>
      <c r="H3" s="20">
        <f t="shared" si="0"/>
        <v>43896</v>
      </c>
      <c r="I3" s="20">
        <f t="shared" si="0"/>
        <v>43897</v>
      </c>
      <c r="J3" s="20">
        <f t="shared" si="0"/>
        <v>43898</v>
      </c>
      <c r="K3" s="20">
        <f t="shared" si="0"/>
        <v>43899</v>
      </c>
      <c r="L3" s="20">
        <f t="shared" si="0"/>
        <v>43900</v>
      </c>
      <c r="M3" s="20">
        <f t="shared" si="0"/>
        <v>43901</v>
      </c>
      <c r="N3" s="20">
        <f t="shared" si="0"/>
        <v>43902</v>
      </c>
      <c r="O3" s="20">
        <f t="shared" si="0"/>
        <v>43903</v>
      </c>
      <c r="P3" s="20">
        <f>Q3-1</f>
        <v>43904</v>
      </c>
      <c r="Q3" s="20">
        <v>43905</v>
      </c>
      <c r="R3" s="20">
        <f>Q3+1</f>
        <v>43906</v>
      </c>
      <c r="S3" s="20">
        <f t="shared" ref="S3:BL3" si="1">R3+1</f>
        <v>43907</v>
      </c>
      <c r="T3" s="20">
        <f t="shared" si="1"/>
        <v>43908</v>
      </c>
      <c r="U3" s="20">
        <f t="shared" si="1"/>
        <v>43909</v>
      </c>
      <c r="V3" s="20">
        <f t="shared" si="1"/>
        <v>43910</v>
      </c>
      <c r="W3" s="20">
        <f t="shared" si="1"/>
        <v>43911</v>
      </c>
      <c r="X3" s="20">
        <f t="shared" si="1"/>
        <v>43912</v>
      </c>
      <c r="Y3" s="20">
        <f t="shared" si="1"/>
        <v>43913</v>
      </c>
      <c r="Z3" s="20">
        <f t="shared" si="1"/>
        <v>43914</v>
      </c>
      <c r="AA3" s="20">
        <f t="shared" si="1"/>
        <v>43915</v>
      </c>
      <c r="AB3" s="20">
        <f t="shared" si="1"/>
        <v>43916</v>
      </c>
      <c r="AC3" s="20">
        <f t="shared" si="1"/>
        <v>43917</v>
      </c>
      <c r="AD3" s="20">
        <f t="shared" si="1"/>
        <v>43918</v>
      </c>
      <c r="AE3" s="20">
        <f t="shared" si="1"/>
        <v>43919</v>
      </c>
      <c r="AF3" s="20">
        <f t="shared" si="1"/>
        <v>43920</v>
      </c>
      <c r="AG3" s="20">
        <f t="shared" si="1"/>
        <v>43921</v>
      </c>
      <c r="AH3" s="20">
        <f t="shared" si="1"/>
        <v>43922</v>
      </c>
      <c r="AI3" s="20">
        <f t="shared" si="1"/>
        <v>43923</v>
      </c>
      <c r="AJ3" s="20">
        <f t="shared" si="1"/>
        <v>43924</v>
      </c>
      <c r="AK3" s="20">
        <f t="shared" si="1"/>
        <v>43925</v>
      </c>
      <c r="AL3" s="20">
        <f t="shared" si="1"/>
        <v>43926</v>
      </c>
      <c r="AM3" s="20">
        <f t="shared" si="1"/>
        <v>43927</v>
      </c>
      <c r="AN3" s="20">
        <f t="shared" si="1"/>
        <v>43928</v>
      </c>
      <c r="AO3" s="20">
        <f t="shared" si="1"/>
        <v>43929</v>
      </c>
      <c r="AP3" s="20">
        <f t="shared" si="1"/>
        <v>43930</v>
      </c>
      <c r="AQ3" s="20">
        <f t="shared" si="1"/>
        <v>43931</v>
      </c>
      <c r="AR3" s="20">
        <f t="shared" si="1"/>
        <v>43932</v>
      </c>
      <c r="AS3" s="20">
        <f t="shared" si="1"/>
        <v>43933</v>
      </c>
      <c r="AT3" s="20">
        <f t="shared" si="1"/>
        <v>43934</v>
      </c>
      <c r="AU3" s="20">
        <f t="shared" si="1"/>
        <v>43935</v>
      </c>
      <c r="AV3" s="20">
        <f t="shared" si="1"/>
        <v>43936</v>
      </c>
      <c r="AW3" s="20">
        <f t="shared" si="1"/>
        <v>43937</v>
      </c>
      <c r="AX3" s="20">
        <f t="shared" si="1"/>
        <v>43938</v>
      </c>
      <c r="AY3" s="20">
        <f t="shared" si="1"/>
        <v>43939</v>
      </c>
      <c r="AZ3" s="20">
        <f t="shared" si="1"/>
        <v>43940</v>
      </c>
      <c r="BA3" s="20">
        <f t="shared" si="1"/>
        <v>43941</v>
      </c>
      <c r="BB3" s="20">
        <f t="shared" si="1"/>
        <v>43942</v>
      </c>
      <c r="BC3" s="20">
        <f t="shared" si="1"/>
        <v>43943</v>
      </c>
      <c r="BD3" s="20">
        <f t="shared" si="1"/>
        <v>43944</v>
      </c>
      <c r="BE3" s="20">
        <f t="shared" si="1"/>
        <v>43945</v>
      </c>
      <c r="BF3" s="20">
        <f t="shared" si="1"/>
        <v>43946</v>
      </c>
      <c r="BG3" s="20">
        <f t="shared" si="1"/>
        <v>43947</v>
      </c>
      <c r="BH3" s="20">
        <f t="shared" si="1"/>
        <v>43948</v>
      </c>
      <c r="BI3" s="20">
        <f t="shared" si="1"/>
        <v>43949</v>
      </c>
      <c r="BJ3" s="20">
        <f t="shared" si="1"/>
        <v>43950</v>
      </c>
      <c r="BK3" s="20">
        <f t="shared" si="1"/>
        <v>43951</v>
      </c>
      <c r="BL3" s="20">
        <f t="shared" si="1"/>
        <v>43952</v>
      </c>
    </row>
    <row r="4" spans="2:64" x14ac:dyDescent="0.3">
      <c r="B4" t="s">
        <v>482</v>
      </c>
      <c r="C4" s="6">
        <f>VLOOKUP(B2,DaysSince100!C:D,2,FALSE)</f>
        <v>1395</v>
      </c>
      <c r="G4">
        <v>0</v>
      </c>
      <c r="H4">
        <f>G4+1</f>
        <v>1</v>
      </c>
      <c r="I4">
        <f t="shared" ref="I4:BL4" si="2">H4+1</f>
        <v>2</v>
      </c>
      <c r="J4">
        <f t="shared" si="2"/>
        <v>3</v>
      </c>
      <c r="K4">
        <f t="shared" si="2"/>
        <v>4</v>
      </c>
      <c r="L4">
        <f t="shared" si="2"/>
        <v>5</v>
      </c>
      <c r="M4">
        <f t="shared" si="2"/>
        <v>6</v>
      </c>
      <c r="N4">
        <f t="shared" si="2"/>
        <v>7</v>
      </c>
      <c r="O4">
        <f t="shared" si="2"/>
        <v>8</v>
      </c>
      <c r="P4">
        <f t="shared" si="2"/>
        <v>9</v>
      </c>
      <c r="Q4">
        <f t="shared" si="2"/>
        <v>10</v>
      </c>
      <c r="R4">
        <f t="shared" si="2"/>
        <v>11</v>
      </c>
      <c r="S4">
        <f t="shared" si="2"/>
        <v>12</v>
      </c>
      <c r="T4">
        <f t="shared" si="2"/>
        <v>13</v>
      </c>
      <c r="U4">
        <f t="shared" si="2"/>
        <v>14</v>
      </c>
      <c r="V4">
        <f t="shared" si="2"/>
        <v>15</v>
      </c>
      <c r="W4">
        <f t="shared" si="2"/>
        <v>16</v>
      </c>
      <c r="X4">
        <f t="shared" si="2"/>
        <v>17</v>
      </c>
      <c r="Y4">
        <f t="shared" si="2"/>
        <v>18</v>
      </c>
      <c r="Z4">
        <f t="shared" si="2"/>
        <v>19</v>
      </c>
      <c r="AA4">
        <f t="shared" si="2"/>
        <v>20</v>
      </c>
      <c r="AB4">
        <f t="shared" si="2"/>
        <v>21</v>
      </c>
      <c r="AC4">
        <f t="shared" si="2"/>
        <v>22</v>
      </c>
      <c r="AD4">
        <f t="shared" si="2"/>
        <v>23</v>
      </c>
      <c r="AE4">
        <f t="shared" si="2"/>
        <v>24</v>
      </c>
      <c r="AF4">
        <f t="shared" si="2"/>
        <v>25</v>
      </c>
      <c r="AG4">
        <f t="shared" si="2"/>
        <v>26</v>
      </c>
      <c r="AH4">
        <f t="shared" si="2"/>
        <v>27</v>
      </c>
      <c r="AI4">
        <f t="shared" si="2"/>
        <v>28</v>
      </c>
      <c r="AJ4">
        <f t="shared" si="2"/>
        <v>29</v>
      </c>
      <c r="AK4">
        <f t="shared" si="2"/>
        <v>30</v>
      </c>
      <c r="AL4">
        <f t="shared" si="2"/>
        <v>31</v>
      </c>
      <c r="AM4">
        <f t="shared" si="2"/>
        <v>32</v>
      </c>
      <c r="AN4">
        <f t="shared" si="2"/>
        <v>33</v>
      </c>
      <c r="AO4">
        <f t="shared" si="2"/>
        <v>34</v>
      </c>
      <c r="AP4">
        <f t="shared" si="2"/>
        <v>35</v>
      </c>
      <c r="AQ4">
        <f t="shared" si="2"/>
        <v>36</v>
      </c>
      <c r="AR4">
        <f t="shared" si="2"/>
        <v>37</v>
      </c>
      <c r="AS4">
        <f t="shared" si="2"/>
        <v>38</v>
      </c>
      <c r="AT4">
        <f t="shared" si="2"/>
        <v>39</v>
      </c>
      <c r="AU4">
        <f t="shared" si="2"/>
        <v>40</v>
      </c>
      <c r="AV4">
        <f t="shared" si="2"/>
        <v>41</v>
      </c>
      <c r="AW4">
        <f t="shared" si="2"/>
        <v>42</v>
      </c>
      <c r="AX4">
        <f t="shared" si="2"/>
        <v>43</v>
      </c>
      <c r="AY4">
        <f t="shared" si="2"/>
        <v>44</v>
      </c>
      <c r="AZ4">
        <f t="shared" si="2"/>
        <v>45</v>
      </c>
      <c r="BA4">
        <f t="shared" si="2"/>
        <v>46</v>
      </c>
      <c r="BB4">
        <f t="shared" si="2"/>
        <v>47</v>
      </c>
      <c r="BC4">
        <f t="shared" si="2"/>
        <v>48</v>
      </c>
      <c r="BD4">
        <f t="shared" si="2"/>
        <v>49</v>
      </c>
      <c r="BE4">
        <f t="shared" si="2"/>
        <v>50</v>
      </c>
      <c r="BF4">
        <f t="shared" si="2"/>
        <v>51</v>
      </c>
      <c r="BG4">
        <f t="shared" si="2"/>
        <v>52</v>
      </c>
      <c r="BH4">
        <f t="shared" si="2"/>
        <v>53</v>
      </c>
      <c r="BI4">
        <f t="shared" si="2"/>
        <v>54</v>
      </c>
      <c r="BJ4">
        <f t="shared" si="2"/>
        <v>55</v>
      </c>
      <c r="BK4">
        <f t="shared" si="2"/>
        <v>56</v>
      </c>
      <c r="BL4">
        <f t="shared" si="2"/>
        <v>57</v>
      </c>
    </row>
    <row r="5" spans="2:64" x14ac:dyDescent="0.3">
      <c r="B5" t="s">
        <v>490</v>
      </c>
      <c r="C5" s="6">
        <f>COUNTIF(G5:BL5,"&gt;"&amp;0)</f>
        <v>11</v>
      </c>
      <c r="F5" t="s">
        <v>486</v>
      </c>
      <c r="G5" s="6">
        <f>VLOOKUP($B$2,DaysSince100!$H:$CU,Projections!G$4+2,FALSE)</f>
        <v>116</v>
      </c>
      <c r="H5" s="6">
        <f>VLOOKUP($B$2,DaysSince100!$H:$CU,Projections!H$4+2,FALSE)</f>
        <v>164</v>
      </c>
      <c r="I5" s="6">
        <f>VLOOKUP($B$2,DaysSince100!$H:$CU,Projections!I$4+2,FALSE)</f>
        <v>207</v>
      </c>
      <c r="J5" s="6">
        <f>VLOOKUP($B$2,DaysSince100!$H:$CU,Projections!J$4+2,FALSE)</f>
        <v>274</v>
      </c>
      <c r="K5" s="6">
        <f>VLOOKUP($B$2,DaysSince100!$H:$CU,Projections!K$4+2,FALSE)</f>
        <v>322</v>
      </c>
      <c r="L5" s="6">
        <f>VLOOKUP($B$2,DaysSince100!$H:$CU,Projections!L$4+2,FALSE)</f>
        <v>384</v>
      </c>
      <c r="M5" s="6">
        <f>VLOOKUP($B$2,DaysSince100!$H:$CU,Projections!M$4+2,FALSE)</f>
        <v>459</v>
      </c>
      <c r="N5" s="6">
        <f>VLOOKUP($B$2,DaysSince100!$H:$CU,Projections!N$4+2,FALSE)</f>
        <v>593</v>
      </c>
      <c r="O5" s="6">
        <f>VLOOKUP($B$2,DaysSince100!$H:$CU,Projections!O$4+2,FALSE)</f>
        <v>801</v>
      </c>
      <c r="P5" s="6">
        <f>VLOOKUP($B$2,DaysSince100!$H:$CU,Projections!P$4+2,FALSE)</f>
        <v>1143</v>
      </c>
      <c r="Q5" s="6">
        <f>VLOOKUP($B$2,DaysSince100!$H:$CU,Projections!Q$4+2,FALSE)</f>
        <v>1395</v>
      </c>
      <c r="R5" s="6" t="e">
        <f>IF(VLOOKUP($B$2,DaysSince100!$H:$CU,Projections!R$4+2,FALSE)=0,#N/A,VLOOKUP($B$2,DaysSince100!$H:$CU,Projections!R$4+2,FALSE))</f>
        <v>#N/A</v>
      </c>
      <c r="S5" s="6" t="e">
        <f>IF(VLOOKUP($B$2,DaysSince100!$H:$CU,Projections!S$4+2,FALSE)=0,#N/A,VLOOKUP($B$2,DaysSince100!$H:$CU,Projections!S$4+2,FALSE))</f>
        <v>#N/A</v>
      </c>
      <c r="T5" s="6" t="e">
        <f>IF(VLOOKUP($B$2,DaysSince100!$H:$CU,Projections!T$4+2,FALSE)=0,#N/A,VLOOKUP($B$2,DaysSince100!$H:$CU,Projections!T$4+2,FALSE))</f>
        <v>#N/A</v>
      </c>
      <c r="U5" s="6" t="e">
        <f>IF(VLOOKUP($B$2,DaysSince100!$H:$CU,Projections!U$4+2,FALSE)=0,#N/A,VLOOKUP($B$2,DaysSince100!$H:$CU,Projections!U$4+2,FALSE))</f>
        <v>#N/A</v>
      </c>
      <c r="V5" s="6" t="e">
        <f>IF(VLOOKUP($B$2,DaysSince100!$H:$CU,Projections!V$4+2,FALSE)=0,#N/A,VLOOKUP($B$2,DaysSince100!$H:$CU,Projections!V$4+2,FALSE))</f>
        <v>#N/A</v>
      </c>
      <c r="W5" s="6" t="e">
        <f>IF(VLOOKUP($B$2,DaysSince100!$H:$CU,Projections!W$4+2,FALSE)=0,#N/A,VLOOKUP($B$2,DaysSince100!$H:$CU,Projections!W$4+2,FALSE))</f>
        <v>#N/A</v>
      </c>
      <c r="X5" s="6" t="e">
        <f>IF(VLOOKUP($B$2,DaysSince100!$H:$CU,Projections!X$4+2,FALSE)=0,#N/A,VLOOKUP($B$2,DaysSince100!$H:$CU,Projections!X$4+2,FALSE))</f>
        <v>#N/A</v>
      </c>
      <c r="Y5" s="6" t="e">
        <f>IF(VLOOKUP($B$2,DaysSince100!$H:$CU,Projections!Y$4+2,FALSE)=0,#N/A,VLOOKUP($B$2,DaysSince100!$H:$CU,Projections!Y$4+2,FALSE))</f>
        <v>#N/A</v>
      </c>
      <c r="Z5" s="6" t="e">
        <f>IF(VLOOKUP($B$2,DaysSince100!$H:$CU,Projections!Z$4+2,FALSE)=0,#N/A,VLOOKUP($B$2,DaysSince100!$H:$CU,Projections!Z$4+2,FALSE))</f>
        <v>#N/A</v>
      </c>
      <c r="AA5" s="6" t="e">
        <f>IF(VLOOKUP($B$2,DaysSince100!$H:$CU,Projections!AA$4+2,FALSE)=0,#N/A,VLOOKUP($B$2,DaysSince100!$H:$CU,Projections!AA$4+2,FALSE))</f>
        <v>#N/A</v>
      </c>
      <c r="AB5" s="6" t="e">
        <f>IF(VLOOKUP($B$2,DaysSince100!$H:$CU,Projections!AB$4+2,FALSE)=0,#N/A,VLOOKUP($B$2,DaysSince100!$H:$CU,Projections!AB$4+2,FALSE))</f>
        <v>#N/A</v>
      </c>
      <c r="AC5" s="6" t="e">
        <f>IF(VLOOKUP($B$2,DaysSince100!$H:$CU,Projections!AC$4+2,FALSE)=0,#N/A,VLOOKUP($B$2,DaysSince100!$H:$CU,Projections!AC$4+2,FALSE))</f>
        <v>#N/A</v>
      </c>
      <c r="AD5" s="6" t="e">
        <f>IF(VLOOKUP($B$2,DaysSince100!$H:$CU,Projections!AD$4+2,FALSE)=0,#N/A,VLOOKUP($B$2,DaysSince100!$H:$CU,Projections!AD$4+2,FALSE))</f>
        <v>#N/A</v>
      </c>
      <c r="AE5" s="6" t="e">
        <f>IF(VLOOKUP($B$2,DaysSince100!$H:$CU,Projections!AE$4+2,FALSE)=0,#N/A,VLOOKUP($B$2,DaysSince100!$H:$CU,Projections!AE$4+2,FALSE))</f>
        <v>#N/A</v>
      </c>
      <c r="AF5" s="6" t="e">
        <f>IF(VLOOKUP($B$2,DaysSince100!$H:$CU,Projections!AF$4+2,FALSE)=0,#N/A,VLOOKUP($B$2,DaysSince100!$H:$CU,Projections!AF$4+2,FALSE))</f>
        <v>#N/A</v>
      </c>
      <c r="AG5" s="6" t="e">
        <f>IF(VLOOKUP($B$2,DaysSince100!$H:$CU,Projections!AG$4+2,FALSE)=0,#N/A,VLOOKUP($B$2,DaysSince100!$H:$CU,Projections!AG$4+2,FALSE))</f>
        <v>#N/A</v>
      </c>
      <c r="AH5" s="6" t="e">
        <f>IF(VLOOKUP($B$2,DaysSince100!$H:$CU,Projections!AH$4+2,FALSE)=0,#N/A,VLOOKUP($B$2,DaysSince100!$H:$CU,Projections!AH$4+2,FALSE))</f>
        <v>#N/A</v>
      </c>
      <c r="AI5" s="6" t="e">
        <f>IF(VLOOKUP($B$2,DaysSince100!$H:$CU,Projections!AI$4+2,FALSE)=0,#N/A,VLOOKUP($B$2,DaysSince100!$H:$CU,Projections!AI$4+2,FALSE))</f>
        <v>#N/A</v>
      </c>
      <c r="AJ5" s="6" t="e">
        <f>IF(VLOOKUP($B$2,DaysSince100!$H:$CU,Projections!AJ$4+2,FALSE)=0,#N/A,VLOOKUP($B$2,DaysSince100!$H:$CU,Projections!AJ$4+2,FALSE))</f>
        <v>#N/A</v>
      </c>
      <c r="AK5" s="6" t="e">
        <f>IF(VLOOKUP($B$2,DaysSince100!$H:$CU,Projections!AK$4+2,FALSE)=0,#N/A,VLOOKUP($B$2,DaysSince100!$H:$CU,Projections!AK$4+2,FALSE))</f>
        <v>#N/A</v>
      </c>
      <c r="AL5" s="6" t="e">
        <f>IF(VLOOKUP($B$2,DaysSince100!$H:$CU,Projections!AL$4+2,FALSE)=0,#N/A,VLOOKUP($B$2,DaysSince100!$H:$CU,Projections!AL$4+2,FALSE))</f>
        <v>#N/A</v>
      </c>
      <c r="AM5" s="6" t="e">
        <f>IF(VLOOKUP($B$2,DaysSince100!$H:$CU,Projections!AM$4+2,FALSE)=0,#N/A,VLOOKUP($B$2,DaysSince100!$H:$CU,Projections!AM$4+2,FALSE))</f>
        <v>#N/A</v>
      </c>
      <c r="AN5" s="6" t="e">
        <f>IF(VLOOKUP($B$2,DaysSince100!$H:$CU,Projections!AN$4+2,FALSE)=0,#N/A,VLOOKUP($B$2,DaysSince100!$H:$CU,Projections!AN$4+2,FALSE))</f>
        <v>#N/A</v>
      </c>
      <c r="AO5" s="6" t="e">
        <f>IF(VLOOKUP($B$2,DaysSince100!$H:$CU,Projections!AO$4+2,FALSE)=0,#N/A,VLOOKUP($B$2,DaysSince100!$H:$CU,Projections!AO$4+2,FALSE))</f>
        <v>#N/A</v>
      </c>
      <c r="AP5" s="6" t="e">
        <f>IF(VLOOKUP($B$2,DaysSince100!$H:$CU,Projections!AP$4+2,FALSE)=0,#N/A,VLOOKUP($B$2,DaysSince100!$H:$CU,Projections!AP$4+2,FALSE))</f>
        <v>#N/A</v>
      </c>
      <c r="AQ5" s="6" t="e">
        <f>IF(VLOOKUP($B$2,DaysSince100!$H:$CU,Projections!AQ$4+2,FALSE)=0,#N/A,VLOOKUP($B$2,DaysSince100!$H:$CU,Projections!AQ$4+2,FALSE))</f>
        <v>#N/A</v>
      </c>
      <c r="AR5" s="6" t="e">
        <f>IF(VLOOKUP($B$2,DaysSince100!$H:$CU,Projections!AR$4+2,FALSE)=0,#N/A,VLOOKUP($B$2,DaysSince100!$H:$CU,Projections!AR$4+2,FALSE))</f>
        <v>#N/A</v>
      </c>
      <c r="AS5" s="6" t="e">
        <f>IF(VLOOKUP($B$2,DaysSince100!$H:$CU,Projections!AS$4+2,FALSE)=0,#N/A,VLOOKUP($B$2,DaysSince100!$H:$CU,Projections!AS$4+2,FALSE))</f>
        <v>#N/A</v>
      </c>
      <c r="AT5" s="6" t="e">
        <f>IF(VLOOKUP($B$2,DaysSince100!$H:$CU,Projections!AT$4+2,FALSE)=0,#N/A,VLOOKUP($B$2,DaysSince100!$H:$CU,Projections!AT$4+2,FALSE))</f>
        <v>#N/A</v>
      </c>
      <c r="AU5" s="6" t="e">
        <f>IF(VLOOKUP($B$2,DaysSince100!$H:$CU,Projections!AU$4+2,FALSE)=0,#N/A,VLOOKUP($B$2,DaysSince100!$H:$CU,Projections!AU$4+2,FALSE))</f>
        <v>#N/A</v>
      </c>
      <c r="AV5" s="6" t="e">
        <f>IF(VLOOKUP($B$2,DaysSince100!$H:$CU,Projections!AV$4+2,FALSE)=0,#N/A,VLOOKUP($B$2,DaysSince100!$H:$CU,Projections!AV$4+2,FALSE))</f>
        <v>#N/A</v>
      </c>
      <c r="AW5" s="6" t="e">
        <f>IF(VLOOKUP($B$2,DaysSince100!$H:$CU,Projections!AW$4+2,FALSE)=0,#N/A,VLOOKUP($B$2,DaysSince100!$H:$CU,Projections!AW$4+2,FALSE))</f>
        <v>#N/A</v>
      </c>
      <c r="AX5" s="6" t="e">
        <f>IF(VLOOKUP($B$2,DaysSince100!$H:$CU,Projections!AX$4+2,FALSE)=0,#N/A,VLOOKUP($B$2,DaysSince100!$H:$CU,Projections!AX$4+2,FALSE))</f>
        <v>#N/A</v>
      </c>
      <c r="AY5" s="6" t="e">
        <f>IF(VLOOKUP($B$2,DaysSince100!$H:$CU,Projections!AY$4+2,FALSE)=0,#N/A,VLOOKUP($B$2,DaysSince100!$H:$CU,Projections!AY$4+2,FALSE))</f>
        <v>#N/A</v>
      </c>
      <c r="AZ5" s="6" t="e">
        <f>IF(VLOOKUP($B$2,DaysSince100!$H:$CU,Projections!AZ$4+2,FALSE)=0,#N/A,VLOOKUP($B$2,DaysSince100!$H:$CU,Projections!AZ$4+2,FALSE))</f>
        <v>#N/A</v>
      </c>
      <c r="BA5" s="6" t="e">
        <f>IF(VLOOKUP($B$2,DaysSince100!$H:$CU,Projections!BA$4+2,FALSE)=0,#N/A,VLOOKUP($B$2,DaysSince100!$H:$CU,Projections!BA$4+2,FALSE))</f>
        <v>#N/A</v>
      </c>
      <c r="BB5" s="6" t="e">
        <f>IF(VLOOKUP($B$2,DaysSince100!$H:$CU,Projections!BB$4+2,FALSE)=0,#N/A,VLOOKUP($B$2,DaysSince100!$H:$CU,Projections!BB$4+2,FALSE))</f>
        <v>#N/A</v>
      </c>
      <c r="BC5" s="6" t="e">
        <f>IF(VLOOKUP($B$2,DaysSince100!$H:$CU,Projections!BC$4+2,FALSE)=0,#N/A,VLOOKUP($B$2,DaysSince100!$H:$CU,Projections!BC$4+2,FALSE))</f>
        <v>#N/A</v>
      </c>
      <c r="BD5" s="6" t="e">
        <f>IF(VLOOKUP($B$2,DaysSince100!$H:$CU,Projections!BD$4+2,FALSE)=0,#N/A,VLOOKUP($B$2,DaysSince100!$H:$CU,Projections!BD$4+2,FALSE))</f>
        <v>#N/A</v>
      </c>
      <c r="BE5" s="6" t="e">
        <f>IF(VLOOKUP($B$2,DaysSince100!$H:$CU,Projections!BE$4+2,FALSE)=0,#N/A,VLOOKUP($B$2,DaysSince100!$H:$CU,Projections!BE$4+2,FALSE))</f>
        <v>#N/A</v>
      </c>
      <c r="BF5" s="6" t="e">
        <f>IF(VLOOKUP($B$2,DaysSince100!$H:$CU,Projections!BF$4+2,FALSE)=0,#N/A,VLOOKUP($B$2,DaysSince100!$H:$CU,Projections!BF$4+2,FALSE))</f>
        <v>#N/A</v>
      </c>
      <c r="BG5" s="6" t="e">
        <f>IF(VLOOKUP($B$2,DaysSince100!$H:$CU,Projections!BG$4+2,FALSE)=0,#N/A,VLOOKUP($B$2,DaysSince100!$H:$CU,Projections!BG$4+2,FALSE))</f>
        <v>#N/A</v>
      </c>
      <c r="BH5" s="6" t="e">
        <f>IF(VLOOKUP($B$2,DaysSince100!$H:$CU,Projections!BH$4+2,FALSE)=0,#N/A,VLOOKUP($B$2,DaysSince100!$H:$CU,Projections!BH$4+2,FALSE))</f>
        <v>#N/A</v>
      </c>
      <c r="BI5" s="6" t="e">
        <f>IF(VLOOKUP($B$2,DaysSince100!$H:$CU,Projections!BI$4+2,FALSE)=0,#N/A,VLOOKUP($B$2,DaysSince100!$H:$CU,Projections!BI$4+2,FALSE))</f>
        <v>#N/A</v>
      </c>
      <c r="BJ5" s="6" t="e">
        <f>IF(VLOOKUP($B$2,DaysSince100!$H:$CU,Projections!BJ$4+2,FALSE)=0,#N/A,VLOOKUP($B$2,DaysSince100!$H:$CU,Projections!BJ$4+2,FALSE))</f>
        <v>#N/A</v>
      </c>
      <c r="BK5" s="6" t="e">
        <f>IF(VLOOKUP($B$2,DaysSince100!$H:$CU,Projections!BK$4+2,FALSE)=0,#N/A,VLOOKUP($B$2,DaysSince100!$H:$CU,Projections!BK$4+2,FALSE))</f>
        <v>#N/A</v>
      </c>
      <c r="BL5" s="6" t="e">
        <f>IF(VLOOKUP($B$2,DaysSince100!$H:$CU,Projections!BL$4+2,FALSE)=0,#N/A,VLOOKUP($B$2,DaysSince100!$H:$CU,Projections!BL$4+2,FALSE))</f>
        <v>#N/A</v>
      </c>
    </row>
    <row r="6" spans="2:64" x14ac:dyDescent="0.3">
      <c r="F6" t="str">
        <f>"Projected ("&amp;TEXT(C8,"0%")&amp;") based on "&amp;C7&amp;" day rolling avg"</f>
        <v>Projected (29%) based on 5 day rolling avg</v>
      </c>
      <c r="G6" s="6">
        <f t="shared" ref="G6:AL6" si="3">IF(AND(ISNA(G$5),ISNA(F$5)),F6*(1+$C$8),IF(AND(F$5&gt;0,ISNA(G$5)),F6*(1+$C$8),G$5))</f>
        <v>116</v>
      </c>
      <c r="H6" s="6">
        <f t="shared" si="3"/>
        <v>164</v>
      </c>
      <c r="I6" s="6">
        <f t="shared" si="3"/>
        <v>207</v>
      </c>
      <c r="J6" s="6">
        <f t="shared" si="3"/>
        <v>274</v>
      </c>
      <c r="K6" s="6">
        <f t="shared" si="3"/>
        <v>322</v>
      </c>
      <c r="L6" s="6">
        <f t="shared" si="3"/>
        <v>384</v>
      </c>
      <c r="M6" s="6">
        <f t="shared" si="3"/>
        <v>459</v>
      </c>
      <c r="N6" s="6">
        <f t="shared" si="3"/>
        <v>593</v>
      </c>
      <c r="O6" s="6">
        <f t="shared" si="3"/>
        <v>801</v>
      </c>
      <c r="P6" s="6">
        <f t="shared" si="3"/>
        <v>1143</v>
      </c>
      <c r="Q6" s="6">
        <f t="shared" si="3"/>
        <v>1395</v>
      </c>
      <c r="R6" s="6">
        <f t="shared" si="3"/>
        <v>1805.6052309854954</v>
      </c>
      <c r="S6" s="6">
        <f t="shared" si="3"/>
        <v>2337.0682796861538</v>
      </c>
      <c r="T6" s="6">
        <f t="shared" si="3"/>
        <v>3024.9625168255143</v>
      </c>
      <c r="U6" s="6">
        <f t="shared" si="3"/>
        <v>3915.3320028065937</v>
      </c>
      <c r="V6" s="6">
        <f t="shared" si="3"/>
        <v>5067.7734375000018</v>
      </c>
      <c r="W6" s="6">
        <f t="shared" si="3"/>
        <v>6559.4252531894972</v>
      </c>
      <c r="X6" s="6">
        <f t="shared" si="3"/>
        <v>8490.1308597973584</v>
      </c>
      <c r="Y6" s="6">
        <f t="shared" si="3"/>
        <v>10989.121643155191</v>
      </c>
      <c r="Z6" s="6">
        <f t="shared" si="3"/>
        <v>14223.667041445833</v>
      </c>
      <c r="AA6" s="6">
        <f t="shared" si="3"/>
        <v>18410.27069091798</v>
      </c>
      <c r="AB6" s="6">
        <f t="shared" si="3"/>
        <v>23829.162052602478</v>
      </c>
      <c r="AC6" s="6">
        <f t="shared" si="3"/>
        <v>30843.0535141076</v>
      </c>
      <c r="AD6" s="6">
        <f t="shared" si="3"/>
        <v>39921.418469274729</v>
      </c>
      <c r="AE6" s="6">
        <f t="shared" si="3"/>
        <v>51671.915424002451</v>
      </c>
      <c r="AF6" s="6">
        <f t="shared" si="3"/>
        <v>66881.061494350492</v>
      </c>
      <c r="AG6" s="6">
        <f t="shared" si="3"/>
        <v>86566.877769219966</v>
      </c>
      <c r="AH6" s="6">
        <f t="shared" si="3"/>
        <v>112047.03034421905</v>
      </c>
      <c r="AI6" s="6">
        <f t="shared" si="3"/>
        <v>145027.02803291215</v>
      </c>
      <c r="AJ6" s="6">
        <f t="shared" si="3"/>
        <v>187714.38025125896</v>
      </c>
      <c r="AK6" s="6">
        <f t="shared" si="3"/>
        <v>242966.3562099452</v>
      </c>
      <c r="AL6" s="6">
        <f t="shared" si="3"/>
        <v>314481.23564599449</v>
      </c>
      <c r="AM6" s="6">
        <f t="shared" ref="AM6:BL6" si="4">IF(AND(ISNA(AM$5),ISNA(AL$5)),AL6*(1+$C$8),IF(AND(AL$5&gt;0,ISNA(AM$5)),AL6*(1+$C$8),AM$5))</f>
        <v>407045.85242235835</v>
      </c>
      <c r="AN6" s="6">
        <f t="shared" si="4"/>
        <v>526856.00027581386</v>
      </c>
      <c r="AO6" s="6">
        <f t="shared" si="4"/>
        <v>681931.14700652694</v>
      </c>
      <c r="AP6" s="6">
        <f t="shared" si="4"/>
        <v>882651.21591894189</v>
      </c>
      <c r="AQ6" s="6">
        <f t="shared" si="4"/>
        <v>1142451.3638702147</v>
      </c>
      <c r="AR6" s="6">
        <f t="shared" si="4"/>
        <v>1478721.2607530991</v>
      </c>
      <c r="AS6" s="6">
        <f t="shared" si="4"/>
        <v>1913969.0635019804</v>
      </c>
      <c r="AT6" s="6">
        <f t="shared" si="4"/>
        <v>2477327.9949846491</v>
      </c>
      <c r="AU6" s="6">
        <f t="shared" si="4"/>
        <v>3206506.3703305316</v>
      </c>
      <c r="AV6" s="6">
        <f t="shared" si="4"/>
        <v>4150311.5953097651</v>
      </c>
      <c r="AW6" s="6">
        <f t="shared" si="4"/>
        <v>5371917.0800796188</v>
      </c>
      <c r="AX6" s="6">
        <f t="shared" si="4"/>
        <v>6953090.7385032894</v>
      </c>
      <c r="AY6" s="6">
        <f t="shared" si="4"/>
        <v>8999668.1067801733</v>
      </c>
      <c r="AZ6" s="6">
        <f t="shared" si="4"/>
        <v>11648636.423466388</v>
      </c>
      <c r="BA6" s="6">
        <f t="shared" si="4"/>
        <v>15077303.84233626</v>
      </c>
      <c r="BB6" s="6">
        <f t="shared" si="4"/>
        <v>19515167.517476745</v>
      </c>
      <c r="BC6" s="6">
        <f t="shared" si="4"/>
        <v>25259274.948468987</v>
      </c>
      <c r="BD6" s="6">
        <f t="shared" si="4"/>
        <v>32694106.794162355</v>
      </c>
      <c r="BE6" s="6">
        <f t="shared" si="4"/>
        <v>42317312.007123999</v>
      </c>
      <c r="BF6" s="6">
        <f t="shared" si="4"/>
        <v>54773017.864737213</v>
      </c>
      <c r="BG6" s="6">
        <f t="shared" si="4"/>
        <v>70894944.497083515</v>
      </c>
      <c r="BH6" s="6">
        <f t="shared" si="4"/>
        <v>91762209.773735031</v>
      </c>
      <c r="BI6" s="6">
        <f t="shared" si="4"/>
        <v>118771559.83816798</v>
      </c>
      <c r="BJ6" s="6">
        <f t="shared" si="4"/>
        <v>153730860.02588022</v>
      </c>
      <c r="BK6" s="6">
        <f t="shared" si="4"/>
        <v>198980103.96174073</v>
      </c>
      <c r="BL6" s="6">
        <f t="shared" si="4"/>
        <v>257548040.55581132</v>
      </c>
    </row>
    <row r="7" spans="2:64" x14ac:dyDescent="0.3">
      <c r="B7" t="s">
        <v>484</v>
      </c>
      <c r="C7">
        <v>5</v>
      </c>
      <c r="E7">
        <v>0.2</v>
      </c>
      <c r="F7" s="19" t="s">
        <v>487</v>
      </c>
      <c r="G7" s="6">
        <f t="shared" ref="G7:Q7" si="5">IF(AND(ISNA(G$5),ISNA(F$5)),F7*(1+$E7),IF(AND(F$5&gt;0,ISNA(G$5)),F7*(1+$E7),G$5))</f>
        <v>116</v>
      </c>
      <c r="H7" s="6">
        <f t="shared" si="5"/>
        <v>164</v>
      </c>
      <c r="I7" s="6">
        <f t="shared" si="5"/>
        <v>207</v>
      </c>
      <c r="J7" s="6">
        <f t="shared" si="5"/>
        <v>274</v>
      </c>
      <c r="K7" s="6">
        <f t="shared" si="5"/>
        <v>322</v>
      </c>
      <c r="L7" s="6">
        <f t="shared" si="5"/>
        <v>384</v>
      </c>
      <c r="M7" s="6">
        <f t="shared" si="5"/>
        <v>459</v>
      </c>
      <c r="N7" s="6">
        <f t="shared" si="5"/>
        <v>593</v>
      </c>
      <c r="O7" s="6">
        <f t="shared" si="5"/>
        <v>801</v>
      </c>
      <c r="P7" s="6">
        <f t="shared" si="5"/>
        <v>1143</v>
      </c>
      <c r="Q7" s="6">
        <f t="shared" si="5"/>
        <v>1395</v>
      </c>
      <c r="R7" s="6">
        <f>IF(AND(ISNA(R$5),ISNA(Q$5)),Q7*(1+$E7),IF(AND(Q$5&gt;0,ISNA(R$5)),Q7*(1+$E7),R$5))</f>
        <v>1674</v>
      </c>
      <c r="S7" s="6">
        <f t="shared" ref="S7:BL9" si="6">IF(AND(ISNA(S$5),ISNA(R$5)),R7*(1+$E7),IF(AND(R$5&gt;0,ISNA(S$5)),R7*(1+$E7),S$5))</f>
        <v>2008.8</v>
      </c>
      <c r="T7" s="6">
        <f t="shared" si="6"/>
        <v>2410.56</v>
      </c>
      <c r="U7" s="6">
        <f t="shared" si="6"/>
        <v>2892.672</v>
      </c>
      <c r="V7" s="6">
        <f t="shared" si="6"/>
        <v>3471.2064</v>
      </c>
      <c r="W7" s="6">
        <f t="shared" si="6"/>
        <v>4165.4476800000002</v>
      </c>
      <c r="X7" s="6">
        <f t="shared" si="6"/>
        <v>4998.5372159999997</v>
      </c>
      <c r="Y7" s="6">
        <f t="shared" si="6"/>
        <v>5998.2446591999997</v>
      </c>
      <c r="Z7" s="6">
        <f t="shared" si="6"/>
        <v>7197.8935910399996</v>
      </c>
      <c r="AA7" s="6">
        <f t="shared" si="6"/>
        <v>8637.4723092479999</v>
      </c>
      <c r="AB7" s="6">
        <f t="shared" si="6"/>
        <v>10364.966771097599</v>
      </c>
      <c r="AC7" s="6">
        <f t="shared" si="6"/>
        <v>12437.960125317119</v>
      </c>
      <c r="AD7" s="6">
        <f t="shared" si="6"/>
        <v>14925.552150380541</v>
      </c>
      <c r="AE7" s="6">
        <f t="shared" si="6"/>
        <v>17910.66258045665</v>
      </c>
      <c r="AF7" s="6">
        <f t="shared" si="6"/>
        <v>21492.795096547979</v>
      </c>
      <c r="AG7" s="6">
        <f t="shared" si="6"/>
        <v>25791.354115857575</v>
      </c>
      <c r="AH7" s="6">
        <f t="shared" si="6"/>
        <v>30949.62493902909</v>
      </c>
      <c r="AI7" s="6">
        <f t="shared" si="6"/>
        <v>37139.549926834909</v>
      </c>
      <c r="AJ7" s="6">
        <f t="shared" si="6"/>
        <v>44567.459912201892</v>
      </c>
      <c r="AK7" s="6">
        <f t="shared" si="6"/>
        <v>53480.951894642269</v>
      </c>
      <c r="AL7" s="6">
        <f t="shared" si="6"/>
        <v>64177.142273570716</v>
      </c>
      <c r="AM7" s="6">
        <f t="shared" si="6"/>
        <v>77012.57072828486</v>
      </c>
      <c r="AN7" s="6">
        <f t="shared" si="6"/>
        <v>92415.084873941829</v>
      </c>
      <c r="AO7" s="6">
        <f t="shared" si="6"/>
        <v>110898.10184873019</v>
      </c>
      <c r="AP7" s="6">
        <f t="shared" si="6"/>
        <v>133077.72221847624</v>
      </c>
      <c r="AQ7" s="6">
        <f t="shared" si="6"/>
        <v>159693.26666217149</v>
      </c>
      <c r="AR7" s="6">
        <f t="shared" si="6"/>
        <v>191631.91999460579</v>
      </c>
      <c r="AS7" s="6">
        <f t="shared" si="6"/>
        <v>229958.30399352693</v>
      </c>
      <c r="AT7" s="6">
        <f t="shared" si="6"/>
        <v>275949.96479223232</v>
      </c>
      <c r="AU7" s="6">
        <f t="shared" si="6"/>
        <v>331139.95775067876</v>
      </c>
      <c r="AV7" s="6">
        <f t="shared" si="6"/>
        <v>397367.94930081448</v>
      </c>
      <c r="AW7" s="6">
        <f t="shared" si="6"/>
        <v>476841.53916097735</v>
      </c>
      <c r="AX7" s="6">
        <f t="shared" si="6"/>
        <v>572209.84699317277</v>
      </c>
      <c r="AY7" s="6">
        <f t="shared" si="6"/>
        <v>686651.81639180728</v>
      </c>
      <c r="AZ7" s="6">
        <f t="shared" si="6"/>
        <v>823982.17967016867</v>
      </c>
      <c r="BA7" s="6">
        <f t="shared" si="6"/>
        <v>988778.61560420238</v>
      </c>
      <c r="BB7" s="6">
        <f t="shared" si="6"/>
        <v>1186534.3387250428</v>
      </c>
      <c r="BC7" s="6">
        <f t="shared" si="6"/>
        <v>1423841.2064700513</v>
      </c>
      <c r="BD7" s="6">
        <f t="shared" si="6"/>
        <v>1708609.4477640616</v>
      </c>
      <c r="BE7" s="6">
        <f t="shared" si="6"/>
        <v>2050331.3373168739</v>
      </c>
      <c r="BF7" s="6">
        <f t="shared" si="6"/>
        <v>2460397.6047802488</v>
      </c>
      <c r="BG7" s="6">
        <f t="shared" si="6"/>
        <v>2952477.1257362985</v>
      </c>
      <c r="BH7" s="6">
        <f t="shared" si="6"/>
        <v>3542972.5508835581</v>
      </c>
      <c r="BI7" s="6">
        <f t="shared" si="6"/>
        <v>4251567.0610602694</v>
      </c>
      <c r="BJ7" s="6">
        <f t="shared" si="6"/>
        <v>5101880.4732723227</v>
      </c>
      <c r="BK7" s="6">
        <f t="shared" si="6"/>
        <v>6122256.5679267868</v>
      </c>
      <c r="BL7" s="6">
        <f t="shared" si="6"/>
        <v>7346707.8815121436</v>
      </c>
    </row>
    <row r="8" spans="2:64" x14ac:dyDescent="0.3">
      <c r="B8" t="s">
        <v>483</v>
      </c>
      <c r="C8" s="18">
        <f>VLOOKUP(B2,DaysSince100!C:G,5,FALSE)-1</f>
        <v>0.29434066737311504</v>
      </c>
      <c r="E8">
        <v>0.3</v>
      </c>
      <c r="F8" s="19" t="s">
        <v>488</v>
      </c>
      <c r="G8" s="6">
        <f t="shared" ref="G8:Q8" si="7">IF(AND(ISNA(G$5),ISNA(F$5)),F8*(1+$E8),IF(AND(F$5&gt;0,ISNA(G$5)),F8*(1+$E8),G$5))</f>
        <v>116</v>
      </c>
      <c r="H8" s="6">
        <f t="shared" si="7"/>
        <v>164</v>
      </c>
      <c r="I8" s="6">
        <f t="shared" si="7"/>
        <v>207</v>
      </c>
      <c r="J8" s="6">
        <f t="shared" si="7"/>
        <v>274</v>
      </c>
      <c r="K8" s="6">
        <f t="shared" si="7"/>
        <v>322</v>
      </c>
      <c r="L8" s="6">
        <f t="shared" si="7"/>
        <v>384</v>
      </c>
      <c r="M8" s="6">
        <f t="shared" si="7"/>
        <v>459</v>
      </c>
      <c r="N8" s="6">
        <f t="shared" si="7"/>
        <v>593</v>
      </c>
      <c r="O8" s="6">
        <f t="shared" si="7"/>
        <v>801</v>
      </c>
      <c r="P8" s="6">
        <f t="shared" si="7"/>
        <v>1143</v>
      </c>
      <c r="Q8" s="6">
        <f t="shared" si="7"/>
        <v>1395</v>
      </c>
      <c r="R8" s="6">
        <f t="shared" ref="R8:AG9" si="8">IF(AND(ISNA(R$5),ISNA(Q$5)),Q8*(1+$E8),IF(AND(Q$5&gt;0,ISNA(R$5)),Q8*(1+$E8),R$5))</f>
        <v>1813.5</v>
      </c>
      <c r="S8" s="6">
        <f t="shared" si="8"/>
        <v>2357.5500000000002</v>
      </c>
      <c r="T8" s="6">
        <f t="shared" si="8"/>
        <v>3064.8150000000005</v>
      </c>
      <c r="U8" s="6">
        <f t="shared" si="8"/>
        <v>3984.2595000000006</v>
      </c>
      <c r="V8" s="6">
        <f t="shared" si="8"/>
        <v>5179.5373500000005</v>
      </c>
      <c r="W8" s="6">
        <f t="shared" si="8"/>
        <v>6733.3985550000007</v>
      </c>
      <c r="X8" s="6">
        <f t="shared" si="8"/>
        <v>8753.4181215000008</v>
      </c>
      <c r="Y8" s="6">
        <f t="shared" si="8"/>
        <v>11379.443557950002</v>
      </c>
      <c r="Z8" s="6">
        <f t="shared" si="8"/>
        <v>14793.276625335004</v>
      </c>
      <c r="AA8" s="6">
        <f t="shared" si="8"/>
        <v>19231.259612935504</v>
      </c>
      <c r="AB8" s="6">
        <f t="shared" si="8"/>
        <v>25000.637496816158</v>
      </c>
      <c r="AC8" s="6">
        <f t="shared" si="8"/>
        <v>32500.828745861007</v>
      </c>
      <c r="AD8" s="6">
        <f t="shared" si="8"/>
        <v>42251.077369619306</v>
      </c>
      <c r="AE8" s="6">
        <f t="shared" si="8"/>
        <v>54926.400580505098</v>
      </c>
      <c r="AF8" s="6">
        <f t="shared" si="8"/>
        <v>71404.320754656626</v>
      </c>
      <c r="AG8" s="6">
        <f t="shared" si="8"/>
        <v>92825.616981053623</v>
      </c>
      <c r="AH8" s="6">
        <f t="shared" si="6"/>
        <v>120673.30207536972</v>
      </c>
      <c r="AI8" s="6">
        <f t="shared" si="6"/>
        <v>156875.29269798065</v>
      </c>
      <c r="AJ8" s="6">
        <f t="shared" si="6"/>
        <v>203937.88050737485</v>
      </c>
      <c r="AK8" s="6">
        <f t="shared" si="6"/>
        <v>265119.24465958733</v>
      </c>
      <c r="AL8" s="6">
        <f t="shared" si="6"/>
        <v>344655.01805746357</v>
      </c>
      <c r="AM8" s="6">
        <f t="shared" si="6"/>
        <v>448051.52347470267</v>
      </c>
      <c r="AN8" s="6">
        <f t="shared" si="6"/>
        <v>582466.98051711346</v>
      </c>
      <c r="AO8" s="6">
        <f t="shared" si="6"/>
        <v>757207.07467224752</v>
      </c>
      <c r="AP8" s="6">
        <f t="shared" si="6"/>
        <v>984369.19707392179</v>
      </c>
      <c r="AQ8" s="6">
        <f t="shared" si="6"/>
        <v>1279679.9561960984</v>
      </c>
      <c r="AR8" s="6">
        <f t="shared" si="6"/>
        <v>1663583.943054928</v>
      </c>
      <c r="AS8" s="6">
        <f t="shared" si="6"/>
        <v>2162659.1259714062</v>
      </c>
      <c r="AT8" s="6">
        <f t="shared" si="6"/>
        <v>2811456.8637628281</v>
      </c>
      <c r="AU8" s="6">
        <f t="shared" si="6"/>
        <v>3654893.9228916764</v>
      </c>
      <c r="AV8" s="6">
        <f t="shared" si="6"/>
        <v>4751362.0997591792</v>
      </c>
      <c r="AW8" s="6">
        <f t="shared" si="6"/>
        <v>6176770.7296869336</v>
      </c>
      <c r="AX8" s="6">
        <f t="shared" si="6"/>
        <v>8029801.9485930139</v>
      </c>
      <c r="AY8" s="6">
        <f t="shared" si="6"/>
        <v>10438742.533170918</v>
      </c>
      <c r="AZ8" s="6">
        <f t="shared" si="6"/>
        <v>13570365.293122195</v>
      </c>
      <c r="BA8" s="6">
        <f t="shared" si="6"/>
        <v>17641474.881058853</v>
      </c>
      <c r="BB8" s="6">
        <f t="shared" si="6"/>
        <v>22933917.34537651</v>
      </c>
      <c r="BC8" s="6">
        <f t="shared" si="6"/>
        <v>29814092.548989464</v>
      </c>
      <c r="BD8" s="6">
        <f t="shared" si="6"/>
        <v>38758320.313686304</v>
      </c>
      <c r="BE8" s="6">
        <f t="shared" si="6"/>
        <v>50385816.407792196</v>
      </c>
      <c r="BF8" s="6">
        <f t="shared" si="6"/>
        <v>65501561.330129854</v>
      </c>
      <c r="BG8" s="6">
        <f t="shared" si="6"/>
        <v>85152029.729168817</v>
      </c>
      <c r="BH8" s="6">
        <f t="shared" si="6"/>
        <v>110697638.64791946</v>
      </c>
      <c r="BI8" s="6">
        <f t="shared" si="6"/>
        <v>143906930.2422953</v>
      </c>
      <c r="BJ8" s="6">
        <f t="shared" si="6"/>
        <v>187079009.3149839</v>
      </c>
      <c r="BK8" s="6">
        <f t="shared" si="6"/>
        <v>243202712.10947907</v>
      </c>
      <c r="BL8" s="6">
        <f t="shared" si="6"/>
        <v>316163525.7423228</v>
      </c>
    </row>
    <row r="9" spans="2:64" x14ac:dyDescent="0.3">
      <c r="E9">
        <v>0.4</v>
      </c>
      <c r="F9" s="19" t="s">
        <v>489</v>
      </c>
      <c r="G9" s="6">
        <f t="shared" ref="G9:Q9" si="9">IF(AND(ISNA(G$5),ISNA(F$5)),F9*(1+$E9),IF(AND(F$5&gt;0,ISNA(G$5)),F9*(1+$E9),G$5))</f>
        <v>116</v>
      </c>
      <c r="H9" s="6">
        <f t="shared" si="9"/>
        <v>164</v>
      </c>
      <c r="I9" s="6">
        <f t="shared" si="9"/>
        <v>207</v>
      </c>
      <c r="J9" s="6">
        <f t="shared" si="9"/>
        <v>274</v>
      </c>
      <c r="K9" s="6">
        <f t="shared" si="9"/>
        <v>322</v>
      </c>
      <c r="L9" s="6">
        <f t="shared" si="9"/>
        <v>384</v>
      </c>
      <c r="M9" s="6">
        <f t="shared" si="9"/>
        <v>459</v>
      </c>
      <c r="N9" s="6">
        <f t="shared" si="9"/>
        <v>593</v>
      </c>
      <c r="O9" s="6">
        <f t="shared" si="9"/>
        <v>801</v>
      </c>
      <c r="P9" s="6">
        <f t="shared" si="9"/>
        <v>1143</v>
      </c>
      <c r="Q9" s="6">
        <f t="shared" si="9"/>
        <v>1395</v>
      </c>
      <c r="R9" s="6">
        <f t="shared" si="8"/>
        <v>1952.9999999999998</v>
      </c>
      <c r="S9" s="6">
        <f t="shared" si="6"/>
        <v>2734.1999999999994</v>
      </c>
      <c r="T9" s="6">
        <f t="shared" si="6"/>
        <v>3827.8799999999987</v>
      </c>
      <c r="U9" s="6">
        <f t="shared" si="6"/>
        <v>5359.0319999999983</v>
      </c>
      <c r="V9" s="6">
        <f t="shared" si="6"/>
        <v>7502.6447999999973</v>
      </c>
      <c r="W9" s="6">
        <f t="shared" si="6"/>
        <v>10503.702719999996</v>
      </c>
      <c r="X9" s="6">
        <f t="shared" si="6"/>
        <v>14705.183807999992</v>
      </c>
      <c r="Y9" s="6">
        <f t="shared" si="6"/>
        <v>20587.257331199988</v>
      </c>
      <c r="Z9" s="6">
        <f t="shared" si="6"/>
        <v>28822.16026367998</v>
      </c>
      <c r="AA9" s="6">
        <f t="shared" si="6"/>
        <v>40351.024369151972</v>
      </c>
      <c r="AB9" s="6">
        <f t="shared" si="6"/>
        <v>56491.434116812758</v>
      </c>
      <c r="AC9" s="6">
        <f t="shared" si="6"/>
        <v>79088.007763537855</v>
      </c>
      <c r="AD9" s="6">
        <f t="shared" si="6"/>
        <v>110723.21086895299</v>
      </c>
      <c r="AE9" s="6">
        <f t="shared" si="6"/>
        <v>155012.49521653418</v>
      </c>
      <c r="AF9" s="6">
        <f t="shared" si="6"/>
        <v>217017.49330314784</v>
      </c>
      <c r="AG9" s="6">
        <f t="shared" si="6"/>
        <v>303824.49062440696</v>
      </c>
      <c r="AH9" s="6">
        <f t="shared" si="6"/>
        <v>425354.28687416972</v>
      </c>
      <c r="AI9" s="6">
        <f t="shared" si="6"/>
        <v>595496.00162383751</v>
      </c>
      <c r="AJ9" s="6">
        <f t="shared" si="6"/>
        <v>833694.40227337251</v>
      </c>
      <c r="AK9" s="6">
        <f t="shared" si="6"/>
        <v>1167172.1631827215</v>
      </c>
      <c r="AL9" s="6">
        <f t="shared" si="6"/>
        <v>1634041.0284558099</v>
      </c>
      <c r="AM9" s="6">
        <f t="shared" si="6"/>
        <v>2287657.4398381338</v>
      </c>
      <c r="AN9" s="6">
        <f t="shared" si="6"/>
        <v>3202720.4157733871</v>
      </c>
      <c r="AO9" s="6">
        <f t="shared" si="6"/>
        <v>4483808.5820827419</v>
      </c>
      <c r="AP9" s="6">
        <f t="shared" si="6"/>
        <v>6277332.0149158379</v>
      </c>
      <c r="AQ9" s="6">
        <f t="shared" si="6"/>
        <v>8788264.8208821733</v>
      </c>
      <c r="AR9" s="6">
        <f t="shared" si="6"/>
        <v>12303570.749235041</v>
      </c>
      <c r="AS9" s="6">
        <f t="shared" si="6"/>
        <v>17224999.048929058</v>
      </c>
      <c r="AT9" s="6">
        <f t="shared" si="6"/>
        <v>24114998.66850068</v>
      </c>
      <c r="AU9" s="6">
        <f t="shared" si="6"/>
        <v>33760998.135900952</v>
      </c>
      <c r="AV9" s="6">
        <f t="shared" si="6"/>
        <v>47265397.39026133</v>
      </c>
      <c r="AW9" s="6">
        <f t="shared" si="6"/>
        <v>66171556.346365854</v>
      </c>
      <c r="AX9" s="6">
        <f t="shared" si="6"/>
        <v>92640178.884912193</v>
      </c>
      <c r="AY9" s="6">
        <f t="shared" si="6"/>
        <v>129696250.43887706</v>
      </c>
      <c r="AZ9" s="6">
        <f t="shared" si="6"/>
        <v>181574750.61442786</v>
      </c>
      <c r="BA9" s="6">
        <f t="shared" si="6"/>
        <v>254204650.860199</v>
      </c>
      <c r="BB9" s="6">
        <f t="shared" si="6"/>
        <v>355886511.20427859</v>
      </c>
      <c r="BC9" s="6">
        <f t="shared" si="6"/>
        <v>498241115.68598998</v>
      </c>
      <c r="BD9" s="6">
        <f t="shared" si="6"/>
        <v>697537561.96038592</v>
      </c>
      <c r="BE9" s="6">
        <f t="shared" si="6"/>
        <v>976552586.74454021</v>
      </c>
      <c r="BF9" s="6">
        <f t="shared" si="6"/>
        <v>1367173621.4423561</v>
      </c>
      <c r="BG9" s="6">
        <f t="shared" si="6"/>
        <v>1914043070.0192983</v>
      </c>
      <c r="BH9" s="6">
        <f t="shared" si="6"/>
        <v>2679660298.0270176</v>
      </c>
      <c r="BI9" s="6">
        <f t="shared" si="6"/>
        <v>3751524417.2378244</v>
      </c>
      <c r="BJ9" s="6">
        <f t="shared" si="6"/>
        <v>5252134184.1329536</v>
      </c>
      <c r="BK9" s="6">
        <f t="shared" si="6"/>
        <v>7352987857.7861347</v>
      </c>
      <c r="BL9" s="6">
        <f t="shared" si="6"/>
        <v>10294183000.900587</v>
      </c>
    </row>
    <row r="10" spans="2:64" x14ac:dyDescent="0.3">
      <c r="B10" t="s">
        <v>485</v>
      </c>
      <c r="C10" s="6">
        <f>C4*(1+C8)</f>
        <v>1805.6052309854954</v>
      </c>
      <c r="F10" s="19" t="s">
        <v>503</v>
      </c>
      <c r="G10" s="21">
        <f>$C$12</f>
        <v>4000</v>
      </c>
      <c r="H10" s="21">
        <f t="shared" ref="H10:BL10" si="10">$C$12</f>
        <v>4000</v>
      </c>
      <c r="I10" s="21">
        <f t="shared" si="10"/>
        <v>4000</v>
      </c>
      <c r="J10" s="21">
        <f t="shared" si="10"/>
        <v>4000</v>
      </c>
      <c r="K10" s="21">
        <f t="shared" si="10"/>
        <v>4000</v>
      </c>
      <c r="L10" s="21">
        <f t="shared" si="10"/>
        <v>4000</v>
      </c>
      <c r="M10" s="21">
        <f t="shared" si="10"/>
        <v>4000</v>
      </c>
      <c r="N10" s="21">
        <f t="shared" si="10"/>
        <v>4000</v>
      </c>
      <c r="O10" s="21">
        <f t="shared" si="10"/>
        <v>4000</v>
      </c>
      <c r="P10" s="21">
        <f t="shared" si="10"/>
        <v>4000</v>
      </c>
      <c r="Q10" s="21">
        <f t="shared" si="10"/>
        <v>4000</v>
      </c>
      <c r="R10" s="21">
        <f t="shared" si="10"/>
        <v>4000</v>
      </c>
      <c r="S10" s="21">
        <f t="shared" si="10"/>
        <v>4000</v>
      </c>
      <c r="T10" s="21">
        <f t="shared" si="10"/>
        <v>4000</v>
      </c>
      <c r="U10" s="21">
        <f t="shared" si="10"/>
        <v>4000</v>
      </c>
      <c r="V10" s="21">
        <f t="shared" si="10"/>
        <v>4000</v>
      </c>
      <c r="W10" s="21">
        <f t="shared" si="10"/>
        <v>4000</v>
      </c>
      <c r="X10" s="21">
        <f t="shared" si="10"/>
        <v>4000</v>
      </c>
      <c r="Y10" s="21">
        <f t="shared" si="10"/>
        <v>4000</v>
      </c>
      <c r="Z10" s="21">
        <f t="shared" si="10"/>
        <v>4000</v>
      </c>
      <c r="AA10" s="21">
        <f t="shared" si="10"/>
        <v>4000</v>
      </c>
      <c r="AB10" s="21">
        <f t="shared" si="10"/>
        <v>4000</v>
      </c>
      <c r="AC10" s="21">
        <f t="shared" si="10"/>
        <v>4000</v>
      </c>
      <c r="AD10" s="21">
        <f t="shared" si="10"/>
        <v>4000</v>
      </c>
      <c r="AE10" s="21">
        <f t="shared" si="10"/>
        <v>4000</v>
      </c>
      <c r="AF10" s="21">
        <f t="shared" si="10"/>
        <v>4000</v>
      </c>
      <c r="AG10" s="21">
        <f t="shared" si="10"/>
        <v>4000</v>
      </c>
      <c r="AH10" s="21">
        <f t="shared" si="10"/>
        <v>4000</v>
      </c>
      <c r="AI10" s="21">
        <f t="shared" si="10"/>
        <v>4000</v>
      </c>
      <c r="AJ10" s="21">
        <f t="shared" si="10"/>
        <v>4000</v>
      </c>
      <c r="AK10" s="21">
        <f t="shared" si="10"/>
        <v>4000</v>
      </c>
      <c r="AL10" s="21">
        <f t="shared" si="10"/>
        <v>4000</v>
      </c>
      <c r="AM10" s="21">
        <f t="shared" si="10"/>
        <v>4000</v>
      </c>
      <c r="AN10" s="21">
        <f t="shared" si="10"/>
        <v>4000</v>
      </c>
      <c r="AO10" s="21">
        <f t="shared" si="10"/>
        <v>4000</v>
      </c>
      <c r="AP10" s="21">
        <f t="shared" si="10"/>
        <v>4000</v>
      </c>
      <c r="AQ10" s="21">
        <f t="shared" si="10"/>
        <v>4000</v>
      </c>
      <c r="AR10" s="21">
        <f t="shared" si="10"/>
        <v>4000</v>
      </c>
      <c r="AS10" s="21">
        <f t="shared" si="10"/>
        <v>4000</v>
      </c>
      <c r="AT10" s="21">
        <f t="shared" si="10"/>
        <v>4000</v>
      </c>
      <c r="AU10" s="21">
        <f t="shared" si="10"/>
        <v>4000</v>
      </c>
      <c r="AV10" s="21">
        <f t="shared" si="10"/>
        <v>4000</v>
      </c>
      <c r="AW10" s="21">
        <f t="shared" si="10"/>
        <v>4000</v>
      </c>
      <c r="AX10" s="21">
        <f t="shared" si="10"/>
        <v>4000</v>
      </c>
      <c r="AY10" s="21">
        <f t="shared" si="10"/>
        <v>4000</v>
      </c>
      <c r="AZ10" s="21">
        <f t="shared" si="10"/>
        <v>4000</v>
      </c>
      <c r="BA10" s="21">
        <f t="shared" si="10"/>
        <v>4000</v>
      </c>
      <c r="BB10" s="21">
        <f t="shared" si="10"/>
        <v>4000</v>
      </c>
      <c r="BC10" s="21">
        <f t="shared" si="10"/>
        <v>4000</v>
      </c>
      <c r="BD10" s="21">
        <f t="shared" si="10"/>
        <v>4000</v>
      </c>
      <c r="BE10" s="21">
        <f t="shared" si="10"/>
        <v>4000</v>
      </c>
      <c r="BF10" s="21">
        <f t="shared" si="10"/>
        <v>4000</v>
      </c>
      <c r="BG10" s="21">
        <f t="shared" si="10"/>
        <v>4000</v>
      </c>
      <c r="BH10" s="21">
        <f t="shared" si="10"/>
        <v>4000</v>
      </c>
      <c r="BI10" s="21">
        <f t="shared" si="10"/>
        <v>4000</v>
      </c>
      <c r="BJ10" s="21">
        <f t="shared" si="10"/>
        <v>4000</v>
      </c>
      <c r="BK10" s="21">
        <f t="shared" si="10"/>
        <v>4000</v>
      </c>
      <c r="BL10" s="21">
        <f t="shared" si="10"/>
        <v>4000</v>
      </c>
    </row>
    <row r="11" spans="2:64" x14ac:dyDescent="0.3">
      <c r="B11" t="s">
        <v>505</v>
      </c>
      <c r="C11" s="22">
        <v>4.7E-2</v>
      </c>
      <c r="F11" s="19" t="s">
        <v>504</v>
      </c>
      <c r="G11" s="21">
        <f>G6*$C$11</f>
        <v>5.452</v>
      </c>
      <c r="H11" s="21">
        <f t="shared" ref="H11:M11" si="11">H6*$C$11</f>
        <v>7.7080000000000002</v>
      </c>
      <c r="I11" s="21">
        <f t="shared" si="11"/>
        <v>9.7289999999999992</v>
      </c>
      <c r="J11" s="21">
        <f t="shared" si="11"/>
        <v>12.878</v>
      </c>
      <c r="K11" s="21">
        <f t="shared" si="11"/>
        <v>15.134</v>
      </c>
      <c r="L11" s="21">
        <f t="shared" si="11"/>
        <v>18.048000000000002</v>
      </c>
      <c r="M11" s="21">
        <f t="shared" si="11"/>
        <v>21.573</v>
      </c>
      <c r="N11" s="21">
        <f>N6*$C$11-G11</f>
        <v>22.418999999999997</v>
      </c>
      <c r="O11" s="21">
        <f>O6*$C$11-H11</f>
        <v>29.939</v>
      </c>
      <c r="P11" s="21">
        <f t="shared" ref="P11:BL11" si="12">P6*$C$11-I11</f>
        <v>43.992000000000004</v>
      </c>
      <c r="Q11" s="21">
        <f t="shared" si="12"/>
        <v>52.686999999999998</v>
      </c>
      <c r="R11" s="21">
        <f t="shared" si="12"/>
        <v>69.729445856318279</v>
      </c>
      <c r="S11" s="21">
        <f t="shared" si="12"/>
        <v>91.794209145249226</v>
      </c>
      <c r="T11" s="21">
        <f t="shared" si="12"/>
        <v>120.60023829079915</v>
      </c>
      <c r="U11" s="21">
        <f t="shared" si="12"/>
        <v>161.60160413190988</v>
      </c>
      <c r="V11" s="21">
        <f t="shared" si="12"/>
        <v>208.24635156250008</v>
      </c>
      <c r="W11" s="21">
        <f t="shared" si="12"/>
        <v>264.30098689990638</v>
      </c>
      <c r="X11" s="21">
        <f t="shared" si="12"/>
        <v>346.34915041047583</v>
      </c>
      <c r="Y11" s="21">
        <f t="shared" si="12"/>
        <v>446.75927137197573</v>
      </c>
      <c r="Z11" s="21">
        <f t="shared" si="12"/>
        <v>576.71814180270485</v>
      </c>
      <c r="AA11" s="21">
        <f t="shared" si="12"/>
        <v>744.68248418234589</v>
      </c>
      <c r="AB11" s="21">
        <f t="shared" si="12"/>
        <v>958.3690123404067</v>
      </c>
      <c r="AC11" s="21">
        <f t="shared" si="12"/>
        <v>1241.3771636005572</v>
      </c>
      <c r="AD11" s="21">
        <f t="shared" si="12"/>
        <v>1612.0056811560059</v>
      </c>
      <c r="AE11" s="21">
        <f t="shared" si="12"/>
        <v>2082.2308745176392</v>
      </c>
      <c r="AF11" s="21">
        <f t="shared" si="12"/>
        <v>2696.6506188624971</v>
      </c>
      <c r="AG11" s="21">
        <f t="shared" si="12"/>
        <v>3491.9251133506336</v>
      </c>
      <c r="AH11" s="21">
        <f t="shared" si="12"/>
        <v>4521.5279419959497</v>
      </c>
      <c r="AI11" s="21">
        <f t="shared" si="12"/>
        <v>5857.9013052064638</v>
      </c>
      <c r="AJ11" s="21">
        <f t="shared" si="12"/>
        <v>7581.1987082086143</v>
      </c>
      <c r="AK11" s="21">
        <f t="shared" si="12"/>
        <v>9807.4130607114184</v>
      </c>
      <c r="AL11" s="21">
        <f t="shared" si="12"/>
        <v>12698.387200844101</v>
      </c>
      <c r="AM11" s="21">
        <f t="shared" si="12"/>
        <v>16434.504444988343</v>
      </c>
      <c r="AN11" s="21">
        <f t="shared" si="12"/>
        <v>21270.306899612617</v>
      </c>
      <c r="AO11" s="21">
        <f t="shared" si="12"/>
        <v>27529.235967310815</v>
      </c>
      <c r="AP11" s="21">
        <f t="shared" si="12"/>
        <v>35626.705842983807</v>
      </c>
      <c r="AQ11" s="21">
        <f t="shared" si="12"/>
        <v>46114.015393691479</v>
      </c>
      <c r="AR11" s="21">
        <f t="shared" si="12"/>
        <v>59692.486194684243</v>
      </c>
      <c r="AS11" s="21">
        <f t="shared" si="12"/>
        <v>77258.158783748979</v>
      </c>
      <c r="AT11" s="21">
        <f t="shared" si="12"/>
        <v>99999.911319290171</v>
      </c>
      <c r="AU11" s="21">
        <f t="shared" si="12"/>
        <v>129435.49250592236</v>
      </c>
      <c r="AV11" s="21">
        <f t="shared" si="12"/>
        <v>167535.40901224816</v>
      </c>
      <c r="AW11" s="21">
        <f t="shared" si="12"/>
        <v>216853.3969207583</v>
      </c>
      <c r="AX11" s="21">
        <f t="shared" si="12"/>
        <v>280681.24931596313</v>
      </c>
      <c r="AY11" s="21">
        <f t="shared" si="12"/>
        <v>363291.91482398391</v>
      </c>
      <c r="AZ11" s="21">
        <f t="shared" si="12"/>
        <v>470227.75311917125</v>
      </c>
      <c r="BA11" s="21">
        <f t="shared" si="12"/>
        <v>608633.369270514</v>
      </c>
      <c r="BB11" s="21">
        <f t="shared" si="12"/>
        <v>787777.38081548468</v>
      </c>
      <c r="BC11" s="21">
        <f t="shared" si="12"/>
        <v>1019650.5135657942</v>
      </c>
      <c r="BD11" s="21">
        <f t="shared" si="12"/>
        <v>1319769.6224048724</v>
      </c>
      <c r="BE11" s="21">
        <f t="shared" si="12"/>
        <v>1708232.4150188649</v>
      </c>
      <c r="BF11" s="21">
        <f t="shared" si="12"/>
        <v>2211039.9248186653</v>
      </c>
      <c r="BG11" s="21">
        <f t="shared" si="12"/>
        <v>2861834.6382437539</v>
      </c>
      <c r="BH11" s="21">
        <f t="shared" si="12"/>
        <v>3704190.4900950324</v>
      </c>
      <c r="BI11" s="21">
        <f t="shared" si="12"/>
        <v>4794485.9315784108</v>
      </c>
      <c r="BJ11" s="21">
        <f t="shared" si="12"/>
        <v>6205699.907650576</v>
      </c>
      <c r="BK11" s="21">
        <f t="shared" si="12"/>
        <v>8032295.2637969414</v>
      </c>
      <c r="BL11" s="21">
        <f t="shared" si="12"/>
        <v>10396525.491104268</v>
      </c>
    </row>
    <row r="12" spans="2:64" x14ac:dyDescent="0.3">
      <c r="B12" t="s">
        <v>503</v>
      </c>
      <c r="C12" s="6">
        <v>4000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</row>
    <row r="13" spans="2:64" x14ac:dyDescent="0.3"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</row>
    <row r="14" spans="2:64" x14ac:dyDescent="0.3">
      <c r="B14" t="s">
        <v>454</v>
      </c>
      <c r="C14" s="6">
        <v>100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</row>
    <row r="15" spans="2:64" x14ac:dyDescent="0.3">
      <c r="B15" t="s">
        <v>455</v>
      </c>
      <c r="C15" s="6">
        <f>HLOOKUP(C18,G4:BL9,3,FALSE)</f>
        <v>6559.4252531894972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</row>
    <row r="16" spans="2:64" x14ac:dyDescent="0.3"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</row>
    <row r="17" spans="2:3" x14ac:dyDescent="0.3">
      <c r="B17" t="s">
        <v>456</v>
      </c>
      <c r="C17" s="6">
        <v>0</v>
      </c>
    </row>
    <row r="18" spans="2:3" x14ac:dyDescent="0.3">
      <c r="B18" t="s">
        <v>491</v>
      </c>
      <c r="C18" s="6">
        <f>C5+5</f>
        <v>16</v>
      </c>
    </row>
    <row r="21" spans="2:3" x14ac:dyDescent="0.3">
      <c r="B21" t="str">
        <f>B2&amp;" 'rona projections"</f>
        <v>United Kingdom 'rona projections</v>
      </c>
    </row>
    <row r="22" spans="2:3" x14ac:dyDescent="0.3">
      <c r="B22" t="str">
        <f>B2&amp;" critically ill projections based on "&amp;TEXT(C11,"0.0%")&amp;" of people requiring critical care"</f>
        <v>United Kingdom critically ill projections based on 4.7% of people requiring critical care</v>
      </c>
    </row>
    <row r="28" spans="2:3" x14ac:dyDescent="0.3">
      <c r="B28" s="6"/>
    </row>
    <row r="29" spans="2:3" x14ac:dyDescent="0.3">
      <c r="B29" s="21"/>
    </row>
    <row r="30" spans="2:3" x14ac:dyDescent="0.3">
      <c r="B30" s="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R19" sqref="R19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454</v>
      </c>
      <c r="S4" s="6">
        <v>100</v>
      </c>
    </row>
    <row r="5" spans="12:19" x14ac:dyDescent="0.3">
      <c r="R5" t="s">
        <v>455</v>
      </c>
      <c r="S5" s="6">
        <v>30000</v>
      </c>
    </row>
    <row r="6" spans="12:19" x14ac:dyDescent="0.3">
      <c r="L6" s="6"/>
    </row>
    <row r="7" spans="12:19" x14ac:dyDescent="0.3">
      <c r="R7" t="s">
        <v>456</v>
      </c>
      <c r="S7" s="6">
        <v>0</v>
      </c>
    </row>
    <row r="8" spans="12:19" x14ac:dyDescent="0.3">
      <c r="R8" t="s">
        <v>457</v>
      </c>
      <c r="S8" s="6">
        <v>25</v>
      </c>
    </row>
    <row r="10" spans="12:19" x14ac:dyDescent="0.3">
      <c r="R10">
        <v>1</v>
      </c>
      <c r="S10" t="s">
        <v>377</v>
      </c>
    </row>
    <row r="11" spans="12:19" x14ac:dyDescent="0.3">
      <c r="R11">
        <v>2</v>
      </c>
      <c r="S11" t="s">
        <v>65</v>
      </c>
    </row>
    <row r="12" spans="12:19" x14ac:dyDescent="0.3">
      <c r="R12">
        <v>3</v>
      </c>
      <c r="S12" s="23" t="s">
        <v>85</v>
      </c>
    </row>
    <row r="13" spans="12:19" x14ac:dyDescent="0.3">
      <c r="R13">
        <v>4</v>
      </c>
      <c r="S13" s="23" t="s">
        <v>365</v>
      </c>
    </row>
    <row r="14" spans="12:19" x14ac:dyDescent="0.3">
      <c r="R14">
        <v>5</v>
      </c>
    </row>
    <row r="15" spans="12:19" x14ac:dyDescent="0.3">
      <c r="R15">
        <v>6</v>
      </c>
    </row>
    <row r="16" spans="12:19" x14ac:dyDescent="0.3">
      <c r="R16">
        <v>7</v>
      </c>
    </row>
    <row r="17" spans="18:18" x14ac:dyDescent="0.3">
      <c r="R17">
        <v>8</v>
      </c>
    </row>
    <row r="18" spans="18:18" x14ac:dyDescent="0.3">
      <c r="R18">
        <v>9</v>
      </c>
    </row>
    <row r="19" spans="18:18" x14ac:dyDescent="0.3">
      <c r="R19">
        <v>10</v>
      </c>
    </row>
    <row r="20" spans="18:18" x14ac:dyDescent="0.3">
      <c r="R20">
        <v>11</v>
      </c>
    </row>
    <row r="21" spans="18:18" x14ac:dyDescent="0.3">
      <c r="R21">
        <f>R20+1</f>
        <v>12</v>
      </c>
    </row>
    <row r="22" spans="18:18" x14ac:dyDescent="0.3">
      <c r="R22">
        <f t="shared" ref="R22:R29" si="0">R21+1</f>
        <v>13</v>
      </c>
    </row>
    <row r="23" spans="18:18" x14ac:dyDescent="0.3">
      <c r="R23">
        <f t="shared" si="0"/>
        <v>14</v>
      </c>
    </row>
    <row r="24" spans="18:18" x14ac:dyDescent="0.3">
      <c r="R24">
        <f t="shared" si="0"/>
        <v>15</v>
      </c>
    </row>
    <row r="25" spans="18:18" x14ac:dyDescent="0.3">
      <c r="R25">
        <f t="shared" si="0"/>
        <v>16</v>
      </c>
    </row>
    <row r="26" spans="18:18" x14ac:dyDescent="0.3">
      <c r="R26">
        <f t="shared" si="0"/>
        <v>17</v>
      </c>
    </row>
    <row r="27" spans="18:18" x14ac:dyDescent="0.3">
      <c r="R27">
        <f t="shared" si="0"/>
        <v>18</v>
      </c>
    </row>
    <row r="28" spans="18:18" x14ac:dyDescent="0.3">
      <c r="R28">
        <f t="shared" si="0"/>
        <v>19</v>
      </c>
    </row>
    <row r="29" spans="18:18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U121"/>
  <sheetViews>
    <sheetView zoomScale="94" workbookViewId="0">
      <pane xSplit="8" ySplit="1" topLeftCell="I2" activePane="bottomRight" state="frozen"/>
      <selection pane="topRight" activeCell="B1" sqref="B1"/>
      <selection pane="bottomLeft" activeCell="A2" sqref="A2"/>
      <selection pane="bottomRight" activeCell="A50" sqref="A50:A121"/>
    </sheetView>
  </sheetViews>
  <sheetFormatPr defaultRowHeight="12" x14ac:dyDescent="0.25"/>
  <cols>
    <col min="1" max="1" width="3.33203125" style="11" bestFit="1" customWidth="1"/>
    <col min="2" max="2" width="1.6640625" style="11" bestFit="1" customWidth="1"/>
    <col min="3" max="3" width="17.33203125" style="11" bestFit="1" customWidth="1"/>
    <col min="4" max="6" width="12.33203125" style="12" bestFit="1" customWidth="1"/>
    <col min="7" max="7" width="4.6640625" style="14" bestFit="1" customWidth="1"/>
    <col min="8" max="8" width="17.33203125" style="15" bestFit="1" customWidth="1"/>
    <col min="9" max="9" width="4" style="11" bestFit="1" customWidth="1"/>
    <col min="10" max="14" width="4.21875" style="11" bestFit="1" customWidth="1"/>
    <col min="15" max="20" width="5.5546875" style="11" bestFit="1" customWidth="1"/>
    <col min="21" max="26" width="6.33203125" style="11" bestFit="1" customWidth="1"/>
    <col min="27" max="31" width="7.21875" style="11" bestFit="1" customWidth="1"/>
    <col min="32" max="37" width="8.5546875" style="11" bestFit="1" customWidth="1"/>
    <col min="38" max="43" width="9.33203125" style="11" bestFit="1" customWidth="1"/>
    <col min="44" max="48" width="10.109375" style="11" bestFit="1" customWidth="1"/>
    <col min="49" max="54" width="11.44140625" style="11" bestFit="1" customWidth="1"/>
    <col min="55" max="60" width="12.33203125" style="11" bestFit="1" customWidth="1"/>
    <col min="61" max="65" width="5" style="11" bestFit="1" customWidth="1"/>
    <col min="66" max="99" width="4.88671875" style="11" bestFit="1" customWidth="1"/>
    <col min="100" max="16384" width="8.88671875" style="11"/>
  </cols>
  <sheetData>
    <row r="1" spans="1:99" x14ac:dyDescent="0.25">
      <c r="F1" s="13">
        <f>Projections!C7</f>
        <v>5</v>
      </c>
      <c r="I1" s="16">
        <v>0</v>
      </c>
      <c r="J1" s="16">
        <f>I1+1</f>
        <v>1</v>
      </c>
      <c r="K1" s="16">
        <f t="shared" ref="K1:BH1" si="0">J1+1</f>
        <v>2</v>
      </c>
      <c r="L1" s="16">
        <f t="shared" si="0"/>
        <v>3</v>
      </c>
      <c r="M1" s="16">
        <f t="shared" si="0"/>
        <v>4</v>
      </c>
      <c r="N1" s="16">
        <f t="shared" si="0"/>
        <v>5</v>
      </c>
      <c r="O1" s="16">
        <f t="shared" si="0"/>
        <v>6</v>
      </c>
      <c r="P1" s="16">
        <f t="shared" si="0"/>
        <v>7</v>
      </c>
      <c r="Q1" s="16">
        <f t="shared" si="0"/>
        <v>8</v>
      </c>
      <c r="R1" s="16">
        <f t="shared" si="0"/>
        <v>9</v>
      </c>
      <c r="S1" s="16">
        <f t="shared" si="0"/>
        <v>10</v>
      </c>
      <c r="T1" s="16">
        <f t="shared" si="0"/>
        <v>11</v>
      </c>
      <c r="U1" s="16">
        <f t="shared" si="0"/>
        <v>12</v>
      </c>
      <c r="V1" s="16">
        <f t="shared" si="0"/>
        <v>13</v>
      </c>
      <c r="W1" s="16">
        <f t="shared" si="0"/>
        <v>14</v>
      </c>
      <c r="X1" s="16">
        <f t="shared" si="0"/>
        <v>15</v>
      </c>
      <c r="Y1" s="16">
        <f t="shared" si="0"/>
        <v>16</v>
      </c>
      <c r="Z1" s="16">
        <f t="shared" si="0"/>
        <v>17</v>
      </c>
      <c r="AA1" s="16">
        <f t="shared" si="0"/>
        <v>18</v>
      </c>
      <c r="AB1" s="16">
        <f t="shared" si="0"/>
        <v>19</v>
      </c>
      <c r="AC1" s="16">
        <f t="shared" si="0"/>
        <v>20</v>
      </c>
      <c r="AD1" s="16">
        <f t="shared" si="0"/>
        <v>21</v>
      </c>
      <c r="AE1" s="16">
        <f t="shared" si="0"/>
        <v>22</v>
      </c>
      <c r="AF1" s="16">
        <f t="shared" si="0"/>
        <v>23</v>
      </c>
      <c r="AG1" s="16">
        <f t="shared" si="0"/>
        <v>24</v>
      </c>
      <c r="AH1" s="16">
        <f t="shared" si="0"/>
        <v>25</v>
      </c>
      <c r="AI1" s="16">
        <f t="shared" si="0"/>
        <v>26</v>
      </c>
      <c r="AJ1" s="16">
        <f t="shared" si="0"/>
        <v>27</v>
      </c>
      <c r="AK1" s="16">
        <f t="shared" si="0"/>
        <v>28</v>
      </c>
      <c r="AL1" s="16">
        <f t="shared" si="0"/>
        <v>29</v>
      </c>
      <c r="AM1" s="16">
        <f t="shared" si="0"/>
        <v>30</v>
      </c>
      <c r="AN1" s="16">
        <f t="shared" si="0"/>
        <v>31</v>
      </c>
      <c r="AO1" s="16">
        <f t="shared" si="0"/>
        <v>32</v>
      </c>
      <c r="AP1" s="16">
        <f t="shared" si="0"/>
        <v>33</v>
      </c>
      <c r="AQ1" s="16">
        <f t="shared" si="0"/>
        <v>34</v>
      </c>
      <c r="AR1" s="16">
        <f t="shared" si="0"/>
        <v>35</v>
      </c>
      <c r="AS1" s="16">
        <f t="shared" si="0"/>
        <v>36</v>
      </c>
      <c r="AT1" s="16">
        <f t="shared" si="0"/>
        <v>37</v>
      </c>
      <c r="AU1" s="16">
        <f t="shared" si="0"/>
        <v>38</v>
      </c>
      <c r="AV1" s="16">
        <f t="shared" si="0"/>
        <v>39</v>
      </c>
      <c r="AW1" s="16">
        <f t="shared" si="0"/>
        <v>40</v>
      </c>
      <c r="AX1" s="16">
        <f t="shared" si="0"/>
        <v>41</v>
      </c>
      <c r="AY1" s="16">
        <f t="shared" si="0"/>
        <v>42</v>
      </c>
      <c r="AZ1" s="16">
        <f t="shared" si="0"/>
        <v>43</v>
      </c>
      <c r="BA1" s="16">
        <f t="shared" si="0"/>
        <v>44</v>
      </c>
      <c r="BB1" s="16">
        <f t="shared" si="0"/>
        <v>45</v>
      </c>
      <c r="BC1" s="16">
        <f t="shared" si="0"/>
        <v>46</v>
      </c>
      <c r="BD1" s="16">
        <f t="shared" si="0"/>
        <v>47</v>
      </c>
      <c r="BE1" s="16">
        <f t="shared" si="0"/>
        <v>48</v>
      </c>
      <c r="BF1" s="16">
        <f t="shared" si="0"/>
        <v>49</v>
      </c>
      <c r="BG1" s="16">
        <f t="shared" si="0"/>
        <v>50</v>
      </c>
      <c r="BH1" s="16">
        <f t="shared" si="0"/>
        <v>51</v>
      </c>
      <c r="BI1" s="16">
        <f t="shared" ref="BI1" si="1">BH1+1</f>
        <v>52</v>
      </c>
      <c r="BJ1" s="16">
        <f t="shared" ref="BJ1" si="2">BI1+1</f>
        <v>53</v>
      </c>
      <c r="BK1" s="16">
        <f t="shared" ref="BK1" si="3">BJ1+1</f>
        <v>54</v>
      </c>
      <c r="BL1" s="16">
        <f t="shared" ref="BL1" si="4">BK1+1</f>
        <v>55</v>
      </c>
      <c r="BM1" s="16">
        <f t="shared" ref="BM1" si="5">BL1+1</f>
        <v>56</v>
      </c>
      <c r="BN1" s="16">
        <f t="shared" ref="BN1" si="6">BM1+1</f>
        <v>57</v>
      </c>
      <c r="BO1" s="16">
        <f t="shared" ref="BO1" si="7">BN1+1</f>
        <v>58</v>
      </c>
      <c r="BP1" s="16">
        <f t="shared" ref="BP1" si="8">BO1+1</f>
        <v>59</v>
      </c>
      <c r="BQ1" s="16">
        <f t="shared" ref="BQ1" si="9">BP1+1</f>
        <v>60</v>
      </c>
      <c r="BR1" s="16">
        <f t="shared" ref="BR1" si="10">BQ1+1</f>
        <v>61</v>
      </c>
      <c r="BS1" s="16">
        <f t="shared" ref="BS1" si="11">BR1+1</f>
        <v>62</v>
      </c>
      <c r="BT1" s="16">
        <f t="shared" ref="BT1" si="12">BS1+1</f>
        <v>63</v>
      </c>
      <c r="BU1" s="16">
        <f t="shared" ref="BU1" si="13">BT1+1</f>
        <v>64</v>
      </c>
      <c r="BV1" s="16">
        <f t="shared" ref="BV1" si="14">BU1+1</f>
        <v>65</v>
      </c>
      <c r="BW1" s="16">
        <f t="shared" ref="BW1" si="15">BV1+1</f>
        <v>66</v>
      </c>
      <c r="BX1" s="16">
        <f t="shared" ref="BX1" si="16">BW1+1</f>
        <v>67</v>
      </c>
      <c r="BY1" s="16">
        <f t="shared" ref="BY1" si="17">BX1+1</f>
        <v>68</v>
      </c>
      <c r="BZ1" s="16">
        <f t="shared" ref="BZ1" si="18">BY1+1</f>
        <v>69</v>
      </c>
      <c r="CA1" s="16">
        <f t="shared" ref="CA1" si="19">BZ1+1</f>
        <v>70</v>
      </c>
      <c r="CB1" s="16">
        <f t="shared" ref="CB1" si="20">CA1+1</f>
        <v>71</v>
      </c>
      <c r="CC1" s="16">
        <f t="shared" ref="CC1" si="21">CB1+1</f>
        <v>72</v>
      </c>
      <c r="CD1" s="16">
        <f t="shared" ref="CD1" si="22">CC1+1</f>
        <v>73</v>
      </c>
      <c r="CE1" s="16">
        <f t="shared" ref="CE1" si="23">CD1+1</f>
        <v>74</v>
      </c>
      <c r="CF1" s="16">
        <f t="shared" ref="CF1" si="24">CE1+1</f>
        <v>75</v>
      </c>
      <c r="CG1" s="16">
        <f t="shared" ref="CG1" si="25">CF1+1</f>
        <v>76</v>
      </c>
      <c r="CH1" s="16">
        <f t="shared" ref="CH1" si="26">CG1+1</f>
        <v>77</v>
      </c>
      <c r="CI1" s="16">
        <f t="shared" ref="CI1" si="27">CH1+1</f>
        <v>78</v>
      </c>
      <c r="CJ1" s="16">
        <f t="shared" ref="CJ1" si="28">CI1+1</f>
        <v>79</v>
      </c>
      <c r="CK1" s="16">
        <f t="shared" ref="CK1" si="29">CJ1+1</f>
        <v>80</v>
      </c>
      <c r="CL1" s="16">
        <f t="shared" ref="CL1" si="30">CK1+1</f>
        <v>81</v>
      </c>
      <c r="CM1" s="16">
        <f t="shared" ref="CM1" si="31">CL1+1</f>
        <v>82</v>
      </c>
      <c r="CN1" s="16">
        <f t="shared" ref="CN1" si="32">CM1+1</f>
        <v>83</v>
      </c>
      <c r="CO1" s="16">
        <f t="shared" ref="CO1" si="33">CN1+1</f>
        <v>84</v>
      </c>
      <c r="CP1" s="16">
        <f t="shared" ref="CP1" si="34">CO1+1</f>
        <v>85</v>
      </c>
      <c r="CQ1" s="16">
        <f t="shared" ref="CQ1" si="35">CP1+1</f>
        <v>86</v>
      </c>
      <c r="CR1" s="16">
        <f t="shared" ref="CR1" si="36">CQ1+1</f>
        <v>87</v>
      </c>
      <c r="CS1" s="16">
        <f t="shared" ref="CS1" si="37">CR1+1</f>
        <v>88</v>
      </c>
      <c r="CT1" s="16">
        <f t="shared" ref="CT1" si="38">CS1+1</f>
        <v>89</v>
      </c>
      <c r="CU1" s="16">
        <f t="shared" ref="CU1" si="39">CT1+1</f>
        <v>90</v>
      </c>
    </row>
    <row r="2" spans="1:99" x14ac:dyDescent="0.25">
      <c r="A2" s="11">
        <v>1</v>
      </c>
      <c r="B2" s="11">
        <v>1</v>
      </c>
      <c r="C2" s="11" t="str">
        <f>H2</f>
        <v>50% Daily Increase</v>
      </c>
      <c r="D2" s="8">
        <f>MAX(I2:CL2)</f>
        <v>95643225032.107452</v>
      </c>
      <c r="E2" s="8">
        <f>IF(COUNTIF(I2:XFD2,"&gt;"&amp;0)=0,,HLOOKUP(COUNTIF(I2:XFD2,"&gt;"&amp;0)-1,I$1:XFD2,A2+1,FALSE))</f>
        <v>95643225032.107452</v>
      </c>
      <c r="F2" s="9">
        <f>IF(COUNTIF(I2:XFD2,"&gt;"&amp;0)=0,,HLOOKUP(COUNTIF(I2:XFD2,"&gt;"&amp;0)-MIN($F$1+1,COUNTIF(I2:XFD2,"&gt;"&amp;0)),I$1:XFD2,A2+1,FALSE))</f>
        <v>12594992596.820734</v>
      </c>
      <c r="G2" s="10">
        <f>IF(COUNTIF(I2:XFD2,"&gt;"&amp;0)=0,,(E2/F2)^(1/$F$1))</f>
        <v>1.5</v>
      </c>
      <c r="H2" s="17" t="s">
        <v>458</v>
      </c>
      <c r="I2" s="11">
        <v>100</v>
      </c>
      <c r="J2" s="12">
        <f>I2*1.5</f>
        <v>150</v>
      </c>
      <c r="K2" s="12">
        <f>J2*1.5</f>
        <v>225</v>
      </c>
      <c r="L2" s="12">
        <f>K2*1.5</f>
        <v>337.5</v>
      </c>
      <c r="M2" s="12">
        <f>L2*1.5</f>
        <v>506.25</v>
      </c>
      <c r="N2" s="12">
        <f>M2*1.5</f>
        <v>759.375</v>
      </c>
      <c r="O2" s="12">
        <f>N2*1.5</f>
        <v>1139.0625</v>
      </c>
      <c r="P2" s="12">
        <f>O2*1.5</f>
        <v>1708.59375</v>
      </c>
      <c r="Q2" s="12">
        <f>P2*1.5</f>
        <v>2562.890625</v>
      </c>
      <c r="R2" s="12">
        <f>Q2*1.5</f>
        <v>3844.3359375</v>
      </c>
      <c r="S2" s="12">
        <f>R2*1.5</f>
        <v>5766.50390625</v>
      </c>
      <c r="T2" s="12">
        <f>S2*1.5</f>
        <v>8649.755859375</v>
      </c>
      <c r="U2" s="12">
        <f>T2*1.5</f>
        <v>12974.6337890625</v>
      </c>
      <c r="V2" s="12">
        <f>U2*1.5</f>
        <v>19461.95068359375</v>
      </c>
      <c r="W2" s="12">
        <f>V2*1.5</f>
        <v>29192.926025390625</v>
      </c>
      <c r="X2" s="12">
        <f>W2*1.5</f>
        <v>43789.389038085938</v>
      </c>
      <c r="Y2" s="12">
        <f>X2*1.5</f>
        <v>65684.083557128906</v>
      </c>
      <c r="Z2" s="12">
        <f>Y2*1.5</f>
        <v>98526.125335693359</v>
      </c>
      <c r="AA2" s="12">
        <f>Z2*1.5</f>
        <v>147789.18800354004</v>
      </c>
      <c r="AB2" s="12">
        <f>AA2*1.5</f>
        <v>221683.78200531006</v>
      </c>
      <c r="AC2" s="12">
        <f>AB2*1.5</f>
        <v>332525.67300796509</v>
      </c>
      <c r="AD2" s="12">
        <f>AC2*1.5</f>
        <v>498788.50951194763</v>
      </c>
      <c r="AE2" s="12">
        <f>AD2*1.5</f>
        <v>748182.76426792145</v>
      </c>
      <c r="AF2" s="12">
        <f>AE2*1.5</f>
        <v>1122274.1464018822</v>
      </c>
      <c r="AG2" s="12">
        <f>AF2*1.5</f>
        <v>1683411.2196028233</v>
      </c>
      <c r="AH2" s="12">
        <f>AG2*1.5</f>
        <v>2525116.8294042349</v>
      </c>
      <c r="AI2" s="12">
        <f>AH2*1.5</f>
        <v>3787675.2441063523</v>
      </c>
      <c r="AJ2" s="12">
        <f>AI2*1.5</f>
        <v>5681512.8661595285</v>
      </c>
      <c r="AK2" s="12">
        <f>AJ2*1.5</f>
        <v>8522269.2992392927</v>
      </c>
      <c r="AL2" s="12">
        <f>AK2*1.5</f>
        <v>12783403.948858939</v>
      </c>
      <c r="AM2" s="12">
        <f>AL2*1.5</f>
        <v>19175105.923288409</v>
      </c>
      <c r="AN2" s="12">
        <f>AM2*1.5</f>
        <v>28762658.884932615</v>
      </c>
      <c r="AO2" s="12">
        <f>AN2*1.5</f>
        <v>43143988.327398926</v>
      </c>
      <c r="AP2" s="12">
        <f>AO2*1.5</f>
        <v>64715982.491098389</v>
      </c>
      <c r="AQ2" s="12">
        <f>AP2*1.5</f>
        <v>97073973.736647576</v>
      </c>
      <c r="AR2" s="12">
        <f>AQ2*1.5</f>
        <v>145610960.60497135</v>
      </c>
      <c r="AS2" s="12">
        <f>AR2*1.5</f>
        <v>218416440.90745702</v>
      </c>
      <c r="AT2" s="12">
        <f>AS2*1.5</f>
        <v>327624661.36118555</v>
      </c>
      <c r="AU2" s="12">
        <f>AT2*1.5</f>
        <v>491436992.04177833</v>
      </c>
      <c r="AV2" s="12">
        <f>AU2*1.5</f>
        <v>737155488.06266749</v>
      </c>
      <c r="AW2" s="12">
        <f>AV2*1.5</f>
        <v>1105733232.0940013</v>
      </c>
      <c r="AX2" s="12">
        <f>AW2*1.5</f>
        <v>1658599848.1410019</v>
      </c>
      <c r="AY2" s="12">
        <f>AX2*1.5</f>
        <v>2487899772.211503</v>
      </c>
      <c r="AZ2" s="12">
        <f>AY2*1.5</f>
        <v>3731849658.3172545</v>
      </c>
      <c r="BA2" s="12">
        <f>AZ2*1.5</f>
        <v>5597774487.4758816</v>
      </c>
      <c r="BB2" s="12">
        <f>BA2*1.5</f>
        <v>8396661731.2138224</v>
      </c>
      <c r="BC2" s="12">
        <f>BB2*1.5</f>
        <v>12594992596.820734</v>
      </c>
      <c r="BD2" s="12">
        <f>BC2*1.5</f>
        <v>18892488895.231102</v>
      </c>
      <c r="BE2" s="12">
        <f>BD2*1.5</f>
        <v>28338733342.846653</v>
      </c>
      <c r="BF2" s="12">
        <f>BE2*1.5</f>
        <v>42508100014.269981</v>
      </c>
      <c r="BG2" s="12">
        <f>BF2*1.5</f>
        <v>63762150021.404968</v>
      </c>
      <c r="BH2" s="12">
        <f>BG2*1.5</f>
        <v>95643225032.107452</v>
      </c>
    </row>
    <row r="3" spans="1:99" x14ac:dyDescent="0.25">
      <c r="A3" s="11">
        <v>2</v>
      </c>
      <c r="B3" s="11">
        <v>1</v>
      </c>
      <c r="C3" s="11" t="str">
        <f>H3</f>
        <v>40% Daily Increase</v>
      </c>
      <c r="D3" s="8">
        <f>MAX(I3:CL3)</f>
        <v>2834848273.5670052</v>
      </c>
      <c r="E3" s="8">
        <f>IF(COUNTIF(I3:XFD3,"&gt;"&amp;0)=0,,HLOOKUP(COUNTIF(I3:XFD3,"&gt;"&amp;0)-1,I$1:XFD3,A3+1,FALSE))</f>
        <v>2834848273.5670052</v>
      </c>
      <c r="F3" s="9">
        <f>IF(COUNTIF(I3:XFD3,"&gt;"&amp;0)=0,,HLOOKUP(COUNTIF(I3:XFD3,"&gt;"&amp;0)-MIN($F$1+1,COUNTIF(I3:XFD3,"&gt;"&amp;0)),I$1:XFD3,A3+1,FALSE))</f>
        <v>527095903.78395271</v>
      </c>
      <c r="G3" s="10">
        <f>IF(COUNTIF(I3:XFD3,"&gt;"&amp;0)=0,,(E3/F3)^(1/$F$1))</f>
        <v>1.4000000000000001</v>
      </c>
      <c r="H3" s="17" t="s">
        <v>459</v>
      </c>
      <c r="I3" s="11">
        <v>100</v>
      </c>
      <c r="J3" s="12">
        <f>I3*1.4</f>
        <v>140</v>
      </c>
      <c r="K3" s="12">
        <f>J3*1.4</f>
        <v>196</v>
      </c>
      <c r="L3" s="12">
        <f>K3*1.4</f>
        <v>274.39999999999998</v>
      </c>
      <c r="M3" s="12">
        <f>L3*1.4</f>
        <v>384.15999999999997</v>
      </c>
      <c r="N3" s="12">
        <f>M3*1.4</f>
        <v>537.82399999999996</v>
      </c>
      <c r="O3" s="12">
        <f>N3*1.4</f>
        <v>752.95359999999994</v>
      </c>
      <c r="P3" s="12">
        <f>O3*1.4</f>
        <v>1054.1350399999999</v>
      </c>
      <c r="Q3" s="12">
        <f>P3*1.4</f>
        <v>1475.7890559999998</v>
      </c>
      <c r="R3" s="12">
        <f>Q3*1.4</f>
        <v>2066.1046783999996</v>
      </c>
      <c r="S3" s="12">
        <f>R3*1.4</f>
        <v>2892.5465497599994</v>
      </c>
      <c r="T3" s="12">
        <f>S3*1.4</f>
        <v>4049.5651696639989</v>
      </c>
      <c r="U3" s="12">
        <f>T3*1.4</f>
        <v>5669.3912375295977</v>
      </c>
      <c r="V3" s="12">
        <f>U3*1.4</f>
        <v>7937.1477325414362</v>
      </c>
      <c r="W3" s="12">
        <f>V3*1.4</f>
        <v>11112.00682555801</v>
      </c>
      <c r="X3" s="12">
        <f>W3*1.4</f>
        <v>15556.809555781212</v>
      </c>
      <c r="Y3" s="12">
        <f>X3*1.4</f>
        <v>21779.533378093696</v>
      </c>
      <c r="Z3" s="12">
        <f>Y3*1.4</f>
        <v>30491.346729331173</v>
      </c>
      <c r="AA3" s="12">
        <f>Z3*1.4</f>
        <v>42687.885421063642</v>
      </c>
      <c r="AB3" s="12">
        <f>AA3*1.4</f>
        <v>59763.039589489097</v>
      </c>
      <c r="AC3" s="12">
        <f>AB3*1.4</f>
        <v>83668.255425284733</v>
      </c>
      <c r="AD3" s="12">
        <f>AC3*1.4</f>
        <v>117135.55759539861</v>
      </c>
      <c r="AE3" s="12">
        <f>AD3*1.4</f>
        <v>163989.78063355805</v>
      </c>
      <c r="AF3" s="12">
        <f>AE3*1.4</f>
        <v>229585.69288698127</v>
      </c>
      <c r="AG3" s="12">
        <f>AF3*1.4</f>
        <v>321419.97004177375</v>
      </c>
      <c r="AH3" s="12">
        <f>AG3*1.4</f>
        <v>449987.9580584832</v>
      </c>
      <c r="AI3" s="12">
        <f>AH3*1.4</f>
        <v>629983.14128187648</v>
      </c>
      <c r="AJ3" s="12">
        <f>AI3*1.4</f>
        <v>881976.397794627</v>
      </c>
      <c r="AK3" s="12">
        <f>AJ3*1.4</f>
        <v>1234766.9569124777</v>
      </c>
      <c r="AL3" s="12">
        <f>AK3*1.4</f>
        <v>1728673.7396774688</v>
      </c>
      <c r="AM3" s="12">
        <f>AL3*1.4</f>
        <v>2420143.2355484562</v>
      </c>
      <c r="AN3" s="12">
        <f>AM3*1.4</f>
        <v>3388200.5297678383</v>
      </c>
      <c r="AO3" s="12">
        <f>AN3*1.4</f>
        <v>4743480.7416749736</v>
      </c>
      <c r="AP3" s="12">
        <f>AO3*1.4</f>
        <v>6640873.0383449625</v>
      </c>
      <c r="AQ3" s="12">
        <f>AP3*1.4</f>
        <v>9297222.2536829468</v>
      </c>
      <c r="AR3" s="12">
        <f>AQ3*1.4</f>
        <v>13016111.155156124</v>
      </c>
      <c r="AS3" s="12">
        <f>AR3*1.4</f>
        <v>18222555.617218573</v>
      </c>
      <c r="AT3" s="12">
        <f>AS3*1.4</f>
        <v>25511577.864105999</v>
      </c>
      <c r="AU3" s="12">
        <f>AT3*1.4</f>
        <v>35716209.009748399</v>
      </c>
      <c r="AV3" s="12">
        <f>AU3*1.4</f>
        <v>50002692.613647759</v>
      </c>
      <c r="AW3" s="12">
        <f>AV3*1.4</f>
        <v>70003769.659106866</v>
      </c>
      <c r="AX3" s="12">
        <f>AW3*1.4</f>
        <v>98005277.522749603</v>
      </c>
      <c r="AY3" s="12">
        <f>AX3*1.4</f>
        <v>137207388.53184944</v>
      </c>
      <c r="AZ3" s="12">
        <f>AY3*1.4</f>
        <v>192090343.9445892</v>
      </c>
      <c r="BA3" s="12">
        <f>AZ3*1.4</f>
        <v>268926481.52242488</v>
      </c>
      <c r="BB3" s="12">
        <f>BA3*1.4</f>
        <v>376497074.1313948</v>
      </c>
      <c r="BC3" s="12">
        <f>BB3*1.4</f>
        <v>527095903.78395271</v>
      </c>
      <c r="BD3" s="12">
        <f>BC3*1.4</f>
        <v>737934265.29753375</v>
      </c>
      <c r="BE3" s="12">
        <f>BD3*1.4</f>
        <v>1033107971.4165472</v>
      </c>
      <c r="BF3" s="12">
        <f>BE3*1.4</f>
        <v>1446351159.983166</v>
      </c>
      <c r="BG3" s="12">
        <f>BF3*1.4</f>
        <v>2024891623.9764323</v>
      </c>
      <c r="BH3" s="12">
        <f>BG3*1.4</f>
        <v>2834848273.5670052</v>
      </c>
    </row>
    <row r="4" spans="1:99" x14ac:dyDescent="0.25">
      <c r="A4" s="11">
        <v>3</v>
      </c>
      <c r="B4" s="11">
        <v>1</v>
      </c>
      <c r="C4" s="11" t="str">
        <f>H4</f>
        <v>30% Daily Increase</v>
      </c>
      <c r="D4" s="8">
        <f>MAX(I4:CL4)</f>
        <v>64730798.98728662</v>
      </c>
      <c r="E4" s="8">
        <f>IF(COUNTIF(I4:XFD4,"&gt;"&amp;0)=0,,HLOOKUP(COUNTIF(I4:XFD4,"&gt;"&amp;0)-1,I$1:XFD4,A4+1,FALSE))</f>
        <v>64730798.98728662</v>
      </c>
      <c r="F4" s="9">
        <f>IF(COUNTIF(I4:XFD4,"&gt;"&amp;0)=0,,HLOOKUP(COUNTIF(I4:XFD4,"&gt;"&amp;0)-MIN($F$1+1,COUNTIF(I4:XFD4,"&gt;"&amp;0)),I$1:XFD4,A4+1,FALSE))</f>
        <v>17433886.172722515</v>
      </c>
      <c r="G4" s="10">
        <f>IF(COUNTIF(I4:XFD4,"&gt;"&amp;0)=0,,(E4/F4)^(1/$F$1))</f>
        <v>1.3</v>
      </c>
      <c r="H4" s="17" t="s">
        <v>460</v>
      </c>
      <c r="I4" s="11">
        <v>100</v>
      </c>
      <c r="J4" s="12">
        <f>I4*1.3</f>
        <v>130</v>
      </c>
      <c r="K4" s="12">
        <f>J4*1.3</f>
        <v>169</v>
      </c>
      <c r="L4" s="12">
        <f>K4*1.3</f>
        <v>219.70000000000002</v>
      </c>
      <c r="M4" s="12">
        <f>L4*1.3</f>
        <v>285.61</v>
      </c>
      <c r="N4" s="12">
        <f>M4*1.3</f>
        <v>371.29300000000001</v>
      </c>
      <c r="O4" s="12">
        <f>N4*1.3</f>
        <v>482.68090000000001</v>
      </c>
      <c r="P4" s="12">
        <f>O4*1.3</f>
        <v>627.48517000000004</v>
      </c>
      <c r="Q4" s="12">
        <f>P4*1.3</f>
        <v>815.73072100000013</v>
      </c>
      <c r="R4" s="12">
        <f>Q4*1.3</f>
        <v>1060.4499373000001</v>
      </c>
      <c r="S4" s="12">
        <f>R4*1.3</f>
        <v>1378.5849184900003</v>
      </c>
      <c r="T4" s="12">
        <f>S4*1.3</f>
        <v>1792.1603940370005</v>
      </c>
      <c r="U4" s="12">
        <f>T4*1.3</f>
        <v>2329.8085122481007</v>
      </c>
      <c r="V4" s="12">
        <f>U4*1.3</f>
        <v>3028.7510659225309</v>
      </c>
      <c r="W4" s="12">
        <f>V4*1.3</f>
        <v>3937.37638569929</v>
      </c>
      <c r="X4" s="12">
        <f>W4*1.3</f>
        <v>5118.5893014090771</v>
      </c>
      <c r="Y4" s="12">
        <f>X4*1.3</f>
        <v>6654.1660918318003</v>
      </c>
      <c r="Z4" s="12">
        <f>Y4*1.3</f>
        <v>8650.4159193813412</v>
      </c>
      <c r="AA4" s="12">
        <f>Z4*1.3</f>
        <v>11245.540695195745</v>
      </c>
      <c r="AB4" s="12">
        <f>AA4*1.3</f>
        <v>14619.202903754469</v>
      </c>
      <c r="AC4" s="12">
        <f>AB4*1.3</f>
        <v>19004.963774880809</v>
      </c>
      <c r="AD4" s="12">
        <f>AC4*1.3</f>
        <v>24706.452907345054</v>
      </c>
      <c r="AE4" s="12">
        <f>AD4*1.3</f>
        <v>32118.388779548572</v>
      </c>
      <c r="AF4" s="12">
        <f>AE4*1.3</f>
        <v>41753.905413413144</v>
      </c>
      <c r="AG4" s="12">
        <f>AF4*1.3</f>
        <v>54280.077037437091</v>
      </c>
      <c r="AH4" s="12">
        <f>AG4*1.3</f>
        <v>70564.100148668222</v>
      </c>
      <c r="AI4" s="12">
        <f>AH4*1.3</f>
        <v>91733.330193268688</v>
      </c>
      <c r="AJ4" s="12">
        <f>AI4*1.3</f>
        <v>119253.32925124929</v>
      </c>
      <c r="AK4" s="12">
        <f>AJ4*1.3</f>
        <v>155029.32802662408</v>
      </c>
      <c r="AL4" s="12">
        <f>AK4*1.3</f>
        <v>201538.1264346113</v>
      </c>
      <c r="AM4" s="12">
        <f>AL4*1.3</f>
        <v>261999.5643649947</v>
      </c>
      <c r="AN4" s="12">
        <f>AM4*1.3</f>
        <v>340599.43367449311</v>
      </c>
      <c r="AO4" s="12">
        <f>AN4*1.3</f>
        <v>442779.26377684105</v>
      </c>
      <c r="AP4" s="12">
        <f>AO4*1.3</f>
        <v>575613.04290989344</v>
      </c>
      <c r="AQ4" s="12">
        <f>AP4*1.3</f>
        <v>748296.95578286145</v>
      </c>
      <c r="AR4" s="12">
        <f>AQ4*1.3</f>
        <v>972786.04251771991</v>
      </c>
      <c r="AS4" s="12">
        <f>AR4*1.3</f>
        <v>1264621.8552730358</v>
      </c>
      <c r="AT4" s="12">
        <f>AS4*1.3</f>
        <v>1644008.4118549465</v>
      </c>
      <c r="AU4" s="12">
        <f>AT4*1.3</f>
        <v>2137210.9354114304</v>
      </c>
      <c r="AV4" s="12">
        <f>AU4*1.3</f>
        <v>2778374.2160348599</v>
      </c>
      <c r="AW4" s="12">
        <f>AV4*1.3</f>
        <v>3611886.4808453182</v>
      </c>
      <c r="AX4" s="12">
        <f>AW4*1.3</f>
        <v>4695452.4250989137</v>
      </c>
      <c r="AY4" s="12">
        <f>AX4*1.3</f>
        <v>6104088.1526285885</v>
      </c>
      <c r="AZ4" s="12">
        <f>AY4*1.3</f>
        <v>7935314.5984171657</v>
      </c>
      <c r="BA4" s="12">
        <f>AZ4*1.3</f>
        <v>10315908.977942316</v>
      </c>
      <c r="BB4" s="12">
        <f>BA4*1.3</f>
        <v>13410681.671325011</v>
      </c>
      <c r="BC4" s="12">
        <f>BB4*1.3</f>
        <v>17433886.172722515</v>
      </c>
      <c r="BD4" s="12">
        <f>BC4*1.3</f>
        <v>22664052.02453927</v>
      </c>
      <c r="BE4" s="12">
        <f>BD4*1.3</f>
        <v>29463267.631901052</v>
      </c>
      <c r="BF4" s="12">
        <f>BE4*1.3</f>
        <v>38302247.921471372</v>
      </c>
      <c r="BG4" s="12">
        <f>BF4*1.3</f>
        <v>49792922.297912784</v>
      </c>
      <c r="BH4" s="12">
        <f>BG4*1.3</f>
        <v>64730798.98728662</v>
      </c>
    </row>
    <row r="5" spans="1:99" x14ac:dyDescent="0.25">
      <c r="A5" s="11">
        <v>4</v>
      </c>
      <c r="B5" s="11">
        <f t="array" ref="B5">IF(OR(H5=Current!$S$10:$S$27),1,0)</f>
        <v>1</v>
      </c>
      <c r="C5" s="11" t="str">
        <f>H5</f>
        <v>China</v>
      </c>
      <c r="D5" s="8">
        <f>MAX(I5:CL5)</f>
        <v>81003</v>
      </c>
      <c r="E5" s="8">
        <f>IF(COUNTIF(I5:XFD5,"&gt;"&amp;0)=0,,HLOOKUP(COUNTIF(I5:XFD5,"&gt;"&amp;0)-1,I$1:XFD5,A5+1,FALSE))</f>
        <v>81003</v>
      </c>
      <c r="F5" s="9">
        <f>IF(COUNTIF(I5:XFD5,"&gt;"&amp;0)=0,,HLOOKUP(COUNTIF(I5:XFD5,"&gt;"&amp;0)-MIN($F$1+1,COUNTIF(I5:XFD5,"&gt;"&amp;0)),I$1:XFD5,A5+1,FALSE))</f>
        <v>80887</v>
      </c>
      <c r="G5" s="10">
        <f>IF(COUNTIF(I5:XFD5,"&gt;"&amp;0)=0,,(E5/F5)^(1/$F$1))</f>
        <v>1.0002866554946686</v>
      </c>
      <c r="H5" s="17" t="s">
        <v>365</v>
      </c>
      <c r="I5" s="11">
        <v>548</v>
      </c>
      <c r="J5" s="11">
        <v>643</v>
      </c>
      <c r="K5" s="11">
        <v>920</v>
      </c>
      <c r="L5" s="11">
        <v>1406</v>
      </c>
      <c r="M5" s="11">
        <v>2075</v>
      </c>
      <c r="N5" s="11">
        <v>2877</v>
      </c>
      <c r="O5" s="11">
        <v>5509</v>
      </c>
      <c r="P5" s="11">
        <v>6087</v>
      </c>
      <c r="Q5" s="11">
        <v>8141</v>
      </c>
      <c r="R5" s="11">
        <v>9802</v>
      </c>
      <c r="S5" s="11">
        <v>11891</v>
      </c>
      <c r="T5" s="11">
        <v>16630</v>
      </c>
      <c r="U5" s="11">
        <v>19716</v>
      </c>
      <c r="V5" s="11">
        <v>23707</v>
      </c>
      <c r="W5" s="11">
        <v>27440</v>
      </c>
      <c r="X5" s="11">
        <v>30587</v>
      </c>
      <c r="Y5" s="11">
        <v>34110</v>
      </c>
      <c r="Z5" s="11">
        <v>36814</v>
      </c>
      <c r="AA5" s="11">
        <v>39829</v>
      </c>
      <c r="AB5" s="11">
        <v>42354</v>
      </c>
      <c r="AC5" s="11">
        <v>44386</v>
      </c>
      <c r="AD5" s="11">
        <v>44759</v>
      </c>
      <c r="AE5" s="11">
        <v>59895</v>
      </c>
      <c r="AF5" s="11">
        <v>66358</v>
      </c>
      <c r="AG5" s="11">
        <v>68413</v>
      </c>
      <c r="AH5" s="11">
        <v>70513</v>
      </c>
      <c r="AI5" s="11">
        <v>72434</v>
      </c>
      <c r="AJ5" s="11">
        <v>74211</v>
      </c>
      <c r="AK5" s="11">
        <v>74619</v>
      </c>
      <c r="AL5" s="11">
        <v>75077</v>
      </c>
      <c r="AM5" s="11">
        <v>75550</v>
      </c>
      <c r="AN5" s="11">
        <v>77001</v>
      </c>
      <c r="AO5" s="11">
        <v>77022</v>
      </c>
      <c r="AP5" s="11">
        <v>77241</v>
      </c>
      <c r="AQ5" s="11">
        <v>77754</v>
      </c>
      <c r="AR5" s="11">
        <v>78166</v>
      </c>
      <c r="AS5" s="11">
        <v>78600</v>
      </c>
      <c r="AT5" s="11">
        <v>78928</v>
      </c>
      <c r="AU5" s="11">
        <v>79356</v>
      </c>
      <c r="AV5" s="11">
        <v>79932</v>
      </c>
      <c r="AW5" s="11">
        <v>80136</v>
      </c>
      <c r="AX5" s="11">
        <v>80261</v>
      </c>
      <c r="AY5" s="11">
        <v>80386</v>
      </c>
      <c r="AZ5" s="11">
        <v>80537</v>
      </c>
      <c r="BA5" s="11">
        <v>80690</v>
      </c>
      <c r="BB5" s="11">
        <v>80770</v>
      </c>
      <c r="BC5" s="11">
        <v>80823</v>
      </c>
      <c r="BD5" s="11">
        <v>80860</v>
      </c>
      <c r="BE5" s="11">
        <v>80887</v>
      </c>
      <c r="BF5" s="11">
        <v>80921</v>
      </c>
      <c r="BG5" s="11">
        <v>80932</v>
      </c>
      <c r="BH5" s="11">
        <v>80945</v>
      </c>
      <c r="BI5" s="11">
        <v>80977</v>
      </c>
      <c r="BJ5" s="11">
        <v>81003</v>
      </c>
    </row>
    <row r="6" spans="1:99" x14ac:dyDescent="0.25">
      <c r="A6" s="11">
        <v>5</v>
      </c>
      <c r="B6" s="11">
        <f t="array" ref="B6">IF(OR(H6=Current!$S$10:$S$27),1,0)</f>
        <v>1</v>
      </c>
      <c r="C6" s="11" t="str">
        <f>H6</f>
        <v>Italy</v>
      </c>
      <c r="D6" s="8">
        <f>MAX(I6:BF6)</f>
        <v>24747</v>
      </c>
      <c r="E6" s="8">
        <f>IF(COUNTIF(I6:XFD6,"&gt;"&amp;0)=0,,HLOOKUP(COUNTIF(I6:XFD6,"&gt;"&amp;0)-1,I$1:XFD6,A6+1,FALSE))</f>
        <v>24747</v>
      </c>
      <c r="F6" s="9">
        <f>IF(COUNTIF(I6:XFD6,"&gt;"&amp;0)=0,,HLOOKUP(COUNTIF(I6:XFD6,"&gt;"&amp;0)-MIN($F$1+1,COUNTIF(I6:XFD6,"&gt;"&amp;0)),I$1:XFD6,A6+1,FALSE))</f>
        <v>10149</v>
      </c>
      <c r="G6" s="10">
        <f>IF(COUNTIF(I6:XFD6,"&gt;"&amp;0)=0,,(E6/F6)^(1/$F$1))</f>
        <v>1.1951429697866438</v>
      </c>
      <c r="H6" s="17" t="s">
        <v>85</v>
      </c>
      <c r="I6" s="11">
        <v>155</v>
      </c>
      <c r="J6" s="11">
        <v>229</v>
      </c>
      <c r="K6" s="11">
        <v>322</v>
      </c>
      <c r="L6" s="11">
        <v>453</v>
      </c>
      <c r="M6" s="11">
        <v>655</v>
      </c>
      <c r="N6" s="11">
        <v>888</v>
      </c>
      <c r="O6" s="11">
        <v>1128</v>
      </c>
      <c r="P6" s="11">
        <v>1694</v>
      </c>
      <c r="Q6" s="11">
        <v>2036</v>
      </c>
      <c r="R6" s="11">
        <v>2502</v>
      </c>
      <c r="S6" s="11">
        <v>3089</v>
      </c>
      <c r="T6" s="11">
        <v>3858</v>
      </c>
      <c r="U6" s="11">
        <v>4636</v>
      </c>
      <c r="V6" s="11">
        <v>5883</v>
      </c>
      <c r="W6" s="11">
        <v>7375</v>
      </c>
      <c r="X6" s="11">
        <v>9172</v>
      </c>
      <c r="Y6" s="11">
        <v>10149</v>
      </c>
      <c r="Z6" s="11">
        <v>12462</v>
      </c>
      <c r="AA6" s="11">
        <v>12462</v>
      </c>
      <c r="AB6" s="11">
        <v>17660</v>
      </c>
      <c r="AC6" s="11">
        <v>21157</v>
      </c>
      <c r="AD6" s="11">
        <v>24747</v>
      </c>
    </row>
    <row r="7" spans="1:99" x14ac:dyDescent="0.25">
      <c r="A7" s="11">
        <v>6</v>
      </c>
      <c r="B7" s="11">
        <f t="array" ref="B7">IF(OR(H7=Current!$S$10:$S$27),1,0)</f>
        <v>1</v>
      </c>
      <c r="C7" s="11" t="str">
        <f>H7</f>
        <v>US</v>
      </c>
      <c r="D7" s="8">
        <f>MAX(I7:AW7)</f>
        <v>3499</v>
      </c>
      <c r="E7" s="8">
        <f>IF(COUNTIF(I7:XFD7,"&gt;"&amp;0)=0,,HLOOKUP(COUNTIF(I7:XFD7,"&gt;"&amp;0)-1,I$1:XFD7,A7+1,FALSE))</f>
        <v>3499</v>
      </c>
      <c r="F7" s="9">
        <f>IF(COUNTIF(I7:XFD7,"&gt;"&amp;0)=0,,HLOOKUP(COUNTIF(I7:XFD7,"&gt;"&amp;0)-MIN($F$1+1,COUNTIF(I7:XFD7,"&gt;"&amp;0)),I$1:XFD7,A7+1,FALSE))</f>
        <v>959</v>
      </c>
      <c r="G7" s="10">
        <f>IF(COUNTIF(I7:XFD7,"&gt;"&amp;0)=0,,(E7/F7)^(1/$F$1))</f>
        <v>1.2954631597125492</v>
      </c>
      <c r="H7" s="17" t="s">
        <v>65</v>
      </c>
      <c r="I7" s="11">
        <v>118</v>
      </c>
      <c r="J7" s="11">
        <v>149</v>
      </c>
      <c r="K7" s="11">
        <v>217</v>
      </c>
      <c r="L7" s="11">
        <v>262</v>
      </c>
      <c r="M7" s="11">
        <v>402</v>
      </c>
      <c r="N7" s="11">
        <v>518</v>
      </c>
      <c r="O7" s="11">
        <v>583</v>
      </c>
      <c r="P7" s="11">
        <v>959</v>
      </c>
      <c r="Q7" s="11">
        <v>1281</v>
      </c>
      <c r="R7" s="11">
        <v>1663</v>
      </c>
      <c r="S7" s="11">
        <v>2179</v>
      </c>
      <c r="T7" s="11">
        <v>2727</v>
      </c>
      <c r="U7" s="11">
        <v>3499</v>
      </c>
    </row>
    <row r="8" spans="1:99" x14ac:dyDescent="0.25">
      <c r="A8" s="11">
        <v>7</v>
      </c>
      <c r="B8" s="11">
        <f t="array" ref="B8">IF(OR(H8=Current!$S$10:$S$27),1,0)</f>
        <v>1</v>
      </c>
      <c r="C8" s="11" t="str">
        <f>H8</f>
        <v>United Kingdom</v>
      </c>
      <c r="D8" s="8">
        <f>MAX(I8:AU8)</f>
        <v>1395</v>
      </c>
      <c r="E8" s="8">
        <f>IF(COUNTIF(I8:XFD8,"&gt;"&amp;0)=0,,HLOOKUP(COUNTIF(I8:XFD8,"&gt;"&amp;0)-1,I$1:XFD8,A8+1,FALSE))</f>
        <v>1395</v>
      </c>
      <c r="F8" s="9">
        <f>IF(COUNTIF(I8:XFD8,"&gt;"&amp;0)=0,,HLOOKUP(COUNTIF(I8:XFD8,"&gt;"&amp;0)-MIN($F$1+1,COUNTIF(I8:XFD8,"&gt;"&amp;0)),I$1:XFD8,A8+1,FALSE))</f>
        <v>384</v>
      </c>
      <c r="G8" s="10">
        <f>IF(COUNTIF(I8:XFD8,"&gt;"&amp;0)=0,,(E8/F8)^(1/$F$1))</f>
        <v>1.294340667373115</v>
      </c>
      <c r="H8" s="17" t="s">
        <v>377</v>
      </c>
      <c r="I8" s="11">
        <v>116</v>
      </c>
      <c r="J8" s="11">
        <v>164</v>
      </c>
      <c r="K8" s="11">
        <v>207</v>
      </c>
      <c r="L8" s="11">
        <v>274</v>
      </c>
      <c r="M8" s="11">
        <v>322</v>
      </c>
      <c r="N8" s="11">
        <v>384</v>
      </c>
      <c r="O8" s="11">
        <v>459</v>
      </c>
      <c r="P8" s="11">
        <v>593</v>
      </c>
      <c r="Q8" s="11">
        <v>801</v>
      </c>
      <c r="R8" s="11">
        <v>1143</v>
      </c>
      <c r="S8" s="11">
        <v>1395</v>
      </c>
    </row>
    <row r="9" spans="1:99" x14ac:dyDescent="0.25">
      <c r="A9" s="11">
        <v>8</v>
      </c>
      <c r="B9" s="11">
        <f t="array" ref="B9">IF(OR(H9=Current!$S$10:$S$27),1,0)</f>
        <v>0</v>
      </c>
      <c r="C9" s="11" t="str">
        <f>H9</f>
        <v>Iran</v>
      </c>
      <c r="D9" s="8">
        <f>MAX(I9:BC9)</f>
        <v>13938</v>
      </c>
      <c r="E9" s="8">
        <f>IF(COUNTIF(I9:XFD9,"&gt;"&amp;0)=0,,HLOOKUP(COUNTIF(I9:XFD9,"&gt;"&amp;0)-1,I$1:XFD9,A9+1,FALSE))</f>
        <v>13938</v>
      </c>
      <c r="F9" s="9">
        <f>IF(COUNTIF(I9:XFD9,"&gt;"&amp;0)=0,,HLOOKUP(COUNTIF(I9:XFD9,"&gt;"&amp;0)-MIN($F$1+1,COUNTIF(I9:XFD9,"&gt;"&amp;0)),I$1:XFD9,A9+1,FALSE))</f>
        <v>8042</v>
      </c>
      <c r="G9" s="10">
        <f>IF(COUNTIF(I9:XFD9,"&gt;"&amp;0)=0,,(E9/F9)^(1/$F$1))</f>
        <v>1.1162649240270293</v>
      </c>
      <c r="H9" s="17" t="s">
        <v>366</v>
      </c>
      <c r="I9" s="11">
        <v>139</v>
      </c>
      <c r="J9" s="11">
        <v>245</v>
      </c>
      <c r="K9" s="11">
        <v>388</v>
      </c>
      <c r="L9" s="11">
        <v>593</v>
      </c>
      <c r="M9" s="11">
        <v>978</v>
      </c>
      <c r="N9" s="11">
        <v>1501</v>
      </c>
      <c r="O9" s="11">
        <v>2336</v>
      </c>
      <c r="P9" s="11">
        <v>2922</v>
      </c>
      <c r="Q9" s="11">
        <v>3513</v>
      </c>
      <c r="R9" s="11">
        <v>4747</v>
      </c>
      <c r="S9" s="11">
        <v>5823</v>
      </c>
      <c r="T9" s="11">
        <v>6566</v>
      </c>
      <c r="U9" s="11">
        <v>7161</v>
      </c>
      <c r="V9" s="11">
        <v>8042</v>
      </c>
      <c r="W9" s="11">
        <v>9000</v>
      </c>
      <c r="X9" s="11">
        <v>10075</v>
      </c>
      <c r="Y9" s="11">
        <v>11364</v>
      </c>
      <c r="Z9" s="11">
        <v>12729</v>
      </c>
      <c r="AA9" s="11">
        <v>13938</v>
      </c>
    </row>
    <row r="10" spans="1:99" x14ac:dyDescent="0.25">
      <c r="A10" s="11">
        <v>9</v>
      </c>
      <c r="B10" s="11">
        <f t="array" ref="B10">IF(OR(H10=Current!$S$10:$S$27),1,0)</f>
        <v>0</v>
      </c>
      <c r="C10" s="11" t="str">
        <f>H10</f>
        <v>Korea, South</v>
      </c>
      <c r="D10" s="8">
        <f>MAX(I10:BI10)</f>
        <v>8162</v>
      </c>
      <c r="E10" s="8">
        <f>IF(COUNTIF(I10:XFD10,"&gt;"&amp;0)=0,,HLOOKUP(COUNTIF(I10:XFD10,"&gt;"&amp;0)-1,I$1:XFD10,A10+1,FALSE))</f>
        <v>8162</v>
      </c>
      <c r="F10" s="9">
        <f>IF(COUNTIF(I10:XFD10,"&gt;"&amp;0)=0,,HLOOKUP(COUNTIF(I10:XFD10,"&gt;"&amp;0)-MIN($F$1+1,COUNTIF(I10:XFD10,"&gt;"&amp;0)),I$1:XFD10,A10+1,FALSE))</f>
        <v>7513</v>
      </c>
      <c r="G10" s="10">
        <f>IF(COUNTIF(I10:XFD10,"&gt;"&amp;0)=0,,(E10/F10)^(1/$F$1))</f>
        <v>1.0167089352262226</v>
      </c>
      <c r="H10" s="17" t="s">
        <v>367</v>
      </c>
      <c r="I10" s="11">
        <v>104</v>
      </c>
      <c r="J10" s="11">
        <v>204</v>
      </c>
      <c r="K10" s="11">
        <v>433</v>
      </c>
      <c r="L10" s="11">
        <v>602</v>
      </c>
      <c r="M10" s="11">
        <v>833</v>
      </c>
      <c r="N10" s="11">
        <v>977</v>
      </c>
      <c r="O10" s="11">
        <v>1261</v>
      </c>
      <c r="P10" s="11">
        <v>1766</v>
      </c>
      <c r="Q10" s="11">
        <v>2337</v>
      </c>
      <c r="R10" s="11">
        <v>3150</v>
      </c>
      <c r="S10" s="11">
        <v>3736</v>
      </c>
      <c r="T10" s="11">
        <v>4335</v>
      </c>
      <c r="U10" s="11">
        <v>5186</v>
      </c>
      <c r="V10" s="11">
        <v>5621</v>
      </c>
      <c r="W10" s="11">
        <v>6088</v>
      </c>
      <c r="X10" s="11">
        <v>6593</v>
      </c>
      <c r="Y10" s="11">
        <v>7041</v>
      </c>
      <c r="Z10" s="11">
        <v>7314</v>
      </c>
      <c r="AA10" s="11">
        <v>7478</v>
      </c>
      <c r="AB10" s="11">
        <v>7513</v>
      </c>
      <c r="AC10" s="11">
        <v>7755</v>
      </c>
      <c r="AD10" s="11">
        <v>7869</v>
      </c>
      <c r="AE10" s="11">
        <v>7979</v>
      </c>
      <c r="AF10" s="11">
        <v>8086</v>
      </c>
      <c r="AG10" s="11">
        <v>8162</v>
      </c>
    </row>
    <row r="11" spans="1:99" x14ac:dyDescent="0.25">
      <c r="A11" s="11">
        <v>10</v>
      </c>
      <c r="B11" s="11">
        <f t="array" ref="B11">IF(OR(H11=Current!$S$10:$S$27),1,0)</f>
        <v>0</v>
      </c>
      <c r="C11" s="11" t="str">
        <f>H11</f>
        <v>Spain</v>
      </c>
      <c r="D11" s="8">
        <f>MAX(I11:AX11)</f>
        <v>7798</v>
      </c>
      <c r="E11" s="8">
        <f>IF(COUNTIF(I11:XFD11,"&gt;"&amp;0)=0,,HLOOKUP(COUNTIF(I11:XFD11,"&gt;"&amp;0)-1,I$1:XFD11,A11+1,FALSE))</f>
        <v>7798</v>
      </c>
      <c r="F11" s="9">
        <f>IF(COUNTIF(I11:XFD11,"&gt;"&amp;0)=0,,HLOOKUP(COUNTIF(I11:XFD11,"&gt;"&amp;0)-MIN($F$1+1,COUNTIF(I11:XFD11,"&gt;"&amp;0)),I$1:XFD11,A11+1,FALSE))</f>
        <v>1695</v>
      </c>
      <c r="G11" s="10">
        <f>IF(COUNTIF(I11:XFD11,"&gt;"&amp;0)=0,,(E11/F11)^(1/$F$1))</f>
        <v>1.3569464390360766</v>
      </c>
      <c r="H11" s="17" t="s">
        <v>87</v>
      </c>
      <c r="I11" s="11">
        <v>120</v>
      </c>
      <c r="J11" s="11">
        <v>165</v>
      </c>
      <c r="K11" s="11">
        <v>222</v>
      </c>
      <c r="L11" s="11">
        <v>259</v>
      </c>
      <c r="M11" s="11">
        <v>400</v>
      </c>
      <c r="N11" s="11">
        <v>500</v>
      </c>
      <c r="O11" s="11">
        <v>673</v>
      </c>
      <c r="P11" s="11">
        <v>1073</v>
      </c>
      <c r="Q11" s="11">
        <v>1695</v>
      </c>
      <c r="R11" s="11">
        <v>2277</v>
      </c>
      <c r="S11" s="11">
        <v>2277</v>
      </c>
      <c r="T11" s="11">
        <v>5232</v>
      </c>
      <c r="U11" s="11">
        <v>6391</v>
      </c>
      <c r="V11" s="11">
        <v>7798</v>
      </c>
    </row>
    <row r="12" spans="1:99" x14ac:dyDescent="0.25">
      <c r="A12" s="11">
        <v>11</v>
      </c>
      <c r="B12" s="11">
        <f t="array" ref="B12">IF(OR(H12=Current!$S$10:$S$27),1,0)</f>
        <v>0</v>
      </c>
      <c r="C12" s="11" t="str">
        <f>H12</f>
        <v>Germany</v>
      </c>
      <c r="D12" s="8">
        <f>MAX(I12:AY12)</f>
        <v>5795</v>
      </c>
      <c r="E12" s="8">
        <f>IF(COUNTIF(I12:XFD12,"&gt;"&amp;0)=0,,HLOOKUP(COUNTIF(I12:XFD12,"&gt;"&amp;0)-1,I$1:XFD12,A12+1,FALSE))</f>
        <v>5795</v>
      </c>
      <c r="F12" s="9">
        <f>IF(COUNTIF(I12:XFD12,"&gt;"&amp;0)=0,,HLOOKUP(COUNTIF(I12:XFD12,"&gt;"&amp;0)-MIN($F$1+1,COUNTIF(I12:XFD12,"&gt;"&amp;0)),I$1:XFD12,A12+1,FALSE))</f>
        <v>1457</v>
      </c>
      <c r="G12" s="10">
        <f>IF(COUNTIF(I12:XFD12,"&gt;"&amp;0)=0,,(E12/F12)^(1/$F$1))</f>
        <v>1.3180102195946961</v>
      </c>
      <c r="H12" s="17" t="s">
        <v>80</v>
      </c>
      <c r="I12" s="11">
        <v>130</v>
      </c>
      <c r="J12" s="11">
        <v>159</v>
      </c>
      <c r="K12" s="11">
        <v>196</v>
      </c>
      <c r="L12" s="11">
        <v>262</v>
      </c>
      <c r="M12" s="11">
        <v>482</v>
      </c>
      <c r="N12" s="11">
        <v>670</v>
      </c>
      <c r="O12" s="11">
        <v>799</v>
      </c>
      <c r="P12" s="11">
        <v>1040</v>
      </c>
      <c r="Q12" s="11">
        <v>1176</v>
      </c>
      <c r="R12" s="11">
        <v>1457</v>
      </c>
      <c r="S12" s="11">
        <v>1908</v>
      </c>
      <c r="T12" s="11">
        <v>2078</v>
      </c>
      <c r="U12" s="11">
        <v>3675</v>
      </c>
      <c r="V12" s="11">
        <v>4585</v>
      </c>
      <c r="W12" s="11">
        <v>5795</v>
      </c>
    </row>
    <row r="13" spans="1:99" x14ac:dyDescent="0.25">
      <c r="A13" s="11">
        <v>12</v>
      </c>
      <c r="B13" s="11">
        <f t="array" ref="B13">IF(OR(H13=Current!$S$10:$S$27),1,0)</f>
        <v>0</v>
      </c>
      <c r="C13" s="11" t="str">
        <f>H13</f>
        <v>France</v>
      </c>
      <c r="D13" s="8">
        <f>MAX(I13:AY13)</f>
        <v>4513</v>
      </c>
      <c r="E13" s="8">
        <f>IF(COUNTIF(I13:XFD13,"&gt;"&amp;0)=0,,HLOOKUP(COUNTIF(I13:XFD13,"&gt;"&amp;0)-1,I$1:XFD13,A13+1,FALSE))</f>
        <v>4513</v>
      </c>
      <c r="F13" s="9">
        <f>IF(COUNTIF(I13:XFD13,"&gt;"&amp;0)=0,,HLOOKUP(COUNTIF(I13:XFD13,"&gt;"&amp;0)-MIN($F$1+1,COUNTIF(I13:XFD13,"&gt;"&amp;0)),I$1:XFD13,A13+1,FALSE))</f>
        <v>1792</v>
      </c>
      <c r="G13" s="10">
        <f>IF(COUNTIF(I13:XFD13,"&gt;"&amp;0)=0,,(E13/F13)^(1/$F$1))</f>
        <v>1.2028887568355835</v>
      </c>
      <c r="H13" s="17" t="s">
        <v>68</v>
      </c>
      <c r="I13" s="11">
        <v>130</v>
      </c>
      <c r="J13" s="11">
        <v>191</v>
      </c>
      <c r="K13" s="11">
        <v>204</v>
      </c>
      <c r="L13" s="11">
        <v>288</v>
      </c>
      <c r="M13" s="11">
        <v>380</v>
      </c>
      <c r="N13" s="11">
        <v>656</v>
      </c>
      <c r="O13" s="11">
        <v>957</v>
      </c>
      <c r="P13" s="11">
        <v>1134</v>
      </c>
      <c r="Q13" s="11">
        <v>1217</v>
      </c>
      <c r="R13" s="11">
        <v>1792</v>
      </c>
      <c r="S13" s="11">
        <v>2289</v>
      </c>
      <c r="T13" s="11">
        <v>2289</v>
      </c>
      <c r="U13" s="11">
        <v>3672</v>
      </c>
      <c r="V13" s="11">
        <v>4480</v>
      </c>
      <c r="W13" s="11">
        <v>4513</v>
      </c>
    </row>
    <row r="14" spans="1:99" x14ac:dyDescent="0.25">
      <c r="A14" s="11">
        <v>13</v>
      </c>
      <c r="B14" s="11">
        <f t="array" ref="B14">IF(OR(H14=Current!$S$10:$S$27),1,0)</f>
        <v>0</v>
      </c>
      <c r="C14" s="11" t="str">
        <f>H14</f>
        <v>Switzerland</v>
      </c>
      <c r="D14" s="8">
        <f>MAX(I14:AU14)</f>
        <v>2200</v>
      </c>
      <c r="E14" s="8">
        <f>IF(COUNTIF(I14:XFD14,"&gt;"&amp;0)=0,,HLOOKUP(COUNTIF(I14:XFD14,"&gt;"&amp;0)-1,I$1:XFD14,A14+1,FALSE))</f>
        <v>2200</v>
      </c>
      <c r="F14" s="9">
        <f>IF(COUNTIF(I14:XFD14,"&gt;"&amp;0)=0,,HLOOKUP(COUNTIF(I14:XFD14,"&gt;"&amp;0)-MIN($F$1+1,COUNTIF(I14:XFD14,"&gt;"&amp;0)),I$1:XFD14,A14+1,FALSE))</f>
        <v>491</v>
      </c>
      <c r="G14" s="10">
        <f>IF(COUNTIF(I14:XFD14,"&gt;"&amp;0)=0,,(E14/F14)^(1/$F$1))</f>
        <v>1.3497963136785682</v>
      </c>
      <c r="H14" s="17" t="s">
        <v>104</v>
      </c>
      <c r="I14" s="11">
        <v>114</v>
      </c>
      <c r="J14" s="11">
        <v>214</v>
      </c>
      <c r="K14" s="11">
        <v>268</v>
      </c>
      <c r="L14" s="11">
        <v>337</v>
      </c>
      <c r="M14" s="11">
        <v>374</v>
      </c>
      <c r="N14" s="11">
        <v>491</v>
      </c>
      <c r="O14" s="11">
        <v>652</v>
      </c>
      <c r="P14" s="11">
        <v>652</v>
      </c>
      <c r="Q14" s="11">
        <v>1139</v>
      </c>
      <c r="R14" s="11">
        <v>1359</v>
      </c>
      <c r="S14" s="11">
        <v>2200</v>
      </c>
    </row>
    <row r="15" spans="1:99" x14ac:dyDescent="0.25">
      <c r="A15" s="11">
        <v>14</v>
      </c>
      <c r="B15" s="11">
        <f t="array" ref="B15">IF(OR(H15=Current!$S$10:$S$27),1,0)</f>
        <v>0</v>
      </c>
      <c r="C15" s="11" t="str">
        <f>H15</f>
        <v>Norway</v>
      </c>
      <c r="D15" s="8">
        <f>MAX(I15:AT15)</f>
        <v>1221</v>
      </c>
      <c r="E15" s="8">
        <f>IF(COUNTIF(I15:XFD15,"&gt;"&amp;0)=0,,HLOOKUP(COUNTIF(I15:XFD15,"&gt;"&amp;0)-1,I$1:XFD15,A15+1,FALSE))</f>
        <v>1221</v>
      </c>
      <c r="F15" s="9">
        <f>IF(COUNTIF(I15:XFD15,"&gt;"&amp;0)=0,,HLOOKUP(COUNTIF(I15:XFD15,"&gt;"&amp;0)-MIN($F$1+1,COUNTIF(I15:XFD15,"&gt;"&amp;0)),I$1:XFD15,A15+1,FALSE))</f>
        <v>400</v>
      </c>
      <c r="G15" s="10">
        <f>IF(COUNTIF(I15:XFD15,"&gt;"&amp;0)=0,,(E15/F15)^(1/$F$1))</f>
        <v>1.2500607940862389</v>
      </c>
      <c r="H15" s="17" t="s">
        <v>112</v>
      </c>
      <c r="I15" s="11">
        <v>108</v>
      </c>
      <c r="J15" s="11">
        <v>147</v>
      </c>
      <c r="K15" s="11">
        <v>176</v>
      </c>
      <c r="L15" s="11">
        <v>205</v>
      </c>
      <c r="M15" s="11">
        <v>400</v>
      </c>
      <c r="N15" s="11">
        <v>598</v>
      </c>
      <c r="O15" s="11">
        <v>702</v>
      </c>
      <c r="P15" s="11">
        <v>996</v>
      </c>
      <c r="Q15" s="11">
        <v>1090</v>
      </c>
      <c r="R15" s="11">
        <v>1221</v>
      </c>
    </row>
    <row r="16" spans="1:99" x14ac:dyDescent="0.25">
      <c r="A16" s="11">
        <v>15</v>
      </c>
      <c r="B16" s="11">
        <f t="array" ref="B16">IF(OR(H16=Current!$S$10:$S$27),1,0)</f>
        <v>0</v>
      </c>
      <c r="C16" s="11" t="str">
        <f>H16</f>
        <v>Netherlands</v>
      </c>
      <c r="D16" s="8">
        <f>MAX(I16:AT16)</f>
        <v>1135</v>
      </c>
      <c r="E16" s="8">
        <f>IF(COUNTIF(I16:XFD16,"&gt;"&amp;0)=0,,HLOOKUP(COUNTIF(I16:XFD16,"&gt;"&amp;0)-1,I$1:XFD16,A16+1,FALSE))</f>
        <v>1135</v>
      </c>
      <c r="F16" s="9">
        <f>IF(COUNTIF(I16:XFD16,"&gt;"&amp;0)=0,,HLOOKUP(COUNTIF(I16:XFD16,"&gt;"&amp;0)-MIN($F$1+1,COUNTIF(I16:XFD16,"&gt;"&amp;0)),I$1:XFD16,A16+1,FALSE))</f>
        <v>382</v>
      </c>
      <c r="G16" s="10">
        <f>IF(COUNTIF(I16:XFD16,"&gt;"&amp;0)=0,,(E16/F16)^(1/$F$1))</f>
        <v>1.2433302489680451</v>
      </c>
      <c r="H16" s="17" t="s">
        <v>116</v>
      </c>
      <c r="I16" s="11">
        <v>128</v>
      </c>
      <c r="J16" s="11">
        <v>188</v>
      </c>
      <c r="K16" s="11">
        <v>265</v>
      </c>
      <c r="L16" s="11">
        <v>321</v>
      </c>
      <c r="M16" s="11">
        <v>382</v>
      </c>
      <c r="N16" s="11">
        <v>503</v>
      </c>
      <c r="O16" s="11">
        <v>503</v>
      </c>
      <c r="P16" s="11">
        <v>804</v>
      </c>
      <c r="Q16" s="11">
        <v>959</v>
      </c>
      <c r="R16" s="11">
        <v>1135</v>
      </c>
    </row>
    <row r="17" spans="1:43" x14ac:dyDescent="0.25">
      <c r="A17" s="11">
        <v>16</v>
      </c>
      <c r="B17" s="11">
        <f t="array" ref="B17">IF(OR(H17=Current!$S$10:$S$27),1,0)</f>
        <v>0</v>
      </c>
      <c r="C17" s="11" t="str">
        <f>H17</f>
        <v>Sweden</v>
      </c>
      <c r="D17" s="8">
        <f>MAX(I17:AT17)</f>
        <v>1022</v>
      </c>
      <c r="E17" s="8">
        <f>IF(COUNTIF(I17:XFD17,"&gt;"&amp;0)=0,,HLOOKUP(COUNTIF(I17:XFD17,"&gt;"&amp;0)-1,I$1:XFD17,A17+1,FALSE))</f>
        <v>1022</v>
      </c>
      <c r="F17" s="9">
        <f>IF(COUNTIF(I17:XFD17,"&gt;"&amp;0)=0,,HLOOKUP(COUNTIF(I17:XFD17,"&gt;"&amp;0)-MIN($F$1+1,COUNTIF(I17:XFD17,"&gt;"&amp;0)),I$1:XFD17,A17+1,FALSE))</f>
        <v>355</v>
      </c>
      <c r="G17" s="10">
        <f>IF(COUNTIF(I17:XFD17,"&gt;"&amp;0)=0,,(E17/F17)^(1/$F$1))</f>
        <v>1.2355050035517694</v>
      </c>
      <c r="H17" s="17" t="s">
        <v>86</v>
      </c>
      <c r="I17" s="11">
        <v>101</v>
      </c>
      <c r="J17" s="11">
        <v>161</v>
      </c>
      <c r="K17" s="11">
        <v>203</v>
      </c>
      <c r="L17" s="11">
        <v>248</v>
      </c>
      <c r="M17" s="11">
        <v>355</v>
      </c>
      <c r="N17" s="11">
        <v>500</v>
      </c>
      <c r="O17" s="11">
        <v>599</v>
      </c>
      <c r="P17" s="11">
        <v>814</v>
      </c>
      <c r="Q17" s="11">
        <v>961</v>
      </c>
      <c r="R17" s="11">
        <v>1022</v>
      </c>
    </row>
    <row r="18" spans="1:43" x14ac:dyDescent="0.25">
      <c r="A18" s="11">
        <v>17</v>
      </c>
      <c r="B18" s="11">
        <f t="array" ref="B18">IF(OR(H18=Current!$S$10:$S$27),1,0)</f>
        <v>0</v>
      </c>
      <c r="C18" s="11" t="str">
        <f>H18</f>
        <v>Belgium</v>
      </c>
      <c r="D18" s="8">
        <f>MAX(I18:AT18)</f>
        <v>886</v>
      </c>
      <c r="E18" s="8">
        <f>IF(COUNTIF(I18:XFD18,"&gt;"&amp;0)=0,,HLOOKUP(COUNTIF(I18:XFD18,"&gt;"&amp;0)-1,I$1:XFD18,A18+1,FALSE))</f>
        <v>886</v>
      </c>
      <c r="F18" s="9">
        <f>IF(COUNTIF(I18:XFD18,"&gt;"&amp;0)=0,,HLOOKUP(COUNTIF(I18:XFD18,"&gt;"&amp;0)-MIN($F$1+1,COUNTIF(I18:XFD18,"&gt;"&amp;0)),I$1:XFD18,A18+1,FALSE))</f>
        <v>267</v>
      </c>
      <c r="G18" s="10">
        <f>IF(COUNTIF(I18:XFD18,"&gt;"&amp;0)=0,,(E18/F18)^(1/$F$1))</f>
        <v>1.2711139708925623</v>
      </c>
      <c r="H18" s="17" t="s">
        <v>90</v>
      </c>
      <c r="I18" s="11">
        <v>109</v>
      </c>
      <c r="J18" s="11">
        <v>169</v>
      </c>
      <c r="K18" s="11">
        <v>200</v>
      </c>
      <c r="L18" s="11">
        <v>239</v>
      </c>
      <c r="M18" s="11">
        <v>267</v>
      </c>
      <c r="N18" s="11">
        <v>314</v>
      </c>
      <c r="O18" s="11">
        <v>314</v>
      </c>
      <c r="P18" s="11">
        <v>559</v>
      </c>
      <c r="Q18" s="11">
        <v>689</v>
      </c>
      <c r="R18" s="11">
        <v>886</v>
      </c>
    </row>
    <row r="19" spans="1:43" x14ac:dyDescent="0.25">
      <c r="A19" s="11">
        <v>18</v>
      </c>
      <c r="B19" s="11">
        <f t="array" ref="B19">IF(OR(H19=Current!$S$10:$S$27),1,0)</f>
        <v>0</v>
      </c>
      <c r="C19" s="11" t="str">
        <f>H19</f>
        <v>Denmark</v>
      </c>
      <c r="D19" s="8">
        <f>MAX(I19:AP19)</f>
        <v>875</v>
      </c>
      <c r="E19" s="8">
        <f>IF(COUNTIF(I19:XFD19,"&gt;"&amp;0)=0,,HLOOKUP(COUNTIF(I19:XFD19,"&gt;"&amp;0)-1,I$1:XFD19,A19+1,FALSE))</f>
        <v>875</v>
      </c>
      <c r="F19" s="9">
        <f>IF(COUNTIF(I19:XFD19,"&gt;"&amp;0)=0,,HLOOKUP(COUNTIF(I19:XFD19,"&gt;"&amp;0)-MIN($F$1+1,COUNTIF(I19:XFD19,"&gt;"&amp;0)),I$1:XFD19,A19+1,FALSE))</f>
        <v>264</v>
      </c>
      <c r="G19" s="10">
        <f>IF(COUNTIF(I19:XFD19,"&gt;"&amp;0)=0,,(E19/F19)^(1/$F$1))</f>
        <v>1.2708105899115825</v>
      </c>
      <c r="H19" s="17" t="s">
        <v>114</v>
      </c>
      <c r="I19" s="11">
        <v>264</v>
      </c>
      <c r="J19" s="11">
        <v>444</v>
      </c>
      <c r="K19" s="11">
        <v>617</v>
      </c>
      <c r="L19" s="11">
        <v>804</v>
      </c>
      <c r="M19" s="11">
        <v>836</v>
      </c>
      <c r="N19" s="11">
        <v>875</v>
      </c>
    </row>
    <row r="20" spans="1:43" x14ac:dyDescent="0.25">
      <c r="A20" s="11">
        <v>19</v>
      </c>
      <c r="B20" s="11">
        <f t="array" ref="B20">IF(OR(H20=Current!$S$10:$S$27),1,0)</f>
        <v>0</v>
      </c>
      <c r="C20" s="11" t="str">
        <f>H20</f>
        <v>Austria</v>
      </c>
      <c r="D20" s="8">
        <f>MAX(I20:AR20)</f>
        <v>860</v>
      </c>
      <c r="E20" s="8">
        <f>IF(COUNTIF(I20:XFD20,"&gt;"&amp;0)=0,,HLOOKUP(COUNTIF(I20:XFD20,"&gt;"&amp;0)-1,I$1:XFD20,A20+1,FALSE))</f>
        <v>860</v>
      </c>
      <c r="F20" s="9">
        <f>IF(COUNTIF(I20:XFD20,"&gt;"&amp;0)=0,,HLOOKUP(COUNTIF(I20:XFD20,"&gt;"&amp;0)-MIN($F$1+1,COUNTIF(I20:XFD20,"&gt;"&amp;0)),I$1:XFD20,A20+1,FALSE))</f>
        <v>182</v>
      </c>
      <c r="G20" s="10">
        <f>IF(COUNTIF(I20:XFD20,"&gt;"&amp;0)=0,,(E20/F20)^(1/$F$1))</f>
        <v>1.3642231427520313</v>
      </c>
      <c r="H20" s="17" t="s">
        <v>105</v>
      </c>
      <c r="I20" s="11">
        <v>104</v>
      </c>
      <c r="J20" s="11">
        <v>131</v>
      </c>
      <c r="K20" s="11">
        <v>182</v>
      </c>
      <c r="L20" s="11">
        <v>246</v>
      </c>
      <c r="M20" s="11">
        <v>302</v>
      </c>
      <c r="N20" s="11">
        <v>504</v>
      </c>
      <c r="O20" s="11">
        <v>655</v>
      </c>
      <c r="P20" s="11">
        <v>860</v>
      </c>
    </row>
    <row r="21" spans="1:43" x14ac:dyDescent="0.25">
      <c r="A21" s="11">
        <v>20</v>
      </c>
      <c r="B21" s="11">
        <f t="array" ref="B21">IF(OR(H21=Current!$S$10:$S$27),1,0)</f>
        <v>0</v>
      </c>
      <c r="C21" s="11" t="str">
        <f>H21</f>
        <v>Japan</v>
      </c>
      <c r="D21" s="8">
        <f>MAX(I21:BH21)</f>
        <v>839</v>
      </c>
      <c r="E21" s="8">
        <f>IF(COUNTIF(I21:XFD21,"&gt;"&amp;0)=0,,HLOOKUP(COUNTIF(I21:XFD21,"&gt;"&amp;0)-1,I$1:XFD21,A21+1,FALSE))</f>
        <v>839</v>
      </c>
      <c r="F21" s="9">
        <f>IF(COUNTIF(I21:XFD21,"&gt;"&amp;0)=0,,HLOOKUP(COUNTIF(I21:XFD21,"&gt;"&amp;0)-MIN($F$1+1,COUNTIF(I21:XFD21,"&gt;"&amp;0)),I$1:XFD21,A21+1,FALSE))</f>
        <v>581</v>
      </c>
      <c r="G21" s="10">
        <f>IF(COUNTIF(I21:XFD21,"&gt;"&amp;0)=0,,(E21/F21)^(1/$F$1))</f>
        <v>1.0762599157126311</v>
      </c>
      <c r="H21" s="17" t="s">
        <v>63</v>
      </c>
      <c r="I21" s="11">
        <v>105</v>
      </c>
      <c r="J21" s="11">
        <v>122</v>
      </c>
      <c r="K21" s="11">
        <v>147</v>
      </c>
      <c r="L21" s="11">
        <v>159</v>
      </c>
      <c r="M21" s="11">
        <v>170</v>
      </c>
      <c r="N21" s="11">
        <v>189</v>
      </c>
      <c r="O21" s="11">
        <v>214</v>
      </c>
      <c r="P21" s="11">
        <v>228</v>
      </c>
      <c r="Q21" s="11">
        <v>241</v>
      </c>
      <c r="R21" s="11">
        <v>256</v>
      </c>
      <c r="S21" s="11">
        <v>274</v>
      </c>
      <c r="T21" s="11">
        <v>293</v>
      </c>
      <c r="U21" s="11">
        <v>331</v>
      </c>
      <c r="V21" s="11">
        <v>360</v>
      </c>
      <c r="W21" s="11">
        <v>420</v>
      </c>
      <c r="X21" s="11">
        <v>461</v>
      </c>
      <c r="Y21" s="11">
        <v>502</v>
      </c>
      <c r="Z21" s="11">
        <v>511</v>
      </c>
      <c r="AA21" s="11">
        <v>581</v>
      </c>
      <c r="AB21" s="11">
        <v>639</v>
      </c>
      <c r="AC21" s="11">
        <v>639</v>
      </c>
      <c r="AD21" s="11">
        <v>701</v>
      </c>
      <c r="AE21" s="11">
        <v>773</v>
      </c>
      <c r="AF21" s="11">
        <v>839</v>
      </c>
    </row>
    <row r="22" spans="1:43" x14ac:dyDescent="0.25">
      <c r="A22" s="11">
        <v>21</v>
      </c>
      <c r="B22" s="11">
        <f t="array" ref="B22">IF(OR(H22=Current!$S$10:$S$27),1,0)</f>
        <v>0</v>
      </c>
      <c r="C22" s="11" t="str">
        <f>H22</f>
        <v>Cruise Ship</v>
      </c>
      <c r="D22" s="8">
        <f>MAX(I22:BS22)</f>
        <v>706</v>
      </c>
      <c r="E22" s="8">
        <f>IF(COUNTIF(I22:XFD22,"&gt;"&amp;0)=0,,HLOOKUP(COUNTIF(I22:XFD22,"&gt;"&amp;0)-1,I$1:XFD22,A22+1,FALSE))</f>
        <v>696</v>
      </c>
      <c r="F22" s="9">
        <f>IF(COUNTIF(I22:XFD22,"&gt;"&amp;0)=0,,HLOOKUP(COUNTIF(I22:XFD22,"&gt;"&amp;0)-MIN($F$1+1,COUNTIF(I22:XFD22,"&gt;"&amp;0)),I$1:XFD22,A22+1,FALSE))</f>
        <v>696</v>
      </c>
      <c r="G22" s="10">
        <f>IF(COUNTIF(I22:XFD22,"&gt;"&amp;0)=0,,(E22/F22)^(1/$F$1))</f>
        <v>1</v>
      </c>
      <c r="H22" s="17" t="s">
        <v>368</v>
      </c>
      <c r="I22" s="11">
        <v>135</v>
      </c>
      <c r="J22" s="11">
        <v>135</v>
      </c>
      <c r="K22" s="11">
        <v>175</v>
      </c>
      <c r="L22" s="11">
        <v>175</v>
      </c>
      <c r="M22" s="11">
        <v>218</v>
      </c>
      <c r="N22" s="11">
        <v>285</v>
      </c>
      <c r="O22" s="11">
        <v>355</v>
      </c>
      <c r="P22" s="11">
        <v>454</v>
      </c>
      <c r="Q22" s="11">
        <v>542</v>
      </c>
      <c r="R22" s="11">
        <v>621</v>
      </c>
      <c r="S22" s="11">
        <v>634</v>
      </c>
      <c r="T22" s="11">
        <v>634</v>
      </c>
      <c r="U22" s="11">
        <v>634</v>
      </c>
      <c r="V22" s="11">
        <v>691</v>
      </c>
      <c r="W22" s="11">
        <v>691</v>
      </c>
      <c r="X22" s="11">
        <v>691</v>
      </c>
      <c r="Y22" s="11">
        <v>705</v>
      </c>
      <c r="Z22" s="11">
        <v>705</v>
      </c>
      <c r="AA22" s="11">
        <v>705</v>
      </c>
      <c r="AB22" s="11">
        <v>705</v>
      </c>
      <c r="AC22" s="11">
        <v>705</v>
      </c>
      <c r="AD22" s="11">
        <v>705</v>
      </c>
      <c r="AE22" s="11">
        <v>706</v>
      </c>
      <c r="AF22" s="11">
        <v>706</v>
      </c>
      <c r="AG22" s="11">
        <v>706</v>
      </c>
      <c r="AH22" s="11">
        <v>696</v>
      </c>
      <c r="AI22" s="11">
        <v>696</v>
      </c>
      <c r="AJ22" s="11">
        <v>696</v>
      </c>
      <c r="AK22" s="11">
        <v>696</v>
      </c>
      <c r="AL22" s="11">
        <v>696</v>
      </c>
      <c r="AM22" s="11">
        <v>696</v>
      </c>
      <c r="AN22" s="11">
        <v>696</v>
      </c>
      <c r="AO22" s="11">
        <v>696</v>
      </c>
      <c r="AP22" s="11">
        <v>696</v>
      </c>
      <c r="AQ22" s="11">
        <v>696</v>
      </c>
    </row>
    <row r="23" spans="1:43" x14ac:dyDescent="0.25">
      <c r="A23" s="11">
        <v>22</v>
      </c>
      <c r="B23" s="11">
        <f t="array" ref="B23">IF(OR(H23=Current!$S$10:$S$27),1,0)</f>
        <v>0</v>
      </c>
      <c r="C23" s="11" t="str">
        <f>H23</f>
        <v>Malaysia</v>
      </c>
      <c r="D23" s="8">
        <f>MAX(I23:AQ23)</f>
        <v>428</v>
      </c>
      <c r="E23" s="8">
        <f>IF(COUNTIF(I23:XFD23,"&gt;"&amp;0)=0,,HLOOKUP(COUNTIF(I23:XFD23,"&gt;"&amp;0)-1,I$1:XFD23,A23+1,FALSE))</f>
        <v>428</v>
      </c>
      <c r="F23" s="9">
        <f>IF(COUNTIF(I23:XFD23,"&gt;"&amp;0)=0,,HLOOKUP(COUNTIF(I23:XFD23,"&gt;"&amp;0)-MIN($F$1+1,COUNTIF(I23:XFD23,"&gt;"&amp;0)),I$1:XFD23,A23+1,FALSE))</f>
        <v>129</v>
      </c>
      <c r="G23" s="10">
        <f>IF(COUNTIF(I23:XFD23,"&gt;"&amp;0)=0,,(E23/F23)^(1/$F$1))</f>
        <v>1.2710739311827768</v>
      </c>
      <c r="H23" s="17" t="s">
        <v>70</v>
      </c>
      <c r="I23" s="11">
        <v>117</v>
      </c>
      <c r="J23" s="11">
        <v>129</v>
      </c>
      <c r="K23" s="11">
        <v>149</v>
      </c>
      <c r="L23" s="11">
        <v>149</v>
      </c>
      <c r="M23" s="11">
        <v>197</v>
      </c>
      <c r="N23" s="11">
        <v>238</v>
      </c>
      <c r="O23" s="11">
        <v>428</v>
      </c>
    </row>
    <row r="24" spans="1:43" x14ac:dyDescent="0.25">
      <c r="A24" s="11">
        <v>23</v>
      </c>
      <c r="B24" s="11">
        <f t="array" ref="B24">IF(OR(H24=Current!$S$10:$S$27),1,0)</f>
        <v>0</v>
      </c>
      <c r="C24" s="11" t="str">
        <f>H24</f>
        <v>Qatar</v>
      </c>
      <c r="D24" s="8">
        <f>MAX(I24:AO24)</f>
        <v>401</v>
      </c>
      <c r="E24" s="8">
        <f>IF(COUNTIF(I24:XFD24,"&gt;"&amp;0)=0,,HLOOKUP(COUNTIF(I24:XFD24,"&gt;"&amp;0)-1,I$1:XFD24,A24+1,FALSE))</f>
        <v>401</v>
      </c>
      <c r="F24" s="9">
        <f>IF(COUNTIF(I24:XFD24,"&gt;"&amp;0)=0,,HLOOKUP(COUNTIF(I24:XFD24,"&gt;"&amp;0)-MIN($F$1+1,COUNTIF(I24:XFD24,"&gt;"&amp;0)),I$1:XFD24,A24+1,FALSE))</f>
        <v>262</v>
      </c>
      <c r="G24" s="10">
        <f>IF(COUNTIF(I24:XFD24,"&gt;"&amp;0)=0,,(E24/F24)^(1/$F$1))</f>
        <v>1.0888514060244985</v>
      </c>
      <c r="H24" s="17" t="s">
        <v>128</v>
      </c>
      <c r="I24" s="11">
        <v>262</v>
      </c>
      <c r="J24" s="11">
        <v>262</v>
      </c>
      <c r="K24" s="11">
        <v>320</v>
      </c>
      <c r="L24" s="11">
        <v>337</v>
      </c>
      <c r="M24" s="11">
        <v>401</v>
      </c>
    </row>
    <row r="25" spans="1:43" x14ac:dyDescent="0.25">
      <c r="A25" s="11">
        <v>24</v>
      </c>
      <c r="B25" s="11">
        <f t="array" ref="B25">IF(OR(H25=Current!$S$10:$S$27),1,0)</f>
        <v>0</v>
      </c>
      <c r="C25" s="11" t="str">
        <f>H25</f>
        <v>Greece</v>
      </c>
      <c r="D25" s="8">
        <f>MAX(I25:AM25)</f>
        <v>331</v>
      </c>
      <c r="E25" s="8">
        <f>IF(COUNTIF(I25:XFD25,"&gt;"&amp;0)=0,,HLOOKUP(COUNTIF(I25:XFD25,"&gt;"&amp;0)-1,I$1:XFD25,A25+1,FALSE))</f>
        <v>331</v>
      </c>
      <c r="F25" s="9">
        <f>IF(COUNTIF(I25:XFD25,"&gt;"&amp;0)=0,,HLOOKUP(COUNTIF(I25:XFD25,"&gt;"&amp;0)-MIN($F$1+1,COUNTIF(I25:XFD25,"&gt;"&amp;0)),I$1:XFD25,A25+1,FALSE))</f>
        <v>190</v>
      </c>
      <c r="G25" s="10">
        <f>IF(COUNTIF(I25:XFD25,"&gt;"&amp;0)=0,,(E25/F25)^(1/$F$1))</f>
        <v>1.117415981839982</v>
      </c>
      <c r="H25" s="17" t="s">
        <v>110</v>
      </c>
      <c r="I25" s="11">
        <v>190</v>
      </c>
      <c r="J25" s="11">
        <v>228</v>
      </c>
      <c r="K25" s="11">
        <v>331</v>
      </c>
    </row>
    <row r="26" spans="1:43" x14ac:dyDescent="0.25">
      <c r="A26" s="11">
        <v>25</v>
      </c>
      <c r="B26" s="11">
        <f t="array" ref="B26">IF(OR(H26=Current!$S$10:$S$27),1,0)</f>
        <v>0</v>
      </c>
      <c r="C26" s="11" t="str">
        <f>H26</f>
        <v>Australia</v>
      </c>
      <c r="D26" s="8">
        <f>MAX(I26:AP26)</f>
        <v>297</v>
      </c>
      <c r="E26" s="8">
        <f>IF(COUNTIF(I26:XFD26,"&gt;"&amp;0)=0,,HLOOKUP(COUNTIF(I26:XFD26,"&gt;"&amp;0)-1,I$1:XFD26,A26+1,FALSE))</f>
        <v>297</v>
      </c>
      <c r="F26" s="9">
        <f>IF(COUNTIF(I26:XFD26,"&gt;"&amp;0)=0,,HLOOKUP(COUNTIF(I26:XFD26,"&gt;"&amp;0)-MIN($F$1+1,COUNTIF(I26:XFD26,"&gt;"&amp;0)),I$1:XFD26,A26+1,FALSE))</f>
        <v>107</v>
      </c>
      <c r="G26" s="10">
        <f>IF(COUNTIF(I26:XFD26,"&gt;"&amp;0)=0,,(E26/F26)^(1/$F$1))</f>
        <v>1.2265197175586142</v>
      </c>
      <c r="H26" s="17" t="s">
        <v>75</v>
      </c>
      <c r="I26" s="11">
        <v>107</v>
      </c>
      <c r="J26" s="11">
        <v>128</v>
      </c>
      <c r="K26" s="11">
        <v>128</v>
      </c>
      <c r="L26" s="11">
        <v>200</v>
      </c>
      <c r="M26" s="11">
        <v>250</v>
      </c>
      <c r="N26" s="11">
        <v>297</v>
      </c>
    </row>
    <row r="27" spans="1:43" x14ac:dyDescent="0.25">
      <c r="A27" s="11">
        <v>26</v>
      </c>
      <c r="B27" s="11">
        <f t="array" ref="B27">IF(OR(H27=Current!$S$10:$S$27),1,0)</f>
        <v>0</v>
      </c>
      <c r="C27" s="11" t="str">
        <f>H27</f>
        <v>Czechia</v>
      </c>
      <c r="D27" s="8">
        <f>MAX(I27:AM27)</f>
        <v>253</v>
      </c>
      <c r="E27" s="8">
        <f>IF(COUNTIF(I27:XFD27,"&gt;"&amp;0)=0,,HLOOKUP(COUNTIF(I27:XFD27,"&gt;"&amp;0)-1,I$1:XFD27,A27+1,FALSE))</f>
        <v>253</v>
      </c>
      <c r="F27" s="9">
        <f>IF(COUNTIF(I27:XFD27,"&gt;"&amp;0)=0,,HLOOKUP(COUNTIF(I27:XFD27,"&gt;"&amp;0)-MIN($F$1+1,COUNTIF(I27:XFD27,"&gt;"&amp;0)),I$1:XFD27,A27+1,FALSE))</f>
        <v>141</v>
      </c>
      <c r="G27" s="10">
        <f>IF(COUNTIF(I27:XFD27,"&gt;"&amp;0)=0,,(E27/F27)^(1/$F$1))</f>
        <v>1.124036157636529</v>
      </c>
      <c r="H27" s="17" t="s">
        <v>369</v>
      </c>
      <c r="I27" s="11">
        <v>141</v>
      </c>
      <c r="J27" s="11">
        <v>189</v>
      </c>
      <c r="K27" s="11">
        <v>253</v>
      </c>
    </row>
    <row r="28" spans="1:43" x14ac:dyDescent="0.25">
      <c r="A28" s="11">
        <v>27</v>
      </c>
      <c r="B28" s="11">
        <f t="array" ref="B28">IF(OR(H28=Current!$S$10:$S$27),1,0)</f>
        <v>0</v>
      </c>
      <c r="C28" s="11" t="str">
        <f>H28</f>
        <v>Canada</v>
      </c>
      <c r="D28" s="8">
        <f>MAX(I28:AO28)</f>
        <v>252</v>
      </c>
      <c r="E28" s="8">
        <f>IF(COUNTIF(I28:XFD28,"&gt;"&amp;0)=0,,HLOOKUP(COUNTIF(I28:XFD28,"&gt;"&amp;0)-1,I$1:XFD28,A28+1,FALSE))</f>
        <v>252</v>
      </c>
      <c r="F28" s="9">
        <f>IF(COUNTIF(I28:XFD28,"&gt;"&amp;0)=0,,HLOOKUP(COUNTIF(I28:XFD28,"&gt;"&amp;0)-MIN($F$1+1,COUNTIF(I28:XFD28,"&gt;"&amp;0)),I$1:XFD28,A28+1,FALSE))</f>
        <v>108</v>
      </c>
      <c r="G28" s="10">
        <f>IF(COUNTIF(I28:XFD28,"&gt;"&amp;0)=0,,(E28/F28)^(1/$F$1))</f>
        <v>1.1846644525422441</v>
      </c>
      <c r="H28" s="17" t="s">
        <v>72</v>
      </c>
      <c r="I28" s="11">
        <v>108</v>
      </c>
      <c r="J28" s="11">
        <v>117</v>
      </c>
      <c r="K28" s="11">
        <v>193</v>
      </c>
      <c r="L28" s="11">
        <v>198</v>
      </c>
      <c r="M28" s="11">
        <v>252</v>
      </c>
    </row>
    <row r="29" spans="1:43" x14ac:dyDescent="0.25">
      <c r="A29" s="11">
        <v>28</v>
      </c>
      <c r="B29" s="11">
        <f t="array" ref="B29">IF(OR(H29=Current!$S$10:$S$27),1,0)</f>
        <v>0</v>
      </c>
      <c r="C29" s="11" t="str">
        <f>H29</f>
        <v>Israel</v>
      </c>
      <c r="D29" s="8">
        <f>MAX(I29:AO29)</f>
        <v>251</v>
      </c>
      <c r="E29" s="8">
        <f>IF(COUNTIF(I29:XFD29,"&gt;"&amp;0)=0,,HLOOKUP(COUNTIF(I29:XFD29,"&gt;"&amp;0)-1,I$1:XFD29,A29+1,FALSE))</f>
        <v>251</v>
      </c>
      <c r="F29" s="9">
        <f>IF(COUNTIF(I29:XFD29,"&gt;"&amp;0)=0,,HLOOKUP(COUNTIF(I29:XFD29,"&gt;"&amp;0)-MIN($F$1+1,COUNTIF(I29:XFD29,"&gt;"&amp;0)),I$1:XFD29,A29+1,FALSE))</f>
        <v>109</v>
      </c>
      <c r="G29" s="10">
        <f>IF(COUNTIF(I29:XFD29,"&gt;"&amp;0)=0,,(E29/F29)^(1/$F$1))</f>
        <v>1.1815427636726166</v>
      </c>
      <c r="H29" s="17" t="s">
        <v>106</v>
      </c>
      <c r="I29" s="11">
        <v>109</v>
      </c>
      <c r="J29" s="11">
        <v>131</v>
      </c>
      <c r="K29" s="11">
        <v>161</v>
      </c>
      <c r="L29" s="11">
        <v>193</v>
      </c>
      <c r="M29" s="11">
        <v>251</v>
      </c>
    </row>
    <row r="30" spans="1:43" x14ac:dyDescent="0.25">
      <c r="A30" s="11">
        <v>29</v>
      </c>
      <c r="B30" s="11">
        <f t="array" ref="B30">IF(OR(H30=Current!$S$10:$S$27),1,0)</f>
        <v>0</v>
      </c>
      <c r="C30" s="11" t="str">
        <f>H30</f>
        <v>Portugal</v>
      </c>
      <c r="D30" s="8">
        <f>MAX(I30:AM30)</f>
        <v>245</v>
      </c>
      <c r="E30" s="8">
        <f>IF(COUNTIF(I30:XFD30,"&gt;"&amp;0)=0,,HLOOKUP(COUNTIF(I30:XFD30,"&gt;"&amp;0)-1,I$1:XFD30,A30+1,FALSE))</f>
        <v>245</v>
      </c>
      <c r="F30" s="9">
        <f>IF(COUNTIF(I30:XFD30,"&gt;"&amp;0)=0,,HLOOKUP(COUNTIF(I30:XFD30,"&gt;"&amp;0)-MIN($F$1+1,COUNTIF(I30:XFD30,"&gt;"&amp;0)),I$1:XFD30,A30+1,FALSE))</f>
        <v>112</v>
      </c>
      <c r="G30" s="10">
        <f>IF(COUNTIF(I30:XFD30,"&gt;"&amp;0)=0,,(E30/F30)^(1/$F$1))</f>
        <v>1.1694714187140103</v>
      </c>
      <c r="H30" s="17" t="s">
        <v>135</v>
      </c>
      <c r="I30" s="11">
        <v>112</v>
      </c>
      <c r="J30" s="11">
        <v>169</v>
      </c>
      <c r="K30" s="11">
        <v>245</v>
      </c>
    </row>
    <row r="31" spans="1:43" x14ac:dyDescent="0.25">
      <c r="A31" s="11">
        <v>30</v>
      </c>
      <c r="B31" s="11">
        <f t="array" ref="B31">IF(OR(H31=Current!$S$10:$S$27),1,0)</f>
        <v>0</v>
      </c>
      <c r="C31" s="11" t="str">
        <f>H31</f>
        <v>Finland</v>
      </c>
      <c r="D31" s="8">
        <f>MAX(I31:AM31)</f>
        <v>244</v>
      </c>
      <c r="E31" s="8">
        <f>IF(COUNTIF(I31:XFD31,"&gt;"&amp;0)=0,,HLOOKUP(COUNTIF(I31:XFD31,"&gt;"&amp;0)-1,I$1:XFD31,A31+1,FALSE))</f>
        <v>244</v>
      </c>
      <c r="F31" s="9">
        <f>IF(COUNTIF(I31:XFD31,"&gt;"&amp;0)=0,,HLOOKUP(COUNTIF(I31:XFD31,"&gt;"&amp;0)-MIN($F$1+1,COUNTIF(I31:XFD31,"&gt;"&amp;0)),I$1:XFD31,A31+1,FALSE))</f>
        <v>155</v>
      </c>
      <c r="G31" s="10">
        <f>IF(COUNTIF(I31:XFD31,"&gt;"&amp;0)=0,,(E31/F31)^(1/$F$1))</f>
        <v>1.0949937129729768</v>
      </c>
      <c r="H31" s="17" t="s">
        <v>81</v>
      </c>
      <c r="I31" s="11">
        <v>155</v>
      </c>
      <c r="J31" s="11">
        <v>225</v>
      </c>
      <c r="K31" s="11">
        <v>244</v>
      </c>
    </row>
    <row r="32" spans="1:43" x14ac:dyDescent="0.25">
      <c r="A32" s="11">
        <v>31</v>
      </c>
      <c r="B32" s="11">
        <f t="array" ref="B32">IF(OR(H32=Current!$S$10:$S$27),1,0)</f>
        <v>0</v>
      </c>
      <c r="C32" s="11" t="str">
        <f>H32</f>
        <v>Singapore</v>
      </c>
      <c r="D32" s="8">
        <f>MAX(I32:AZ32)</f>
        <v>226</v>
      </c>
      <c r="E32" s="8">
        <f>IF(COUNTIF(I32:XFD32,"&gt;"&amp;0)=0,,HLOOKUP(COUNTIF(I32:XFD32,"&gt;"&amp;0)-1,I$1:XFD32,A32+1,FALSE))</f>
        <v>226</v>
      </c>
      <c r="F32" s="9">
        <f>IF(COUNTIF(I32:XFD32,"&gt;"&amp;0)=0,,HLOOKUP(COUNTIF(I32:XFD32,"&gt;"&amp;0)-MIN($F$1+1,COUNTIF(I32:XFD32,"&gt;"&amp;0)),I$1:XFD32,A32+1,FALSE))</f>
        <v>160</v>
      </c>
      <c r="G32" s="10">
        <f>IF(COUNTIF(I32:XFD32,"&gt;"&amp;0)=0,,(E32/F32)^(1/$F$1))</f>
        <v>1.0715136090752686</v>
      </c>
      <c r="H32" s="17" t="s">
        <v>67</v>
      </c>
      <c r="I32" s="11">
        <v>102</v>
      </c>
      <c r="J32" s="11">
        <v>106</v>
      </c>
      <c r="K32" s="11">
        <v>108</v>
      </c>
      <c r="L32" s="11">
        <v>110</v>
      </c>
      <c r="M32" s="11">
        <v>110</v>
      </c>
      <c r="N32" s="11">
        <v>117</v>
      </c>
      <c r="O32" s="11">
        <v>130</v>
      </c>
      <c r="P32" s="11">
        <v>138</v>
      </c>
      <c r="Q32" s="11">
        <v>150</v>
      </c>
      <c r="R32" s="11">
        <v>150</v>
      </c>
      <c r="S32" s="11">
        <v>160</v>
      </c>
      <c r="T32" s="11">
        <v>178</v>
      </c>
      <c r="U32" s="11">
        <v>178</v>
      </c>
      <c r="V32" s="11">
        <v>200</v>
      </c>
      <c r="W32" s="11">
        <v>212</v>
      </c>
      <c r="X32" s="11">
        <v>226</v>
      </c>
    </row>
    <row r="33" spans="1:14" x14ac:dyDescent="0.25">
      <c r="A33" s="11">
        <v>32</v>
      </c>
      <c r="B33" s="11">
        <f t="array" ref="B33">IF(OR(H33=Current!$S$10:$S$27),1,0)</f>
        <v>0</v>
      </c>
      <c r="C33" s="11" t="str">
        <f>H33</f>
        <v>Slovenia</v>
      </c>
      <c r="D33" s="8">
        <f>MAX(I33:AM33)</f>
        <v>219</v>
      </c>
      <c r="E33" s="8">
        <f>IF(COUNTIF(I33:XFD33,"&gt;"&amp;0)=0,,HLOOKUP(COUNTIF(I33:XFD33,"&gt;"&amp;0)-1,I$1:XFD33,A33+1,FALSE))</f>
        <v>219</v>
      </c>
      <c r="F33" s="9">
        <f>IF(COUNTIF(I33:XFD33,"&gt;"&amp;0)=0,,HLOOKUP(COUNTIF(I33:XFD33,"&gt;"&amp;0)-MIN($F$1+1,COUNTIF(I33:XFD33,"&gt;"&amp;0)),I$1:XFD33,A33+1,FALSE))</f>
        <v>141</v>
      </c>
      <c r="G33" s="10">
        <f>IF(COUNTIF(I33:XFD33,"&gt;"&amp;0)=0,,(E33/F33)^(1/$F$1))</f>
        <v>1.0920562291445517</v>
      </c>
      <c r="H33" s="17" t="s">
        <v>168</v>
      </c>
      <c r="I33" s="11">
        <v>141</v>
      </c>
      <c r="J33" s="11">
        <v>181</v>
      </c>
      <c r="K33" s="11">
        <v>219</v>
      </c>
    </row>
    <row r="34" spans="1:14" x14ac:dyDescent="0.25">
      <c r="A34" s="11">
        <v>33</v>
      </c>
      <c r="B34" s="11">
        <f t="array" ref="B34">IF(OR(H34=Current!$S$10:$S$27),1,0)</f>
        <v>0</v>
      </c>
      <c r="C34" s="11" t="str">
        <f>H34</f>
        <v>Bahrain</v>
      </c>
      <c r="D34" s="8">
        <f>MAX(I34:AP34)</f>
        <v>214</v>
      </c>
      <c r="E34" s="8">
        <f>IF(COUNTIF(I34:XFD34,"&gt;"&amp;0)=0,,HLOOKUP(COUNTIF(I34:XFD34,"&gt;"&amp;0)-1,I$1:XFD34,A34+1,FALSE))</f>
        <v>214</v>
      </c>
      <c r="F34" s="9">
        <f>IF(COUNTIF(I34:XFD34,"&gt;"&amp;0)=0,,HLOOKUP(COUNTIF(I34:XFD34,"&gt;"&amp;0)-MIN($F$1+1,COUNTIF(I34:XFD34,"&gt;"&amp;0)),I$1:XFD34,A34+1,FALSE))</f>
        <v>110</v>
      </c>
      <c r="G34" s="10">
        <f>IF(COUNTIF(I34:XFD34,"&gt;"&amp;0)=0,,(E34/F34)^(1/$F$1))</f>
        <v>1.1423632350096677</v>
      </c>
      <c r="H34" s="17" t="s">
        <v>100</v>
      </c>
      <c r="I34" s="11">
        <v>110</v>
      </c>
      <c r="J34" s="11">
        <v>195</v>
      </c>
      <c r="K34" s="11">
        <v>195</v>
      </c>
      <c r="L34" s="11">
        <v>189</v>
      </c>
      <c r="M34" s="11">
        <v>210</v>
      </c>
      <c r="N34" s="11">
        <v>214</v>
      </c>
    </row>
    <row r="35" spans="1:14" x14ac:dyDescent="0.25">
      <c r="A35" s="11">
        <v>34</v>
      </c>
      <c r="B35" s="11">
        <f t="array" ref="B35">IF(OR(H35=Current!$S$10:$S$27),1,0)</f>
        <v>0</v>
      </c>
      <c r="C35" s="11" t="str">
        <f>H35</f>
        <v>Iceland</v>
      </c>
      <c r="D35" s="8">
        <f>MAX(I35:AN35)</f>
        <v>171</v>
      </c>
      <c r="E35" s="8">
        <f>IF(COUNTIF(I35:XFD35,"&gt;"&amp;0)=0,,HLOOKUP(COUNTIF(I35:XFD35,"&gt;"&amp;0)-1,I$1:XFD35,A35+1,FALSE))</f>
        <v>171</v>
      </c>
      <c r="F35" s="9">
        <f>IF(COUNTIF(I35:XFD35,"&gt;"&amp;0)=0,,HLOOKUP(COUNTIF(I35:XFD35,"&gt;"&amp;0)-MIN($F$1+1,COUNTIF(I35:XFD35,"&gt;"&amp;0)),I$1:XFD35,A35+1,FALSE))</f>
        <v>103</v>
      </c>
      <c r="G35" s="10">
        <f>IF(COUNTIF(I35:XFD35,"&gt;"&amp;0)=0,,(E35/F35)^(1/$F$1))</f>
        <v>1.1067047581185832</v>
      </c>
      <c r="H35" s="17" t="s">
        <v>119</v>
      </c>
      <c r="I35" s="11">
        <v>103</v>
      </c>
      <c r="J35" s="11">
        <v>134</v>
      </c>
      <c r="K35" s="11">
        <v>156</v>
      </c>
      <c r="L35" s="11">
        <v>171</v>
      </c>
    </row>
    <row r="36" spans="1:14" x14ac:dyDescent="0.25">
      <c r="A36" s="11">
        <v>35</v>
      </c>
      <c r="B36" s="11">
        <f t="array" ref="B36">IF(OR(H36=Current!$S$10:$S$27),1,0)</f>
        <v>0</v>
      </c>
      <c r="C36" s="11" t="str">
        <f>H36</f>
        <v>Brazil</v>
      </c>
      <c r="D36" s="8">
        <f>MAX(I36:AM36)</f>
        <v>162</v>
      </c>
      <c r="E36" s="8">
        <f>IF(COUNTIF(I36:XFD36,"&gt;"&amp;0)=0,,HLOOKUP(COUNTIF(I36:XFD36,"&gt;"&amp;0)-1,I$1:XFD36,A36+1,FALSE))</f>
        <v>162</v>
      </c>
      <c r="F36" s="9">
        <f>IF(COUNTIF(I36:XFD36,"&gt;"&amp;0)=0,,HLOOKUP(COUNTIF(I36:XFD36,"&gt;"&amp;0)-MIN($F$1+1,COUNTIF(I36:XFD36,"&gt;"&amp;0)),I$1:XFD36,A36+1,FALSE))</f>
        <v>151</v>
      </c>
      <c r="G36" s="10">
        <f>IF(COUNTIF(I36:XFD36,"&gt;"&amp;0)=0,,(E36/F36)^(1/$F$1))</f>
        <v>1.0141626530816858</v>
      </c>
      <c r="H36" s="17" t="s">
        <v>108</v>
      </c>
      <c r="I36" s="11">
        <v>151</v>
      </c>
      <c r="J36" s="11">
        <v>151</v>
      </c>
      <c r="K36" s="11">
        <v>162</v>
      </c>
    </row>
    <row r="37" spans="1:14" x14ac:dyDescent="0.25">
      <c r="A37" s="11">
        <v>36</v>
      </c>
      <c r="B37" s="11">
        <f t="array" ref="B37">IF(OR(H37=Current!$S$10:$S$27),1,0)</f>
        <v>0</v>
      </c>
      <c r="C37" s="11" t="str">
        <f>H37</f>
        <v>Ireland</v>
      </c>
      <c r="D37" s="8">
        <f>MAX(I37:AL37)</f>
        <v>129</v>
      </c>
      <c r="E37" s="8">
        <f>IF(COUNTIF(I37:XFD37,"&gt;"&amp;0)=0,,HLOOKUP(COUNTIF(I37:XFD37,"&gt;"&amp;0)-1,I$1:XFD37,A37+1,FALSE))</f>
        <v>129</v>
      </c>
      <c r="F37" s="9">
        <f>IF(COUNTIF(I37:XFD37,"&gt;"&amp;0)=0,,HLOOKUP(COUNTIF(I37:XFD37,"&gt;"&amp;0)-MIN($F$1+1,COUNTIF(I37:XFD37,"&gt;"&amp;0)),I$1:XFD37,A37+1,FALSE))</f>
        <v>129</v>
      </c>
      <c r="G37" s="10">
        <f>IF(COUNTIF(I37:XFD37,"&gt;"&amp;0)=0,,(E37/F37)^(1/$F$1))</f>
        <v>1</v>
      </c>
      <c r="H37" s="17" t="s">
        <v>125</v>
      </c>
      <c r="I37" s="11">
        <v>129</v>
      </c>
      <c r="J37" s="11">
        <v>129</v>
      </c>
    </row>
    <row r="38" spans="1:14" x14ac:dyDescent="0.25">
      <c r="A38" s="11">
        <v>37</v>
      </c>
      <c r="B38" s="11">
        <f t="array" ref="B38">IF(OR(H38=Current!$S$10:$S$27),1,0)</f>
        <v>0</v>
      </c>
      <c r="C38" s="11" t="str">
        <f>H38</f>
        <v>Iraq</v>
      </c>
      <c r="D38" s="8">
        <f>MAX(I38:AM38)</f>
        <v>116</v>
      </c>
      <c r="E38" s="8">
        <f>IF(COUNTIF(I38:XFD38,"&gt;"&amp;0)=0,,HLOOKUP(COUNTIF(I38:XFD38,"&gt;"&amp;0)-1,I$1:XFD38,A38+1,FALSE))</f>
        <v>116</v>
      </c>
      <c r="F38" s="9">
        <f>IF(COUNTIF(I38:XFD38,"&gt;"&amp;0)=0,,HLOOKUP(COUNTIF(I38:XFD38,"&gt;"&amp;0)-MIN($F$1+1,COUNTIF(I38:XFD38,"&gt;"&amp;0)),I$1:XFD38,A38+1,FALSE))</f>
        <v>101</v>
      </c>
      <c r="G38" s="10">
        <f>IF(COUNTIF(I38:XFD38,"&gt;"&amp;0)=0,,(E38/F38)^(1/$F$1))</f>
        <v>1.0280809765081387</v>
      </c>
      <c r="H38" s="17" t="s">
        <v>97</v>
      </c>
      <c r="I38" s="11">
        <v>101</v>
      </c>
      <c r="J38" s="11">
        <v>110</v>
      </c>
      <c r="K38" s="11">
        <v>116</v>
      </c>
    </row>
    <row r="39" spans="1:14" x14ac:dyDescent="0.25">
      <c r="A39" s="11">
        <v>38</v>
      </c>
      <c r="B39" s="11">
        <f t="array" ref="B39">IF(OR(H39=Current!$S$10:$S$27),1,0)</f>
        <v>0</v>
      </c>
      <c r="C39" s="11" t="str">
        <f>H39</f>
        <v>Estonia</v>
      </c>
      <c r="D39" s="8">
        <f>MAX(I39:AL39)</f>
        <v>171</v>
      </c>
      <c r="E39" s="8">
        <f>IF(COUNTIF(I39:XFD39,"&gt;"&amp;0)=0,,HLOOKUP(COUNTIF(I39:XFD39,"&gt;"&amp;0)-1,I$1:XFD39,A39+1,FALSE))</f>
        <v>171</v>
      </c>
      <c r="F39" s="9">
        <f>IF(COUNTIF(I39:XFD39,"&gt;"&amp;0)=0,,HLOOKUP(COUNTIF(I39:XFD39,"&gt;"&amp;0)-MIN($F$1+1,COUNTIF(I39:XFD39,"&gt;"&amp;0)),I$1:XFD39,A39+1,FALSE))</f>
        <v>115</v>
      </c>
      <c r="G39" s="10">
        <f>IF(COUNTIF(I39:XFD39,"&gt;"&amp;0)=0,,(E39/F39)^(1/$F$1))</f>
        <v>1.0825791387665515</v>
      </c>
      <c r="H39" s="17" t="s">
        <v>115</v>
      </c>
      <c r="I39" s="11">
        <v>115</v>
      </c>
      <c r="J39" s="11">
        <v>171</v>
      </c>
    </row>
    <row r="40" spans="1:14" x14ac:dyDescent="0.25">
      <c r="A40" s="11">
        <v>39</v>
      </c>
      <c r="B40" s="11">
        <f t="array" ref="B40">IF(OR(H40=Current!$S$10:$S$27),1,0)</f>
        <v>0</v>
      </c>
      <c r="C40" s="11" t="str">
        <f>H40</f>
        <v>Philippines</v>
      </c>
      <c r="D40" s="8">
        <f>MAX(I40:AL40)</f>
        <v>140</v>
      </c>
      <c r="E40" s="8">
        <f>IF(COUNTIF(I40:XFD40,"&gt;"&amp;0)=0,,HLOOKUP(COUNTIF(I40:XFD40,"&gt;"&amp;0)-1,I$1:XFD40,A40+1,FALSE))</f>
        <v>140</v>
      </c>
      <c r="F40" s="9">
        <f>IF(COUNTIF(I40:XFD40,"&gt;"&amp;0)=0,,HLOOKUP(COUNTIF(I40:XFD40,"&gt;"&amp;0)-MIN($F$1+1,COUNTIF(I40:XFD40,"&gt;"&amp;0)),I$1:XFD40,A40+1,FALSE))</f>
        <v>111</v>
      </c>
      <c r="G40" s="10">
        <f>IF(COUNTIF(I40:XFD40,"&gt;"&amp;0)=0,,(E40/F40)^(1/$F$1))</f>
        <v>1.0475168349741679</v>
      </c>
      <c r="H40" s="17" t="s">
        <v>83</v>
      </c>
      <c r="I40" s="11">
        <v>111</v>
      </c>
      <c r="J40" s="11">
        <v>140</v>
      </c>
    </row>
    <row r="41" spans="1:14" x14ac:dyDescent="0.25">
      <c r="A41" s="11">
        <v>41</v>
      </c>
      <c r="B41" s="11">
        <f t="array" ref="B41">IF(OR(H41=Current!$S$10:$S$27),1,0)</f>
        <v>0</v>
      </c>
      <c r="C41" s="11" t="str">
        <f>H41</f>
        <v>Romania</v>
      </c>
      <c r="D41" s="8">
        <f>MAX(I41:AL41)</f>
        <v>131</v>
      </c>
      <c r="E41" s="8" t="e">
        <f>IF(COUNTIF(I41:XFD41,"&gt;"&amp;0)=0,,HLOOKUP(COUNTIF(I41:XFD41,"&gt;"&amp;0)-1,I$1:XFD41,A41+1,FALSE))</f>
        <v>#REF!</v>
      </c>
      <c r="F41" s="9" t="e">
        <f>IF(COUNTIF(I41:XFD41,"&gt;"&amp;0)=0,,HLOOKUP(COUNTIF(I41:XFD41,"&gt;"&amp;0)-MIN($F$1+1,COUNTIF(I41:XFD41,"&gt;"&amp;0)),I$1:XFD41,A41+1,FALSE))</f>
        <v>#REF!</v>
      </c>
      <c r="G41" s="10" t="e">
        <f>IF(COUNTIF(I41:XFD41,"&gt;"&amp;0)=0,,(E41/F41)^(1/$F$1))</f>
        <v>#REF!</v>
      </c>
      <c r="H41" s="17" t="s">
        <v>113</v>
      </c>
      <c r="I41" s="11">
        <v>123</v>
      </c>
      <c r="J41" s="11">
        <v>131</v>
      </c>
    </row>
    <row r="42" spans="1:14" x14ac:dyDescent="0.25">
      <c r="A42" s="11">
        <v>42</v>
      </c>
      <c r="B42" s="11">
        <f t="array" ref="B42">IF(OR(H42=Current!$S$10:$S$27),1,0)</f>
        <v>0</v>
      </c>
      <c r="C42" s="11" t="str">
        <f>H42</f>
        <v>Poland</v>
      </c>
      <c r="D42" s="8">
        <f>MAX(I42:AL42)</f>
        <v>119</v>
      </c>
      <c r="E42" s="8" t="e">
        <f>IF(COUNTIF(I42:XFD42,"&gt;"&amp;0)=0,,HLOOKUP(COUNTIF(I42:XFD42,"&gt;"&amp;0)-1,I$1:XFD42,A42+1,FALSE))</f>
        <v>#REF!</v>
      </c>
      <c r="F42" s="9" t="e">
        <f>IF(COUNTIF(I42:XFD42,"&gt;"&amp;0)=0,,HLOOKUP(COUNTIF(I42:XFD42,"&gt;"&amp;0)-MIN($F$1+1,COUNTIF(I42:XFD42,"&gt;"&amp;0)),I$1:XFD42,A42+1,FALSE))</f>
        <v>#REF!</v>
      </c>
      <c r="G42" s="10" t="e">
        <f>IF(COUNTIF(I42:XFD42,"&gt;"&amp;0)=0,,(E42/F42)^(1/$F$1))</f>
        <v>#REF!</v>
      </c>
      <c r="H42" s="17" t="s">
        <v>164</v>
      </c>
      <c r="I42" s="11">
        <v>103</v>
      </c>
      <c r="J42" s="11">
        <v>119</v>
      </c>
    </row>
    <row r="43" spans="1:14" x14ac:dyDescent="0.25">
      <c r="A43" s="11">
        <v>43</v>
      </c>
      <c r="B43" s="11">
        <f t="array" ref="B43">IF(OR(H43=Current!$S$10:$S$27),1,0)</f>
        <v>0</v>
      </c>
      <c r="C43" s="11" t="str">
        <f>H43</f>
        <v>Indonesia</v>
      </c>
      <c r="D43" s="8">
        <f>MAX(I43:AK43)</f>
        <v>117</v>
      </c>
      <c r="E43" s="8" t="e">
        <f>IF(COUNTIF(I43:XFD43,"&gt;"&amp;0)=0,,HLOOKUP(COUNTIF(I43:XFD43,"&gt;"&amp;0)-1,I$1:XFD43,A43+1,FALSE))</f>
        <v>#REF!</v>
      </c>
      <c r="F43" s="9" t="e">
        <f>IF(COUNTIF(I43:XFD43,"&gt;"&amp;0)=0,,HLOOKUP(COUNTIF(I43:XFD43,"&gt;"&amp;0)-MIN($F$1+1,COUNTIF(I43:XFD43,"&gt;"&amp;0)),I$1:XFD43,A43+1,FALSE))</f>
        <v>#REF!</v>
      </c>
      <c r="G43" s="10" t="e">
        <f>IF(COUNTIF(I43:XFD43,"&gt;"&amp;0)=0,,(E43/F43)^(1/$F$1))</f>
        <v>#REF!</v>
      </c>
      <c r="H43" s="17" t="s">
        <v>134</v>
      </c>
      <c r="I43" s="11">
        <v>117</v>
      </c>
    </row>
    <row r="44" spans="1:14" x14ac:dyDescent="0.25">
      <c r="A44" s="11">
        <v>44</v>
      </c>
      <c r="B44" s="11">
        <f t="array" ref="B44">IF(OR(H44=Current!$S$10:$S$27),1,0)</f>
        <v>0</v>
      </c>
      <c r="C44" s="11" t="str">
        <f>H44</f>
        <v>Thailand</v>
      </c>
      <c r="D44" s="8">
        <f>MAX(I44:AK44)</f>
        <v>114</v>
      </c>
      <c r="E44" s="8" t="e">
        <f>IF(COUNTIF(I44:XFD44,"&gt;"&amp;0)=0,,HLOOKUP(COUNTIF(I44:XFD44,"&gt;"&amp;0)-1,I$1:XFD44,A44+1,FALSE))</f>
        <v>#REF!</v>
      </c>
      <c r="F44" s="9" t="e">
        <f>IF(COUNTIF(I44:XFD44,"&gt;"&amp;0)=0,,HLOOKUP(COUNTIF(I44:XFD44,"&gt;"&amp;0)-MIN($F$1+1,COUNTIF(I44:XFD44,"&gt;"&amp;0)),I$1:XFD44,A44+1,FALSE))</f>
        <v>#REF!</v>
      </c>
      <c r="G44" s="10" t="e">
        <f>IF(COUNTIF(I44:XFD44,"&gt;"&amp;0)=0,,(E44/F44)^(1/$F$1))</f>
        <v>#REF!</v>
      </c>
      <c r="H44" s="17" t="s">
        <v>62</v>
      </c>
      <c r="I44" s="11">
        <v>114</v>
      </c>
    </row>
    <row r="45" spans="1:14" x14ac:dyDescent="0.25">
      <c r="A45" s="11">
        <v>45</v>
      </c>
      <c r="B45" s="11">
        <f t="array" ref="B45">IF(OR(H45=Current!$S$10:$S$27),1,0)</f>
        <v>0</v>
      </c>
      <c r="C45" s="11" t="str">
        <f>H45</f>
        <v>India</v>
      </c>
      <c r="D45" s="8">
        <f>MAX(I45:AL45)</f>
        <v>113</v>
      </c>
      <c r="E45" s="8" t="e">
        <f>IF(COUNTIF(I45:XFD45,"&gt;"&amp;0)=0,,HLOOKUP(COUNTIF(I45:XFD45,"&gt;"&amp;0)-1,I$1:XFD45,A45+1,FALSE))</f>
        <v>#REF!</v>
      </c>
      <c r="F45" s="9" t="e">
        <f>IF(COUNTIF(I45:XFD45,"&gt;"&amp;0)=0,,HLOOKUP(COUNTIF(I45:XFD45,"&gt;"&amp;0)-MIN($F$1+1,COUNTIF(I45:XFD45,"&gt;"&amp;0)),I$1:XFD45,A45+1,FALSE))</f>
        <v>#REF!</v>
      </c>
      <c r="G45" s="10" t="e">
        <f>IF(COUNTIF(I45:XFD45,"&gt;"&amp;0)=0,,(E45/F45)^(1/$F$1))</f>
        <v>#REF!</v>
      </c>
      <c r="H45" s="17" t="s">
        <v>84</v>
      </c>
      <c r="I45" s="11">
        <v>102</v>
      </c>
      <c r="J45" s="11">
        <v>113</v>
      </c>
    </row>
    <row r="46" spans="1:14" x14ac:dyDescent="0.25">
      <c r="A46" s="11">
        <v>46</v>
      </c>
      <c r="B46" s="11">
        <f t="array" ref="B46">IF(OR(H46=Current!$S$10:$S$27),1,0)</f>
        <v>0</v>
      </c>
      <c r="C46" s="11" t="str">
        <f>H46</f>
        <v>Kuwait</v>
      </c>
      <c r="D46" s="8">
        <f>MAX(I46:AL46)</f>
        <v>112</v>
      </c>
      <c r="E46" s="8" t="e">
        <f>IF(COUNTIF(I46:XFD46,"&gt;"&amp;0)=0,,HLOOKUP(COUNTIF(I46:XFD46,"&gt;"&amp;0)-1,I$1:XFD46,A46+1,FALSE))</f>
        <v>#REF!</v>
      </c>
      <c r="F46" s="9" t="e">
        <f>IF(COUNTIF(I46:XFD46,"&gt;"&amp;0)=0,,HLOOKUP(COUNTIF(I46:XFD46,"&gt;"&amp;0)-MIN($F$1+1,COUNTIF(I46:XFD46,"&gt;"&amp;0)),I$1:XFD46,A46+1,FALSE))</f>
        <v>#REF!</v>
      </c>
      <c r="G46" s="10" t="e">
        <f>IF(COUNTIF(I46:XFD46,"&gt;"&amp;0)=0,,(E46/F46)^(1/$F$1))</f>
        <v>#REF!</v>
      </c>
      <c r="H46" s="17" t="s">
        <v>101</v>
      </c>
      <c r="I46" s="11">
        <v>104</v>
      </c>
      <c r="J46" s="11">
        <v>112</v>
      </c>
    </row>
    <row r="47" spans="1:14" x14ac:dyDescent="0.25">
      <c r="A47" s="11">
        <v>47</v>
      </c>
      <c r="B47" s="11">
        <f t="array" ref="B47">IF(OR(H47=Current!$S$10:$S$27),1,0)</f>
        <v>0</v>
      </c>
      <c r="C47" s="11" t="str">
        <f>H47</f>
        <v>Egypt</v>
      </c>
      <c r="D47" s="8">
        <f>MAX(I47:AL47)</f>
        <v>110</v>
      </c>
      <c r="E47" s="8" t="e">
        <f>IF(COUNTIF(I47:XFD47,"&gt;"&amp;0)=0,,HLOOKUP(COUNTIF(I47:XFD47,"&gt;"&amp;0)-1,I$1:XFD47,A47+1,FALSE))</f>
        <v>#REF!</v>
      </c>
      <c r="F47" s="9" t="e">
        <f>IF(COUNTIF(I47:XFD47,"&gt;"&amp;0)=0,,HLOOKUP(COUNTIF(I47:XFD47,"&gt;"&amp;0)-MIN($F$1+1,COUNTIF(I47:XFD47,"&gt;"&amp;0)),I$1:XFD47,A47+1,FALSE))</f>
        <v>#REF!</v>
      </c>
      <c r="G47" s="10" t="e">
        <f>IF(COUNTIF(I47:XFD47,"&gt;"&amp;0)=0,,(E47/F47)^(1/$F$1))</f>
        <v>#REF!</v>
      </c>
      <c r="H47" s="17" t="s">
        <v>92</v>
      </c>
      <c r="I47" s="11">
        <v>109</v>
      </c>
      <c r="J47" s="11">
        <v>110</v>
      </c>
    </row>
    <row r="48" spans="1:14" x14ac:dyDescent="0.25">
      <c r="A48" s="11">
        <v>48</v>
      </c>
      <c r="B48" s="11">
        <f t="array" ref="B48">IF(OR(H48=Current!$S$10:$S$27),1,0)</f>
        <v>0</v>
      </c>
      <c r="C48" s="11" t="str">
        <f>H48</f>
        <v>Lebanon</v>
      </c>
      <c r="D48" s="8">
        <f>MAX(I48:AK48)</f>
        <v>110</v>
      </c>
      <c r="E48" s="8" t="e">
        <f>IF(COUNTIF(I48:XFD48,"&gt;"&amp;0)=0,,HLOOKUP(COUNTIF(I48:XFD48,"&gt;"&amp;0)-1,I$1:XFD48,A48+1,FALSE))</f>
        <v>#REF!</v>
      </c>
      <c r="F48" s="9" t="e">
        <f>IF(COUNTIF(I48:XFD48,"&gt;"&amp;0)=0,,HLOOKUP(COUNTIF(I48:XFD48,"&gt;"&amp;0)-MIN($F$1+1,COUNTIF(I48:XFD48,"&gt;"&amp;0)),I$1:XFD48,A48+1,FALSE))</f>
        <v>#REF!</v>
      </c>
      <c r="G48" s="10" t="e">
        <f>IF(COUNTIF(I48:XFD48,"&gt;"&amp;0)=0,,(E48/F48)^(1/$F$1))</f>
        <v>#REF!</v>
      </c>
      <c r="H48" s="17" t="s">
        <v>94</v>
      </c>
      <c r="I48" s="11">
        <v>110</v>
      </c>
    </row>
    <row r="49" spans="1:10" x14ac:dyDescent="0.25">
      <c r="A49" s="11">
        <v>49</v>
      </c>
      <c r="B49" s="11">
        <f t="array" ref="B49">IF(OR(H49=Current!$S$10:$S$27),1,0)</f>
        <v>0</v>
      </c>
      <c r="C49" s="11" t="str">
        <f>H49</f>
        <v>Saudi Arabia</v>
      </c>
      <c r="D49" s="8">
        <f>MAX(I49:AL49)</f>
        <v>103</v>
      </c>
      <c r="E49" s="8" t="e">
        <f>IF(COUNTIF(I49:XFD49,"&gt;"&amp;0)=0,,HLOOKUP(COUNTIF(I49:XFD49,"&gt;"&amp;0)-1,I$1:XFD49,A49+1,FALSE))</f>
        <v>#REF!</v>
      </c>
      <c r="F49" s="9" t="e">
        <f>IF(COUNTIF(I49:XFD49,"&gt;"&amp;0)=0,,HLOOKUP(COUNTIF(I49:XFD49,"&gt;"&amp;0)-MIN($F$1+1,COUNTIF(I49:XFD49,"&gt;"&amp;0)),I$1:XFD49,A49+1,FALSE))</f>
        <v>#REF!</v>
      </c>
      <c r="G49" s="10" t="e">
        <f>IF(COUNTIF(I49:XFD49,"&gt;"&amp;0)=0,,(E49/F49)^(1/$F$1))</f>
        <v>#REF!</v>
      </c>
      <c r="H49" s="17" t="s">
        <v>140</v>
      </c>
      <c r="I49" s="11">
        <v>103</v>
      </c>
      <c r="J49" s="11">
        <v>103</v>
      </c>
    </row>
    <row r="50" spans="1:10" x14ac:dyDescent="0.25">
      <c r="A50" s="11">
        <v>50</v>
      </c>
      <c r="B50" s="11">
        <f t="array" ref="B50">IF(OR(H50=Current!$S$10:$S$27),1,0)</f>
        <v>0</v>
      </c>
      <c r="C50" s="11" t="str">
        <f>H50</f>
        <v>San Marino</v>
      </c>
      <c r="D50" s="8">
        <f>MAX(I50:AK50)</f>
        <v>101</v>
      </c>
      <c r="E50" s="8" t="e">
        <f>IF(COUNTIF(I50:XFD50,"&gt;"&amp;0)=0,,HLOOKUP(COUNTIF(I50:XFD50,"&gt;"&amp;0)-1,I$1:XFD50,A50+1,FALSE))</f>
        <v>#REF!</v>
      </c>
      <c r="F50" s="9" t="e">
        <f>IF(COUNTIF(I50:XFD50,"&gt;"&amp;0)=0,,HLOOKUP(COUNTIF(I50:XFD50,"&gt;"&amp;0)-MIN($F$1+1,COUNTIF(I50:XFD50,"&gt;"&amp;0)),I$1:XFD50,A50+1,FALSE))</f>
        <v>#REF!</v>
      </c>
      <c r="G50" s="10" t="e">
        <f>IF(COUNTIF(I50:XFD50,"&gt;"&amp;0)=0,,(E50/F50)^(1/$F$1))</f>
        <v>#REF!</v>
      </c>
      <c r="H50" s="17" t="s">
        <v>117</v>
      </c>
      <c r="I50" s="11">
        <v>101</v>
      </c>
    </row>
    <row r="51" spans="1:10" x14ac:dyDescent="0.25">
      <c r="A51" s="11">
        <v>51</v>
      </c>
      <c r="B51" s="11">
        <f t="array" ref="B51">IF(OR(H51=Current!$S$10:$S$27),1,0)</f>
        <v>1</v>
      </c>
      <c r="D51" s="8">
        <f>MAX(I51:CL51)</f>
        <v>0</v>
      </c>
      <c r="E51" s="8">
        <f>IF(COUNTIF(I51:XFD51,"&gt;"&amp;0)=0,,HLOOKUP(COUNTIF(I51:XFD51,"&gt;"&amp;0)-1,I$1:XFD51,A51+1,FALSE))</f>
        <v>0</v>
      </c>
      <c r="F51" s="9">
        <f>IF(COUNTIF(I51:XFD51,"&gt;"&amp;0)=0,,HLOOKUP(COUNTIF(I51:XFD51,"&gt;"&amp;0)-MIN($F$1+1,COUNTIF(I51:XFD51,"&gt;"&amp;0)),I$1:XFD51,A51+1,FALSE))</f>
        <v>0</v>
      </c>
      <c r="G51" s="10">
        <f>IF(COUNTIF(I51:XFD51,"&gt;"&amp;0)=0,,(E51/F51)^(1/$F$1))</f>
        <v>0</v>
      </c>
    </row>
    <row r="52" spans="1:10" x14ac:dyDescent="0.25">
      <c r="A52" s="11">
        <v>52</v>
      </c>
      <c r="B52" s="11">
        <f t="array" ref="B52">IF(OR(H52=Current!$S$10:$S$27),1,0)</f>
        <v>1</v>
      </c>
      <c r="D52" s="8">
        <f>MAX(I52:CL52)</f>
        <v>0</v>
      </c>
      <c r="E52" s="8">
        <f>IF(COUNTIF(I52:XFD52,"&gt;"&amp;0)=0,,HLOOKUP(COUNTIF(I52:XFD52,"&gt;"&amp;0)-1,I$1:XFD52,A52+1,FALSE))</f>
        <v>0</v>
      </c>
      <c r="F52" s="9">
        <f>IF(COUNTIF(I52:XFD52,"&gt;"&amp;0)=0,,HLOOKUP(COUNTIF(I52:XFD52,"&gt;"&amp;0)-MIN($F$1+1,COUNTIF(I52:XFD52,"&gt;"&amp;0)),I$1:XFD52,A52+1,FALSE))</f>
        <v>0</v>
      </c>
      <c r="G52" s="10">
        <f>IF(COUNTIF(I52:XFD52,"&gt;"&amp;0)=0,,(E52/F52)^(1/$F$1))</f>
        <v>0</v>
      </c>
    </row>
    <row r="53" spans="1:10" x14ac:dyDescent="0.25">
      <c r="A53" s="11">
        <v>53</v>
      </c>
      <c r="B53" s="11">
        <f t="array" ref="B53">IF(OR(H53=Current!$S$10:$S$27),1,0)</f>
        <v>1</v>
      </c>
      <c r="D53" s="8">
        <f>MAX(I53:CL53)</f>
        <v>0</v>
      </c>
      <c r="E53" s="8">
        <f>IF(COUNTIF(I53:XFD53,"&gt;"&amp;0)=0,,HLOOKUP(COUNTIF(I53:XFD53,"&gt;"&amp;0)-1,I$1:XFD53,A53+1,FALSE))</f>
        <v>0</v>
      </c>
      <c r="F53" s="9">
        <f>IF(COUNTIF(I53:XFD53,"&gt;"&amp;0)=0,,HLOOKUP(COUNTIF(I53:XFD53,"&gt;"&amp;0)-MIN($F$1+1,COUNTIF(I53:XFD53,"&gt;"&amp;0)),I$1:XFD53,A53+1,FALSE))</f>
        <v>0</v>
      </c>
      <c r="G53" s="10">
        <f>IF(COUNTIF(I53:XFD53,"&gt;"&amp;0)=0,,(E53/F53)^(1/$F$1))</f>
        <v>0</v>
      </c>
    </row>
    <row r="54" spans="1:10" x14ac:dyDescent="0.25">
      <c r="A54" s="11">
        <v>54</v>
      </c>
      <c r="B54" s="11">
        <f t="array" ref="B54">IF(OR(H54=Current!$S$10:$S$27),1,0)</f>
        <v>1</v>
      </c>
      <c r="D54" s="8">
        <f>MAX(I54:CL54)</f>
        <v>0</v>
      </c>
      <c r="E54" s="8">
        <f>IF(COUNTIF(I54:XFD54,"&gt;"&amp;0)=0,,HLOOKUP(COUNTIF(I54:XFD54,"&gt;"&amp;0)-1,I$1:XFD54,A54+1,FALSE))</f>
        <v>0</v>
      </c>
      <c r="F54" s="9">
        <f>IF(COUNTIF(I54:XFD54,"&gt;"&amp;0)=0,,HLOOKUP(COUNTIF(I54:XFD54,"&gt;"&amp;0)-MIN($F$1+1,COUNTIF(I54:XFD54,"&gt;"&amp;0)),I$1:XFD54,A54+1,FALSE))</f>
        <v>0</v>
      </c>
      <c r="G54" s="10">
        <f>IF(COUNTIF(I54:XFD54,"&gt;"&amp;0)=0,,(E54/F54)^(1/$F$1))</f>
        <v>0</v>
      </c>
    </row>
    <row r="55" spans="1:10" x14ac:dyDescent="0.25">
      <c r="A55" s="11">
        <v>55</v>
      </c>
      <c r="B55" s="11">
        <f t="array" ref="B55">IF(OR(H55=Current!$S$10:$S$27),1,0)</f>
        <v>1</v>
      </c>
      <c r="D55" s="8">
        <f>MAX(I55:CL55)</f>
        <v>0</v>
      </c>
      <c r="E55" s="8">
        <f>IF(COUNTIF(I55:XFD55,"&gt;"&amp;0)=0,,HLOOKUP(COUNTIF(I55:XFD55,"&gt;"&amp;0)-1,I$1:XFD55,A55+1,FALSE))</f>
        <v>0</v>
      </c>
      <c r="F55" s="9">
        <f>IF(COUNTIF(I55:XFD55,"&gt;"&amp;0)=0,,HLOOKUP(COUNTIF(I55:XFD55,"&gt;"&amp;0)-MIN($F$1+1,COUNTIF(I55:XFD55,"&gt;"&amp;0)),I$1:XFD55,A55+1,FALSE))</f>
        <v>0</v>
      </c>
      <c r="G55" s="10">
        <f>IF(COUNTIF(I55:XFD55,"&gt;"&amp;0)=0,,(E55/F55)^(1/$F$1))</f>
        <v>0</v>
      </c>
    </row>
    <row r="56" spans="1:10" x14ac:dyDescent="0.25">
      <c r="A56" s="11">
        <v>56</v>
      </c>
      <c r="B56" s="11">
        <f t="array" ref="B56">IF(OR(H56=Current!$S$10:$S$27),1,0)</f>
        <v>1</v>
      </c>
      <c r="D56" s="8">
        <f>MAX(I56:CL56)</f>
        <v>0</v>
      </c>
      <c r="E56" s="8">
        <f>IF(COUNTIF(I56:XFD56,"&gt;"&amp;0)=0,,HLOOKUP(COUNTIF(I56:XFD56,"&gt;"&amp;0)-1,I$1:XFD56,A56+1,FALSE))</f>
        <v>0</v>
      </c>
      <c r="F56" s="9">
        <f>IF(COUNTIF(I56:XFD56,"&gt;"&amp;0)=0,,HLOOKUP(COUNTIF(I56:XFD56,"&gt;"&amp;0)-MIN($F$1+1,COUNTIF(I56:XFD56,"&gt;"&amp;0)),I$1:XFD56,A56+1,FALSE))</f>
        <v>0</v>
      </c>
      <c r="G56" s="10">
        <f>IF(COUNTIF(I56:XFD56,"&gt;"&amp;0)=0,,(E56/F56)^(1/$F$1))</f>
        <v>0</v>
      </c>
    </row>
    <row r="57" spans="1:10" x14ac:dyDescent="0.25">
      <c r="A57" s="11">
        <v>57</v>
      </c>
      <c r="B57" s="11">
        <f t="array" ref="B57">IF(OR(H57=Current!$S$10:$S$27),1,0)</f>
        <v>1</v>
      </c>
      <c r="D57" s="8">
        <f>MAX(I57:CL57)</f>
        <v>0</v>
      </c>
      <c r="E57" s="8">
        <f>IF(COUNTIF(I57:XFD57,"&gt;"&amp;0)=0,,HLOOKUP(COUNTIF(I57:XFD57,"&gt;"&amp;0)-1,I$1:XFD57,A57+1,FALSE))</f>
        <v>0</v>
      </c>
      <c r="F57" s="9">
        <f>IF(COUNTIF(I57:XFD57,"&gt;"&amp;0)=0,,HLOOKUP(COUNTIF(I57:XFD57,"&gt;"&amp;0)-MIN($F$1+1,COUNTIF(I57:XFD57,"&gt;"&amp;0)),I$1:XFD57,A57+1,FALSE))</f>
        <v>0</v>
      </c>
      <c r="G57" s="10">
        <f>IF(COUNTIF(I57:XFD57,"&gt;"&amp;0)=0,,(E57/F57)^(1/$F$1))</f>
        <v>0</v>
      </c>
    </row>
    <row r="58" spans="1:10" x14ac:dyDescent="0.25">
      <c r="A58" s="11">
        <v>58</v>
      </c>
      <c r="B58" s="11">
        <f t="array" ref="B58">IF(OR(H58=Current!$S$10:$S$27),1,0)</f>
        <v>1</v>
      </c>
      <c r="D58" s="8">
        <f>MAX(I58:CL58)</f>
        <v>0</v>
      </c>
      <c r="E58" s="8">
        <f>IF(COUNTIF(I58:XFD58,"&gt;"&amp;0)=0,,HLOOKUP(COUNTIF(I58:XFD58,"&gt;"&amp;0)-1,I$1:XFD58,A58+1,FALSE))</f>
        <v>0</v>
      </c>
      <c r="F58" s="9">
        <f>IF(COUNTIF(I58:XFD58,"&gt;"&amp;0)=0,,HLOOKUP(COUNTIF(I58:XFD58,"&gt;"&amp;0)-MIN($F$1+1,COUNTIF(I58:XFD58,"&gt;"&amp;0)),I$1:XFD58,A58+1,FALSE))</f>
        <v>0</v>
      </c>
      <c r="G58" s="10">
        <f>IF(COUNTIF(I58:XFD58,"&gt;"&amp;0)=0,,(E58/F58)^(1/$F$1))</f>
        <v>0</v>
      </c>
    </row>
    <row r="59" spans="1:10" x14ac:dyDescent="0.25">
      <c r="A59" s="11">
        <v>59</v>
      </c>
      <c r="B59" s="11">
        <f t="array" ref="B59">IF(OR(H59=Current!$S$10:$S$27),1,0)</f>
        <v>1</v>
      </c>
      <c r="D59" s="8">
        <f>MAX(I59:CL59)</f>
        <v>0</v>
      </c>
      <c r="E59" s="8">
        <f>IF(COUNTIF(I59:XFD59,"&gt;"&amp;0)=0,,HLOOKUP(COUNTIF(I59:XFD59,"&gt;"&amp;0)-1,I$1:XFD59,A59+1,FALSE))</f>
        <v>0</v>
      </c>
      <c r="F59" s="9">
        <f>IF(COUNTIF(I59:XFD59,"&gt;"&amp;0)=0,,HLOOKUP(COUNTIF(I59:XFD59,"&gt;"&amp;0)-MIN($F$1+1,COUNTIF(I59:XFD59,"&gt;"&amp;0)),I$1:XFD59,A59+1,FALSE))</f>
        <v>0</v>
      </c>
      <c r="G59" s="10">
        <f>IF(COUNTIF(I59:XFD59,"&gt;"&amp;0)=0,,(E59/F59)^(1/$F$1))</f>
        <v>0</v>
      </c>
    </row>
    <row r="60" spans="1:10" x14ac:dyDescent="0.25">
      <c r="A60" s="11">
        <v>60</v>
      </c>
      <c r="B60" s="11">
        <f t="array" ref="B60">IF(OR(H60=Current!$S$10:$S$27),1,0)</f>
        <v>1</v>
      </c>
      <c r="D60" s="8">
        <f>MAX(I60:CL60)</f>
        <v>0</v>
      </c>
      <c r="E60" s="8">
        <f>IF(COUNTIF(I60:XFD60,"&gt;"&amp;0)=0,,HLOOKUP(COUNTIF(I60:XFD60,"&gt;"&amp;0)-1,I$1:XFD60,A60+1,FALSE))</f>
        <v>0</v>
      </c>
      <c r="F60" s="9">
        <f>IF(COUNTIF(I60:XFD60,"&gt;"&amp;0)=0,,HLOOKUP(COUNTIF(I60:XFD60,"&gt;"&amp;0)-MIN($F$1+1,COUNTIF(I60:XFD60,"&gt;"&amp;0)),I$1:XFD60,A60+1,FALSE))</f>
        <v>0</v>
      </c>
      <c r="G60" s="10">
        <f>IF(COUNTIF(I60:XFD60,"&gt;"&amp;0)=0,,(E60/F60)^(1/$F$1))</f>
        <v>0</v>
      </c>
    </row>
    <row r="61" spans="1:10" x14ac:dyDescent="0.25">
      <c r="A61" s="11">
        <v>61</v>
      </c>
      <c r="B61" s="11">
        <f t="array" ref="B61">IF(OR(H61=Current!$S$10:$S$27),1,0)</f>
        <v>1</v>
      </c>
      <c r="D61" s="8">
        <f>MAX(I61:CL61)</f>
        <v>0</v>
      </c>
      <c r="E61" s="8">
        <f>IF(COUNTIF(I61:XFD61,"&gt;"&amp;0)=0,,HLOOKUP(COUNTIF(I61:XFD61,"&gt;"&amp;0)-1,I$1:XFD61,A61+1,FALSE))</f>
        <v>0</v>
      </c>
      <c r="F61" s="9">
        <f>IF(COUNTIF(I61:XFD61,"&gt;"&amp;0)=0,,HLOOKUP(COUNTIF(I61:XFD61,"&gt;"&amp;0)-MIN($F$1+1,COUNTIF(I61:XFD61,"&gt;"&amp;0)),I$1:XFD61,A61+1,FALSE))</f>
        <v>0</v>
      </c>
      <c r="G61" s="10">
        <f>IF(COUNTIF(I61:XFD61,"&gt;"&amp;0)=0,,(E61/F61)^(1/$F$1))</f>
        <v>0</v>
      </c>
    </row>
    <row r="62" spans="1:10" x14ac:dyDescent="0.25">
      <c r="A62" s="11">
        <v>62</v>
      </c>
      <c r="B62" s="11">
        <f t="array" ref="B62">IF(OR(H62=Current!$S$10:$S$27),1,0)</f>
        <v>1</v>
      </c>
      <c r="D62" s="8">
        <f>MAX(I62:CL62)</f>
        <v>0</v>
      </c>
      <c r="E62" s="8">
        <f>IF(COUNTIF(I62:XFD62,"&gt;"&amp;0)=0,,HLOOKUP(COUNTIF(I62:XFD62,"&gt;"&amp;0)-1,I$1:XFD62,A62+1,FALSE))</f>
        <v>0</v>
      </c>
      <c r="F62" s="9">
        <f>IF(COUNTIF(I62:XFD62,"&gt;"&amp;0)=0,,HLOOKUP(COUNTIF(I62:XFD62,"&gt;"&amp;0)-MIN($F$1+1,COUNTIF(I62:XFD62,"&gt;"&amp;0)),I$1:XFD62,A62+1,FALSE))</f>
        <v>0</v>
      </c>
      <c r="G62" s="10">
        <f>IF(COUNTIF(I62:XFD62,"&gt;"&amp;0)=0,,(E62/F62)^(1/$F$1))</f>
        <v>0</v>
      </c>
    </row>
    <row r="63" spans="1:10" x14ac:dyDescent="0.25">
      <c r="A63" s="11">
        <v>63</v>
      </c>
      <c r="B63" s="11">
        <f t="array" ref="B63">IF(OR(H63=Current!$S$10:$S$27),1,0)</f>
        <v>1</v>
      </c>
      <c r="D63" s="8">
        <f>MAX(I63:CL63)</f>
        <v>0</v>
      </c>
      <c r="E63" s="8">
        <f>IF(COUNTIF(I63:XFD63,"&gt;"&amp;0)=0,,HLOOKUP(COUNTIF(I63:XFD63,"&gt;"&amp;0)-1,I$1:XFD63,A63+1,FALSE))</f>
        <v>0</v>
      </c>
      <c r="F63" s="9">
        <f>IF(COUNTIF(I63:XFD63,"&gt;"&amp;0)=0,,HLOOKUP(COUNTIF(I63:XFD63,"&gt;"&amp;0)-MIN($F$1+1,COUNTIF(I63:XFD63,"&gt;"&amp;0)),I$1:XFD63,A63+1,FALSE))</f>
        <v>0</v>
      </c>
      <c r="G63" s="10">
        <f>IF(COUNTIF(I63:XFD63,"&gt;"&amp;0)=0,,(E63/F63)^(1/$F$1))</f>
        <v>0</v>
      </c>
    </row>
    <row r="64" spans="1:10" x14ac:dyDescent="0.25">
      <c r="A64" s="11">
        <v>64</v>
      </c>
      <c r="B64" s="11">
        <f t="array" ref="B64">IF(OR(H64=Current!$S$10:$S$27),1,0)</f>
        <v>1</v>
      </c>
      <c r="D64" s="8">
        <f>MAX(I64:CL64)</f>
        <v>0</v>
      </c>
      <c r="E64" s="8">
        <f>IF(COUNTIF(I64:XFD64,"&gt;"&amp;0)=0,,HLOOKUP(COUNTIF(I64:XFD64,"&gt;"&amp;0)-1,I$1:XFD64,A64+1,FALSE))</f>
        <v>0</v>
      </c>
      <c r="F64" s="9">
        <f>IF(COUNTIF(I64:XFD64,"&gt;"&amp;0)=0,,HLOOKUP(COUNTIF(I64:XFD64,"&gt;"&amp;0)-MIN($F$1+1,COUNTIF(I64:XFD64,"&gt;"&amp;0)),I$1:XFD64,A64+1,FALSE))</f>
        <v>0</v>
      </c>
      <c r="G64" s="10">
        <f>IF(COUNTIF(I64:XFD64,"&gt;"&amp;0)=0,,(E64/F64)^(1/$F$1))</f>
        <v>0</v>
      </c>
    </row>
    <row r="65" spans="1:7" x14ac:dyDescent="0.25">
      <c r="A65" s="11">
        <v>65</v>
      </c>
      <c r="B65" s="11">
        <f t="array" ref="B65">IF(OR(H65=Current!$S$10:$S$27),1,0)</f>
        <v>1</v>
      </c>
      <c r="D65" s="8">
        <f>MAX(I65:CL65)</f>
        <v>0</v>
      </c>
      <c r="E65" s="8">
        <f>IF(COUNTIF(I65:XFD65,"&gt;"&amp;0)=0,,HLOOKUP(COUNTIF(I65:XFD65,"&gt;"&amp;0)-1,I$1:XFD65,A65+1,FALSE))</f>
        <v>0</v>
      </c>
      <c r="F65" s="9">
        <f>IF(COUNTIF(I65:XFD65,"&gt;"&amp;0)=0,,HLOOKUP(COUNTIF(I65:XFD65,"&gt;"&amp;0)-MIN($F$1+1,COUNTIF(I65:XFD65,"&gt;"&amp;0)),I$1:XFD65,A65+1,FALSE))</f>
        <v>0</v>
      </c>
      <c r="G65" s="10">
        <f>IF(COUNTIF(I65:XFD65,"&gt;"&amp;0)=0,,(E65/F65)^(1/$F$1))</f>
        <v>0</v>
      </c>
    </row>
    <row r="66" spans="1:7" x14ac:dyDescent="0.25">
      <c r="A66" s="11">
        <v>66</v>
      </c>
      <c r="B66" s="11">
        <f t="array" ref="B66">IF(OR(H66=Current!$S$10:$S$27),1,0)</f>
        <v>1</v>
      </c>
      <c r="D66" s="8">
        <f>MAX(I66:CL66)</f>
        <v>0</v>
      </c>
      <c r="E66" s="8">
        <f>IF(COUNTIF(I66:XFD66,"&gt;"&amp;0)=0,,HLOOKUP(COUNTIF(I66:XFD66,"&gt;"&amp;0)-1,I$1:XFD66,A66+1,FALSE))</f>
        <v>0</v>
      </c>
      <c r="F66" s="9">
        <f>IF(COUNTIF(I66:XFD66,"&gt;"&amp;0)=0,,HLOOKUP(COUNTIF(I66:XFD66,"&gt;"&amp;0)-MIN($F$1+1,COUNTIF(I66:XFD66,"&gt;"&amp;0)),I$1:XFD66,A66+1,FALSE))</f>
        <v>0</v>
      </c>
      <c r="G66" s="10">
        <f>IF(COUNTIF(I66:XFD66,"&gt;"&amp;0)=0,,(E66/F66)^(1/$F$1))</f>
        <v>0</v>
      </c>
    </row>
    <row r="67" spans="1:7" x14ac:dyDescent="0.25">
      <c r="A67" s="11">
        <v>67</v>
      </c>
      <c r="B67" s="11">
        <f t="array" ref="B67">IF(OR(H67=Current!$S$10:$S$27),1,0)</f>
        <v>1</v>
      </c>
      <c r="D67" s="8">
        <f>MAX(I67:CL67)</f>
        <v>0</v>
      </c>
      <c r="E67" s="8">
        <f>IF(COUNTIF(I67:XFD67,"&gt;"&amp;0)=0,,HLOOKUP(COUNTIF(I67:XFD67,"&gt;"&amp;0)-1,I$1:XFD67,A67+1,FALSE))</f>
        <v>0</v>
      </c>
      <c r="F67" s="9">
        <f>IF(COUNTIF(I67:XFD67,"&gt;"&amp;0)=0,,HLOOKUP(COUNTIF(I67:XFD67,"&gt;"&amp;0)-MIN($F$1+1,COUNTIF(I67:XFD67,"&gt;"&amp;0)),I$1:XFD67,A67+1,FALSE))</f>
        <v>0</v>
      </c>
      <c r="G67" s="10">
        <f>IF(COUNTIF(I67:XFD67,"&gt;"&amp;0)=0,,(E67/F67)^(1/$F$1))</f>
        <v>0</v>
      </c>
    </row>
    <row r="68" spans="1:7" x14ac:dyDescent="0.25">
      <c r="A68" s="11">
        <v>68</v>
      </c>
      <c r="B68" s="11">
        <f t="array" ref="B68">IF(OR(H68=Current!$S$10:$S$27),1,0)</f>
        <v>1</v>
      </c>
      <c r="D68" s="8">
        <f>MAX(I68:CL68)</f>
        <v>0</v>
      </c>
      <c r="E68" s="8">
        <f>IF(COUNTIF(I68:XFD68,"&gt;"&amp;0)=0,,HLOOKUP(COUNTIF(I68:XFD68,"&gt;"&amp;0)-1,I$1:XFD68,A68+1,FALSE))</f>
        <v>0</v>
      </c>
      <c r="F68" s="9">
        <f>IF(COUNTIF(I68:XFD68,"&gt;"&amp;0)=0,,HLOOKUP(COUNTIF(I68:XFD68,"&gt;"&amp;0)-MIN($F$1+1,COUNTIF(I68:XFD68,"&gt;"&amp;0)),I$1:XFD68,A68+1,FALSE))</f>
        <v>0</v>
      </c>
      <c r="G68" s="10">
        <f>IF(COUNTIF(I68:XFD68,"&gt;"&amp;0)=0,,(E68/F68)^(1/$F$1))</f>
        <v>0</v>
      </c>
    </row>
    <row r="69" spans="1:7" x14ac:dyDescent="0.25">
      <c r="A69" s="11">
        <v>69</v>
      </c>
      <c r="B69" s="11">
        <f t="array" ref="B69">IF(OR(H69=Current!$S$10:$S$27),1,0)</f>
        <v>1</v>
      </c>
      <c r="D69" s="8">
        <f>MAX(I69:CL69)</f>
        <v>0</v>
      </c>
      <c r="E69" s="8">
        <f>IF(COUNTIF(I69:XFD69,"&gt;"&amp;0)=0,,HLOOKUP(COUNTIF(I69:XFD69,"&gt;"&amp;0)-1,I$1:XFD69,A69+1,FALSE))</f>
        <v>0</v>
      </c>
      <c r="F69" s="9">
        <f>IF(COUNTIF(I69:XFD69,"&gt;"&amp;0)=0,,HLOOKUP(COUNTIF(I69:XFD69,"&gt;"&amp;0)-MIN($F$1+1,COUNTIF(I69:XFD69,"&gt;"&amp;0)),I$1:XFD69,A69+1,FALSE))</f>
        <v>0</v>
      </c>
      <c r="G69" s="10">
        <f>IF(COUNTIF(I69:XFD69,"&gt;"&amp;0)=0,,(E69/F69)^(1/$F$1))</f>
        <v>0</v>
      </c>
    </row>
    <row r="70" spans="1:7" x14ac:dyDescent="0.25">
      <c r="A70" s="11">
        <v>70</v>
      </c>
      <c r="B70" s="11">
        <f t="array" ref="B70">IF(OR(H70=Current!$S$10:$S$27),1,0)</f>
        <v>1</v>
      </c>
      <c r="D70" s="8">
        <f>MAX(I70:CL70)</f>
        <v>0</v>
      </c>
      <c r="E70" s="8">
        <f>IF(COUNTIF(I70:XFD70,"&gt;"&amp;0)=0,,HLOOKUP(COUNTIF(I70:XFD70,"&gt;"&amp;0)-1,I$1:XFD70,A70+1,FALSE))</f>
        <v>0</v>
      </c>
      <c r="F70" s="9">
        <f>IF(COUNTIF(I70:XFD70,"&gt;"&amp;0)=0,,HLOOKUP(COUNTIF(I70:XFD70,"&gt;"&amp;0)-MIN($F$1+1,COUNTIF(I70:XFD70,"&gt;"&amp;0)),I$1:XFD70,A70+1,FALSE))</f>
        <v>0</v>
      </c>
      <c r="G70" s="10">
        <f>IF(COUNTIF(I70:XFD70,"&gt;"&amp;0)=0,,(E70/F70)^(1/$F$1))</f>
        <v>0</v>
      </c>
    </row>
    <row r="71" spans="1:7" x14ac:dyDescent="0.25">
      <c r="A71" s="11">
        <v>71</v>
      </c>
      <c r="B71" s="11">
        <f t="array" ref="B71">IF(OR(H71=Current!$S$10:$S$27),1,0)</f>
        <v>1</v>
      </c>
      <c r="D71" s="8">
        <f>MAX(I71:CL71)</f>
        <v>0</v>
      </c>
      <c r="E71" s="8">
        <f>IF(COUNTIF(I71:XFD71,"&gt;"&amp;0)=0,,HLOOKUP(COUNTIF(I71:XFD71,"&gt;"&amp;0)-1,I$1:XFD71,A71+1,FALSE))</f>
        <v>0</v>
      </c>
      <c r="F71" s="9">
        <f>IF(COUNTIF(I71:XFD71,"&gt;"&amp;0)=0,,HLOOKUP(COUNTIF(I71:XFD71,"&gt;"&amp;0)-MIN($F$1+1,COUNTIF(I71:XFD71,"&gt;"&amp;0)),I$1:XFD71,A71+1,FALSE))</f>
        <v>0</v>
      </c>
      <c r="G71" s="10">
        <f>IF(COUNTIF(I71:XFD71,"&gt;"&amp;0)=0,,(E71/F71)^(1/$F$1))</f>
        <v>0</v>
      </c>
    </row>
    <row r="72" spans="1:7" x14ac:dyDescent="0.25">
      <c r="A72" s="11">
        <v>72</v>
      </c>
      <c r="B72" s="11">
        <f t="array" ref="B72">IF(OR(H72=Current!$S$10:$S$27),1,0)</f>
        <v>1</v>
      </c>
      <c r="D72" s="8">
        <f>MAX(I72:CL72)</f>
        <v>0</v>
      </c>
      <c r="E72" s="8">
        <f>IF(COUNTIF(I72:XFD72,"&gt;"&amp;0)=0,,HLOOKUP(COUNTIF(I72:XFD72,"&gt;"&amp;0)-1,I$1:XFD72,A72+1,FALSE))</f>
        <v>0</v>
      </c>
      <c r="F72" s="9">
        <f>IF(COUNTIF(I72:XFD72,"&gt;"&amp;0)=0,,HLOOKUP(COUNTIF(I72:XFD72,"&gt;"&amp;0)-MIN($F$1+1,COUNTIF(I72:XFD72,"&gt;"&amp;0)),I$1:XFD72,A72+1,FALSE))</f>
        <v>0</v>
      </c>
      <c r="G72" s="10">
        <f>IF(COUNTIF(I72:XFD72,"&gt;"&amp;0)=0,,(E72/F72)^(1/$F$1))</f>
        <v>0</v>
      </c>
    </row>
    <row r="73" spans="1:7" x14ac:dyDescent="0.25">
      <c r="A73" s="11">
        <v>73</v>
      </c>
      <c r="B73" s="11">
        <f t="array" ref="B73">IF(OR(H73=Current!$S$10:$S$27),1,0)</f>
        <v>1</v>
      </c>
      <c r="D73" s="8">
        <f>MAX(I73:CL73)</f>
        <v>0</v>
      </c>
      <c r="E73" s="8">
        <f>IF(COUNTIF(I73:XFD73,"&gt;"&amp;0)=0,,HLOOKUP(COUNTIF(I73:XFD73,"&gt;"&amp;0)-1,I$1:XFD73,A73+1,FALSE))</f>
        <v>0</v>
      </c>
      <c r="F73" s="9">
        <f>IF(COUNTIF(I73:XFD73,"&gt;"&amp;0)=0,,HLOOKUP(COUNTIF(I73:XFD73,"&gt;"&amp;0)-MIN($F$1+1,COUNTIF(I73:XFD73,"&gt;"&amp;0)),I$1:XFD73,A73+1,FALSE))</f>
        <v>0</v>
      </c>
      <c r="G73" s="10">
        <f>IF(COUNTIF(I73:XFD73,"&gt;"&amp;0)=0,,(E73/F73)^(1/$F$1))</f>
        <v>0</v>
      </c>
    </row>
    <row r="74" spans="1:7" x14ac:dyDescent="0.25">
      <c r="A74" s="11">
        <v>74</v>
      </c>
      <c r="B74" s="11">
        <f t="array" ref="B74">IF(OR(H74=Current!$S$10:$S$27),1,0)</f>
        <v>1</v>
      </c>
      <c r="D74" s="8">
        <f>MAX(I74:CL74)</f>
        <v>0</v>
      </c>
      <c r="E74" s="8">
        <f>IF(COUNTIF(I74:XFD74,"&gt;"&amp;0)=0,,HLOOKUP(COUNTIF(I74:XFD74,"&gt;"&amp;0)-1,I$1:XFD74,A74+1,FALSE))</f>
        <v>0</v>
      </c>
      <c r="F74" s="9">
        <f>IF(COUNTIF(I74:XFD74,"&gt;"&amp;0)=0,,HLOOKUP(COUNTIF(I74:XFD74,"&gt;"&amp;0)-MIN($F$1+1,COUNTIF(I74:XFD74,"&gt;"&amp;0)),I$1:XFD74,A74+1,FALSE))</f>
        <v>0</v>
      </c>
      <c r="G74" s="10">
        <f>IF(COUNTIF(I74:XFD74,"&gt;"&amp;0)=0,,(E74/F74)^(1/$F$1))</f>
        <v>0</v>
      </c>
    </row>
    <row r="75" spans="1:7" x14ac:dyDescent="0.25">
      <c r="A75" s="11">
        <v>75</v>
      </c>
      <c r="B75" s="11">
        <f t="array" ref="B75">IF(OR(H75=Current!$S$10:$S$27),1,0)</f>
        <v>1</v>
      </c>
      <c r="D75" s="8">
        <f>MAX(I75:CL75)</f>
        <v>0</v>
      </c>
      <c r="E75" s="8">
        <f>IF(COUNTIF(I75:XFD75,"&gt;"&amp;0)=0,,HLOOKUP(COUNTIF(I75:XFD75,"&gt;"&amp;0)-1,I$1:XFD75,A75+1,FALSE))</f>
        <v>0</v>
      </c>
      <c r="F75" s="9">
        <f>IF(COUNTIF(I75:XFD75,"&gt;"&amp;0)=0,,HLOOKUP(COUNTIF(I75:XFD75,"&gt;"&amp;0)-MIN($F$1+1,COUNTIF(I75:XFD75,"&gt;"&amp;0)),I$1:XFD75,A75+1,FALSE))</f>
        <v>0</v>
      </c>
      <c r="G75" s="10">
        <f>IF(COUNTIF(I75:XFD75,"&gt;"&amp;0)=0,,(E75/F75)^(1/$F$1))</f>
        <v>0</v>
      </c>
    </row>
    <row r="76" spans="1:7" x14ac:dyDescent="0.25">
      <c r="A76" s="11">
        <v>76</v>
      </c>
      <c r="B76" s="11">
        <f t="array" ref="B76">IF(OR(H76=Current!$S$10:$S$27),1,0)</f>
        <v>1</v>
      </c>
      <c r="D76" s="8">
        <f>MAX(I76:CL76)</f>
        <v>0</v>
      </c>
      <c r="E76" s="8">
        <f>IF(COUNTIF(I76:XFD76,"&gt;"&amp;0)=0,,HLOOKUP(COUNTIF(I76:XFD76,"&gt;"&amp;0)-1,I$1:XFD76,A76+1,FALSE))</f>
        <v>0</v>
      </c>
      <c r="F76" s="9">
        <f>IF(COUNTIF(I76:XFD76,"&gt;"&amp;0)=0,,HLOOKUP(COUNTIF(I76:XFD76,"&gt;"&amp;0)-MIN($F$1+1,COUNTIF(I76:XFD76,"&gt;"&amp;0)),I$1:XFD76,A76+1,FALSE))</f>
        <v>0</v>
      </c>
      <c r="G76" s="10">
        <f>IF(COUNTIF(I76:XFD76,"&gt;"&amp;0)=0,,(E76/F76)^(1/$F$1))</f>
        <v>0</v>
      </c>
    </row>
    <row r="77" spans="1:7" x14ac:dyDescent="0.25">
      <c r="A77" s="11">
        <v>77</v>
      </c>
      <c r="B77" s="11">
        <f t="array" ref="B77">IF(OR(H77=Current!$S$10:$S$27),1,0)</f>
        <v>1</v>
      </c>
      <c r="D77" s="8">
        <f>MAX(I77:CL77)</f>
        <v>0</v>
      </c>
      <c r="E77" s="8">
        <f>IF(COUNTIF(I77:XFD77,"&gt;"&amp;0)=0,,HLOOKUP(COUNTIF(I77:XFD77,"&gt;"&amp;0)-1,I$1:XFD77,A77+1,FALSE))</f>
        <v>0</v>
      </c>
      <c r="F77" s="9">
        <f>IF(COUNTIF(I77:XFD77,"&gt;"&amp;0)=0,,HLOOKUP(COUNTIF(I77:XFD77,"&gt;"&amp;0)-MIN($F$1+1,COUNTIF(I77:XFD77,"&gt;"&amp;0)),I$1:XFD77,A77+1,FALSE))</f>
        <v>0</v>
      </c>
      <c r="G77" s="10">
        <f>IF(COUNTIF(I77:XFD77,"&gt;"&amp;0)=0,,(E77/F77)^(1/$F$1))</f>
        <v>0</v>
      </c>
    </row>
    <row r="78" spans="1:7" x14ac:dyDescent="0.25">
      <c r="A78" s="11">
        <v>78</v>
      </c>
      <c r="B78" s="11">
        <f t="array" ref="B78">IF(OR(H78=Current!$S$10:$S$27),1,0)</f>
        <v>1</v>
      </c>
      <c r="D78" s="8">
        <f>MAX(I78:CL78)</f>
        <v>0</v>
      </c>
      <c r="E78" s="8">
        <f>IF(COUNTIF(I78:XFD78,"&gt;"&amp;0)=0,,HLOOKUP(COUNTIF(I78:XFD78,"&gt;"&amp;0)-1,I$1:XFD78,A78+1,FALSE))</f>
        <v>0</v>
      </c>
      <c r="F78" s="9">
        <f>IF(COUNTIF(I78:XFD78,"&gt;"&amp;0)=0,,HLOOKUP(COUNTIF(I78:XFD78,"&gt;"&amp;0)-MIN($F$1+1,COUNTIF(I78:XFD78,"&gt;"&amp;0)),I$1:XFD78,A78+1,FALSE))</f>
        <v>0</v>
      </c>
      <c r="G78" s="10">
        <f>IF(COUNTIF(I78:XFD78,"&gt;"&amp;0)=0,,(E78/F78)^(1/$F$1))</f>
        <v>0</v>
      </c>
    </row>
    <row r="79" spans="1:7" x14ac:dyDescent="0.25">
      <c r="A79" s="11">
        <v>79</v>
      </c>
      <c r="B79" s="11">
        <f t="array" ref="B79">IF(OR(H79=Current!$S$10:$S$27),1,0)</f>
        <v>1</v>
      </c>
      <c r="D79" s="8">
        <f>MAX(I79:CL79)</f>
        <v>0</v>
      </c>
      <c r="E79" s="8">
        <f>IF(COUNTIF(I79:XFD79,"&gt;"&amp;0)=0,,HLOOKUP(COUNTIF(I79:XFD79,"&gt;"&amp;0)-1,I$1:XFD79,A79+1,FALSE))</f>
        <v>0</v>
      </c>
      <c r="F79" s="9">
        <f>IF(COUNTIF(I79:XFD79,"&gt;"&amp;0)=0,,HLOOKUP(COUNTIF(I79:XFD79,"&gt;"&amp;0)-MIN($F$1+1,COUNTIF(I79:XFD79,"&gt;"&amp;0)),I$1:XFD79,A79+1,FALSE))</f>
        <v>0</v>
      </c>
      <c r="G79" s="10">
        <f>IF(COUNTIF(I79:XFD79,"&gt;"&amp;0)=0,,(E79/F79)^(1/$F$1))</f>
        <v>0</v>
      </c>
    </row>
    <row r="80" spans="1:7" x14ac:dyDescent="0.25">
      <c r="A80" s="11">
        <v>80</v>
      </c>
      <c r="B80" s="11">
        <f t="array" ref="B80">IF(OR(H80=Current!$S$10:$S$27),1,0)</f>
        <v>1</v>
      </c>
      <c r="D80" s="8">
        <f>MAX(I80:CL80)</f>
        <v>0</v>
      </c>
      <c r="E80" s="8">
        <f>IF(COUNTIF(I80:XFD80,"&gt;"&amp;0)=0,,HLOOKUP(COUNTIF(I80:XFD80,"&gt;"&amp;0)-1,I$1:XFD80,A80+1,FALSE))</f>
        <v>0</v>
      </c>
      <c r="F80" s="9">
        <f>IF(COUNTIF(I80:XFD80,"&gt;"&amp;0)=0,,HLOOKUP(COUNTIF(I80:XFD80,"&gt;"&amp;0)-MIN($F$1+1,COUNTIF(I80:XFD80,"&gt;"&amp;0)),I$1:XFD80,A80+1,FALSE))</f>
        <v>0</v>
      </c>
      <c r="G80" s="10">
        <f>IF(COUNTIF(I80:XFD80,"&gt;"&amp;0)=0,,(E80/F80)^(1/$F$1))</f>
        <v>0</v>
      </c>
    </row>
    <row r="81" spans="1:7" x14ac:dyDescent="0.25">
      <c r="A81" s="11">
        <v>81</v>
      </c>
      <c r="B81" s="11">
        <f t="array" ref="B81">IF(OR(H81=Current!$S$10:$S$27),1,0)</f>
        <v>1</v>
      </c>
      <c r="D81" s="8">
        <f>MAX(I81:CL81)</f>
        <v>0</v>
      </c>
      <c r="E81" s="8">
        <f>IF(COUNTIF(I81:XFD81,"&gt;"&amp;0)=0,,HLOOKUP(COUNTIF(I81:XFD81,"&gt;"&amp;0)-1,I$1:XFD81,A81+1,FALSE))</f>
        <v>0</v>
      </c>
      <c r="F81" s="9">
        <f>IF(COUNTIF(I81:XFD81,"&gt;"&amp;0)=0,,HLOOKUP(COUNTIF(I81:XFD81,"&gt;"&amp;0)-MIN($F$1+1,COUNTIF(I81:XFD81,"&gt;"&amp;0)),I$1:XFD81,A81+1,FALSE))</f>
        <v>0</v>
      </c>
      <c r="G81" s="10">
        <f>IF(COUNTIF(I81:XFD81,"&gt;"&amp;0)=0,,(E81/F81)^(1/$F$1))</f>
        <v>0</v>
      </c>
    </row>
    <row r="82" spans="1:7" x14ac:dyDescent="0.25">
      <c r="A82" s="11">
        <v>82</v>
      </c>
      <c r="B82" s="11">
        <f t="array" ref="B82">IF(OR(H82=Current!$S$10:$S$27),1,0)</f>
        <v>1</v>
      </c>
      <c r="D82" s="8">
        <f>MAX(I82:CL82)</f>
        <v>0</v>
      </c>
      <c r="E82" s="8">
        <f>IF(COUNTIF(I82:XFD82,"&gt;"&amp;0)=0,,HLOOKUP(COUNTIF(I82:XFD82,"&gt;"&amp;0)-1,I$1:XFD82,A82+1,FALSE))</f>
        <v>0</v>
      </c>
      <c r="F82" s="9">
        <f>IF(COUNTIF(I82:XFD82,"&gt;"&amp;0)=0,,HLOOKUP(COUNTIF(I82:XFD82,"&gt;"&amp;0)-MIN($F$1+1,COUNTIF(I82:XFD82,"&gt;"&amp;0)),I$1:XFD82,A82+1,FALSE))</f>
        <v>0</v>
      </c>
      <c r="G82" s="10">
        <f>IF(COUNTIF(I82:XFD82,"&gt;"&amp;0)=0,,(E82/F82)^(1/$F$1))</f>
        <v>0</v>
      </c>
    </row>
    <row r="83" spans="1:7" x14ac:dyDescent="0.25">
      <c r="A83" s="11">
        <v>83</v>
      </c>
      <c r="B83" s="11">
        <f t="array" ref="B83">IF(OR(H83=Current!$S$10:$S$27),1,0)</f>
        <v>1</v>
      </c>
      <c r="D83" s="8">
        <f>MAX(I83:CL83)</f>
        <v>0</v>
      </c>
      <c r="E83" s="8">
        <f>IF(COUNTIF(I83:XFD83,"&gt;"&amp;0)=0,,HLOOKUP(COUNTIF(I83:XFD83,"&gt;"&amp;0)-1,I$1:XFD83,A83+1,FALSE))</f>
        <v>0</v>
      </c>
      <c r="F83" s="9">
        <f>IF(COUNTIF(I83:XFD83,"&gt;"&amp;0)=0,,HLOOKUP(COUNTIF(I83:XFD83,"&gt;"&amp;0)-MIN($F$1+1,COUNTIF(I83:XFD83,"&gt;"&amp;0)),I$1:XFD83,A83+1,FALSE))</f>
        <v>0</v>
      </c>
      <c r="G83" s="10">
        <f>IF(COUNTIF(I83:XFD83,"&gt;"&amp;0)=0,,(E83/F83)^(1/$F$1))</f>
        <v>0</v>
      </c>
    </row>
    <row r="84" spans="1:7" x14ac:dyDescent="0.25">
      <c r="A84" s="11">
        <v>84</v>
      </c>
      <c r="B84" s="11">
        <f t="array" ref="B84">IF(OR(H84=Current!$S$10:$S$27),1,0)</f>
        <v>1</v>
      </c>
      <c r="D84" s="8">
        <f>MAX(I84:CL84)</f>
        <v>0</v>
      </c>
      <c r="E84" s="8">
        <f>IF(COUNTIF(I84:XFD84,"&gt;"&amp;0)=0,,HLOOKUP(COUNTIF(I84:XFD84,"&gt;"&amp;0)-1,I$1:XFD84,A84+1,FALSE))</f>
        <v>0</v>
      </c>
      <c r="F84" s="9">
        <f>IF(COUNTIF(I84:XFD84,"&gt;"&amp;0)=0,,HLOOKUP(COUNTIF(I84:XFD84,"&gt;"&amp;0)-MIN($F$1+1,COUNTIF(I84:XFD84,"&gt;"&amp;0)),I$1:XFD84,A84+1,FALSE))</f>
        <v>0</v>
      </c>
      <c r="G84" s="10">
        <f>IF(COUNTIF(I84:XFD84,"&gt;"&amp;0)=0,,(E84/F84)^(1/$F$1))</f>
        <v>0</v>
      </c>
    </row>
    <row r="85" spans="1:7" x14ac:dyDescent="0.25">
      <c r="A85" s="11">
        <v>85</v>
      </c>
      <c r="B85" s="11">
        <f t="array" ref="B85">IF(OR(H85=Current!$S$10:$S$27),1,0)</f>
        <v>1</v>
      </c>
      <c r="D85" s="8">
        <f>MAX(I85:CL85)</f>
        <v>0</v>
      </c>
      <c r="E85" s="8">
        <f>IF(COUNTIF(I85:XFD85,"&gt;"&amp;0)=0,,HLOOKUP(COUNTIF(I85:XFD85,"&gt;"&amp;0)-1,I$1:XFD85,A85+1,FALSE))</f>
        <v>0</v>
      </c>
      <c r="F85" s="9">
        <f>IF(COUNTIF(I85:XFD85,"&gt;"&amp;0)=0,,HLOOKUP(COUNTIF(I85:XFD85,"&gt;"&amp;0)-MIN($F$1+1,COUNTIF(I85:XFD85,"&gt;"&amp;0)),I$1:XFD85,A85+1,FALSE))</f>
        <v>0</v>
      </c>
      <c r="G85" s="10">
        <f>IF(COUNTIF(I85:XFD85,"&gt;"&amp;0)=0,,(E85/F85)^(1/$F$1))</f>
        <v>0</v>
      </c>
    </row>
    <row r="86" spans="1:7" x14ac:dyDescent="0.25">
      <c r="A86" s="11">
        <v>86</v>
      </c>
      <c r="B86" s="11">
        <f t="array" ref="B86">IF(OR(H86=Current!$S$10:$S$27),1,0)</f>
        <v>1</v>
      </c>
      <c r="D86" s="8">
        <f>MAX(I86:CL86)</f>
        <v>0</v>
      </c>
      <c r="E86" s="8">
        <f>IF(COUNTIF(I86:XFD86,"&gt;"&amp;0)=0,,HLOOKUP(COUNTIF(I86:XFD86,"&gt;"&amp;0)-1,I$1:XFD86,A86+1,FALSE))</f>
        <v>0</v>
      </c>
      <c r="F86" s="9">
        <f>IF(COUNTIF(I86:XFD86,"&gt;"&amp;0)=0,,HLOOKUP(COUNTIF(I86:XFD86,"&gt;"&amp;0)-MIN($F$1+1,COUNTIF(I86:XFD86,"&gt;"&amp;0)),I$1:XFD86,A86+1,FALSE))</f>
        <v>0</v>
      </c>
      <c r="G86" s="10">
        <f>IF(COUNTIF(I86:XFD86,"&gt;"&amp;0)=0,,(E86/F86)^(1/$F$1))</f>
        <v>0</v>
      </c>
    </row>
    <row r="87" spans="1:7" x14ac:dyDescent="0.25">
      <c r="A87" s="11">
        <v>87</v>
      </c>
      <c r="B87" s="11">
        <f t="array" ref="B87">IF(OR(H87=Current!$S$10:$S$27),1,0)</f>
        <v>1</v>
      </c>
      <c r="D87" s="8">
        <f>MAX(I87:CL87)</f>
        <v>0</v>
      </c>
      <c r="E87" s="8">
        <f>IF(COUNTIF(I87:XFD87,"&gt;"&amp;0)=0,,HLOOKUP(COUNTIF(I87:XFD87,"&gt;"&amp;0)-1,I$1:XFD87,A87+1,FALSE))</f>
        <v>0</v>
      </c>
      <c r="F87" s="9">
        <f>IF(COUNTIF(I87:XFD87,"&gt;"&amp;0)=0,,HLOOKUP(COUNTIF(I87:XFD87,"&gt;"&amp;0)-MIN($F$1+1,COUNTIF(I87:XFD87,"&gt;"&amp;0)),I$1:XFD87,A87+1,FALSE))</f>
        <v>0</v>
      </c>
      <c r="G87" s="10">
        <f>IF(COUNTIF(I87:XFD87,"&gt;"&amp;0)=0,,(E87/F87)^(1/$F$1))</f>
        <v>0</v>
      </c>
    </row>
    <row r="88" spans="1:7" x14ac:dyDescent="0.25">
      <c r="A88" s="11">
        <v>88</v>
      </c>
      <c r="B88" s="11">
        <f t="array" ref="B88">IF(OR(H88=Current!$S$10:$S$27),1,0)</f>
        <v>1</v>
      </c>
      <c r="D88" s="8">
        <f>MAX(I88:CL88)</f>
        <v>0</v>
      </c>
      <c r="E88" s="8">
        <f>IF(COUNTIF(I88:XFD88,"&gt;"&amp;0)=0,,HLOOKUP(COUNTIF(I88:XFD88,"&gt;"&amp;0)-1,I$1:XFD88,A88+1,FALSE))</f>
        <v>0</v>
      </c>
      <c r="F88" s="9">
        <f>IF(COUNTIF(I88:XFD88,"&gt;"&amp;0)=0,,HLOOKUP(COUNTIF(I88:XFD88,"&gt;"&amp;0)-MIN($F$1+1,COUNTIF(I88:XFD88,"&gt;"&amp;0)),I$1:XFD88,A88+1,FALSE))</f>
        <v>0</v>
      </c>
      <c r="G88" s="10">
        <f>IF(COUNTIF(I88:XFD88,"&gt;"&amp;0)=0,,(E88/F88)^(1/$F$1))</f>
        <v>0</v>
      </c>
    </row>
    <row r="89" spans="1:7" x14ac:dyDescent="0.25">
      <c r="A89" s="11">
        <v>89</v>
      </c>
      <c r="B89" s="11">
        <f t="array" ref="B89">IF(OR(H89=Current!$S$10:$S$27),1,0)</f>
        <v>1</v>
      </c>
      <c r="D89" s="8">
        <f>MAX(I89:CL89)</f>
        <v>0</v>
      </c>
      <c r="E89" s="8">
        <f>IF(COUNTIF(I89:XFD89,"&gt;"&amp;0)=0,,HLOOKUP(COUNTIF(I89:XFD89,"&gt;"&amp;0)-1,I$1:XFD89,A89+1,FALSE))</f>
        <v>0</v>
      </c>
      <c r="F89" s="9">
        <f>IF(COUNTIF(I89:XFD89,"&gt;"&amp;0)=0,,HLOOKUP(COUNTIF(I89:XFD89,"&gt;"&amp;0)-MIN($F$1+1,COUNTIF(I89:XFD89,"&gt;"&amp;0)),I$1:XFD89,A89+1,FALSE))</f>
        <v>0</v>
      </c>
      <c r="G89" s="10">
        <f>IF(COUNTIF(I89:XFD89,"&gt;"&amp;0)=0,,(E89/F89)^(1/$F$1))</f>
        <v>0</v>
      </c>
    </row>
    <row r="90" spans="1:7" x14ac:dyDescent="0.25">
      <c r="A90" s="11">
        <v>90</v>
      </c>
      <c r="B90" s="11">
        <f t="array" ref="B90">IF(OR(H90=Current!$S$10:$S$27),1,0)</f>
        <v>1</v>
      </c>
      <c r="D90" s="8">
        <f>MAX(I90:CL90)</f>
        <v>0</v>
      </c>
      <c r="E90" s="8">
        <f>IF(COUNTIF(I90:XFD90,"&gt;"&amp;0)=0,,HLOOKUP(COUNTIF(I90:XFD90,"&gt;"&amp;0)-1,I$1:XFD90,A90+1,FALSE))</f>
        <v>0</v>
      </c>
      <c r="F90" s="9">
        <f>IF(COUNTIF(I90:XFD90,"&gt;"&amp;0)=0,,HLOOKUP(COUNTIF(I90:XFD90,"&gt;"&amp;0)-MIN($F$1+1,COUNTIF(I90:XFD90,"&gt;"&amp;0)),I$1:XFD90,A90+1,FALSE))</f>
        <v>0</v>
      </c>
      <c r="G90" s="10">
        <f>IF(COUNTIF(I90:XFD90,"&gt;"&amp;0)=0,,(E90/F90)^(1/$F$1))</f>
        <v>0</v>
      </c>
    </row>
    <row r="91" spans="1:7" x14ac:dyDescent="0.25">
      <c r="A91" s="11">
        <v>91</v>
      </c>
      <c r="B91" s="11">
        <f t="array" ref="B91">IF(OR(H91=Current!$S$10:$S$27),1,0)</f>
        <v>1</v>
      </c>
      <c r="D91" s="8">
        <f>MAX(I91:CL91)</f>
        <v>0</v>
      </c>
      <c r="E91" s="8">
        <f>IF(COUNTIF(I91:XFD91,"&gt;"&amp;0)=0,,HLOOKUP(COUNTIF(I91:XFD91,"&gt;"&amp;0)-1,I$1:XFD91,A91+1,FALSE))</f>
        <v>0</v>
      </c>
      <c r="F91" s="9">
        <f>IF(COUNTIF(I91:XFD91,"&gt;"&amp;0)=0,,HLOOKUP(COUNTIF(I91:XFD91,"&gt;"&amp;0)-MIN($F$1+1,COUNTIF(I91:XFD91,"&gt;"&amp;0)),I$1:XFD91,A91+1,FALSE))</f>
        <v>0</v>
      </c>
      <c r="G91" s="10">
        <f>IF(COUNTIF(I91:XFD91,"&gt;"&amp;0)=0,,(E91/F91)^(1/$F$1))</f>
        <v>0</v>
      </c>
    </row>
    <row r="92" spans="1:7" x14ac:dyDescent="0.25">
      <c r="A92" s="11">
        <v>92</v>
      </c>
      <c r="B92" s="11">
        <f t="array" ref="B92">IF(OR(H92=Current!$S$10:$S$27),1,0)</f>
        <v>1</v>
      </c>
      <c r="D92" s="8">
        <f>MAX(I92:CL92)</f>
        <v>0</v>
      </c>
      <c r="E92" s="8">
        <f>IF(COUNTIF(I92:XFD92,"&gt;"&amp;0)=0,,HLOOKUP(COUNTIF(I92:XFD92,"&gt;"&amp;0)-1,I$1:XFD92,A92+1,FALSE))</f>
        <v>0</v>
      </c>
      <c r="F92" s="9">
        <f>IF(COUNTIF(I92:XFD92,"&gt;"&amp;0)=0,,HLOOKUP(COUNTIF(I92:XFD92,"&gt;"&amp;0)-MIN($F$1+1,COUNTIF(I92:XFD92,"&gt;"&amp;0)),I$1:XFD92,A92+1,FALSE))</f>
        <v>0</v>
      </c>
      <c r="G92" s="10">
        <f>IF(COUNTIF(I92:XFD92,"&gt;"&amp;0)=0,,(E92/F92)^(1/$F$1))</f>
        <v>0</v>
      </c>
    </row>
    <row r="93" spans="1:7" x14ac:dyDescent="0.25">
      <c r="A93" s="11">
        <v>93</v>
      </c>
      <c r="B93" s="11">
        <f t="array" ref="B93">IF(OR(H93=Current!$S$10:$S$27),1,0)</f>
        <v>1</v>
      </c>
      <c r="D93" s="8">
        <f>MAX(I93:CL93)</f>
        <v>0</v>
      </c>
      <c r="E93" s="8">
        <f>IF(COUNTIF(I93:XFD93,"&gt;"&amp;0)=0,,HLOOKUP(COUNTIF(I93:XFD93,"&gt;"&amp;0)-1,I$1:XFD93,A93+1,FALSE))</f>
        <v>0</v>
      </c>
      <c r="F93" s="9">
        <f>IF(COUNTIF(I93:XFD93,"&gt;"&amp;0)=0,,HLOOKUP(COUNTIF(I93:XFD93,"&gt;"&amp;0)-MIN($F$1+1,COUNTIF(I93:XFD93,"&gt;"&amp;0)),I$1:XFD93,A93+1,FALSE))</f>
        <v>0</v>
      </c>
      <c r="G93" s="10">
        <f>IF(COUNTIF(I93:XFD93,"&gt;"&amp;0)=0,,(E93/F93)^(1/$F$1))</f>
        <v>0</v>
      </c>
    </row>
    <row r="94" spans="1:7" x14ac:dyDescent="0.25">
      <c r="A94" s="11">
        <v>94</v>
      </c>
      <c r="B94" s="11">
        <f t="array" ref="B94">IF(OR(H94=Current!$S$10:$S$27),1,0)</f>
        <v>1</v>
      </c>
      <c r="D94" s="8">
        <f>MAX(I94:CL94)</f>
        <v>0</v>
      </c>
      <c r="E94" s="8">
        <f>IF(COUNTIF(I94:XFD94,"&gt;"&amp;0)=0,,HLOOKUP(COUNTIF(I94:XFD94,"&gt;"&amp;0)-1,I$1:XFD94,A94+1,FALSE))</f>
        <v>0</v>
      </c>
      <c r="F94" s="9">
        <f>IF(COUNTIF(I94:XFD94,"&gt;"&amp;0)=0,,HLOOKUP(COUNTIF(I94:XFD94,"&gt;"&amp;0)-MIN($F$1+1,COUNTIF(I94:XFD94,"&gt;"&amp;0)),I$1:XFD94,A94+1,FALSE))</f>
        <v>0</v>
      </c>
      <c r="G94" s="10">
        <f>IF(COUNTIF(I94:XFD94,"&gt;"&amp;0)=0,,(E94/F94)^(1/$F$1))</f>
        <v>0</v>
      </c>
    </row>
    <row r="95" spans="1:7" x14ac:dyDescent="0.25">
      <c r="A95" s="11">
        <v>95</v>
      </c>
      <c r="B95" s="11">
        <f t="array" ref="B95">IF(OR(H95=Current!$S$10:$S$27),1,0)</f>
        <v>1</v>
      </c>
      <c r="D95" s="8">
        <f>MAX(I95:CL95)</f>
        <v>0</v>
      </c>
      <c r="E95" s="8">
        <f>IF(COUNTIF(I95:XFD95,"&gt;"&amp;0)=0,,HLOOKUP(COUNTIF(I95:XFD95,"&gt;"&amp;0)-1,I$1:XFD95,A95+1,FALSE))</f>
        <v>0</v>
      </c>
      <c r="F95" s="9">
        <f>IF(COUNTIF(I95:XFD95,"&gt;"&amp;0)=0,,HLOOKUP(COUNTIF(I95:XFD95,"&gt;"&amp;0)-MIN($F$1+1,COUNTIF(I95:XFD95,"&gt;"&amp;0)),I$1:XFD95,A95+1,FALSE))</f>
        <v>0</v>
      </c>
      <c r="G95" s="10">
        <f>IF(COUNTIF(I95:XFD95,"&gt;"&amp;0)=0,,(E95/F95)^(1/$F$1))</f>
        <v>0</v>
      </c>
    </row>
    <row r="96" spans="1:7" x14ac:dyDescent="0.25">
      <c r="A96" s="11">
        <v>96</v>
      </c>
      <c r="B96" s="11">
        <f t="array" ref="B96">IF(OR(H96=Current!$S$10:$S$27),1,0)</f>
        <v>1</v>
      </c>
      <c r="D96" s="8">
        <f>MAX(I96:CL96)</f>
        <v>0</v>
      </c>
      <c r="E96" s="8">
        <f>IF(COUNTIF(I96:XFD96,"&gt;"&amp;0)=0,,HLOOKUP(COUNTIF(I96:XFD96,"&gt;"&amp;0)-1,I$1:XFD96,A96+1,FALSE))</f>
        <v>0</v>
      </c>
      <c r="F96" s="9">
        <f>IF(COUNTIF(I96:XFD96,"&gt;"&amp;0)=0,,HLOOKUP(COUNTIF(I96:XFD96,"&gt;"&amp;0)-MIN($F$1+1,COUNTIF(I96:XFD96,"&gt;"&amp;0)),I$1:XFD96,A96+1,FALSE))</f>
        <v>0</v>
      </c>
      <c r="G96" s="10">
        <f>IF(COUNTIF(I96:XFD96,"&gt;"&amp;0)=0,,(E96/F96)^(1/$F$1))</f>
        <v>0</v>
      </c>
    </row>
    <row r="97" spans="1:7" x14ac:dyDescent="0.25">
      <c r="A97" s="11">
        <v>97</v>
      </c>
      <c r="B97" s="11">
        <f t="array" ref="B97">IF(OR(H97=Current!$S$10:$S$27),1,0)</f>
        <v>1</v>
      </c>
      <c r="D97" s="8">
        <f>MAX(I97:CL97)</f>
        <v>0</v>
      </c>
      <c r="E97" s="8">
        <f>IF(COUNTIF(I97:XFD97,"&gt;"&amp;0)=0,,HLOOKUP(COUNTIF(I97:XFD97,"&gt;"&amp;0)-1,I$1:XFD97,A97+1,FALSE))</f>
        <v>0</v>
      </c>
      <c r="F97" s="9">
        <f>IF(COUNTIF(I97:XFD97,"&gt;"&amp;0)=0,,HLOOKUP(COUNTIF(I97:XFD97,"&gt;"&amp;0)-MIN($F$1+1,COUNTIF(I97:XFD97,"&gt;"&amp;0)),I$1:XFD97,A97+1,FALSE))</f>
        <v>0</v>
      </c>
      <c r="G97" s="10">
        <f>IF(COUNTIF(I97:XFD97,"&gt;"&amp;0)=0,,(E97/F97)^(1/$F$1))</f>
        <v>0</v>
      </c>
    </row>
    <row r="98" spans="1:7" x14ac:dyDescent="0.25">
      <c r="A98" s="11">
        <v>98</v>
      </c>
      <c r="B98" s="11">
        <f t="array" ref="B98">IF(OR(H98=Current!$S$10:$S$27),1,0)</f>
        <v>1</v>
      </c>
      <c r="D98" s="8">
        <f>MAX(I98:CL98)</f>
        <v>0</v>
      </c>
      <c r="E98" s="8">
        <f>IF(COUNTIF(I98:XFD98,"&gt;"&amp;0)=0,,HLOOKUP(COUNTIF(I98:XFD98,"&gt;"&amp;0)-1,I$1:XFD98,A98+1,FALSE))</f>
        <v>0</v>
      </c>
      <c r="F98" s="9">
        <f>IF(COUNTIF(I98:XFD98,"&gt;"&amp;0)=0,,HLOOKUP(COUNTIF(I98:XFD98,"&gt;"&amp;0)-MIN($F$1+1,COUNTIF(I98:XFD98,"&gt;"&amp;0)),I$1:XFD98,A98+1,FALSE))</f>
        <v>0</v>
      </c>
      <c r="G98" s="10">
        <f>IF(COUNTIF(I98:XFD98,"&gt;"&amp;0)=0,,(E98/F98)^(1/$F$1))</f>
        <v>0</v>
      </c>
    </row>
    <row r="99" spans="1:7" x14ac:dyDescent="0.25">
      <c r="A99" s="11">
        <v>99</v>
      </c>
      <c r="B99" s="11">
        <f t="array" ref="B99">IF(OR(H99=Current!$S$10:$S$27),1,0)</f>
        <v>1</v>
      </c>
      <c r="D99" s="8">
        <f>MAX(I99:CL99)</f>
        <v>0</v>
      </c>
      <c r="E99" s="8">
        <f>IF(COUNTIF(I99:XFD99,"&gt;"&amp;0)=0,,HLOOKUP(COUNTIF(I99:XFD99,"&gt;"&amp;0)-1,I$1:XFD99,A99+1,FALSE))</f>
        <v>0</v>
      </c>
      <c r="F99" s="9">
        <f>IF(COUNTIF(I99:XFD99,"&gt;"&amp;0)=0,,HLOOKUP(COUNTIF(I99:XFD99,"&gt;"&amp;0)-MIN($F$1+1,COUNTIF(I99:XFD99,"&gt;"&amp;0)),I$1:XFD99,A99+1,FALSE))</f>
        <v>0</v>
      </c>
      <c r="G99" s="10">
        <f>IF(COUNTIF(I99:XFD99,"&gt;"&amp;0)=0,,(E99/F99)^(1/$F$1))</f>
        <v>0</v>
      </c>
    </row>
    <row r="100" spans="1:7" x14ac:dyDescent="0.25">
      <c r="A100" s="11">
        <v>100</v>
      </c>
      <c r="B100" s="11">
        <f t="array" ref="B100">IF(OR(H100=Current!$S$10:$S$27),1,0)</f>
        <v>1</v>
      </c>
      <c r="D100" s="8">
        <f>MAX(I100:CL100)</f>
        <v>0</v>
      </c>
      <c r="E100" s="8">
        <f>IF(COUNTIF(I100:XFD100,"&gt;"&amp;0)=0,,HLOOKUP(COUNTIF(I100:XFD100,"&gt;"&amp;0)-1,I$1:XFD100,A100+1,FALSE))</f>
        <v>0</v>
      </c>
      <c r="F100" s="9">
        <f>IF(COUNTIF(I100:XFD100,"&gt;"&amp;0)=0,,HLOOKUP(COUNTIF(I100:XFD100,"&gt;"&amp;0)-MIN($F$1+1,COUNTIF(I100:XFD100,"&gt;"&amp;0)),I$1:XFD100,A100+1,FALSE))</f>
        <v>0</v>
      </c>
      <c r="G100" s="10">
        <f>IF(COUNTIF(I100:XFD100,"&gt;"&amp;0)=0,,(E100/F100)^(1/$F$1))</f>
        <v>0</v>
      </c>
    </row>
    <row r="101" spans="1:7" x14ac:dyDescent="0.25">
      <c r="A101" s="11">
        <v>101</v>
      </c>
      <c r="B101" s="11">
        <f t="array" ref="B101">IF(OR(H101=Current!$S$10:$S$27),1,0)</f>
        <v>1</v>
      </c>
      <c r="D101" s="8">
        <f>MAX(I101:CL101)</f>
        <v>0</v>
      </c>
      <c r="E101" s="8">
        <f>IF(COUNTIF(I101:XFD101,"&gt;"&amp;0)=0,,HLOOKUP(COUNTIF(I101:XFD101,"&gt;"&amp;0)-1,I$1:XFD101,A101+1,FALSE))</f>
        <v>0</v>
      </c>
      <c r="F101" s="9">
        <f>IF(COUNTIF(I101:XFD101,"&gt;"&amp;0)=0,,HLOOKUP(COUNTIF(I101:XFD101,"&gt;"&amp;0)-MIN($F$1+1,COUNTIF(I101:XFD101,"&gt;"&amp;0)),I$1:XFD101,A101+1,FALSE))</f>
        <v>0</v>
      </c>
      <c r="G101" s="10">
        <f>IF(COUNTIF(I101:XFD101,"&gt;"&amp;0)=0,,(E101/F101)^(1/$F$1))</f>
        <v>0</v>
      </c>
    </row>
    <row r="102" spans="1:7" x14ac:dyDescent="0.25">
      <c r="A102" s="11">
        <v>102</v>
      </c>
      <c r="B102" s="11">
        <f t="array" ref="B102">IF(OR(H102=Current!$S$10:$S$27),1,0)</f>
        <v>1</v>
      </c>
      <c r="D102" s="8">
        <f>MAX(I102:CL102)</f>
        <v>0</v>
      </c>
      <c r="E102" s="8">
        <f>IF(COUNTIF(I102:XFD102,"&gt;"&amp;0)=0,,HLOOKUP(COUNTIF(I102:XFD102,"&gt;"&amp;0)-1,I$1:XFD102,A102+1,FALSE))</f>
        <v>0</v>
      </c>
      <c r="F102" s="9">
        <f>IF(COUNTIF(I102:XFD102,"&gt;"&amp;0)=0,,HLOOKUP(COUNTIF(I102:XFD102,"&gt;"&amp;0)-MIN($F$1+1,COUNTIF(I102:XFD102,"&gt;"&amp;0)),I$1:XFD102,A102+1,FALSE))</f>
        <v>0</v>
      </c>
      <c r="G102" s="10">
        <f>IF(COUNTIF(I102:XFD102,"&gt;"&amp;0)=0,,(E102/F102)^(1/$F$1))</f>
        <v>0</v>
      </c>
    </row>
    <row r="103" spans="1:7" x14ac:dyDescent="0.25">
      <c r="A103" s="11">
        <v>103</v>
      </c>
      <c r="B103" s="11">
        <f t="array" ref="B103">IF(OR(H103=Current!$S$10:$S$27),1,0)</f>
        <v>1</v>
      </c>
      <c r="D103" s="8">
        <f>MAX(I103:CL103)</f>
        <v>0</v>
      </c>
      <c r="E103" s="8">
        <f>IF(COUNTIF(I103:XFD103,"&gt;"&amp;0)=0,,HLOOKUP(COUNTIF(I103:XFD103,"&gt;"&amp;0)-1,I$1:XFD103,A103+1,FALSE))</f>
        <v>0</v>
      </c>
      <c r="F103" s="9">
        <f>IF(COUNTIF(I103:XFD103,"&gt;"&amp;0)=0,,HLOOKUP(COUNTIF(I103:XFD103,"&gt;"&amp;0)-MIN($F$1+1,COUNTIF(I103:XFD103,"&gt;"&amp;0)),I$1:XFD103,A103+1,FALSE))</f>
        <v>0</v>
      </c>
      <c r="G103" s="10">
        <f>IF(COUNTIF(I103:XFD103,"&gt;"&amp;0)=0,,(E103/F103)^(1/$F$1))</f>
        <v>0</v>
      </c>
    </row>
    <row r="104" spans="1:7" x14ac:dyDescent="0.25">
      <c r="A104" s="11">
        <v>104</v>
      </c>
      <c r="B104" s="11">
        <f t="array" ref="B104">IF(OR(H104=Current!$S$10:$S$27),1,0)</f>
        <v>1</v>
      </c>
      <c r="D104" s="8">
        <f>MAX(I104:CL104)</f>
        <v>0</v>
      </c>
      <c r="E104" s="8">
        <f>IF(COUNTIF(I104:XFD104,"&gt;"&amp;0)=0,,HLOOKUP(COUNTIF(I104:XFD104,"&gt;"&amp;0)-1,I$1:XFD104,A104+1,FALSE))</f>
        <v>0</v>
      </c>
      <c r="F104" s="9">
        <f>IF(COUNTIF(I104:XFD104,"&gt;"&amp;0)=0,,HLOOKUP(COUNTIF(I104:XFD104,"&gt;"&amp;0)-MIN($F$1+1,COUNTIF(I104:XFD104,"&gt;"&amp;0)),I$1:XFD104,A104+1,FALSE))</f>
        <v>0</v>
      </c>
      <c r="G104" s="10">
        <f>IF(COUNTIF(I104:XFD104,"&gt;"&amp;0)=0,,(E104/F104)^(1/$F$1))</f>
        <v>0</v>
      </c>
    </row>
    <row r="105" spans="1:7" x14ac:dyDescent="0.25">
      <c r="A105" s="11">
        <v>105</v>
      </c>
      <c r="B105" s="11">
        <f t="array" ref="B105">IF(OR(H105=Current!$S$10:$S$27),1,0)</f>
        <v>1</v>
      </c>
      <c r="D105" s="8">
        <f>MAX(I105:CL105)</f>
        <v>0</v>
      </c>
      <c r="E105" s="8">
        <f>IF(COUNTIF(I105:XFD105,"&gt;"&amp;0)=0,,HLOOKUP(COUNTIF(I105:XFD105,"&gt;"&amp;0)-1,I$1:XFD105,A105+1,FALSE))</f>
        <v>0</v>
      </c>
      <c r="F105" s="9">
        <f>IF(COUNTIF(I105:XFD105,"&gt;"&amp;0)=0,,HLOOKUP(COUNTIF(I105:XFD105,"&gt;"&amp;0)-MIN($F$1+1,COUNTIF(I105:XFD105,"&gt;"&amp;0)),I$1:XFD105,A105+1,FALSE))</f>
        <v>0</v>
      </c>
      <c r="G105" s="10">
        <f>IF(COUNTIF(I105:XFD105,"&gt;"&amp;0)=0,,(E105/F105)^(1/$F$1))</f>
        <v>0</v>
      </c>
    </row>
    <row r="106" spans="1:7" x14ac:dyDescent="0.25">
      <c r="A106" s="11">
        <v>106</v>
      </c>
      <c r="B106" s="11">
        <f t="array" ref="B106">IF(OR(H106=Current!$S$10:$S$27),1,0)</f>
        <v>1</v>
      </c>
      <c r="D106" s="8">
        <f>MAX(I106:CL106)</f>
        <v>0</v>
      </c>
      <c r="E106" s="8">
        <f>IF(COUNTIF(I106:XFD106,"&gt;"&amp;0)=0,,HLOOKUP(COUNTIF(I106:XFD106,"&gt;"&amp;0)-1,I$1:XFD106,A106+1,FALSE))</f>
        <v>0</v>
      </c>
      <c r="F106" s="9">
        <f>IF(COUNTIF(I106:XFD106,"&gt;"&amp;0)=0,,HLOOKUP(COUNTIF(I106:XFD106,"&gt;"&amp;0)-MIN($F$1+1,COUNTIF(I106:XFD106,"&gt;"&amp;0)),I$1:XFD106,A106+1,FALSE))</f>
        <v>0</v>
      </c>
      <c r="G106" s="10">
        <f>IF(COUNTIF(I106:XFD106,"&gt;"&amp;0)=0,,(E106/F106)^(1/$F$1))</f>
        <v>0</v>
      </c>
    </row>
    <row r="107" spans="1:7" x14ac:dyDescent="0.25">
      <c r="A107" s="11">
        <v>107</v>
      </c>
      <c r="B107" s="11">
        <f t="array" ref="B107">IF(OR(H107=Current!$S$10:$S$27),1,0)</f>
        <v>1</v>
      </c>
      <c r="D107" s="8">
        <f>MAX(I107:CL107)</f>
        <v>0</v>
      </c>
      <c r="E107" s="8">
        <f>IF(COUNTIF(I107:XFD107,"&gt;"&amp;0)=0,,HLOOKUP(COUNTIF(I107:XFD107,"&gt;"&amp;0)-1,I$1:XFD107,A107+1,FALSE))</f>
        <v>0</v>
      </c>
      <c r="F107" s="9">
        <f>IF(COUNTIF(I107:XFD107,"&gt;"&amp;0)=0,,HLOOKUP(COUNTIF(I107:XFD107,"&gt;"&amp;0)-MIN($F$1+1,COUNTIF(I107:XFD107,"&gt;"&amp;0)),I$1:XFD107,A107+1,FALSE))</f>
        <v>0</v>
      </c>
      <c r="G107" s="10">
        <f>IF(COUNTIF(I107:XFD107,"&gt;"&amp;0)=0,,(E107/F107)^(1/$F$1))</f>
        <v>0</v>
      </c>
    </row>
    <row r="108" spans="1:7" x14ac:dyDescent="0.25">
      <c r="A108" s="11">
        <v>108</v>
      </c>
      <c r="B108" s="11">
        <f t="array" ref="B108">IF(OR(H108=Current!$S$10:$S$27),1,0)</f>
        <v>1</v>
      </c>
      <c r="D108" s="8">
        <f>MAX(I108:CL108)</f>
        <v>0</v>
      </c>
      <c r="E108" s="8">
        <f>IF(COUNTIF(I108:XFD108,"&gt;"&amp;0)=0,,HLOOKUP(COUNTIF(I108:XFD108,"&gt;"&amp;0)-1,I$1:XFD108,A108+1,FALSE))</f>
        <v>0</v>
      </c>
      <c r="F108" s="9">
        <f>IF(COUNTIF(I108:XFD108,"&gt;"&amp;0)=0,,HLOOKUP(COUNTIF(I108:XFD108,"&gt;"&amp;0)-MIN($F$1+1,COUNTIF(I108:XFD108,"&gt;"&amp;0)),I$1:XFD108,A108+1,FALSE))</f>
        <v>0</v>
      </c>
      <c r="G108" s="10">
        <f>IF(COUNTIF(I108:XFD108,"&gt;"&amp;0)=0,,(E108/F108)^(1/$F$1))</f>
        <v>0</v>
      </c>
    </row>
    <row r="109" spans="1:7" x14ac:dyDescent="0.25">
      <c r="A109" s="11">
        <v>109</v>
      </c>
      <c r="B109" s="11">
        <f t="array" ref="B109">IF(OR(H109=Current!$S$10:$S$27),1,0)</f>
        <v>1</v>
      </c>
      <c r="D109" s="8">
        <f>MAX(I109:CL109)</f>
        <v>0</v>
      </c>
      <c r="E109" s="8">
        <f>IF(COUNTIF(I109:XFD109,"&gt;"&amp;0)=0,,HLOOKUP(COUNTIF(I109:XFD109,"&gt;"&amp;0)-1,I$1:XFD109,A109+1,FALSE))</f>
        <v>0</v>
      </c>
      <c r="F109" s="9">
        <f>IF(COUNTIF(I109:XFD109,"&gt;"&amp;0)=0,,HLOOKUP(COUNTIF(I109:XFD109,"&gt;"&amp;0)-MIN($F$1+1,COUNTIF(I109:XFD109,"&gt;"&amp;0)),I$1:XFD109,A109+1,FALSE))</f>
        <v>0</v>
      </c>
      <c r="G109" s="10">
        <f>IF(COUNTIF(I109:XFD109,"&gt;"&amp;0)=0,,(E109/F109)^(1/$F$1))</f>
        <v>0</v>
      </c>
    </row>
    <row r="110" spans="1:7" x14ac:dyDescent="0.25">
      <c r="A110" s="11">
        <v>110</v>
      </c>
      <c r="B110" s="11">
        <f t="array" ref="B110">IF(OR(H110=Current!$S$10:$S$27),1,0)</f>
        <v>1</v>
      </c>
      <c r="D110" s="8">
        <f>MAX(I110:CL110)</f>
        <v>0</v>
      </c>
      <c r="E110" s="8">
        <f>IF(COUNTIF(I110:XFD110,"&gt;"&amp;0)=0,,HLOOKUP(COUNTIF(I110:XFD110,"&gt;"&amp;0)-1,I$1:XFD110,A110+1,FALSE))</f>
        <v>0</v>
      </c>
      <c r="F110" s="9">
        <f>IF(COUNTIF(I110:XFD110,"&gt;"&amp;0)=0,,HLOOKUP(COUNTIF(I110:XFD110,"&gt;"&amp;0)-MIN($F$1+1,COUNTIF(I110:XFD110,"&gt;"&amp;0)),I$1:XFD110,A110+1,FALSE))</f>
        <v>0</v>
      </c>
      <c r="G110" s="10">
        <f>IF(COUNTIF(I110:XFD110,"&gt;"&amp;0)=0,,(E110/F110)^(1/$F$1))</f>
        <v>0</v>
      </c>
    </row>
    <row r="111" spans="1:7" x14ac:dyDescent="0.25">
      <c r="A111" s="11">
        <v>111</v>
      </c>
      <c r="B111" s="11">
        <f t="array" ref="B111">IF(OR(H111=Current!$S$10:$S$27),1,0)</f>
        <v>1</v>
      </c>
      <c r="D111" s="8">
        <f>MAX(I111:CL111)</f>
        <v>0</v>
      </c>
      <c r="E111" s="8">
        <f>IF(COUNTIF(I111:XFD111,"&gt;"&amp;0)=0,,HLOOKUP(COUNTIF(I111:XFD111,"&gt;"&amp;0)-1,I$1:XFD111,A111+1,FALSE))</f>
        <v>0</v>
      </c>
      <c r="F111" s="9">
        <f>IF(COUNTIF(I111:XFD111,"&gt;"&amp;0)=0,,HLOOKUP(COUNTIF(I111:XFD111,"&gt;"&amp;0)-MIN($F$1+1,COUNTIF(I111:XFD111,"&gt;"&amp;0)),I$1:XFD111,A111+1,FALSE))</f>
        <v>0</v>
      </c>
      <c r="G111" s="10">
        <f>IF(COUNTIF(I111:XFD111,"&gt;"&amp;0)=0,,(E111/F111)^(1/$F$1))</f>
        <v>0</v>
      </c>
    </row>
    <row r="112" spans="1:7" x14ac:dyDescent="0.25">
      <c r="A112" s="11">
        <v>112</v>
      </c>
      <c r="B112" s="11">
        <f t="array" ref="B112">IF(OR(H112=Current!$S$10:$S$27),1,0)</f>
        <v>1</v>
      </c>
      <c r="D112" s="8">
        <f>MAX(I112:CL112)</f>
        <v>0</v>
      </c>
      <c r="E112" s="8">
        <f>IF(COUNTIF(I112:XFD112,"&gt;"&amp;0)=0,,HLOOKUP(COUNTIF(I112:XFD112,"&gt;"&amp;0)-1,I$1:XFD112,A112+1,FALSE))</f>
        <v>0</v>
      </c>
      <c r="F112" s="9">
        <f>IF(COUNTIF(I112:XFD112,"&gt;"&amp;0)=0,,HLOOKUP(COUNTIF(I112:XFD112,"&gt;"&amp;0)-MIN($F$1+1,COUNTIF(I112:XFD112,"&gt;"&amp;0)),I$1:XFD112,A112+1,FALSE))</f>
        <v>0</v>
      </c>
      <c r="G112" s="10">
        <f>IF(COUNTIF(I112:XFD112,"&gt;"&amp;0)=0,,(E112/F112)^(1/$F$1))</f>
        <v>0</v>
      </c>
    </row>
    <row r="113" spans="1:7" x14ac:dyDescent="0.25">
      <c r="A113" s="11">
        <v>113</v>
      </c>
      <c r="B113" s="11">
        <f t="array" ref="B113">IF(OR(H113=Current!$S$10:$S$27),1,0)</f>
        <v>1</v>
      </c>
      <c r="D113" s="8">
        <f>MAX(I113:CL113)</f>
        <v>0</v>
      </c>
      <c r="E113" s="8">
        <f>IF(COUNTIF(I113:XFD113,"&gt;"&amp;0)=0,,HLOOKUP(COUNTIF(I113:XFD113,"&gt;"&amp;0)-1,I$1:XFD113,A113+1,FALSE))</f>
        <v>0</v>
      </c>
      <c r="F113" s="9">
        <f>IF(COUNTIF(I113:XFD113,"&gt;"&amp;0)=0,,HLOOKUP(COUNTIF(I113:XFD113,"&gt;"&amp;0)-MIN($F$1+1,COUNTIF(I113:XFD113,"&gt;"&amp;0)),I$1:XFD113,A113+1,FALSE))</f>
        <v>0</v>
      </c>
      <c r="G113" s="10">
        <f>IF(COUNTIF(I113:XFD113,"&gt;"&amp;0)=0,,(E113/F113)^(1/$F$1))</f>
        <v>0</v>
      </c>
    </row>
    <row r="114" spans="1:7" x14ac:dyDescent="0.25">
      <c r="A114" s="11">
        <v>114</v>
      </c>
      <c r="B114" s="11">
        <f t="array" ref="B114">IF(OR(H114=Current!$S$10:$S$27),1,0)</f>
        <v>1</v>
      </c>
      <c r="D114" s="8">
        <f>MAX(I114:CL114)</f>
        <v>0</v>
      </c>
      <c r="E114" s="8">
        <f>IF(COUNTIF(I114:XFD114,"&gt;"&amp;0)=0,,HLOOKUP(COUNTIF(I114:XFD114,"&gt;"&amp;0)-1,I$1:XFD114,A114+1,FALSE))</f>
        <v>0</v>
      </c>
      <c r="F114" s="9">
        <f>IF(COUNTIF(I114:XFD114,"&gt;"&amp;0)=0,,HLOOKUP(COUNTIF(I114:XFD114,"&gt;"&amp;0)-MIN($F$1+1,COUNTIF(I114:XFD114,"&gt;"&amp;0)),I$1:XFD114,A114+1,FALSE))</f>
        <v>0</v>
      </c>
      <c r="G114" s="10">
        <f>IF(COUNTIF(I114:XFD114,"&gt;"&amp;0)=0,,(E114/F114)^(1/$F$1))</f>
        <v>0</v>
      </c>
    </row>
    <row r="115" spans="1:7" x14ac:dyDescent="0.25">
      <c r="A115" s="11">
        <v>115</v>
      </c>
      <c r="B115" s="11">
        <f t="array" ref="B115">IF(OR(H115=Current!$S$10:$S$27),1,0)</f>
        <v>1</v>
      </c>
      <c r="D115" s="8">
        <f>MAX(I115:CL115)</f>
        <v>0</v>
      </c>
      <c r="E115" s="8">
        <f>IF(COUNTIF(I115:XFD115,"&gt;"&amp;0)=0,,HLOOKUP(COUNTIF(I115:XFD115,"&gt;"&amp;0)-1,I$1:XFD115,A115+1,FALSE))</f>
        <v>0</v>
      </c>
      <c r="F115" s="9">
        <f>IF(COUNTIF(I115:XFD115,"&gt;"&amp;0)=0,,HLOOKUP(COUNTIF(I115:XFD115,"&gt;"&amp;0)-MIN($F$1+1,COUNTIF(I115:XFD115,"&gt;"&amp;0)),I$1:XFD115,A115+1,FALSE))</f>
        <v>0</v>
      </c>
      <c r="G115" s="10">
        <f>IF(COUNTIF(I115:XFD115,"&gt;"&amp;0)=0,,(E115/F115)^(1/$F$1))</f>
        <v>0</v>
      </c>
    </row>
    <row r="116" spans="1:7" x14ac:dyDescent="0.25">
      <c r="A116" s="11">
        <v>116</v>
      </c>
      <c r="B116" s="11">
        <f t="array" ref="B116">IF(OR(H116=Current!$S$10:$S$27),1,0)</f>
        <v>1</v>
      </c>
      <c r="D116" s="8">
        <f>MAX(I116:CL116)</f>
        <v>0</v>
      </c>
      <c r="E116" s="8">
        <f>IF(COUNTIF(I116:XFD116,"&gt;"&amp;0)=0,,HLOOKUP(COUNTIF(I116:XFD116,"&gt;"&amp;0)-1,I$1:XFD116,A116+1,FALSE))</f>
        <v>0</v>
      </c>
      <c r="F116" s="9">
        <f>IF(COUNTIF(I116:XFD116,"&gt;"&amp;0)=0,,HLOOKUP(COUNTIF(I116:XFD116,"&gt;"&amp;0)-MIN($F$1+1,COUNTIF(I116:XFD116,"&gt;"&amp;0)),I$1:XFD116,A116+1,FALSE))</f>
        <v>0</v>
      </c>
      <c r="G116" s="10">
        <f>IF(COUNTIF(I116:XFD116,"&gt;"&amp;0)=0,,(E116/F116)^(1/$F$1))</f>
        <v>0</v>
      </c>
    </row>
    <row r="117" spans="1:7" x14ac:dyDescent="0.25">
      <c r="A117" s="11">
        <v>117</v>
      </c>
      <c r="B117" s="11">
        <f t="array" ref="B117">IF(OR(H117=Current!$S$10:$S$27),1,0)</f>
        <v>1</v>
      </c>
      <c r="D117" s="8">
        <f>MAX(I117:CL117)</f>
        <v>0</v>
      </c>
      <c r="E117" s="8">
        <f>IF(COUNTIF(I117:XFD117,"&gt;"&amp;0)=0,,HLOOKUP(COUNTIF(I117:XFD117,"&gt;"&amp;0)-1,I$1:XFD117,A117+1,FALSE))</f>
        <v>0</v>
      </c>
      <c r="F117" s="9">
        <f>IF(COUNTIF(I117:XFD117,"&gt;"&amp;0)=0,,HLOOKUP(COUNTIF(I117:XFD117,"&gt;"&amp;0)-MIN($F$1+1,COUNTIF(I117:XFD117,"&gt;"&amp;0)),I$1:XFD117,A117+1,FALSE))</f>
        <v>0</v>
      </c>
      <c r="G117" s="10">
        <f>IF(COUNTIF(I117:XFD117,"&gt;"&amp;0)=0,,(E117/F117)^(1/$F$1))</f>
        <v>0</v>
      </c>
    </row>
    <row r="118" spans="1:7" x14ac:dyDescent="0.25">
      <c r="A118" s="11">
        <v>118</v>
      </c>
      <c r="B118" s="11">
        <f t="array" ref="B118">IF(OR(H118=Current!$S$10:$S$27),1,0)</f>
        <v>1</v>
      </c>
      <c r="D118" s="8">
        <f>MAX(I118:CL118)</f>
        <v>0</v>
      </c>
      <c r="E118" s="8">
        <f>IF(COUNTIF(I118:XFD118,"&gt;"&amp;0)=0,,HLOOKUP(COUNTIF(I118:XFD118,"&gt;"&amp;0)-1,I$1:XFD118,A118+1,FALSE))</f>
        <v>0</v>
      </c>
      <c r="F118" s="9">
        <f>IF(COUNTIF(I118:XFD118,"&gt;"&amp;0)=0,,HLOOKUP(COUNTIF(I118:XFD118,"&gt;"&amp;0)-MIN($F$1+1,COUNTIF(I118:XFD118,"&gt;"&amp;0)),I$1:XFD118,A118+1,FALSE))</f>
        <v>0</v>
      </c>
      <c r="G118" s="10">
        <f>IF(COUNTIF(I118:XFD118,"&gt;"&amp;0)=0,,(E118/F118)^(1/$F$1))</f>
        <v>0</v>
      </c>
    </row>
    <row r="119" spans="1:7" x14ac:dyDescent="0.25">
      <c r="A119" s="11">
        <v>119</v>
      </c>
      <c r="B119" s="11">
        <f t="array" ref="B119">IF(OR(H119=Current!$S$10:$S$27),1,0)</f>
        <v>1</v>
      </c>
      <c r="D119" s="8">
        <f>MAX(I119:CL119)</f>
        <v>0</v>
      </c>
      <c r="E119" s="8">
        <f>IF(COUNTIF(I119:XFD119,"&gt;"&amp;0)=0,,HLOOKUP(COUNTIF(I119:XFD119,"&gt;"&amp;0)-1,I$1:XFD119,A119+1,FALSE))</f>
        <v>0</v>
      </c>
      <c r="F119" s="9">
        <f>IF(COUNTIF(I119:XFD119,"&gt;"&amp;0)=0,,HLOOKUP(COUNTIF(I119:XFD119,"&gt;"&amp;0)-MIN($F$1+1,COUNTIF(I119:XFD119,"&gt;"&amp;0)),I$1:XFD119,A119+1,FALSE))</f>
        <v>0</v>
      </c>
      <c r="G119" s="10">
        <f>IF(COUNTIF(I119:XFD119,"&gt;"&amp;0)=0,,(E119/F119)^(1/$F$1))</f>
        <v>0</v>
      </c>
    </row>
    <row r="120" spans="1:7" x14ac:dyDescent="0.25">
      <c r="A120" s="11">
        <v>120</v>
      </c>
      <c r="B120" s="11">
        <f t="array" ref="B120">IF(OR(H120=Current!$S$10:$S$27),1,0)</f>
        <v>1</v>
      </c>
      <c r="D120" s="8">
        <f>MAX(I120:CL120)</f>
        <v>0</v>
      </c>
      <c r="E120" s="8">
        <f>IF(COUNTIF(I120:XFD120,"&gt;"&amp;0)=0,,HLOOKUP(COUNTIF(I120:XFD120,"&gt;"&amp;0)-1,I$1:XFD120,A120+1,FALSE))</f>
        <v>0</v>
      </c>
      <c r="F120" s="9">
        <f>IF(COUNTIF(I120:XFD120,"&gt;"&amp;0)=0,,HLOOKUP(COUNTIF(I120:XFD120,"&gt;"&amp;0)-MIN($F$1+1,COUNTIF(I120:XFD120,"&gt;"&amp;0)),I$1:XFD120,A120+1,FALSE))</f>
        <v>0</v>
      </c>
      <c r="G120" s="10">
        <f>IF(COUNTIF(I120:XFD120,"&gt;"&amp;0)=0,,(E120/F120)^(1/$F$1))</f>
        <v>0</v>
      </c>
    </row>
    <row r="121" spans="1:7" x14ac:dyDescent="0.25">
      <c r="A121" s="11">
        <v>121</v>
      </c>
      <c r="B121" s="11">
        <f t="array" ref="B121">IF(OR(H121=Current!$S$10:$S$27),1,0)</f>
        <v>1</v>
      </c>
      <c r="D121" s="8">
        <f>MAX(I121:CL121)</f>
        <v>0</v>
      </c>
      <c r="E121" s="8">
        <f>IF(COUNTIF(I121:XFD121,"&gt;"&amp;0)=0,,HLOOKUP(COUNTIF(I121:XFD121,"&gt;"&amp;0)-1,I$1:XFD121,A121+1,FALSE))</f>
        <v>0</v>
      </c>
      <c r="F121" s="9">
        <f>IF(COUNTIF(I121:XFD121,"&gt;"&amp;0)=0,,HLOOKUP(COUNTIF(I121:XFD121,"&gt;"&amp;0)-MIN($F$1+1,COUNTIF(I121:XFD121,"&gt;"&amp;0)),I$1:XFD121,A121+1,FALSE))</f>
        <v>0</v>
      </c>
      <c r="G121" s="10">
        <f>IF(COUNTIF(I121:XFD121,"&gt;"&amp;0)=0,,(E121/F121)^(1/$F$1))</f>
        <v>0</v>
      </c>
    </row>
  </sheetData>
  <autoFilter ref="B1:CU1" xr:uid="{A13DDBA3-FED6-4D82-BBD5-9B71C68B67F1}">
    <sortState xmlns:xlrd2="http://schemas.microsoft.com/office/spreadsheetml/2017/richdata2" ref="B2:CU121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M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3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4" t="s">
        <v>365</v>
      </c>
      <c r="B2">
        <f>SUMIF(RawData!$C:$C,$A2,RawData!F:F)</f>
        <v>548</v>
      </c>
      <c r="C2">
        <f>SUMIF(RawData!$C:$C,$A2,RawData!G:G)</f>
        <v>643</v>
      </c>
      <c r="D2">
        <f>SUMIF(RawData!$C:$C,$A2,RawData!H:H)</f>
        <v>920</v>
      </c>
      <c r="E2">
        <f>SUMIF(RawData!$C:$C,$A2,RawData!I:I)</f>
        <v>1406</v>
      </c>
      <c r="F2">
        <f>SUMIF(RawData!$C:$C,$A2,RawData!J:J)</f>
        <v>2075</v>
      </c>
      <c r="G2">
        <f>SUMIF(RawData!$C:$C,$A2,RawData!K:K)</f>
        <v>2877</v>
      </c>
      <c r="H2">
        <f>SUMIF(RawData!$C:$C,$A2,RawData!L:L)</f>
        <v>5509</v>
      </c>
      <c r="I2">
        <f>SUMIF(RawData!$C:$C,$A2,RawData!M:M)</f>
        <v>6087</v>
      </c>
      <c r="J2">
        <f>SUMIF(RawData!$C:$C,$A2,RawData!N:N)</f>
        <v>8141</v>
      </c>
      <c r="K2">
        <f>SUMIF(RawData!$C:$C,$A2,RawData!O:O)</f>
        <v>9802</v>
      </c>
      <c r="L2">
        <f>SUMIF(RawData!$C:$C,$A2,RawData!P:P)</f>
        <v>11891</v>
      </c>
      <c r="M2">
        <f>SUMIF(RawData!$C:$C,$A2,RawData!Q:Q)</f>
        <v>16630</v>
      </c>
      <c r="N2">
        <f>SUMIF(RawData!$C:$C,$A2,RawData!R:R)</f>
        <v>19716</v>
      </c>
      <c r="O2">
        <f>SUMIF(RawData!$C:$C,$A2,RawData!S:S)</f>
        <v>23707</v>
      </c>
      <c r="P2">
        <f>SUMIF(RawData!$C:$C,$A2,RawData!T:T)</f>
        <v>27440</v>
      </c>
      <c r="Q2">
        <f>SUMIF(RawData!$C:$C,$A2,RawData!U:U)</f>
        <v>30587</v>
      </c>
      <c r="R2">
        <f>SUMIF(RawData!$C:$C,$A2,RawData!V:V)</f>
        <v>34110</v>
      </c>
      <c r="S2">
        <f>SUMIF(RawData!$C:$C,$A2,RawData!W:W)</f>
        <v>36814</v>
      </c>
      <c r="T2">
        <f>SUMIF(RawData!$C:$C,$A2,RawData!X:X)</f>
        <v>39829</v>
      </c>
      <c r="U2">
        <f>SUMIF(RawData!$C:$C,$A2,RawData!Y:Y)</f>
        <v>42354</v>
      </c>
      <c r="V2">
        <f>SUMIF(RawData!$C:$C,$A2,RawData!Z:Z)</f>
        <v>44386</v>
      </c>
      <c r="W2">
        <f>SUMIF(RawData!$C:$C,$A2,RawData!AA:AA)</f>
        <v>44759</v>
      </c>
      <c r="X2">
        <f>SUMIF(RawData!$C:$C,$A2,RawData!AB:AB)</f>
        <v>59895</v>
      </c>
      <c r="Y2">
        <f>SUMIF(RawData!$C:$C,$A2,RawData!AC:AC)</f>
        <v>66358</v>
      </c>
      <c r="Z2">
        <f>SUMIF(RawData!$C:$C,$A2,RawData!AD:AD)</f>
        <v>68413</v>
      </c>
      <c r="AA2">
        <f>SUMIF(RawData!$C:$C,$A2,RawData!AE:AE)</f>
        <v>70513</v>
      </c>
      <c r="AB2">
        <f>SUMIF(RawData!$C:$C,$A2,RawData!AF:AF)</f>
        <v>72434</v>
      </c>
      <c r="AC2">
        <f>SUMIF(RawData!$C:$C,$A2,RawData!AG:AG)</f>
        <v>74211</v>
      </c>
      <c r="AD2">
        <f>SUMIF(RawData!$C:$C,$A2,RawData!AH:AH)</f>
        <v>74619</v>
      </c>
      <c r="AE2">
        <f>SUMIF(RawData!$C:$C,$A2,RawData!AI:AI)</f>
        <v>75077</v>
      </c>
      <c r="AF2">
        <f>SUMIF(RawData!$C:$C,$A2,RawData!AJ:AJ)</f>
        <v>75550</v>
      </c>
      <c r="AG2">
        <f>SUMIF(RawData!$C:$C,$A2,RawData!AK:AK)</f>
        <v>77001</v>
      </c>
      <c r="AH2">
        <f>SUMIF(RawData!$C:$C,$A2,RawData!AL:AL)</f>
        <v>77022</v>
      </c>
      <c r="AI2">
        <f>SUMIF(RawData!$C:$C,$A2,RawData!AM:AM)</f>
        <v>77241</v>
      </c>
      <c r="AJ2">
        <f>SUMIF(RawData!$C:$C,$A2,RawData!AN:AN)</f>
        <v>77754</v>
      </c>
      <c r="AK2">
        <f>SUMIF(RawData!$C:$C,$A2,RawData!AO:AO)</f>
        <v>78166</v>
      </c>
      <c r="AL2">
        <f>SUMIF(RawData!$C:$C,$A2,RawData!AP:AP)</f>
        <v>78600</v>
      </c>
      <c r="AM2">
        <f>SUMIF(RawData!$C:$C,$A2,RawData!AQ:AQ)</f>
        <v>78928</v>
      </c>
      <c r="AN2">
        <f>SUMIF(RawData!$C:$C,$A2,RawData!AR:AR)</f>
        <v>79356</v>
      </c>
      <c r="AO2">
        <f>SUMIF(RawData!$C:$C,$A2,RawData!AS:AS)</f>
        <v>79932</v>
      </c>
      <c r="AP2">
        <f>SUMIF(RawData!$C:$C,$A2,RawData!AT:AT)</f>
        <v>80136</v>
      </c>
      <c r="AQ2">
        <f>SUMIF(RawData!$C:$C,$A2,RawData!AU:AU)</f>
        <v>80261</v>
      </c>
      <c r="AR2">
        <f>SUMIF(RawData!$C:$C,$A2,RawData!AV:AV)</f>
        <v>80386</v>
      </c>
      <c r="AS2">
        <f>SUMIF(RawData!$C:$C,$A2,RawData!AW:AW)</f>
        <v>80537</v>
      </c>
      <c r="AT2">
        <f>SUMIF(RawData!$C:$C,$A2,RawData!AX:AX)</f>
        <v>80690</v>
      </c>
      <c r="AU2">
        <f>SUMIF(RawData!$C:$C,$A2,RawData!AY:AY)</f>
        <v>80770</v>
      </c>
      <c r="AV2">
        <f>SUMIF(RawData!$C:$C,$A2,RawData!AZ:AZ)</f>
        <v>80823</v>
      </c>
      <c r="AW2">
        <f>SUMIF(RawData!$C:$C,$A2,RawData!BA:BA)</f>
        <v>80860</v>
      </c>
      <c r="AX2">
        <f>SUMIF(RawData!$C:$C,$A2,RawData!BB:BB)</f>
        <v>80887</v>
      </c>
      <c r="AY2">
        <f>SUMIF(RawData!$C:$C,$A2,RawData!BC:BC)</f>
        <v>80921</v>
      </c>
      <c r="AZ2">
        <f>SUMIF(RawData!$C:$C,$A2,RawData!BD:BD)</f>
        <v>80932</v>
      </c>
      <c r="BA2">
        <f>SUMIF(RawData!$C:$C,$A2,RawData!BE:BE)</f>
        <v>80945</v>
      </c>
      <c r="BB2">
        <f>SUMIF(RawData!$C:$C,$A2,RawData!BF:BF)</f>
        <v>80977</v>
      </c>
      <c r="BC2">
        <f>SUMIF(RawData!$C:$C,$A2,RawData!BG:BG)</f>
        <v>81003</v>
      </c>
      <c r="BD2">
        <f>SUMIF(RawData!$C:$C,$A2,RawData!BH:BH)</f>
        <v>0</v>
      </c>
      <c r="BE2">
        <f>SUMIF(RawData!$C:$C,$A2,RawData!BI:BI)</f>
        <v>0</v>
      </c>
      <c r="BF2">
        <f>SUMIF(RawData!$C:$C,$A2,RawData!BJ:BJ)</f>
        <v>0</v>
      </c>
      <c r="BG2">
        <f>SUMIF(RawData!$C:$C,$A2,RawData!BK:BK)</f>
        <v>0</v>
      </c>
      <c r="BH2">
        <f>SUMIF(RawData!$C:$C,$A2,RawData!BL:BL)</f>
        <v>0</v>
      </c>
      <c r="BI2">
        <f>SUMIF(RawData!$C:$C,$A2,RawData!BM:BM)</f>
        <v>0</v>
      </c>
      <c r="BJ2">
        <f>SUMIF(RawData!$C:$C,$A2,RawData!BN:BN)</f>
        <v>0</v>
      </c>
      <c r="BK2">
        <f>SUMIF(RawData!$C:$C,$A2,RawData!BO:BO)</f>
        <v>0</v>
      </c>
      <c r="BL2">
        <f>SUMIF(RawData!$C:$C,$A2,RawData!BP:BP)</f>
        <v>0</v>
      </c>
      <c r="BM2">
        <f>SUMIF(RawData!$C:$C,$A2,RawData!BQ:BQ)</f>
        <v>0</v>
      </c>
      <c r="BN2">
        <f>SUMIF(RawData!$C:$C,$A2,RawData!BR:BR)</f>
        <v>0</v>
      </c>
      <c r="BO2">
        <f>SUMIF(RawData!$C:$C,$A2,RawData!BS:BS)</f>
        <v>0</v>
      </c>
      <c r="BP2">
        <f>SUMIF(RawData!$C:$C,$A2,RawData!BT:BT)</f>
        <v>0</v>
      </c>
      <c r="BQ2">
        <f>SUMIF(RawData!$C:$C,$A2,RawData!BU:BU)</f>
        <v>0</v>
      </c>
      <c r="BR2">
        <f>SUMIF(RawData!$C:$C,$A2,RawData!BV:BV)</f>
        <v>0</v>
      </c>
      <c r="BS2">
        <f>SUMIF(RawData!$C:$C,$A2,RawData!BW:BW)</f>
        <v>0</v>
      </c>
      <c r="BT2">
        <f>SUMIF(RawData!$C:$C,$A2,RawData!BX:BX)</f>
        <v>0</v>
      </c>
    </row>
    <row r="3" spans="1:72" ht="15" thickBot="1" x14ac:dyDescent="0.35">
      <c r="A3" s="4" t="s">
        <v>85</v>
      </c>
      <c r="B3">
        <f>SUMIF(RawData!$C:$C,$A3,RawData!F:F)</f>
        <v>0</v>
      </c>
      <c r="C3">
        <f>SUMIF(RawData!$C:$C,$A3,RawData!G:G)</f>
        <v>0</v>
      </c>
      <c r="D3">
        <f>SUMIF(RawData!$C:$C,$A3,RawData!H:H)</f>
        <v>0</v>
      </c>
      <c r="E3">
        <f>SUMIF(RawData!$C:$C,$A3,RawData!I:I)</f>
        <v>0</v>
      </c>
      <c r="F3">
        <f>SUMIF(RawData!$C:$C,$A3,RawData!J:J)</f>
        <v>0</v>
      </c>
      <c r="G3">
        <f>SUMIF(RawData!$C:$C,$A3,RawData!K:K)</f>
        <v>0</v>
      </c>
      <c r="H3">
        <f>SUMIF(RawData!$C:$C,$A3,RawData!L:L)</f>
        <v>0</v>
      </c>
      <c r="I3">
        <f>SUMIF(RawData!$C:$C,$A3,RawData!M:M)</f>
        <v>0</v>
      </c>
      <c r="J3">
        <f>SUMIF(RawData!$C:$C,$A3,RawData!N:N)</f>
        <v>0</v>
      </c>
      <c r="K3">
        <f>SUMIF(RawData!$C:$C,$A3,RawData!O:O)</f>
        <v>2</v>
      </c>
      <c r="L3">
        <f>SUMIF(RawData!$C:$C,$A3,RawData!P:P)</f>
        <v>2</v>
      </c>
      <c r="M3">
        <f>SUMIF(RawData!$C:$C,$A3,RawData!Q:Q)</f>
        <v>2</v>
      </c>
      <c r="N3">
        <f>SUMIF(RawData!$C:$C,$A3,RawData!R:R)</f>
        <v>2</v>
      </c>
      <c r="O3">
        <f>SUMIF(RawData!$C:$C,$A3,RawData!S:S)</f>
        <v>2</v>
      </c>
      <c r="P3">
        <f>SUMIF(RawData!$C:$C,$A3,RawData!T:T)</f>
        <v>2</v>
      </c>
      <c r="Q3">
        <f>SUMIF(RawData!$C:$C,$A3,RawData!U:U)</f>
        <v>2</v>
      </c>
      <c r="R3">
        <f>SUMIF(RawData!$C:$C,$A3,RawData!V:V)</f>
        <v>3</v>
      </c>
      <c r="S3">
        <f>SUMIF(RawData!$C:$C,$A3,RawData!W:W)</f>
        <v>3</v>
      </c>
      <c r="T3">
        <f>SUMIF(RawData!$C:$C,$A3,RawData!X:X)</f>
        <v>3</v>
      </c>
      <c r="U3">
        <f>SUMIF(RawData!$C:$C,$A3,RawData!Y:Y)</f>
        <v>3</v>
      </c>
      <c r="V3">
        <f>SUMIF(RawData!$C:$C,$A3,RawData!Z:Z)</f>
        <v>3</v>
      </c>
      <c r="W3">
        <f>SUMIF(RawData!$C:$C,$A3,RawData!AA:AA)</f>
        <v>3</v>
      </c>
      <c r="X3">
        <f>SUMIF(RawData!$C:$C,$A3,RawData!AB:AB)</f>
        <v>3</v>
      </c>
      <c r="Y3">
        <f>SUMIF(RawData!$C:$C,$A3,RawData!AC:AC)</f>
        <v>3</v>
      </c>
      <c r="Z3">
        <f>SUMIF(RawData!$C:$C,$A3,RawData!AD:AD)</f>
        <v>3</v>
      </c>
      <c r="AA3">
        <f>SUMIF(RawData!$C:$C,$A3,RawData!AE:AE)</f>
        <v>3</v>
      </c>
      <c r="AB3">
        <f>SUMIF(RawData!$C:$C,$A3,RawData!AF:AF)</f>
        <v>3</v>
      </c>
      <c r="AC3">
        <f>SUMIF(RawData!$C:$C,$A3,RawData!AG:AG)</f>
        <v>3</v>
      </c>
      <c r="AD3">
        <f>SUMIF(RawData!$C:$C,$A3,RawData!AH:AH)</f>
        <v>3</v>
      </c>
      <c r="AE3">
        <f>SUMIF(RawData!$C:$C,$A3,RawData!AI:AI)</f>
        <v>3</v>
      </c>
      <c r="AF3">
        <f>SUMIF(RawData!$C:$C,$A3,RawData!AJ:AJ)</f>
        <v>20</v>
      </c>
      <c r="AG3">
        <f>SUMIF(RawData!$C:$C,$A3,RawData!AK:AK)</f>
        <v>62</v>
      </c>
      <c r="AH3">
        <f>SUMIF(RawData!$C:$C,$A3,RawData!AL:AL)</f>
        <v>155</v>
      </c>
      <c r="AI3">
        <f>SUMIF(RawData!$C:$C,$A3,RawData!AM:AM)</f>
        <v>229</v>
      </c>
      <c r="AJ3">
        <f>SUMIF(RawData!$C:$C,$A3,RawData!AN:AN)</f>
        <v>322</v>
      </c>
      <c r="AK3">
        <f>SUMIF(RawData!$C:$C,$A3,RawData!AO:AO)</f>
        <v>453</v>
      </c>
      <c r="AL3">
        <f>SUMIF(RawData!$C:$C,$A3,RawData!AP:AP)</f>
        <v>655</v>
      </c>
      <c r="AM3">
        <f>SUMIF(RawData!$C:$C,$A3,RawData!AQ:AQ)</f>
        <v>888</v>
      </c>
      <c r="AN3">
        <f>SUMIF(RawData!$C:$C,$A3,RawData!AR:AR)</f>
        <v>1128</v>
      </c>
      <c r="AO3">
        <f>SUMIF(RawData!$C:$C,$A3,RawData!AS:AS)</f>
        <v>1694</v>
      </c>
      <c r="AP3">
        <f>SUMIF(RawData!$C:$C,$A3,RawData!AT:AT)</f>
        <v>2036</v>
      </c>
      <c r="AQ3">
        <f>SUMIF(RawData!$C:$C,$A3,RawData!AU:AU)</f>
        <v>2502</v>
      </c>
      <c r="AR3">
        <f>SUMIF(RawData!$C:$C,$A3,RawData!AV:AV)</f>
        <v>3089</v>
      </c>
      <c r="AS3">
        <f>SUMIF(RawData!$C:$C,$A3,RawData!AW:AW)</f>
        <v>3858</v>
      </c>
      <c r="AT3">
        <f>SUMIF(RawData!$C:$C,$A3,RawData!AX:AX)</f>
        <v>4636</v>
      </c>
      <c r="AU3">
        <f>SUMIF(RawData!$C:$C,$A3,RawData!AY:AY)</f>
        <v>5883</v>
      </c>
      <c r="AV3">
        <f>SUMIF(RawData!$C:$C,$A3,RawData!AZ:AZ)</f>
        <v>7375</v>
      </c>
      <c r="AW3">
        <f>SUMIF(RawData!$C:$C,$A3,RawData!BA:BA)</f>
        <v>9172</v>
      </c>
      <c r="AX3">
        <f>SUMIF(RawData!$C:$C,$A3,RawData!BB:BB)</f>
        <v>10149</v>
      </c>
      <c r="AY3">
        <f>SUMIF(RawData!$C:$C,$A3,RawData!BC:BC)</f>
        <v>12462</v>
      </c>
      <c r="AZ3">
        <f>SUMIF(RawData!$C:$C,$A3,RawData!BD:BD)</f>
        <v>12462</v>
      </c>
      <c r="BA3">
        <f>SUMIF(RawData!$C:$C,$A3,RawData!BE:BE)</f>
        <v>17660</v>
      </c>
      <c r="BB3">
        <f>SUMIF(RawData!$C:$C,$A3,RawData!BF:BF)</f>
        <v>21157</v>
      </c>
      <c r="BC3">
        <f>SUMIF(RawData!$C:$C,$A3,RawData!BG:BG)</f>
        <v>24747</v>
      </c>
      <c r="BD3">
        <f>SUMIF(RawData!$C:$C,$A3,RawData!BH:BH)</f>
        <v>0</v>
      </c>
      <c r="BE3">
        <f>SUMIF(RawData!$C:$C,$A3,RawData!BI:BI)</f>
        <v>0</v>
      </c>
      <c r="BF3">
        <f>SUMIF(RawData!$C:$C,$A3,RawData!BJ:BJ)</f>
        <v>0</v>
      </c>
      <c r="BG3">
        <f>SUMIF(RawData!$C:$C,$A3,RawData!BK:BK)</f>
        <v>0</v>
      </c>
      <c r="BH3">
        <f>SUMIF(RawData!$C:$C,$A3,RawData!BL:BL)</f>
        <v>0</v>
      </c>
      <c r="BI3">
        <f>SUMIF(RawData!$C:$C,$A3,RawData!BM:BM)</f>
        <v>0</v>
      </c>
      <c r="BJ3">
        <f>SUMIF(RawData!$C:$C,$A3,RawData!BN:BN)</f>
        <v>0</v>
      </c>
      <c r="BK3">
        <f>SUMIF(RawData!$C:$C,$A3,RawData!BO:BO)</f>
        <v>0</v>
      </c>
      <c r="BL3">
        <f>SUMIF(RawData!$C:$C,$A3,RawData!BP:BP)</f>
        <v>0</v>
      </c>
      <c r="BM3">
        <f>SUMIF(RawData!$C:$C,$A3,RawData!BQ:BQ)</f>
        <v>0</v>
      </c>
      <c r="BN3">
        <f>SUMIF(RawData!$C:$C,$A3,RawData!BR:BR)</f>
        <v>0</v>
      </c>
      <c r="BO3">
        <f>SUMIF(RawData!$C:$C,$A3,RawData!BS:BS)</f>
        <v>0</v>
      </c>
      <c r="BP3">
        <f>SUMIF(RawData!$C:$C,$A3,RawData!BT:BT)</f>
        <v>0</v>
      </c>
      <c r="BQ3">
        <f>SUMIF(RawData!$C:$C,$A3,RawData!BU:BU)</f>
        <v>0</v>
      </c>
      <c r="BR3">
        <f>SUMIF(RawData!$C:$C,$A3,RawData!BV:BV)</f>
        <v>0</v>
      </c>
      <c r="BS3">
        <f>SUMIF(RawData!$C:$C,$A3,RawData!BW:BW)</f>
        <v>0</v>
      </c>
      <c r="BT3">
        <f>SUMIF(RawData!$C:$C,$A3,RawData!BX:BX)</f>
        <v>0</v>
      </c>
    </row>
    <row r="4" spans="1:72" ht="15" thickBot="1" x14ac:dyDescent="0.35">
      <c r="A4" s="5" t="s">
        <v>366</v>
      </c>
      <c r="B4">
        <f>SUMIF(RawData!$C:$C,$A4,RawData!F:F)</f>
        <v>0</v>
      </c>
      <c r="C4">
        <f>SUMIF(RawData!$C:$C,$A4,RawData!G:G)</f>
        <v>0</v>
      </c>
      <c r="D4">
        <f>SUMIF(RawData!$C:$C,$A4,RawData!H:H)</f>
        <v>0</v>
      </c>
      <c r="E4">
        <f>SUMIF(RawData!$C:$C,$A4,RawData!I:I)</f>
        <v>0</v>
      </c>
      <c r="F4">
        <f>SUMIF(RawData!$C:$C,$A4,RawData!J:J)</f>
        <v>0</v>
      </c>
      <c r="G4">
        <f>SUMIF(RawData!$C:$C,$A4,RawData!K:K)</f>
        <v>0</v>
      </c>
      <c r="H4">
        <f>SUMIF(RawData!$C:$C,$A4,RawData!L:L)</f>
        <v>0</v>
      </c>
      <c r="I4">
        <f>SUMIF(RawData!$C:$C,$A4,RawData!M:M)</f>
        <v>0</v>
      </c>
      <c r="J4">
        <f>SUMIF(RawData!$C:$C,$A4,RawData!N:N)</f>
        <v>0</v>
      </c>
      <c r="K4">
        <f>SUMIF(RawData!$C:$C,$A4,RawData!O:O)</f>
        <v>0</v>
      </c>
      <c r="L4">
        <f>SUMIF(RawData!$C:$C,$A4,RawData!P:P)</f>
        <v>0</v>
      </c>
      <c r="M4">
        <f>SUMIF(RawData!$C:$C,$A4,RawData!Q:Q)</f>
        <v>0</v>
      </c>
      <c r="N4">
        <f>SUMIF(RawData!$C:$C,$A4,RawData!R:R)</f>
        <v>0</v>
      </c>
      <c r="O4">
        <f>SUMIF(RawData!$C:$C,$A4,RawData!S:S)</f>
        <v>0</v>
      </c>
      <c r="P4">
        <f>SUMIF(RawData!$C:$C,$A4,RawData!T:T)</f>
        <v>0</v>
      </c>
      <c r="Q4">
        <f>SUMIF(RawData!$C:$C,$A4,RawData!U:U)</f>
        <v>0</v>
      </c>
      <c r="R4">
        <f>SUMIF(RawData!$C:$C,$A4,RawData!V:V)</f>
        <v>0</v>
      </c>
      <c r="S4">
        <f>SUMIF(RawData!$C:$C,$A4,RawData!W:W)</f>
        <v>0</v>
      </c>
      <c r="T4">
        <f>SUMIF(RawData!$C:$C,$A4,RawData!X:X)</f>
        <v>0</v>
      </c>
      <c r="U4">
        <f>SUMIF(RawData!$C:$C,$A4,RawData!Y:Y)</f>
        <v>0</v>
      </c>
      <c r="V4">
        <f>SUMIF(RawData!$C:$C,$A4,RawData!Z:Z)</f>
        <v>0</v>
      </c>
      <c r="W4">
        <f>SUMIF(RawData!$C:$C,$A4,RawData!AA:AA)</f>
        <v>0</v>
      </c>
      <c r="X4">
        <f>SUMIF(RawData!$C:$C,$A4,RawData!AB:AB)</f>
        <v>0</v>
      </c>
      <c r="Y4">
        <f>SUMIF(RawData!$C:$C,$A4,RawData!AC:AC)</f>
        <v>0</v>
      </c>
      <c r="Z4">
        <f>SUMIF(RawData!$C:$C,$A4,RawData!AD:AD)</f>
        <v>0</v>
      </c>
      <c r="AA4">
        <f>SUMIF(RawData!$C:$C,$A4,RawData!AE:AE)</f>
        <v>0</v>
      </c>
      <c r="AB4">
        <f>SUMIF(RawData!$C:$C,$A4,RawData!AF:AF)</f>
        <v>0</v>
      </c>
      <c r="AC4">
        <f>SUMIF(RawData!$C:$C,$A4,RawData!AG:AG)</f>
        <v>0</v>
      </c>
      <c r="AD4">
        <f>SUMIF(RawData!$C:$C,$A4,RawData!AH:AH)</f>
        <v>2</v>
      </c>
      <c r="AE4">
        <f>SUMIF(RawData!$C:$C,$A4,RawData!AI:AI)</f>
        <v>5</v>
      </c>
      <c r="AF4">
        <f>SUMIF(RawData!$C:$C,$A4,RawData!AJ:AJ)</f>
        <v>18</v>
      </c>
      <c r="AG4">
        <f>SUMIF(RawData!$C:$C,$A4,RawData!AK:AK)</f>
        <v>28</v>
      </c>
      <c r="AH4">
        <f>SUMIF(RawData!$C:$C,$A4,RawData!AL:AL)</f>
        <v>43</v>
      </c>
      <c r="AI4">
        <f>SUMIF(RawData!$C:$C,$A4,RawData!AM:AM)</f>
        <v>61</v>
      </c>
      <c r="AJ4">
        <f>SUMIF(RawData!$C:$C,$A4,RawData!AN:AN)</f>
        <v>95</v>
      </c>
      <c r="AK4">
        <f>SUMIF(RawData!$C:$C,$A4,RawData!AO:AO)</f>
        <v>139</v>
      </c>
      <c r="AL4">
        <f>SUMIF(RawData!$C:$C,$A4,RawData!AP:AP)</f>
        <v>245</v>
      </c>
      <c r="AM4">
        <f>SUMIF(RawData!$C:$C,$A4,RawData!AQ:AQ)</f>
        <v>388</v>
      </c>
      <c r="AN4">
        <f>SUMIF(RawData!$C:$C,$A4,RawData!AR:AR)</f>
        <v>593</v>
      </c>
      <c r="AO4">
        <f>SUMIF(RawData!$C:$C,$A4,RawData!AS:AS)</f>
        <v>978</v>
      </c>
      <c r="AP4">
        <f>SUMIF(RawData!$C:$C,$A4,RawData!AT:AT)</f>
        <v>1501</v>
      </c>
      <c r="AQ4">
        <f>SUMIF(RawData!$C:$C,$A4,RawData!AU:AU)</f>
        <v>2336</v>
      </c>
      <c r="AR4">
        <f>SUMIF(RawData!$C:$C,$A4,RawData!AV:AV)</f>
        <v>2922</v>
      </c>
      <c r="AS4">
        <f>SUMIF(RawData!$C:$C,$A4,RawData!AW:AW)</f>
        <v>3513</v>
      </c>
      <c r="AT4">
        <f>SUMIF(RawData!$C:$C,$A4,RawData!AX:AX)</f>
        <v>4747</v>
      </c>
      <c r="AU4">
        <f>SUMIF(RawData!$C:$C,$A4,RawData!AY:AY)</f>
        <v>5823</v>
      </c>
      <c r="AV4">
        <f>SUMIF(RawData!$C:$C,$A4,RawData!AZ:AZ)</f>
        <v>6566</v>
      </c>
      <c r="AW4">
        <f>SUMIF(RawData!$C:$C,$A4,RawData!BA:BA)</f>
        <v>7161</v>
      </c>
      <c r="AX4">
        <f>SUMIF(RawData!$C:$C,$A4,RawData!BB:BB)</f>
        <v>8042</v>
      </c>
      <c r="AY4">
        <f>SUMIF(RawData!$C:$C,$A4,RawData!BC:BC)</f>
        <v>9000</v>
      </c>
      <c r="AZ4">
        <f>SUMIF(RawData!$C:$C,$A4,RawData!BD:BD)</f>
        <v>10075</v>
      </c>
      <c r="BA4">
        <f>SUMIF(RawData!$C:$C,$A4,RawData!BE:BE)</f>
        <v>11364</v>
      </c>
      <c r="BB4">
        <f>SUMIF(RawData!$C:$C,$A4,RawData!BF:BF)</f>
        <v>12729</v>
      </c>
      <c r="BC4">
        <f>SUMIF(RawData!$C:$C,$A4,RawData!BG:BG)</f>
        <v>13938</v>
      </c>
      <c r="BD4">
        <f>SUMIF(RawData!$C:$C,$A4,RawData!BH:BH)</f>
        <v>0</v>
      </c>
      <c r="BE4">
        <f>SUMIF(RawData!$C:$C,$A4,RawData!BI:BI)</f>
        <v>0</v>
      </c>
      <c r="BF4">
        <f>SUMIF(RawData!$C:$C,$A4,RawData!BJ:BJ)</f>
        <v>0</v>
      </c>
      <c r="BG4">
        <f>SUMIF(RawData!$C:$C,$A4,RawData!BK:BK)</f>
        <v>0</v>
      </c>
      <c r="BH4">
        <f>SUMIF(RawData!$C:$C,$A4,RawData!BL:BL)</f>
        <v>0</v>
      </c>
      <c r="BI4">
        <f>SUMIF(RawData!$C:$C,$A4,RawData!BM:BM)</f>
        <v>0</v>
      </c>
      <c r="BJ4">
        <f>SUMIF(RawData!$C:$C,$A4,RawData!BN:BN)</f>
        <v>0</v>
      </c>
      <c r="BK4">
        <f>SUMIF(RawData!$C:$C,$A4,RawData!BO:BO)</f>
        <v>0</v>
      </c>
      <c r="BL4">
        <f>SUMIF(RawData!$C:$C,$A4,RawData!BP:BP)</f>
        <v>0</v>
      </c>
      <c r="BM4">
        <f>SUMIF(RawData!$C:$C,$A4,RawData!BQ:BQ)</f>
        <v>0</v>
      </c>
      <c r="BN4">
        <f>SUMIF(RawData!$C:$C,$A4,RawData!BR:BR)</f>
        <v>0</v>
      </c>
      <c r="BO4">
        <f>SUMIF(RawData!$C:$C,$A4,RawData!BS:BS)</f>
        <v>0</v>
      </c>
      <c r="BP4">
        <f>SUMIF(RawData!$C:$C,$A4,RawData!BT:BT)</f>
        <v>0</v>
      </c>
      <c r="BQ4">
        <f>SUMIF(RawData!$C:$C,$A4,RawData!BU:BU)</f>
        <v>0</v>
      </c>
      <c r="BR4">
        <f>SUMIF(RawData!$C:$C,$A4,RawData!BV:BV)</f>
        <v>0</v>
      </c>
      <c r="BS4">
        <f>SUMIF(RawData!$C:$C,$A4,RawData!BW:BW)</f>
        <v>0</v>
      </c>
      <c r="BT4">
        <f>SUMIF(RawData!$C:$C,$A4,RawData!BX:BX)</f>
        <v>0</v>
      </c>
    </row>
    <row r="5" spans="1:72" ht="15" thickBot="1" x14ac:dyDescent="0.35">
      <c r="A5" s="4" t="s">
        <v>367</v>
      </c>
      <c r="B5">
        <f>SUMIF(RawData!$C:$C,$A5,RawData!F:F)</f>
        <v>1</v>
      </c>
      <c r="C5">
        <f>SUMIF(RawData!$C:$C,$A5,RawData!G:G)</f>
        <v>1</v>
      </c>
      <c r="D5">
        <f>SUMIF(RawData!$C:$C,$A5,RawData!H:H)</f>
        <v>2</v>
      </c>
      <c r="E5">
        <f>SUMIF(RawData!$C:$C,$A5,RawData!I:I)</f>
        <v>2</v>
      </c>
      <c r="F5">
        <f>SUMIF(RawData!$C:$C,$A5,RawData!J:J)</f>
        <v>3</v>
      </c>
      <c r="G5">
        <f>SUMIF(RawData!$C:$C,$A5,RawData!K:K)</f>
        <v>4</v>
      </c>
      <c r="H5">
        <f>SUMIF(RawData!$C:$C,$A5,RawData!L:L)</f>
        <v>4</v>
      </c>
      <c r="I5">
        <f>SUMIF(RawData!$C:$C,$A5,RawData!M:M)</f>
        <v>4</v>
      </c>
      <c r="J5">
        <f>SUMIF(RawData!$C:$C,$A5,RawData!N:N)</f>
        <v>4</v>
      </c>
      <c r="K5">
        <f>SUMIF(RawData!$C:$C,$A5,RawData!O:O)</f>
        <v>11</v>
      </c>
      <c r="L5">
        <f>SUMIF(RawData!$C:$C,$A5,RawData!P:P)</f>
        <v>12</v>
      </c>
      <c r="M5">
        <f>SUMIF(RawData!$C:$C,$A5,RawData!Q:Q)</f>
        <v>15</v>
      </c>
      <c r="N5">
        <f>SUMIF(RawData!$C:$C,$A5,RawData!R:R)</f>
        <v>15</v>
      </c>
      <c r="O5">
        <f>SUMIF(RawData!$C:$C,$A5,RawData!S:S)</f>
        <v>16</v>
      </c>
      <c r="P5">
        <f>SUMIF(RawData!$C:$C,$A5,RawData!T:T)</f>
        <v>19</v>
      </c>
      <c r="Q5">
        <f>SUMIF(RawData!$C:$C,$A5,RawData!U:U)</f>
        <v>23</v>
      </c>
      <c r="R5">
        <f>SUMIF(RawData!$C:$C,$A5,RawData!V:V)</f>
        <v>24</v>
      </c>
      <c r="S5">
        <f>SUMIF(RawData!$C:$C,$A5,RawData!W:W)</f>
        <v>24</v>
      </c>
      <c r="T5">
        <f>SUMIF(RawData!$C:$C,$A5,RawData!X:X)</f>
        <v>25</v>
      </c>
      <c r="U5">
        <f>SUMIF(RawData!$C:$C,$A5,RawData!Y:Y)</f>
        <v>27</v>
      </c>
      <c r="V5">
        <f>SUMIF(RawData!$C:$C,$A5,RawData!Z:Z)</f>
        <v>28</v>
      </c>
      <c r="W5">
        <f>SUMIF(RawData!$C:$C,$A5,RawData!AA:AA)</f>
        <v>28</v>
      </c>
      <c r="X5">
        <f>SUMIF(RawData!$C:$C,$A5,RawData!AB:AB)</f>
        <v>28</v>
      </c>
      <c r="Y5">
        <f>SUMIF(RawData!$C:$C,$A5,RawData!AC:AC)</f>
        <v>28</v>
      </c>
      <c r="Z5">
        <f>SUMIF(RawData!$C:$C,$A5,RawData!AD:AD)</f>
        <v>28</v>
      </c>
      <c r="AA5">
        <f>SUMIF(RawData!$C:$C,$A5,RawData!AE:AE)</f>
        <v>29</v>
      </c>
      <c r="AB5">
        <f>SUMIF(RawData!$C:$C,$A5,RawData!AF:AF)</f>
        <v>30</v>
      </c>
      <c r="AC5">
        <f>SUMIF(RawData!$C:$C,$A5,RawData!AG:AG)</f>
        <v>31</v>
      </c>
      <c r="AD5">
        <f>SUMIF(RawData!$C:$C,$A5,RawData!AH:AH)</f>
        <v>31</v>
      </c>
      <c r="AE5">
        <f>SUMIF(RawData!$C:$C,$A5,RawData!AI:AI)</f>
        <v>104</v>
      </c>
      <c r="AF5">
        <f>SUMIF(RawData!$C:$C,$A5,RawData!AJ:AJ)</f>
        <v>204</v>
      </c>
      <c r="AG5">
        <f>SUMIF(RawData!$C:$C,$A5,RawData!AK:AK)</f>
        <v>433</v>
      </c>
      <c r="AH5">
        <f>SUMIF(RawData!$C:$C,$A5,RawData!AL:AL)</f>
        <v>602</v>
      </c>
      <c r="AI5">
        <f>SUMIF(RawData!$C:$C,$A5,RawData!AM:AM)</f>
        <v>833</v>
      </c>
      <c r="AJ5">
        <f>SUMIF(RawData!$C:$C,$A5,RawData!AN:AN)</f>
        <v>977</v>
      </c>
      <c r="AK5">
        <f>SUMIF(RawData!$C:$C,$A5,RawData!AO:AO)</f>
        <v>1261</v>
      </c>
      <c r="AL5">
        <f>SUMIF(RawData!$C:$C,$A5,RawData!AP:AP)</f>
        <v>1766</v>
      </c>
      <c r="AM5">
        <f>SUMIF(RawData!$C:$C,$A5,RawData!AQ:AQ)</f>
        <v>2337</v>
      </c>
      <c r="AN5">
        <f>SUMIF(RawData!$C:$C,$A5,RawData!AR:AR)</f>
        <v>3150</v>
      </c>
      <c r="AO5">
        <f>SUMIF(RawData!$C:$C,$A5,RawData!AS:AS)</f>
        <v>3736</v>
      </c>
      <c r="AP5">
        <f>SUMIF(RawData!$C:$C,$A5,RawData!AT:AT)</f>
        <v>4335</v>
      </c>
      <c r="AQ5">
        <f>SUMIF(RawData!$C:$C,$A5,RawData!AU:AU)</f>
        <v>5186</v>
      </c>
      <c r="AR5">
        <f>SUMIF(RawData!$C:$C,$A5,RawData!AV:AV)</f>
        <v>5621</v>
      </c>
      <c r="AS5">
        <f>SUMIF(RawData!$C:$C,$A5,RawData!AW:AW)</f>
        <v>6088</v>
      </c>
      <c r="AT5">
        <f>SUMIF(RawData!$C:$C,$A5,RawData!AX:AX)</f>
        <v>6593</v>
      </c>
      <c r="AU5">
        <f>SUMIF(RawData!$C:$C,$A5,RawData!AY:AY)</f>
        <v>7041</v>
      </c>
      <c r="AV5">
        <f>SUMIF(RawData!$C:$C,$A5,RawData!AZ:AZ)</f>
        <v>7314</v>
      </c>
      <c r="AW5">
        <f>SUMIF(RawData!$C:$C,$A5,RawData!BA:BA)</f>
        <v>7478</v>
      </c>
      <c r="AX5">
        <f>SUMIF(RawData!$C:$C,$A5,RawData!BB:BB)</f>
        <v>7513</v>
      </c>
      <c r="AY5">
        <f>SUMIF(RawData!$C:$C,$A5,RawData!BC:BC)</f>
        <v>7755</v>
      </c>
      <c r="AZ5">
        <f>SUMIF(RawData!$C:$C,$A5,RawData!BD:BD)</f>
        <v>7869</v>
      </c>
      <c r="BA5">
        <f>SUMIF(RawData!$C:$C,$A5,RawData!BE:BE)</f>
        <v>7979</v>
      </c>
      <c r="BB5">
        <f>SUMIF(RawData!$C:$C,$A5,RawData!BF:BF)</f>
        <v>8086</v>
      </c>
      <c r="BC5">
        <f>SUMIF(RawData!$C:$C,$A5,RawData!BG:BG)</f>
        <v>8162</v>
      </c>
      <c r="BD5">
        <f>SUMIF(RawData!$C:$C,$A5,RawData!BH:BH)</f>
        <v>0</v>
      </c>
      <c r="BE5">
        <f>SUMIF(RawData!$C:$C,$A5,RawData!BI:BI)</f>
        <v>0</v>
      </c>
      <c r="BF5">
        <f>SUMIF(RawData!$C:$C,$A5,RawData!BJ:BJ)</f>
        <v>0</v>
      </c>
      <c r="BG5">
        <f>SUMIF(RawData!$C:$C,$A5,RawData!BK:BK)</f>
        <v>0</v>
      </c>
      <c r="BH5">
        <f>SUMIF(RawData!$C:$C,$A5,RawData!BL:BL)</f>
        <v>0</v>
      </c>
      <c r="BI5">
        <f>SUMIF(RawData!$C:$C,$A5,RawData!BM:BM)</f>
        <v>0</v>
      </c>
      <c r="BJ5">
        <f>SUMIF(RawData!$C:$C,$A5,RawData!BN:BN)</f>
        <v>0</v>
      </c>
      <c r="BK5">
        <f>SUMIF(RawData!$C:$C,$A5,RawData!BO:BO)</f>
        <v>0</v>
      </c>
      <c r="BL5">
        <f>SUMIF(RawData!$C:$C,$A5,RawData!BP:BP)</f>
        <v>0</v>
      </c>
      <c r="BM5">
        <f>SUMIF(RawData!$C:$C,$A5,RawData!BQ:BQ)</f>
        <v>0</v>
      </c>
      <c r="BN5">
        <f>SUMIF(RawData!$C:$C,$A5,RawData!BR:BR)</f>
        <v>0</v>
      </c>
      <c r="BO5">
        <f>SUMIF(RawData!$C:$C,$A5,RawData!BS:BS)</f>
        <v>0</v>
      </c>
      <c r="BP5">
        <f>SUMIF(RawData!$C:$C,$A5,RawData!BT:BT)</f>
        <v>0</v>
      </c>
      <c r="BQ5">
        <f>SUMIF(RawData!$C:$C,$A5,RawData!BU:BU)</f>
        <v>0</v>
      </c>
      <c r="BR5">
        <f>SUMIF(RawData!$C:$C,$A5,RawData!BV:BV)</f>
        <v>0</v>
      </c>
      <c r="BS5">
        <f>SUMIF(RawData!$C:$C,$A5,RawData!BW:BW)</f>
        <v>0</v>
      </c>
      <c r="BT5">
        <f>SUMIF(RawData!$C:$C,$A5,RawData!BX:BX)</f>
        <v>0</v>
      </c>
    </row>
    <row r="6" spans="1:72" ht="15" thickBot="1" x14ac:dyDescent="0.35">
      <c r="A6" s="4" t="s">
        <v>87</v>
      </c>
      <c r="B6">
        <f>SUMIF(RawData!$C:$C,$A6,RawData!F:F)</f>
        <v>0</v>
      </c>
      <c r="C6">
        <f>SUMIF(RawData!$C:$C,$A6,RawData!G:G)</f>
        <v>0</v>
      </c>
      <c r="D6">
        <f>SUMIF(RawData!$C:$C,$A6,RawData!H:H)</f>
        <v>0</v>
      </c>
      <c r="E6">
        <f>SUMIF(RawData!$C:$C,$A6,RawData!I:I)</f>
        <v>0</v>
      </c>
      <c r="F6">
        <f>SUMIF(RawData!$C:$C,$A6,RawData!J:J)</f>
        <v>0</v>
      </c>
      <c r="G6">
        <f>SUMIF(RawData!$C:$C,$A6,RawData!K:K)</f>
        <v>0</v>
      </c>
      <c r="H6">
        <f>SUMIF(RawData!$C:$C,$A6,RawData!L:L)</f>
        <v>0</v>
      </c>
      <c r="I6">
        <f>SUMIF(RawData!$C:$C,$A6,RawData!M:M)</f>
        <v>0</v>
      </c>
      <c r="J6">
        <f>SUMIF(RawData!$C:$C,$A6,RawData!N:N)</f>
        <v>0</v>
      </c>
      <c r="K6">
        <f>SUMIF(RawData!$C:$C,$A6,RawData!O:O)</f>
        <v>0</v>
      </c>
      <c r="L6">
        <f>SUMIF(RawData!$C:$C,$A6,RawData!P:P)</f>
        <v>1</v>
      </c>
      <c r="M6">
        <f>SUMIF(RawData!$C:$C,$A6,RawData!Q:Q)</f>
        <v>1</v>
      </c>
      <c r="N6">
        <f>SUMIF(RawData!$C:$C,$A6,RawData!R:R)</f>
        <v>1</v>
      </c>
      <c r="O6">
        <f>SUMIF(RawData!$C:$C,$A6,RawData!S:S)</f>
        <v>1</v>
      </c>
      <c r="P6">
        <f>SUMIF(RawData!$C:$C,$A6,RawData!T:T)</f>
        <v>1</v>
      </c>
      <c r="Q6">
        <f>SUMIF(RawData!$C:$C,$A6,RawData!U:U)</f>
        <v>1</v>
      </c>
      <c r="R6">
        <f>SUMIF(RawData!$C:$C,$A6,RawData!V:V)</f>
        <v>1</v>
      </c>
      <c r="S6">
        <f>SUMIF(RawData!$C:$C,$A6,RawData!W:W)</f>
        <v>1</v>
      </c>
      <c r="T6">
        <f>SUMIF(RawData!$C:$C,$A6,RawData!X:X)</f>
        <v>2</v>
      </c>
      <c r="U6">
        <f>SUMIF(RawData!$C:$C,$A6,RawData!Y:Y)</f>
        <v>2</v>
      </c>
      <c r="V6">
        <f>SUMIF(RawData!$C:$C,$A6,RawData!Z:Z)</f>
        <v>2</v>
      </c>
      <c r="W6">
        <f>SUMIF(RawData!$C:$C,$A6,RawData!AA:AA)</f>
        <v>2</v>
      </c>
      <c r="X6">
        <f>SUMIF(RawData!$C:$C,$A6,RawData!AB:AB)</f>
        <v>2</v>
      </c>
      <c r="Y6">
        <f>SUMIF(RawData!$C:$C,$A6,RawData!AC:AC)</f>
        <v>2</v>
      </c>
      <c r="Z6">
        <f>SUMIF(RawData!$C:$C,$A6,RawData!AD:AD)</f>
        <v>2</v>
      </c>
      <c r="AA6">
        <f>SUMIF(RawData!$C:$C,$A6,RawData!AE:AE)</f>
        <v>2</v>
      </c>
      <c r="AB6">
        <f>SUMIF(RawData!$C:$C,$A6,RawData!AF:AF)</f>
        <v>2</v>
      </c>
      <c r="AC6">
        <f>SUMIF(RawData!$C:$C,$A6,RawData!AG:AG)</f>
        <v>2</v>
      </c>
      <c r="AD6">
        <f>SUMIF(RawData!$C:$C,$A6,RawData!AH:AH)</f>
        <v>2</v>
      </c>
      <c r="AE6">
        <f>SUMIF(RawData!$C:$C,$A6,RawData!AI:AI)</f>
        <v>2</v>
      </c>
      <c r="AF6">
        <f>SUMIF(RawData!$C:$C,$A6,RawData!AJ:AJ)</f>
        <v>2</v>
      </c>
      <c r="AG6">
        <f>SUMIF(RawData!$C:$C,$A6,RawData!AK:AK)</f>
        <v>2</v>
      </c>
      <c r="AH6">
        <f>SUMIF(RawData!$C:$C,$A6,RawData!AL:AL)</f>
        <v>2</v>
      </c>
      <c r="AI6">
        <f>SUMIF(RawData!$C:$C,$A6,RawData!AM:AM)</f>
        <v>2</v>
      </c>
      <c r="AJ6">
        <f>SUMIF(RawData!$C:$C,$A6,RawData!AN:AN)</f>
        <v>6</v>
      </c>
      <c r="AK6">
        <f>SUMIF(RawData!$C:$C,$A6,RawData!AO:AO)</f>
        <v>13</v>
      </c>
      <c r="AL6">
        <f>SUMIF(RawData!$C:$C,$A6,RawData!AP:AP)</f>
        <v>15</v>
      </c>
      <c r="AM6">
        <f>SUMIF(RawData!$C:$C,$A6,RawData!AQ:AQ)</f>
        <v>32</v>
      </c>
      <c r="AN6">
        <f>SUMIF(RawData!$C:$C,$A6,RawData!AR:AR)</f>
        <v>45</v>
      </c>
      <c r="AO6">
        <f>SUMIF(RawData!$C:$C,$A6,RawData!AS:AS)</f>
        <v>84</v>
      </c>
      <c r="AP6">
        <f>SUMIF(RawData!$C:$C,$A6,RawData!AT:AT)</f>
        <v>120</v>
      </c>
      <c r="AQ6">
        <f>SUMIF(RawData!$C:$C,$A6,RawData!AU:AU)</f>
        <v>165</v>
      </c>
      <c r="AR6">
        <f>SUMIF(RawData!$C:$C,$A6,RawData!AV:AV)</f>
        <v>222</v>
      </c>
      <c r="AS6">
        <f>SUMIF(RawData!$C:$C,$A6,RawData!AW:AW)</f>
        <v>259</v>
      </c>
      <c r="AT6">
        <f>SUMIF(RawData!$C:$C,$A6,RawData!AX:AX)</f>
        <v>400</v>
      </c>
      <c r="AU6">
        <f>SUMIF(RawData!$C:$C,$A6,RawData!AY:AY)</f>
        <v>500</v>
      </c>
      <c r="AV6">
        <f>SUMIF(RawData!$C:$C,$A6,RawData!AZ:AZ)</f>
        <v>673</v>
      </c>
      <c r="AW6">
        <f>SUMIF(RawData!$C:$C,$A6,RawData!BA:BA)</f>
        <v>1073</v>
      </c>
      <c r="AX6">
        <f>SUMIF(RawData!$C:$C,$A6,RawData!BB:BB)</f>
        <v>1695</v>
      </c>
      <c r="AY6">
        <f>SUMIF(RawData!$C:$C,$A6,RawData!BC:BC)</f>
        <v>2277</v>
      </c>
      <c r="AZ6">
        <f>SUMIF(RawData!$C:$C,$A6,RawData!BD:BD)</f>
        <v>2277</v>
      </c>
      <c r="BA6">
        <f>SUMIF(RawData!$C:$C,$A6,RawData!BE:BE)</f>
        <v>5232</v>
      </c>
      <c r="BB6">
        <f>SUMIF(RawData!$C:$C,$A6,RawData!BF:BF)</f>
        <v>6391</v>
      </c>
      <c r="BC6">
        <f>SUMIF(RawData!$C:$C,$A6,RawData!BG:BG)</f>
        <v>7798</v>
      </c>
      <c r="BD6">
        <f>SUMIF(RawData!$C:$C,$A6,RawData!BH:BH)</f>
        <v>0</v>
      </c>
      <c r="BE6">
        <f>SUMIF(RawData!$C:$C,$A6,RawData!BI:BI)</f>
        <v>0</v>
      </c>
      <c r="BF6">
        <f>SUMIF(RawData!$C:$C,$A6,RawData!BJ:BJ)</f>
        <v>0</v>
      </c>
      <c r="BG6">
        <f>SUMIF(RawData!$C:$C,$A6,RawData!BK:BK)</f>
        <v>0</v>
      </c>
      <c r="BH6">
        <f>SUMIF(RawData!$C:$C,$A6,RawData!BL:BL)</f>
        <v>0</v>
      </c>
      <c r="BI6">
        <f>SUMIF(RawData!$C:$C,$A6,RawData!BM:BM)</f>
        <v>0</v>
      </c>
      <c r="BJ6">
        <f>SUMIF(RawData!$C:$C,$A6,RawData!BN:BN)</f>
        <v>0</v>
      </c>
      <c r="BK6">
        <f>SUMIF(RawData!$C:$C,$A6,RawData!BO:BO)</f>
        <v>0</v>
      </c>
      <c r="BL6">
        <f>SUMIF(RawData!$C:$C,$A6,RawData!BP:BP)</f>
        <v>0</v>
      </c>
      <c r="BM6">
        <f>SUMIF(RawData!$C:$C,$A6,RawData!BQ:BQ)</f>
        <v>0</v>
      </c>
      <c r="BN6">
        <f>SUMIF(RawData!$C:$C,$A6,RawData!BR:BR)</f>
        <v>0</v>
      </c>
      <c r="BO6">
        <f>SUMIF(RawData!$C:$C,$A6,RawData!BS:BS)</f>
        <v>0</v>
      </c>
      <c r="BP6">
        <f>SUMIF(RawData!$C:$C,$A6,RawData!BT:BT)</f>
        <v>0</v>
      </c>
      <c r="BQ6">
        <f>SUMIF(RawData!$C:$C,$A6,RawData!BU:BU)</f>
        <v>0</v>
      </c>
      <c r="BR6">
        <f>SUMIF(RawData!$C:$C,$A6,RawData!BV:BV)</f>
        <v>0</v>
      </c>
      <c r="BS6">
        <f>SUMIF(RawData!$C:$C,$A6,RawData!BW:BW)</f>
        <v>0</v>
      </c>
      <c r="BT6">
        <f>SUMIF(RawData!$C:$C,$A6,RawData!BX:BX)</f>
        <v>0</v>
      </c>
    </row>
    <row r="7" spans="1:72" ht="15" thickBot="1" x14ac:dyDescent="0.35">
      <c r="A7" s="5" t="s">
        <v>80</v>
      </c>
      <c r="B7">
        <f>SUMIF(RawData!$C:$C,$A7,RawData!F:F)</f>
        <v>0</v>
      </c>
      <c r="C7">
        <f>SUMIF(RawData!$C:$C,$A7,RawData!G:G)</f>
        <v>0</v>
      </c>
      <c r="D7">
        <f>SUMIF(RawData!$C:$C,$A7,RawData!H:H)</f>
        <v>0</v>
      </c>
      <c r="E7">
        <f>SUMIF(RawData!$C:$C,$A7,RawData!I:I)</f>
        <v>0</v>
      </c>
      <c r="F7">
        <f>SUMIF(RawData!$C:$C,$A7,RawData!J:J)</f>
        <v>0</v>
      </c>
      <c r="G7">
        <f>SUMIF(RawData!$C:$C,$A7,RawData!K:K)</f>
        <v>1</v>
      </c>
      <c r="H7">
        <f>SUMIF(RawData!$C:$C,$A7,RawData!L:L)</f>
        <v>4</v>
      </c>
      <c r="I7">
        <f>SUMIF(RawData!$C:$C,$A7,RawData!M:M)</f>
        <v>4</v>
      </c>
      <c r="J7">
        <f>SUMIF(RawData!$C:$C,$A7,RawData!N:N)</f>
        <v>4</v>
      </c>
      <c r="K7">
        <f>SUMIF(RawData!$C:$C,$A7,RawData!O:O)</f>
        <v>5</v>
      </c>
      <c r="L7">
        <f>SUMIF(RawData!$C:$C,$A7,RawData!P:P)</f>
        <v>8</v>
      </c>
      <c r="M7">
        <f>SUMIF(RawData!$C:$C,$A7,RawData!Q:Q)</f>
        <v>10</v>
      </c>
      <c r="N7">
        <f>SUMIF(RawData!$C:$C,$A7,RawData!R:R)</f>
        <v>12</v>
      </c>
      <c r="O7">
        <f>SUMIF(RawData!$C:$C,$A7,RawData!S:S)</f>
        <v>12</v>
      </c>
      <c r="P7">
        <f>SUMIF(RawData!$C:$C,$A7,RawData!T:T)</f>
        <v>12</v>
      </c>
      <c r="Q7">
        <f>SUMIF(RawData!$C:$C,$A7,RawData!U:U)</f>
        <v>12</v>
      </c>
      <c r="R7">
        <f>SUMIF(RawData!$C:$C,$A7,RawData!V:V)</f>
        <v>13</v>
      </c>
      <c r="S7">
        <f>SUMIF(RawData!$C:$C,$A7,RawData!W:W)</f>
        <v>13</v>
      </c>
      <c r="T7">
        <f>SUMIF(RawData!$C:$C,$A7,RawData!X:X)</f>
        <v>14</v>
      </c>
      <c r="U7">
        <f>SUMIF(RawData!$C:$C,$A7,RawData!Y:Y)</f>
        <v>14</v>
      </c>
      <c r="V7">
        <f>SUMIF(RawData!$C:$C,$A7,RawData!Z:Z)</f>
        <v>16</v>
      </c>
      <c r="W7">
        <f>SUMIF(RawData!$C:$C,$A7,RawData!AA:AA)</f>
        <v>16</v>
      </c>
      <c r="X7">
        <f>SUMIF(RawData!$C:$C,$A7,RawData!AB:AB)</f>
        <v>16</v>
      </c>
      <c r="Y7">
        <f>SUMIF(RawData!$C:$C,$A7,RawData!AC:AC)</f>
        <v>16</v>
      </c>
      <c r="Z7">
        <f>SUMIF(RawData!$C:$C,$A7,RawData!AD:AD)</f>
        <v>16</v>
      </c>
      <c r="AA7">
        <f>SUMIF(RawData!$C:$C,$A7,RawData!AE:AE)</f>
        <v>16</v>
      </c>
      <c r="AB7">
        <f>SUMIF(RawData!$C:$C,$A7,RawData!AF:AF)</f>
        <v>16</v>
      </c>
      <c r="AC7">
        <f>SUMIF(RawData!$C:$C,$A7,RawData!AG:AG)</f>
        <v>16</v>
      </c>
      <c r="AD7">
        <f>SUMIF(RawData!$C:$C,$A7,RawData!AH:AH)</f>
        <v>16</v>
      </c>
      <c r="AE7">
        <f>SUMIF(RawData!$C:$C,$A7,RawData!AI:AI)</f>
        <v>16</v>
      </c>
      <c r="AF7">
        <f>SUMIF(RawData!$C:$C,$A7,RawData!AJ:AJ)</f>
        <v>16</v>
      </c>
      <c r="AG7">
        <f>SUMIF(RawData!$C:$C,$A7,RawData!AK:AK)</f>
        <v>16</v>
      </c>
      <c r="AH7">
        <f>SUMIF(RawData!$C:$C,$A7,RawData!AL:AL)</f>
        <v>16</v>
      </c>
      <c r="AI7">
        <f>SUMIF(RawData!$C:$C,$A7,RawData!AM:AM)</f>
        <v>16</v>
      </c>
      <c r="AJ7">
        <f>SUMIF(RawData!$C:$C,$A7,RawData!AN:AN)</f>
        <v>17</v>
      </c>
      <c r="AK7">
        <f>SUMIF(RawData!$C:$C,$A7,RawData!AO:AO)</f>
        <v>27</v>
      </c>
      <c r="AL7">
        <f>SUMIF(RawData!$C:$C,$A7,RawData!AP:AP)</f>
        <v>46</v>
      </c>
      <c r="AM7">
        <f>SUMIF(RawData!$C:$C,$A7,RawData!AQ:AQ)</f>
        <v>48</v>
      </c>
      <c r="AN7">
        <f>SUMIF(RawData!$C:$C,$A7,RawData!AR:AR)</f>
        <v>79</v>
      </c>
      <c r="AO7">
        <f>SUMIF(RawData!$C:$C,$A7,RawData!AS:AS)</f>
        <v>130</v>
      </c>
      <c r="AP7">
        <f>SUMIF(RawData!$C:$C,$A7,RawData!AT:AT)</f>
        <v>159</v>
      </c>
      <c r="AQ7">
        <f>SUMIF(RawData!$C:$C,$A7,RawData!AU:AU)</f>
        <v>196</v>
      </c>
      <c r="AR7">
        <f>SUMIF(RawData!$C:$C,$A7,RawData!AV:AV)</f>
        <v>262</v>
      </c>
      <c r="AS7">
        <f>SUMIF(RawData!$C:$C,$A7,RawData!AW:AW)</f>
        <v>482</v>
      </c>
      <c r="AT7">
        <f>SUMIF(RawData!$C:$C,$A7,RawData!AX:AX)</f>
        <v>670</v>
      </c>
      <c r="AU7">
        <f>SUMIF(RawData!$C:$C,$A7,RawData!AY:AY)</f>
        <v>799</v>
      </c>
      <c r="AV7">
        <f>SUMIF(RawData!$C:$C,$A7,RawData!AZ:AZ)</f>
        <v>1040</v>
      </c>
      <c r="AW7">
        <f>SUMIF(RawData!$C:$C,$A7,RawData!BA:BA)</f>
        <v>1176</v>
      </c>
      <c r="AX7">
        <f>SUMIF(RawData!$C:$C,$A7,RawData!BB:BB)</f>
        <v>1457</v>
      </c>
      <c r="AY7">
        <f>SUMIF(RawData!$C:$C,$A7,RawData!BC:BC)</f>
        <v>1908</v>
      </c>
      <c r="AZ7">
        <f>SUMIF(RawData!$C:$C,$A7,RawData!BD:BD)</f>
        <v>2078</v>
      </c>
      <c r="BA7">
        <f>SUMIF(RawData!$C:$C,$A7,RawData!BE:BE)</f>
        <v>3675</v>
      </c>
      <c r="BB7">
        <f>SUMIF(RawData!$C:$C,$A7,RawData!BF:BF)</f>
        <v>4585</v>
      </c>
      <c r="BC7">
        <f>SUMIF(RawData!$C:$C,$A7,RawData!BG:BG)</f>
        <v>5795</v>
      </c>
      <c r="BD7">
        <f>SUMIF(RawData!$C:$C,$A7,RawData!BH:BH)</f>
        <v>0</v>
      </c>
      <c r="BE7">
        <f>SUMIF(RawData!$C:$C,$A7,RawData!BI:BI)</f>
        <v>0</v>
      </c>
      <c r="BF7">
        <f>SUMIF(RawData!$C:$C,$A7,RawData!BJ:BJ)</f>
        <v>0</v>
      </c>
      <c r="BG7">
        <f>SUMIF(RawData!$C:$C,$A7,RawData!BK:BK)</f>
        <v>0</v>
      </c>
      <c r="BH7">
        <f>SUMIF(RawData!$C:$C,$A7,RawData!BL:BL)</f>
        <v>0</v>
      </c>
      <c r="BI7">
        <f>SUMIF(RawData!$C:$C,$A7,RawData!BM:BM)</f>
        <v>0</v>
      </c>
      <c r="BJ7">
        <f>SUMIF(RawData!$C:$C,$A7,RawData!BN:BN)</f>
        <v>0</v>
      </c>
      <c r="BK7">
        <f>SUMIF(RawData!$C:$C,$A7,RawData!BO:BO)</f>
        <v>0</v>
      </c>
      <c r="BL7">
        <f>SUMIF(RawData!$C:$C,$A7,RawData!BP:BP)</f>
        <v>0</v>
      </c>
      <c r="BM7">
        <f>SUMIF(RawData!$C:$C,$A7,RawData!BQ:BQ)</f>
        <v>0</v>
      </c>
      <c r="BN7">
        <f>SUMIF(RawData!$C:$C,$A7,RawData!BR:BR)</f>
        <v>0</v>
      </c>
      <c r="BO7">
        <f>SUMIF(RawData!$C:$C,$A7,RawData!BS:BS)</f>
        <v>0</v>
      </c>
      <c r="BP7">
        <f>SUMIF(RawData!$C:$C,$A7,RawData!BT:BT)</f>
        <v>0</v>
      </c>
      <c r="BQ7">
        <f>SUMIF(RawData!$C:$C,$A7,RawData!BU:BU)</f>
        <v>0</v>
      </c>
      <c r="BR7">
        <f>SUMIF(RawData!$C:$C,$A7,RawData!BV:BV)</f>
        <v>0</v>
      </c>
      <c r="BS7">
        <f>SUMIF(RawData!$C:$C,$A7,RawData!BW:BW)</f>
        <v>0</v>
      </c>
      <c r="BT7">
        <f>SUMIF(RawData!$C:$C,$A7,RawData!BX:BX)</f>
        <v>0</v>
      </c>
    </row>
    <row r="8" spans="1:72" ht="15" thickBot="1" x14ac:dyDescent="0.35">
      <c r="A8" s="5" t="s">
        <v>68</v>
      </c>
      <c r="B8">
        <f>SUMIF(RawData!$C:$C,$A8,RawData!F:F)</f>
        <v>0</v>
      </c>
      <c r="C8">
        <f>SUMIF(RawData!$C:$C,$A8,RawData!G:G)</f>
        <v>0</v>
      </c>
      <c r="D8">
        <f>SUMIF(RawData!$C:$C,$A8,RawData!H:H)</f>
        <v>2</v>
      </c>
      <c r="E8">
        <f>SUMIF(RawData!$C:$C,$A8,RawData!I:I)</f>
        <v>3</v>
      </c>
      <c r="F8">
        <f>SUMIF(RawData!$C:$C,$A8,RawData!J:J)</f>
        <v>3</v>
      </c>
      <c r="G8">
        <f>SUMIF(RawData!$C:$C,$A8,RawData!K:K)</f>
        <v>3</v>
      </c>
      <c r="H8">
        <f>SUMIF(RawData!$C:$C,$A8,RawData!L:L)</f>
        <v>4</v>
      </c>
      <c r="I8">
        <f>SUMIF(RawData!$C:$C,$A8,RawData!M:M)</f>
        <v>5</v>
      </c>
      <c r="J8">
        <f>SUMIF(RawData!$C:$C,$A8,RawData!N:N)</f>
        <v>5</v>
      </c>
      <c r="K8">
        <f>SUMIF(RawData!$C:$C,$A8,RawData!O:O)</f>
        <v>5</v>
      </c>
      <c r="L8">
        <f>SUMIF(RawData!$C:$C,$A8,RawData!P:P)</f>
        <v>6</v>
      </c>
      <c r="M8">
        <f>SUMIF(RawData!$C:$C,$A8,RawData!Q:Q)</f>
        <v>6</v>
      </c>
      <c r="N8">
        <f>SUMIF(RawData!$C:$C,$A8,RawData!R:R)</f>
        <v>6</v>
      </c>
      <c r="O8">
        <f>SUMIF(RawData!$C:$C,$A8,RawData!S:S)</f>
        <v>6</v>
      </c>
      <c r="P8">
        <f>SUMIF(RawData!$C:$C,$A8,RawData!T:T)</f>
        <v>6</v>
      </c>
      <c r="Q8">
        <f>SUMIF(RawData!$C:$C,$A8,RawData!U:U)</f>
        <v>6</v>
      </c>
      <c r="R8">
        <f>SUMIF(RawData!$C:$C,$A8,RawData!V:V)</f>
        <v>6</v>
      </c>
      <c r="S8">
        <f>SUMIF(RawData!$C:$C,$A8,RawData!W:W)</f>
        <v>11</v>
      </c>
      <c r="T8">
        <f>SUMIF(RawData!$C:$C,$A8,RawData!X:X)</f>
        <v>11</v>
      </c>
      <c r="U8">
        <f>SUMIF(RawData!$C:$C,$A8,RawData!Y:Y)</f>
        <v>11</v>
      </c>
      <c r="V8">
        <f>SUMIF(RawData!$C:$C,$A8,RawData!Z:Z)</f>
        <v>11</v>
      </c>
      <c r="W8">
        <f>SUMIF(RawData!$C:$C,$A8,RawData!AA:AA)</f>
        <v>11</v>
      </c>
      <c r="X8">
        <f>SUMIF(RawData!$C:$C,$A8,RawData!AB:AB)</f>
        <v>11</v>
      </c>
      <c r="Y8">
        <f>SUMIF(RawData!$C:$C,$A8,RawData!AC:AC)</f>
        <v>11</v>
      </c>
      <c r="Z8">
        <f>SUMIF(RawData!$C:$C,$A8,RawData!AD:AD)</f>
        <v>12</v>
      </c>
      <c r="AA8">
        <f>SUMIF(RawData!$C:$C,$A8,RawData!AE:AE)</f>
        <v>12</v>
      </c>
      <c r="AB8">
        <f>SUMIF(RawData!$C:$C,$A8,RawData!AF:AF)</f>
        <v>12</v>
      </c>
      <c r="AC8">
        <f>SUMIF(RawData!$C:$C,$A8,RawData!AG:AG)</f>
        <v>12</v>
      </c>
      <c r="AD8">
        <f>SUMIF(RawData!$C:$C,$A8,RawData!AH:AH)</f>
        <v>12</v>
      </c>
      <c r="AE8">
        <f>SUMIF(RawData!$C:$C,$A8,RawData!AI:AI)</f>
        <v>12</v>
      </c>
      <c r="AF8">
        <f>SUMIF(RawData!$C:$C,$A8,RawData!AJ:AJ)</f>
        <v>12</v>
      </c>
      <c r="AG8">
        <f>SUMIF(RawData!$C:$C,$A8,RawData!AK:AK)</f>
        <v>12</v>
      </c>
      <c r="AH8">
        <f>SUMIF(RawData!$C:$C,$A8,RawData!AL:AL)</f>
        <v>12</v>
      </c>
      <c r="AI8">
        <f>SUMIF(RawData!$C:$C,$A8,RawData!AM:AM)</f>
        <v>12</v>
      </c>
      <c r="AJ8">
        <f>SUMIF(RawData!$C:$C,$A8,RawData!AN:AN)</f>
        <v>14</v>
      </c>
      <c r="AK8">
        <f>SUMIF(RawData!$C:$C,$A8,RawData!AO:AO)</f>
        <v>18</v>
      </c>
      <c r="AL8">
        <f>SUMIF(RawData!$C:$C,$A8,RawData!AP:AP)</f>
        <v>38</v>
      </c>
      <c r="AM8">
        <f>SUMIF(RawData!$C:$C,$A8,RawData!AQ:AQ)</f>
        <v>57</v>
      </c>
      <c r="AN8">
        <f>SUMIF(RawData!$C:$C,$A8,RawData!AR:AR)</f>
        <v>100</v>
      </c>
      <c r="AO8">
        <f>SUMIF(RawData!$C:$C,$A8,RawData!AS:AS)</f>
        <v>130</v>
      </c>
      <c r="AP8">
        <f>SUMIF(RawData!$C:$C,$A8,RawData!AT:AT)</f>
        <v>191</v>
      </c>
      <c r="AQ8">
        <f>SUMIF(RawData!$C:$C,$A8,RawData!AU:AU)</f>
        <v>204</v>
      </c>
      <c r="AR8">
        <f>SUMIF(RawData!$C:$C,$A8,RawData!AV:AV)</f>
        <v>288</v>
      </c>
      <c r="AS8">
        <f>SUMIF(RawData!$C:$C,$A8,RawData!AW:AW)</f>
        <v>380</v>
      </c>
      <c r="AT8">
        <f>SUMIF(RawData!$C:$C,$A8,RawData!AX:AX)</f>
        <v>656</v>
      </c>
      <c r="AU8">
        <f>SUMIF(RawData!$C:$C,$A8,RawData!AY:AY)</f>
        <v>957</v>
      </c>
      <c r="AV8">
        <f>SUMIF(RawData!$C:$C,$A8,RawData!AZ:AZ)</f>
        <v>1134</v>
      </c>
      <c r="AW8">
        <f>SUMIF(RawData!$C:$C,$A8,RawData!BA:BA)</f>
        <v>1217</v>
      </c>
      <c r="AX8">
        <f>SUMIF(RawData!$C:$C,$A8,RawData!BB:BB)</f>
        <v>1792</v>
      </c>
      <c r="AY8">
        <f>SUMIF(RawData!$C:$C,$A8,RawData!BC:BC)</f>
        <v>2289</v>
      </c>
      <c r="AZ8">
        <f>SUMIF(RawData!$C:$C,$A8,RawData!BD:BD)</f>
        <v>2289</v>
      </c>
      <c r="BA8">
        <f>SUMIF(RawData!$C:$C,$A8,RawData!BE:BE)</f>
        <v>3672</v>
      </c>
      <c r="BB8">
        <f>SUMIF(RawData!$C:$C,$A8,RawData!BF:BF)</f>
        <v>4480</v>
      </c>
      <c r="BC8">
        <f>SUMIF(RawData!$C:$C,$A8,RawData!BG:BG)</f>
        <v>4513</v>
      </c>
      <c r="BD8">
        <f>SUMIF(RawData!$C:$C,$A8,RawData!BH:BH)</f>
        <v>0</v>
      </c>
      <c r="BE8">
        <f>SUMIF(RawData!$C:$C,$A8,RawData!BI:BI)</f>
        <v>0</v>
      </c>
      <c r="BF8">
        <f>SUMIF(RawData!$C:$C,$A8,RawData!BJ:BJ)</f>
        <v>0</v>
      </c>
      <c r="BG8">
        <f>SUMIF(RawData!$C:$C,$A8,RawData!BK:BK)</f>
        <v>0</v>
      </c>
      <c r="BH8">
        <f>SUMIF(RawData!$C:$C,$A8,RawData!BL:BL)</f>
        <v>0</v>
      </c>
      <c r="BI8">
        <f>SUMIF(RawData!$C:$C,$A8,RawData!BM:BM)</f>
        <v>0</v>
      </c>
      <c r="BJ8">
        <f>SUMIF(RawData!$C:$C,$A8,RawData!BN:BN)</f>
        <v>0</v>
      </c>
      <c r="BK8">
        <f>SUMIF(RawData!$C:$C,$A8,RawData!BO:BO)</f>
        <v>0</v>
      </c>
      <c r="BL8">
        <f>SUMIF(RawData!$C:$C,$A8,RawData!BP:BP)</f>
        <v>0</v>
      </c>
      <c r="BM8">
        <f>SUMIF(RawData!$C:$C,$A8,RawData!BQ:BQ)</f>
        <v>0</v>
      </c>
      <c r="BN8">
        <f>SUMIF(RawData!$C:$C,$A8,RawData!BR:BR)</f>
        <v>0</v>
      </c>
      <c r="BO8">
        <f>SUMIF(RawData!$C:$C,$A8,RawData!BS:BS)</f>
        <v>0</v>
      </c>
      <c r="BP8">
        <f>SUMIF(RawData!$C:$C,$A8,RawData!BT:BT)</f>
        <v>0</v>
      </c>
      <c r="BQ8">
        <f>SUMIF(RawData!$C:$C,$A8,RawData!BU:BU)</f>
        <v>0</v>
      </c>
      <c r="BR8">
        <f>SUMIF(RawData!$C:$C,$A8,RawData!BV:BV)</f>
        <v>0</v>
      </c>
      <c r="BS8">
        <f>SUMIF(RawData!$C:$C,$A8,RawData!BW:BW)</f>
        <v>0</v>
      </c>
      <c r="BT8">
        <f>SUMIF(RawData!$C:$C,$A8,RawData!BX:BX)</f>
        <v>0</v>
      </c>
    </row>
    <row r="9" spans="1:72" ht="15" thickBot="1" x14ac:dyDescent="0.35">
      <c r="A9" s="4" t="s">
        <v>65</v>
      </c>
      <c r="B9">
        <f>SUMIF(RawData!$C:$C,$A9,RawData!F:F)</f>
        <v>1</v>
      </c>
      <c r="C9">
        <f>SUMIF(RawData!$C:$C,$A9,RawData!G:G)</f>
        <v>1</v>
      </c>
      <c r="D9">
        <f>SUMIF(RawData!$C:$C,$A9,RawData!H:H)</f>
        <v>2</v>
      </c>
      <c r="E9">
        <f>SUMIF(RawData!$C:$C,$A9,RawData!I:I)</f>
        <v>2</v>
      </c>
      <c r="F9">
        <f>SUMIF(RawData!$C:$C,$A9,RawData!J:J)</f>
        <v>5</v>
      </c>
      <c r="G9">
        <f>SUMIF(RawData!$C:$C,$A9,RawData!K:K)</f>
        <v>5</v>
      </c>
      <c r="H9">
        <f>SUMIF(RawData!$C:$C,$A9,RawData!L:L)</f>
        <v>5</v>
      </c>
      <c r="I9">
        <f>SUMIF(RawData!$C:$C,$A9,RawData!M:M)</f>
        <v>5</v>
      </c>
      <c r="J9">
        <f>SUMIF(RawData!$C:$C,$A9,RawData!N:N)</f>
        <v>5</v>
      </c>
      <c r="K9">
        <f>SUMIF(RawData!$C:$C,$A9,RawData!O:O)</f>
        <v>7</v>
      </c>
      <c r="L9">
        <f>SUMIF(RawData!$C:$C,$A9,RawData!P:P)</f>
        <v>8</v>
      </c>
      <c r="M9">
        <f>SUMIF(RawData!$C:$C,$A9,RawData!Q:Q)</f>
        <v>8</v>
      </c>
      <c r="N9">
        <f>SUMIF(RawData!$C:$C,$A9,RawData!R:R)</f>
        <v>11</v>
      </c>
      <c r="O9">
        <f>SUMIF(RawData!$C:$C,$A9,RawData!S:S)</f>
        <v>11</v>
      </c>
      <c r="P9">
        <f>SUMIF(RawData!$C:$C,$A9,RawData!T:T)</f>
        <v>11</v>
      </c>
      <c r="Q9">
        <f>SUMIF(RawData!$C:$C,$A9,RawData!U:U)</f>
        <v>11</v>
      </c>
      <c r="R9">
        <f>SUMIF(RawData!$C:$C,$A9,RawData!V:V)</f>
        <v>11</v>
      </c>
      <c r="S9">
        <f>SUMIF(RawData!$C:$C,$A9,RawData!W:W)</f>
        <v>11</v>
      </c>
      <c r="T9">
        <f>SUMIF(RawData!$C:$C,$A9,RawData!X:X)</f>
        <v>11</v>
      </c>
      <c r="U9">
        <f>SUMIF(RawData!$C:$C,$A9,RawData!Y:Y)</f>
        <v>11</v>
      </c>
      <c r="V9">
        <f>SUMIF(RawData!$C:$C,$A9,RawData!Z:Z)</f>
        <v>12</v>
      </c>
      <c r="W9">
        <f>SUMIF(RawData!$C:$C,$A9,RawData!AA:AA)</f>
        <v>12</v>
      </c>
      <c r="X9">
        <f>SUMIF(RawData!$C:$C,$A9,RawData!AB:AB)</f>
        <v>13</v>
      </c>
      <c r="Y9">
        <f>SUMIF(RawData!$C:$C,$A9,RawData!AC:AC)</f>
        <v>13</v>
      </c>
      <c r="Z9">
        <f>SUMIF(RawData!$C:$C,$A9,RawData!AD:AD)</f>
        <v>13</v>
      </c>
      <c r="AA9">
        <f>SUMIF(RawData!$C:$C,$A9,RawData!AE:AE)</f>
        <v>13</v>
      </c>
      <c r="AB9">
        <f>SUMIF(RawData!$C:$C,$A9,RawData!AF:AF)</f>
        <v>13</v>
      </c>
      <c r="AC9">
        <f>SUMIF(RawData!$C:$C,$A9,RawData!AG:AG)</f>
        <v>13</v>
      </c>
      <c r="AD9">
        <f>SUMIF(RawData!$C:$C,$A9,RawData!AH:AH)</f>
        <v>13</v>
      </c>
      <c r="AE9">
        <f>SUMIF(RawData!$C:$C,$A9,RawData!AI:AI)</f>
        <v>13</v>
      </c>
      <c r="AF9">
        <f>SUMIF(RawData!$C:$C,$A9,RawData!AJ:AJ)</f>
        <v>15</v>
      </c>
      <c r="AG9">
        <f>SUMIF(RawData!$C:$C,$A9,RawData!AK:AK)</f>
        <v>15</v>
      </c>
      <c r="AH9">
        <f>SUMIF(RawData!$C:$C,$A9,RawData!AL:AL)</f>
        <v>15</v>
      </c>
      <c r="AI9">
        <f>SUMIF(RawData!$C:$C,$A9,RawData!AM:AM)</f>
        <v>51</v>
      </c>
      <c r="AJ9">
        <f>SUMIF(RawData!$C:$C,$A9,RawData!AN:AN)</f>
        <v>51</v>
      </c>
      <c r="AK9">
        <f>SUMIF(RawData!$C:$C,$A9,RawData!AO:AO)</f>
        <v>57</v>
      </c>
      <c r="AL9">
        <f>SUMIF(RawData!$C:$C,$A9,RawData!AP:AP)</f>
        <v>58</v>
      </c>
      <c r="AM9">
        <f>SUMIF(RawData!$C:$C,$A9,RawData!AQ:AQ)</f>
        <v>60</v>
      </c>
      <c r="AN9">
        <f>SUMIF(RawData!$C:$C,$A9,RawData!AR:AR)</f>
        <v>68</v>
      </c>
      <c r="AO9">
        <f>SUMIF(RawData!$C:$C,$A9,RawData!AS:AS)</f>
        <v>74</v>
      </c>
      <c r="AP9">
        <f>SUMIF(RawData!$C:$C,$A9,RawData!AT:AT)</f>
        <v>98</v>
      </c>
      <c r="AQ9">
        <f>SUMIF(RawData!$C:$C,$A9,RawData!AU:AU)</f>
        <v>118</v>
      </c>
      <c r="AR9">
        <f>SUMIF(RawData!$C:$C,$A9,RawData!AV:AV)</f>
        <v>149</v>
      </c>
      <c r="AS9">
        <f>SUMIF(RawData!$C:$C,$A9,RawData!AW:AW)</f>
        <v>217</v>
      </c>
      <c r="AT9">
        <f>SUMIF(RawData!$C:$C,$A9,RawData!AX:AX)</f>
        <v>262</v>
      </c>
      <c r="AU9">
        <f>SUMIF(RawData!$C:$C,$A9,RawData!AY:AY)</f>
        <v>402</v>
      </c>
      <c r="AV9">
        <f>SUMIF(RawData!$C:$C,$A9,RawData!AZ:AZ)</f>
        <v>518</v>
      </c>
      <c r="AW9">
        <f>SUMIF(RawData!$C:$C,$A9,RawData!BA:BA)</f>
        <v>583</v>
      </c>
      <c r="AX9">
        <f>SUMIF(RawData!$C:$C,$A9,RawData!BB:BB)</f>
        <v>959</v>
      </c>
      <c r="AY9">
        <f>SUMIF(RawData!$C:$C,$A9,RawData!BC:BC)</f>
        <v>1281</v>
      </c>
      <c r="AZ9">
        <f>SUMIF(RawData!$C:$C,$A9,RawData!BD:BD)</f>
        <v>1663</v>
      </c>
      <c r="BA9">
        <f>SUMIF(RawData!$C:$C,$A9,RawData!BE:BE)</f>
        <v>2179</v>
      </c>
      <c r="BB9">
        <f>SUMIF(RawData!$C:$C,$A9,RawData!BF:BF)</f>
        <v>2727</v>
      </c>
      <c r="BC9">
        <f>SUMIF(RawData!$C:$C,$A9,RawData!BG:BG)</f>
        <v>3499</v>
      </c>
      <c r="BD9">
        <f>SUMIF(RawData!$C:$C,$A9,RawData!BH:BH)</f>
        <v>0</v>
      </c>
      <c r="BE9">
        <f>SUMIF(RawData!$C:$C,$A9,RawData!BI:BI)</f>
        <v>0</v>
      </c>
      <c r="BF9">
        <f>SUMIF(RawData!$C:$C,$A9,RawData!BJ:BJ)</f>
        <v>0</v>
      </c>
      <c r="BG9">
        <f>SUMIF(RawData!$C:$C,$A9,RawData!BK:BK)</f>
        <v>0</v>
      </c>
      <c r="BH9">
        <f>SUMIF(RawData!$C:$C,$A9,RawData!BL:BL)</f>
        <v>0</v>
      </c>
      <c r="BI9">
        <f>SUMIF(RawData!$C:$C,$A9,RawData!BM:BM)</f>
        <v>0</v>
      </c>
      <c r="BJ9">
        <f>SUMIF(RawData!$C:$C,$A9,RawData!BN:BN)</f>
        <v>0</v>
      </c>
      <c r="BK9">
        <f>SUMIF(RawData!$C:$C,$A9,RawData!BO:BO)</f>
        <v>0</v>
      </c>
      <c r="BL9">
        <f>SUMIF(RawData!$C:$C,$A9,RawData!BP:BP)</f>
        <v>0</v>
      </c>
      <c r="BM9">
        <f>SUMIF(RawData!$C:$C,$A9,RawData!BQ:BQ)</f>
        <v>0</v>
      </c>
      <c r="BN9">
        <f>SUMIF(RawData!$C:$C,$A9,RawData!BR:BR)</f>
        <v>0</v>
      </c>
      <c r="BO9">
        <f>SUMIF(RawData!$C:$C,$A9,RawData!BS:BS)</f>
        <v>0</v>
      </c>
      <c r="BP9">
        <f>SUMIF(RawData!$C:$C,$A9,RawData!BT:BT)</f>
        <v>0</v>
      </c>
      <c r="BQ9">
        <f>SUMIF(RawData!$C:$C,$A9,RawData!BU:BU)</f>
        <v>0</v>
      </c>
      <c r="BR9">
        <f>SUMIF(RawData!$C:$C,$A9,RawData!BV:BV)</f>
        <v>0</v>
      </c>
      <c r="BS9">
        <f>SUMIF(RawData!$C:$C,$A9,RawData!BW:BW)</f>
        <v>0</v>
      </c>
      <c r="BT9">
        <f>SUMIF(RawData!$C:$C,$A9,RawData!BX:BX)</f>
        <v>0</v>
      </c>
    </row>
    <row r="10" spans="1:72" ht="15" thickBot="1" x14ac:dyDescent="0.35">
      <c r="A10" s="5" t="s">
        <v>104</v>
      </c>
      <c r="B10">
        <f>SUMIF(RawData!$C:$C,$A10,RawData!F:F)</f>
        <v>0</v>
      </c>
      <c r="C10">
        <f>SUMIF(RawData!$C:$C,$A10,RawData!G:G)</f>
        <v>0</v>
      </c>
      <c r="D10">
        <f>SUMIF(RawData!$C:$C,$A10,RawData!H:H)</f>
        <v>0</v>
      </c>
      <c r="E10">
        <f>SUMIF(RawData!$C:$C,$A10,RawData!I:I)</f>
        <v>0</v>
      </c>
      <c r="F10">
        <f>SUMIF(RawData!$C:$C,$A10,RawData!J:J)</f>
        <v>0</v>
      </c>
      <c r="G10">
        <f>SUMIF(RawData!$C:$C,$A10,RawData!K:K)</f>
        <v>0</v>
      </c>
      <c r="H10">
        <f>SUMIF(RawData!$C:$C,$A10,RawData!L:L)</f>
        <v>0</v>
      </c>
      <c r="I10">
        <f>SUMIF(RawData!$C:$C,$A10,RawData!M:M)</f>
        <v>0</v>
      </c>
      <c r="J10">
        <f>SUMIF(RawData!$C:$C,$A10,RawData!N:N)</f>
        <v>0</v>
      </c>
      <c r="K10">
        <f>SUMIF(RawData!$C:$C,$A10,RawData!O:O)</f>
        <v>0</v>
      </c>
      <c r="L10">
        <f>SUMIF(RawData!$C:$C,$A10,RawData!P:P)</f>
        <v>0</v>
      </c>
      <c r="M10">
        <f>SUMIF(RawData!$C:$C,$A10,RawData!Q:Q)</f>
        <v>0</v>
      </c>
      <c r="N10">
        <f>SUMIF(RawData!$C:$C,$A10,RawData!R:R)</f>
        <v>0</v>
      </c>
      <c r="O10">
        <f>SUMIF(RawData!$C:$C,$A10,RawData!S:S)</f>
        <v>0</v>
      </c>
      <c r="P10">
        <f>SUMIF(RawData!$C:$C,$A10,RawData!T:T)</f>
        <v>0</v>
      </c>
      <c r="Q10">
        <f>SUMIF(RawData!$C:$C,$A10,RawData!U:U)</f>
        <v>0</v>
      </c>
      <c r="R10">
        <f>SUMIF(RawData!$C:$C,$A10,RawData!V:V)</f>
        <v>0</v>
      </c>
      <c r="S10">
        <f>SUMIF(RawData!$C:$C,$A10,RawData!W:W)</f>
        <v>0</v>
      </c>
      <c r="T10">
        <f>SUMIF(RawData!$C:$C,$A10,RawData!X:X)</f>
        <v>0</v>
      </c>
      <c r="U10">
        <f>SUMIF(RawData!$C:$C,$A10,RawData!Y:Y)</f>
        <v>0</v>
      </c>
      <c r="V10">
        <f>SUMIF(RawData!$C:$C,$A10,RawData!Z:Z)</f>
        <v>0</v>
      </c>
      <c r="W10">
        <f>SUMIF(RawData!$C:$C,$A10,RawData!AA:AA)</f>
        <v>0</v>
      </c>
      <c r="X10">
        <f>SUMIF(RawData!$C:$C,$A10,RawData!AB:AB)</f>
        <v>0</v>
      </c>
      <c r="Y10">
        <f>SUMIF(RawData!$C:$C,$A10,RawData!AC:AC)</f>
        <v>0</v>
      </c>
      <c r="Z10">
        <f>SUMIF(RawData!$C:$C,$A10,RawData!AD:AD)</f>
        <v>0</v>
      </c>
      <c r="AA10">
        <f>SUMIF(RawData!$C:$C,$A10,RawData!AE:AE)</f>
        <v>0</v>
      </c>
      <c r="AB10">
        <f>SUMIF(RawData!$C:$C,$A10,RawData!AF:AF)</f>
        <v>0</v>
      </c>
      <c r="AC10">
        <f>SUMIF(RawData!$C:$C,$A10,RawData!AG:AG)</f>
        <v>0</v>
      </c>
      <c r="AD10">
        <f>SUMIF(RawData!$C:$C,$A10,RawData!AH:AH)</f>
        <v>0</v>
      </c>
      <c r="AE10">
        <f>SUMIF(RawData!$C:$C,$A10,RawData!AI:AI)</f>
        <v>0</v>
      </c>
      <c r="AF10">
        <f>SUMIF(RawData!$C:$C,$A10,RawData!AJ:AJ)</f>
        <v>0</v>
      </c>
      <c r="AG10">
        <f>SUMIF(RawData!$C:$C,$A10,RawData!AK:AK)</f>
        <v>0</v>
      </c>
      <c r="AH10">
        <f>SUMIF(RawData!$C:$C,$A10,RawData!AL:AL)</f>
        <v>0</v>
      </c>
      <c r="AI10">
        <f>SUMIF(RawData!$C:$C,$A10,RawData!AM:AM)</f>
        <v>0</v>
      </c>
      <c r="AJ10">
        <f>SUMIF(RawData!$C:$C,$A10,RawData!AN:AN)</f>
        <v>1</v>
      </c>
      <c r="AK10">
        <f>SUMIF(RawData!$C:$C,$A10,RawData!AO:AO)</f>
        <v>1</v>
      </c>
      <c r="AL10">
        <f>SUMIF(RawData!$C:$C,$A10,RawData!AP:AP)</f>
        <v>8</v>
      </c>
      <c r="AM10">
        <f>SUMIF(RawData!$C:$C,$A10,RawData!AQ:AQ)</f>
        <v>8</v>
      </c>
      <c r="AN10">
        <f>SUMIF(RawData!$C:$C,$A10,RawData!AR:AR)</f>
        <v>18</v>
      </c>
      <c r="AO10">
        <f>SUMIF(RawData!$C:$C,$A10,RawData!AS:AS)</f>
        <v>27</v>
      </c>
      <c r="AP10">
        <f>SUMIF(RawData!$C:$C,$A10,RawData!AT:AT)</f>
        <v>42</v>
      </c>
      <c r="AQ10">
        <f>SUMIF(RawData!$C:$C,$A10,RawData!AU:AU)</f>
        <v>56</v>
      </c>
      <c r="AR10">
        <f>SUMIF(RawData!$C:$C,$A10,RawData!AV:AV)</f>
        <v>90</v>
      </c>
      <c r="AS10">
        <f>SUMIF(RawData!$C:$C,$A10,RawData!AW:AW)</f>
        <v>114</v>
      </c>
      <c r="AT10">
        <f>SUMIF(RawData!$C:$C,$A10,RawData!AX:AX)</f>
        <v>214</v>
      </c>
      <c r="AU10">
        <f>SUMIF(RawData!$C:$C,$A10,RawData!AY:AY)</f>
        <v>268</v>
      </c>
      <c r="AV10">
        <f>SUMIF(RawData!$C:$C,$A10,RawData!AZ:AZ)</f>
        <v>337</v>
      </c>
      <c r="AW10">
        <f>SUMIF(RawData!$C:$C,$A10,RawData!BA:BA)</f>
        <v>374</v>
      </c>
      <c r="AX10">
        <f>SUMIF(RawData!$C:$C,$A10,RawData!BB:BB)</f>
        <v>491</v>
      </c>
      <c r="AY10">
        <f>SUMIF(RawData!$C:$C,$A10,RawData!BC:BC)</f>
        <v>652</v>
      </c>
      <c r="AZ10">
        <f>SUMIF(RawData!$C:$C,$A10,RawData!BD:BD)</f>
        <v>652</v>
      </c>
      <c r="BA10">
        <f>SUMIF(RawData!$C:$C,$A10,RawData!BE:BE)</f>
        <v>1139</v>
      </c>
      <c r="BB10">
        <f>SUMIF(RawData!$C:$C,$A10,RawData!BF:BF)</f>
        <v>1359</v>
      </c>
      <c r="BC10">
        <f>SUMIF(RawData!$C:$C,$A10,RawData!BG:BG)</f>
        <v>2200</v>
      </c>
      <c r="BD10">
        <f>SUMIF(RawData!$C:$C,$A10,RawData!BH:BH)</f>
        <v>0</v>
      </c>
      <c r="BE10">
        <f>SUMIF(RawData!$C:$C,$A10,RawData!BI:BI)</f>
        <v>0</v>
      </c>
      <c r="BF10">
        <f>SUMIF(RawData!$C:$C,$A10,RawData!BJ:BJ)</f>
        <v>0</v>
      </c>
      <c r="BG10">
        <f>SUMIF(RawData!$C:$C,$A10,RawData!BK:BK)</f>
        <v>0</v>
      </c>
      <c r="BH10">
        <f>SUMIF(RawData!$C:$C,$A10,RawData!BL:BL)</f>
        <v>0</v>
      </c>
      <c r="BI10">
        <f>SUMIF(RawData!$C:$C,$A10,RawData!BM:BM)</f>
        <v>0</v>
      </c>
      <c r="BJ10">
        <f>SUMIF(RawData!$C:$C,$A10,RawData!BN:BN)</f>
        <v>0</v>
      </c>
      <c r="BK10">
        <f>SUMIF(RawData!$C:$C,$A10,RawData!BO:BO)</f>
        <v>0</v>
      </c>
      <c r="BL10">
        <f>SUMIF(RawData!$C:$C,$A10,RawData!BP:BP)</f>
        <v>0</v>
      </c>
      <c r="BM10">
        <f>SUMIF(RawData!$C:$C,$A10,RawData!BQ:BQ)</f>
        <v>0</v>
      </c>
      <c r="BN10">
        <f>SUMIF(RawData!$C:$C,$A10,RawData!BR:BR)</f>
        <v>0</v>
      </c>
      <c r="BO10">
        <f>SUMIF(RawData!$C:$C,$A10,RawData!BS:BS)</f>
        <v>0</v>
      </c>
      <c r="BP10">
        <f>SUMIF(RawData!$C:$C,$A10,RawData!BT:BT)</f>
        <v>0</v>
      </c>
      <c r="BQ10">
        <f>SUMIF(RawData!$C:$C,$A10,RawData!BU:BU)</f>
        <v>0</v>
      </c>
      <c r="BR10">
        <f>SUMIF(RawData!$C:$C,$A10,RawData!BV:BV)</f>
        <v>0</v>
      </c>
      <c r="BS10">
        <f>SUMIF(RawData!$C:$C,$A10,RawData!BW:BW)</f>
        <v>0</v>
      </c>
      <c r="BT10">
        <f>SUMIF(RawData!$C:$C,$A10,RawData!BX:BX)</f>
        <v>0</v>
      </c>
    </row>
    <row r="11" spans="1:72" ht="15" thickBot="1" x14ac:dyDescent="0.35">
      <c r="A11" s="5" t="s">
        <v>112</v>
      </c>
      <c r="B11">
        <f>SUMIF(RawData!$C:$C,$A11,RawData!F:F)</f>
        <v>0</v>
      </c>
      <c r="C11">
        <f>SUMIF(RawData!$C:$C,$A11,RawData!G:G)</f>
        <v>0</v>
      </c>
      <c r="D11">
        <f>SUMIF(RawData!$C:$C,$A11,RawData!H:H)</f>
        <v>0</v>
      </c>
      <c r="E11">
        <f>SUMIF(RawData!$C:$C,$A11,RawData!I:I)</f>
        <v>0</v>
      </c>
      <c r="F11">
        <f>SUMIF(RawData!$C:$C,$A11,RawData!J:J)</f>
        <v>0</v>
      </c>
      <c r="G11">
        <f>SUMIF(RawData!$C:$C,$A11,RawData!K:K)</f>
        <v>0</v>
      </c>
      <c r="H11">
        <f>SUMIF(RawData!$C:$C,$A11,RawData!L:L)</f>
        <v>0</v>
      </c>
      <c r="I11">
        <f>SUMIF(RawData!$C:$C,$A11,RawData!M:M)</f>
        <v>0</v>
      </c>
      <c r="J11">
        <f>SUMIF(RawData!$C:$C,$A11,RawData!N:N)</f>
        <v>0</v>
      </c>
      <c r="K11">
        <f>SUMIF(RawData!$C:$C,$A11,RawData!O:O)</f>
        <v>0</v>
      </c>
      <c r="L11">
        <f>SUMIF(RawData!$C:$C,$A11,RawData!P:P)</f>
        <v>0</v>
      </c>
      <c r="M11">
        <f>SUMIF(RawData!$C:$C,$A11,RawData!Q:Q)</f>
        <v>0</v>
      </c>
      <c r="N11">
        <f>SUMIF(RawData!$C:$C,$A11,RawData!R:R)</f>
        <v>0</v>
      </c>
      <c r="O11">
        <f>SUMIF(RawData!$C:$C,$A11,RawData!S:S)</f>
        <v>0</v>
      </c>
      <c r="P11">
        <f>SUMIF(RawData!$C:$C,$A11,RawData!T:T)</f>
        <v>0</v>
      </c>
      <c r="Q11">
        <f>SUMIF(RawData!$C:$C,$A11,RawData!U:U)</f>
        <v>0</v>
      </c>
      <c r="R11">
        <f>SUMIF(RawData!$C:$C,$A11,RawData!V:V)</f>
        <v>0</v>
      </c>
      <c r="S11">
        <f>SUMIF(RawData!$C:$C,$A11,RawData!W:W)</f>
        <v>0</v>
      </c>
      <c r="T11">
        <f>SUMIF(RawData!$C:$C,$A11,RawData!X:X)</f>
        <v>0</v>
      </c>
      <c r="U11">
        <f>SUMIF(RawData!$C:$C,$A11,RawData!Y:Y)</f>
        <v>0</v>
      </c>
      <c r="V11">
        <f>SUMIF(RawData!$C:$C,$A11,RawData!Z:Z)</f>
        <v>0</v>
      </c>
      <c r="W11">
        <f>SUMIF(RawData!$C:$C,$A11,RawData!AA:AA)</f>
        <v>0</v>
      </c>
      <c r="X11">
        <f>SUMIF(RawData!$C:$C,$A11,RawData!AB:AB)</f>
        <v>0</v>
      </c>
      <c r="Y11">
        <f>SUMIF(RawData!$C:$C,$A11,RawData!AC:AC)</f>
        <v>0</v>
      </c>
      <c r="Z11">
        <f>SUMIF(RawData!$C:$C,$A11,RawData!AD:AD)</f>
        <v>0</v>
      </c>
      <c r="AA11">
        <f>SUMIF(RawData!$C:$C,$A11,RawData!AE:AE)</f>
        <v>0</v>
      </c>
      <c r="AB11">
        <f>SUMIF(RawData!$C:$C,$A11,RawData!AF:AF)</f>
        <v>0</v>
      </c>
      <c r="AC11">
        <f>SUMIF(RawData!$C:$C,$A11,RawData!AG:AG)</f>
        <v>0</v>
      </c>
      <c r="AD11">
        <f>SUMIF(RawData!$C:$C,$A11,RawData!AH:AH)</f>
        <v>0</v>
      </c>
      <c r="AE11">
        <f>SUMIF(RawData!$C:$C,$A11,RawData!AI:AI)</f>
        <v>0</v>
      </c>
      <c r="AF11">
        <f>SUMIF(RawData!$C:$C,$A11,RawData!AJ:AJ)</f>
        <v>0</v>
      </c>
      <c r="AG11">
        <f>SUMIF(RawData!$C:$C,$A11,RawData!AK:AK)</f>
        <v>0</v>
      </c>
      <c r="AH11">
        <f>SUMIF(RawData!$C:$C,$A11,RawData!AL:AL)</f>
        <v>0</v>
      </c>
      <c r="AI11">
        <f>SUMIF(RawData!$C:$C,$A11,RawData!AM:AM)</f>
        <v>0</v>
      </c>
      <c r="AJ11">
        <f>SUMIF(RawData!$C:$C,$A11,RawData!AN:AN)</f>
        <v>0</v>
      </c>
      <c r="AK11">
        <f>SUMIF(RawData!$C:$C,$A11,RawData!AO:AO)</f>
        <v>1</v>
      </c>
      <c r="AL11">
        <f>SUMIF(RawData!$C:$C,$A11,RawData!AP:AP)</f>
        <v>1</v>
      </c>
      <c r="AM11">
        <f>SUMIF(RawData!$C:$C,$A11,RawData!AQ:AQ)</f>
        <v>6</v>
      </c>
      <c r="AN11">
        <f>SUMIF(RawData!$C:$C,$A11,RawData!AR:AR)</f>
        <v>15</v>
      </c>
      <c r="AO11">
        <f>SUMIF(RawData!$C:$C,$A11,RawData!AS:AS)</f>
        <v>19</v>
      </c>
      <c r="AP11">
        <f>SUMIF(RawData!$C:$C,$A11,RawData!AT:AT)</f>
        <v>25</v>
      </c>
      <c r="AQ11">
        <f>SUMIF(RawData!$C:$C,$A11,RawData!AU:AU)</f>
        <v>32</v>
      </c>
      <c r="AR11">
        <f>SUMIF(RawData!$C:$C,$A11,RawData!AV:AV)</f>
        <v>56</v>
      </c>
      <c r="AS11">
        <f>SUMIF(RawData!$C:$C,$A11,RawData!AW:AW)</f>
        <v>87</v>
      </c>
      <c r="AT11">
        <f>SUMIF(RawData!$C:$C,$A11,RawData!AX:AX)</f>
        <v>108</v>
      </c>
      <c r="AU11">
        <f>SUMIF(RawData!$C:$C,$A11,RawData!AY:AY)</f>
        <v>147</v>
      </c>
      <c r="AV11">
        <f>SUMIF(RawData!$C:$C,$A11,RawData!AZ:AZ)</f>
        <v>176</v>
      </c>
      <c r="AW11">
        <f>SUMIF(RawData!$C:$C,$A11,RawData!BA:BA)</f>
        <v>205</v>
      </c>
      <c r="AX11">
        <f>SUMIF(RawData!$C:$C,$A11,RawData!BB:BB)</f>
        <v>400</v>
      </c>
      <c r="AY11">
        <f>SUMIF(RawData!$C:$C,$A11,RawData!BC:BC)</f>
        <v>598</v>
      </c>
      <c r="AZ11">
        <f>SUMIF(RawData!$C:$C,$A11,RawData!BD:BD)</f>
        <v>702</v>
      </c>
      <c r="BA11">
        <f>SUMIF(RawData!$C:$C,$A11,RawData!BE:BE)</f>
        <v>996</v>
      </c>
      <c r="BB11">
        <f>SUMIF(RawData!$C:$C,$A11,RawData!BF:BF)</f>
        <v>1090</v>
      </c>
      <c r="BC11">
        <f>SUMIF(RawData!$C:$C,$A11,RawData!BG:BG)</f>
        <v>1221</v>
      </c>
      <c r="BD11">
        <f>SUMIF(RawData!$C:$C,$A11,RawData!BH:BH)</f>
        <v>0</v>
      </c>
      <c r="BE11">
        <f>SUMIF(RawData!$C:$C,$A11,RawData!BI:BI)</f>
        <v>0</v>
      </c>
      <c r="BF11">
        <f>SUMIF(RawData!$C:$C,$A11,RawData!BJ:BJ)</f>
        <v>0</v>
      </c>
      <c r="BG11">
        <f>SUMIF(RawData!$C:$C,$A11,RawData!BK:BK)</f>
        <v>0</v>
      </c>
      <c r="BH11">
        <f>SUMIF(RawData!$C:$C,$A11,RawData!BL:BL)</f>
        <v>0</v>
      </c>
      <c r="BI11">
        <f>SUMIF(RawData!$C:$C,$A11,RawData!BM:BM)</f>
        <v>0</v>
      </c>
      <c r="BJ11">
        <f>SUMIF(RawData!$C:$C,$A11,RawData!BN:BN)</f>
        <v>0</v>
      </c>
      <c r="BK11">
        <f>SUMIF(RawData!$C:$C,$A11,RawData!BO:BO)</f>
        <v>0</v>
      </c>
      <c r="BL11">
        <f>SUMIF(RawData!$C:$C,$A11,RawData!BP:BP)</f>
        <v>0</v>
      </c>
      <c r="BM11">
        <f>SUMIF(RawData!$C:$C,$A11,RawData!BQ:BQ)</f>
        <v>0</v>
      </c>
      <c r="BN11">
        <f>SUMIF(RawData!$C:$C,$A11,RawData!BR:BR)</f>
        <v>0</v>
      </c>
      <c r="BO11">
        <f>SUMIF(RawData!$C:$C,$A11,RawData!BS:BS)</f>
        <v>0</v>
      </c>
      <c r="BP11">
        <f>SUMIF(RawData!$C:$C,$A11,RawData!BT:BT)</f>
        <v>0</v>
      </c>
      <c r="BQ11">
        <f>SUMIF(RawData!$C:$C,$A11,RawData!BU:BU)</f>
        <v>0</v>
      </c>
      <c r="BR11">
        <f>SUMIF(RawData!$C:$C,$A11,RawData!BV:BV)</f>
        <v>0</v>
      </c>
      <c r="BS11">
        <f>SUMIF(RawData!$C:$C,$A11,RawData!BW:BW)</f>
        <v>0</v>
      </c>
      <c r="BT11">
        <f>SUMIF(RawData!$C:$C,$A11,RawData!BX:BX)</f>
        <v>0</v>
      </c>
    </row>
    <row r="12" spans="1:72" ht="15" thickBot="1" x14ac:dyDescent="0.35">
      <c r="A12" s="5" t="s">
        <v>86</v>
      </c>
      <c r="B12">
        <f>SUMIF(RawData!$C:$C,$A12,RawData!F:F)</f>
        <v>0</v>
      </c>
      <c r="C12">
        <f>SUMIF(RawData!$C:$C,$A12,RawData!G:G)</f>
        <v>0</v>
      </c>
      <c r="D12">
        <f>SUMIF(RawData!$C:$C,$A12,RawData!H:H)</f>
        <v>0</v>
      </c>
      <c r="E12">
        <f>SUMIF(RawData!$C:$C,$A12,RawData!I:I)</f>
        <v>0</v>
      </c>
      <c r="F12">
        <f>SUMIF(RawData!$C:$C,$A12,RawData!J:J)</f>
        <v>0</v>
      </c>
      <c r="G12">
        <f>SUMIF(RawData!$C:$C,$A12,RawData!K:K)</f>
        <v>0</v>
      </c>
      <c r="H12">
        <f>SUMIF(RawData!$C:$C,$A12,RawData!L:L)</f>
        <v>0</v>
      </c>
      <c r="I12">
        <f>SUMIF(RawData!$C:$C,$A12,RawData!M:M)</f>
        <v>0</v>
      </c>
      <c r="J12">
        <f>SUMIF(RawData!$C:$C,$A12,RawData!N:N)</f>
        <v>0</v>
      </c>
      <c r="K12">
        <f>SUMIF(RawData!$C:$C,$A12,RawData!O:O)</f>
        <v>1</v>
      </c>
      <c r="L12">
        <f>SUMIF(RawData!$C:$C,$A12,RawData!P:P)</f>
        <v>1</v>
      </c>
      <c r="M12">
        <f>SUMIF(RawData!$C:$C,$A12,RawData!Q:Q)</f>
        <v>1</v>
      </c>
      <c r="N12">
        <f>SUMIF(RawData!$C:$C,$A12,RawData!R:R)</f>
        <v>1</v>
      </c>
      <c r="O12">
        <f>SUMIF(RawData!$C:$C,$A12,RawData!S:S)</f>
        <v>1</v>
      </c>
      <c r="P12">
        <f>SUMIF(RawData!$C:$C,$A12,RawData!T:T)</f>
        <v>1</v>
      </c>
      <c r="Q12">
        <f>SUMIF(RawData!$C:$C,$A12,RawData!U:U)</f>
        <v>1</v>
      </c>
      <c r="R12">
        <f>SUMIF(RawData!$C:$C,$A12,RawData!V:V)</f>
        <v>1</v>
      </c>
      <c r="S12">
        <f>SUMIF(RawData!$C:$C,$A12,RawData!W:W)</f>
        <v>1</v>
      </c>
      <c r="T12">
        <f>SUMIF(RawData!$C:$C,$A12,RawData!X:X)</f>
        <v>1</v>
      </c>
      <c r="U12">
        <f>SUMIF(RawData!$C:$C,$A12,RawData!Y:Y)</f>
        <v>1</v>
      </c>
      <c r="V12">
        <f>SUMIF(RawData!$C:$C,$A12,RawData!Z:Z)</f>
        <v>1</v>
      </c>
      <c r="W12">
        <f>SUMIF(RawData!$C:$C,$A12,RawData!AA:AA)</f>
        <v>1</v>
      </c>
      <c r="X12">
        <f>SUMIF(RawData!$C:$C,$A12,RawData!AB:AB)</f>
        <v>1</v>
      </c>
      <c r="Y12">
        <f>SUMIF(RawData!$C:$C,$A12,RawData!AC:AC)</f>
        <v>1</v>
      </c>
      <c r="Z12">
        <f>SUMIF(RawData!$C:$C,$A12,RawData!AD:AD)</f>
        <v>1</v>
      </c>
      <c r="AA12">
        <f>SUMIF(RawData!$C:$C,$A12,RawData!AE:AE)</f>
        <v>1</v>
      </c>
      <c r="AB12">
        <f>SUMIF(RawData!$C:$C,$A12,RawData!AF:AF)</f>
        <v>1</v>
      </c>
      <c r="AC12">
        <f>SUMIF(RawData!$C:$C,$A12,RawData!AG:AG)</f>
        <v>1</v>
      </c>
      <c r="AD12">
        <f>SUMIF(RawData!$C:$C,$A12,RawData!AH:AH)</f>
        <v>1</v>
      </c>
      <c r="AE12">
        <f>SUMIF(RawData!$C:$C,$A12,RawData!AI:AI)</f>
        <v>1</v>
      </c>
      <c r="AF12">
        <f>SUMIF(RawData!$C:$C,$A12,RawData!AJ:AJ)</f>
        <v>1</v>
      </c>
      <c r="AG12">
        <f>SUMIF(RawData!$C:$C,$A12,RawData!AK:AK)</f>
        <v>1</v>
      </c>
      <c r="AH12">
        <f>SUMIF(RawData!$C:$C,$A12,RawData!AL:AL)</f>
        <v>1</v>
      </c>
      <c r="AI12">
        <f>SUMIF(RawData!$C:$C,$A12,RawData!AM:AM)</f>
        <v>1</v>
      </c>
      <c r="AJ12">
        <f>SUMIF(RawData!$C:$C,$A12,RawData!AN:AN)</f>
        <v>1</v>
      </c>
      <c r="AK12">
        <f>SUMIF(RawData!$C:$C,$A12,RawData!AO:AO)</f>
        <v>2</v>
      </c>
      <c r="AL12">
        <f>SUMIF(RawData!$C:$C,$A12,RawData!AP:AP)</f>
        <v>7</v>
      </c>
      <c r="AM12">
        <f>SUMIF(RawData!$C:$C,$A12,RawData!AQ:AQ)</f>
        <v>7</v>
      </c>
      <c r="AN12">
        <f>SUMIF(RawData!$C:$C,$A12,RawData!AR:AR)</f>
        <v>12</v>
      </c>
      <c r="AO12">
        <f>SUMIF(RawData!$C:$C,$A12,RawData!AS:AS)</f>
        <v>14</v>
      </c>
      <c r="AP12">
        <f>SUMIF(RawData!$C:$C,$A12,RawData!AT:AT)</f>
        <v>15</v>
      </c>
      <c r="AQ12">
        <f>SUMIF(RawData!$C:$C,$A12,RawData!AU:AU)</f>
        <v>21</v>
      </c>
      <c r="AR12">
        <f>SUMIF(RawData!$C:$C,$A12,RawData!AV:AV)</f>
        <v>35</v>
      </c>
      <c r="AS12">
        <f>SUMIF(RawData!$C:$C,$A12,RawData!AW:AW)</f>
        <v>94</v>
      </c>
      <c r="AT12">
        <f>SUMIF(RawData!$C:$C,$A12,RawData!AX:AX)</f>
        <v>101</v>
      </c>
      <c r="AU12">
        <f>SUMIF(RawData!$C:$C,$A12,RawData!AY:AY)</f>
        <v>161</v>
      </c>
      <c r="AV12">
        <f>SUMIF(RawData!$C:$C,$A12,RawData!AZ:AZ)</f>
        <v>203</v>
      </c>
      <c r="AW12">
        <f>SUMIF(RawData!$C:$C,$A12,RawData!BA:BA)</f>
        <v>248</v>
      </c>
      <c r="AX12">
        <f>SUMIF(RawData!$C:$C,$A12,RawData!BB:BB)</f>
        <v>355</v>
      </c>
      <c r="AY12">
        <f>SUMIF(RawData!$C:$C,$A12,RawData!BC:BC)</f>
        <v>500</v>
      </c>
      <c r="AZ12">
        <f>SUMIF(RawData!$C:$C,$A12,RawData!BD:BD)</f>
        <v>599</v>
      </c>
      <c r="BA12">
        <f>SUMIF(RawData!$C:$C,$A12,RawData!BE:BE)</f>
        <v>814</v>
      </c>
      <c r="BB12">
        <f>SUMIF(RawData!$C:$C,$A12,RawData!BF:BF)</f>
        <v>961</v>
      </c>
      <c r="BC12">
        <f>SUMIF(RawData!$C:$C,$A12,RawData!BG:BG)</f>
        <v>1022</v>
      </c>
      <c r="BD12">
        <f>SUMIF(RawData!$C:$C,$A12,RawData!BH:BH)</f>
        <v>0</v>
      </c>
      <c r="BE12">
        <f>SUMIF(RawData!$C:$C,$A12,RawData!BI:BI)</f>
        <v>0</v>
      </c>
      <c r="BF12">
        <f>SUMIF(RawData!$C:$C,$A12,RawData!BJ:BJ)</f>
        <v>0</v>
      </c>
      <c r="BG12">
        <f>SUMIF(RawData!$C:$C,$A12,RawData!BK:BK)</f>
        <v>0</v>
      </c>
      <c r="BH12">
        <f>SUMIF(RawData!$C:$C,$A12,RawData!BL:BL)</f>
        <v>0</v>
      </c>
      <c r="BI12">
        <f>SUMIF(RawData!$C:$C,$A12,RawData!BM:BM)</f>
        <v>0</v>
      </c>
      <c r="BJ12">
        <f>SUMIF(RawData!$C:$C,$A12,RawData!BN:BN)</f>
        <v>0</v>
      </c>
      <c r="BK12">
        <f>SUMIF(RawData!$C:$C,$A12,RawData!BO:BO)</f>
        <v>0</v>
      </c>
      <c r="BL12">
        <f>SUMIF(RawData!$C:$C,$A12,RawData!BP:BP)</f>
        <v>0</v>
      </c>
      <c r="BM12">
        <f>SUMIF(RawData!$C:$C,$A12,RawData!BQ:BQ)</f>
        <v>0</v>
      </c>
      <c r="BN12">
        <f>SUMIF(RawData!$C:$C,$A12,RawData!BR:BR)</f>
        <v>0</v>
      </c>
      <c r="BO12">
        <f>SUMIF(RawData!$C:$C,$A12,RawData!BS:BS)</f>
        <v>0</v>
      </c>
      <c r="BP12">
        <f>SUMIF(RawData!$C:$C,$A12,RawData!BT:BT)</f>
        <v>0</v>
      </c>
      <c r="BQ12">
        <f>SUMIF(RawData!$C:$C,$A12,RawData!BU:BU)</f>
        <v>0</v>
      </c>
      <c r="BR12">
        <f>SUMIF(RawData!$C:$C,$A12,RawData!BV:BV)</f>
        <v>0</v>
      </c>
      <c r="BS12">
        <f>SUMIF(RawData!$C:$C,$A12,RawData!BW:BW)</f>
        <v>0</v>
      </c>
      <c r="BT12">
        <f>SUMIF(RawData!$C:$C,$A12,RawData!BX:BX)</f>
        <v>0</v>
      </c>
    </row>
    <row r="13" spans="1:72" ht="15" thickBot="1" x14ac:dyDescent="0.35">
      <c r="A13" s="4" t="s">
        <v>114</v>
      </c>
      <c r="B13">
        <f>SUMIF(RawData!$C:$C,$A13,RawData!F:F)</f>
        <v>0</v>
      </c>
      <c r="C13">
        <f>SUMIF(RawData!$C:$C,$A13,RawData!G:G)</f>
        <v>0</v>
      </c>
      <c r="D13">
        <f>SUMIF(RawData!$C:$C,$A13,RawData!H:H)</f>
        <v>0</v>
      </c>
      <c r="E13">
        <f>SUMIF(RawData!$C:$C,$A13,RawData!I:I)</f>
        <v>0</v>
      </c>
      <c r="F13">
        <f>SUMIF(RawData!$C:$C,$A13,RawData!J:J)</f>
        <v>0</v>
      </c>
      <c r="G13">
        <f>SUMIF(RawData!$C:$C,$A13,RawData!K:K)</f>
        <v>0</v>
      </c>
      <c r="H13">
        <f>SUMIF(RawData!$C:$C,$A13,RawData!L:L)</f>
        <v>0</v>
      </c>
      <c r="I13">
        <f>SUMIF(RawData!$C:$C,$A13,RawData!M:M)</f>
        <v>0</v>
      </c>
      <c r="J13">
        <f>SUMIF(RawData!$C:$C,$A13,RawData!N:N)</f>
        <v>0</v>
      </c>
      <c r="K13">
        <f>SUMIF(RawData!$C:$C,$A13,RawData!O:O)</f>
        <v>0</v>
      </c>
      <c r="L13">
        <f>SUMIF(RawData!$C:$C,$A13,RawData!P:P)</f>
        <v>0</v>
      </c>
      <c r="M13">
        <f>SUMIF(RawData!$C:$C,$A13,RawData!Q:Q)</f>
        <v>0</v>
      </c>
      <c r="N13">
        <f>SUMIF(RawData!$C:$C,$A13,RawData!R:R)</f>
        <v>0</v>
      </c>
      <c r="O13">
        <f>SUMIF(RawData!$C:$C,$A13,RawData!S:S)</f>
        <v>0</v>
      </c>
      <c r="P13">
        <f>SUMIF(RawData!$C:$C,$A13,RawData!T:T)</f>
        <v>0</v>
      </c>
      <c r="Q13">
        <f>SUMIF(RawData!$C:$C,$A13,RawData!U:U)</f>
        <v>0</v>
      </c>
      <c r="R13">
        <f>SUMIF(RawData!$C:$C,$A13,RawData!V:V)</f>
        <v>0</v>
      </c>
      <c r="S13">
        <f>SUMIF(RawData!$C:$C,$A13,RawData!W:W)</f>
        <v>0</v>
      </c>
      <c r="T13">
        <f>SUMIF(RawData!$C:$C,$A13,RawData!X:X)</f>
        <v>0</v>
      </c>
      <c r="U13">
        <f>SUMIF(RawData!$C:$C,$A13,RawData!Y:Y)</f>
        <v>0</v>
      </c>
      <c r="V13">
        <f>SUMIF(RawData!$C:$C,$A13,RawData!Z:Z)</f>
        <v>0</v>
      </c>
      <c r="W13">
        <f>SUMIF(RawData!$C:$C,$A13,RawData!AA:AA)</f>
        <v>0</v>
      </c>
      <c r="X13">
        <f>SUMIF(RawData!$C:$C,$A13,RawData!AB:AB)</f>
        <v>0</v>
      </c>
      <c r="Y13">
        <f>SUMIF(RawData!$C:$C,$A13,RawData!AC:AC)</f>
        <v>0</v>
      </c>
      <c r="Z13">
        <f>SUMIF(RawData!$C:$C,$A13,RawData!AD:AD)</f>
        <v>0</v>
      </c>
      <c r="AA13">
        <f>SUMIF(RawData!$C:$C,$A13,RawData!AE:AE)</f>
        <v>0</v>
      </c>
      <c r="AB13">
        <f>SUMIF(RawData!$C:$C,$A13,RawData!AF:AF)</f>
        <v>0</v>
      </c>
      <c r="AC13">
        <f>SUMIF(RawData!$C:$C,$A13,RawData!AG:AG)</f>
        <v>0</v>
      </c>
      <c r="AD13">
        <f>SUMIF(RawData!$C:$C,$A13,RawData!AH:AH)</f>
        <v>0</v>
      </c>
      <c r="AE13">
        <f>SUMIF(RawData!$C:$C,$A13,RawData!AI:AI)</f>
        <v>0</v>
      </c>
      <c r="AF13">
        <f>SUMIF(RawData!$C:$C,$A13,RawData!AJ:AJ)</f>
        <v>0</v>
      </c>
      <c r="AG13">
        <f>SUMIF(RawData!$C:$C,$A13,RawData!AK:AK)</f>
        <v>0</v>
      </c>
      <c r="AH13">
        <f>SUMIF(RawData!$C:$C,$A13,RawData!AL:AL)</f>
        <v>0</v>
      </c>
      <c r="AI13">
        <f>SUMIF(RawData!$C:$C,$A13,RawData!AM:AM)</f>
        <v>0</v>
      </c>
      <c r="AJ13">
        <f>SUMIF(RawData!$C:$C,$A13,RawData!AN:AN)</f>
        <v>0</v>
      </c>
      <c r="AK13">
        <f>SUMIF(RawData!$C:$C,$A13,RawData!AO:AO)</f>
        <v>0</v>
      </c>
      <c r="AL13">
        <f>SUMIF(RawData!$C:$C,$A13,RawData!AP:AP)</f>
        <v>1</v>
      </c>
      <c r="AM13">
        <f>SUMIF(RawData!$C:$C,$A13,RawData!AQ:AQ)</f>
        <v>1</v>
      </c>
      <c r="AN13">
        <f>SUMIF(RawData!$C:$C,$A13,RawData!AR:AR)</f>
        <v>3</v>
      </c>
      <c r="AO13">
        <f>SUMIF(RawData!$C:$C,$A13,RawData!AS:AS)</f>
        <v>4</v>
      </c>
      <c r="AP13">
        <f>SUMIF(RawData!$C:$C,$A13,RawData!AT:AT)</f>
        <v>4</v>
      </c>
      <c r="AQ13">
        <f>SUMIF(RawData!$C:$C,$A13,RawData!AU:AU)</f>
        <v>6</v>
      </c>
      <c r="AR13">
        <f>SUMIF(RawData!$C:$C,$A13,RawData!AV:AV)</f>
        <v>11</v>
      </c>
      <c r="AS13">
        <f>SUMIF(RawData!$C:$C,$A13,RawData!AW:AW)</f>
        <v>11</v>
      </c>
      <c r="AT13">
        <f>SUMIF(RawData!$C:$C,$A13,RawData!AX:AX)</f>
        <v>24</v>
      </c>
      <c r="AU13">
        <f>SUMIF(RawData!$C:$C,$A13,RawData!AY:AY)</f>
        <v>24</v>
      </c>
      <c r="AV13">
        <f>SUMIF(RawData!$C:$C,$A13,RawData!AZ:AZ)</f>
        <v>37</v>
      </c>
      <c r="AW13">
        <f>SUMIF(RawData!$C:$C,$A13,RawData!BA:BA)</f>
        <v>92</v>
      </c>
      <c r="AX13">
        <f>SUMIF(RawData!$C:$C,$A13,RawData!BB:BB)</f>
        <v>264</v>
      </c>
      <c r="AY13">
        <f>SUMIF(RawData!$C:$C,$A13,RawData!BC:BC)</f>
        <v>444</v>
      </c>
      <c r="AZ13">
        <f>SUMIF(RawData!$C:$C,$A13,RawData!BD:BD)</f>
        <v>617</v>
      </c>
      <c r="BA13">
        <f>SUMIF(RawData!$C:$C,$A13,RawData!BE:BE)</f>
        <v>804</v>
      </c>
      <c r="BB13">
        <f>SUMIF(RawData!$C:$C,$A13,RawData!BF:BF)</f>
        <v>836</v>
      </c>
      <c r="BC13">
        <f>SUMIF(RawData!$C:$C,$A13,RawData!BG:BG)</f>
        <v>875</v>
      </c>
      <c r="BD13">
        <f>SUMIF(RawData!$C:$C,$A13,RawData!BH:BH)</f>
        <v>0</v>
      </c>
      <c r="BE13">
        <f>SUMIF(RawData!$C:$C,$A13,RawData!BI:BI)</f>
        <v>0</v>
      </c>
      <c r="BF13">
        <f>SUMIF(RawData!$C:$C,$A13,RawData!BJ:BJ)</f>
        <v>0</v>
      </c>
      <c r="BG13">
        <f>SUMIF(RawData!$C:$C,$A13,RawData!BK:BK)</f>
        <v>0</v>
      </c>
      <c r="BH13">
        <f>SUMIF(RawData!$C:$C,$A13,RawData!BL:BL)</f>
        <v>0</v>
      </c>
      <c r="BI13">
        <f>SUMIF(RawData!$C:$C,$A13,RawData!BM:BM)</f>
        <v>0</v>
      </c>
      <c r="BJ13">
        <f>SUMIF(RawData!$C:$C,$A13,RawData!BN:BN)</f>
        <v>0</v>
      </c>
      <c r="BK13">
        <f>SUMIF(RawData!$C:$C,$A13,RawData!BO:BO)</f>
        <v>0</v>
      </c>
      <c r="BL13">
        <f>SUMIF(RawData!$C:$C,$A13,RawData!BP:BP)</f>
        <v>0</v>
      </c>
      <c r="BM13">
        <f>SUMIF(RawData!$C:$C,$A13,RawData!BQ:BQ)</f>
        <v>0</v>
      </c>
      <c r="BN13">
        <f>SUMIF(RawData!$C:$C,$A13,RawData!BR:BR)</f>
        <v>0</v>
      </c>
      <c r="BO13">
        <f>SUMIF(RawData!$C:$C,$A13,RawData!BS:BS)</f>
        <v>0</v>
      </c>
      <c r="BP13">
        <f>SUMIF(RawData!$C:$C,$A13,RawData!BT:BT)</f>
        <v>0</v>
      </c>
      <c r="BQ13">
        <f>SUMIF(RawData!$C:$C,$A13,RawData!BU:BU)</f>
        <v>0</v>
      </c>
      <c r="BR13">
        <f>SUMIF(RawData!$C:$C,$A13,RawData!BV:BV)</f>
        <v>0</v>
      </c>
      <c r="BS13">
        <f>SUMIF(RawData!$C:$C,$A13,RawData!BW:BW)</f>
        <v>0</v>
      </c>
      <c r="BT13">
        <f>SUMIF(RawData!$C:$C,$A13,RawData!BX:BX)</f>
        <v>0</v>
      </c>
    </row>
    <row r="14" spans="1:72" ht="15" thickBot="1" x14ac:dyDescent="0.35">
      <c r="A14" s="4" t="s">
        <v>116</v>
      </c>
      <c r="B14">
        <f>SUMIF(RawData!$C:$C,$A14,RawData!F:F)</f>
        <v>0</v>
      </c>
      <c r="C14">
        <f>SUMIF(RawData!$C:$C,$A14,RawData!G:G)</f>
        <v>0</v>
      </c>
      <c r="D14">
        <f>SUMIF(RawData!$C:$C,$A14,RawData!H:H)</f>
        <v>0</v>
      </c>
      <c r="E14">
        <f>SUMIF(RawData!$C:$C,$A14,RawData!I:I)</f>
        <v>0</v>
      </c>
      <c r="F14">
        <f>SUMIF(RawData!$C:$C,$A14,RawData!J:J)</f>
        <v>0</v>
      </c>
      <c r="G14">
        <f>SUMIF(RawData!$C:$C,$A14,RawData!K:K)</f>
        <v>0</v>
      </c>
      <c r="H14">
        <f>SUMIF(RawData!$C:$C,$A14,RawData!L:L)</f>
        <v>0</v>
      </c>
      <c r="I14">
        <f>SUMIF(RawData!$C:$C,$A14,RawData!M:M)</f>
        <v>0</v>
      </c>
      <c r="J14">
        <f>SUMIF(RawData!$C:$C,$A14,RawData!N:N)</f>
        <v>0</v>
      </c>
      <c r="K14">
        <f>SUMIF(RawData!$C:$C,$A14,RawData!O:O)</f>
        <v>0</v>
      </c>
      <c r="L14">
        <f>SUMIF(RawData!$C:$C,$A14,RawData!P:P)</f>
        <v>0</v>
      </c>
      <c r="M14">
        <f>SUMIF(RawData!$C:$C,$A14,RawData!Q:Q)</f>
        <v>0</v>
      </c>
      <c r="N14">
        <f>SUMIF(RawData!$C:$C,$A14,RawData!R:R)</f>
        <v>0</v>
      </c>
      <c r="O14">
        <f>SUMIF(RawData!$C:$C,$A14,RawData!S:S)</f>
        <v>0</v>
      </c>
      <c r="P14">
        <f>SUMIF(RawData!$C:$C,$A14,RawData!T:T)</f>
        <v>0</v>
      </c>
      <c r="Q14">
        <f>SUMIF(RawData!$C:$C,$A14,RawData!U:U)</f>
        <v>0</v>
      </c>
      <c r="R14">
        <f>SUMIF(RawData!$C:$C,$A14,RawData!V:V)</f>
        <v>0</v>
      </c>
      <c r="S14">
        <f>SUMIF(RawData!$C:$C,$A14,RawData!W:W)</f>
        <v>0</v>
      </c>
      <c r="T14">
        <f>SUMIF(RawData!$C:$C,$A14,RawData!X:X)</f>
        <v>0</v>
      </c>
      <c r="U14">
        <f>SUMIF(RawData!$C:$C,$A14,RawData!Y:Y)</f>
        <v>0</v>
      </c>
      <c r="V14">
        <f>SUMIF(RawData!$C:$C,$A14,RawData!Z:Z)</f>
        <v>0</v>
      </c>
      <c r="W14">
        <f>SUMIF(RawData!$C:$C,$A14,RawData!AA:AA)</f>
        <v>0</v>
      </c>
      <c r="X14">
        <f>SUMIF(RawData!$C:$C,$A14,RawData!AB:AB)</f>
        <v>0</v>
      </c>
      <c r="Y14">
        <f>SUMIF(RawData!$C:$C,$A14,RawData!AC:AC)</f>
        <v>0</v>
      </c>
      <c r="Z14">
        <f>SUMIF(RawData!$C:$C,$A14,RawData!AD:AD)</f>
        <v>0</v>
      </c>
      <c r="AA14">
        <f>SUMIF(RawData!$C:$C,$A14,RawData!AE:AE)</f>
        <v>0</v>
      </c>
      <c r="AB14">
        <f>SUMIF(RawData!$C:$C,$A14,RawData!AF:AF)</f>
        <v>0</v>
      </c>
      <c r="AC14">
        <f>SUMIF(RawData!$C:$C,$A14,RawData!AG:AG)</f>
        <v>0</v>
      </c>
      <c r="AD14">
        <f>SUMIF(RawData!$C:$C,$A14,RawData!AH:AH)</f>
        <v>0</v>
      </c>
      <c r="AE14">
        <f>SUMIF(RawData!$C:$C,$A14,RawData!AI:AI)</f>
        <v>0</v>
      </c>
      <c r="AF14">
        <f>SUMIF(RawData!$C:$C,$A14,RawData!AJ:AJ)</f>
        <v>0</v>
      </c>
      <c r="AG14">
        <f>SUMIF(RawData!$C:$C,$A14,RawData!AK:AK)</f>
        <v>0</v>
      </c>
      <c r="AH14">
        <f>SUMIF(RawData!$C:$C,$A14,RawData!AL:AL)</f>
        <v>0</v>
      </c>
      <c r="AI14">
        <f>SUMIF(RawData!$C:$C,$A14,RawData!AM:AM)</f>
        <v>0</v>
      </c>
      <c r="AJ14">
        <f>SUMIF(RawData!$C:$C,$A14,RawData!AN:AN)</f>
        <v>0</v>
      </c>
      <c r="AK14">
        <f>SUMIF(RawData!$C:$C,$A14,RawData!AO:AO)</f>
        <v>0</v>
      </c>
      <c r="AL14">
        <f>SUMIF(RawData!$C:$C,$A14,RawData!AP:AP)</f>
        <v>1</v>
      </c>
      <c r="AM14">
        <f>SUMIF(RawData!$C:$C,$A14,RawData!AQ:AQ)</f>
        <v>1</v>
      </c>
      <c r="AN14">
        <f>SUMIF(RawData!$C:$C,$A14,RawData!AR:AR)</f>
        <v>6</v>
      </c>
      <c r="AO14">
        <f>SUMIF(RawData!$C:$C,$A14,RawData!AS:AS)</f>
        <v>10</v>
      </c>
      <c r="AP14">
        <f>SUMIF(RawData!$C:$C,$A14,RawData!AT:AT)</f>
        <v>18</v>
      </c>
      <c r="AQ14">
        <f>SUMIF(RawData!$C:$C,$A14,RawData!AU:AU)</f>
        <v>24</v>
      </c>
      <c r="AR14">
        <f>SUMIF(RawData!$C:$C,$A14,RawData!AV:AV)</f>
        <v>38</v>
      </c>
      <c r="AS14">
        <f>SUMIF(RawData!$C:$C,$A14,RawData!AW:AW)</f>
        <v>82</v>
      </c>
      <c r="AT14">
        <f>SUMIF(RawData!$C:$C,$A14,RawData!AX:AX)</f>
        <v>128</v>
      </c>
      <c r="AU14">
        <f>SUMIF(RawData!$C:$C,$A14,RawData!AY:AY)</f>
        <v>188</v>
      </c>
      <c r="AV14">
        <f>SUMIF(RawData!$C:$C,$A14,RawData!AZ:AZ)</f>
        <v>265</v>
      </c>
      <c r="AW14">
        <f>SUMIF(RawData!$C:$C,$A14,RawData!BA:BA)</f>
        <v>321</v>
      </c>
      <c r="AX14">
        <f>SUMIF(RawData!$C:$C,$A14,RawData!BB:BB)</f>
        <v>382</v>
      </c>
      <c r="AY14">
        <f>SUMIF(RawData!$C:$C,$A14,RawData!BC:BC)</f>
        <v>503</v>
      </c>
      <c r="AZ14">
        <f>SUMIF(RawData!$C:$C,$A14,RawData!BD:BD)</f>
        <v>503</v>
      </c>
      <c r="BA14">
        <f>SUMIF(RawData!$C:$C,$A14,RawData!BE:BE)</f>
        <v>804</v>
      </c>
      <c r="BB14">
        <f>SUMIF(RawData!$C:$C,$A14,RawData!BF:BF)</f>
        <v>959</v>
      </c>
      <c r="BC14">
        <f>SUMIF(RawData!$C:$C,$A14,RawData!BG:BG)</f>
        <v>1135</v>
      </c>
      <c r="BD14">
        <f>SUMIF(RawData!$C:$C,$A14,RawData!BH:BH)</f>
        <v>0</v>
      </c>
      <c r="BE14">
        <f>SUMIF(RawData!$C:$C,$A14,RawData!BI:BI)</f>
        <v>0</v>
      </c>
      <c r="BF14">
        <f>SUMIF(RawData!$C:$C,$A14,RawData!BJ:BJ)</f>
        <v>0</v>
      </c>
      <c r="BG14">
        <f>SUMIF(RawData!$C:$C,$A14,RawData!BK:BK)</f>
        <v>0</v>
      </c>
      <c r="BH14">
        <f>SUMIF(RawData!$C:$C,$A14,RawData!BL:BL)</f>
        <v>0</v>
      </c>
      <c r="BI14">
        <f>SUMIF(RawData!$C:$C,$A14,RawData!BM:BM)</f>
        <v>0</v>
      </c>
      <c r="BJ14">
        <f>SUMIF(RawData!$C:$C,$A14,RawData!BN:BN)</f>
        <v>0</v>
      </c>
      <c r="BK14">
        <f>SUMIF(RawData!$C:$C,$A14,RawData!BO:BO)</f>
        <v>0</v>
      </c>
      <c r="BL14">
        <f>SUMIF(RawData!$C:$C,$A14,RawData!BP:BP)</f>
        <v>0</v>
      </c>
      <c r="BM14">
        <f>SUMIF(RawData!$C:$C,$A14,RawData!BQ:BQ)</f>
        <v>0</v>
      </c>
      <c r="BN14">
        <f>SUMIF(RawData!$C:$C,$A14,RawData!BR:BR)</f>
        <v>0</v>
      </c>
      <c r="BO14">
        <f>SUMIF(RawData!$C:$C,$A14,RawData!BS:BS)</f>
        <v>0</v>
      </c>
      <c r="BP14">
        <f>SUMIF(RawData!$C:$C,$A14,RawData!BT:BT)</f>
        <v>0</v>
      </c>
      <c r="BQ14">
        <f>SUMIF(RawData!$C:$C,$A14,RawData!BU:BU)</f>
        <v>0</v>
      </c>
      <c r="BR14">
        <f>SUMIF(RawData!$C:$C,$A14,RawData!BV:BV)</f>
        <v>0</v>
      </c>
      <c r="BS14">
        <f>SUMIF(RawData!$C:$C,$A14,RawData!BW:BW)</f>
        <v>0</v>
      </c>
      <c r="BT14">
        <f>SUMIF(RawData!$C:$C,$A14,RawData!BX:BX)</f>
        <v>0</v>
      </c>
    </row>
    <row r="15" spans="1:72" ht="15" thickBot="1" x14ac:dyDescent="0.35">
      <c r="A15" s="4" t="s">
        <v>377</v>
      </c>
      <c r="B15">
        <f>SUMIF(RawData!$C:$C,$A15,RawData!F:F)</f>
        <v>0</v>
      </c>
      <c r="C15">
        <f>SUMIF(RawData!$C:$C,$A15,RawData!G:G)</f>
        <v>0</v>
      </c>
      <c r="D15">
        <f>SUMIF(RawData!$C:$C,$A15,RawData!H:H)</f>
        <v>0</v>
      </c>
      <c r="E15">
        <f>SUMIF(RawData!$C:$C,$A15,RawData!I:I)</f>
        <v>0</v>
      </c>
      <c r="F15">
        <f>SUMIF(RawData!$C:$C,$A15,RawData!J:J)</f>
        <v>0</v>
      </c>
      <c r="G15">
        <f>SUMIF(RawData!$C:$C,$A15,RawData!K:K)</f>
        <v>0</v>
      </c>
      <c r="H15">
        <f>SUMIF(RawData!$C:$C,$A15,RawData!L:L)</f>
        <v>0</v>
      </c>
      <c r="I15">
        <f>SUMIF(RawData!$C:$C,$A15,RawData!M:M)</f>
        <v>0</v>
      </c>
      <c r="J15">
        <f>SUMIF(RawData!$C:$C,$A15,RawData!N:N)</f>
        <v>0</v>
      </c>
      <c r="K15">
        <f>SUMIF(RawData!$C:$C,$A15,RawData!O:O)</f>
        <v>2</v>
      </c>
      <c r="L15">
        <f>SUMIF(RawData!$C:$C,$A15,RawData!P:P)</f>
        <v>2</v>
      </c>
      <c r="M15">
        <f>SUMIF(RawData!$C:$C,$A15,RawData!Q:Q)</f>
        <v>2</v>
      </c>
      <c r="N15">
        <f>SUMIF(RawData!$C:$C,$A15,RawData!R:R)</f>
        <v>2</v>
      </c>
      <c r="O15">
        <f>SUMIF(RawData!$C:$C,$A15,RawData!S:S)</f>
        <v>2</v>
      </c>
      <c r="P15">
        <f>SUMIF(RawData!$C:$C,$A15,RawData!T:T)</f>
        <v>2</v>
      </c>
      <c r="Q15">
        <f>SUMIF(RawData!$C:$C,$A15,RawData!U:U)</f>
        <v>2</v>
      </c>
      <c r="R15">
        <f>SUMIF(RawData!$C:$C,$A15,RawData!V:V)</f>
        <v>3</v>
      </c>
      <c r="S15">
        <f>SUMIF(RawData!$C:$C,$A15,RawData!W:W)</f>
        <v>3</v>
      </c>
      <c r="T15">
        <f>SUMIF(RawData!$C:$C,$A15,RawData!X:X)</f>
        <v>3</v>
      </c>
      <c r="U15">
        <f>SUMIF(RawData!$C:$C,$A15,RawData!Y:Y)</f>
        <v>8</v>
      </c>
      <c r="V15">
        <f>SUMIF(RawData!$C:$C,$A15,RawData!Z:Z)</f>
        <v>8</v>
      </c>
      <c r="W15">
        <f>SUMIF(RawData!$C:$C,$A15,RawData!AA:AA)</f>
        <v>9</v>
      </c>
      <c r="X15">
        <f>SUMIF(RawData!$C:$C,$A15,RawData!AB:AB)</f>
        <v>9</v>
      </c>
      <c r="Y15">
        <f>SUMIF(RawData!$C:$C,$A15,RawData!AC:AC)</f>
        <v>9</v>
      </c>
      <c r="Z15">
        <f>SUMIF(RawData!$C:$C,$A15,RawData!AD:AD)</f>
        <v>9</v>
      </c>
      <c r="AA15">
        <f>SUMIF(RawData!$C:$C,$A15,RawData!AE:AE)</f>
        <v>9</v>
      </c>
      <c r="AB15">
        <f>SUMIF(RawData!$C:$C,$A15,RawData!AF:AF)</f>
        <v>9</v>
      </c>
      <c r="AC15">
        <f>SUMIF(RawData!$C:$C,$A15,RawData!AG:AG)</f>
        <v>9</v>
      </c>
      <c r="AD15">
        <f>SUMIF(RawData!$C:$C,$A15,RawData!AH:AH)</f>
        <v>9</v>
      </c>
      <c r="AE15">
        <f>SUMIF(RawData!$C:$C,$A15,RawData!AI:AI)</f>
        <v>9</v>
      </c>
      <c r="AF15">
        <f>SUMIF(RawData!$C:$C,$A15,RawData!AJ:AJ)</f>
        <v>9</v>
      </c>
      <c r="AG15">
        <f>SUMIF(RawData!$C:$C,$A15,RawData!AK:AK)</f>
        <v>9</v>
      </c>
      <c r="AH15">
        <f>SUMIF(RawData!$C:$C,$A15,RawData!AL:AL)</f>
        <v>9</v>
      </c>
      <c r="AI15">
        <f>SUMIF(RawData!$C:$C,$A15,RawData!AM:AM)</f>
        <v>13</v>
      </c>
      <c r="AJ15">
        <f>SUMIF(RawData!$C:$C,$A15,RawData!AN:AN)</f>
        <v>13</v>
      </c>
      <c r="AK15">
        <f>SUMIF(RawData!$C:$C,$A15,RawData!AO:AO)</f>
        <v>13</v>
      </c>
      <c r="AL15">
        <f>SUMIF(RawData!$C:$C,$A15,RawData!AP:AP)</f>
        <v>15</v>
      </c>
      <c r="AM15">
        <f>SUMIF(RawData!$C:$C,$A15,RawData!AQ:AQ)</f>
        <v>20</v>
      </c>
      <c r="AN15">
        <f>SUMIF(RawData!$C:$C,$A15,RawData!AR:AR)</f>
        <v>23</v>
      </c>
      <c r="AO15">
        <f>SUMIF(RawData!$C:$C,$A15,RawData!AS:AS)</f>
        <v>36</v>
      </c>
      <c r="AP15">
        <f>SUMIF(RawData!$C:$C,$A15,RawData!AT:AT)</f>
        <v>40</v>
      </c>
      <c r="AQ15">
        <f>SUMIF(RawData!$C:$C,$A15,RawData!AU:AU)</f>
        <v>51</v>
      </c>
      <c r="AR15">
        <f>SUMIF(RawData!$C:$C,$A15,RawData!AV:AV)</f>
        <v>86</v>
      </c>
      <c r="AS15">
        <f>SUMIF(RawData!$C:$C,$A15,RawData!AW:AW)</f>
        <v>116</v>
      </c>
      <c r="AT15">
        <f>SUMIF(RawData!$C:$C,$A15,RawData!AX:AX)</f>
        <v>164</v>
      </c>
      <c r="AU15">
        <f>SUMIF(RawData!$C:$C,$A15,RawData!AY:AY)</f>
        <v>207</v>
      </c>
      <c r="AV15">
        <f>SUMIF(RawData!$C:$C,$A15,RawData!AZ:AZ)</f>
        <v>274</v>
      </c>
      <c r="AW15">
        <f>SUMIF(RawData!$C:$C,$A15,RawData!BA:BA)</f>
        <v>322</v>
      </c>
      <c r="AX15">
        <f>SUMIF(RawData!$C:$C,$A15,RawData!BB:BB)</f>
        <v>384</v>
      </c>
      <c r="AY15">
        <f>SUMIF(RawData!$C:$C,$A15,RawData!BC:BC)</f>
        <v>459</v>
      </c>
      <c r="AZ15">
        <f>SUMIF(RawData!$C:$C,$A15,RawData!BD:BD)</f>
        <v>593</v>
      </c>
      <c r="BA15">
        <f>SUMIF(RawData!$C:$C,$A15,RawData!BE:BE)</f>
        <v>801</v>
      </c>
      <c r="BB15">
        <f>SUMIF(RawData!$C:$C,$A15,RawData!BF:BF)</f>
        <v>1143</v>
      </c>
      <c r="BC15">
        <f>SUMIF(RawData!$C:$C,$A15,RawData!BG:BG)</f>
        <v>1395</v>
      </c>
      <c r="BD15">
        <f>SUMIF(RawData!$C:$C,$A15,RawData!BH:BH)</f>
        <v>0</v>
      </c>
      <c r="BE15">
        <f>SUMIF(RawData!$C:$C,$A15,RawData!BI:BI)</f>
        <v>0</v>
      </c>
      <c r="BF15">
        <f>SUMIF(RawData!$C:$C,$A15,RawData!BJ:BJ)</f>
        <v>0</v>
      </c>
      <c r="BG15">
        <f>SUMIF(RawData!$C:$C,$A15,RawData!BK:BK)</f>
        <v>0</v>
      </c>
      <c r="BH15">
        <f>SUMIF(RawData!$C:$C,$A15,RawData!BL:BL)</f>
        <v>0</v>
      </c>
      <c r="BI15">
        <f>SUMIF(RawData!$C:$C,$A15,RawData!BM:BM)</f>
        <v>0</v>
      </c>
      <c r="BJ15">
        <f>SUMIF(RawData!$C:$C,$A15,RawData!BN:BN)</f>
        <v>0</v>
      </c>
      <c r="BK15">
        <f>SUMIF(RawData!$C:$C,$A15,RawData!BO:BO)</f>
        <v>0</v>
      </c>
      <c r="BL15">
        <f>SUMIF(RawData!$C:$C,$A15,RawData!BP:BP)</f>
        <v>0</v>
      </c>
      <c r="BM15">
        <f>SUMIF(RawData!$C:$C,$A15,RawData!BQ:BQ)</f>
        <v>0</v>
      </c>
      <c r="BN15">
        <f>SUMIF(RawData!$C:$C,$A15,RawData!BR:BR)</f>
        <v>0</v>
      </c>
      <c r="BO15">
        <f>SUMIF(RawData!$C:$C,$A15,RawData!BS:BS)</f>
        <v>0</v>
      </c>
      <c r="BP15">
        <f>SUMIF(RawData!$C:$C,$A15,RawData!BT:BT)</f>
        <v>0</v>
      </c>
      <c r="BQ15">
        <f>SUMIF(RawData!$C:$C,$A15,RawData!BU:BU)</f>
        <v>0</v>
      </c>
      <c r="BR15">
        <f>SUMIF(RawData!$C:$C,$A15,RawData!BV:BV)</f>
        <v>0</v>
      </c>
      <c r="BS15">
        <f>SUMIF(RawData!$C:$C,$A15,RawData!BW:BW)</f>
        <v>0</v>
      </c>
      <c r="BT15">
        <f>SUMIF(RawData!$C:$C,$A15,RawData!BX:BX)</f>
        <v>0</v>
      </c>
    </row>
    <row r="16" spans="1:72" ht="15" thickBot="1" x14ac:dyDescent="0.35">
      <c r="A16" s="5" t="s">
        <v>63</v>
      </c>
      <c r="B16">
        <f>SUMIF(RawData!$C:$C,$A16,RawData!F:F)</f>
        <v>2</v>
      </c>
      <c r="C16">
        <f>SUMIF(RawData!$C:$C,$A16,RawData!G:G)</f>
        <v>1</v>
      </c>
      <c r="D16">
        <f>SUMIF(RawData!$C:$C,$A16,RawData!H:H)</f>
        <v>2</v>
      </c>
      <c r="E16">
        <f>SUMIF(RawData!$C:$C,$A16,RawData!I:I)</f>
        <v>2</v>
      </c>
      <c r="F16">
        <f>SUMIF(RawData!$C:$C,$A16,RawData!J:J)</f>
        <v>4</v>
      </c>
      <c r="G16">
        <f>SUMIF(RawData!$C:$C,$A16,RawData!K:K)</f>
        <v>4</v>
      </c>
      <c r="H16">
        <f>SUMIF(RawData!$C:$C,$A16,RawData!L:L)</f>
        <v>7</v>
      </c>
      <c r="I16">
        <f>SUMIF(RawData!$C:$C,$A16,RawData!M:M)</f>
        <v>7</v>
      </c>
      <c r="J16">
        <f>SUMIF(RawData!$C:$C,$A16,RawData!N:N)</f>
        <v>11</v>
      </c>
      <c r="K16">
        <f>SUMIF(RawData!$C:$C,$A16,RawData!O:O)</f>
        <v>15</v>
      </c>
      <c r="L16">
        <f>SUMIF(RawData!$C:$C,$A16,RawData!P:P)</f>
        <v>20</v>
      </c>
      <c r="M16">
        <f>SUMIF(RawData!$C:$C,$A16,RawData!Q:Q)</f>
        <v>20</v>
      </c>
      <c r="N16">
        <f>SUMIF(RawData!$C:$C,$A16,RawData!R:R)</f>
        <v>20</v>
      </c>
      <c r="O16">
        <f>SUMIF(RawData!$C:$C,$A16,RawData!S:S)</f>
        <v>22</v>
      </c>
      <c r="P16">
        <f>SUMIF(RawData!$C:$C,$A16,RawData!T:T)</f>
        <v>22</v>
      </c>
      <c r="Q16">
        <f>SUMIF(RawData!$C:$C,$A16,RawData!U:U)</f>
        <v>45</v>
      </c>
      <c r="R16">
        <f>SUMIF(RawData!$C:$C,$A16,RawData!V:V)</f>
        <v>25</v>
      </c>
      <c r="S16">
        <f>SUMIF(RawData!$C:$C,$A16,RawData!W:W)</f>
        <v>25</v>
      </c>
      <c r="T16">
        <f>SUMIF(RawData!$C:$C,$A16,RawData!X:X)</f>
        <v>26</v>
      </c>
      <c r="U16">
        <f>SUMIF(RawData!$C:$C,$A16,RawData!Y:Y)</f>
        <v>26</v>
      </c>
      <c r="V16">
        <f>SUMIF(RawData!$C:$C,$A16,RawData!Z:Z)</f>
        <v>26</v>
      </c>
      <c r="W16">
        <f>SUMIF(RawData!$C:$C,$A16,RawData!AA:AA)</f>
        <v>28</v>
      </c>
      <c r="X16">
        <f>SUMIF(RawData!$C:$C,$A16,RawData!AB:AB)</f>
        <v>28</v>
      </c>
      <c r="Y16">
        <f>SUMIF(RawData!$C:$C,$A16,RawData!AC:AC)</f>
        <v>29</v>
      </c>
      <c r="Z16">
        <f>SUMIF(RawData!$C:$C,$A16,RawData!AD:AD)</f>
        <v>43</v>
      </c>
      <c r="AA16">
        <f>SUMIF(RawData!$C:$C,$A16,RawData!AE:AE)</f>
        <v>59</v>
      </c>
      <c r="AB16">
        <f>SUMIF(RawData!$C:$C,$A16,RawData!AF:AF)</f>
        <v>66</v>
      </c>
      <c r="AC16">
        <f>SUMIF(RawData!$C:$C,$A16,RawData!AG:AG)</f>
        <v>74</v>
      </c>
      <c r="AD16">
        <f>SUMIF(RawData!$C:$C,$A16,RawData!AH:AH)</f>
        <v>84</v>
      </c>
      <c r="AE16">
        <f>SUMIF(RawData!$C:$C,$A16,RawData!AI:AI)</f>
        <v>94</v>
      </c>
      <c r="AF16">
        <f>SUMIF(RawData!$C:$C,$A16,RawData!AJ:AJ)</f>
        <v>105</v>
      </c>
      <c r="AG16">
        <f>SUMIF(RawData!$C:$C,$A16,RawData!AK:AK)</f>
        <v>122</v>
      </c>
      <c r="AH16">
        <f>SUMIF(RawData!$C:$C,$A16,RawData!AL:AL)</f>
        <v>147</v>
      </c>
      <c r="AI16">
        <f>SUMIF(RawData!$C:$C,$A16,RawData!AM:AM)</f>
        <v>159</v>
      </c>
      <c r="AJ16">
        <f>SUMIF(RawData!$C:$C,$A16,RawData!AN:AN)</f>
        <v>170</v>
      </c>
      <c r="AK16">
        <f>SUMIF(RawData!$C:$C,$A16,RawData!AO:AO)</f>
        <v>189</v>
      </c>
      <c r="AL16">
        <f>SUMIF(RawData!$C:$C,$A16,RawData!AP:AP)</f>
        <v>214</v>
      </c>
      <c r="AM16">
        <f>SUMIF(RawData!$C:$C,$A16,RawData!AQ:AQ)</f>
        <v>228</v>
      </c>
      <c r="AN16">
        <f>SUMIF(RawData!$C:$C,$A16,RawData!AR:AR)</f>
        <v>241</v>
      </c>
      <c r="AO16">
        <f>SUMIF(RawData!$C:$C,$A16,RawData!AS:AS)</f>
        <v>256</v>
      </c>
      <c r="AP16">
        <f>SUMIF(RawData!$C:$C,$A16,RawData!AT:AT)</f>
        <v>274</v>
      </c>
      <c r="AQ16">
        <f>SUMIF(RawData!$C:$C,$A16,RawData!AU:AU)</f>
        <v>293</v>
      </c>
      <c r="AR16">
        <f>SUMIF(RawData!$C:$C,$A16,RawData!AV:AV)</f>
        <v>331</v>
      </c>
      <c r="AS16">
        <f>SUMIF(RawData!$C:$C,$A16,RawData!AW:AW)</f>
        <v>360</v>
      </c>
      <c r="AT16">
        <f>SUMIF(RawData!$C:$C,$A16,RawData!AX:AX)</f>
        <v>420</v>
      </c>
      <c r="AU16">
        <f>SUMIF(RawData!$C:$C,$A16,RawData!AY:AY)</f>
        <v>461</v>
      </c>
      <c r="AV16">
        <f>SUMIF(RawData!$C:$C,$A16,RawData!AZ:AZ)</f>
        <v>502</v>
      </c>
      <c r="AW16">
        <f>SUMIF(RawData!$C:$C,$A16,RawData!BA:BA)</f>
        <v>511</v>
      </c>
      <c r="AX16">
        <f>SUMIF(RawData!$C:$C,$A16,RawData!BB:BB)</f>
        <v>581</v>
      </c>
      <c r="AY16">
        <f>SUMIF(RawData!$C:$C,$A16,RawData!BC:BC)</f>
        <v>639</v>
      </c>
      <c r="AZ16">
        <f>SUMIF(RawData!$C:$C,$A16,RawData!BD:BD)</f>
        <v>639</v>
      </c>
      <c r="BA16">
        <f>SUMIF(RawData!$C:$C,$A16,RawData!BE:BE)</f>
        <v>701</v>
      </c>
      <c r="BB16">
        <f>SUMIF(RawData!$C:$C,$A16,RawData!BF:BF)</f>
        <v>773</v>
      </c>
      <c r="BC16">
        <f>SUMIF(RawData!$C:$C,$A16,RawData!BG:BG)</f>
        <v>839</v>
      </c>
      <c r="BD16">
        <f>SUMIF(RawData!$C:$C,$A16,RawData!BH:BH)</f>
        <v>0</v>
      </c>
      <c r="BE16">
        <f>SUMIF(RawData!$C:$C,$A16,RawData!BI:BI)</f>
        <v>0</v>
      </c>
      <c r="BF16">
        <f>SUMIF(RawData!$C:$C,$A16,RawData!BJ:BJ)</f>
        <v>0</v>
      </c>
      <c r="BG16">
        <f>SUMIF(RawData!$C:$C,$A16,RawData!BK:BK)</f>
        <v>0</v>
      </c>
      <c r="BH16">
        <f>SUMIF(RawData!$C:$C,$A16,RawData!BL:BL)</f>
        <v>0</v>
      </c>
      <c r="BI16">
        <f>SUMIF(RawData!$C:$C,$A16,RawData!BM:BM)</f>
        <v>0</v>
      </c>
      <c r="BJ16">
        <f>SUMIF(RawData!$C:$C,$A16,RawData!BN:BN)</f>
        <v>0</v>
      </c>
      <c r="BK16">
        <f>SUMIF(RawData!$C:$C,$A16,RawData!BO:BO)</f>
        <v>0</v>
      </c>
      <c r="BL16">
        <f>SUMIF(RawData!$C:$C,$A16,RawData!BP:BP)</f>
        <v>0</v>
      </c>
      <c r="BM16">
        <f>SUMIF(RawData!$C:$C,$A16,RawData!BQ:BQ)</f>
        <v>0</v>
      </c>
      <c r="BN16">
        <f>SUMIF(RawData!$C:$C,$A16,RawData!BR:BR)</f>
        <v>0</v>
      </c>
      <c r="BO16">
        <f>SUMIF(RawData!$C:$C,$A16,RawData!BS:BS)</f>
        <v>0</v>
      </c>
      <c r="BP16">
        <f>SUMIF(RawData!$C:$C,$A16,RawData!BT:BT)</f>
        <v>0</v>
      </c>
      <c r="BQ16">
        <f>SUMIF(RawData!$C:$C,$A16,RawData!BU:BU)</f>
        <v>0</v>
      </c>
      <c r="BR16">
        <f>SUMIF(RawData!$C:$C,$A16,RawData!BV:BV)</f>
        <v>0</v>
      </c>
      <c r="BS16">
        <f>SUMIF(RawData!$C:$C,$A16,RawData!BW:BW)</f>
        <v>0</v>
      </c>
      <c r="BT16">
        <f>SUMIF(RawData!$C:$C,$A16,RawData!BX:BX)</f>
        <v>0</v>
      </c>
    </row>
    <row r="17" spans="1:72" ht="15" thickBot="1" x14ac:dyDescent="0.35">
      <c r="A17" s="5" t="s">
        <v>368</v>
      </c>
      <c r="B17">
        <f>SUMIF(RawData!$C:$C,$A17,RawData!F:F)</f>
        <v>0</v>
      </c>
      <c r="C17">
        <f>SUMIF(RawData!$C:$C,$A17,RawData!G:G)</f>
        <v>0</v>
      </c>
      <c r="D17">
        <f>SUMIF(RawData!$C:$C,$A17,RawData!H:H)</f>
        <v>0</v>
      </c>
      <c r="E17">
        <f>SUMIF(RawData!$C:$C,$A17,RawData!I:I)</f>
        <v>0</v>
      </c>
      <c r="F17">
        <f>SUMIF(RawData!$C:$C,$A17,RawData!J:J)</f>
        <v>0</v>
      </c>
      <c r="G17">
        <f>SUMIF(RawData!$C:$C,$A17,RawData!K:K)</f>
        <v>0</v>
      </c>
      <c r="H17">
        <f>SUMIF(RawData!$C:$C,$A17,RawData!L:L)</f>
        <v>0</v>
      </c>
      <c r="I17">
        <f>SUMIF(RawData!$C:$C,$A17,RawData!M:M)</f>
        <v>0</v>
      </c>
      <c r="J17">
        <f>SUMIF(RawData!$C:$C,$A17,RawData!N:N)</f>
        <v>0</v>
      </c>
      <c r="K17">
        <f>SUMIF(RawData!$C:$C,$A17,RawData!O:O)</f>
        <v>0</v>
      </c>
      <c r="L17">
        <f>SUMIF(RawData!$C:$C,$A17,RawData!P:P)</f>
        <v>0</v>
      </c>
      <c r="M17">
        <f>SUMIF(RawData!$C:$C,$A17,RawData!Q:Q)</f>
        <v>0</v>
      </c>
      <c r="N17">
        <f>SUMIF(RawData!$C:$C,$A17,RawData!R:R)</f>
        <v>0</v>
      </c>
      <c r="O17">
        <f>SUMIF(RawData!$C:$C,$A17,RawData!S:S)</f>
        <v>0</v>
      </c>
      <c r="P17">
        <f>SUMIF(RawData!$C:$C,$A17,RawData!T:T)</f>
        <v>0</v>
      </c>
      <c r="Q17">
        <f>SUMIF(RawData!$C:$C,$A17,RawData!U:U)</f>
        <v>0</v>
      </c>
      <c r="R17">
        <f>SUMIF(RawData!$C:$C,$A17,RawData!V:V)</f>
        <v>61</v>
      </c>
      <c r="S17">
        <f>SUMIF(RawData!$C:$C,$A17,RawData!W:W)</f>
        <v>61</v>
      </c>
      <c r="T17">
        <f>SUMIF(RawData!$C:$C,$A17,RawData!X:X)</f>
        <v>64</v>
      </c>
      <c r="U17">
        <f>SUMIF(RawData!$C:$C,$A17,RawData!Y:Y)</f>
        <v>135</v>
      </c>
      <c r="V17">
        <f>SUMIF(RawData!$C:$C,$A17,RawData!Z:Z)</f>
        <v>135</v>
      </c>
      <c r="W17">
        <f>SUMIF(RawData!$C:$C,$A17,RawData!AA:AA)</f>
        <v>175</v>
      </c>
      <c r="X17">
        <f>SUMIF(RawData!$C:$C,$A17,RawData!AB:AB)</f>
        <v>175</v>
      </c>
      <c r="Y17">
        <f>SUMIF(RawData!$C:$C,$A17,RawData!AC:AC)</f>
        <v>218</v>
      </c>
      <c r="Z17">
        <f>SUMIF(RawData!$C:$C,$A17,RawData!AD:AD)</f>
        <v>285</v>
      </c>
      <c r="AA17">
        <f>SUMIF(RawData!$C:$C,$A17,RawData!AE:AE)</f>
        <v>355</v>
      </c>
      <c r="AB17">
        <f>SUMIF(RawData!$C:$C,$A17,RawData!AF:AF)</f>
        <v>454</v>
      </c>
      <c r="AC17">
        <f>SUMIF(RawData!$C:$C,$A17,RawData!AG:AG)</f>
        <v>542</v>
      </c>
      <c r="AD17">
        <f>SUMIF(RawData!$C:$C,$A17,RawData!AH:AH)</f>
        <v>621</v>
      </c>
      <c r="AE17">
        <f>SUMIF(RawData!$C:$C,$A17,RawData!AI:AI)</f>
        <v>634</v>
      </c>
      <c r="AF17">
        <f>SUMIF(RawData!$C:$C,$A17,RawData!AJ:AJ)</f>
        <v>634</v>
      </c>
      <c r="AG17">
        <f>SUMIF(RawData!$C:$C,$A17,RawData!AK:AK)</f>
        <v>634</v>
      </c>
      <c r="AH17">
        <f>SUMIF(RawData!$C:$C,$A17,RawData!AL:AL)</f>
        <v>691</v>
      </c>
      <c r="AI17">
        <f>SUMIF(RawData!$C:$C,$A17,RawData!AM:AM)</f>
        <v>691</v>
      </c>
      <c r="AJ17">
        <f>SUMIF(RawData!$C:$C,$A17,RawData!AN:AN)</f>
        <v>691</v>
      </c>
      <c r="AK17">
        <f>SUMIF(RawData!$C:$C,$A17,RawData!AO:AO)</f>
        <v>705</v>
      </c>
      <c r="AL17">
        <f>SUMIF(RawData!$C:$C,$A17,RawData!AP:AP)</f>
        <v>705</v>
      </c>
      <c r="AM17">
        <f>SUMIF(RawData!$C:$C,$A17,RawData!AQ:AQ)</f>
        <v>705</v>
      </c>
      <c r="AN17">
        <f>SUMIF(RawData!$C:$C,$A17,RawData!AR:AR)</f>
        <v>705</v>
      </c>
      <c r="AO17">
        <f>SUMIF(RawData!$C:$C,$A17,RawData!AS:AS)</f>
        <v>705</v>
      </c>
      <c r="AP17">
        <f>SUMIF(RawData!$C:$C,$A17,RawData!AT:AT)</f>
        <v>705</v>
      </c>
      <c r="AQ17">
        <f>SUMIF(RawData!$C:$C,$A17,RawData!AU:AU)</f>
        <v>706</v>
      </c>
      <c r="AR17">
        <f>SUMIF(RawData!$C:$C,$A17,RawData!AV:AV)</f>
        <v>706</v>
      </c>
      <c r="AS17">
        <f>SUMIF(RawData!$C:$C,$A17,RawData!AW:AW)</f>
        <v>706</v>
      </c>
      <c r="AT17">
        <f>SUMIF(RawData!$C:$C,$A17,RawData!AX:AX)</f>
        <v>696</v>
      </c>
      <c r="AU17">
        <f>SUMIF(RawData!$C:$C,$A17,RawData!AY:AY)</f>
        <v>696</v>
      </c>
      <c r="AV17">
        <f>SUMIF(RawData!$C:$C,$A17,RawData!AZ:AZ)</f>
        <v>696</v>
      </c>
      <c r="AW17">
        <f>SUMIF(RawData!$C:$C,$A17,RawData!BA:BA)</f>
        <v>696</v>
      </c>
      <c r="AX17">
        <f>SUMIF(RawData!$C:$C,$A17,RawData!BB:BB)</f>
        <v>696</v>
      </c>
      <c r="AY17">
        <f>SUMIF(RawData!$C:$C,$A17,RawData!BC:BC)</f>
        <v>696</v>
      </c>
      <c r="AZ17">
        <f>SUMIF(RawData!$C:$C,$A17,RawData!BD:BD)</f>
        <v>696</v>
      </c>
      <c r="BA17">
        <f>SUMIF(RawData!$C:$C,$A17,RawData!BE:BE)</f>
        <v>696</v>
      </c>
      <c r="BB17">
        <f>SUMIF(RawData!$C:$C,$A17,RawData!BF:BF)</f>
        <v>696</v>
      </c>
      <c r="BC17">
        <f>SUMIF(RawData!$C:$C,$A17,RawData!BG:BG)</f>
        <v>696</v>
      </c>
      <c r="BD17">
        <f>SUMIF(RawData!$C:$C,$A17,RawData!BH:BH)</f>
        <v>0</v>
      </c>
      <c r="BE17">
        <f>SUMIF(RawData!$C:$C,$A17,RawData!BI:BI)</f>
        <v>0</v>
      </c>
      <c r="BF17">
        <f>SUMIF(RawData!$C:$C,$A17,RawData!BJ:BJ)</f>
        <v>0</v>
      </c>
      <c r="BG17">
        <f>SUMIF(RawData!$C:$C,$A17,RawData!BK:BK)</f>
        <v>0</v>
      </c>
      <c r="BH17">
        <f>SUMIF(RawData!$C:$C,$A17,RawData!BL:BL)</f>
        <v>0</v>
      </c>
      <c r="BI17">
        <f>SUMIF(RawData!$C:$C,$A17,RawData!BM:BM)</f>
        <v>0</v>
      </c>
      <c r="BJ17">
        <f>SUMIF(RawData!$C:$C,$A17,RawData!BN:BN)</f>
        <v>0</v>
      </c>
      <c r="BK17">
        <f>SUMIF(RawData!$C:$C,$A17,RawData!BO:BO)</f>
        <v>0</v>
      </c>
      <c r="BL17">
        <f>SUMIF(RawData!$C:$C,$A17,RawData!BP:BP)</f>
        <v>0</v>
      </c>
      <c r="BM17">
        <f>SUMIF(RawData!$C:$C,$A17,RawData!BQ:BQ)</f>
        <v>0</v>
      </c>
      <c r="BN17">
        <f>SUMIF(RawData!$C:$C,$A17,RawData!BR:BR)</f>
        <v>0</v>
      </c>
      <c r="BO17">
        <f>SUMIF(RawData!$C:$C,$A17,RawData!BS:BS)</f>
        <v>0</v>
      </c>
      <c r="BP17">
        <f>SUMIF(RawData!$C:$C,$A17,RawData!BT:BT)</f>
        <v>0</v>
      </c>
      <c r="BQ17">
        <f>SUMIF(RawData!$C:$C,$A17,RawData!BU:BU)</f>
        <v>0</v>
      </c>
      <c r="BR17">
        <f>SUMIF(RawData!$C:$C,$A17,RawData!BV:BV)</f>
        <v>0</v>
      </c>
      <c r="BS17">
        <f>SUMIF(RawData!$C:$C,$A17,RawData!BW:BW)</f>
        <v>0</v>
      </c>
      <c r="BT17">
        <f>SUMIF(RawData!$C:$C,$A17,RawData!BX:BX)</f>
        <v>0</v>
      </c>
    </row>
    <row r="18" spans="1:72" ht="15" thickBot="1" x14ac:dyDescent="0.35">
      <c r="A18" s="4" t="s">
        <v>90</v>
      </c>
      <c r="B18">
        <f>SUMIF(RawData!$C:$C,$A18,RawData!F:F)</f>
        <v>0</v>
      </c>
      <c r="C18">
        <f>SUMIF(RawData!$C:$C,$A18,RawData!G:G)</f>
        <v>0</v>
      </c>
      <c r="D18">
        <f>SUMIF(RawData!$C:$C,$A18,RawData!H:H)</f>
        <v>0</v>
      </c>
      <c r="E18">
        <f>SUMIF(RawData!$C:$C,$A18,RawData!I:I)</f>
        <v>0</v>
      </c>
      <c r="F18">
        <f>SUMIF(RawData!$C:$C,$A18,RawData!J:J)</f>
        <v>0</v>
      </c>
      <c r="G18">
        <f>SUMIF(RawData!$C:$C,$A18,RawData!K:K)</f>
        <v>0</v>
      </c>
      <c r="H18">
        <f>SUMIF(RawData!$C:$C,$A18,RawData!L:L)</f>
        <v>0</v>
      </c>
      <c r="I18">
        <f>SUMIF(RawData!$C:$C,$A18,RawData!M:M)</f>
        <v>0</v>
      </c>
      <c r="J18">
        <f>SUMIF(RawData!$C:$C,$A18,RawData!N:N)</f>
        <v>0</v>
      </c>
      <c r="K18">
        <f>SUMIF(RawData!$C:$C,$A18,RawData!O:O)</f>
        <v>0</v>
      </c>
      <c r="L18">
        <f>SUMIF(RawData!$C:$C,$A18,RawData!P:P)</f>
        <v>0</v>
      </c>
      <c r="M18">
        <f>SUMIF(RawData!$C:$C,$A18,RawData!Q:Q)</f>
        <v>0</v>
      </c>
      <c r="N18">
        <f>SUMIF(RawData!$C:$C,$A18,RawData!R:R)</f>
        <v>0</v>
      </c>
      <c r="O18">
        <f>SUMIF(RawData!$C:$C,$A18,RawData!S:S)</f>
        <v>1</v>
      </c>
      <c r="P18">
        <f>SUMIF(RawData!$C:$C,$A18,RawData!T:T)</f>
        <v>1</v>
      </c>
      <c r="Q18">
        <f>SUMIF(RawData!$C:$C,$A18,RawData!U:U)</f>
        <v>1</v>
      </c>
      <c r="R18">
        <f>SUMIF(RawData!$C:$C,$A18,RawData!V:V)</f>
        <v>1</v>
      </c>
      <c r="S18">
        <f>SUMIF(RawData!$C:$C,$A18,RawData!W:W)</f>
        <v>1</v>
      </c>
      <c r="T18">
        <f>SUMIF(RawData!$C:$C,$A18,RawData!X:X)</f>
        <v>1</v>
      </c>
      <c r="U18">
        <f>SUMIF(RawData!$C:$C,$A18,RawData!Y:Y)</f>
        <v>1</v>
      </c>
      <c r="V18">
        <f>SUMIF(RawData!$C:$C,$A18,RawData!Z:Z)</f>
        <v>1</v>
      </c>
      <c r="W18">
        <f>SUMIF(RawData!$C:$C,$A18,RawData!AA:AA)</f>
        <v>1</v>
      </c>
      <c r="X18">
        <f>SUMIF(RawData!$C:$C,$A18,RawData!AB:AB)</f>
        <v>1</v>
      </c>
      <c r="Y18">
        <f>SUMIF(RawData!$C:$C,$A18,RawData!AC:AC)</f>
        <v>1</v>
      </c>
      <c r="Z18">
        <f>SUMIF(RawData!$C:$C,$A18,RawData!AD:AD)</f>
        <v>1</v>
      </c>
      <c r="AA18">
        <f>SUMIF(RawData!$C:$C,$A18,RawData!AE:AE)</f>
        <v>1</v>
      </c>
      <c r="AB18">
        <f>SUMIF(RawData!$C:$C,$A18,RawData!AF:AF)</f>
        <v>1</v>
      </c>
      <c r="AC18">
        <f>SUMIF(RawData!$C:$C,$A18,RawData!AG:AG)</f>
        <v>1</v>
      </c>
      <c r="AD18">
        <f>SUMIF(RawData!$C:$C,$A18,RawData!AH:AH)</f>
        <v>1</v>
      </c>
      <c r="AE18">
        <f>SUMIF(RawData!$C:$C,$A18,RawData!AI:AI)</f>
        <v>1</v>
      </c>
      <c r="AF18">
        <f>SUMIF(RawData!$C:$C,$A18,RawData!AJ:AJ)</f>
        <v>1</v>
      </c>
      <c r="AG18">
        <f>SUMIF(RawData!$C:$C,$A18,RawData!AK:AK)</f>
        <v>1</v>
      </c>
      <c r="AH18">
        <f>SUMIF(RawData!$C:$C,$A18,RawData!AL:AL)</f>
        <v>1</v>
      </c>
      <c r="AI18">
        <f>SUMIF(RawData!$C:$C,$A18,RawData!AM:AM)</f>
        <v>1</v>
      </c>
      <c r="AJ18">
        <f>SUMIF(RawData!$C:$C,$A18,RawData!AN:AN)</f>
        <v>1</v>
      </c>
      <c r="AK18">
        <f>SUMIF(RawData!$C:$C,$A18,RawData!AO:AO)</f>
        <v>1</v>
      </c>
      <c r="AL18">
        <f>SUMIF(RawData!$C:$C,$A18,RawData!AP:AP)</f>
        <v>1</v>
      </c>
      <c r="AM18">
        <f>SUMIF(RawData!$C:$C,$A18,RawData!AQ:AQ)</f>
        <v>1</v>
      </c>
      <c r="AN18">
        <f>SUMIF(RawData!$C:$C,$A18,RawData!AR:AR)</f>
        <v>1</v>
      </c>
      <c r="AO18">
        <f>SUMIF(RawData!$C:$C,$A18,RawData!AS:AS)</f>
        <v>2</v>
      </c>
      <c r="AP18">
        <f>SUMIF(RawData!$C:$C,$A18,RawData!AT:AT)</f>
        <v>8</v>
      </c>
      <c r="AQ18">
        <f>SUMIF(RawData!$C:$C,$A18,RawData!AU:AU)</f>
        <v>13</v>
      </c>
      <c r="AR18">
        <f>SUMIF(RawData!$C:$C,$A18,RawData!AV:AV)</f>
        <v>23</v>
      </c>
      <c r="AS18">
        <f>SUMIF(RawData!$C:$C,$A18,RawData!AW:AW)</f>
        <v>50</v>
      </c>
      <c r="AT18">
        <f>SUMIF(RawData!$C:$C,$A18,RawData!AX:AX)</f>
        <v>109</v>
      </c>
      <c r="AU18">
        <f>SUMIF(RawData!$C:$C,$A18,RawData!AY:AY)</f>
        <v>169</v>
      </c>
      <c r="AV18">
        <f>SUMIF(RawData!$C:$C,$A18,RawData!AZ:AZ)</f>
        <v>200</v>
      </c>
      <c r="AW18">
        <f>SUMIF(RawData!$C:$C,$A18,RawData!BA:BA)</f>
        <v>239</v>
      </c>
      <c r="AX18">
        <f>SUMIF(RawData!$C:$C,$A18,RawData!BB:BB)</f>
        <v>267</v>
      </c>
      <c r="AY18">
        <f>SUMIF(RawData!$C:$C,$A18,RawData!BC:BC)</f>
        <v>314</v>
      </c>
      <c r="AZ18">
        <f>SUMIF(RawData!$C:$C,$A18,RawData!BD:BD)</f>
        <v>314</v>
      </c>
      <c r="BA18">
        <f>SUMIF(RawData!$C:$C,$A18,RawData!BE:BE)</f>
        <v>559</v>
      </c>
      <c r="BB18">
        <f>SUMIF(RawData!$C:$C,$A18,RawData!BF:BF)</f>
        <v>689</v>
      </c>
      <c r="BC18">
        <f>SUMIF(RawData!$C:$C,$A18,RawData!BG:BG)</f>
        <v>886</v>
      </c>
      <c r="BD18">
        <f>SUMIF(RawData!$C:$C,$A18,RawData!BH:BH)</f>
        <v>0</v>
      </c>
      <c r="BE18">
        <f>SUMIF(RawData!$C:$C,$A18,RawData!BI:BI)</f>
        <v>0</v>
      </c>
      <c r="BF18">
        <f>SUMIF(RawData!$C:$C,$A18,RawData!BJ:BJ)</f>
        <v>0</v>
      </c>
      <c r="BG18">
        <f>SUMIF(RawData!$C:$C,$A18,RawData!BK:BK)</f>
        <v>0</v>
      </c>
      <c r="BH18">
        <f>SUMIF(RawData!$C:$C,$A18,RawData!BL:BL)</f>
        <v>0</v>
      </c>
      <c r="BI18">
        <f>SUMIF(RawData!$C:$C,$A18,RawData!BM:BM)</f>
        <v>0</v>
      </c>
      <c r="BJ18">
        <f>SUMIF(RawData!$C:$C,$A18,RawData!BN:BN)</f>
        <v>0</v>
      </c>
      <c r="BK18">
        <f>SUMIF(RawData!$C:$C,$A18,RawData!BO:BO)</f>
        <v>0</v>
      </c>
      <c r="BL18">
        <f>SUMIF(RawData!$C:$C,$A18,RawData!BP:BP)</f>
        <v>0</v>
      </c>
      <c r="BM18">
        <f>SUMIF(RawData!$C:$C,$A18,RawData!BQ:BQ)</f>
        <v>0</v>
      </c>
      <c r="BN18">
        <f>SUMIF(RawData!$C:$C,$A18,RawData!BR:BR)</f>
        <v>0</v>
      </c>
      <c r="BO18">
        <f>SUMIF(RawData!$C:$C,$A18,RawData!BS:BS)</f>
        <v>0</v>
      </c>
      <c r="BP18">
        <f>SUMIF(RawData!$C:$C,$A18,RawData!BT:BT)</f>
        <v>0</v>
      </c>
      <c r="BQ18">
        <f>SUMIF(RawData!$C:$C,$A18,RawData!BU:BU)</f>
        <v>0</v>
      </c>
      <c r="BR18">
        <f>SUMIF(RawData!$C:$C,$A18,RawData!BV:BV)</f>
        <v>0</v>
      </c>
      <c r="BS18">
        <f>SUMIF(RawData!$C:$C,$A18,RawData!BW:BW)</f>
        <v>0</v>
      </c>
      <c r="BT18">
        <f>SUMIF(RawData!$C:$C,$A18,RawData!BX:BX)</f>
        <v>0</v>
      </c>
    </row>
    <row r="19" spans="1:72" ht="15" thickBot="1" x14ac:dyDescent="0.35">
      <c r="A19" s="4" t="s">
        <v>105</v>
      </c>
      <c r="B19">
        <f>SUMIF(RawData!$C:$C,$A19,RawData!F:F)</f>
        <v>0</v>
      </c>
      <c r="C19">
        <f>SUMIF(RawData!$C:$C,$A19,RawData!G:G)</f>
        <v>0</v>
      </c>
      <c r="D19">
        <f>SUMIF(RawData!$C:$C,$A19,RawData!H:H)</f>
        <v>0</v>
      </c>
      <c r="E19">
        <f>SUMIF(RawData!$C:$C,$A19,RawData!I:I)</f>
        <v>0</v>
      </c>
      <c r="F19">
        <f>SUMIF(RawData!$C:$C,$A19,RawData!J:J)</f>
        <v>0</v>
      </c>
      <c r="G19">
        <f>SUMIF(RawData!$C:$C,$A19,RawData!K:K)</f>
        <v>0</v>
      </c>
      <c r="H19">
        <f>SUMIF(RawData!$C:$C,$A19,RawData!L:L)</f>
        <v>0</v>
      </c>
      <c r="I19">
        <f>SUMIF(RawData!$C:$C,$A19,RawData!M:M)</f>
        <v>0</v>
      </c>
      <c r="J19">
        <f>SUMIF(RawData!$C:$C,$A19,RawData!N:N)</f>
        <v>0</v>
      </c>
      <c r="K19">
        <f>SUMIF(RawData!$C:$C,$A19,RawData!O:O)</f>
        <v>0</v>
      </c>
      <c r="L19">
        <f>SUMIF(RawData!$C:$C,$A19,RawData!P:P)</f>
        <v>0</v>
      </c>
      <c r="M19">
        <f>SUMIF(RawData!$C:$C,$A19,RawData!Q:Q)</f>
        <v>0</v>
      </c>
      <c r="N19">
        <f>SUMIF(RawData!$C:$C,$A19,RawData!R:R)</f>
        <v>0</v>
      </c>
      <c r="O19">
        <f>SUMIF(RawData!$C:$C,$A19,RawData!S:S)</f>
        <v>0</v>
      </c>
      <c r="P19">
        <f>SUMIF(RawData!$C:$C,$A19,RawData!T:T)</f>
        <v>0</v>
      </c>
      <c r="Q19">
        <f>SUMIF(RawData!$C:$C,$A19,RawData!U:U)</f>
        <v>0</v>
      </c>
      <c r="R19">
        <f>SUMIF(RawData!$C:$C,$A19,RawData!V:V)</f>
        <v>0</v>
      </c>
      <c r="S19">
        <f>SUMIF(RawData!$C:$C,$A19,RawData!W:W)</f>
        <v>0</v>
      </c>
      <c r="T19">
        <f>SUMIF(RawData!$C:$C,$A19,RawData!X:X)</f>
        <v>0</v>
      </c>
      <c r="U19">
        <f>SUMIF(RawData!$C:$C,$A19,RawData!Y:Y)</f>
        <v>0</v>
      </c>
      <c r="V19">
        <f>SUMIF(RawData!$C:$C,$A19,RawData!Z:Z)</f>
        <v>0</v>
      </c>
      <c r="W19">
        <f>SUMIF(RawData!$C:$C,$A19,RawData!AA:AA)</f>
        <v>0</v>
      </c>
      <c r="X19">
        <f>SUMIF(RawData!$C:$C,$A19,RawData!AB:AB)</f>
        <v>0</v>
      </c>
      <c r="Y19">
        <f>SUMIF(RawData!$C:$C,$A19,RawData!AC:AC)</f>
        <v>0</v>
      </c>
      <c r="Z19">
        <f>SUMIF(RawData!$C:$C,$A19,RawData!AD:AD)</f>
        <v>0</v>
      </c>
      <c r="AA19">
        <f>SUMIF(RawData!$C:$C,$A19,RawData!AE:AE)</f>
        <v>0</v>
      </c>
      <c r="AB19">
        <f>SUMIF(RawData!$C:$C,$A19,RawData!AF:AF)</f>
        <v>0</v>
      </c>
      <c r="AC19">
        <f>SUMIF(RawData!$C:$C,$A19,RawData!AG:AG)</f>
        <v>0</v>
      </c>
      <c r="AD19">
        <f>SUMIF(RawData!$C:$C,$A19,RawData!AH:AH)</f>
        <v>0</v>
      </c>
      <c r="AE19">
        <f>SUMIF(RawData!$C:$C,$A19,RawData!AI:AI)</f>
        <v>0</v>
      </c>
      <c r="AF19">
        <f>SUMIF(RawData!$C:$C,$A19,RawData!AJ:AJ)</f>
        <v>0</v>
      </c>
      <c r="AG19">
        <f>SUMIF(RawData!$C:$C,$A19,RawData!AK:AK)</f>
        <v>0</v>
      </c>
      <c r="AH19">
        <f>SUMIF(RawData!$C:$C,$A19,RawData!AL:AL)</f>
        <v>0</v>
      </c>
      <c r="AI19">
        <f>SUMIF(RawData!$C:$C,$A19,RawData!AM:AM)</f>
        <v>0</v>
      </c>
      <c r="AJ19">
        <f>SUMIF(RawData!$C:$C,$A19,RawData!AN:AN)</f>
        <v>2</v>
      </c>
      <c r="AK19">
        <f>SUMIF(RawData!$C:$C,$A19,RawData!AO:AO)</f>
        <v>2</v>
      </c>
      <c r="AL19">
        <f>SUMIF(RawData!$C:$C,$A19,RawData!AP:AP)</f>
        <v>3</v>
      </c>
      <c r="AM19">
        <f>SUMIF(RawData!$C:$C,$A19,RawData!AQ:AQ)</f>
        <v>3</v>
      </c>
      <c r="AN19">
        <f>SUMIF(RawData!$C:$C,$A19,RawData!AR:AR)</f>
        <v>9</v>
      </c>
      <c r="AO19">
        <f>SUMIF(RawData!$C:$C,$A19,RawData!AS:AS)</f>
        <v>14</v>
      </c>
      <c r="AP19">
        <f>SUMIF(RawData!$C:$C,$A19,RawData!AT:AT)</f>
        <v>18</v>
      </c>
      <c r="AQ19">
        <f>SUMIF(RawData!$C:$C,$A19,RawData!AU:AU)</f>
        <v>21</v>
      </c>
      <c r="AR19">
        <f>SUMIF(RawData!$C:$C,$A19,RawData!AV:AV)</f>
        <v>29</v>
      </c>
      <c r="AS19">
        <f>SUMIF(RawData!$C:$C,$A19,RawData!AW:AW)</f>
        <v>41</v>
      </c>
      <c r="AT19">
        <f>SUMIF(RawData!$C:$C,$A19,RawData!AX:AX)</f>
        <v>55</v>
      </c>
      <c r="AU19">
        <f>SUMIF(RawData!$C:$C,$A19,RawData!AY:AY)</f>
        <v>79</v>
      </c>
      <c r="AV19">
        <f>SUMIF(RawData!$C:$C,$A19,RawData!AZ:AZ)</f>
        <v>104</v>
      </c>
      <c r="AW19">
        <f>SUMIF(RawData!$C:$C,$A19,RawData!BA:BA)</f>
        <v>131</v>
      </c>
      <c r="AX19">
        <f>SUMIF(RawData!$C:$C,$A19,RawData!BB:BB)</f>
        <v>182</v>
      </c>
      <c r="AY19">
        <f>SUMIF(RawData!$C:$C,$A19,RawData!BC:BC)</f>
        <v>246</v>
      </c>
      <c r="AZ19">
        <f>SUMIF(RawData!$C:$C,$A19,RawData!BD:BD)</f>
        <v>302</v>
      </c>
      <c r="BA19">
        <f>SUMIF(RawData!$C:$C,$A19,RawData!BE:BE)</f>
        <v>504</v>
      </c>
      <c r="BB19">
        <f>SUMIF(RawData!$C:$C,$A19,RawData!BF:BF)</f>
        <v>655</v>
      </c>
      <c r="BC19">
        <f>SUMIF(RawData!$C:$C,$A19,RawData!BG:BG)</f>
        <v>860</v>
      </c>
      <c r="BD19">
        <f>SUMIF(RawData!$C:$C,$A19,RawData!BH:BH)</f>
        <v>0</v>
      </c>
      <c r="BE19">
        <f>SUMIF(RawData!$C:$C,$A19,RawData!BI:BI)</f>
        <v>0</v>
      </c>
      <c r="BF19">
        <f>SUMIF(RawData!$C:$C,$A19,RawData!BJ:BJ)</f>
        <v>0</v>
      </c>
      <c r="BG19">
        <f>SUMIF(RawData!$C:$C,$A19,RawData!BK:BK)</f>
        <v>0</v>
      </c>
      <c r="BH19">
        <f>SUMIF(RawData!$C:$C,$A19,RawData!BL:BL)</f>
        <v>0</v>
      </c>
      <c r="BI19">
        <f>SUMIF(RawData!$C:$C,$A19,RawData!BM:BM)</f>
        <v>0</v>
      </c>
      <c r="BJ19">
        <f>SUMIF(RawData!$C:$C,$A19,RawData!BN:BN)</f>
        <v>0</v>
      </c>
      <c r="BK19">
        <f>SUMIF(RawData!$C:$C,$A19,RawData!BO:BO)</f>
        <v>0</v>
      </c>
      <c r="BL19">
        <f>SUMIF(RawData!$C:$C,$A19,RawData!BP:BP)</f>
        <v>0</v>
      </c>
      <c r="BM19">
        <f>SUMIF(RawData!$C:$C,$A19,RawData!BQ:BQ)</f>
        <v>0</v>
      </c>
      <c r="BN19">
        <f>SUMIF(RawData!$C:$C,$A19,RawData!BR:BR)</f>
        <v>0</v>
      </c>
      <c r="BO19">
        <f>SUMIF(RawData!$C:$C,$A19,RawData!BS:BS)</f>
        <v>0</v>
      </c>
      <c r="BP19">
        <f>SUMIF(RawData!$C:$C,$A19,RawData!BT:BT)</f>
        <v>0</v>
      </c>
      <c r="BQ19">
        <f>SUMIF(RawData!$C:$C,$A19,RawData!BU:BU)</f>
        <v>0</v>
      </c>
      <c r="BR19">
        <f>SUMIF(RawData!$C:$C,$A19,RawData!BV:BV)</f>
        <v>0</v>
      </c>
      <c r="BS19">
        <f>SUMIF(RawData!$C:$C,$A19,RawData!BW:BW)</f>
        <v>0</v>
      </c>
      <c r="BT19">
        <f>SUMIF(RawData!$C:$C,$A19,RawData!BX:BX)</f>
        <v>0</v>
      </c>
    </row>
    <row r="20" spans="1:72" ht="15" thickBot="1" x14ac:dyDescent="0.35">
      <c r="A20" s="4" t="s">
        <v>128</v>
      </c>
      <c r="B20">
        <f>SUMIF(RawData!$C:$C,$A20,RawData!F:F)</f>
        <v>0</v>
      </c>
      <c r="C20">
        <f>SUMIF(RawData!$C:$C,$A20,RawData!G:G)</f>
        <v>0</v>
      </c>
      <c r="D20">
        <f>SUMIF(RawData!$C:$C,$A20,RawData!H:H)</f>
        <v>0</v>
      </c>
      <c r="E20">
        <f>SUMIF(RawData!$C:$C,$A20,RawData!I:I)</f>
        <v>0</v>
      </c>
      <c r="F20">
        <f>SUMIF(RawData!$C:$C,$A20,RawData!J:J)</f>
        <v>0</v>
      </c>
      <c r="G20">
        <f>SUMIF(RawData!$C:$C,$A20,RawData!K:K)</f>
        <v>0</v>
      </c>
      <c r="H20">
        <f>SUMIF(RawData!$C:$C,$A20,RawData!L:L)</f>
        <v>0</v>
      </c>
      <c r="I20">
        <f>SUMIF(RawData!$C:$C,$A20,RawData!M:M)</f>
        <v>0</v>
      </c>
      <c r="J20">
        <f>SUMIF(RawData!$C:$C,$A20,RawData!N:N)</f>
        <v>0</v>
      </c>
      <c r="K20">
        <f>SUMIF(RawData!$C:$C,$A20,RawData!O:O)</f>
        <v>0</v>
      </c>
      <c r="L20">
        <f>SUMIF(RawData!$C:$C,$A20,RawData!P:P)</f>
        <v>0</v>
      </c>
      <c r="M20">
        <f>SUMIF(RawData!$C:$C,$A20,RawData!Q:Q)</f>
        <v>0</v>
      </c>
      <c r="N20">
        <f>SUMIF(RawData!$C:$C,$A20,RawData!R:R)</f>
        <v>0</v>
      </c>
      <c r="O20">
        <f>SUMIF(RawData!$C:$C,$A20,RawData!S:S)</f>
        <v>0</v>
      </c>
      <c r="P20">
        <f>SUMIF(RawData!$C:$C,$A20,RawData!T:T)</f>
        <v>0</v>
      </c>
      <c r="Q20">
        <f>SUMIF(RawData!$C:$C,$A20,RawData!U:U)</f>
        <v>0</v>
      </c>
      <c r="R20">
        <f>SUMIF(RawData!$C:$C,$A20,RawData!V:V)</f>
        <v>0</v>
      </c>
      <c r="S20">
        <f>SUMIF(RawData!$C:$C,$A20,RawData!W:W)</f>
        <v>0</v>
      </c>
      <c r="T20">
        <f>SUMIF(RawData!$C:$C,$A20,RawData!X:X)</f>
        <v>0</v>
      </c>
      <c r="U20">
        <f>SUMIF(RawData!$C:$C,$A20,RawData!Y:Y)</f>
        <v>0</v>
      </c>
      <c r="V20">
        <f>SUMIF(RawData!$C:$C,$A20,RawData!Z:Z)</f>
        <v>0</v>
      </c>
      <c r="W20">
        <f>SUMIF(RawData!$C:$C,$A20,RawData!AA:AA)</f>
        <v>0</v>
      </c>
      <c r="X20">
        <f>SUMIF(RawData!$C:$C,$A20,RawData!AB:AB)</f>
        <v>0</v>
      </c>
      <c r="Y20">
        <f>SUMIF(RawData!$C:$C,$A20,RawData!AC:AC)</f>
        <v>0</v>
      </c>
      <c r="Z20">
        <f>SUMIF(RawData!$C:$C,$A20,RawData!AD:AD)</f>
        <v>0</v>
      </c>
      <c r="AA20">
        <f>SUMIF(RawData!$C:$C,$A20,RawData!AE:AE)</f>
        <v>0</v>
      </c>
      <c r="AB20">
        <f>SUMIF(RawData!$C:$C,$A20,RawData!AF:AF)</f>
        <v>0</v>
      </c>
      <c r="AC20">
        <f>SUMIF(RawData!$C:$C,$A20,RawData!AG:AG)</f>
        <v>0</v>
      </c>
      <c r="AD20">
        <f>SUMIF(RawData!$C:$C,$A20,RawData!AH:AH)</f>
        <v>0</v>
      </c>
      <c r="AE20">
        <f>SUMIF(RawData!$C:$C,$A20,RawData!AI:AI)</f>
        <v>0</v>
      </c>
      <c r="AF20">
        <f>SUMIF(RawData!$C:$C,$A20,RawData!AJ:AJ)</f>
        <v>0</v>
      </c>
      <c r="AG20">
        <f>SUMIF(RawData!$C:$C,$A20,RawData!AK:AK)</f>
        <v>0</v>
      </c>
      <c r="AH20">
        <f>SUMIF(RawData!$C:$C,$A20,RawData!AL:AL)</f>
        <v>0</v>
      </c>
      <c r="AI20">
        <f>SUMIF(RawData!$C:$C,$A20,RawData!AM:AM)</f>
        <v>0</v>
      </c>
      <c r="AJ20">
        <f>SUMIF(RawData!$C:$C,$A20,RawData!AN:AN)</f>
        <v>0</v>
      </c>
      <c r="AK20">
        <f>SUMIF(RawData!$C:$C,$A20,RawData!AO:AO)</f>
        <v>0</v>
      </c>
      <c r="AL20">
        <f>SUMIF(RawData!$C:$C,$A20,RawData!AP:AP)</f>
        <v>0</v>
      </c>
      <c r="AM20">
        <f>SUMIF(RawData!$C:$C,$A20,RawData!AQ:AQ)</f>
        <v>0</v>
      </c>
      <c r="AN20">
        <f>SUMIF(RawData!$C:$C,$A20,RawData!AR:AR)</f>
        <v>1</v>
      </c>
      <c r="AO20">
        <f>SUMIF(RawData!$C:$C,$A20,RawData!AS:AS)</f>
        <v>3</v>
      </c>
      <c r="AP20">
        <f>SUMIF(RawData!$C:$C,$A20,RawData!AT:AT)</f>
        <v>3</v>
      </c>
      <c r="AQ20">
        <f>SUMIF(RawData!$C:$C,$A20,RawData!AU:AU)</f>
        <v>7</v>
      </c>
      <c r="AR20">
        <f>SUMIF(RawData!$C:$C,$A20,RawData!AV:AV)</f>
        <v>8</v>
      </c>
      <c r="AS20">
        <f>SUMIF(RawData!$C:$C,$A20,RawData!AW:AW)</f>
        <v>8</v>
      </c>
      <c r="AT20">
        <f>SUMIF(RawData!$C:$C,$A20,RawData!AX:AX)</f>
        <v>8</v>
      </c>
      <c r="AU20">
        <f>SUMIF(RawData!$C:$C,$A20,RawData!AY:AY)</f>
        <v>8</v>
      </c>
      <c r="AV20">
        <f>SUMIF(RawData!$C:$C,$A20,RawData!AZ:AZ)</f>
        <v>15</v>
      </c>
      <c r="AW20">
        <f>SUMIF(RawData!$C:$C,$A20,RawData!BA:BA)</f>
        <v>18</v>
      </c>
      <c r="AX20">
        <f>SUMIF(RawData!$C:$C,$A20,RawData!BB:BB)</f>
        <v>24</v>
      </c>
      <c r="AY20">
        <f>SUMIF(RawData!$C:$C,$A20,RawData!BC:BC)</f>
        <v>262</v>
      </c>
      <c r="AZ20">
        <f>SUMIF(RawData!$C:$C,$A20,RawData!BD:BD)</f>
        <v>262</v>
      </c>
      <c r="BA20">
        <f>SUMIF(RawData!$C:$C,$A20,RawData!BE:BE)</f>
        <v>320</v>
      </c>
      <c r="BB20">
        <f>SUMIF(RawData!$C:$C,$A20,RawData!BF:BF)</f>
        <v>337</v>
      </c>
      <c r="BC20">
        <f>SUMIF(RawData!$C:$C,$A20,RawData!BG:BG)</f>
        <v>401</v>
      </c>
      <c r="BD20">
        <f>SUMIF(RawData!$C:$C,$A20,RawData!BH:BH)</f>
        <v>0</v>
      </c>
      <c r="BE20">
        <f>SUMIF(RawData!$C:$C,$A20,RawData!BI:BI)</f>
        <v>0</v>
      </c>
      <c r="BF20">
        <f>SUMIF(RawData!$C:$C,$A20,RawData!BJ:BJ)</f>
        <v>0</v>
      </c>
      <c r="BG20">
        <f>SUMIF(RawData!$C:$C,$A20,RawData!BK:BK)</f>
        <v>0</v>
      </c>
      <c r="BH20">
        <f>SUMIF(RawData!$C:$C,$A20,RawData!BL:BL)</f>
        <v>0</v>
      </c>
      <c r="BI20">
        <f>SUMIF(RawData!$C:$C,$A20,RawData!BM:BM)</f>
        <v>0</v>
      </c>
      <c r="BJ20">
        <f>SUMIF(RawData!$C:$C,$A20,RawData!BN:BN)</f>
        <v>0</v>
      </c>
      <c r="BK20">
        <f>SUMIF(RawData!$C:$C,$A20,RawData!BO:BO)</f>
        <v>0</v>
      </c>
      <c r="BL20">
        <f>SUMIF(RawData!$C:$C,$A20,RawData!BP:BP)</f>
        <v>0</v>
      </c>
      <c r="BM20">
        <f>SUMIF(RawData!$C:$C,$A20,RawData!BQ:BQ)</f>
        <v>0</v>
      </c>
      <c r="BN20">
        <f>SUMIF(RawData!$C:$C,$A20,RawData!BR:BR)</f>
        <v>0</v>
      </c>
      <c r="BO20">
        <f>SUMIF(RawData!$C:$C,$A20,RawData!BS:BS)</f>
        <v>0</v>
      </c>
      <c r="BP20">
        <f>SUMIF(RawData!$C:$C,$A20,RawData!BT:BT)</f>
        <v>0</v>
      </c>
      <c r="BQ20">
        <f>SUMIF(RawData!$C:$C,$A20,RawData!BU:BU)</f>
        <v>0</v>
      </c>
      <c r="BR20">
        <f>SUMIF(RawData!$C:$C,$A20,RawData!BV:BV)</f>
        <v>0</v>
      </c>
      <c r="BS20">
        <f>SUMIF(RawData!$C:$C,$A20,RawData!BW:BW)</f>
        <v>0</v>
      </c>
      <c r="BT20">
        <f>SUMIF(RawData!$C:$C,$A20,RawData!BX:BX)</f>
        <v>0</v>
      </c>
    </row>
    <row r="21" spans="1:72" ht="15" thickBot="1" x14ac:dyDescent="0.35">
      <c r="A21" s="4" t="s">
        <v>75</v>
      </c>
      <c r="B21">
        <f>SUMIF(RawData!$C:$C,$A21,RawData!F:F)</f>
        <v>0</v>
      </c>
      <c r="C21">
        <f>SUMIF(RawData!$C:$C,$A21,RawData!G:G)</f>
        <v>0</v>
      </c>
      <c r="D21">
        <f>SUMIF(RawData!$C:$C,$A21,RawData!H:H)</f>
        <v>0</v>
      </c>
      <c r="E21">
        <f>SUMIF(RawData!$C:$C,$A21,RawData!I:I)</f>
        <v>0</v>
      </c>
      <c r="F21">
        <f>SUMIF(RawData!$C:$C,$A21,RawData!J:J)</f>
        <v>4</v>
      </c>
      <c r="G21">
        <f>SUMIF(RawData!$C:$C,$A21,RawData!K:K)</f>
        <v>5</v>
      </c>
      <c r="H21">
        <f>SUMIF(RawData!$C:$C,$A21,RawData!L:L)</f>
        <v>5</v>
      </c>
      <c r="I21">
        <f>SUMIF(RawData!$C:$C,$A21,RawData!M:M)</f>
        <v>6</v>
      </c>
      <c r="J21">
        <f>SUMIF(RawData!$C:$C,$A21,RawData!N:N)</f>
        <v>9</v>
      </c>
      <c r="K21">
        <f>SUMIF(RawData!$C:$C,$A21,RawData!O:O)</f>
        <v>9</v>
      </c>
      <c r="L21">
        <f>SUMIF(RawData!$C:$C,$A21,RawData!P:P)</f>
        <v>12</v>
      </c>
      <c r="M21">
        <f>SUMIF(RawData!$C:$C,$A21,RawData!Q:Q)</f>
        <v>12</v>
      </c>
      <c r="N21">
        <f>SUMIF(RawData!$C:$C,$A21,RawData!R:R)</f>
        <v>12</v>
      </c>
      <c r="O21">
        <f>SUMIF(RawData!$C:$C,$A21,RawData!S:S)</f>
        <v>13</v>
      </c>
      <c r="P21">
        <f>SUMIF(RawData!$C:$C,$A21,RawData!T:T)</f>
        <v>13</v>
      </c>
      <c r="Q21">
        <f>SUMIF(RawData!$C:$C,$A21,RawData!U:U)</f>
        <v>14</v>
      </c>
      <c r="R21">
        <f>SUMIF(RawData!$C:$C,$A21,RawData!V:V)</f>
        <v>15</v>
      </c>
      <c r="S21">
        <f>SUMIF(RawData!$C:$C,$A21,RawData!W:W)</f>
        <v>15</v>
      </c>
      <c r="T21">
        <f>SUMIF(RawData!$C:$C,$A21,RawData!X:X)</f>
        <v>15</v>
      </c>
      <c r="U21">
        <f>SUMIF(RawData!$C:$C,$A21,RawData!Y:Y)</f>
        <v>15</v>
      </c>
      <c r="V21">
        <f>SUMIF(RawData!$C:$C,$A21,RawData!Z:Z)</f>
        <v>15</v>
      </c>
      <c r="W21">
        <f>SUMIF(RawData!$C:$C,$A21,RawData!AA:AA)</f>
        <v>15</v>
      </c>
      <c r="X21">
        <f>SUMIF(RawData!$C:$C,$A21,RawData!AB:AB)</f>
        <v>15</v>
      </c>
      <c r="Y21">
        <f>SUMIF(RawData!$C:$C,$A21,RawData!AC:AC)</f>
        <v>15</v>
      </c>
      <c r="Z21">
        <f>SUMIF(RawData!$C:$C,$A21,RawData!AD:AD)</f>
        <v>15</v>
      </c>
      <c r="AA21">
        <f>SUMIF(RawData!$C:$C,$A21,RawData!AE:AE)</f>
        <v>15</v>
      </c>
      <c r="AB21">
        <f>SUMIF(RawData!$C:$C,$A21,RawData!AF:AF)</f>
        <v>15</v>
      </c>
      <c r="AC21">
        <f>SUMIF(RawData!$C:$C,$A21,RawData!AG:AG)</f>
        <v>15</v>
      </c>
      <c r="AD21">
        <f>SUMIF(RawData!$C:$C,$A21,RawData!AH:AH)</f>
        <v>15</v>
      </c>
      <c r="AE21">
        <f>SUMIF(RawData!$C:$C,$A21,RawData!AI:AI)</f>
        <v>15</v>
      </c>
      <c r="AF21">
        <f>SUMIF(RawData!$C:$C,$A21,RawData!AJ:AJ)</f>
        <v>19</v>
      </c>
      <c r="AG21">
        <f>SUMIF(RawData!$C:$C,$A21,RawData!AK:AK)</f>
        <v>22</v>
      </c>
      <c r="AH21">
        <f>SUMIF(RawData!$C:$C,$A21,RawData!AL:AL)</f>
        <v>22</v>
      </c>
      <c r="AI21">
        <f>SUMIF(RawData!$C:$C,$A21,RawData!AM:AM)</f>
        <v>22</v>
      </c>
      <c r="AJ21">
        <f>SUMIF(RawData!$C:$C,$A21,RawData!AN:AN)</f>
        <v>22</v>
      </c>
      <c r="AK21">
        <f>SUMIF(RawData!$C:$C,$A21,RawData!AO:AO)</f>
        <v>22</v>
      </c>
      <c r="AL21">
        <f>SUMIF(RawData!$C:$C,$A21,RawData!AP:AP)</f>
        <v>23</v>
      </c>
      <c r="AM21">
        <f>SUMIF(RawData!$C:$C,$A21,RawData!AQ:AQ)</f>
        <v>23</v>
      </c>
      <c r="AN21">
        <f>SUMIF(RawData!$C:$C,$A21,RawData!AR:AR)</f>
        <v>25</v>
      </c>
      <c r="AO21">
        <f>SUMIF(RawData!$C:$C,$A21,RawData!AS:AS)</f>
        <v>27</v>
      </c>
      <c r="AP21">
        <f>SUMIF(RawData!$C:$C,$A21,RawData!AT:AT)</f>
        <v>30</v>
      </c>
      <c r="AQ21">
        <f>SUMIF(RawData!$C:$C,$A21,RawData!AU:AU)</f>
        <v>39</v>
      </c>
      <c r="AR21">
        <f>SUMIF(RawData!$C:$C,$A21,RawData!AV:AV)</f>
        <v>52</v>
      </c>
      <c r="AS21">
        <f>SUMIF(RawData!$C:$C,$A21,RawData!AW:AW)</f>
        <v>55</v>
      </c>
      <c r="AT21">
        <f>SUMIF(RawData!$C:$C,$A21,RawData!AX:AX)</f>
        <v>60</v>
      </c>
      <c r="AU21">
        <f>SUMIF(RawData!$C:$C,$A21,RawData!AY:AY)</f>
        <v>63</v>
      </c>
      <c r="AV21">
        <f>SUMIF(RawData!$C:$C,$A21,RawData!AZ:AZ)</f>
        <v>76</v>
      </c>
      <c r="AW21">
        <f>SUMIF(RawData!$C:$C,$A21,RawData!BA:BA)</f>
        <v>91</v>
      </c>
      <c r="AX21">
        <f>SUMIF(RawData!$C:$C,$A21,RawData!BB:BB)</f>
        <v>107</v>
      </c>
      <c r="AY21">
        <f>SUMIF(RawData!$C:$C,$A21,RawData!BC:BC)</f>
        <v>128</v>
      </c>
      <c r="AZ21">
        <f>SUMIF(RawData!$C:$C,$A21,RawData!BD:BD)</f>
        <v>128</v>
      </c>
      <c r="BA21">
        <f>SUMIF(RawData!$C:$C,$A21,RawData!BE:BE)</f>
        <v>200</v>
      </c>
      <c r="BB21">
        <f>SUMIF(RawData!$C:$C,$A21,RawData!BF:BF)</f>
        <v>250</v>
      </c>
      <c r="BC21">
        <f>SUMIF(RawData!$C:$C,$A21,RawData!BG:BG)</f>
        <v>297</v>
      </c>
      <c r="BD21">
        <f>SUMIF(RawData!$C:$C,$A21,RawData!BH:BH)</f>
        <v>0</v>
      </c>
      <c r="BE21">
        <f>SUMIF(RawData!$C:$C,$A21,RawData!BI:BI)</f>
        <v>0</v>
      </c>
      <c r="BF21">
        <f>SUMIF(RawData!$C:$C,$A21,RawData!BJ:BJ)</f>
        <v>0</v>
      </c>
      <c r="BG21">
        <f>SUMIF(RawData!$C:$C,$A21,RawData!BK:BK)</f>
        <v>0</v>
      </c>
      <c r="BH21">
        <f>SUMIF(RawData!$C:$C,$A21,RawData!BL:BL)</f>
        <v>0</v>
      </c>
      <c r="BI21">
        <f>SUMIF(RawData!$C:$C,$A21,RawData!BM:BM)</f>
        <v>0</v>
      </c>
      <c r="BJ21">
        <f>SUMIF(RawData!$C:$C,$A21,RawData!BN:BN)</f>
        <v>0</v>
      </c>
      <c r="BK21">
        <f>SUMIF(RawData!$C:$C,$A21,RawData!BO:BO)</f>
        <v>0</v>
      </c>
      <c r="BL21">
        <f>SUMIF(RawData!$C:$C,$A21,RawData!BP:BP)</f>
        <v>0</v>
      </c>
      <c r="BM21">
        <f>SUMIF(RawData!$C:$C,$A21,RawData!BQ:BQ)</f>
        <v>0</v>
      </c>
      <c r="BN21">
        <f>SUMIF(RawData!$C:$C,$A21,RawData!BR:BR)</f>
        <v>0</v>
      </c>
      <c r="BO21">
        <f>SUMIF(RawData!$C:$C,$A21,RawData!BS:BS)</f>
        <v>0</v>
      </c>
      <c r="BP21">
        <f>SUMIF(RawData!$C:$C,$A21,RawData!BT:BT)</f>
        <v>0</v>
      </c>
      <c r="BQ21">
        <f>SUMIF(RawData!$C:$C,$A21,RawData!BU:BU)</f>
        <v>0</v>
      </c>
      <c r="BR21">
        <f>SUMIF(RawData!$C:$C,$A21,RawData!BV:BV)</f>
        <v>0</v>
      </c>
      <c r="BS21">
        <f>SUMIF(RawData!$C:$C,$A21,RawData!BW:BW)</f>
        <v>0</v>
      </c>
      <c r="BT21">
        <f>SUMIF(RawData!$C:$C,$A21,RawData!BX:BX)</f>
        <v>0</v>
      </c>
    </row>
    <row r="22" spans="1:72" ht="15" thickBot="1" x14ac:dyDescent="0.35">
      <c r="A22" s="4" t="s">
        <v>67</v>
      </c>
      <c r="B22">
        <f>SUMIF(RawData!$C:$C,$A22,RawData!F:F)</f>
        <v>0</v>
      </c>
      <c r="C22">
        <f>SUMIF(RawData!$C:$C,$A22,RawData!G:G)</f>
        <v>1</v>
      </c>
      <c r="D22">
        <f>SUMIF(RawData!$C:$C,$A22,RawData!H:H)</f>
        <v>3</v>
      </c>
      <c r="E22">
        <f>SUMIF(RawData!$C:$C,$A22,RawData!I:I)</f>
        <v>3</v>
      </c>
      <c r="F22">
        <f>SUMIF(RawData!$C:$C,$A22,RawData!J:J)</f>
        <v>4</v>
      </c>
      <c r="G22">
        <f>SUMIF(RawData!$C:$C,$A22,RawData!K:K)</f>
        <v>5</v>
      </c>
      <c r="H22">
        <f>SUMIF(RawData!$C:$C,$A22,RawData!L:L)</f>
        <v>7</v>
      </c>
      <c r="I22">
        <f>SUMIF(RawData!$C:$C,$A22,RawData!M:M)</f>
        <v>7</v>
      </c>
      <c r="J22">
        <f>SUMIF(RawData!$C:$C,$A22,RawData!N:N)</f>
        <v>10</v>
      </c>
      <c r="K22">
        <f>SUMIF(RawData!$C:$C,$A22,RawData!O:O)</f>
        <v>13</v>
      </c>
      <c r="L22">
        <f>SUMIF(RawData!$C:$C,$A22,RawData!P:P)</f>
        <v>16</v>
      </c>
      <c r="M22">
        <f>SUMIF(RawData!$C:$C,$A22,RawData!Q:Q)</f>
        <v>18</v>
      </c>
      <c r="N22">
        <f>SUMIF(RawData!$C:$C,$A22,RawData!R:R)</f>
        <v>18</v>
      </c>
      <c r="O22">
        <f>SUMIF(RawData!$C:$C,$A22,RawData!S:S)</f>
        <v>24</v>
      </c>
      <c r="P22">
        <f>SUMIF(RawData!$C:$C,$A22,RawData!T:T)</f>
        <v>28</v>
      </c>
      <c r="Q22">
        <f>SUMIF(RawData!$C:$C,$A22,RawData!U:U)</f>
        <v>28</v>
      </c>
      <c r="R22">
        <f>SUMIF(RawData!$C:$C,$A22,RawData!V:V)</f>
        <v>30</v>
      </c>
      <c r="S22">
        <f>SUMIF(RawData!$C:$C,$A22,RawData!W:W)</f>
        <v>33</v>
      </c>
      <c r="T22">
        <f>SUMIF(RawData!$C:$C,$A22,RawData!X:X)</f>
        <v>40</v>
      </c>
      <c r="U22">
        <f>SUMIF(RawData!$C:$C,$A22,RawData!Y:Y)</f>
        <v>45</v>
      </c>
      <c r="V22">
        <f>SUMIF(RawData!$C:$C,$A22,RawData!Z:Z)</f>
        <v>47</v>
      </c>
      <c r="W22">
        <f>SUMIF(RawData!$C:$C,$A22,RawData!AA:AA)</f>
        <v>50</v>
      </c>
      <c r="X22">
        <f>SUMIF(RawData!$C:$C,$A22,RawData!AB:AB)</f>
        <v>58</v>
      </c>
      <c r="Y22">
        <f>SUMIF(RawData!$C:$C,$A22,RawData!AC:AC)</f>
        <v>67</v>
      </c>
      <c r="Z22">
        <f>SUMIF(RawData!$C:$C,$A22,RawData!AD:AD)</f>
        <v>72</v>
      </c>
      <c r="AA22">
        <f>SUMIF(RawData!$C:$C,$A22,RawData!AE:AE)</f>
        <v>75</v>
      </c>
      <c r="AB22">
        <f>SUMIF(RawData!$C:$C,$A22,RawData!AF:AF)</f>
        <v>77</v>
      </c>
      <c r="AC22">
        <f>SUMIF(RawData!$C:$C,$A22,RawData!AG:AG)</f>
        <v>81</v>
      </c>
      <c r="AD22">
        <f>SUMIF(RawData!$C:$C,$A22,RawData!AH:AH)</f>
        <v>84</v>
      </c>
      <c r="AE22">
        <f>SUMIF(RawData!$C:$C,$A22,RawData!AI:AI)</f>
        <v>84</v>
      </c>
      <c r="AF22">
        <f>SUMIF(RawData!$C:$C,$A22,RawData!AJ:AJ)</f>
        <v>85</v>
      </c>
      <c r="AG22">
        <f>SUMIF(RawData!$C:$C,$A22,RawData!AK:AK)</f>
        <v>85</v>
      </c>
      <c r="AH22">
        <f>SUMIF(RawData!$C:$C,$A22,RawData!AL:AL)</f>
        <v>89</v>
      </c>
      <c r="AI22">
        <f>SUMIF(RawData!$C:$C,$A22,RawData!AM:AM)</f>
        <v>89</v>
      </c>
      <c r="AJ22">
        <f>SUMIF(RawData!$C:$C,$A22,RawData!AN:AN)</f>
        <v>91</v>
      </c>
      <c r="AK22">
        <f>SUMIF(RawData!$C:$C,$A22,RawData!AO:AO)</f>
        <v>93</v>
      </c>
      <c r="AL22">
        <f>SUMIF(RawData!$C:$C,$A22,RawData!AP:AP)</f>
        <v>93</v>
      </c>
      <c r="AM22">
        <f>SUMIF(RawData!$C:$C,$A22,RawData!AQ:AQ)</f>
        <v>93</v>
      </c>
      <c r="AN22">
        <f>SUMIF(RawData!$C:$C,$A22,RawData!AR:AR)</f>
        <v>102</v>
      </c>
      <c r="AO22">
        <f>SUMIF(RawData!$C:$C,$A22,RawData!AS:AS)</f>
        <v>106</v>
      </c>
      <c r="AP22">
        <f>SUMIF(RawData!$C:$C,$A22,RawData!AT:AT)</f>
        <v>108</v>
      </c>
      <c r="AQ22">
        <f>SUMIF(RawData!$C:$C,$A22,RawData!AU:AU)</f>
        <v>110</v>
      </c>
      <c r="AR22">
        <f>SUMIF(RawData!$C:$C,$A22,RawData!AV:AV)</f>
        <v>110</v>
      </c>
      <c r="AS22">
        <f>SUMIF(RawData!$C:$C,$A22,RawData!AW:AW)</f>
        <v>117</v>
      </c>
      <c r="AT22">
        <f>SUMIF(RawData!$C:$C,$A22,RawData!AX:AX)</f>
        <v>130</v>
      </c>
      <c r="AU22">
        <f>SUMIF(RawData!$C:$C,$A22,RawData!AY:AY)</f>
        <v>138</v>
      </c>
      <c r="AV22">
        <f>SUMIF(RawData!$C:$C,$A22,RawData!AZ:AZ)</f>
        <v>150</v>
      </c>
      <c r="AW22">
        <f>SUMIF(RawData!$C:$C,$A22,RawData!BA:BA)</f>
        <v>150</v>
      </c>
      <c r="AX22">
        <f>SUMIF(RawData!$C:$C,$A22,RawData!BB:BB)</f>
        <v>160</v>
      </c>
      <c r="AY22">
        <f>SUMIF(RawData!$C:$C,$A22,RawData!BC:BC)</f>
        <v>178</v>
      </c>
      <c r="AZ22">
        <f>SUMIF(RawData!$C:$C,$A22,RawData!BD:BD)</f>
        <v>178</v>
      </c>
      <c r="BA22">
        <f>SUMIF(RawData!$C:$C,$A22,RawData!BE:BE)</f>
        <v>200</v>
      </c>
      <c r="BB22">
        <f>SUMIF(RawData!$C:$C,$A22,RawData!BF:BF)</f>
        <v>212</v>
      </c>
      <c r="BC22">
        <f>SUMIF(RawData!$C:$C,$A22,RawData!BG:BG)</f>
        <v>226</v>
      </c>
      <c r="BD22">
        <f>SUMIF(RawData!$C:$C,$A22,RawData!BH:BH)</f>
        <v>0</v>
      </c>
      <c r="BE22">
        <f>SUMIF(RawData!$C:$C,$A22,RawData!BI:BI)</f>
        <v>0</v>
      </c>
      <c r="BF22">
        <f>SUMIF(RawData!$C:$C,$A22,RawData!BJ:BJ)</f>
        <v>0</v>
      </c>
      <c r="BG22">
        <f>SUMIF(RawData!$C:$C,$A22,RawData!BK:BK)</f>
        <v>0</v>
      </c>
      <c r="BH22">
        <f>SUMIF(RawData!$C:$C,$A22,RawData!BL:BL)</f>
        <v>0</v>
      </c>
      <c r="BI22">
        <f>SUMIF(RawData!$C:$C,$A22,RawData!BM:BM)</f>
        <v>0</v>
      </c>
      <c r="BJ22">
        <f>SUMIF(RawData!$C:$C,$A22,RawData!BN:BN)</f>
        <v>0</v>
      </c>
      <c r="BK22">
        <f>SUMIF(RawData!$C:$C,$A22,RawData!BO:BO)</f>
        <v>0</v>
      </c>
      <c r="BL22">
        <f>SUMIF(RawData!$C:$C,$A22,RawData!BP:BP)</f>
        <v>0</v>
      </c>
      <c r="BM22">
        <f>SUMIF(RawData!$C:$C,$A22,RawData!BQ:BQ)</f>
        <v>0</v>
      </c>
      <c r="BN22">
        <f>SUMIF(RawData!$C:$C,$A22,RawData!BR:BR)</f>
        <v>0</v>
      </c>
      <c r="BO22">
        <f>SUMIF(RawData!$C:$C,$A22,RawData!BS:BS)</f>
        <v>0</v>
      </c>
      <c r="BP22">
        <f>SUMIF(RawData!$C:$C,$A22,RawData!BT:BT)</f>
        <v>0</v>
      </c>
      <c r="BQ22">
        <f>SUMIF(RawData!$C:$C,$A22,RawData!BU:BU)</f>
        <v>0</v>
      </c>
      <c r="BR22">
        <f>SUMIF(RawData!$C:$C,$A22,RawData!BV:BV)</f>
        <v>0</v>
      </c>
      <c r="BS22">
        <f>SUMIF(RawData!$C:$C,$A22,RawData!BW:BW)</f>
        <v>0</v>
      </c>
      <c r="BT22">
        <f>SUMIF(RawData!$C:$C,$A22,RawData!BX:BX)</f>
        <v>0</v>
      </c>
    </row>
    <row r="23" spans="1:72" ht="15" thickBot="1" x14ac:dyDescent="0.35">
      <c r="A23" s="4" t="s">
        <v>70</v>
      </c>
      <c r="B23">
        <f>SUMIF(RawData!$C:$C,$A23,RawData!F:F)</f>
        <v>0</v>
      </c>
      <c r="C23">
        <f>SUMIF(RawData!$C:$C,$A23,RawData!G:G)</f>
        <v>0</v>
      </c>
      <c r="D23">
        <f>SUMIF(RawData!$C:$C,$A23,RawData!H:H)</f>
        <v>0</v>
      </c>
      <c r="E23">
        <f>SUMIF(RawData!$C:$C,$A23,RawData!I:I)</f>
        <v>3</v>
      </c>
      <c r="F23">
        <f>SUMIF(RawData!$C:$C,$A23,RawData!J:J)</f>
        <v>4</v>
      </c>
      <c r="G23">
        <f>SUMIF(RawData!$C:$C,$A23,RawData!K:K)</f>
        <v>4</v>
      </c>
      <c r="H23">
        <f>SUMIF(RawData!$C:$C,$A23,RawData!L:L)</f>
        <v>4</v>
      </c>
      <c r="I23">
        <f>SUMIF(RawData!$C:$C,$A23,RawData!M:M)</f>
        <v>7</v>
      </c>
      <c r="J23">
        <f>SUMIF(RawData!$C:$C,$A23,RawData!N:N)</f>
        <v>8</v>
      </c>
      <c r="K23">
        <f>SUMIF(RawData!$C:$C,$A23,RawData!O:O)</f>
        <v>8</v>
      </c>
      <c r="L23">
        <f>SUMIF(RawData!$C:$C,$A23,RawData!P:P)</f>
        <v>8</v>
      </c>
      <c r="M23">
        <f>SUMIF(RawData!$C:$C,$A23,RawData!Q:Q)</f>
        <v>8</v>
      </c>
      <c r="N23">
        <f>SUMIF(RawData!$C:$C,$A23,RawData!R:R)</f>
        <v>8</v>
      </c>
      <c r="O23">
        <f>SUMIF(RawData!$C:$C,$A23,RawData!S:S)</f>
        <v>10</v>
      </c>
      <c r="P23">
        <f>SUMIF(RawData!$C:$C,$A23,RawData!T:T)</f>
        <v>12</v>
      </c>
      <c r="Q23">
        <f>SUMIF(RawData!$C:$C,$A23,RawData!U:U)</f>
        <v>12</v>
      </c>
      <c r="R23">
        <f>SUMIF(RawData!$C:$C,$A23,RawData!V:V)</f>
        <v>12</v>
      </c>
      <c r="S23">
        <f>SUMIF(RawData!$C:$C,$A23,RawData!W:W)</f>
        <v>16</v>
      </c>
      <c r="T23">
        <f>SUMIF(RawData!$C:$C,$A23,RawData!X:X)</f>
        <v>16</v>
      </c>
      <c r="U23">
        <f>SUMIF(RawData!$C:$C,$A23,RawData!Y:Y)</f>
        <v>18</v>
      </c>
      <c r="V23">
        <f>SUMIF(RawData!$C:$C,$A23,RawData!Z:Z)</f>
        <v>18</v>
      </c>
      <c r="W23">
        <f>SUMIF(RawData!$C:$C,$A23,RawData!AA:AA)</f>
        <v>18</v>
      </c>
      <c r="X23">
        <f>SUMIF(RawData!$C:$C,$A23,RawData!AB:AB)</f>
        <v>19</v>
      </c>
      <c r="Y23">
        <f>SUMIF(RawData!$C:$C,$A23,RawData!AC:AC)</f>
        <v>19</v>
      </c>
      <c r="Z23">
        <f>SUMIF(RawData!$C:$C,$A23,RawData!AD:AD)</f>
        <v>22</v>
      </c>
      <c r="AA23">
        <f>SUMIF(RawData!$C:$C,$A23,RawData!AE:AE)</f>
        <v>22</v>
      </c>
      <c r="AB23">
        <f>SUMIF(RawData!$C:$C,$A23,RawData!AF:AF)</f>
        <v>22</v>
      </c>
      <c r="AC23">
        <f>SUMIF(RawData!$C:$C,$A23,RawData!AG:AG)</f>
        <v>22</v>
      </c>
      <c r="AD23">
        <f>SUMIF(RawData!$C:$C,$A23,RawData!AH:AH)</f>
        <v>22</v>
      </c>
      <c r="AE23">
        <f>SUMIF(RawData!$C:$C,$A23,RawData!AI:AI)</f>
        <v>22</v>
      </c>
      <c r="AF23">
        <f>SUMIF(RawData!$C:$C,$A23,RawData!AJ:AJ)</f>
        <v>22</v>
      </c>
      <c r="AG23">
        <f>SUMIF(RawData!$C:$C,$A23,RawData!AK:AK)</f>
        <v>22</v>
      </c>
      <c r="AH23">
        <f>SUMIF(RawData!$C:$C,$A23,RawData!AL:AL)</f>
        <v>22</v>
      </c>
      <c r="AI23">
        <f>SUMIF(RawData!$C:$C,$A23,RawData!AM:AM)</f>
        <v>22</v>
      </c>
      <c r="AJ23">
        <f>SUMIF(RawData!$C:$C,$A23,RawData!AN:AN)</f>
        <v>22</v>
      </c>
      <c r="AK23">
        <f>SUMIF(RawData!$C:$C,$A23,RawData!AO:AO)</f>
        <v>22</v>
      </c>
      <c r="AL23">
        <f>SUMIF(RawData!$C:$C,$A23,RawData!AP:AP)</f>
        <v>23</v>
      </c>
      <c r="AM23">
        <f>SUMIF(RawData!$C:$C,$A23,RawData!AQ:AQ)</f>
        <v>23</v>
      </c>
      <c r="AN23">
        <f>SUMIF(RawData!$C:$C,$A23,RawData!AR:AR)</f>
        <v>25</v>
      </c>
      <c r="AO23">
        <f>SUMIF(RawData!$C:$C,$A23,RawData!AS:AS)</f>
        <v>29</v>
      </c>
      <c r="AP23">
        <f>SUMIF(RawData!$C:$C,$A23,RawData!AT:AT)</f>
        <v>29</v>
      </c>
      <c r="AQ23">
        <f>SUMIF(RawData!$C:$C,$A23,RawData!AU:AU)</f>
        <v>36</v>
      </c>
      <c r="AR23">
        <f>SUMIF(RawData!$C:$C,$A23,RawData!AV:AV)</f>
        <v>50</v>
      </c>
      <c r="AS23">
        <f>SUMIF(RawData!$C:$C,$A23,RawData!AW:AW)</f>
        <v>50</v>
      </c>
      <c r="AT23">
        <f>SUMIF(RawData!$C:$C,$A23,RawData!AX:AX)</f>
        <v>83</v>
      </c>
      <c r="AU23">
        <f>SUMIF(RawData!$C:$C,$A23,RawData!AY:AY)</f>
        <v>93</v>
      </c>
      <c r="AV23">
        <f>SUMIF(RawData!$C:$C,$A23,RawData!AZ:AZ)</f>
        <v>99</v>
      </c>
      <c r="AW23">
        <f>SUMIF(RawData!$C:$C,$A23,RawData!BA:BA)</f>
        <v>117</v>
      </c>
      <c r="AX23">
        <f>SUMIF(RawData!$C:$C,$A23,RawData!BB:BB)</f>
        <v>129</v>
      </c>
      <c r="AY23">
        <f>SUMIF(RawData!$C:$C,$A23,RawData!BC:BC)</f>
        <v>149</v>
      </c>
      <c r="AZ23">
        <f>SUMIF(RawData!$C:$C,$A23,RawData!BD:BD)</f>
        <v>149</v>
      </c>
      <c r="BA23">
        <f>SUMIF(RawData!$C:$C,$A23,RawData!BE:BE)</f>
        <v>197</v>
      </c>
      <c r="BB23">
        <f>SUMIF(RawData!$C:$C,$A23,RawData!BF:BF)</f>
        <v>238</v>
      </c>
      <c r="BC23">
        <f>SUMIF(RawData!$C:$C,$A23,RawData!BG:BG)</f>
        <v>428</v>
      </c>
      <c r="BD23">
        <f>SUMIF(RawData!$C:$C,$A23,RawData!BH:BH)</f>
        <v>0</v>
      </c>
      <c r="BE23">
        <f>SUMIF(RawData!$C:$C,$A23,RawData!BI:BI)</f>
        <v>0</v>
      </c>
      <c r="BF23">
        <f>SUMIF(RawData!$C:$C,$A23,RawData!BJ:BJ)</f>
        <v>0</v>
      </c>
      <c r="BG23">
        <f>SUMIF(RawData!$C:$C,$A23,RawData!BK:BK)</f>
        <v>0</v>
      </c>
      <c r="BH23">
        <f>SUMIF(RawData!$C:$C,$A23,RawData!BL:BL)</f>
        <v>0</v>
      </c>
      <c r="BI23">
        <f>SUMIF(RawData!$C:$C,$A23,RawData!BM:BM)</f>
        <v>0</v>
      </c>
      <c r="BJ23">
        <f>SUMIF(RawData!$C:$C,$A23,RawData!BN:BN)</f>
        <v>0</v>
      </c>
      <c r="BK23">
        <f>SUMIF(RawData!$C:$C,$A23,RawData!BO:BO)</f>
        <v>0</v>
      </c>
      <c r="BL23">
        <f>SUMIF(RawData!$C:$C,$A23,RawData!BP:BP)</f>
        <v>0</v>
      </c>
      <c r="BM23">
        <f>SUMIF(RawData!$C:$C,$A23,RawData!BQ:BQ)</f>
        <v>0</v>
      </c>
      <c r="BN23">
        <f>SUMIF(RawData!$C:$C,$A23,RawData!BR:BR)</f>
        <v>0</v>
      </c>
      <c r="BO23">
        <f>SUMIF(RawData!$C:$C,$A23,RawData!BS:BS)</f>
        <v>0</v>
      </c>
      <c r="BP23">
        <f>SUMIF(RawData!$C:$C,$A23,RawData!BT:BT)</f>
        <v>0</v>
      </c>
      <c r="BQ23">
        <f>SUMIF(RawData!$C:$C,$A23,RawData!BU:BU)</f>
        <v>0</v>
      </c>
      <c r="BR23">
        <f>SUMIF(RawData!$C:$C,$A23,RawData!BV:BV)</f>
        <v>0</v>
      </c>
      <c r="BS23">
        <f>SUMIF(RawData!$C:$C,$A23,RawData!BW:BW)</f>
        <v>0</v>
      </c>
      <c r="BT23">
        <f>SUMIF(RawData!$C:$C,$A23,RawData!BX:BX)</f>
        <v>0</v>
      </c>
    </row>
    <row r="24" spans="1:72" ht="15" thickBot="1" x14ac:dyDescent="0.35">
      <c r="A24" s="5" t="s">
        <v>72</v>
      </c>
      <c r="B24">
        <f>SUMIF(RawData!$C:$C,$A24,RawData!F:F)</f>
        <v>0</v>
      </c>
      <c r="C24">
        <f>SUMIF(RawData!$C:$C,$A24,RawData!G:G)</f>
        <v>0</v>
      </c>
      <c r="D24">
        <f>SUMIF(RawData!$C:$C,$A24,RawData!H:H)</f>
        <v>0</v>
      </c>
      <c r="E24">
        <f>SUMIF(RawData!$C:$C,$A24,RawData!I:I)</f>
        <v>0</v>
      </c>
      <c r="F24">
        <f>SUMIF(RawData!$C:$C,$A24,RawData!J:J)</f>
        <v>1</v>
      </c>
      <c r="G24">
        <f>SUMIF(RawData!$C:$C,$A24,RawData!K:K)</f>
        <v>1</v>
      </c>
      <c r="H24">
        <f>SUMIF(RawData!$C:$C,$A24,RawData!L:L)</f>
        <v>2</v>
      </c>
      <c r="I24">
        <f>SUMIF(RawData!$C:$C,$A24,RawData!M:M)</f>
        <v>2</v>
      </c>
      <c r="J24">
        <f>SUMIF(RawData!$C:$C,$A24,RawData!N:N)</f>
        <v>2</v>
      </c>
      <c r="K24">
        <f>SUMIF(RawData!$C:$C,$A24,RawData!O:O)</f>
        <v>4</v>
      </c>
      <c r="L24">
        <f>SUMIF(RawData!$C:$C,$A24,RawData!P:P)</f>
        <v>4</v>
      </c>
      <c r="M24">
        <f>SUMIF(RawData!$C:$C,$A24,RawData!Q:Q)</f>
        <v>4</v>
      </c>
      <c r="N24">
        <f>SUMIF(RawData!$C:$C,$A24,RawData!R:R)</f>
        <v>4</v>
      </c>
      <c r="O24">
        <f>SUMIF(RawData!$C:$C,$A24,RawData!S:S)</f>
        <v>4</v>
      </c>
      <c r="P24">
        <f>SUMIF(RawData!$C:$C,$A24,RawData!T:T)</f>
        <v>5</v>
      </c>
      <c r="Q24">
        <f>SUMIF(RawData!$C:$C,$A24,RawData!U:U)</f>
        <v>5</v>
      </c>
      <c r="R24">
        <f>SUMIF(RawData!$C:$C,$A24,RawData!V:V)</f>
        <v>7</v>
      </c>
      <c r="S24">
        <f>SUMIF(RawData!$C:$C,$A24,RawData!W:W)</f>
        <v>7</v>
      </c>
      <c r="T24">
        <f>SUMIF(RawData!$C:$C,$A24,RawData!X:X)</f>
        <v>7</v>
      </c>
      <c r="U24">
        <f>SUMIF(RawData!$C:$C,$A24,RawData!Y:Y)</f>
        <v>7</v>
      </c>
      <c r="V24">
        <f>SUMIF(RawData!$C:$C,$A24,RawData!Z:Z)</f>
        <v>7</v>
      </c>
      <c r="W24">
        <f>SUMIF(RawData!$C:$C,$A24,RawData!AA:AA)</f>
        <v>7</v>
      </c>
      <c r="X24">
        <f>SUMIF(RawData!$C:$C,$A24,RawData!AB:AB)</f>
        <v>7</v>
      </c>
      <c r="Y24">
        <f>SUMIF(RawData!$C:$C,$A24,RawData!AC:AC)</f>
        <v>7</v>
      </c>
      <c r="Z24">
        <f>SUMIF(RawData!$C:$C,$A24,RawData!AD:AD)</f>
        <v>7</v>
      </c>
      <c r="AA24">
        <f>SUMIF(RawData!$C:$C,$A24,RawData!AE:AE)</f>
        <v>7</v>
      </c>
      <c r="AB24">
        <f>SUMIF(RawData!$C:$C,$A24,RawData!AF:AF)</f>
        <v>8</v>
      </c>
      <c r="AC24">
        <f>SUMIF(RawData!$C:$C,$A24,RawData!AG:AG)</f>
        <v>8</v>
      </c>
      <c r="AD24">
        <f>SUMIF(RawData!$C:$C,$A24,RawData!AH:AH)</f>
        <v>8</v>
      </c>
      <c r="AE24">
        <f>SUMIF(RawData!$C:$C,$A24,RawData!AI:AI)</f>
        <v>8</v>
      </c>
      <c r="AF24">
        <f>SUMIF(RawData!$C:$C,$A24,RawData!AJ:AJ)</f>
        <v>9</v>
      </c>
      <c r="AG24">
        <f>SUMIF(RawData!$C:$C,$A24,RawData!AK:AK)</f>
        <v>9</v>
      </c>
      <c r="AH24">
        <f>SUMIF(RawData!$C:$C,$A24,RawData!AL:AL)</f>
        <v>9</v>
      </c>
      <c r="AI24">
        <f>SUMIF(RawData!$C:$C,$A24,RawData!AM:AM)</f>
        <v>10</v>
      </c>
      <c r="AJ24">
        <f>SUMIF(RawData!$C:$C,$A24,RawData!AN:AN)</f>
        <v>11</v>
      </c>
      <c r="AK24">
        <f>SUMIF(RawData!$C:$C,$A24,RawData!AO:AO)</f>
        <v>11</v>
      </c>
      <c r="AL24">
        <f>SUMIF(RawData!$C:$C,$A24,RawData!AP:AP)</f>
        <v>13</v>
      </c>
      <c r="AM24">
        <f>SUMIF(RawData!$C:$C,$A24,RawData!AQ:AQ)</f>
        <v>14</v>
      </c>
      <c r="AN24">
        <f>SUMIF(RawData!$C:$C,$A24,RawData!AR:AR)</f>
        <v>20</v>
      </c>
      <c r="AO24">
        <f>SUMIF(RawData!$C:$C,$A24,RawData!AS:AS)</f>
        <v>24</v>
      </c>
      <c r="AP24">
        <f>SUMIF(RawData!$C:$C,$A24,RawData!AT:AT)</f>
        <v>27</v>
      </c>
      <c r="AQ24">
        <f>SUMIF(RawData!$C:$C,$A24,RawData!AU:AU)</f>
        <v>30</v>
      </c>
      <c r="AR24">
        <f>SUMIF(RawData!$C:$C,$A24,RawData!AV:AV)</f>
        <v>33</v>
      </c>
      <c r="AS24">
        <f>SUMIF(RawData!$C:$C,$A24,RawData!AW:AW)</f>
        <v>37</v>
      </c>
      <c r="AT24">
        <f>SUMIF(RawData!$C:$C,$A24,RawData!AX:AX)</f>
        <v>49</v>
      </c>
      <c r="AU24">
        <f>SUMIF(RawData!$C:$C,$A24,RawData!AY:AY)</f>
        <v>54</v>
      </c>
      <c r="AV24">
        <f>SUMIF(RawData!$C:$C,$A24,RawData!AZ:AZ)</f>
        <v>64</v>
      </c>
      <c r="AW24">
        <f>SUMIF(RawData!$C:$C,$A24,RawData!BA:BA)</f>
        <v>77</v>
      </c>
      <c r="AX24">
        <f>SUMIF(RawData!$C:$C,$A24,RawData!BB:BB)</f>
        <v>79</v>
      </c>
      <c r="AY24">
        <f>SUMIF(RawData!$C:$C,$A24,RawData!BC:BC)</f>
        <v>108</v>
      </c>
      <c r="AZ24">
        <f>SUMIF(RawData!$C:$C,$A24,RawData!BD:BD)</f>
        <v>117</v>
      </c>
      <c r="BA24">
        <f>SUMIF(RawData!$C:$C,$A24,RawData!BE:BE)</f>
        <v>193</v>
      </c>
      <c r="BB24">
        <f>SUMIF(RawData!$C:$C,$A24,RawData!BF:BF)</f>
        <v>198</v>
      </c>
      <c r="BC24">
        <f>SUMIF(RawData!$C:$C,$A24,RawData!BG:BG)</f>
        <v>252</v>
      </c>
      <c r="BD24">
        <f>SUMIF(RawData!$C:$C,$A24,RawData!BH:BH)</f>
        <v>0</v>
      </c>
      <c r="BE24">
        <f>SUMIF(RawData!$C:$C,$A24,RawData!BI:BI)</f>
        <v>0</v>
      </c>
      <c r="BF24">
        <f>SUMIF(RawData!$C:$C,$A24,RawData!BJ:BJ)</f>
        <v>0</v>
      </c>
      <c r="BG24">
        <f>SUMIF(RawData!$C:$C,$A24,RawData!BK:BK)</f>
        <v>0</v>
      </c>
      <c r="BH24">
        <f>SUMIF(RawData!$C:$C,$A24,RawData!BL:BL)</f>
        <v>0</v>
      </c>
      <c r="BI24">
        <f>SUMIF(RawData!$C:$C,$A24,RawData!BM:BM)</f>
        <v>0</v>
      </c>
      <c r="BJ24">
        <f>SUMIF(RawData!$C:$C,$A24,RawData!BN:BN)</f>
        <v>0</v>
      </c>
      <c r="BK24">
        <f>SUMIF(RawData!$C:$C,$A24,RawData!BO:BO)</f>
        <v>0</v>
      </c>
      <c r="BL24">
        <f>SUMIF(RawData!$C:$C,$A24,RawData!BP:BP)</f>
        <v>0</v>
      </c>
      <c r="BM24">
        <f>SUMIF(RawData!$C:$C,$A24,RawData!BQ:BQ)</f>
        <v>0</v>
      </c>
      <c r="BN24">
        <f>SUMIF(RawData!$C:$C,$A24,RawData!BR:BR)</f>
        <v>0</v>
      </c>
      <c r="BO24">
        <f>SUMIF(RawData!$C:$C,$A24,RawData!BS:BS)</f>
        <v>0</v>
      </c>
      <c r="BP24">
        <f>SUMIF(RawData!$C:$C,$A24,RawData!BT:BT)</f>
        <v>0</v>
      </c>
      <c r="BQ24">
        <f>SUMIF(RawData!$C:$C,$A24,RawData!BU:BU)</f>
        <v>0</v>
      </c>
      <c r="BR24">
        <f>SUMIF(RawData!$C:$C,$A24,RawData!BV:BV)</f>
        <v>0</v>
      </c>
      <c r="BS24">
        <f>SUMIF(RawData!$C:$C,$A24,RawData!BW:BW)</f>
        <v>0</v>
      </c>
      <c r="BT24">
        <f>SUMIF(RawData!$C:$C,$A24,RawData!BX:BX)</f>
        <v>0</v>
      </c>
    </row>
    <row r="25" spans="1:72" ht="15" thickBot="1" x14ac:dyDescent="0.35">
      <c r="A25" s="5" t="s">
        <v>110</v>
      </c>
      <c r="B25">
        <f>SUMIF(RawData!$C:$C,$A25,RawData!F:F)</f>
        <v>0</v>
      </c>
      <c r="C25">
        <f>SUMIF(RawData!$C:$C,$A25,RawData!G:G)</f>
        <v>0</v>
      </c>
      <c r="D25">
        <f>SUMIF(RawData!$C:$C,$A25,RawData!H:H)</f>
        <v>0</v>
      </c>
      <c r="E25">
        <f>SUMIF(RawData!$C:$C,$A25,RawData!I:I)</f>
        <v>0</v>
      </c>
      <c r="F25">
        <f>SUMIF(RawData!$C:$C,$A25,RawData!J:J)</f>
        <v>0</v>
      </c>
      <c r="G25">
        <f>SUMIF(RawData!$C:$C,$A25,RawData!K:K)</f>
        <v>0</v>
      </c>
      <c r="H25">
        <f>SUMIF(RawData!$C:$C,$A25,RawData!L:L)</f>
        <v>0</v>
      </c>
      <c r="I25">
        <f>SUMIF(RawData!$C:$C,$A25,RawData!M:M)</f>
        <v>0</v>
      </c>
      <c r="J25">
        <f>SUMIF(RawData!$C:$C,$A25,RawData!N:N)</f>
        <v>0</v>
      </c>
      <c r="K25">
        <f>SUMIF(RawData!$C:$C,$A25,RawData!O:O)</f>
        <v>0</v>
      </c>
      <c r="L25">
        <f>SUMIF(RawData!$C:$C,$A25,RawData!P:P)</f>
        <v>0</v>
      </c>
      <c r="M25">
        <f>SUMIF(RawData!$C:$C,$A25,RawData!Q:Q)</f>
        <v>0</v>
      </c>
      <c r="N25">
        <f>SUMIF(RawData!$C:$C,$A25,RawData!R:R)</f>
        <v>0</v>
      </c>
      <c r="O25">
        <f>SUMIF(RawData!$C:$C,$A25,RawData!S:S)</f>
        <v>0</v>
      </c>
      <c r="P25">
        <f>SUMIF(RawData!$C:$C,$A25,RawData!T:T)</f>
        <v>0</v>
      </c>
      <c r="Q25">
        <f>SUMIF(RawData!$C:$C,$A25,RawData!U:U)</f>
        <v>0</v>
      </c>
      <c r="R25">
        <f>SUMIF(RawData!$C:$C,$A25,RawData!V:V)</f>
        <v>0</v>
      </c>
      <c r="S25">
        <f>SUMIF(RawData!$C:$C,$A25,RawData!W:W)</f>
        <v>0</v>
      </c>
      <c r="T25">
        <f>SUMIF(RawData!$C:$C,$A25,RawData!X:X)</f>
        <v>0</v>
      </c>
      <c r="U25">
        <f>SUMIF(RawData!$C:$C,$A25,RawData!Y:Y)</f>
        <v>0</v>
      </c>
      <c r="V25">
        <f>SUMIF(RawData!$C:$C,$A25,RawData!Z:Z)</f>
        <v>0</v>
      </c>
      <c r="W25">
        <f>SUMIF(RawData!$C:$C,$A25,RawData!AA:AA)</f>
        <v>0</v>
      </c>
      <c r="X25">
        <f>SUMIF(RawData!$C:$C,$A25,RawData!AB:AB)</f>
        <v>0</v>
      </c>
      <c r="Y25">
        <f>SUMIF(RawData!$C:$C,$A25,RawData!AC:AC)</f>
        <v>0</v>
      </c>
      <c r="Z25">
        <f>SUMIF(RawData!$C:$C,$A25,RawData!AD:AD)</f>
        <v>0</v>
      </c>
      <c r="AA25">
        <f>SUMIF(RawData!$C:$C,$A25,RawData!AE:AE)</f>
        <v>0</v>
      </c>
      <c r="AB25">
        <f>SUMIF(RawData!$C:$C,$A25,RawData!AF:AF)</f>
        <v>0</v>
      </c>
      <c r="AC25">
        <f>SUMIF(RawData!$C:$C,$A25,RawData!AG:AG)</f>
        <v>0</v>
      </c>
      <c r="AD25">
        <f>SUMIF(RawData!$C:$C,$A25,RawData!AH:AH)</f>
        <v>0</v>
      </c>
      <c r="AE25">
        <f>SUMIF(RawData!$C:$C,$A25,RawData!AI:AI)</f>
        <v>0</v>
      </c>
      <c r="AF25">
        <f>SUMIF(RawData!$C:$C,$A25,RawData!AJ:AJ)</f>
        <v>0</v>
      </c>
      <c r="AG25">
        <f>SUMIF(RawData!$C:$C,$A25,RawData!AK:AK)</f>
        <v>0</v>
      </c>
      <c r="AH25">
        <f>SUMIF(RawData!$C:$C,$A25,RawData!AL:AL)</f>
        <v>0</v>
      </c>
      <c r="AI25">
        <f>SUMIF(RawData!$C:$C,$A25,RawData!AM:AM)</f>
        <v>0</v>
      </c>
      <c r="AJ25">
        <f>SUMIF(RawData!$C:$C,$A25,RawData!AN:AN)</f>
        <v>0</v>
      </c>
      <c r="AK25">
        <f>SUMIF(RawData!$C:$C,$A25,RawData!AO:AO)</f>
        <v>1</v>
      </c>
      <c r="AL25">
        <f>SUMIF(RawData!$C:$C,$A25,RawData!AP:AP)</f>
        <v>3</v>
      </c>
      <c r="AM25">
        <f>SUMIF(RawData!$C:$C,$A25,RawData!AQ:AQ)</f>
        <v>4</v>
      </c>
      <c r="AN25">
        <f>SUMIF(RawData!$C:$C,$A25,RawData!AR:AR)</f>
        <v>4</v>
      </c>
      <c r="AO25">
        <f>SUMIF(RawData!$C:$C,$A25,RawData!AS:AS)</f>
        <v>7</v>
      </c>
      <c r="AP25">
        <f>SUMIF(RawData!$C:$C,$A25,RawData!AT:AT)</f>
        <v>7</v>
      </c>
      <c r="AQ25">
        <f>SUMIF(RawData!$C:$C,$A25,RawData!AU:AU)</f>
        <v>7</v>
      </c>
      <c r="AR25">
        <f>SUMIF(RawData!$C:$C,$A25,RawData!AV:AV)</f>
        <v>9</v>
      </c>
      <c r="AS25">
        <f>SUMIF(RawData!$C:$C,$A25,RawData!AW:AW)</f>
        <v>31</v>
      </c>
      <c r="AT25">
        <f>SUMIF(RawData!$C:$C,$A25,RawData!AX:AX)</f>
        <v>45</v>
      </c>
      <c r="AU25">
        <f>SUMIF(RawData!$C:$C,$A25,RawData!AY:AY)</f>
        <v>46</v>
      </c>
      <c r="AV25">
        <f>SUMIF(RawData!$C:$C,$A25,RawData!AZ:AZ)</f>
        <v>73</v>
      </c>
      <c r="AW25">
        <f>SUMIF(RawData!$C:$C,$A25,RawData!BA:BA)</f>
        <v>73</v>
      </c>
      <c r="AX25">
        <f>SUMIF(RawData!$C:$C,$A25,RawData!BB:BB)</f>
        <v>89</v>
      </c>
      <c r="AY25">
        <f>SUMIF(RawData!$C:$C,$A25,RawData!BC:BC)</f>
        <v>99</v>
      </c>
      <c r="AZ25">
        <f>SUMIF(RawData!$C:$C,$A25,RawData!BD:BD)</f>
        <v>99</v>
      </c>
      <c r="BA25">
        <f>SUMIF(RawData!$C:$C,$A25,RawData!BE:BE)</f>
        <v>190</v>
      </c>
      <c r="BB25">
        <f>SUMIF(RawData!$C:$C,$A25,RawData!BF:BF)</f>
        <v>228</v>
      </c>
      <c r="BC25">
        <f>SUMIF(RawData!$C:$C,$A25,RawData!BG:BG)</f>
        <v>331</v>
      </c>
      <c r="BD25">
        <f>SUMIF(RawData!$C:$C,$A25,RawData!BH:BH)</f>
        <v>0</v>
      </c>
      <c r="BE25">
        <f>SUMIF(RawData!$C:$C,$A25,RawData!BI:BI)</f>
        <v>0</v>
      </c>
      <c r="BF25">
        <f>SUMIF(RawData!$C:$C,$A25,RawData!BJ:BJ)</f>
        <v>0</v>
      </c>
      <c r="BG25">
        <f>SUMIF(RawData!$C:$C,$A25,RawData!BK:BK)</f>
        <v>0</v>
      </c>
      <c r="BH25">
        <f>SUMIF(RawData!$C:$C,$A25,RawData!BL:BL)</f>
        <v>0</v>
      </c>
      <c r="BI25">
        <f>SUMIF(RawData!$C:$C,$A25,RawData!BM:BM)</f>
        <v>0</v>
      </c>
      <c r="BJ25">
        <f>SUMIF(RawData!$C:$C,$A25,RawData!BN:BN)</f>
        <v>0</v>
      </c>
      <c r="BK25">
        <f>SUMIF(RawData!$C:$C,$A25,RawData!BO:BO)</f>
        <v>0</v>
      </c>
      <c r="BL25">
        <f>SUMIF(RawData!$C:$C,$A25,RawData!BP:BP)</f>
        <v>0</v>
      </c>
      <c r="BM25">
        <f>SUMIF(RawData!$C:$C,$A25,RawData!BQ:BQ)</f>
        <v>0</v>
      </c>
      <c r="BN25">
        <f>SUMIF(RawData!$C:$C,$A25,RawData!BR:BR)</f>
        <v>0</v>
      </c>
      <c r="BO25">
        <f>SUMIF(RawData!$C:$C,$A25,RawData!BS:BS)</f>
        <v>0</v>
      </c>
      <c r="BP25">
        <f>SUMIF(RawData!$C:$C,$A25,RawData!BT:BT)</f>
        <v>0</v>
      </c>
      <c r="BQ25">
        <f>SUMIF(RawData!$C:$C,$A25,RawData!BU:BU)</f>
        <v>0</v>
      </c>
      <c r="BR25">
        <f>SUMIF(RawData!$C:$C,$A25,RawData!BV:BV)</f>
        <v>0</v>
      </c>
      <c r="BS25">
        <f>SUMIF(RawData!$C:$C,$A25,RawData!BW:BW)</f>
        <v>0</v>
      </c>
      <c r="BT25">
        <f>SUMIF(RawData!$C:$C,$A25,RawData!BX:BX)</f>
        <v>0</v>
      </c>
    </row>
    <row r="26" spans="1:72" ht="15" thickBot="1" x14ac:dyDescent="0.35">
      <c r="A26" s="5" t="s">
        <v>100</v>
      </c>
      <c r="B26">
        <f>SUMIF(RawData!$C:$C,$A26,RawData!F:F)</f>
        <v>0</v>
      </c>
      <c r="C26">
        <f>SUMIF(RawData!$C:$C,$A26,RawData!G:G)</f>
        <v>0</v>
      </c>
      <c r="D26">
        <f>SUMIF(RawData!$C:$C,$A26,RawData!H:H)</f>
        <v>0</v>
      </c>
      <c r="E26">
        <f>SUMIF(RawData!$C:$C,$A26,RawData!I:I)</f>
        <v>0</v>
      </c>
      <c r="F26">
        <f>SUMIF(RawData!$C:$C,$A26,RawData!J:J)</f>
        <v>0</v>
      </c>
      <c r="G26">
        <f>SUMIF(RawData!$C:$C,$A26,RawData!K:K)</f>
        <v>0</v>
      </c>
      <c r="H26">
        <f>SUMIF(RawData!$C:$C,$A26,RawData!L:L)</f>
        <v>0</v>
      </c>
      <c r="I26">
        <f>SUMIF(RawData!$C:$C,$A26,RawData!M:M)</f>
        <v>0</v>
      </c>
      <c r="J26">
        <f>SUMIF(RawData!$C:$C,$A26,RawData!N:N)</f>
        <v>0</v>
      </c>
      <c r="K26">
        <f>SUMIF(RawData!$C:$C,$A26,RawData!O:O)</f>
        <v>0</v>
      </c>
      <c r="L26">
        <f>SUMIF(RawData!$C:$C,$A26,RawData!P:P)</f>
        <v>0</v>
      </c>
      <c r="M26">
        <f>SUMIF(RawData!$C:$C,$A26,RawData!Q:Q)</f>
        <v>0</v>
      </c>
      <c r="N26">
        <f>SUMIF(RawData!$C:$C,$A26,RawData!R:R)</f>
        <v>0</v>
      </c>
      <c r="O26">
        <f>SUMIF(RawData!$C:$C,$A26,RawData!S:S)</f>
        <v>0</v>
      </c>
      <c r="P26">
        <f>SUMIF(RawData!$C:$C,$A26,RawData!T:T)</f>
        <v>0</v>
      </c>
      <c r="Q26">
        <f>SUMIF(RawData!$C:$C,$A26,RawData!U:U)</f>
        <v>0</v>
      </c>
      <c r="R26">
        <f>SUMIF(RawData!$C:$C,$A26,RawData!V:V)</f>
        <v>0</v>
      </c>
      <c r="S26">
        <f>SUMIF(RawData!$C:$C,$A26,RawData!W:W)</f>
        <v>0</v>
      </c>
      <c r="T26">
        <f>SUMIF(RawData!$C:$C,$A26,RawData!X:X)</f>
        <v>0</v>
      </c>
      <c r="U26">
        <f>SUMIF(RawData!$C:$C,$A26,RawData!Y:Y)</f>
        <v>0</v>
      </c>
      <c r="V26">
        <f>SUMIF(RawData!$C:$C,$A26,RawData!Z:Z)</f>
        <v>0</v>
      </c>
      <c r="W26">
        <f>SUMIF(RawData!$C:$C,$A26,RawData!AA:AA)</f>
        <v>0</v>
      </c>
      <c r="X26">
        <f>SUMIF(RawData!$C:$C,$A26,RawData!AB:AB)</f>
        <v>0</v>
      </c>
      <c r="Y26">
        <f>SUMIF(RawData!$C:$C,$A26,RawData!AC:AC)</f>
        <v>0</v>
      </c>
      <c r="Z26">
        <f>SUMIF(RawData!$C:$C,$A26,RawData!AD:AD)</f>
        <v>0</v>
      </c>
      <c r="AA26">
        <f>SUMIF(RawData!$C:$C,$A26,RawData!AE:AE)</f>
        <v>0</v>
      </c>
      <c r="AB26">
        <f>SUMIF(RawData!$C:$C,$A26,RawData!AF:AF)</f>
        <v>0</v>
      </c>
      <c r="AC26">
        <f>SUMIF(RawData!$C:$C,$A26,RawData!AG:AG)</f>
        <v>0</v>
      </c>
      <c r="AD26">
        <f>SUMIF(RawData!$C:$C,$A26,RawData!AH:AH)</f>
        <v>0</v>
      </c>
      <c r="AE26">
        <f>SUMIF(RawData!$C:$C,$A26,RawData!AI:AI)</f>
        <v>0</v>
      </c>
      <c r="AF26">
        <f>SUMIF(RawData!$C:$C,$A26,RawData!AJ:AJ)</f>
        <v>0</v>
      </c>
      <c r="AG26">
        <f>SUMIF(RawData!$C:$C,$A26,RawData!AK:AK)</f>
        <v>0</v>
      </c>
      <c r="AH26">
        <f>SUMIF(RawData!$C:$C,$A26,RawData!AL:AL)</f>
        <v>0</v>
      </c>
      <c r="AI26">
        <f>SUMIF(RawData!$C:$C,$A26,RawData!AM:AM)</f>
        <v>1</v>
      </c>
      <c r="AJ26">
        <f>SUMIF(RawData!$C:$C,$A26,RawData!AN:AN)</f>
        <v>23</v>
      </c>
      <c r="AK26">
        <f>SUMIF(RawData!$C:$C,$A26,RawData!AO:AO)</f>
        <v>33</v>
      </c>
      <c r="AL26">
        <f>SUMIF(RawData!$C:$C,$A26,RawData!AP:AP)</f>
        <v>33</v>
      </c>
      <c r="AM26">
        <f>SUMIF(RawData!$C:$C,$A26,RawData!AQ:AQ)</f>
        <v>36</v>
      </c>
      <c r="AN26">
        <f>SUMIF(RawData!$C:$C,$A26,RawData!AR:AR)</f>
        <v>41</v>
      </c>
      <c r="AO26">
        <f>SUMIF(RawData!$C:$C,$A26,RawData!AS:AS)</f>
        <v>47</v>
      </c>
      <c r="AP26">
        <f>SUMIF(RawData!$C:$C,$A26,RawData!AT:AT)</f>
        <v>49</v>
      </c>
      <c r="AQ26">
        <f>SUMIF(RawData!$C:$C,$A26,RawData!AU:AU)</f>
        <v>49</v>
      </c>
      <c r="AR26">
        <f>SUMIF(RawData!$C:$C,$A26,RawData!AV:AV)</f>
        <v>52</v>
      </c>
      <c r="AS26">
        <f>SUMIF(RawData!$C:$C,$A26,RawData!AW:AW)</f>
        <v>55</v>
      </c>
      <c r="AT26">
        <f>SUMIF(RawData!$C:$C,$A26,RawData!AX:AX)</f>
        <v>60</v>
      </c>
      <c r="AU26">
        <f>SUMIF(RawData!$C:$C,$A26,RawData!AY:AY)</f>
        <v>85</v>
      </c>
      <c r="AV26">
        <f>SUMIF(RawData!$C:$C,$A26,RawData!AZ:AZ)</f>
        <v>85</v>
      </c>
      <c r="AW26">
        <f>SUMIF(RawData!$C:$C,$A26,RawData!BA:BA)</f>
        <v>95</v>
      </c>
      <c r="AX26">
        <f>SUMIF(RawData!$C:$C,$A26,RawData!BB:BB)</f>
        <v>110</v>
      </c>
      <c r="AY26">
        <f>SUMIF(RawData!$C:$C,$A26,RawData!BC:BC)</f>
        <v>195</v>
      </c>
      <c r="AZ26">
        <f>SUMIF(RawData!$C:$C,$A26,RawData!BD:BD)</f>
        <v>195</v>
      </c>
      <c r="BA26">
        <f>SUMIF(RawData!$C:$C,$A26,RawData!BE:BE)</f>
        <v>189</v>
      </c>
      <c r="BB26">
        <f>SUMIF(RawData!$C:$C,$A26,RawData!BF:BF)</f>
        <v>210</v>
      </c>
      <c r="BC26">
        <f>SUMIF(RawData!$C:$C,$A26,RawData!BG:BG)</f>
        <v>214</v>
      </c>
      <c r="BD26">
        <f>SUMIF(RawData!$C:$C,$A26,RawData!BH:BH)</f>
        <v>0</v>
      </c>
      <c r="BE26">
        <f>SUMIF(RawData!$C:$C,$A26,RawData!BI:BI)</f>
        <v>0</v>
      </c>
      <c r="BF26">
        <f>SUMIF(RawData!$C:$C,$A26,RawData!BJ:BJ)</f>
        <v>0</v>
      </c>
      <c r="BG26">
        <f>SUMIF(RawData!$C:$C,$A26,RawData!BK:BK)</f>
        <v>0</v>
      </c>
      <c r="BH26">
        <f>SUMIF(RawData!$C:$C,$A26,RawData!BL:BL)</f>
        <v>0</v>
      </c>
      <c r="BI26">
        <f>SUMIF(RawData!$C:$C,$A26,RawData!BM:BM)</f>
        <v>0</v>
      </c>
      <c r="BJ26">
        <f>SUMIF(RawData!$C:$C,$A26,RawData!BN:BN)</f>
        <v>0</v>
      </c>
      <c r="BK26">
        <f>SUMIF(RawData!$C:$C,$A26,RawData!BO:BO)</f>
        <v>0</v>
      </c>
      <c r="BL26">
        <f>SUMIF(RawData!$C:$C,$A26,RawData!BP:BP)</f>
        <v>0</v>
      </c>
      <c r="BM26">
        <f>SUMIF(RawData!$C:$C,$A26,RawData!BQ:BQ)</f>
        <v>0</v>
      </c>
      <c r="BN26">
        <f>SUMIF(RawData!$C:$C,$A26,RawData!BR:BR)</f>
        <v>0</v>
      </c>
      <c r="BO26">
        <f>SUMIF(RawData!$C:$C,$A26,RawData!BS:BS)</f>
        <v>0</v>
      </c>
      <c r="BP26">
        <f>SUMIF(RawData!$C:$C,$A26,RawData!BT:BT)</f>
        <v>0</v>
      </c>
      <c r="BQ26">
        <f>SUMIF(RawData!$C:$C,$A26,RawData!BU:BU)</f>
        <v>0</v>
      </c>
      <c r="BR26">
        <f>SUMIF(RawData!$C:$C,$A26,RawData!BV:BV)</f>
        <v>0</v>
      </c>
      <c r="BS26">
        <f>SUMIF(RawData!$C:$C,$A26,RawData!BW:BW)</f>
        <v>0</v>
      </c>
      <c r="BT26">
        <f>SUMIF(RawData!$C:$C,$A26,RawData!BX:BX)</f>
        <v>0</v>
      </c>
    </row>
    <row r="27" spans="1:72" ht="15" thickBot="1" x14ac:dyDescent="0.35">
      <c r="A27" s="5" t="s">
        <v>106</v>
      </c>
      <c r="B27">
        <f>SUMIF(RawData!$C:$C,$A27,RawData!F:F)</f>
        <v>0</v>
      </c>
      <c r="C27">
        <f>SUMIF(RawData!$C:$C,$A27,RawData!G:G)</f>
        <v>0</v>
      </c>
      <c r="D27">
        <f>SUMIF(RawData!$C:$C,$A27,RawData!H:H)</f>
        <v>0</v>
      </c>
      <c r="E27">
        <f>SUMIF(RawData!$C:$C,$A27,RawData!I:I)</f>
        <v>0</v>
      </c>
      <c r="F27">
        <f>SUMIF(RawData!$C:$C,$A27,RawData!J:J)</f>
        <v>0</v>
      </c>
      <c r="G27">
        <f>SUMIF(RawData!$C:$C,$A27,RawData!K:K)</f>
        <v>0</v>
      </c>
      <c r="H27">
        <f>SUMIF(RawData!$C:$C,$A27,RawData!L:L)</f>
        <v>0</v>
      </c>
      <c r="I27">
        <f>SUMIF(RawData!$C:$C,$A27,RawData!M:M)</f>
        <v>0</v>
      </c>
      <c r="J27">
        <f>SUMIF(RawData!$C:$C,$A27,RawData!N:N)</f>
        <v>0</v>
      </c>
      <c r="K27">
        <f>SUMIF(RawData!$C:$C,$A27,RawData!O:O)</f>
        <v>0</v>
      </c>
      <c r="L27">
        <f>SUMIF(RawData!$C:$C,$A27,RawData!P:P)</f>
        <v>0</v>
      </c>
      <c r="M27">
        <f>SUMIF(RawData!$C:$C,$A27,RawData!Q:Q)</f>
        <v>0</v>
      </c>
      <c r="N27">
        <f>SUMIF(RawData!$C:$C,$A27,RawData!R:R)</f>
        <v>0</v>
      </c>
      <c r="O27">
        <f>SUMIF(RawData!$C:$C,$A27,RawData!S:S)</f>
        <v>0</v>
      </c>
      <c r="P27">
        <f>SUMIF(RawData!$C:$C,$A27,RawData!T:T)</f>
        <v>0</v>
      </c>
      <c r="Q27">
        <f>SUMIF(RawData!$C:$C,$A27,RawData!U:U)</f>
        <v>0</v>
      </c>
      <c r="R27">
        <f>SUMIF(RawData!$C:$C,$A27,RawData!V:V)</f>
        <v>0</v>
      </c>
      <c r="S27">
        <f>SUMIF(RawData!$C:$C,$A27,RawData!W:W)</f>
        <v>0</v>
      </c>
      <c r="T27">
        <f>SUMIF(RawData!$C:$C,$A27,RawData!X:X)</f>
        <v>0</v>
      </c>
      <c r="U27">
        <f>SUMIF(RawData!$C:$C,$A27,RawData!Y:Y)</f>
        <v>0</v>
      </c>
      <c r="V27">
        <f>SUMIF(RawData!$C:$C,$A27,RawData!Z:Z)</f>
        <v>0</v>
      </c>
      <c r="W27">
        <f>SUMIF(RawData!$C:$C,$A27,RawData!AA:AA)</f>
        <v>0</v>
      </c>
      <c r="X27">
        <f>SUMIF(RawData!$C:$C,$A27,RawData!AB:AB)</f>
        <v>0</v>
      </c>
      <c r="Y27">
        <f>SUMIF(RawData!$C:$C,$A27,RawData!AC:AC)</f>
        <v>0</v>
      </c>
      <c r="Z27">
        <f>SUMIF(RawData!$C:$C,$A27,RawData!AD:AD)</f>
        <v>0</v>
      </c>
      <c r="AA27">
        <f>SUMIF(RawData!$C:$C,$A27,RawData!AE:AE)</f>
        <v>0</v>
      </c>
      <c r="AB27">
        <f>SUMIF(RawData!$C:$C,$A27,RawData!AF:AF)</f>
        <v>0</v>
      </c>
      <c r="AC27">
        <f>SUMIF(RawData!$C:$C,$A27,RawData!AG:AG)</f>
        <v>0</v>
      </c>
      <c r="AD27">
        <f>SUMIF(RawData!$C:$C,$A27,RawData!AH:AH)</f>
        <v>0</v>
      </c>
      <c r="AE27">
        <f>SUMIF(RawData!$C:$C,$A27,RawData!AI:AI)</f>
        <v>0</v>
      </c>
      <c r="AF27">
        <f>SUMIF(RawData!$C:$C,$A27,RawData!AJ:AJ)</f>
        <v>1</v>
      </c>
      <c r="AG27">
        <f>SUMIF(RawData!$C:$C,$A27,RawData!AK:AK)</f>
        <v>1</v>
      </c>
      <c r="AH27">
        <f>SUMIF(RawData!$C:$C,$A27,RawData!AL:AL)</f>
        <v>1</v>
      </c>
      <c r="AI27">
        <f>SUMIF(RawData!$C:$C,$A27,RawData!AM:AM)</f>
        <v>1</v>
      </c>
      <c r="AJ27">
        <f>SUMIF(RawData!$C:$C,$A27,RawData!AN:AN)</f>
        <v>1</v>
      </c>
      <c r="AK27">
        <f>SUMIF(RawData!$C:$C,$A27,RawData!AO:AO)</f>
        <v>2</v>
      </c>
      <c r="AL27">
        <f>SUMIF(RawData!$C:$C,$A27,RawData!AP:AP)</f>
        <v>3</v>
      </c>
      <c r="AM27">
        <f>SUMIF(RawData!$C:$C,$A27,RawData!AQ:AQ)</f>
        <v>4</v>
      </c>
      <c r="AN27">
        <f>SUMIF(RawData!$C:$C,$A27,RawData!AR:AR)</f>
        <v>7</v>
      </c>
      <c r="AO27">
        <f>SUMIF(RawData!$C:$C,$A27,RawData!AS:AS)</f>
        <v>10</v>
      </c>
      <c r="AP27">
        <f>SUMIF(RawData!$C:$C,$A27,RawData!AT:AT)</f>
        <v>10</v>
      </c>
      <c r="AQ27">
        <f>SUMIF(RawData!$C:$C,$A27,RawData!AU:AU)</f>
        <v>12</v>
      </c>
      <c r="AR27">
        <f>SUMIF(RawData!$C:$C,$A27,RawData!AV:AV)</f>
        <v>15</v>
      </c>
      <c r="AS27">
        <f>SUMIF(RawData!$C:$C,$A27,RawData!AW:AW)</f>
        <v>20</v>
      </c>
      <c r="AT27">
        <f>SUMIF(RawData!$C:$C,$A27,RawData!AX:AX)</f>
        <v>37</v>
      </c>
      <c r="AU27">
        <f>SUMIF(RawData!$C:$C,$A27,RawData!AY:AY)</f>
        <v>43</v>
      </c>
      <c r="AV27">
        <f>SUMIF(RawData!$C:$C,$A27,RawData!AZ:AZ)</f>
        <v>61</v>
      </c>
      <c r="AW27">
        <f>SUMIF(RawData!$C:$C,$A27,RawData!BA:BA)</f>
        <v>61</v>
      </c>
      <c r="AX27">
        <f>SUMIF(RawData!$C:$C,$A27,RawData!BB:BB)</f>
        <v>83</v>
      </c>
      <c r="AY27">
        <f>SUMIF(RawData!$C:$C,$A27,RawData!BC:BC)</f>
        <v>109</v>
      </c>
      <c r="AZ27">
        <f>SUMIF(RawData!$C:$C,$A27,RawData!BD:BD)</f>
        <v>131</v>
      </c>
      <c r="BA27">
        <f>SUMIF(RawData!$C:$C,$A27,RawData!BE:BE)</f>
        <v>161</v>
      </c>
      <c r="BB27">
        <f>SUMIF(RawData!$C:$C,$A27,RawData!BF:BF)</f>
        <v>193</v>
      </c>
      <c r="BC27">
        <f>SUMIF(RawData!$C:$C,$A27,RawData!BG:BG)</f>
        <v>251</v>
      </c>
      <c r="BD27">
        <f>SUMIF(RawData!$C:$C,$A27,RawData!BH:BH)</f>
        <v>0</v>
      </c>
      <c r="BE27">
        <f>SUMIF(RawData!$C:$C,$A27,RawData!BI:BI)</f>
        <v>0</v>
      </c>
      <c r="BF27">
        <f>SUMIF(RawData!$C:$C,$A27,RawData!BJ:BJ)</f>
        <v>0</v>
      </c>
      <c r="BG27">
        <f>SUMIF(RawData!$C:$C,$A27,RawData!BK:BK)</f>
        <v>0</v>
      </c>
      <c r="BH27">
        <f>SUMIF(RawData!$C:$C,$A27,RawData!BL:BL)</f>
        <v>0</v>
      </c>
      <c r="BI27">
        <f>SUMIF(RawData!$C:$C,$A27,RawData!BM:BM)</f>
        <v>0</v>
      </c>
      <c r="BJ27">
        <f>SUMIF(RawData!$C:$C,$A27,RawData!BN:BN)</f>
        <v>0</v>
      </c>
      <c r="BK27">
        <f>SUMIF(RawData!$C:$C,$A27,RawData!BO:BO)</f>
        <v>0</v>
      </c>
      <c r="BL27">
        <f>SUMIF(RawData!$C:$C,$A27,RawData!BP:BP)</f>
        <v>0</v>
      </c>
      <c r="BM27">
        <f>SUMIF(RawData!$C:$C,$A27,RawData!BQ:BQ)</f>
        <v>0</v>
      </c>
      <c r="BN27">
        <f>SUMIF(RawData!$C:$C,$A27,RawData!BR:BR)</f>
        <v>0</v>
      </c>
      <c r="BO27">
        <f>SUMIF(RawData!$C:$C,$A27,RawData!BS:BS)</f>
        <v>0</v>
      </c>
      <c r="BP27">
        <f>SUMIF(RawData!$C:$C,$A27,RawData!BT:BT)</f>
        <v>0</v>
      </c>
      <c r="BQ27">
        <f>SUMIF(RawData!$C:$C,$A27,RawData!BU:BU)</f>
        <v>0</v>
      </c>
      <c r="BR27">
        <f>SUMIF(RawData!$C:$C,$A27,RawData!BV:BV)</f>
        <v>0</v>
      </c>
      <c r="BS27">
        <f>SUMIF(RawData!$C:$C,$A27,RawData!BW:BW)</f>
        <v>0</v>
      </c>
      <c r="BT27">
        <f>SUMIF(RawData!$C:$C,$A27,RawData!BX:BX)</f>
        <v>0</v>
      </c>
    </row>
    <row r="28" spans="1:72" ht="15" thickBot="1" x14ac:dyDescent="0.35">
      <c r="A28" s="4" t="s">
        <v>81</v>
      </c>
      <c r="B28">
        <f>SUMIF(RawData!$C:$C,$A28,RawData!F:F)</f>
        <v>0</v>
      </c>
      <c r="C28">
        <f>SUMIF(RawData!$C:$C,$A28,RawData!G:G)</f>
        <v>0</v>
      </c>
      <c r="D28">
        <f>SUMIF(RawData!$C:$C,$A28,RawData!H:H)</f>
        <v>0</v>
      </c>
      <c r="E28">
        <f>SUMIF(RawData!$C:$C,$A28,RawData!I:I)</f>
        <v>0</v>
      </c>
      <c r="F28">
        <f>SUMIF(RawData!$C:$C,$A28,RawData!J:J)</f>
        <v>0</v>
      </c>
      <c r="G28">
        <f>SUMIF(RawData!$C:$C,$A28,RawData!K:K)</f>
        <v>0</v>
      </c>
      <c r="H28">
        <f>SUMIF(RawData!$C:$C,$A28,RawData!L:L)</f>
        <v>0</v>
      </c>
      <c r="I28">
        <f>SUMIF(RawData!$C:$C,$A28,RawData!M:M)</f>
        <v>1</v>
      </c>
      <c r="J28">
        <f>SUMIF(RawData!$C:$C,$A28,RawData!N:N)</f>
        <v>1</v>
      </c>
      <c r="K28">
        <f>SUMIF(RawData!$C:$C,$A28,RawData!O:O)</f>
        <v>1</v>
      </c>
      <c r="L28">
        <f>SUMIF(RawData!$C:$C,$A28,RawData!P:P)</f>
        <v>1</v>
      </c>
      <c r="M28">
        <f>SUMIF(RawData!$C:$C,$A28,RawData!Q:Q)</f>
        <v>1</v>
      </c>
      <c r="N28">
        <f>SUMIF(RawData!$C:$C,$A28,RawData!R:R)</f>
        <v>1</v>
      </c>
      <c r="O28">
        <f>SUMIF(RawData!$C:$C,$A28,RawData!S:S)</f>
        <v>1</v>
      </c>
      <c r="P28">
        <f>SUMIF(RawData!$C:$C,$A28,RawData!T:T)</f>
        <v>1</v>
      </c>
      <c r="Q28">
        <f>SUMIF(RawData!$C:$C,$A28,RawData!U:U)</f>
        <v>1</v>
      </c>
      <c r="R28">
        <f>SUMIF(RawData!$C:$C,$A28,RawData!V:V)</f>
        <v>1</v>
      </c>
      <c r="S28">
        <f>SUMIF(RawData!$C:$C,$A28,RawData!W:W)</f>
        <v>1</v>
      </c>
      <c r="T28">
        <f>SUMIF(RawData!$C:$C,$A28,RawData!X:X)</f>
        <v>1</v>
      </c>
      <c r="U28">
        <f>SUMIF(RawData!$C:$C,$A28,RawData!Y:Y)</f>
        <v>1</v>
      </c>
      <c r="V28">
        <f>SUMIF(RawData!$C:$C,$A28,RawData!Z:Z)</f>
        <v>1</v>
      </c>
      <c r="W28">
        <f>SUMIF(RawData!$C:$C,$A28,RawData!AA:AA)</f>
        <v>1</v>
      </c>
      <c r="X28">
        <f>SUMIF(RawData!$C:$C,$A28,RawData!AB:AB)</f>
        <v>1</v>
      </c>
      <c r="Y28">
        <f>SUMIF(RawData!$C:$C,$A28,RawData!AC:AC)</f>
        <v>1</v>
      </c>
      <c r="Z28">
        <f>SUMIF(RawData!$C:$C,$A28,RawData!AD:AD)</f>
        <v>1</v>
      </c>
      <c r="AA28">
        <f>SUMIF(RawData!$C:$C,$A28,RawData!AE:AE)</f>
        <v>1</v>
      </c>
      <c r="AB28">
        <f>SUMIF(RawData!$C:$C,$A28,RawData!AF:AF)</f>
        <v>1</v>
      </c>
      <c r="AC28">
        <f>SUMIF(RawData!$C:$C,$A28,RawData!AG:AG)</f>
        <v>1</v>
      </c>
      <c r="AD28">
        <f>SUMIF(RawData!$C:$C,$A28,RawData!AH:AH)</f>
        <v>1</v>
      </c>
      <c r="AE28">
        <f>SUMIF(RawData!$C:$C,$A28,RawData!AI:AI)</f>
        <v>1</v>
      </c>
      <c r="AF28">
        <f>SUMIF(RawData!$C:$C,$A28,RawData!AJ:AJ)</f>
        <v>1</v>
      </c>
      <c r="AG28">
        <f>SUMIF(RawData!$C:$C,$A28,RawData!AK:AK)</f>
        <v>1</v>
      </c>
      <c r="AH28">
        <f>SUMIF(RawData!$C:$C,$A28,RawData!AL:AL)</f>
        <v>1</v>
      </c>
      <c r="AI28">
        <f>SUMIF(RawData!$C:$C,$A28,RawData!AM:AM)</f>
        <v>1</v>
      </c>
      <c r="AJ28">
        <f>SUMIF(RawData!$C:$C,$A28,RawData!AN:AN)</f>
        <v>1</v>
      </c>
      <c r="AK28">
        <f>SUMIF(RawData!$C:$C,$A28,RawData!AO:AO)</f>
        <v>2</v>
      </c>
      <c r="AL28">
        <f>SUMIF(RawData!$C:$C,$A28,RawData!AP:AP)</f>
        <v>2</v>
      </c>
      <c r="AM28">
        <f>SUMIF(RawData!$C:$C,$A28,RawData!AQ:AQ)</f>
        <v>2</v>
      </c>
      <c r="AN28">
        <f>SUMIF(RawData!$C:$C,$A28,RawData!AR:AR)</f>
        <v>3</v>
      </c>
      <c r="AO28">
        <f>SUMIF(RawData!$C:$C,$A28,RawData!AS:AS)</f>
        <v>6</v>
      </c>
      <c r="AP28">
        <f>SUMIF(RawData!$C:$C,$A28,RawData!AT:AT)</f>
        <v>6</v>
      </c>
      <c r="AQ28">
        <f>SUMIF(RawData!$C:$C,$A28,RawData!AU:AU)</f>
        <v>6</v>
      </c>
      <c r="AR28">
        <f>SUMIF(RawData!$C:$C,$A28,RawData!AV:AV)</f>
        <v>6</v>
      </c>
      <c r="AS28">
        <f>SUMIF(RawData!$C:$C,$A28,RawData!AW:AW)</f>
        <v>12</v>
      </c>
      <c r="AT28">
        <f>SUMIF(RawData!$C:$C,$A28,RawData!AX:AX)</f>
        <v>15</v>
      </c>
      <c r="AU28">
        <f>SUMIF(RawData!$C:$C,$A28,RawData!AY:AY)</f>
        <v>15</v>
      </c>
      <c r="AV28">
        <f>SUMIF(RawData!$C:$C,$A28,RawData!AZ:AZ)</f>
        <v>23</v>
      </c>
      <c r="AW28">
        <f>SUMIF(RawData!$C:$C,$A28,RawData!BA:BA)</f>
        <v>30</v>
      </c>
      <c r="AX28">
        <f>SUMIF(RawData!$C:$C,$A28,RawData!BB:BB)</f>
        <v>40</v>
      </c>
      <c r="AY28">
        <f>SUMIF(RawData!$C:$C,$A28,RawData!BC:BC)</f>
        <v>59</v>
      </c>
      <c r="AZ28">
        <f>SUMIF(RawData!$C:$C,$A28,RawData!BD:BD)</f>
        <v>59</v>
      </c>
      <c r="BA28">
        <f>SUMIF(RawData!$C:$C,$A28,RawData!BE:BE)</f>
        <v>155</v>
      </c>
      <c r="BB28">
        <f>SUMIF(RawData!$C:$C,$A28,RawData!BF:BF)</f>
        <v>225</v>
      </c>
      <c r="BC28">
        <f>SUMIF(RawData!$C:$C,$A28,RawData!BG:BG)</f>
        <v>244</v>
      </c>
      <c r="BD28">
        <f>SUMIF(RawData!$C:$C,$A28,RawData!BH:BH)</f>
        <v>0</v>
      </c>
      <c r="BE28">
        <f>SUMIF(RawData!$C:$C,$A28,RawData!BI:BI)</f>
        <v>0</v>
      </c>
      <c r="BF28">
        <f>SUMIF(RawData!$C:$C,$A28,RawData!BJ:BJ)</f>
        <v>0</v>
      </c>
      <c r="BG28">
        <f>SUMIF(RawData!$C:$C,$A28,RawData!BK:BK)</f>
        <v>0</v>
      </c>
      <c r="BH28">
        <f>SUMIF(RawData!$C:$C,$A28,RawData!BL:BL)</f>
        <v>0</v>
      </c>
      <c r="BI28">
        <f>SUMIF(RawData!$C:$C,$A28,RawData!BM:BM)</f>
        <v>0</v>
      </c>
      <c r="BJ28">
        <f>SUMIF(RawData!$C:$C,$A28,RawData!BN:BN)</f>
        <v>0</v>
      </c>
      <c r="BK28">
        <f>SUMIF(RawData!$C:$C,$A28,RawData!BO:BO)</f>
        <v>0</v>
      </c>
      <c r="BL28">
        <f>SUMIF(RawData!$C:$C,$A28,RawData!BP:BP)</f>
        <v>0</v>
      </c>
      <c r="BM28">
        <f>SUMIF(RawData!$C:$C,$A28,RawData!BQ:BQ)</f>
        <v>0</v>
      </c>
      <c r="BN28">
        <f>SUMIF(RawData!$C:$C,$A28,RawData!BR:BR)</f>
        <v>0</v>
      </c>
      <c r="BO28">
        <f>SUMIF(RawData!$C:$C,$A28,RawData!BS:BS)</f>
        <v>0</v>
      </c>
      <c r="BP28">
        <f>SUMIF(RawData!$C:$C,$A28,RawData!BT:BT)</f>
        <v>0</v>
      </c>
      <c r="BQ28">
        <f>SUMIF(RawData!$C:$C,$A28,RawData!BU:BU)</f>
        <v>0</v>
      </c>
      <c r="BR28">
        <f>SUMIF(RawData!$C:$C,$A28,RawData!BV:BV)</f>
        <v>0</v>
      </c>
      <c r="BS28">
        <f>SUMIF(RawData!$C:$C,$A28,RawData!BW:BW)</f>
        <v>0</v>
      </c>
      <c r="BT28">
        <f>SUMIF(RawData!$C:$C,$A28,RawData!BX:BX)</f>
        <v>0</v>
      </c>
    </row>
    <row r="29" spans="1:72" ht="15" thickBot="1" x14ac:dyDescent="0.35">
      <c r="A29" s="5" t="s">
        <v>108</v>
      </c>
      <c r="B29">
        <f>SUMIF(RawData!$C:$C,$A29,RawData!F:F)</f>
        <v>0</v>
      </c>
      <c r="C29">
        <f>SUMIF(RawData!$C:$C,$A29,RawData!G:G)</f>
        <v>0</v>
      </c>
      <c r="D29">
        <f>SUMIF(RawData!$C:$C,$A29,RawData!H:H)</f>
        <v>0</v>
      </c>
      <c r="E29">
        <f>SUMIF(RawData!$C:$C,$A29,RawData!I:I)</f>
        <v>0</v>
      </c>
      <c r="F29">
        <f>SUMIF(RawData!$C:$C,$A29,RawData!J:J)</f>
        <v>0</v>
      </c>
      <c r="G29">
        <f>SUMIF(RawData!$C:$C,$A29,RawData!K:K)</f>
        <v>0</v>
      </c>
      <c r="H29">
        <f>SUMIF(RawData!$C:$C,$A29,RawData!L:L)</f>
        <v>0</v>
      </c>
      <c r="I29">
        <f>SUMIF(RawData!$C:$C,$A29,RawData!M:M)</f>
        <v>0</v>
      </c>
      <c r="J29">
        <f>SUMIF(RawData!$C:$C,$A29,RawData!N:N)</f>
        <v>0</v>
      </c>
      <c r="K29">
        <f>SUMIF(RawData!$C:$C,$A29,RawData!O:O)</f>
        <v>0</v>
      </c>
      <c r="L29">
        <f>SUMIF(RawData!$C:$C,$A29,RawData!P:P)</f>
        <v>0</v>
      </c>
      <c r="M29">
        <f>SUMIF(RawData!$C:$C,$A29,RawData!Q:Q)</f>
        <v>0</v>
      </c>
      <c r="N29">
        <f>SUMIF(RawData!$C:$C,$A29,RawData!R:R)</f>
        <v>0</v>
      </c>
      <c r="O29">
        <f>SUMIF(RawData!$C:$C,$A29,RawData!S:S)</f>
        <v>0</v>
      </c>
      <c r="P29">
        <f>SUMIF(RawData!$C:$C,$A29,RawData!T:T)</f>
        <v>0</v>
      </c>
      <c r="Q29">
        <f>SUMIF(RawData!$C:$C,$A29,RawData!U:U)</f>
        <v>0</v>
      </c>
      <c r="R29">
        <f>SUMIF(RawData!$C:$C,$A29,RawData!V:V)</f>
        <v>0</v>
      </c>
      <c r="S29">
        <f>SUMIF(RawData!$C:$C,$A29,RawData!W:W)</f>
        <v>0</v>
      </c>
      <c r="T29">
        <f>SUMIF(RawData!$C:$C,$A29,RawData!X:X)</f>
        <v>0</v>
      </c>
      <c r="U29">
        <f>SUMIF(RawData!$C:$C,$A29,RawData!Y:Y)</f>
        <v>0</v>
      </c>
      <c r="V29">
        <f>SUMIF(RawData!$C:$C,$A29,RawData!Z:Z)</f>
        <v>0</v>
      </c>
      <c r="W29">
        <f>SUMIF(RawData!$C:$C,$A29,RawData!AA:AA)</f>
        <v>0</v>
      </c>
      <c r="X29">
        <f>SUMIF(RawData!$C:$C,$A29,RawData!AB:AB)</f>
        <v>0</v>
      </c>
      <c r="Y29">
        <f>SUMIF(RawData!$C:$C,$A29,RawData!AC:AC)</f>
        <v>0</v>
      </c>
      <c r="Z29">
        <f>SUMIF(RawData!$C:$C,$A29,RawData!AD:AD)</f>
        <v>0</v>
      </c>
      <c r="AA29">
        <f>SUMIF(RawData!$C:$C,$A29,RawData!AE:AE)</f>
        <v>0</v>
      </c>
      <c r="AB29">
        <f>SUMIF(RawData!$C:$C,$A29,RawData!AF:AF)</f>
        <v>0</v>
      </c>
      <c r="AC29">
        <f>SUMIF(RawData!$C:$C,$A29,RawData!AG:AG)</f>
        <v>0</v>
      </c>
      <c r="AD29">
        <f>SUMIF(RawData!$C:$C,$A29,RawData!AH:AH)</f>
        <v>0</v>
      </c>
      <c r="AE29">
        <f>SUMIF(RawData!$C:$C,$A29,RawData!AI:AI)</f>
        <v>0</v>
      </c>
      <c r="AF29">
        <f>SUMIF(RawData!$C:$C,$A29,RawData!AJ:AJ)</f>
        <v>0</v>
      </c>
      <c r="AG29">
        <f>SUMIF(RawData!$C:$C,$A29,RawData!AK:AK)</f>
        <v>0</v>
      </c>
      <c r="AH29">
        <f>SUMIF(RawData!$C:$C,$A29,RawData!AL:AL)</f>
        <v>0</v>
      </c>
      <c r="AI29">
        <f>SUMIF(RawData!$C:$C,$A29,RawData!AM:AM)</f>
        <v>0</v>
      </c>
      <c r="AJ29">
        <f>SUMIF(RawData!$C:$C,$A29,RawData!AN:AN)</f>
        <v>0</v>
      </c>
      <c r="AK29">
        <f>SUMIF(RawData!$C:$C,$A29,RawData!AO:AO)</f>
        <v>1</v>
      </c>
      <c r="AL29">
        <f>SUMIF(RawData!$C:$C,$A29,RawData!AP:AP)</f>
        <v>1</v>
      </c>
      <c r="AM29">
        <f>SUMIF(RawData!$C:$C,$A29,RawData!AQ:AQ)</f>
        <v>1</v>
      </c>
      <c r="AN29">
        <f>SUMIF(RawData!$C:$C,$A29,RawData!AR:AR)</f>
        <v>2</v>
      </c>
      <c r="AO29">
        <f>SUMIF(RawData!$C:$C,$A29,RawData!AS:AS)</f>
        <v>2</v>
      </c>
      <c r="AP29">
        <f>SUMIF(RawData!$C:$C,$A29,RawData!AT:AT)</f>
        <v>2</v>
      </c>
      <c r="AQ29">
        <f>SUMIF(RawData!$C:$C,$A29,RawData!AU:AU)</f>
        <v>2</v>
      </c>
      <c r="AR29">
        <f>SUMIF(RawData!$C:$C,$A29,RawData!AV:AV)</f>
        <v>4</v>
      </c>
      <c r="AS29">
        <f>SUMIF(RawData!$C:$C,$A29,RawData!AW:AW)</f>
        <v>4</v>
      </c>
      <c r="AT29">
        <f>SUMIF(RawData!$C:$C,$A29,RawData!AX:AX)</f>
        <v>13</v>
      </c>
      <c r="AU29">
        <f>SUMIF(RawData!$C:$C,$A29,RawData!AY:AY)</f>
        <v>13</v>
      </c>
      <c r="AV29">
        <f>SUMIF(RawData!$C:$C,$A29,RawData!AZ:AZ)</f>
        <v>20</v>
      </c>
      <c r="AW29">
        <f>SUMIF(RawData!$C:$C,$A29,RawData!BA:BA)</f>
        <v>25</v>
      </c>
      <c r="AX29">
        <f>SUMIF(RawData!$C:$C,$A29,RawData!BB:BB)</f>
        <v>31</v>
      </c>
      <c r="AY29">
        <f>SUMIF(RawData!$C:$C,$A29,RawData!BC:BC)</f>
        <v>38</v>
      </c>
      <c r="AZ29">
        <f>SUMIF(RawData!$C:$C,$A29,RawData!BD:BD)</f>
        <v>52</v>
      </c>
      <c r="BA29">
        <f>SUMIF(RawData!$C:$C,$A29,RawData!BE:BE)</f>
        <v>151</v>
      </c>
      <c r="BB29">
        <f>SUMIF(RawData!$C:$C,$A29,RawData!BF:BF)</f>
        <v>151</v>
      </c>
      <c r="BC29">
        <f>SUMIF(RawData!$C:$C,$A29,RawData!BG:BG)</f>
        <v>162</v>
      </c>
      <c r="BD29">
        <f>SUMIF(RawData!$C:$C,$A29,RawData!BH:BH)</f>
        <v>0</v>
      </c>
      <c r="BE29">
        <f>SUMIF(RawData!$C:$C,$A29,RawData!BI:BI)</f>
        <v>0</v>
      </c>
      <c r="BF29">
        <f>SUMIF(RawData!$C:$C,$A29,RawData!BJ:BJ)</f>
        <v>0</v>
      </c>
      <c r="BG29">
        <f>SUMIF(RawData!$C:$C,$A29,RawData!BK:BK)</f>
        <v>0</v>
      </c>
      <c r="BH29">
        <f>SUMIF(RawData!$C:$C,$A29,RawData!BL:BL)</f>
        <v>0</v>
      </c>
      <c r="BI29">
        <f>SUMIF(RawData!$C:$C,$A29,RawData!BM:BM)</f>
        <v>0</v>
      </c>
      <c r="BJ29">
        <f>SUMIF(RawData!$C:$C,$A29,RawData!BN:BN)</f>
        <v>0</v>
      </c>
      <c r="BK29">
        <f>SUMIF(RawData!$C:$C,$A29,RawData!BO:BO)</f>
        <v>0</v>
      </c>
      <c r="BL29">
        <f>SUMIF(RawData!$C:$C,$A29,RawData!BP:BP)</f>
        <v>0</v>
      </c>
      <c r="BM29">
        <f>SUMIF(RawData!$C:$C,$A29,RawData!BQ:BQ)</f>
        <v>0</v>
      </c>
      <c r="BN29">
        <f>SUMIF(RawData!$C:$C,$A29,RawData!BR:BR)</f>
        <v>0</v>
      </c>
      <c r="BO29">
        <f>SUMIF(RawData!$C:$C,$A29,RawData!BS:BS)</f>
        <v>0</v>
      </c>
      <c r="BP29">
        <f>SUMIF(RawData!$C:$C,$A29,RawData!BT:BT)</f>
        <v>0</v>
      </c>
      <c r="BQ29">
        <f>SUMIF(RawData!$C:$C,$A29,RawData!BU:BU)</f>
        <v>0</v>
      </c>
      <c r="BR29">
        <f>SUMIF(RawData!$C:$C,$A29,RawData!BV:BV)</f>
        <v>0</v>
      </c>
      <c r="BS29">
        <f>SUMIF(RawData!$C:$C,$A29,RawData!BW:BW)</f>
        <v>0</v>
      </c>
      <c r="BT29">
        <f>SUMIF(RawData!$C:$C,$A29,RawData!BX:BX)</f>
        <v>0</v>
      </c>
    </row>
    <row r="30" spans="1:72" ht="15" thickBot="1" x14ac:dyDescent="0.35">
      <c r="A30" s="4" t="s">
        <v>369</v>
      </c>
      <c r="B30">
        <f>SUMIF(RawData!$C:$C,$A30,RawData!F:F)</f>
        <v>0</v>
      </c>
      <c r="C30">
        <f>SUMIF(RawData!$C:$C,$A30,RawData!G:G)</f>
        <v>0</v>
      </c>
      <c r="D30">
        <f>SUMIF(RawData!$C:$C,$A30,RawData!H:H)</f>
        <v>0</v>
      </c>
      <c r="E30">
        <f>SUMIF(RawData!$C:$C,$A30,RawData!I:I)</f>
        <v>0</v>
      </c>
      <c r="F30">
        <f>SUMIF(RawData!$C:$C,$A30,RawData!J:J)</f>
        <v>0</v>
      </c>
      <c r="G30">
        <f>SUMIF(RawData!$C:$C,$A30,RawData!K:K)</f>
        <v>0</v>
      </c>
      <c r="H30">
        <f>SUMIF(RawData!$C:$C,$A30,RawData!L:L)</f>
        <v>0</v>
      </c>
      <c r="I30">
        <f>SUMIF(RawData!$C:$C,$A30,RawData!M:M)</f>
        <v>0</v>
      </c>
      <c r="J30">
        <f>SUMIF(RawData!$C:$C,$A30,RawData!N:N)</f>
        <v>0</v>
      </c>
      <c r="K30">
        <f>SUMIF(RawData!$C:$C,$A30,RawData!O:O)</f>
        <v>0</v>
      </c>
      <c r="L30">
        <f>SUMIF(RawData!$C:$C,$A30,RawData!P:P)</f>
        <v>0</v>
      </c>
      <c r="M30">
        <f>SUMIF(RawData!$C:$C,$A30,RawData!Q:Q)</f>
        <v>0</v>
      </c>
      <c r="N30">
        <f>SUMIF(RawData!$C:$C,$A30,RawData!R:R)</f>
        <v>0</v>
      </c>
      <c r="O30">
        <f>SUMIF(RawData!$C:$C,$A30,RawData!S:S)</f>
        <v>0</v>
      </c>
      <c r="P30">
        <f>SUMIF(RawData!$C:$C,$A30,RawData!T:T)</f>
        <v>0</v>
      </c>
      <c r="Q30">
        <f>SUMIF(RawData!$C:$C,$A30,RawData!U:U)</f>
        <v>0</v>
      </c>
      <c r="R30">
        <f>SUMIF(RawData!$C:$C,$A30,RawData!V:V)</f>
        <v>0</v>
      </c>
      <c r="S30">
        <f>SUMIF(RawData!$C:$C,$A30,RawData!W:W)</f>
        <v>0</v>
      </c>
      <c r="T30">
        <f>SUMIF(RawData!$C:$C,$A30,RawData!X:X)</f>
        <v>0</v>
      </c>
      <c r="U30">
        <f>SUMIF(RawData!$C:$C,$A30,RawData!Y:Y)</f>
        <v>0</v>
      </c>
      <c r="V30">
        <f>SUMIF(RawData!$C:$C,$A30,RawData!Z:Z)</f>
        <v>0</v>
      </c>
      <c r="W30">
        <f>SUMIF(RawData!$C:$C,$A30,RawData!AA:AA)</f>
        <v>0</v>
      </c>
      <c r="X30">
        <f>SUMIF(RawData!$C:$C,$A30,RawData!AB:AB)</f>
        <v>0</v>
      </c>
      <c r="Y30">
        <f>SUMIF(RawData!$C:$C,$A30,RawData!AC:AC)</f>
        <v>0</v>
      </c>
      <c r="Z30">
        <f>SUMIF(RawData!$C:$C,$A30,RawData!AD:AD)</f>
        <v>0</v>
      </c>
      <c r="AA30">
        <f>SUMIF(RawData!$C:$C,$A30,RawData!AE:AE)</f>
        <v>0</v>
      </c>
      <c r="AB30">
        <f>SUMIF(RawData!$C:$C,$A30,RawData!AF:AF)</f>
        <v>0</v>
      </c>
      <c r="AC30">
        <f>SUMIF(RawData!$C:$C,$A30,RawData!AG:AG)</f>
        <v>0</v>
      </c>
      <c r="AD30">
        <f>SUMIF(RawData!$C:$C,$A30,RawData!AH:AH)</f>
        <v>0</v>
      </c>
      <c r="AE30">
        <f>SUMIF(RawData!$C:$C,$A30,RawData!AI:AI)</f>
        <v>0</v>
      </c>
      <c r="AF30">
        <f>SUMIF(RawData!$C:$C,$A30,RawData!AJ:AJ)</f>
        <v>0</v>
      </c>
      <c r="AG30">
        <f>SUMIF(RawData!$C:$C,$A30,RawData!AK:AK)</f>
        <v>0</v>
      </c>
      <c r="AH30">
        <f>SUMIF(RawData!$C:$C,$A30,RawData!AL:AL)</f>
        <v>0</v>
      </c>
      <c r="AI30">
        <f>SUMIF(RawData!$C:$C,$A30,RawData!AM:AM)</f>
        <v>0</v>
      </c>
      <c r="AJ30">
        <f>SUMIF(RawData!$C:$C,$A30,RawData!AN:AN)</f>
        <v>0</v>
      </c>
      <c r="AK30">
        <f>SUMIF(RawData!$C:$C,$A30,RawData!AO:AO)</f>
        <v>0</v>
      </c>
      <c r="AL30">
        <f>SUMIF(RawData!$C:$C,$A30,RawData!AP:AP)</f>
        <v>0</v>
      </c>
      <c r="AM30">
        <f>SUMIF(RawData!$C:$C,$A30,RawData!AQ:AQ)</f>
        <v>0</v>
      </c>
      <c r="AN30">
        <f>SUMIF(RawData!$C:$C,$A30,RawData!AR:AR)</f>
        <v>0</v>
      </c>
      <c r="AO30">
        <f>SUMIF(RawData!$C:$C,$A30,RawData!AS:AS)</f>
        <v>3</v>
      </c>
      <c r="AP30">
        <f>SUMIF(RawData!$C:$C,$A30,RawData!AT:AT)</f>
        <v>3</v>
      </c>
      <c r="AQ30">
        <f>SUMIF(RawData!$C:$C,$A30,RawData!AU:AU)</f>
        <v>5</v>
      </c>
      <c r="AR30">
        <f>SUMIF(RawData!$C:$C,$A30,RawData!AV:AV)</f>
        <v>8</v>
      </c>
      <c r="AS30">
        <f>SUMIF(RawData!$C:$C,$A30,RawData!AW:AW)</f>
        <v>12</v>
      </c>
      <c r="AT30">
        <f>SUMIF(RawData!$C:$C,$A30,RawData!AX:AX)</f>
        <v>18</v>
      </c>
      <c r="AU30">
        <f>SUMIF(RawData!$C:$C,$A30,RawData!AY:AY)</f>
        <v>19</v>
      </c>
      <c r="AV30">
        <f>SUMIF(RawData!$C:$C,$A30,RawData!AZ:AZ)</f>
        <v>31</v>
      </c>
      <c r="AW30">
        <f>SUMIF(RawData!$C:$C,$A30,RawData!BA:BA)</f>
        <v>31</v>
      </c>
      <c r="AX30">
        <f>SUMIF(RawData!$C:$C,$A30,RawData!BB:BB)</f>
        <v>41</v>
      </c>
      <c r="AY30">
        <f>SUMIF(RawData!$C:$C,$A30,RawData!BC:BC)</f>
        <v>91</v>
      </c>
      <c r="AZ30">
        <f>SUMIF(RawData!$C:$C,$A30,RawData!BD:BD)</f>
        <v>94</v>
      </c>
      <c r="BA30">
        <f>SUMIF(RawData!$C:$C,$A30,RawData!BE:BE)</f>
        <v>141</v>
      </c>
      <c r="BB30">
        <f>SUMIF(RawData!$C:$C,$A30,RawData!BF:BF)</f>
        <v>189</v>
      </c>
      <c r="BC30">
        <f>SUMIF(RawData!$C:$C,$A30,RawData!BG:BG)</f>
        <v>253</v>
      </c>
      <c r="BD30">
        <f>SUMIF(RawData!$C:$C,$A30,RawData!BH:BH)</f>
        <v>0</v>
      </c>
      <c r="BE30">
        <f>SUMIF(RawData!$C:$C,$A30,RawData!BI:BI)</f>
        <v>0</v>
      </c>
      <c r="BF30">
        <f>SUMIF(RawData!$C:$C,$A30,RawData!BJ:BJ)</f>
        <v>0</v>
      </c>
      <c r="BG30">
        <f>SUMIF(RawData!$C:$C,$A30,RawData!BK:BK)</f>
        <v>0</v>
      </c>
      <c r="BH30">
        <f>SUMIF(RawData!$C:$C,$A30,RawData!BL:BL)</f>
        <v>0</v>
      </c>
      <c r="BI30">
        <f>SUMIF(RawData!$C:$C,$A30,RawData!BM:BM)</f>
        <v>0</v>
      </c>
      <c r="BJ30">
        <f>SUMIF(RawData!$C:$C,$A30,RawData!BN:BN)</f>
        <v>0</v>
      </c>
      <c r="BK30">
        <f>SUMIF(RawData!$C:$C,$A30,RawData!BO:BO)</f>
        <v>0</v>
      </c>
      <c r="BL30">
        <f>SUMIF(RawData!$C:$C,$A30,RawData!BP:BP)</f>
        <v>0</v>
      </c>
      <c r="BM30">
        <f>SUMIF(RawData!$C:$C,$A30,RawData!BQ:BQ)</f>
        <v>0</v>
      </c>
      <c r="BN30">
        <f>SUMIF(RawData!$C:$C,$A30,RawData!BR:BR)</f>
        <v>0</v>
      </c>
      <c r="BO30">
        <f>SUMIF(RawData!$C:$C,$A30,RawData!BS:BS)</f>
        <v>0</v>
      </c>
      <c r="BP30">
        <f>SUMIF(RawData!$C:$C,$A30,RawData!BT:BT)</f>
        <v>0</v>
      </c>
      <c r="BQ30">
        <f>SUMIF(RawData!$C:$C,$A30,RawData!BU:BU)</f>
        <v>0</v>
      </c>
      <c r="BR30">
        <f>SUMIF(RawData!$C:$C,$A30,RawData!BV:BV)</f>
        <v>0</v>
      </c>
      <c r="BS30">
        <f>SUMIF(RawData!$C:$C,$A30,RawData!BW:BW)</f>
        <v>0</v>
      </c>
      <c r="BT30">
        <f>SUMIF(RawData!$C:$C,$A30,RawData!BX:BX)</f>
        <v>0</v>
      </c>
    </row>
    <row r="31" spans="1:72" ht="15" thickBot="1" x14ac:dyDescent="0.35">
      <c r="A31" s="5" t="s">
        <v>168</v>
      </c>
      <c r="B31">
        <f>SUMIF(RawData!$C:$C,$A31,RawData!F:F)</f>
        <v>0</v>
      </c>
      <c r="C31">
        <f>SUMIF(RawData!$C:$C,$A31,RawData!G:G)</f>
        <v>0</v>
      </c>
      <c r="D31">
        <f>SUMIF(RawData!$C:$C,$A31,RawData!H:H)</f>
        <v>0</v>
      </c>
      <c r="E31">
        <f>SUMIF(RawData!$C:$C,$A31,RawData!I:I)</f>
        <v>0</v>
      </c>
      <c r="F31">
        <f>SUMIF(RawData!$C:$C,$A31,RawData!J:J)</f>
        <v>0</v>
      </c>
      <c r="G31">
        <f>SUMIF(RawData!$C:$C,$A31,RawData!K:K)</f>
        <v>0</v>
      </c>
      <c r="H31">
        <f>SUMIF(RawData!$C:$C,$A31,RawData!L:L)</f>
        <v>0</v>
      </c>
      <c r="I31">
        <f>SUMIF(RawData!$C:$C,$A31,RawData!M:M)</f>
        <v>0</v>
      </c>
      <c r="J31">
        <f>SUMIF(RawData!$C:$C,$A31,RawData!N:N)</f>
        <v>0</v>
      </c>
      <c r="K31">
        <f>SUMIF(RawData!$C:$C,$A31,RawData!O:O)</f>
        <v>0</v>
      </c>
      <c r="L31">
        <f>SUMIF(RawData!$C:$C,$A31,RawData!P:P)</f>
        <v>0</v>
      </c>
      <c r="M31">
        <f>SUMIF(RawData!$C:$C,$A31,RawData!Q:Q)</f>
        <v>0</v>
      </c>
      <c r="N31">
        <f>SUMIF(RawData!$C:$C,$A31,RawData!R:R)</f>
        <v>0</v>
      </c>
      <c r="O31">
        <f>SUMIF(RawData!$C:$C,$A31,RawData!S:S)</f>
        <v>0</v>
      </c>
      <c r="P31">
        <f>SUMIF(RawData!$C:$C,$A31,RawData!T:T)</f>
        <v>0</v>
      </c>
      <c r="Q31">
        <f>SUMIF(RawData!$C:$C,$A31,RawData!U:U)</f>
        <v>0</v>
      </c>
      <c r="R31">
        <f>SUMIF(RawData!$C:$C,$A31,RawData!V:V)</f>
        <v>0</v>
      </c>
      <c r="S31">
        <f>SUMIF(RawData!$C:$C,$A31,RawData!W:W)</f>
        <v>0</v>
      </c>
      <c r="T31">
        <f>SUMIF(RawData!$C:$C,$A31,RawData!X:X)</f>
        <v>0</v>
      </c>
      <c r="U31">
        <f>SUMIF(RawData!$C:$C,$A31,RawData!Y:Y)</f>
        <v>0</v>
      </c>
      <c r="V31">
        <f>SUMIF(RawData!$C:$C,$A31,RawData!Z:Z)</f>
        <v>0</v>
      </c>
      <c r="W31">
        <f>SUMIF(RawData!$C:$C,$A31,RawData!AA:AA)</f>
        <v>0</v>
      </c>
      <c r="X31">
        <f>SUMIF(RawData!$C:$C,$A31,RawData!AB:AB)</f>
        <v>0</v>
      </c>
      <c r="Y31">
        <f>SUMIF(RawData!$C:$C,$A31,RawData!AC:AC)</f>
        <v>0</v>
      </c>
      <c r="Z31">
        <f>SUMIF(RawData!$C:$C,$A31,RawData!AD:AD)</f>
        <v>0</v>
      </c>
      <c r="AA31">
        <f>SUMIF(RawData!$C:$C,$A31,RawData!AE:AE)</f>
        <v>0</v>
      </c>
      <c r="AB31">
        <f>SUMIF(RawData!$C:$C,$A31,RawData!AF:AF)</f>
        <v>0</v>
      </c>
      <c r="AC31">
        <f>SUMIF(RawData!$C:$C,$A31,RawData!AG:AG)</f>
        <v>0</v>
      </c>
      <c r="AD31">
        <f>SUMIF(RawData!$C:$C,$A31,RawData!AH:AH)</f>
        <v>0</v>
      </c>
      <c r="AE31">
        <f>SUMIF(RawData!$C:$C,$A31,RawData!AI:AI)</f>
        <v>0</v>
      </c>
      <c r="AF31">
        <f>SUMIF(RawData!$C:$C,$A31,RawData!AJ:AJ)</f>
        <v>0</v>
      </c>
      <c r="AG31">
        <f>SUMIF(RawData!$C:$C,$A31,RawData!AK:AK)</f>
        <v>0</v>
      </c>
      <c r="AH31">
        <f>SUMIF(RawData!$C:$C,$A31,RawData!AL:AL)</f>
        <v>0</v>
      </c>
      <c r="AI31">
        <f>SUMIF(RawData!$C:$C,$A31,RawData!AM:AM)</f>
        <v>0</v>
      </c>
      <c r="AJ31">
        <f>SUMIF(RawData!$C:$C,$A31,RawData!AN:AN)</f>
        <v>0</v>
      </c>
      <c r="AK31">
        <f>SUMIF(RawData!$C:$C,$A31,RawData!AO:AO)</f>
        <v>0</v>
      </c>
      <c r="AL31">
        <f>SUMIF(RawData!$C:$C,$A31,RawData!AP:AP)</f>
        <v>0</v>
      </c>
      <c r="AM31">
        <f>SUMIF(RawData!$C:$C,$A31,RawData!AQ:AQ)</f>
        <v>0</v>
      </c>
      <c r="AN31">
        <f>SUMIF(RawData!$C:$C,$A31,RawData!AR:AR)</f>
        <v>0</v>
      </c>
      <c r="AO31">
        <f>SUMIF(RawData!$C:$C,$A31,RawData!AS:AS)</f>
        <v>0</v>
      </c>
      <c r="AP31">
        <f>SUMIF(RawData!$C:$C,$A31,RawData!AT:AT)</f>
        <v>0</v>
      </c>
      <c r="AQ31">
        <f>SUMIF(RawData!$C:$C,$A31,RawData!AU:AU)</f>
        <v>0</v>
      </c>
      <c r="AR31">
        <f>SUMIF(RawData!$C:$C,$A31,RawData!AV:AV)</f>
        <v>0</v>
      </c>
      <c r="AS31">
        <f>SUMIF(RawData!$C:$C,$A31,RawData!AW:AW)</f>
        <v>2</v>
      </c>
      <c r="AT31">
        <f>SUMIF(RawData!$C:$C,$A31,RawData!AX:AX)</f>
        <v>7</v>
      </c>
      <c r="AU31">
        <f>SUMIF(RawData!$C:$C,$A31,RawData!AY:AY)</f>
        <v>7</v>
      </c>
      <c r="AV31">
        <f>SUMIF(RawData!$C:$C,$A31,RawData!AZ:AZ)</f>
        <v>16</v>
      </c>
      <c r="AW31">
        <f>SUMIF(RawData!$C:$C,$A31,RawData!BA:BA)</f>
        <v>16</v>
      </c>
      <c r="AX31">
        <f>SUMIF(RawData!$C:$C,$A31,RawData!BB:BB)</f>
        <v>31</v>
      </c>
      <c r="AY31">
        <f>SUMIF(RawData!$C:$C,$A31,RawData!BC:BC)</f>
        <v>57</v>
      </c>
      <c r="AZ31">
        <f>SUMIF(RawData!$C:$C,$A31,RawData!BD:BD)</f>
        <v>89</v>
      </c>
      <c r="BA31">
        <f>SUMIF(RawData!$C:$C,$A31,RawData!BE:BE)</f>
        <v>141</v>
      </c>
      <c r="BB31">
        <f>SUMIF(RawData!$C:$C,$A31,RawData!BF:BF)</f>
        <v>181</v>
      </c>
      <c r="BC31">
        <f>SUMIF(RawData!$C:$C,$A31,RawData!BG:BG)</f>
        <v>219</v>
      </c>
      <c r="BD31">
        <f>SUMIF(RawData!$C:$C,$A31,RawData!BH:BH)</f>
        <v>0</v>
      </c>
      <c r="BE31">
        <f>SUMIF(RawData!$C:$C,$A31,RawData!BI:BI)</f>
        <v>0</v>
      </c>
      <c r="BF31">
        <f>SUMIF(RawData!$C:$C,$A31,RawData!BJ:BJ)</f>
        <v>0</v>
      </c>
      <c r="BG31">
        <f>SUMIF(RawData!$C:$C,$A31,RawData!BK:BK)</f>
        <v>0</v>
      </c>
      <c r="BH31">
        <f>SUMIF(RawData!$C:$C,$A31,RawData!BL:BL)</f>
        <v>0</v>
      </c>
      <c r="BI31">
        <f>SUMIF(RawData!$C:$C,$A31,RawData!BM:BM)</f>
        <v>0</v>
      </c>
      <c r="BJ31">
        <f>SUMIF(RawData!$C:$C,$A31,RawData!BN:BN)</f>
        <v>0</v>
      </c>
      <c r="BK31">
        <f>SUMIF(RawData!$C:$C,$A31,RawData!BO:BO)</f>
        <v>0</v>
      </c>
      <c r="BL31">
        <f>SUMIF(RawData!$C:$C,$A31,RawData!BP:BP)</f>
        <v>0</v>
      </c>
      <c r="BM31">
        <f>SUMIF(RawData!$C:$C,$A31,RawData!BQ:BQ)</f>
        <v>0</v>
      </c>
      <c r="BN31">
        <f>SUMIF(RawData!$C:$C,$A31,RawData!BR:BR)</f>
        <v>0</v>
      </c>
      <c r="BO31">
        <f>SUMIF(RawData!$C:$C,$A31,RawData!BS:BS)</f>
        <v>0</v>
      </c>
      <c r="BP31">
        <f>SUMIF(RawData!$C:$C,$A31,RawData!BT:BT)</f>
        <v>0</v>
      </c>
      <c r="BQ31">
        <f>SUMIF(RawData!$C:$C,$A31,RawData!BU:BU)</f>
        <v>0</v>
      </c>
      <c r="BR31">
        <f>SUMIF(RawData!$C:$C,$A31,RawData!BV:BV)</f>
        <v>0</v>
      </c>
      <c r="BS31">
        <f>SUMIF(RawData!$C:$C,$A31,RawData!BW:BW)</f>
        <v>0</v>
      </c>
      <c r="BT31">
        <f>SUMIF(RawData!$C:$C,$A31,RawData!BX:BX)</f>
        <v>0</v>
      </c>
    </row>
    <row r="32" spans="1:72" ht="15" thickBot="1" x14ac:dyDescent="0.35">
      <c r="A32" s="5" t="s">
        <v>119</v>
      </c>
      <c r="B32">
        <f>SUMIF(RawData!$C:$C,$A32,RawData!F:F)</f>
        <v>0</v>
      </c>
      <c r="C32">
        <f>SUMIF(RawData!$C:$C,$A32,RawData!G:G)</f>
        <v>0</v>
      </c>
      <c r="D32">
        <f>SUMIF(RawData!$C:$C,$A32,RawData!H:H)</f>
        <v>0</v>
      </c>
      <c r="E32">
        <f>SUMIF(RawData!$C:$C,$A32,RawData!I:I)</f>
        <v>0</v>
      </c>
      <c r="F32">
        <f>SUMIF(RawData!$C:$C,$A32,RawData!J:J)</f>
        <v>0</v>
      </c>
      <c r="G32">
        <f>SUMIF(RawData!$C:$C,$A32,RawData!K:K)</f>
        <v>0</v>
      </c>
      <c r="H32">
        <f>SUMIF(RawData!$C:$C,$A32,RawData!L:L)</f>
        <v>0</v>
      </c>
      <c r="I32">
        <f>SUMIF(RawData!$C:$C,$A32,RawData!M:M)</f>
        <v>0</v>
      </c>
      <c r="J32">
        <f>SUMIF(RawData!$C:$C,$A32,RawData!N:N)</f>
        <v>0</v>
      </c>
      <c r="K32">
        <f>SUMIF(RawData!$C:$C,$A32,RawData!O:O)</f>
        <v>0</v>
      </c>
      <c r="L32">
        <f>SUMIF(RawData!$C:$C,$A32,RawData!P:P)</f>
        <v>0</v>
      </c>
      <c r="M32">
        <f>SUMIF(RawData!$C:$C,$A32,RawData!Q:Q)</f>
        <v>0</v>
      </c>
      <c r="N32">
        <f>SUMIF(RawData!$C:$C,$A32,RawData!R:R)</f>
        <v>0</v>
      </c>
      <c r="O32">
        <f>SUMIF(RawData!$C:$C,$A32,RawData!S:S)</f>
        <v>0</v>
      </c>
      <c r="P32">
        <f>SUMIF(RawData!$C:$C,$A32,RawData!T:T)</f>
        <v>0</v>
      </c>
      <c r="Q32">
        <f>SUMIF(RawData!$C:$C,$A32,RawData!U:U)</f>
        <v>0</v>
      </c>
      <c r="R32">
        <f>SUMIF(RawData!$C:$C,$A32,RawData!V:V)</f>
        <v>0</v>
      </c>
      <c r="S32">
        <f>SUMIF(RawData!$C:$C,$A32,RawData!W:W)</f>
        <v>0</v>
      </c>
      <c r="T32">
        <f>SUMIF(RawData!$C:$C,$A32,RawData!X:X)</f>
        <v>0</v>
      </c>
      <c r="U32">
        <f>SUMIF(RawData!$C:$C,$A32,RawData!Y:Y)</f>
        <v>0</v>
      </c>
      <c r="V32">
        <f>SUMIF(RawData!$C:$C,$A32,RawData!Z:Z)</f>
        <v>0</v>
      </c>
      <c r="W32">
        <f>SUMIF(RawData!$C:$C,$A32,RawData!AA:AA)</f>
        <v>0</v>
      </c>
      <c r="X32">
        <f>SUMIF(RawData!$C:$C,$A32,RawData!AB:AB)</f>
        <v>0</v>
      </c>
      <c r="Y32">
        <f>SUMIF(RawData!$C:$C,$A32,RawData!AC:AC)</f>
        <v>0</v>
      </c>
      <c r="Z32">
        <f>SUMIF(RawData!$C:$C,$A32,RawData!AD:AD)</f>
        <v>0</v>
      </c>
      <c r="AA32">
        <f>SUMIF(RawData!$C:$C,$A32,RawData!AE:AE)</f>
        <v>0</v>
      </c>
      <c r="AB32">
        <f>SUMIF(RawData!$C:$C,$A32,RawData!AF:AF)</f>
        <v>0</v>
      </c>
      <c r="AC32">
        <f>SUMIF(RawData!$C:$C,$A32,RawData!AG:AG)</f>
        <v>0</v>
      </c>
      <c r="AD32">
        <f>SUMIF(RawData!$C:$C,$A32,RawData!AH:AH)</f>
        <v>0</v>
      </c>
      <c r="AE32">
        <f>SUMIF(RawData!$C:$C,$A32,RawData!AI:AI)</f>
        <v>0</v>
      </c>
      <c r="AF32">
        <f>SUMIF(RawData!$C:$C,$A32,RawData!AJ:AJ)</f>
        <v>0</v>
      </c>
      <c r="AG32">
        <f>SUMIF(RawData!$C:$C,$A32,RawData!AK:AK)</f>
        <v>0</v>
      </c>
      <c r="AH32">
        <f>SUMIF(RawData!$C:$C,$A32,RawData!AL:AL)</f>
        <v>0</v>
      </c>
      <c r="AI32">
        <f>SUMIF(RawData!$C:$C,$A32,RawData!AM:AM)</f>
        <v>0</v>
      </c>
      <c r="AJ32">
        <f>SUMIF(RawData!$C:$C,$A32,RawData!AN:AN)</f>
        <v>0</v>
      </c>
      <c r="AK32">
        <f>SUMIF(RawData!$C:$C,$A32,RawData!AO:AO)</f>
        <v>0</v>
      </c>
      <c r="AL32">
        <f>SUMIF(RawData!$C:$C,$A32,RawData!AP:AP)</f>
        <v>0</v>
      </c>
      <c r="AM32">
        <f>SUMIF(RawData!$C:$C,$A32,RawData!AQ:AQ)</f>
        <v>1</v>
      </c>
      <c r="AN32">
        <f>SUMIF(RawData!$C:$C,$A32,RawData!AR:AR)</f>
        <v>1</v>
      </c>
      <c r="AO32">
        <f>SUMIF(RawData!$C:$C,$A32,RawData!AS:AS)</f>
        <v>3</v>
      </c>
      <c r="AP32">
        <f>SUMIF(RawData!$C:$C,$A32,RawData!AT:AT)</f>
        <v>6</v>
      </c>
      <c r="AQ32">
        <f>SUMIF(RawData!$C:$C,$A32,RawData!AU:AU)</f>
        <v>11</v>
      </c>
      <c r="AR32">
        <f>SUMIF(RawData!$C:$C,$A32,RawData!AV:AV)</f>
        <v>26</v>
      </c>
      <c r="AS32">
        <f>SUMIF(RawData!$C:$C,$A32,RawData!AW:AW)</f>
        <v>34</v>
      </c>
      <c r="AT32">
        <f>SUMIF(RawData!$C:$C,$A32,RawData!AX:AX)</f>
        <v>43</v>
      </c>
      <c r="AU32">
        <f>SUMIF(RawData!$C:$C,$A32,RawData!AY:AY)</f>
        <v>50</v>
      </c>
      <c r="AV32">
        <f>SUMIF(RawData!$C:$C,$A32,RawData!AZ:AZ)</f>
        <v>50</v>
      </c>
      <c r="AW32">
        <f>SUMIF(RawData!$C:$C,$A32,RawData!BA:BA)</f>
        <v>58</v>
      </c>
      <c r="AX32">
        <f>SUMIF(RawData!$C:$C,$A32,RawData!BB:BB)</f>
        <v>69</v>
      </c>
      <c r="AY32">
        <f>SUMIF(RawData!$C:$C,$A32,RawData!BC:BC)</f>
        <v>85</v>
      </c>
      <c r="AZ32">
        <f>SUMIF(RawData!$C:$C,$A32,RawData!BD:BD)</f>
        <v>103</v>
      </c>
      <c r="BA32">
        <f>SUMIF(RawData!$C:$C,$A32,RawData!BE:BE)</f>
        <v>134</v>
      </c>
      <c r="BB32">
        <f>SUMIF(RawData!$C:$C,$A32,RawData!BF:BF)</f>
        <v>156</v>
      </c>
      <c r="BC32">
        <f>SUMIF(RawData!$C:$C,$A32,RawData!BG:BG)</f>
        <v>171</v>
      </c>
      <c r="BD32">
        <f>SUMIF(RawData!$C:$C,$A32,RawData!BH:BH)</f>
        <v>0</v>
      </c>
      <c r="BE32">
        <f>SUMIF(RawData!$C:$C,$A32,RawData!BI:BI)</f>
        <v>0</v>
      </c>
      <c r="BF32">
        <f>SUMIF(RawData!$C:$C,$A32,RawData!BJ:BJ)</f>
        <v>0</v>
      </c>
      <c r="BG32">
        <f>SUMIF(RawData!$C:$C,$A32,RawData!BK:BK)</f>
        <v>0</v>
      </c>
      <c r="BH32">
        <f>SUMIF(RawData!$C:$C,$A32,RawData!BL:BL)</f>
        <v>0</v>
      </c>
      <c r="BI32">
        <f>SUMIF(RawData!$C:$C,$A32,RawData!BM:BM)</f>
        <v>0</v>
      </c>
      <c r="BJ32">
        <f>SUMIF(RawData!$C:$C,$A32,RawData!BN:BN)</f>
        <v>0</v>
      </c>
      <c r="BK32">
        <f>SUMIF(RawData!$C:$C,$A32,RawData!BO:BO)</f>
        <v>0</v>
      </c>
      <c r="BL32">
        <f>SUMIF(RawData!$C:$C,$A32,RawData!BP:BP)</f>
        <v>0</v>
      </c>
      <c r="BM32">
        <f>SUMIF(RawData!$C:$C,$A32,RawData!BQ:BQ)</f>
        <v>0</v>
      </c>
      <c r="BN32">
        <f>SUMIF(RawData!$C:$C,$A32,RawData!BR:BR)</f>
        <v>0</v>
      </c>
      <c r="BO32">
        <f>SUMIF(RawData!$C:$C,$A32,RawData!BS:BS)</f>
        <v>0</v>
      </c>
      <c r="BP32">
        <f>SUMIF(RawData!$C:$C,$A32,RawData!BT:BT)</f>
        <v>0</v>
      </c>
      <c r="BQ32">
        <f>SUMIF(RawData!$C:$C,$A32,RawData!BU:BU)</f>
        <v>0</v>
      </c>
      <c r="BR32">
        <f>SUMIF(RawData!$C:$C,$A32,RawData!BV:BV)</f>
        <v>0</v>
      </c>
      <c r="BS32">
        <f>SUMIF(RawData!$C:$C,$A32,RawData!BW:BW)</f>
        <v>0</v>
      </c>
      <c r="BT32">
        <f>SUMIF(RawData!$C:$C,$A32,RawData!BX:BX)</f>
        <v>0</v>
      </c>
    </row>
    <row r="33" spans="1:72" ht="15" thickBot="1" x14ac:dyDescent="0.35">
      <c r="A33" s="4" t="s">
        <v>135</v>
      </c>
      <c r="B33">
        <f>SUMIF(RawData!$C:$C,$A33,RawData!F:F)</f>
        <v>0</v>
      </c>
      <c r="C33">
        <f>SUMIF(RawData!$C:$C,$A33,RawData!G:G)</f>
        <v>0</v>
      </c>
      <c r="D33">
        <f>SUMIF(RawData!$C:$C,$A33,RawData!H:H)</f>
        <v>0</v>
      </c>
      <c r="E33">
        <f>SUMIF(RawData!$C:$C,$A33,RawData!I:I)</f>
        <v>0</v>
      </c>
      <c r="F33">
        <f>SUMIF(RawData!$C:$C,$A33,RawData!J:J)</f>
        <v>0</v>
      </c>
      <c r="G33">
        <f>SUMIF(RawData!$C:$C,$A33,RawData!K:K)</f>
        <v>0</v>
      </c>
      <c r="H33">
        <f>SUMIF(RawData!$C:$C,$A33,RawData!L:L)</f>
        <v>0</v>
      </c>
      <c r="I33">
        <f>SUMIF(RawData!$C:$C,$A33,RawData!M:M)</f>
        <v>0</v>
      </c>
      <c r="J33">
        <f>SUMIF(RawData!$C:$C,$A33,RawData!N:N)</f>
        <v>0</v>
      </c>
      <c r="K33">
        <f>SUMIF(RawData!$C:$C,$A33,RawData!O:O)</f>
        <v>0</v>
      </c>
      <c r="L33">
        <f>SUMIF(RawData!$C:$C,$A33,RawData!P:P)</f>
        <v>0</v>
      </c>
      <c r="M33">
        <f>SUMIF(RawData!$C:$C,$A33,RawData!Q:Q)</f>
        <v>0</v>
      </c>
      <c r="N33">
        <f>SUMIF(RawData!$C:$C,$A33,RawData!R:R)</f>
        <v>0</v>
      </c>
      <c r="O33">
        <f>SUMIF(RawData!$C:$C,$A33,RawData!S:S)</f>
        <v>0</v>
      </c>
      <c r="P33">
        <f>SUMIF(RawData!$C:$C,$A33,RawData!T:T)</f>
        <v>0</v>
      </c>
      <c r="Q33">
        <f>SUMIF(RawData!$C:$C,$A33,RawData!U:U)</f>
        <v>0</v>
      </c>
      <c r="R33">
        <f>SUMIF(RawData!$C:$C,$A33,RawData!V:V)</f>
        <v>0</v>
      </c>
      <c r="S33">
        <f>SUMIF(RawData!$C:$C,$A33,RawData!W:W)</f>
        <v>0</v>
      </c>
      <c r="T33">
        <f>SUMIF(RawData!$C:$C,$A33,RawData!X:X)</f>
        <v>0</v>
      </c>
      <c r="U33">
        <f>SUMIF(RawData!$C:$C,$A33,RawData!Y:Y)</f>
        <v>0</v>
      </c>
      <c r="V33">
        <f>SUMIF(RawData!$C:$C,$A33,RawData!Z:Z)</f>
        <v>0</v>
      </c>
      <c r="W33">
        <f>SUMIF(RawData!$C:$C,$A33,RawData!AA:AA)</f>
        <v>0</v>
      </c>
      <c r="X33">
        <f>SUMIF(RawData!$C:$C,$A33,RawData!AB:AB)</f>
        <v>0</v>
      </c>
      <c r="Y33">
        <f>SUMIF(RawData!$C:$C,$A33,RawData!AC:AC)</f>
        <v>0</v>
      </c>
      <c r="Z33">
        <f>SUMIF(RawData!$C:$C,$A33,RawData!AD:AD)</f>
        <v>0</v>
      </c>
      <c r="AA33">
        <f>SUMIF(RawData!$C:$C,$A33,RawData!AE:AE)</f>
        <v>0</v>
      </c>
      <c r="AB33">
        <f>SUMIF(RawData!$C:$C,$A33,RawData!AF:AF)</f>
        <v>0</v>
      </c>
      <c r="AC33">
        <f>SUMIF(RawData!$C:$C,$A33,RawData!AG:AG)</f>
        <v>0</v>
      </c>
      <c r="AD33">
        <f>SUMIF(RawData!$C:$C,$A33,RawData!AH:AH)</f>
        <v>0</v>
      </c>
      <c r="AE33">
        <f>SUMIF(RawData!$C:$C,$A33,RawData!AI:AI)</f>
        <v>0</v>
      </c>
      <c r="AF33">
        <f>SUMIF(RawData!$C:$C,$A33,RawData!AJ:AJ)</f>
        <v>0</v>
      </c>
      <c r="AG33">
        <f>SUMIF(RawData!$C:$C,$A33,RawData!AK:AK)</f>
        <v>0</v>
      </c>
      <c r="AH33">
        <f>SUMIF(RawData!$C:$C,$A33,RawData!AL:AL)</f>
        <v>0</v>
      </c>
      <c r="AI33">
        <f>SUMIF(RawData!$C:$C,$A33,RawData!AM:AM)</f>
        <v>0</v>
      </c>
      <c r="AJ33">
        <f>SUMIF(RawData!$C:$C,$A33,RawData!AN:AN)</f>
        <v>0</v>
      </c>
      <c r="AK33">
        <f>SUMIF(RawData!$C:$C,$A33,RawData!AO:AO)</f>
        <v>0</v>
      </c>
      <c r="AL33">
        <f>SUMIF(RawData!$C:$C,$A33,RawData!AP:AP)</f>
        <v>0</v>
      </c>
      <c r="AM33">
        <f>SUMIF(RawData!$C:$C,$A33,RawData!AQ:AQ)</f>
        <v>0</v>
      </c>
      <c r="AN33">
        <f>SUMIF(RawData!$C:$C,$A33,RawData!AR:AR)</f>
        <v>0</v>
      </c>
      <c r="AO33">
        <f>SUMIF(RawData!$C:$C,$A33,RawData!AS:AS)</f>
        <v>0</v>
      </c>
      <c r="AP33">
        <f>SUMIF(RawData!$C:$C,$A33,RawData!AT:AT)</f>
        <v>2</v>
      </c>
      <c r="AQ33">
        <f>SUMIF(RawData!$C:$C,$A33,RawData!AU:AU)</f>
        <v>2</v>
      </c>
      <c r="AR33">
        <f>SUMIF(RawData!$C:$C,$A33,RawData!AV:AV)</f>
        <v>5</v>
      </c>
      <c r="AS33">
        <f>SUMIF(RawData!$C:$C,$A33,RawData!AW:AW)</f>
        <v>8</v>
      </c>
      <c r="AT33">
        <f>SUMIF(RawData!$C:$C,$A33,RawData!AX:AX)</f>
        <v>13</v>
      </c>
      <c r="AU33">
        <f>SUMIF(RawData!$C:$C,$A33,RawData!AY:AY)</f>
        <v>20</v>
      </c>
      <c r="AV33">
        <f>SUMIF(RawData!$C:$C,$A33,RawData!AZ:AZ)</f>
        <v>30</v>
      </c>
      <c r="AW33">
        <f>SUMIF(RawData!$C:$C,$A33,RawData!BA:BA)</f>
        <v>30</v>
      </c>
      <c r="AX33">
        <f>SUMIF(RawData!$C:$C,$A33,RawData!BB:BB)</f>
        <v>41</v>
      </c>
      <c r="AY33">
        <f>SUMIF(RawData!$C:$C,$A33,RawData!BC:BC)</f>
        <v>59</v>
      </c>
      <c r="AZ33">
        <f>SUMIF(RawData!$C:$C,$A33,RawData!BD:BD)</f>
        <v>59</v>
      </c>
      <c r="BA33">
        <f>SUMIF(RawData!$C:$C,$A33,RawData!BE:BE)</f>
        <v>112</v>
      </c>
      <c r="BB33">
        <f>SUMIF(RawData!$C:$C,$A33,RawData!BF:BF)</f>
        <v>169</v>
      </c>
      <c r="BC33">
        <f>SUMIF(RawData!$C:$C,$A33,RawData!BG:BG)</f>
        <v>245</v>
      </c>
      <c r="BD33">
        <f>SUMIF(RawData!$C:$C,$A33,RawData!BH:BH)</f>
        <v>0</v>
      </c>
      <c r="BE33">
        <f>SUMIF(RawData!$C:$C,$A33,RawData!BI:BI)</f>
        <v>0</v>
      </c>
      <c r="BF33">
        <f>SUMIF(RawData!$C:$C,$A33,RawData!BJ:BJ)</f>
        <v>0</v>
      </c>
      <c r="BG33">
        <f>SUMIF(RawData!$C:$C,$A33,RawData!BK:BK)</f>
        <v>0</v>
      </c>
      <c r="BH33">
        <f>SUMIF(RawData!$C:$C,$A33,RawData!BL:BL)</f>
        <v>0</v>
      </c>
      <c r="BI33">
        <f>SUMIF(RawData!$C:$C,$A33,RawData!BM:BM)</f>
        <v>0</v>
      </c>
      <c r="BJ33">
        <f>SUMIF(RawData!$C:$C,$A33,RawData!BN:BN)</f>
        <v>0</v>
      </c>
      <c r="BK33">
        <f>SUMIF(RawData!$C:$C,$A33,RawData!BO:BO)</f>
        <v>0</v>
      </c>
      <c r="BL33">
        <f>SUMIF(RawData!$C:$C,$A33,RawData!BP:BP)</f>
        <v>0</v>
      </c>
      <c r="BM33">
        <f>SUMIF(RawData!$C:$C,$A33,RawData!BQ:BQ)</f>
        <v>0</v>
      </c>
      <c r="BN33">
        <f>SUMIF(RawData!$C:$C,$A33,RawData!BR:BR)</f>
        <v>0</v>
      </c>
      <c r="BO33">
        <f>SUMIF(RawData!$C:$C,$A33,RawData!BS:BS)</f>
        <v>0</v>
      </c>
      <c r="BP33">
        <f>SUMIF(RawData!$C:$C,$A33,RawData!BT:BT)</f>
        <v>0</v>
      </c>
      <c r="BQ33">
        <f>SUMIF(RawData!$C:$C,$A33,RawData!BU:BU)</f>
        <v>0</v>
      </c>
      <c r="BR33">
        <f>SUMIF(RawData!$C:$C,$A33,RawData!BV:BV)</f>
        <v>0</v>
      </c>
      <c r="BS33">
        <f>SUMIF(RawData!$C:$C,$A33,RawData!BW:BW)</f>
        <v>0</v>
      </c>
      <c r="BT33">
        <f>SUMIF(RawData!$C:$C,$A33,RawData!BX:BX)</f>
        <v>0</v>
      </c>
    </row>
    <row r="34" spans="1:72" ht="15" thickBot="1" x14ac:dyDescent="0.35">
      <c r="A34" s="4" t="s">
        <v>97</v>
      </c>
      <c r="B34">
        <f>SUMIF(RawData!$C:$C,$A34,RawData!F:F)</f>
        <v>0</v>
      </c>
      <c r="C34">
        <f>SUMIF(RawData!$C:$C,$A34,RawData!G:G)</f>
        <v>0</v>
      </c>
      <c r="D34">
        <f>SUMIF(RawData!$C:$C,$A34,RawData!H:H)</f>
        <v>0</v>
      </c>
      <c r="E34">
        <f>SUMIF(RawData!$C:$C,$A34,RawData!I:I)</f>
        <v>0</v>
      </c>
      <c r="F34">
        <f>SUMIF(RawData!$C:$C,$A34,RawData!J:J)</f>
        <v>0</v>
      </c>
      <c r="G34">
        <f>SUMIF(RawData!$C:$C,$A34,RawData!K:K)</f>
        <v>0</v>
      </c>
      <c r="H34">
        <f>SUMIF(RawData!$C:$C,$A34,RawData!L:L)</f>
        <v>0</v>
      </c>
      <c r="I34">
        <f>SUMIF(RawData!$C:$C,$A34,RawData!M:M)</f>
        <v>0</v>
      </c>
      <c r="J34">
        <f>SUMIF(RawData!$C:$C,$A34,RawData!N:N)</f>
        <v>0</v>
      </c>
      <c r="K34">
        <f>SUMIF(RawData!$C:$C,$A34,RawData!O:O)</f>
        <v>0</v>
      </c>
      <c r="L34">
        <f>SUMIF(RawData!$C:$C,$A34,RawData!P:P)</f>
        <v>0</v>
      </c>
      <c r="M34">
        <f>SUMIF(RawData!$C:$C,$A34,RawData!Q:Q)</f>
        <v>0</v>
      </c>
      <c r="N34">
        <f>SUMIF(RawData!$C:$C,$A34,RawData!R:R)</f>
        <v>0</v>
      </c>
      <c r="O34">
        <f>SUMIF(RawData!$C:$C,$A34,RawData!S:S)</f>
        <v>0</v>
      </c>
      <c r="P34">
        <f>SUMIF(RawData!$C:$C,$A34,RawData!T:T)</f>
        <v>0</v>
      </c>
      <c r="Q34">
        <f>SUMIF(RawData!$C:$C,$A34,RawData!U:U)</f>
        <v>0</v>
      </c>
      <c r="R34">
        <f>SUMIF(RawData!$C:$C,$A34,RawData!V:V)</f>
        <v>0</v>
      </c>
      <c r="S34">
        <f>SUMIF(RawData!$C:$C,$A34,RawData!W:W)</f>
        <v>0</v>
      </c>
      <c r="T34">
        <f>SUMIF(RawData!$C:$C,$A34,RawData!X:X)</f>
        <v>0</v>
      </c>
      <c r="U34">
        <f>SUMIF(RawData!$C:$C,$A34,RawData!Y:Y)</f>
        <v>0</v>
      </c>
      <c r="V34">
        <f>SUMIF(RawData!$C:$C,$A34,RawData!Z:Z)</f>
        <v>0</v>
      </c>
      <c r="W34">
        <f>SUMIF(RawData!$C:$C,$A34,RawData!AA:AA)</f>
        <v>0</v>
      </c>
      <c r="X34">
        <f>SUMIF(RawData!$C:$C,$A34,RawData!AB:AB)</f>
        <v>0</v>
      </c>
      <c r="Y34">
        <f>SUMIF(RawData!$C:$C,$A34,RawData!AC:AC)</f>
        <v>0</v>
      </c>
      <c r="Z34">
        <f>SUMIF(RawData!$C:$C,$A34,RawData!AD:AD)</f>
        <v>0</v>
      </c>
      <c r="AA34">
        <f>SUMIF(RawData!$C:$C,$A34,RawData!AE:AE)</f>
        <v>0</v>
      </c>
      <c r="AB34">
        <f>SUMIF(RawData!$C:$C,$A34,RawData!AF:AF)</f>
        <v>0</v>
      </c>
      <c r="AC34">
        <f>SUMIF(RawData!$C:$C,$A34,RawData!AG:AG)</f>
        <v>0</v>
      </c>
      <c r="AD34">
        <f>SUMIF(RawData!$C:$C,$A34,RawData!AH:AH)</f>
        <v>0</v>
      </c>
      <c r="AE34">
        <f>SUMIF(RawData!$C:$C,$A34,RawData!AI:AI)</f>
        <v>0</v>
      </c>
      <c r="AF34">
        <f>SUMIF(RawData!$C:$C,$A34,RawData!AJ:AJ)</f>
        <v>0</v>
      </c>
      <c r="AG34">
        <f>SUMIF(RawData!$C:$C,$A34,RawData!AK:AK)</f>
        <v>0</v>
      </c>
      <c r="AH34">
        <f>SUMIF(RawData!$C:$C,$A34,RawData!AL:AL)</f>
        <v>0</v>
      </c>
      <c r="AI34">
        <f>SUMIF(RawData!$C:$C,$A34,RawData!AM:AM)</f>
        <v>1</v>
      </c>
      <c r="AJ34">
        <f>SUMIF(RawData!$C:$C,$A34,RawData!AN:AN)</f>
        <v>1</v>
      </c>
      <c r="AK34">
        <f>SUMIF(RawData!$C:$C,$A34,RawData!AO:AO)</f>
        <v>5</v>
      </c>
      <c r="AL34">
        <f>SUMIF(RawData!$C:$C,$A34,RawData!AP:AP)</f>
        <v>7</v>
      </c>
      <c r="AM34">
        <f>SUMIF(RawData!$C:$C,$A34,RawData!AQ:AQ)</f>
        <v>7</v>
      </c>
      <c r="AN34">
        <f>SUMIF(RawData!$C:$C,$A34,RawData!AR:AR)</f>
        <v>13</v>
      </c>
      <c r="AO34">
        <f>SUMIF(RawData!$C:$C,$A34,RawData!AS:AS)</f>
        <v>19</v>
      </c>
      <c r="AP34">
        <f>SUMIF(RawData!$C:$C,$A34,RawData!AT:AT)</f>
        <v>26</v>
      </c>
      <c r="AQ34">
        <f>SUMIF(RawData!$C:$C,$A34,RawData!AU:AU)</f>
        <v>32</v>
      </c>
      <c r="AR34">
        <f>SUMIF(RawData!$C:$C,$A34,RawData!AV:AV)</f>
        <v>35</v>
      </c>
      <c r="AS34">
        <f>SUMIF(RawData!$C:$C,$A34,RawData!AW:AW)</f>
        <v>35</v>
      </c>
      <c r="AT34">
        <f>SUMIF(RawData!$C:$C,$A34,RawData!AX:AX)</f>
        <v>40</v>
      </c>
      <c r="AU34">
        <f>SUMIF(RawData!$C:$C,$A34,RawData!AY:AY)</f>
        <v>54</v>
      </c>
      <c r="AV34">
        <f>SUMIF(RawData!$C:$C,$A34,RawData!AZ:AZ)</f>
        <v>60</v>
      </c>
      <c r="AW34">
        <f>SUMIF(RawData!$C:$C,$A34,RawData!BA:BA)</f>
        <v>60</v>
      </c>
      <c r="AX34">
        <f>SUMIF(RawData!$C:$C,$A34,RawData!BB:BB)</f>
        <v>71</v>
      </c>
      <c r="AY34">
        <f>SUMIF(RawData!$C:$C,$A34,RawData!BC:BC)</f>
        <v>71</v>
      </c>
      <c r="AZ34">
        <f>SUMIF(RawData!$C:$C,$A34,RawData!BD:BD)</f>
        <v>71</v>
      </c>
      <c r="BA34">
        <f>SUMIF(RawData!$C:$C,$A34,RawData!BE:BE)</f>
        <v>101</v>
      </c>
      <c r="BB34">
        <f>SUMIF(RawData!$C:$C,$A34,RawData!BF:BF)</f>
        <v>110</v>
      </c>
      <c r="BC34">
        <f>SUMIF(RawData!$C:$C,$A34,RawData!BG:BG)</f>
        <v>116</v>
      </c>
      <c r="BD34">
        <f>SUMIF(RawData!$C:$C,$A34,RawData!BH:BH)</f>
        <v>0</v>
      </c>
      <c r="BE34">
        <f>SUMIF(RawData!$C:$C,$A34,RawData!BI:BI)</f>
        <v>0</v>
      </c>
      <c r="BF34">
        <f>SUMIF(RawData!$C:$C,$A34,RawData!BJ:BJ)</f>
        <v>0</v>
      </c>
      <c r="BG34">
        <f>SUMIF(RawData!$C:$C,$A34,RawData!BK:BK)</f>
        <v>0</v>
      </c>
      <c r="BH34">
        <f>SUMIF(RawData!$C:$C,$A34,RawData!BL:BL)</f>
        <v>0</v>
      </c>
      <c r="BI34">
        <f>SUMIF(RawData!$C:$C,$A34,RawData!BM:BM)</f>
        <v>0</v>
      </c>
      <c r="BJ34">
        <f>SUMIF(RawData!$C:$C,$A34,RawData!BN:BN)</f>
        <v>0</v>
      </c>
      <c r="BK34">
        <f>SUMIF(RawData!$C:$C,$A34,RawData!BO:BO)</f>
        <v>0</v>
      </c>
      <c r="BL34">
        <f>SUMIF(RawData!$C:$C,$A34,RawData!BP:BP)</f>
        <v>0</v>
      </c>
      <c r="BM34">
        <f>SUMIF(RawData!$C:$C,$A34,RawData!BQ:BQ)</f>
        <v>0</v>
      </c>
      <c r="BN34">
        <f>SUMIF(RawData!$C:$C,$A34,RawData!BR:BR)</f>
        <v>0</v>
      </c>
      <c r="BO34">
        <f>SUMIF(RawData!$C:$C,$A34,RawData!BS:BS)</f>
        <v>0</v>
      </c>
      <c r="BP34">
        <f>SUMIF(RawData!$C:$C,$A34,RawData!BT:BT)</f>
        <v>0</v>
      </c>
      <c r="BQ34">
        <f>SUMIF(RawData!$C:$C,$A34,RawData!BU:BU)</f>
        <v>0</v>
      </c>
      <c r="BR34">
        <f>SUMIF(RawData!$C:$C,$A34,RawData!BV:BV)</f>
        <v>0</v>
      </c>
      <c r="BS34">
        <f>SUMIF(RawData!$C:$C,$A34,RawData!BW:BW)</f>
        <v>0</v>
      </c>
      <c r="BT34">
        <f>SUMIF(RawData!$C:$C,$A34,RawData!BX:BX)</f>
        <v>0</v>
      </c>
    </row>
    <row r="35" spans="1:72" ht="15" thickBot="1" x14ac:dyDescent="0.35">
      <c r="A35" s="5" t="s">
        <v>125</v>
      </c>
      <c r="B35">
        <f>SUMIF(RawData!$C:$C,$A35,RawData!F:F)</f>
        <v>0</v>
      </c>
      <c r="C35">
        <f>SUMIF(RawData!$C:$C,$A35,RawData!G:G)</f>
        <v>0</v>
      </c>
      <c r="D35">
        <f>SUMIF(RawData!$C:$C,$A35,RawData!H:H)</f>
        <v>0</v>
      </c>
      <c r="E35">
        <f>SUMIF(RawData!$C:$C,$A35,RawData!I:I)</f>
        <v>0</v>
      </c>
      <c r="F35">
        <f>SUMIF(RawData!$C:$C,$A35,RawData!J:J)</f>
        <v>0</v>
      </c>
      <c r="G35">
        <f>SUMIF(RawData!$C:$C,$A35,RawData!K:K)</f>
        <v>0</v>
      </c>
      <c r="H35">
        <f>SUMIF(RawData!$C:$C,$A35,RawData!L:L)</f>
        <v>0</v>
      </c>
      <c r="I35">
        <f>SUMIF(RawData!$C:$C,$A35,RawData!M:M)</f>
        <v>0</v>
      </c>
      <c r="J35">
        <f>SUMIF(RawData!$C:$C,$A35,RawData!N:N)</f>
        <v>0</v>
      </c>
      <c r="K35">
        <f>SUMIF(RawData!$C:$C,$A35,RawData!O:O)</f>
        <v>0</v>
      </c>
      <c r="L35">
        <f>SUMIF(RawData!$C:$C,$A35,RawData!P:P)</f>
        <v>0</v>
      </c>
      <c r="M35">
        <f>SUMIF(RawData!$C:$C,$A35,RawData!Q:Q)</f>
        <v>0</v>
      </c>
      <c r="N35">
        <f>SUMIF(RawData!$C:$C,$A35,RawData!R:R)</f>
        <v>0</v>
      </c>
      <c r="O35">
        <f>SUMIF(RawData!$C:$C,$A35,RawData!S:S)</f>
        <v>0</v>
      </c>
      <c r="P35">
        <f>SUMIF(RawData!$C:$C,$A35,RawData!T:T)</f>
        <v>0</v>
      </c>
      <c r="Q35">
        <f>SUMIF(RawData!$C:$C,$A35,RawData!U:U)</f>
        <v>0</v>
      </c>
      <c r="R35">
        <f>SUMIF(RawData!$C:$C,$A35,RawData!V:V)</f>
        <v>0</v>
      </c>
      <c r="S35">
        <f>SUMIF(RawData!$C:$C,$A35,RawData!W:W)</f>
        <v>0</v>
      </c>
      <c r="T35">
        <f>SUMIF(RawData!$C:$C,$A35,RawData!X:X)</f>
        <v>0</v>
      </c>
      <c r="U35">
        <f>SUMIF(RawData!$C:$C,$A35,RawData!Y:Y)</f>
        <v>0</v>
      </c>
      <c r="V35">
        <f>SUMIF(RawData!$C:$C,$A35,RawData!Z:Z)</f>
        <v>0</v>
      </c>
      <c r="W35">
        <f>SUMIF(RawData!$C:$C,$A35,RawData!AA:AA)</f>
        <v>0</v>
      </c>
      <c r="X35">
        <f>SUMIF(RawData!$C:$C,$A35,RawData!AB:AB)</f>
        <v>0</v>
      </c>
      <c r="Y35">
        <f>SUMIF(RawData!$C:$C,$A35,RawData!AC:AC)</f>
        <v>0</v>
      </c>
      <c r="Z35">
        <f>SUMIF(RawData!$C:$C,$A35,RawData!AD:AD)</f>
        <v>0</v>
      </c>
      <c r="AA35">
        <f>SUMIF(RawData!$C:$C,$A35,RawData!AE:AE)</f>
        <v>0</v>
      </c>
      <c r="AB35">
        <f>SUMIF(RawData!$C:$C,$A35,RawData!AF:AF)</f>
        <v>0</v>
      </c>
      <c r="AC35">
        <f>SUMIF(RawData!$C:$C,$A35,RawData!AG:AG)</f>
        <v>0</v>
      </c>
      <c r="AD35">
        <f>SUMIF(RawData!$C:$C,$A35,RawData!AH:AH)</f>
        <v>0</v>
      </c>
      <c r="AE35">
        <f>SUMIF(RawData!$C:$C,$A35,RawData!AI:AI)</f>
        <v>0</v>
      </c>
      <c r="AF35">
        <f>SUMIF(RawData!$C:$C,$A35,RawData!AJ:AJ)</f>
        <v>0</v>
      </c>
      <c r="AG35">
        <f>SUMIF(RawData!$C:$C,$A35,RawData!AK:AK)</f>
        <v>0</v>
      </c>
      <c r="AH35">
        <f>SUMIF(RawData!$C:$C,$A35,RawData!AL:AL)</f>
        <v>0</v>
      </c>
      <c r="AI35">
        <f>SUMIF(RawData!$C:$C,$A35,RawData!AM:AM)</f>
        <v>0</v>
      </c>
      <c r="AJ35">
        <f>SUMIF(RawData!$C:$C,$A35,RawData!AN:AN)</f>
        <v>0</v>
      </c>
      <c r="AK35">
        <f>SUMIF(RawData!$C:$C,$A35,RawData!AO:AO)</f>
        <v>0</v>
      </c>
      <c r="AL35">
        <f>SUMIF(RawData!$C:$C,$A35,RawData!AP:AP)</f>
        <v>0</v>
      </c>
      <c r="AM35">
        <f>SUMIF(RawData!$C:$C,$A35,RawData!AQ:AQ)</f>
        <v>0</v>
      </c>
      <c r="AN35">
        <f>SUMIF(RawData!$C:$C,$A35,RawData!AR:AR)</f>
        <v>1</v>
      </c>
      <c r="AO35">
        <f>SUMIF(RawData!$C:$C,$A35,RawData!AS:AS)</f>
        <v>1</v>
      </c>
      <c r="AP35">
        <f>SUMIF(RawData!$C:$C,$A35,RawData!AT:AT)</f>
        <v>1</v>
      </c>
      <c r="AQ35">
        <f>SUMIF(RawData!$C:$C,$A35,RawData!AU:AU)</f>
        <v>2</v>
      </c>
      <c r="AR35">
        <f>SUMIF(RawData!$C:$C,$A35,RawData!AV:AV)</f>
        <v>6</v>
      </c>
      <c r="AS35">
        <f>SUMIF(RawData!$C:$C,$A35,RawData!AW:AW)</f>
        <v>6</v>
      </c>
      <c r="AT35">
        <f>SUMIF(RawData!$C:$C,$A35,RawData!AX:AX)</f>
        <v>18</v>
      </c>
      <c r="AU35">
        <f>SUMIF(RawData!$C:$C,$A35,RawData!AY:AY)</f>
        <v>18</v>
      </c>
      <c r="AV35">
        <f>SUMIF(RawData!$C:$C,$A35,RawData!AZ:AZ)</f>
        <v>19</v>
      </c>
      <c r="AW35">
        <f>SUMIF(RawData!$C:$C,$A35,RawData!BA:BA)</f>
        <v>21</v>
      </c>
      <c r="AX35">
        <f>SUMIF(RawData!$C:$C,$A35,RawData!BB:BB)</f>
        <v>34</v>
      </c>
      <c r="AY35">
        <f>SUMIF(RawData!$C:$C,$A35,RawData!BC:BC)</f>
        <v>43</v>
      </c>
      <c r="AZ35">
        <f>SUMIF(RawData!$C:$C,$A35,RawData!BD:BD)</f>
        <v>43</v>
      </c>
      <c r="BA35">
        <f>SUMIF(RawData!$C:$C,$A35,RawData!BE:BE)</f>
        <v>90</v>
      </c>
      <c r="BB35">
        <f>SUMIF(RawData!$C:$C,$A35,RawData!BF:BF)</f>
        <v>129</v>
      </c>
      <c r="BC35">
        <f>SUMIF(RawData!$C:$C,$A35,RawData!BG:BG)</f>
        <v>129</v>
      </c>
      <c r="BD35">
        <f>SUMIF(RawData!$C:$C,$A35,RawData!BH:BH)</f>
        <v>0</v>
      </c>
      <c r="BE35">
        <f>SUMIF(RawData!$C:$C,$A35,RawData!BI:BI)</f>
        <v>0</v>
      </c>
      <c r="BF35">
        <f>SUMIF(RawData!$C:$C,$A35,RawData!BJ:BJ)</f>
        <v>0</v>
      </c>
      <c r="BG35">
        <f>SUMIF(RawData!$C:$C,$A35,RawData!BK:BK)</f>
        <v>0</v>
      </c>
      <c r="BH35">
        <f>SUMIF(RawData!$C:$C,$A35,RawData!BL:BL)</f>
        <v>0</v>
      </c>
      <c r="BI35">
        <f>SUMIF(RawData!$C:$C,$A35,RawData!BM:BM)</f>
        <v>0</v>
      </c>
      <c r="BJ35">
        <f>SUMIF(RawData!$C:$C,$A35,RawData!BN:BN)</f>
        <v>0</v>
      </c>
      <c r="BK35">
        <f>SUMIF(RawData!$C:$C,$A35,RawData!BO:BO)</f>
        <v>0</v>
      </c>
      <c r="BL35">
        <f>SUMIF(RawData!$C:$C,$A35,RawData!BP:BP)</f>
        <v>0</v>
      </c>
      <c r="BM35">
        <f>SUMIF(RawData!$C:$C,$A35,RawData!BQ:BQ)</f>
        <v>0</v>
      </c>
      <c r="BN35">
        <f>SUMIF(RawData!$C:$C,$A35,RawData!BR:BR)</f>
        <v>0</v>
      </c>
      <c r="BO35">
        <f>SUMIF(RawData!$C:$C,$A35,RawData!BS:BS)</f>
        <v>0</v>
      </c>
      <c r="BP35">
        <f>SUMIF(RawData!$C:$C,$A35,RawData!BT:BT)</f>
        <v>0</v>
      </c>
      <c r="BQ35">
        <f>SUMIF(RawData!$C:$C,$A35,RawData!BU:BU)</f>
        <v>0</v>
      </c>
      <c r="BR35">
        <f>SUMIF(RawData!$C:$C,$A35,RawData!BV:BV)</f>
        <v>0</v>
      </c>
      <c r="BS35">
        <f>SUMIF(RawData!$C:$C,$A35,RawData!BW:BW)</f>
        <v>0</v>
      </c>
      <c r="BT35">
        <f>SUMIF(RawData!$C:$C,$A35,RawData!BX:BX)</f>
        <v>0</v>
      </c>
    </row>
    <row r="36" spans="1:72" ht="15" thickBot="1" x14ac:dyDescent="0.35">
      <c r="A36" s="4" t="s">
        <v>113</v>
      </c>
      <c r="B36">
        <f>SUMIF(RawData!$C:$C,$A36,RawData!F:F)</f>
        <v>0</v>
      </c>
      <c r="C36">
        <f>SUMIF(RawData!$C:$C,$A36,RawData!G:G)</f>
        <v>0</v>
      </c>
      <c r="D36">
        <f>SUMIF(RawData!$C:$C,$A36,RawData!H:H)</f>
        <v>0</v>
      </c>
      <c r="E36">
        <f>SUMIF(RawData!$C:$C,$A36,RawData!I:I)</f>
        <v>0</v>
      </c>
      <c r="F36">
        <f>SUMIF(RawData!$C:$C,$A36,RawData!J:J)</f>
        <v>0</v>
      </c>
      <c r="G36">
        <f>SUMIF(RawData!$C:$C,$A36,RawData!K:K)</f>
        <v>0</v>
      </c>
      <c r="H36">
        <f>SUMIF(RawData!$C:$C,$A36,RawData!L:L)</f>
        <v>0</v>
      </c>
      <c r="I36">
        <f>SUMIF(RawData!$C:$C,$A36,RawData!M:M)</f>
        <v>0</v>
      </c>
      <c r="J36">
        <f>SUMIF(RawData!$C:$C,$A36,RawData!N:N)</f>
        <v>0</v>
      </c>
      <c r="K36">
        <f>SUMIF(RawData!$C:$C,$A36,RawData!O:O)</f>
        <v>0</v>
      </c>
      <c r="L36">
        <f>SUMIF(RawData!$C:$C,$A36,RawData!P:P)</f>
        <v>0</v>
      </c>
      <c r="M36">
        <f>SUMIF(RawData!$C:$C,$A36,RawData!Q:Q)</f>
        <v>0</v>
      </c>
      <c r="N36">
        <f>SUMIF(RawData!$C:$C,$A36,RawData!R:R)</f>
        <v>0</v>
      </c>
      <c r="O36">
        <f>SUMIF(RawData!$C:$C,$A36,RawData!S:S)</f>
        <v>0</v>
      </c>
      <c r="P36">
        <f>SUMIF(RawData!$C:$C,$A36,RawData!T:T)</f>
        <v>0</v>
      </c>
      <c r="Q36">
        <f>SUMIF(RawData!$C:$C,$A36,RawData!U:U)</f>
        <v>0</v>
      </c>
      <c r="R36">
        <f>SUMIF(RawData!$C:$C,$A36,RawData!V:V)</f>
        <v>0</v>
      </c>
      <c r="S36">
        <f>SUMIF(RawData!$C:$C,$A36,RawData!W:W)</f>
        <v>0</v>
      </c>
      <c r="T36">
        <f>SUMIF(RawData!$C:$C,$A36,RawData!X:X)</f>
        <v>0</v>
      </c>
      <c r="U36">
        <f>SUMIF(RawData!$C:$C,$A36,RawData!Y:Y)</f>
        <v>0</v>
      </c>
      <c r="V36">
        <f>SUMIF(RawData!$C:$C,$A36,RawData!Z:Z)</f>
        <v>0</v>
      </c>
      <c r="W36">
        <f>SUMIF(RawData!$C:$C,$A36,RawData!AA:AA)</f>
        <v>0</v>
      </c>
      <c r="X36">
        <f>SUMIF(RawData!$C:$C,$A36,RawData!AB:AB)</f>
        <v>0</v>
      </c>
      <c r="Y36">
        <f>SUMIF(RawData!$C:$C,$A36,RawData!AC:AC)</f>
        <v>0</v>
      </c>
      <c r="Z36">
        <f>SUMIF(RawData!$C:$C,$A36,RawData!AD:AD)</f>
        <v>0</v>
      </c>
      <c r="AA36">
        <f>SUMIF(RawData!$C:$C,$A36,RawData!AE:AE)</f>
        <v>0</v>
      </c>
      <c r="AB36">
        <f>SUMIF(RawData!$C:$C,$A36,RawData!AF:AF)</f>
        <v>0</v>
      </c>
      <c r="AC36">
        <f>SUMIF(RawData!$C:$C,$A36,RawData!AG:AG)</f>
        <v>0</v>
      </c>
      <c r="AD36">
        <f>SUMIF(RawData!$C:$C,$A36,RawData!AH:AH)</f>
        <v>0</v>
      </c>
      <c r="AE36">
        <f>SUMIF(RawData!$C:$C,$A36,RawData!AI:AI)</f>
        <v>0</v>
      </c>
      <c r="AF36">
        <f>SUMIF(RawData!$C:$C,$A36,RawData!AJ:AJ)</f>
        <v>0</v>
      </c>
      <c r="AG36">
        <f>SUMIF(RawData!$C:$C,$A36,RawData!AK:AK)</f>
        <v>0</v>
      </c>
      <c r="AH36">
        <f>SUMIF(RawData!$C:$C,$A36,RawData!AL:AL)</f>
        <v>0</v>
      </c>
      <c r="AI36">
        <f>SUMIF(RawData!$C:$C,$A36,RawData!AM:AM)</f>
        <v>0</v>
      </c>
      <c r="AJ36">
        <f>SUMIF(RawData!$C:$C,$A36,RawData!AN:AN)</f>
        <v>0</v>
      </c>
      <c r="AK36">
        <f>SUMIF(RawData!$C:$C,$A36,RawData!AO:AO)</f>
        <v>1</v>
      </c>
      <c r="AL36">
        <f>SUMIF(RawData!$C:$C,$A36,RawData!AP:AP)</f>
        <v>1</v>
      </c>
      <c r="AM36">
        <f>SUMIF(RawData!$C:$C,$A36,RawData!AQ:AQ)</f>
        <v>3</v>
      </c>
      <c r="AN36">
        <f>SUMIF(RawData!$C:$C,$A36,RawData!AR:AR)</f>
        <v>3</v>
      </c>
      <c r="AO36">
        <f>SUMIF(RawData!$C:$C,$A36,RawData!AS:AS)</f>
        <v>3</v>
      </c>
      <c r="AP36">
        <f>SUMIF(RawData!$C:$C,$A36,RawData!AT:AT)</f>
        <v>3</v>
      </c>
      <c r="AQ36">
        <f>SUMIF(RawData!$C:$C,$A36,RawData!AU:AU)</f>
        <v>3</v>
      </c>
      <c r="AR36">
        <f>SUMIF(RawData!$C:$C,$A36,RawData!AV:AV)</f>
        <v>4</v>
      </c>
      <c r="AS36">
        <f>SUMIF(RawData!$C:$C,$A36,RawData!AW:AW)</f>
        <v>6</v>
      </c>
      <c r="AT36">
        <f>SUMIF(RawData!$C:$C,$A36,RawData!AX:AX)</f>
        <v>9</v>
      </c>
      <c r="AU36">
        <f>SUMIF(RawData!$C:$C,$A36,RawData!AY:AY)</f>
        <v>9</v>
      </c>
      <c r="AV36">
        <f>SUMIF(RawData!$C:$C,$A36,RawData!AZ:AZ)</f>
        <v>15</v>
      </c>
      <c r="AW36">
        <f>SUMIF(RawData!$C:$C,$A36,RawData!BA:BA)</f>
        <v>15</v>
      </c>
      <c r="AX36">
        <f>SUMIF(RawData!$C:$C,$A36,RawData!BB:BB)</f>
        <v>25</v>
      </c>
      <c r="AY36">
        <f>SUMIF(RawData!$C:$C,$A36,RawData!BC:BC)</f>
        <v>45</v>
      </c>
      <c r="AZ36">
        <f>SUMIF(RawData!$C:$C,$A36,RawData!BD:BD)</f>
        <v>49</v>
      </c>
      <c r="BA36">
        <f>SUMIF(RawData!$C:$C,$A36,RawData!BE:BE)</f>
        <v>89</v>
      </c>
      <c r="BB36">
        <f>SUMIF(RawData!$C:$C,$A36,RawData!BF:BF)</f>
        <v>123</v>
      </c>
      <c r="BC36">
        <f>SUMIF(RawData!$C:$C,$A36,RawData!BG:BG)</f>
        <v>131</v>
      </c>
      <c r="BD36">
        <f>SUMIF(RawData!$C:$C,$A36,RawData!BH:BH)</f>
        <v>0</v>
      </c>
      <c r="BE36">
        <f>SUMIF(RawData!$C:$C,$A36,RawData!BI:BI)</f>
        <v>0</v>
      </c>
      <c r="BF36">
        <f>SUMIF(RawData!$C:$C,$A36,RawData!BJ:BJ)</f>
        <v>0</v>
      </c>
      <c r="BG36">
        <f>SUMIF(RawData!$C:$C,$A36,RawData!BK:BK)</f>
        <v>0</v>
      </c>
      <c r="BH36">
        <f>SUMIF(RawData!$C:$C,$A36,RawData!BL:BL)</f>
        <v>0</v>
      </c>
      <c r="BI36">
        <f>SUMIF(RawData!$C:$C,$A36,RawData!BM:BM)</f>
        <v>0</v>
      </c>
      <c r="BJ36">
        <f>SUMIF(RawData!$C:$C,$A36,RawData!BN:BN)</f>
        <v>0</v>
      </c>
      <c r="BK36">
        <f>SUMIF(RawData!$C:$C,$A36,RawData!BO:BO)</f>
        <v>0</v>
      </c>
      <c r="BL36">
        <f>SUMIF(RawData!$C:$C,$A36,RawData!BP:BP)</f>
        <v>0</v>
      </c>
      <c r="BM36">
        <f>SUMIF(RawData!$C:$C,$A36,RawData!BQ:BQ)</f>
        <v>0</v>
      </c>
      <c r="BN36">
        <f>SUMIF(RawData!$C:$C,$A36,RawData!BR:BR)</f>
        <v>0</v>
      </c>
      <c r="BO36">
        <f>SUMIF(RawData!$C:$C,$A36,RawData!BS:BS)</f>
        <v>0</v>
      </c>
      <c r="BP36">
        <f>SUMIF(RawData!$C:$C,$A36,RawData!BT:BT)</f>
        <v>0</v>
      </c>
      <c r="BQ36">
        <f>SUMIF(RawData!$C:$C,$A36,RawData!BU:BU)</f>
        <v>0</v>
      </c>
      <c r="BR36">
        <f>SUMIF(RawData!$C:$C,$A36,RawData!BV:BV)</f>
        <v>0</v>
      </c>
      <c r="BS36">
        <f>SUMIF(RawData!$C:$C,$A36,RawData!BW:BW)</f>
        <v>0</v>
      </c>
      <c r="BT36">
        <f>SUMIF(RawData!$C:$C,$A36,RawData!BX:BX)</f>
        <v>0</v>
      </c>
    </row>
    <row r="37" spans="1:72" ht="15" thickBot="1" x14ac:dyDescent="0.35">
      <c r="A37" s="5" t="s">
        <v>140</v>
      </c>
      <c r="B37">
        <f>SUMIF(RawData!$C:$C,$A37,RawData!F:F)</f>
        <v>0</v>
      </c>
      <c r="C37">
        <f>SUMIF(RawData!$C:$C,$A37,RawData!G:G)</f>
        <v>0</v>
      </c>
      <c r="D37">
        <f>SUMIF(RawData!$C:$C,$A37,RawData!H:H)</f>
        <v>0</v>
      </c>
      <c r="E37">
        <f>SUMIF(RawData!$C:$C,$A37,RawData!I:I)</f>
        <v>0</v>
      </c>
      <c r="F37">
        <f>SUMIF(RawData!$C:$C,$A37,RawData!J:J)</f>
        <v>0</v>
      </c>
      <c r="G37">
        <f>SUMIF(RawData!$C:$C,$A37,RawData!K:K)</f>
        <v>0</v>
      </c>
      <c r="H37">
        <f>SUMIF(RawData!$C:$C,$A37,RawData!L:L)</f>
        <v>0</v>
      </c>
      <c r="I37">
        <f>SUMIF(RawData!$C:$C,$A37,RawData!M:M)</f>
        <v>0</v>
      </c>
      <c r="J37">
        <f>SUMIF(RawData!$C:$C,$A37,RawData!N:N)</f>
        <v>0</v>
      </c>
      <c r="K37">
        <f>SUMIF(RawData!$C:$C,$A37,RawData!O:O)</f>
        <v>0</v>
      </c>
      <c r="L37">
        <f>SUMIF(RawData!$C:$C,$A37,RawData!P:P)</f>
        <v>0</v>
      </c>
      <c r="M37">
        <f>SUMIF(RawData!$C:$C,$A37,RawData!Q:Q)</f>
        <v>0</v>
      </c>
      <c r="N37">
        <f>SUMIF(RawData!$C:$C,$A37,RawData!R:R)</f>
        <v>0</v>
      </c>
      <c r="O37">
        <f>SUMIF(RawData!$C:$C,$A37,RawData!S:S)</f>
        <v>0</v>
      </c>
      <c r="P37">
        <f>SUMIF(RawData!$C:$C,$A37,RawData!T:T)</f>
        <v>0</v>
      </c>
      <c r="Q37">
        <f>SUMIF(RawData!$C:$C,$A37,RawData!U:U)</f>
        <v>0</v>
      </c>
      <c r="R37">
        <f>SUMIF(RawData!$C:$C,$A37,RawData!V:V)</f>
        <v>0</v>
      </c>
      <c r="S37">
        <f>SUMIF(RawData!$C:$C,$A37,RawData!W:W)</f>
        <v>0</v>
      </c>
      <c r="T37">
        <f>SUMIF(RawData!$C:$C,$A37,RawData!X:X)</f>
        <v>0</v>
      </c>
      <c r="U37">
        <f>SUMIF(RawData!$C:$C,$A37,RawData!Y:Y)</f>
        <v>0</v>
      </c>
      <c r="V37">
        <f>SUMIF(RawData!$C:$C,$A37,RawData!Z:Z)</f>
        <v>0</v>
      </c>
      <c r="W37">
        <f>SUMIF(RawData!$C:$C,$A37,RawData!AA:AA)</f>
        <v>0</v>
      </c>
      <c r="X37">
        <f>SUMIF(RawData!$C:$C,$A37,RawData!AB:AB)</f>
        <v>0</v>
      </c>
      <c r="Y37">
        <f>SUMIF(RawData!$C:$C,$A37,RawData!AC:AC)</f>
        <v>0</v>
      </c>
      <c r="Z37">
        <f>SUMIF(RawData!$C:$C,$A37,RawData!AD:AD)</f>
        <v>0</v>
      </c>
      <c r="AA37">
        <f>SUMIF(RawData!$C:$C,$A37,RawData!AE:AE)</f>
        <v>0</v>
      </c>
      <c r="AB37">
        <f>SUMIF(RawData!$C:$C,$A37,RawData!AF:AF)</f>
        <v>0</v>
      </c>
      <c r="AC37">
        <f>SUMIF(RawData!$C:$C,$A37,RawData!AG:AG)</f>
        <v>0</v>
      </c>
      <c r="AD37">
        <f>SUMIF(RawData!$C:$C,$A37,RawData!AH:AH)</f>
        <v>0</v>
      </c>
      <c r="AE37">
        <f>SUMIF(RawData!$C:$C,$A37,RawData!AI:AI)</f>
        <v>0</v>
      </c>
      <c r="AF37">
        <f>SUMIF(RawData!$C:$C,$A37,RawData!AJ:AJ)</f>
        <v>0</v>
      </c>
      <c r="AG37">
        <f>SUMIF(RawData!$C:$C,$A37,RawData!AK:AK)</f>
        <v>0</v>
      </c>
      <c r="AH37">
        <f>SUMIF(RawData!$C:$C,$A37,RawData!AL:AL)</f>
        <v>0</v>
      </c>
      <c r="AI37">
        <f>SUMIF(RawData!$C:$C,$A37,RawData!AM:AM)</f>
        <v>0</v>
      </c>
      <c r="AJ37">
        <f>SUMIF(RawData!$C:$C,$A37,RawData!AN:AN)</f>
        <v>0</v>
      </c>
      <c r="AK37">
        <f>SUMIF(RawData!$C:$C,$A37,RawData!AO:AO)</f>
        <v>0</v>
      </c>
      <c r="AL37">
        <f>SUMIF(RawData!$C:$C,$A37,RawData!AP:AP)</f>
        <v>0</v>
      </c>
      <c r="AM37">
        <f>SUMIF(RawData!$C:$C,$A37,RawData!AQ:AQ)</f>
        <v>0</v>
      </c>
      <c r="AN37">
        <f>SUMIF(RawData!$C:$C,$A37,RawData!AR:AR)</f>
        <v>0</v>
      </c>
      <c r="AO37">
        <f>SUMIF(RawData!$C:$C,$A37,RawData!AS:AS)</f>
        <v>0</v>
      </c>
      <c r="AP37">
        <f>SUMIF(RawData!$C:$C,$A37,RawData!AT:AT)</f>
        <v>1</v>
      </c>
      <c r="AQ37">
        <f>SUMIF(RawData!$C:$C,$A37,RawData!AU:AU)</f>
        <v>1</v>
      </c>
      <c r="AR37">
        <f>SUMIF(RawData!$C:$C,$A37,RawData!AV:AV)</f>
        <v>1</v>
      </c>
      <c r="AS37">
        <f>SUMIF(RawData!$C:$C,$A37,RawData!AW:AW)</f>
        <v>5</v>
      </c>
      <c r="AT37">
        <f>SUMIF(RawData!$C:$C,$A37,RawData!AX:AX)</f>
        <v>5</v>
      </c>
      <c r="AU37">
        <f>SUMIF(RawData!$C:$C,$A37,RawData!AY:AY)</f>
        <v>5</v>
      </c>
      <c r="AV37">
        <f>SUMIF(RawData!$C:$C,$A37,RawData!AZ:AZ)</f>
        <v>11</v>
      </c>
      <c r="AW37">
        <f>SUMIF(RawData!$C:$C,$A37,RawData!BA:BA)</f>
        <v>15</v>
      </c>
      <c r="AX37">
        <f>SUMIF(RawData!$C:$C,$A37,RawData!BB:BB)</f>
        <v>20</v>
      </c>
      <c r="AY37">
        <f>SUMIF(RawData!$C:$C,$A37,RawData!BC:BC)</f>
        <v>21</v>
      </c>
      <c r="AZ37">
        <f>SUMIF(RawData!$C:$C,$A37,RawData!BD:BD)</f>
        <v>45</v>
      </c>
      <c r="BA37">
        <f>SUMIF(RawData!$C:$C,$A37,RawData!BE:BE)</f>
        <v>86</v>
      </c>
      <c r="BB37">
        <f>SUMIF(RawData!$C:$C,$A37,RawData!BF:BF)</f>
        <v>103</v>
      </c>
      <c r="BC37">
        <f>SUMIF(RawData!$C:$C,$A37,RawData!BG:BG)</f>
        <v>103</v>
      </c>
      <c r="BD37">
        <f>SUMIF(RawData!$C:$C,$A37,RawData!BH:BH)</f>
        <v>0</v>
      </c>
      <c r="BE37">
        <f>SUMIF(RawData!$C:$C,$A37,RawData!BI:BI)</f>
        <v>0</v>
      </c>
      <c r="BF37">
        <f>SUMIF(RawData!$C:$C,$A37,RawData!BJ:BJ)</f>
        <v>0</v>
      </c>
      <c r="BG37">
        <f>SUMIF(RawData!$C:$C,$A37,RawData!BK:BK)</f>
        <v>0</v>
      </c>
      <c r="BH37">
        <f>SUMIF(RawData!$C:$C,$A37,RawData!BL:BL)</f>
        <v>0</v>
      </c>
      <c r="BI37">
        <f>SUMIF(RawData!$C:$C,$A37,RawData!BM:BM)</f>
        <v>0</v>
      </c>
      <c r="BJ37">
        <f>SUMIF(RawData!$C:$C,$A37,RawData!BN:BN)</f>
        <v>0</v>
      </c>
      <c r="BK37">
        <f>SUMIF(RawData!$C:$C,$A37,RawData!BO:BO)</f>
        <v>0</v>
      </c>
      <c r="BL37">
        <f>SUMIF(RawData!$C:$C,$A37,RawData!BP:BP)</f>
        <v>0</v>
      </c>
      <c r="BM37">
        <f>SUMIF(RawData!$C:$C,$A37,RawData!BQ:BQ)</f>
        <v>0</v>
      </c>
      <c r="BN37">
        <f>SUMIF(RawData!$C:$C,$A37,RawData!BR:BR)</f>
        <v>0</v>
      </c>
      <c r="BO37">
        <f>SUMIF(RawData!$C:$C,$A37,RawData!BS:BS)</f>
        <v>0</v>
      </c>
      <c r="BP37">
        <f>SUMIF(RawData!$C:$C,$A37,RawData!BT:BT)</f>
        <v>0</v>
      </c>
      <c r="BQ37">
        <f>SUMIF(RawData!$C:$C,$A37,RawData!BU:BU)</f>
        <v>0</v>
      </c>
      <c r="BR37">
        <f>SUMIF(RawData!$C:$C,$A37,RawData!BV:BV)</f>
        <v>0</v>
      </c>
      <c r="BS37">
        <f>SUMIF(RawData!$C:$C,$A37,RawData!BW:BW)</f>
        <v>0</v>
      </c>
      <c r="BT37">
        <f>SUMIF(RawData!$C:$C,$A37,RawData!BX:BX)</f>
        <v>0</v>
      </c>
    </row>
    <row r="38" spans="1:72" ht="15" thickBot="1" x14ac:dyDescent="0.35">
      <c r="A38" s="5" t="s">
        <v>82</v>
      </c>
      <c r="B38">
        <f>SUMIF(RawData!$C:$C,$A38,RawData!F:F)</f>
        <v>0</v>
      </c>
      <c r="C38">
        <f>SUMIF(RawData!$C:$C,$A38,RawData!G:G)</f>
        <v>0</v>
      </c>
      <c r="D38">
        <f>SUMIF(RawData!$C:$C,$A38,RawData!H:H)</f>
        <v>0</v>
      </c>
      <c r="E38">
        <f>SUMIF(RawData!$C:$C,$A38,RawData!I:I)</f>
        <v>0</v>
      </c>
      <c r="F38">
        <f>SUMIF(RawData!$C:$C,$A38,RawData!J:J)</f>
        <v>0</v>
      </c>
      <c r="G38">
        <f>SUMIF(RawData!$C:$C,$A38,RawData!K:K)</f>
        <v>0</v>
      </c>
      <c r="H38">
        <f>SUMIF(RawData!$C:$C,$A38,RawData!L:L)</f>
        <v>0</v>
      </c>
      <c r="I38">
        <f>SUMIF(RawData!$C:$C,$A38,RawData!M:M)</f>
        <v>4</v>
      </c>
      <c r="J38">
        <f>SUMIF(RawData!$C:$C,$A38,RawData!N:N)</f>
        <v>4</v>
      </c>
      <c r="K38">
        <f>SUMIF(RawData!$C:$C,$A38,RawData!O:O)</f>
        <v>4</v>
      </c>
      <c r="L38">
        <f>SUMIF(RawData!$C:$C,$A38,RawData!P:P)</f>
        <v>4</v>
      </c>
      <c r="M38">
        <f>SUMIF(RawData!$C:$C,$A38,RawData!Q:Q)</f>
        <v>5</v>
      </c>
      <c r="N38">
        <f>SUMIF(RawData!$C:$C,$A38,RawData!R:R)</f>
        <v>5</v>
      </c>
      <c r="O38">
        <f>SUMIF(RawData!$C:$C,$A38,RawData!S:S)</f>
        <v>5</v>
      </c>
      <c r="P38">
        <f>SUMIF(RawData!$C:$C,$A38,RawData!T:T)</f>
        <v>5</v>
      </c>
      <c r="Q38">
        <f>SUMIF(RawData!$C:$C,$A38,RawData!U:U)</f>
        <v>5</v>
      </c>
      <c r="R38">
        <f>SUMIF(RawData!$C:$C,$A38,RawData!V:V)</f>
        <v>5</v>
      </c>
      <c r="S38">
        <f>SUMIF(RawData!$C:$C,$A38,RawData!W:W)</f>
        <v>7</v>
      </c>
      <c r="T38">
        <f>SUMIF(RawData!$C:$C,$A38,RawData!X:X)</f>
        <v>7</v>
      </c>
      <c r="U38">
        <f>SUMIF(RawData!$C:$C,$A38,RawData!Y:Y)</f>
        <v>8</v>
      </c>
      <c r="V38">
        <f>SUMIF(RawData!$C:$C,$A38,RawData!Z:Z)</f>
        <v>8</v>
      </c>
      <c r="W38">
        <f>SUMIF(RawData!$C:$C,$A38,RawData!AA:AA)</f>
        <v>8</v>
      </c>
      <c r="X38">
        <f>SUMIF(RawData!$C:$C,$A38,RawData!AB:AB)</f>
        <v>8</v>
      </c>
      <c r="Y38">
        <f>SUMIF(RawData!$C:$C,$A38,RawData!AC:AC)</f>
        <v>8</v>
      </c>
      <c r="Z38">
        <f>SUMIF(RawData!$C:$C,$A38,RawData!AD:AD)</f>
        <v>8</v>
      </c>
      <c r="AA38">
        <f>SUMIF(RawData!$C:$C,$A38,RawData!AE:AE)</f>
        <v>9</v>
      </c>
      <c r="AB38">
        <f>SUMIF(RawData!$C:$C,$A38,RawData!AF:AF)</f>
        <v>9</v>
      </c>
      <c r="AC38">
        <f>SUMIF(RawData!$C:$C,$A38,RawData!AG:AG)</f>
        <v>9</v>
      </c>
      <c r="AD38">
        <f>SUMIF(RawData!$C:$C,$A38,RawData!AH:AH)</f>
        <v>9</v>
      </c>
      <c r="AE38">
        <f>SUMIF(RawData!$C:$C,$A38,RawData!AI:AI)</f>
        <v>9</v>
      </c>
      <c r="AF38">
        <f>SUMIF(RawData!$C:$C,$A38,RawData!AJ:AJ)</f>
        <v>9</v>
      </c>
      <c r="AG38">
        <f>SUMIF(RawData!$C:$C,$A38,RawData!AK:AK)</f>
        <v>13</v>
      </c>
      <c r="AH38">
        <f>SUMIF(RawData!$C:$C,$A38,RawData!AL:AL)</f>
        <v>13</v>
      </c>
      <c r="AI38">
        <f>SUMIF(RawData!$C:$C,$A38,RawData!AM:AM)</f>
        <v>13</v>
      </c>
      <c r="AJ38">
        <f>SUMIF(RawData!$C:$C,$A38,RawData!AN:AN)</f>
        <v>13</v>
      </c>
      <c r="AK38">
        <f>SUMIF(RawData!$C:$C,$A38,RawData!AO:AO)</f>
        <v>13</v>
      </c>
      <c r="AL38">
        <f>SUMIF(RawData!$C:$C,$A38,RawData!AP:AP)</f>
        <v>13</v>
      </c>
      <c r="AM38">
        <f>SUMIF(RawData!$C:$C,$A38,RawData!AQ:AQ)</f>
        <v>19</v>
      </c>
      <c r="AN38">
        <f>SUMIF(RawData!$C:$C,$A38,RawData!AR:AR)</f>
        <v>21</v>
      </c>
      <c r="AO38">
        <f>SUMIF(RawData!$C:$C,$A38,RawData!AS:AS)</f>
        <v>21</v>
      </c>
      <c r="AP38">
        <f>SUMIF(RawData!$C:$C,$A38,RawData!AT:AT)</f>
        <v>21</v>
      </c>
      <c r="AQ38">
        <f>SUMIF(RawData!$C:$C,$A38,RawData!AU:AU)</f>
        <v>27</v>
      </c>
      <c r="AR38">
        <f>SUMIF(RawData!$C:$C,$A38,RawData!AV:AV)</f>
        <v>27</v>
      </c>
      <c r="AS38">
        <f>SUMIF(RawData!$C:$C,$A38,RawData!AW:AW)</f>
        <v>29</v>
      </c>
      <c r="AT38">
        <f>SUMIF(RawData!$C:$C,$A38,RawData!AX:AX)</f>
        <v>29</v>
      </c>
      <c r="AU38">
        <f>SUMIF(RawData!$C:$C,$A38,RawData!AY:AY)</f>
        <v>45</v>
      </c>
      <c r="AV38">
        <f>SUMIF(RawData!$C:$C,$A38,RawData!AZ:AZ)</f>
        <v>45</v>
      </c>
      <c r="AW38">
        <f>SUMIF(RawData!$C:$C,$A38,RawData!BA:BA)</f>
        <v>45</v>
      </c>
      <c r="AX38">
        <f>SUMIF(RawData!$C:$C,$A38,RawData!BB:BB)</f>
        <v>74</v>
      </c>
      <c r="AY38">
        <f>SUMIF(RawData!$C:$C,$A38,RawData!BC:BC)</f>
        <v>74</v>
      </c>
      <c r="AZ38">
        <f>SUMIF(RawData!$C:$C,$A38,RawData!BD:BD)</f>
        <v>85</v>
      </c>
      <c r="BA38">
        <f>SUMIF(RawData!$C:$C,$A38,RawData!BE:BE)</f>
        <v>85</v>
      </c>
      <c r="BB38">
        <f>SUMIF(RawData!$C:$C,$A38,RawData!BF:BF)</f>
        <v>85</v>
      </c>
      <c r="BC38">
        <f>SUMIF(RawData!$C:$C,$A38,RawData!BG:BG)</f>
        <v>98</v>
      </c>
      <c r="BD38">
        <f>SUMIF(RawData!$C:$C,$A38,RawData!BH:BH)</f>
        <v>0</v>
      </c>
      <c r="BE38">
        <f>SUMIF(RawData!$C:$C,$A38,RawData!BI:BI)</f>
        <v>0</v>
      </c>
      <c r="BF38">
        <f>SUMIF(RawData!$C:$C,$A38,RawData!BJ:BJ)</f>
        <v>0</v>
      </c>
      <c r="BG38">
        <f>SUMIF(RawData!$C:$C,$A38,RawData!BK:BK)</f>
        <v>0</v>
      </c>
      <c r="BH38">
        <f>SUMIF(RawData!$C:$C,$A38,RawData!BL:BL)</f>
        <v>0</v>
      </c>
      <c r="BI38">
        <f>SUMIF(RawData!$C:$C,$A38,RawData!BM:BM)</f>
        <v>0</v>
      </c>
      <c r="BJ38">
        <f>SUMIF(RawData!$C:$C,$A38,RawData!BN:BN)</f>
        <v>0</v>
      </c>
      <c r="BK38">
        <f>SUMIF(RawData!$C:$C,$A38,RawData!BO:BO)</f>
        <v>0</v>
      </c>
      <c r="BL38">
        <f>SUMIF(RawData!$C:$C,$A38,RawData!BP:BP)</f>
        <v>0</v>
      </c>
      <c r="BM38">
        <f>SUMIF(RawData!$C:$C,$A38,RawData!BQ:BQ)</f>
        <v>0</v>
      </c>
      <c r="BN38">
        <f>SUMIF(RawData!$C:$C,$A38,RawData!BR:BR)</f>
        <v>0</v>
      </c>
      <c r="BO38">
        <f>SUMIF(RawData!$C:$C,$A38,RawData!BS:BS)</f>
        <v>0</v>
      </c>
      <c r="BP38">
        <f>SUMIF(RawData!$C:$C,$A38,RawData!BT:BT)</f>
        <v>0</v>
      </c>
      <c r="BQ38">
        <f>SUMIF(RawData!$C:$C,$A38,RawData!BU:BU)</f>
        <v>0</v>
      </c>
      <c r="BR38">
        <f>SUMIF(RawData!$C:$C,$A38,RawData!BV:BV)</f>
        <v>0</v>
      </c>
      <c r="BS38">
        <f>SUMIF(RawData!$C:$C,$A38,RawData!BW:BW)</f>
        <v>0</v>
      </c>
      <c r="BT38">
        <f>SUMIF(RawData!$C:$C,$A38,RawData!BX:BX)</f>
        <v>0</v>
      </c>
    </row>
    <row r="39" spans="1:72" ht="15" thickBot="1" x14ac:dyDescent="0.35">
      <c r="A39" s="5" t="s">
        <v>84</v>
      </c>
      <c r="B39">
        <f>SUMIF(RawData!$C:$C,$A39,RawData!F:F)</f>
        <v>0</v>
      </c>
      <c r="C39">
        <f>SUMIF(RawData!$C:$C,$A39,RawData!G:G)</f>
        <v>0</v>
      </c>
      <c r="D39">
        <f>SUMIF(RawData!$C:$C,$A39,RawData!H:H)</f>
        <v>0</v>
      </c>
      <c r="E39">
        <f>SUMIF(RawData!$C:$C,$A39,RawData!I:I)</f>
        <v>0</v>
      </c>
      <c r="F39">
        <f>SUMIF(RawData!$C:$C,$A39,RawData!J:J)</f>
        <v>0</v>
      </c>
      <c r="G39">
        <f>SUMIF(RawData!$C:$C,$A39,RawData!K:K)</f>
        <v>0</v>
      </c>
      <c r="H39">
        <f>SUMIF(RawData!$C:$C,$A39,RawData!L:L)</f>
        <v>0</v>
      </c>
      <c r="I39">
        <f>SUMIF(RawData!$C:$C,$A39,RawData!M:M)</f>
        <v>0</v>
      </c>
      <c r="J39">
        <f>SUMIF(RawData!$C:$C,$A39,RawData!N:N)</f>
        <v>1</v>
      </c>
      <c r="K39">
        <f>SUMIF(RawData!$C:$C,$A39,RawData!O:O)</f>
        <v>1</v>
      </c>
      <c r="L39">
        <f>SUMIF(RawData!$C:$C,$A39,RawData!P:P)</f>
        <v>1</v>
      </c>
      <c r="M39">
        <f>SUMIF(RawData!$C:$C,$A39,RawData!Q:Q)</f>
        <v>2</v>
      </c>
      <c r="N39">
        <f>SUMIF(RawData!$C:$C,$A39,RawData!R:R)</f>
        <v>3</v>
      </c>
      <c r="O39">
        <f>SUMIF(RawData!$C:$C,$A39,RawData!S:S)</f>
        <v>3</v>
      </c>
      <c r="P39">
        <f>SUMIF(RawData!$C:$C,$A39,RawData!T:T)</f>
        <v>3</v>
      </c>
      <c r="Q39">
        <f>SUMIF(RawData!$C:$C,$A39,RawData!U:U)</f>
        <v>3</v>
      </c>
      <c r="R39">
        <f>SUMIF(RawData!$C:$C,$A39,RawData!V:V)</f>
        <v>3</v>
      </c>
      <c r="S39">
        <f>SUMIF(RawData!$C:$C,$A39,RawData!W:W)</f>
        <v>3</v>
      </c>
      <c r="T39">
        <f>SUMIF(RawData!$C:$C,$A39,RawData!X:X)</f>
        <v>3</v>
      </c>
      <c r="U39">
        <f>SUMIF(RawData!$C:$C,$A39,RawData!Y:Y)</f>
        <v>3</v>
      </c>
      <c r="V39">
        <f>SUMIF(RawData!$C:$C,$A39,RawData!Z:Z)</f>
        <v>3</v>
      </c>
      <c r="W39">
        <f>SUMIF(RawData!$C:$C,$A39,RawData!AA:AA)</f>
        <v>3</v>
      </c>
      <c r="X39">
        <f>SUMIF(RawData!$C:$C,$A39,RawData!AB:AB)</f>
        <v>3</v>
      </c>
      <c r="Y39">
        <f>SUMIF(RawData!$C:$C,$A39,RawData!AC:AC)</f>
        <v>3</v>
      </c>
      <c r="Z39">
        <f>SUMIF(RawData!$C:$C,$A39,RawData!AD:AD)</f>
        <v>3</v>
      </c>
      <c r="AA39">
        <f>SUMIF(RawData!$C:$C,$A39,RawData!AE:AE)</f>
        <v>3</v>
      </c>
      <c r="AB39">
        <f>SUMIF(RawData!$C:$C,$A39,RawData!AF:AF)</f>
        <v>3</v>
      </c>
      <c r="AC39">
        <f>SUMIF(RawData!$C:$C,$A39,RawData!AG:AG)</f>
        <v>3</v>
      </c>
      <c r="AD39">
        <f>SUMIF(RawData!$C:$C,$A39,RawData!AH:AH)</f>
        <v>3</v>
      </c>
      <c r="AE39">
        <f>SUMIF(RawData!$C:$C,$A39,RawData!AI:AI)</f>
        <v>3</v>
      </c>
      <c r="AF39">
        <f>SUMIF(RawData!$C:$C,$A39,RawData!AJ:AJ)</f>
        <v>3</v>
      </c>
      <c r="AG39">
        <f>SUMIF(RawData!$C:$C,$A39,RawData!AK:AK)</f>
        <v>3</v>
      </c>
      <c r="AH39">
        <f>SUMIF(RawData!$C:$C,$A39,RawData!AL:AL)</f>
        <v>3</v>
      </c>
      <c r="AI39">
        <f>SUMIF(RawData!$C:$C,$A39,RawData!AM:AM)</f>
        <v>3</v>
      </c>
      <c r="AJ39">
        <f>SUMIF(RawData!$C:$C,$A39,RawData!AN:AN)</f>
        <v>3</v>
      </c>
      <c r="AK39">
        <f>SUMIF(RawData!$C:$C,$A39,RawData!AO:AO)</f>
        <v>3</v>
      </c>
      <c r="AL39">
        <f>SUMIF(RawData!$C:$C,$A39,RawData!AP:AP)</f>
        <v>3</v>
      </c>
      <c r="AM39">
        <f>SUMIF(RawData!$C:$C,$A39,RawData!AQ:AQ)</f>
        <v>3</v>
      </c>
      <c r="AN39">
        <f>SUMIF(RawData!$C:$C,$A39,RawData!AR:AR)</f>
        <v>3</v>
      </c>
      <c r="AO39">
        <f>SUMIF(RawData!$C:$C,$A39,RawData!AS:AS)</f>
        <v>3</v>
      </c>
      <c r="AP39">
        <f>SUMIF(RawData!$C:$C,$A39,RawData!AT:AT)</f>
        <v>5</v>
      </c>
      <c r="AQ39">
        <f>SUMIF(RawData!$C:$C,$A39,RawData!AU:AU)</f>
        <v>5</v>
      </c>
      <c r="AR39">
        <f>SUMIF(RawData!$C:$C,$A39,RawData!AV:AV)</f>
        <v>28</v>
      </c>
      <c r="AS39">
        <f>SUMIF(RawData!$C:$C,$A39,RawData!AW:AW)</f>
        <v>30</v>
      </c>
      <c r="AT39">
        <f>SUMIF(RawData!$C:$C,$A39,RawData!AX:AX)</f>
        <v>31</v>
      </c>
      <c r="AU39">
        <f>SUMIF(RawData!$C:$C,$A39,RawData!AY:AY)</f>
        <v>34</v>
      </c>
      <c r="AV39">
        <f>SUMIF(RawData!$C:$C,$A39,RawData!AZ:AZ)</f>
        <v>39</v>
      </c>
      <c r="AW39">
        <f>SUMIF(RawData!$C:$C,$A39,RawData!BA:BA)</f>
        <v>43</v>
      </c>
      <c r="AX39">
        <f>SUMIF(RawData!$C:$C,$A39,RawData!BB:BB)</f>
        <v>56</v>
      </c>
      <c r="AY39">
        <f>SUMIF(RawData!$C:$C,$A39,RawData!BC:BC)</f>
        <v>62</v>
      </c>
      <c r="AZ39">
        <f>SUMIF(RawData!$C:$C,$A39,RawData!BD:BD)</f>
        <v>73</v>
      </c>
      <c r="BA39">
        <f>SUMIF(RawData!$C:$C,$A39,RawData!BE:BE)</f>
        <v>82</v>
      </c>
      <c r="BB39">
        <f>SUMIF(RawData!$C:$C,$A39,RawData!BF:BF)</f>
        <v>102</v>
      </c>
      <c r="BC39">
        <f>SUMIF(RawData!$C:$C,$A39,RawData!BG:BG)</f>
        <v>113</v>
      </c>
      <c r="BD39">
        <f>SUMIF(RawData!$C:$C,$A39,RawData!BH:BH)</f>
        <v>0</v>
      </c>
      <c r="BE39">
        <f>SUMIF(RawData!$C:$C,$A39,RawData!BI:BI)</f>
        <v>0</v>
      </c>
      <c r="BF39">
        <f>SUMIF(RawData!$C:$C,$A39,RawData!BJ:BJ)</f>
        <v>0</v>
      </c>
      <c r="BG39">
        <f>SUMIF(RawData!$C:$C,$A39,RawData!BK:BK)</f>
        <v>0</v>
      </c>
      <c r="BH39">
        <f>SUMIF(RawData!$C:$C,$A39,RawData!BL:BL)</f>
        <v>0</v>
      </c>
      <c r="BI39">
        <f>SUMIF(RawData!$C:$C,$A39,RawData!BM:BM)</f>
        <v>0</v>
      </c>
      <c r="BJ39">
        <f>SUMIF(RawData!$C:$C,$A39,RawData!BN:BN)</f>
        <v>0</v>
      </c>
      <c r="BK39">
        <f>SUMIF(RawData!$C:$C,$A39,RawData!BO:BO)</f>
        <v>0</v>
      </c>
      <c r="BL39">
        <f>SUMIF(RawData!$C:$C,$A39,RawData!BP:BP)</f>
        <v>0</v>
      </c>
      <c r="BM39">
        <f>SUMIF(RawData!$C:$C,$A39,RawData!BQ:BQ)</f>
        <v>0</v>
      </c>
      <c r="BN39">
        <f>SUMIF(RawData!$C:$C,$A39,RawData!BR:BR)</f>
        <v>0</v>
      </c>
      <c r="BO39">
        <f>SUMIF(RawData!$C:$C,$A39,RawData!BS:BS)</f>
        <v>0</v>
      </c>
      <c r="BP39">
        <f>SUMIF(RawData!$C:$C,$A39,RawData!BT:BT)</f>
        <v>0</v>
      </c>
      <c r="BQ39">
        <f>SUMIF(RawData!$C:$C,$A39,RawData!BU:BU)</f>
        <v>0</v>
      </c>
      <c r="BR39">
        <f>SUMIF(RawData!$C:$C,$A39,RawData!BV:BV)</f>
        <v>0</v>
      </c>
      <c r="BS39">
        <f>SUMIF(RawData!$C:$C,$A39,RawData!BW:BW)</f>
        <v>0</v>
      </c>
      <c r="BT39">
        <f>SUMIF(RawData!$C:$C,$A39,RawData!BX:BX)</f>
        <v>0</v>
      </c>
    </row>
    <row r="40" spans="1:72" ht="15" thickBot="1" x14ac:dyDescent="0.35">
      <c r="A40" s="5" t="s">
        <v>92</v>
      </c>
      <c r="B40">
        <f>SUMIF(RawData!$C:$C,$A40,RawData!F:F)</f>
        <v>0</v>
      </c>
      <c r="C40">
        <f>SUMIF(RawData!$C:$C,$A40,RawData!G:G)</f>
        <v>0</v>
      </c>
      <c r="D40">
        <f>SUMIF(RawData!$C:$C,$A40,RawData!H:H)</f>
        <v>0</v>
      </c>
      <c r="E40">
        <f>SUMIF(RawData!$C:$C,$A40,RawData!I:I)</f>
        <v>0</v>
      </c>
      <c r="F40">
        <f>SUMIF(RawData!$C:$C,$A40,RawData!J:J)</f>
        <v>0</v>
      </c>
      <c r="G40">
        <f>SUMIF(RawData!$C:$C,$A40,RawData!K:K)</f>
        <v>0</v>
      </c>
      <c r="H40">
        <f>SUMIF(RawData!$C:$C,$A40,RawData!L:L)</f>
        <v>0</v>
      </c>
      <c r="I40">
        <f>SUMIF(RawData!$C:$C,$A40,RawData!M:M)</f>
        <v>0</v>
      </c>
      <c r="J40">
        <f>SUMIF(RawData!$C:$C,$A40,RawData!N:N)</f>
        <v>0</v>
      </c>
      <c r="K40">
        <f>SUMIF(RawData!$C:$C,$A40,RawData!O:O)</f>
        <v>0</v>
      </c>
      <c r="L40">
        <f>SUMIF(RawData!$C:$C,$A40,RawData!P:P)</f>
        <v>0</v>
      </c>
      <c r="M40">
        <f>SUMIF(RawData!$C:$C,$A40,RawData!Q:Q)</f>
        <v>0</v>
      </c>
      <c r="N40">
        <f>SUMIF(RawData!$C:$C,$A40,RawData!R:R)</f>
        <v>0</v>
      </c>
      <c r="O40">
        <f>SUMIF(RawData!$C:$C,$A40,RawData!S:S)</f>
        <v>0</v>
      </c>
      <c r="P40">
        <f>SUMIF(RawData!$C:$C,$A40,RawData!T:T)</f>
        <v>0</v>
      </c>
      <c r="Q40">
        <f>SUMIF(RawData!$C:$C,$A40,RawData!U:U)</f>
        <v>0</v>
      </c>
      <c r="R40">
        <f>SUMIF(RawData!$C:$C,$A40,RawData!V:V)</f>
        <v>0</v>
      </c>
      <c r="S40">
        <f>SUMIF(RawData!$C:$C,$A40,RawData!W:W)</f>
        <v>0</v>
      </c>
      <c r="T40">
        <f>SUMIF(RawData!$C:$C,$A40,RawData!X:X)</f>
        <v>0</v>
      </c>
      <c r="U40">
        <f>SUMIF(RawData!$C:$C,$A40,RawData!Y:Y)</f>
        <v>0</v>
      </c>
      <c r="V40">
        <f>SUMIF(RawData!$C:$C,$A40,RawData!Z:Z)</f>
        <v>0</v>
      </c>
      <c r="W40">
        <f>SUMIF(RawData!$C:$C,$A40,RawData!AA:AA)</f>
        <v>0</v>
      </c>
      <c r="X40">
        <f>SUMIF(RawData!$C:$C,$A40,RawData!AB:AB)</f>
        <v>0</v>
      </c>
      <c r="Y40">
        <f>SUMIF(RawData!$C:$C,$A40,RawData!AC:AC)</f>
        <v>1</v>
      </c>
      <c r="Z40">
        <f>SUMIF(RawData!$C:$C,$A40,RawData!AD:AD)</f>
        <v>1</v>
      </c>
      <c r="AA40">
        <f>SUMIF(RawData!$C:$C,$A40,RawData!AE:AE)</f>
        <v>1</v>
      </c>
      <c r="AB40">
        <f>SUMIF(RawData!$C:$C,$A40,RawData!AF:AF)</f>
        <v>1</v>
      </c>
      <c r="AC40">
        <f>SUMIF(RawData!$C:$C,$A40,RawData!AG:AG)</f>
        <v>1</v>
      </c>
      <c r="AD40">
        <f>SUMIF(RawData!$C:$C,$A40,RawData!AH:AH)</f>
        <v>1</v>
      </c>
      <c r="AE40">
        <f>SUMIF(RawData!$C:$C,$A40,RawData!AI:AI)</f>
        <v>1</v>
      </c>
      <c r="AF40">
        <f>SUMIF(RawData!$C:$C,$A40,RawData!AJ:AJ)</f>
        <v>1</v>
      </c>
      <c r="AG40">
        <f>SUMIF(RawData!$C:$C,$A40,RawData!AK:AK)</f>
        <v>1</v>
      </c>
      <c r="AH40">
        <f>SUMIF(RawData!$C:$C,$A40,RawData!AL:AL)</f>
        <v>1</v>
      </c>
      <c r="AI40">
        <f>SUMIF(RawData!$C:$C,$A40,RawData!AM:AM)</f>
        <v>1</v>
      </c>
      <c r="AJ40">
        <f>SUMIF(RawData!$C:$C,$A40,RawData!AN:AN)</f>
        <v>1</v>
      </c>
      <c r="AK40">
        <f>SUMIF(RawData!$C:$C,$A40,RawData!AO:AO)</f>
        <v>1</v>
      </c>
      <c r="AL40">
        <f>SUMIF(RawData!$C:$C,$A40,RawData!AP:AP)</f>
        <v>1</v>
      </c>
      <c r="AM40">
        <f>SUMIF(RawData!$C:$C,$A40,RawData!AQ:AQ)</f>
        <v>1</v>
      </c>
      <c r="AN40">
        <f>SUMIF(RawData!$C:$C,$A40,RawData!AR:AR)</f>
        <v>1</v>
      </c>
      <c r="AO40">
        <f>SUMIF(RawData!$C:$C,$A40,RawData!AS:AS)</f>
        <v>2</v>
      </c>
      <c r="AP40">
        <f>SUMIF(RawData!$C:$C,$A40,RawData!AT:AT)</f>
        <v>2</v>
      </c>
      <c r="AQ40">
        <f>SUMIF(RawData!$C:$C,$A40,RawData!AU:AU)</f>
        <v>2</v>
      </c>
      <c r="AR40">
        <f>SUMIF(RawData!$C:$C,$A40,RawData!AV:AV)</f>
        <v>2</v>
      </c>
      <c r="AS40">
        <f>SUMIF(RawData!$C:$C,$A40,RawData!AW:AW)</f>
        <v>3</v>
      </c>
      <c r="AT40">
        <f>SUMIF(RawData!$C:$C,$A40,RawData!AX:AX)</f>
        <v>15</v>
      </c>
      <c r="AU40">
        <f>SUMIF(RawData!$C:$C,$A40,RawData!AY:AY)</f>
        <v>15</v>
      </c>
      <c r="AV40">
        <f>SUMIF(RawData!$C:$C,$A40,RawData!AZ:AZ)</f>
        <v>49</v>
      </c>
      <c r="AW40">
        <f>SUMIF(RawData!$C:$C,$A40,RawData!BA:BA)</f>
        <v>55</v>
      </c>
      <c r="AX40">
        <f>SUMIF(RawData!$C:$C,$A40,RawData!BB:BB)</f>
        <v>59</v>
      </c>
      <c r="AY40">
        <f>SUMIF(RawData!$C:$C,$A40,RawData!BC:BC)</f>
        <v>60</v>
      </c>
      <c r="AZ40">
        <f>SUMIF(RawData!$C:$C,$A40,RawData!BD:BD)</f>
        <v>67</v>
      </c>
      <c r="BA40">
        <f>SUMIF(RawData!$C:$C,$A40,RawData!BE:BE)</f>
        <v>80</v>
      </c>
      <c r="BB40">
        <f>SUMIF(RawData!$C:$C,$A40,RawData!BF:BF)</f>
        <v>109</v>
      </c>
      <c r="BC40">
        <f>SUMIF(RawData!$C:$C,$A40,RawData!BG:BG)</f>
        <v>110</v>
      </c>
      <c r="BD40">
        <f>SUMIF(RawData!$C:$C,$A40,RawData!BH:BH)</f>
        <v>0</v>
      </c>
      <c r="BE40">
        <f>SUMIF(RawData!$C:$C,$A40,RawData!BI:BI)</f>
        <v>0</v>
      </c>
      <c r="BF40">
        <f>SUMIF(RawData!$C:$C,$A40,RawData!BJ:BJ)</f>
        <v>0</v>
      </c>
      <c r="BG40">
        <f>SUMIF(RawData!$C:$C,$A40,RawData!BK:BK)</f>
        <v>0</v>
      </c>
      <c r="BH40">
        <f>SUMIF(RawData!$C:$C,$A40,RawData!BL:BL)</f>
        <v>0</v>
      </c>
      <c r="BI40">
        <f>SUMIF(RawData!$C:$C,$A40,RawData!BM:BM)</f>
        <v>0</v>
      </c>
      <c r="BJ40">
        <f>SUMIF(RawData!$C:$C,$A40,RawData!BN:BN)</f>
        <v>0</v>
      </c>
      <c r="BK40">
        <f>SUMIF(RawData!$C:$C,$A40,RawData!BO:BO)</f>
        <v>0</v>
      </c>
      <c r="BL40">
        <f>SUMIF(RawData!$C:$C,$A40,RawData!BP:BP)</f>
        <v>0</v>
      </c>
      <c r="BM40">
        <f>SUMIF(RawData!$C:$C,$A40,RawData!BQ:BQ)</f>
        <v>0</v>
      </c>
      <c r="BN40">
        <f>SUMIF(RawData!$C:$C,$A40,RawData!BR:BR)</f>
        <v>0</v>
      </c>
      <c r="BO40">
        <f>SUMIF(RawData!$C:$C,$A40,RawData!BS:BS)</f>
        <v>0</v>
      </c>
      <c r="BP40">
        <f>SUMIF(RawData!$C:$C,$A40,RawData!BT:BT)</f>
        <v>0</v>
      </c>
      <c r="BQ40">
        <f>SUMIF(RawData!$C:$C,$A40,RawData!BU:BU)</f>
        <v>0</v>
      </c>
      <c r="BR40">
        <f>SUMIF(RawData!$C:$C,$A40,RawData!BV:BV)</f>
        <v>0</v>
      </c>
      <c r="BS40">
        <f>SUMIF(RawData!$C:$C,$A40,RawData!BW:BW)</f>
        <v>0</v>
      </c>
      <c r="BT40">
        <f>SUMIF(RawData!$C:$C,$A40,RawData!BX:BX)</f>
        <v>0</v>
      </c>
    </row>
    <row r="41" spans="1:72" ht="15" thickBot="1" x14ac:dyDescent="0.35">
      <c r="A41" s="4" t="s">
        <v>101</v>
      </c>
      <c r="B41">
        <f>SUMIF(RawData!$C:$C,$A41,RawData!F:F)</f>
        <v>0</v>
      </c>
      <c r="C41">
        <f>SUMIF(RawData!$C:$C,$A41,RawData!G:G)</f>
        <v>0</v>
      </c>
      <c r="D41">
        <f>SUMIF(RawData!$C:$C,$A41,RawData!H:H)</f>
        <v>0</v>
      </c>
      <c r="E41">
        <f>SUMIF(RawData!$C:$C,$A41,RawData!I:I)</f>
        <v>0</v>
      </c>
      <c r="F41">
        <f>SUMIF(RawData!$C:$C,$A41,RawData!J:J)</f>
        <v>0</v>
      </c>
      <c r="G41">
        <f>SUMIF(RawData!$C:$C,$A41,RawData!K:K)</f>
        <v>0</v>
      </c>
      <c r="H41">
        <f>SUMIF(RawData!$C:$C,$A41,RawData!L:L)</f>
        <v>0</v>
      </c>
      <c r="I41">
        <f>SUMIF(RawData!$C:$C,$A41,RawData!M:M)</f>
        <v>0</v>
      </c>
      <c r="J41">
        <f>SUMIF(RawData!$C:$C,$A41,RawData!N:N)</f>
        <v>0</v>
      </c>
      <c r="K41">
        <f>SUMIF(RawData!$C:$C,$A41,RawData!O:O)</f>
        <v>0</v>
      </c>
      <c r="L41">
        <f>SUMIF(RawData!$C:$C,$A41,RawData!P:P)</f>
        <v>0</v>
      </c>
      <c r="M41">
        <f>SUMIF(RawData!$C:$C,$A41,RawData!Q:Q)</f>
        <v>0</v>
      </c>
      <c r="N41">
        <f>SUMIF(RawData!$C:$C,$A41,RawData!R:R)</f>
        <v>0</v>
      </c>
      <c r="O41">
        <f>SUMIF(RawData!$C:$C,$A41,RawData!S:S)</f>
        <v>0</v>
      </c>
      <c r="P41">
        <f>SUMIF(RawData!$C:$C,$A41,RawData!T:T)</f>
        <v>0</v>
      </c>
      <c r="Q41">
        <f>SUMIF(RawData!$C:$C,$A41,RawData!U:U)</f>
        <v>0</v>
      </c>
      <c r="R41">
        <f>SUMIF(RawData!$C:$C,$A41,RawData!V:V)</f>
        <v>0</v>
      </c>
      <c r="S41">
        <f>SUMIF(RawData!$C:$C,$A41,RawData!W:W)</f>
        <v>0</v>
      </c>
      <c r="T41">
        <f>SUMIF(RawData!$C:$C,$A41,RawData!X:X)</f>
        <v>0</v>
      </c>
      <c r="U41">
        <f>SUMIF(RawData!$C:$C,$A41,RawData!Y:Y)</f>
        <v>0</v>
      </c>
      <c r="V41">
        <f>SUMIF(RawData!$C:$C,$A41,RawData!Z:Z)</f>
        <v>0</v>
      </c>
      <c r="W41">
        <f>SUMIF(RawData!$C:$C,$A41,RawData!AA:AA)</f>
        <v>0</v>
      </c>
      <c r="X41">
        <f>SUMIF(RawData!$C:$C,$A41,RawData!AB:AB)</f>
        <v>0</v>
      </c>
      <c r="Y41">
        <f>SUMIF(RawData!$C:$C,$A41,RawData!AC:AC)</f>
        <v>0</v>
      </c>
      <c r="Z41">
        <f>SUMIF(RawData!$C:$C,$A41,RawData!AD:AD)</f>
        <v>0</v>
      </c>
      <c r="AA41">
        <f>SUMIF(RawData!$C:$C,$A41,RawData!AE:AE)</f>
        <v>0</v>
      </c>
      <c r="AB41">
        <f>SUMIF(RawData!$C:$C,$A41,RawData!AF:AF)</f>
        <v>0</v>
      </c>
      <c r="AC41">
        <f>SUMIF(RawData!$C:$C,$A41,RawData!AG:AG)</f>
        <v>0</v>
      </c>
      <c r="AD41">
        <f>SUMIF(RawData!$C:$C,$A41,RawData!AH:AH)</f>
        <v>0</v>
      </c>
      <c r="AE41">
        <f>SUMIF(RawData!$C:$C,$A41,RawData!AI:AI)</f>
        <v>0</v>
      </c>
      <c r="AF41">
        <f>SUMIF(RawData!$C:$C,$A41,RawData!AJ:AJ)</f>
        <v>0</v>
      </c>
      <c r="AG41">
        <f>SUMIF(RawData!$C:$C,$A41,RawData!AK:AK)</f>
        <v>0</v>
      </c>
      <c r="AH41">
        <f>SUMIF(RawData!$C:$C,$A41,RawData!AL:AL)</f>
        <v>0</v>
      </c>
      <c r="AI41">
        <f>SUMIF(RawData!$C:$C,$A41,RawData!AM:AM)</f>
        <v>1</v>
      </c>
      <c r="AJ41">
        <f>SUMIF(RawData!$C:$C,$A41,RawData!AN:AN)</f>
        <v>11</v>
      </c>
      <c r="AK41">
        <f>SUMIF(RawData!$C:$C,$A41,RawData!AO:AO)</f>
        <v>26</v>
      </c>
      <c r="AL41">
        <f>SUMIF(RawData!$C:$C,$A41,RawData!AP:AP)</f>
        <v>43</v>
      </c>
      <c r="AM41">
        <f>SUMIF(RawData!$C:$C,$A41,RawData!AQ:AQ)</f>
        <v>45</v>
      </c>
      <c r="AN41">
        <f>SUMIF(RawData!$C:$C,$A41,RawData!AR:AR)</f>
        <v>45</v>
      </c>
      <c r="AO41">
        <f>SUMIF(RawData!$C:$C,$A41,RawData!AS:AS)</f>
        <v>45</v>
      </c>
      <c r="AP41">
        <f>SUMIF(RawData!$C:$C,$A41,RawData!AT:AT)</f>
        <v>56</v>
      </c>
      <c r="AQ41">
        <f>SUMIF(RawData!$C:$C,$A41,RawData!AU:AU)</f>
        <v>56</v>
      </c>
      <c r="AR41">
        <f>SUMIF(RawData!$C:$C,$A41,RawData!AV:AV)</f>
        <v>56</v>
      </c>
      <c r="AS41">
        <f>SUMIF(RawData!$C:$C,$A41,RawData!AW:AW)</f>
        <v>58</v>
      </c>
      <c r="AT41">
        <f>SUMIF(RawData!$C:$C,$A41,RawData!AX:AX)</f>
        <v>58</v>
      </c>
      <c r="AU41">
        <f>SUMIF(RawData!$C:$C,$A41,RawData!AY:AY)</f>
        <v>61</v>
      </c>
      <c r="AV41">
        <f>SUMIF(RawData!$C:$C,$A41,RawData!AZ:AZ)</f>
        <v>64</v>
      </c>
      <c r="AW41">
        <f>SUMIF(RawData!$C:$C,$A41,RawData!BA:BA)</f>
        <v>64</v>
      </c>
      <c r="AX41">
        <f>SUMIF(RawData!$C:$C,$A41,RawData!BB:BB)</f>
        <v>69</v>
      </c>
      <c r="AY41">
        <f>SUMIF(RawData!$C:$C,$A41,RawData!BC:BC)</f>
        <v>72</v>
      </c>
      <c r="AZ41">
        <f>SUMIF(RawData!$C:$C,$A41,RawData!BD:BD)</f>
        <v>80</v>
      </c>
      <c r="BA41">
        <f>SUMIF(RawData!$C:$C,$A41,RawData!BE:BE)</f>
        <v>80</v>
      </c>
      <c r="BB41">
        <f>SUMIF(RawData!$C:$C,$A41,RawData!BF:BF)</f>
        <v>104</v>
      </c>
      <c r="BC41">
        <f>SUMIF(RawData!$C:$C,$A41,RawData!BG:BG)</f>
        <v>112</v>
      </c>
      <c r="BD41">
        <f>SUMIF(RawData!$C:$C,$A41,RawData!BH:BH)</f>
        <v>0</v>
      </c>
      <c r="BE41">
        <f>SUMIF(RawData!$C:$C,$A41,RawData!BI:BI)</f>
        <v>0</v>
      </c>
      <c r="BF41">
        <f>SUMIF(RawData!$C:$C,$A41,RawData!BJ:BJ)</f>
        <v>0</v>
      </c>
      <c r="BG41">
        <f>SUMIF(RawData!$C:$C,$A41,RawData!BK:BK)</f>
        <v>0</v>
      </c>
      <c r="BH41">
        <f>SUMIF(RawData!$C:$C,$A41,RawData!BL:BL)</f>
        <v>0</v>
      </c>
      <c r="BI41">
        <f>SUMIF(RawData!$C:$C,$A41,RawData!BM:BM)</f>
        <v>0</v>
      </c>
      <c r="BJ41">
        <f>SUMIF(RawData!$C:$C,$A41,RawData!BN:BN)</f>
        <v>0</v>
      </c>
      <c r="BK41">
        <f>SUMIF(RawData!$C:$C,$A41,RawData!BO:BO)</f>
        <v>0</v>
      </c>
      <c r="BL41">
        <f>SUMIF(RawData!$C:$C,$A41,RawData!BP:BP)</f>
        <v>0</v>
      </c>
      <c r="BM41">
        <f>SUMIF(RawData!$C:$C,$A41,RawData!BQ:BQ)</f>
        <v>0</v>
      </c>
      <c r="BN41">
        <f>SUMIF(RawData!$C:$C,$A41,RawData!BR:BR)</f>
        <v>0</v>
      </c>
      <c r="BO41">
        <f>SUMIF(RawData!$C:$C,$A41,RawData!BS:BS)</f>
        <v>0</v>
      </c>
      <c r="BP41">
        <f>SUMIF(RawData!$C:$C,$A41,RawData!BT:BT)</f>
        <v>0</v>
      </c>
      <c r="BQ41">
        <f>SUMIF(RawData!$C:$C,$A41,RawData!BU:BU)</f>
        <v>0</v>
      </c>
      <c r="BR41">
        <f>SUMIF(RawData!$C:$C,$A41,RawData!BV:BV)</f>
        <v>0</v>
      </c>
      <c r="BS41">
        <f>SUMIF(RawData!$C:$C,$A41,RawData!BW:BW)</f>
        <v>0</v>
      </c>
      <c r="BT41">
        <f>SUMIF(RawData!$C:$C,$A41,RawData!BX:BX)</f>
        <v>0</v>
      </c>
    </row>
    <row r="42" spans="1:72" ht="15" thickBot="1" x14ac:dyDescent="0.35">
      <c r="A42" s="5" t="s">
        <v>117</v>
      </c>
      <c r="B42">
        <f>SUMIF(RawData!$C:$C,$A42,RawData!F:F)</f>
        <v>0</v>
      </c>
      <c r="C42">
        <f>SUMIF(RawData!$C:$C,$A42,RawData!G:G)</f>
        <v>0</v>
      </c>
      <c r="D42">
        <f>SUMIF(RawData!$C:$C,$A42,RawData!H:H)</f>
        <v>0</v>
      </c>
      <c r="E42">
        <f>SUMIF(RawData!$C:$C,$A42,RawData!I:I)</f>
        <v>0</v>
      </c>
      <c r="F42">
        <f>SUMIF(RawData!$C:$C,$A42,RawData!J:J)</f>
        <v>0</v>
      </c>
      <c r="G42">
        <f>SUMIF(RawData!$C:$C,$A42,RawData!K:K)</f>
        <v>0</v>
      </c>
      <c r="H42">
        <f>SUMIF(RawData!$C:$C,$A42,RawData!L:L)</f>
        <v>0</v>
      </c>
      <c r="I42">
        <f>SUMIF(RawData!$C:$C,$A42,RawData!M:M)</f>
        <v>0</v>
      </c>
      <c r="J42">
        <f>SUMIF(RawData!$C:$C,$A42,RawData!N:N)</f>
        <v>0</v>
      </c>
      <c r="K42">
        <f>SUMIF(RawData!$C:$C,$A42,RawData!O:O)</f>
        <v>0</v>
      </c>
      <c r="L42">
        <f>SUMIF(RawData!$C:$C,$A42,RawData!P:P)</f>
        <v>0</v>
      </c>
      <c r="M42">
        <f>SUMIF(RawData!$C:$C,$A42,RawData!Q:Q)</f>
        <v>0</v>
      </c>
      <c r="N42">
        <f>SUMIF(RawData!$C:$C,$A42,RawData!R:R)</f>
        <v>0</v>
      </c>
      <c r="O42">
        <f>SUMIF(RawData!$C:$C,$A42,RawData!S:S)</f>
        <v>0</v>
      </c>
      <c r="P42">
        <f>SUMIF(RawData!$C:$C,$A42,RawData!T:T)</f>
        <v>0</v>
      </c>
      <c r="Q42">
        <f>SUMIF(RawData!$C:$C,$A42,RawData!U:U)</f>
        <v>0</v>
      </c>
      <c r="R42">
        <f>SUMIF(RawData!$C:$C,$A42,RawData!V:V)</f>
        <v>0</v>
      </c>
      <c r="S42">
        <f>SUMIF(RawData!$C:$C,$A42,RawData!W:W)</f>
        <v>0</v>
      </c>
      <c r="T42">
        <f>SUMIF(RawData!$C:$C,$A42,RawData!X:X)</f>
        <v>0</v>
      </c>
      <c r="U42">
        <f>SUMIF(RawData!$C:$C,$A42,RawData!Y:Y)</f>
        <v>0</v>
      </c>
      <c r="V42">
        <f>SUMIF(RawData!$C:$C,$A42,RawData!Z:Z)</f>
        <v>0</v>
      </c>
      <c r="W42">
        <f>SUMIF(RawData!$C:$C,$A42,RawData!AA:AA)</f>
        <v>0</v>
      </c>
      <c r="X42">
        <f>SUMIF(RawData!$C:$C,$A42,RawData!AB:AB)</f>
        <v>0</v>
      </c>
      <c r="Y42">
        <f>SUMIF(RawData!$C:$C,$A42,RawData!AC:AC)</f>
        <v>0</v>
      </c>
      <c r="Z42">
        <f>SUMIF(RawData!$C:$C,$A42,RawData!AD:AD)</f>
        <v>0</v>
      </c>
      <c r="AA42">
        <f>SUMIF(RawData!$C:$C,$A42,RawData!AE:AE)</f>
        <v>0</v>
      </c>
      <c r="AB42">
        <f>SUMIF(RawData!$C:$C,$A42,RawData!AF:AF)</f>
        <v>0</v>
      </c>
      <c r="AC42">
        <f>SUMIF(RawData!$C:$C,$A42,RawData!AG:AG)</f>
        <v>0</v>
      </c>
      <c r="AD42">
        <f>SUMIF(RawData!$C:$C,$A42,RawData!AH:AH)</f>
        <v>0</v>
      </c>
      <c r="AE42">
        <f>SUMIF(RawData!$C:$C,$A42,RawData!AI:AI)</f>
        <v>0</v>
      </c>
      <c r="AF42">
        <f>SUMIF(RawData!$C:$C,$A42,RawData!AJ:AJ)</f>
        <v>0</v>
      </c>
      <c r="AG42">
        <f>SUMIF(RawData!$C:$C,$A42,RawData!AK:AK)</f>
        <v>0</v>
      </c>
      <c r="AH42">
        <f>SUMIF(RawData!$C:$C,$A42,RawData!AL:AL)</f>
        <v>0</v>
      </c>
      <c r="AI42">
        <f>SUMIF(RawData!$C:$C,$A42,RawData!AM:AM)</f>
        <v>0</v>
      </c>
      <c r="AJ42">
        <f>SUMIF(RawData!$C:$C,$A42,RawData!AN:AN)</f>
        <v>0</v>
      </c>
      <c r="AK42">
        <f>SUMIF(RawData!$C:$C,$A42,RawData!AO:AO)</f>
        <v>0</v>
      </c>
      <c r="AL42">
        <f>SUMIF(RawData!$C:$C,$A42,RawData!AP:AP)</f>
        <v>1</v>
      </c>
      <c r="AM42">
        <f>SUMIF(RawData!$C:$C,$A42,RawData!AQ:AQ)</f>
        <v>1</v>
      </c>
      <c r="AN42">
        <f>SUMIF(RawData!$C:$C,$A42,RawData!AR:AR)</f>
        <v>1</v>
      </c>
      <c r="AO42">
        <f>SUMIF(RawData!$C:$C,$A42,RawData!AS:AS)</f>
        <v>1</v>
      </c>
      <c r="AP42">
        <f>SUMIF(RawData!$C:$C,$A42,RawData!AT:AT)</f>
        <v>8</v>
      </c>
      <c r="AQ42">
        <f>SUMIF(RawData!$C:$C,$A42,RawData!AU:AU)</f>
        <v>10</v>
      </c>
      <c r="AR42">
        <f>SUMIF(RawData!$C:$C,$A42,RawData!AV:AV)</f>
        <v>16</v>
      </c>
      <c r="AS42">
        <f>SUMIF(RawData!$C:$C,$A42,RawData!AW:AW)</f>
        <v>21</v>
      </c>
      <c r="AT42">
        <f>SUMIF(RawData!$C:$C,$A42,RawData!AX:AX)</f>
        <v>21</v>
      </c>
      <c r="AU42">
        <f>SUMIF(RawData!$C:$C,$A42,RawData!AY:AY)</f>
        <v>23</v>
      </c>
      <c r="AV42">
        <f>SUMIF(RawData!$C:$C,$A42,RawData!AZ:AZ)</f>
        <v>36</v>
      </c>
      <c r="AW42">
        <f>SUMIF(RawData!$C:$C,$A42,RawData!BA:BA)</f>
        <v>36</v>
      </c>
      <c r="AX42">
        <f>SUMIF(RawData!$C:$C,$A42,RawData!BB:BB)</f>
        <v>51</v>
      </c>
      <c r="AY42">
        <f>SUMIF(RawData!$C:$C,$A42,RawData!BC:BC)</f>
        <v>62</v>
      </c>
      <c r="AZ42">
        <f>SUMIF(RawData!$C:$C,$A42,RawData!BD:BD)</f>
        <v>69</v>
      </c>
      <c r="BA42">
        <f>SUMIF(RawData!$C:$C,$A42,RawData!BE:BE)</f>
        <v>80</v>
      </c>
      <c r="BB42">
        <f>SUMIF(RawData!$C:$C,$A42,RawData!BF:BF)</f>
        <v>80</v>
      </c>
      <c r="BC42">
        <f>SUMIF(RawData!$C:$C,$A42,RawData!BG:BG)</f>
        <v>101</v>
      </c>
      <c r="BD42">
        <f>SUMIF(RawData!$C:$C,$A42,RawData!BH:BH)</f>
        <v>0</v>
      </c>
      <c r="BE42">
        <f>SUMIF(RawData!$C:$C,$A42,RawData!BI:BI)</f>
        <v>0</v>
      </c>
      <c r="BF42">
        <f>SUMIF(RawData!$C:$C,$A42,RawData!BJ:BJ)</f>
        <v>0</v>
      </c>
      <c r="BG42">
        <f>SUMIF(RawData!$C:$C,$A42,RawData!BK:BK)</f>
        <v>0</v>
      </c>
      <c r="BH42">
        <f>SUMIF(RawData!$C:$C,$A42,RawData!BL:BL)</f>
        <v>0</v>
      </c>
      <c r="BI42">
        <f>SUMIF(RawData!$C:$C,$A42,RawData!BM:BM)</f>
        <v>0</v>
      </c>
      <c r="BJ42">
        <f>SUMIF(RawData!$C:$C,$A42,RawData!BN:BN)</f>
        <v>0</v>
      </c>
      <c r="BK42">
        <f>SUMIF(RawData!$C:$C,$A42,RawData!BO:BO)</f>
        <v>0</v>
      </c>
      <c r="BL42">
        <f>SUMIF(RawData!$C:$C,$A42,RawData!BP:BP)</f>
        <v>0</v>
      </c>
      <c r="BM42">
        <f>SUMIF(RawData!$C:$C,$A42,RawData!BQ:BQ)</f>
        <v>0</v>
      </c>
      <c r="BN42">
        <f>SUMIF(RawData!$C:$C,$A42,RawData!BR:BR)</f>
        <v>0</v>
      </c>
      <c r="BO42">
        <f>SUMIF(RawData!$C:$C,$A42,RawData!BS:BS)</f>
        <v>0</v>
      </c>
      <c r="BP42">
        <f>SUMIF(RawData!$C:$C,$A42,RawData!BT:BT)</f>
        <v>0</v>
      </c>
      <c r="BQ42">
        <f>SUMIF(RawData!$C:$C,$A42,RawData!BU:BU)</f>
        <v>0</v>
      </c>
      <c r="BR42">
        <f>SUMIF(RawData!$C:$C,$A42,RawData!BV:BV)</f>
        <v>0</v>
      </c>
      <c r="BS42">
        <f>SUMIF(RawData!$C:$C,$A42,RawData!BW:BW)</f>
        <v>0</v>
      </c>
      <c r="BT42">
        <f>SUMIF(RawData!$C:$C,$A42,RawData!BX:BX)</f>
        <v>0</v>
      </c>
    </row>
    <row r="43" spans="1:72" ht="15" thickBot="1" x14ac:dyDescent="0.35">
      <c r="A43" s="5" t="s">
        <v>115</v>
      </c>
      <c r="B43">
        <f>SUMIF(RawData!$C:$C,$A43,RawData!F:F)</f>
        <v>0</v>
      </c>
      <c r="C43">
        <f>SUMIF(RawData!$C:$C,$A43,RawData!G:G)</f>
        <v>0</v>
      </c>
      <c r="D43">
        <f>SUMIF(RawData!$C:$C,$A43,RawData!H:H)</f>
        <v>0</v>
      </c>
      <c r="E43">
        <f>SUMIF(RawData!$C:$C,$A43,RawData!I:I)</f>
        <v>0</v>
      </c>
      <c r="F43">
        <f>SUMIF(RawData!$C:$C,$A43,RawData!J:J)</f>
        <v>0</v>
      </c>
      <c r="G43">
        <f>SUMIF(RawData!$C:$C,$A43,RawData!K:K)</f>
        <v>0</v>
      </c>
      <c r="H43">
        <f>SUMIF(RawData!$C:$C,$A43,RawData!L:L)</f>
        <v>0</v>
      </c>
      <c r="I43">
        <f>SUMIF(RawData!$C:$C,$A43,RawData!M:M)</f>
        <v>0</v>
      </c>
      <c r="J43">
        <f>SUMIF(RawData!$C:$C,$A43,RawData!N:N)</f>
        <v>0</v>
      </c>
      <c r="K43">
        <f>SUMIF(RawData!$C:$C,$A43,RawData!O:O)</f>
        <v>0</v>
      </c>
      <c r="L43">
        <f>SUMIF(RawData!$C:$C,$A43,RawData!P:P)</f>
        <v>0</v>
      </c>
      <c r="M43">
        <f>SUMIF(RawData!$C:$C,$A43,RawData!Q:Q)</f>
        <v>0</v>
      </c>
      <c r="N43">
        <f>SUMIF(RawData!$C:$C,$A43,RawData!R:R)</f>
        <v>0</v>
      </c>
      <c r="O43">
        <f>SUMIF(RawData!$C:$C,$A43,RawData!S:S)</f>
        <v>0</v>
      </c>
      <c r="P43">
        <f>SUMIF(RawData!$C:$C,$A43,RawData!T:T)</f>
        <v>0</v>
      </c>
      <c r="Q43">
        <f>SUMIF(RawData!$C:$C,$A43,RawData!U:U)</f>
        <v>0</v>
      </c>
      <c r="R43">
        <f>SUMIF(RawData!$C:$C,$A43,RawData!V:V)</f>
        <v>0</v>
      </c>
      <c r="S43">
        <f>SUMIF(RawData!$C:$C,$A43,RawData!W:W)</f>
        <v>0</v>
      </c>
      <c r="T43">
        <f>SUMIF(RawData!$C:$C,$A43,RawData!X:X)</f>
        <v>0</v>
      </c>
      <c r="U43">
        <f>SUMIF(RawData!$C:$C,$A43,RawData!Y:Y)</f>
        <v>0</v>
      </c>
      <c r="V43">
        <f>SUMIF(RawData!$C:$C,$A43,RawData!Z:Z)</f>
        <v>0</v>
      </c>
      <c r="W43">
        <f>SUMIF(RawData!$C:$C,$A43,RawData!AA:AA)</f>
        <v>0</v>
      </c>
      <c r="X43">
        <f>SUMIF(RawData!$C:$C,$A43,RawData!AB:AB)</f>
        <v>0</v>
      </c>
      <c r="Y43">
        <f>SUMIF(RawData!$C:$C,$A43,RawData!AC:AC)</f>
        <v>0</v>
      </c>
      <c r="Z43">
        <f>SUMIF(RawData!$C:$C,$A43,RawData!AD:AD)</f>
        <v>0</v>
      </c>
      <c r="AA43">
        <f>SUMIF(RawData!$C:$C,$A43,RawData!AE:AE)</f>
        <v>0</v>
      </c>
      <c r="AB43">
        <f>SUMIF(RawData!$C:$C,$A43,RawData!AF:AF)</f>
        <v>0</v>
      </c>
      <c r="AC43">
        <f>SUMIF(RawData!$C:$C,$A43,RawData!AG:AG)</f>
        <v>0</v>
      </c>
      <c r="AD43">
        <f>SUMIF(RawData!$C:$C,$A43,RawData!AH:AH)</f>
        <v>0</v>
      </c>
      <c r="AE43">
        <f>SUMIF(RawData!$C:$C,$A43,RawData!AI:AI)</f>
        <v>0</v>
      </c>
      <c r="AF43">
        <f>SUMIF(RawData!$C:$C,$A43,RawData!AJ:AJ)</f>
        <v>0</v>
      </c>
      <c r="AG43">
        <f>SUMIF(RawData!$C:$C,$A43,RawData!AK:AK)</f>
        <v>0</v>
      </c>
      <c r="AH43">
        <f>SUMIF(RawData!$C:$C,$A43,RawData!AL:AL)</f>
        <v>0</v>
      </c>
      <c r="AI43">
        <f>SUMIF(RawData!$C:$C,$A43,RawData!AM:AM)</f>
        <v>0</v>
      </c>
      <c r="AJ43">
        <f>SUMIF(RawData!$C:$C,$A43,RawData!AN:AN)</f>
        <v>0</v>
      </c>
      <c r="AK43">
        <f>SUMIF(RawData!$C:$C,$A43,RawData!AO:AO)</f>
        <v>0</v>
      </c>
      <c r="AL43">
        <f>SUMIF(RawData!$C:$C,$A43,RawData!AP:AP)</f>
        <v>1</v>
      </c>
      <c r="AM43">
        <f>SUMIF(RawData!$C:$C,$A43,RawData!AQ:AQ)</f>
        <v>1</v>
      </c>
      <c r="AN43">
        <f>SUMIF(RawData!$C:$C,$A43,RawData!AR:AR)</f>
        <v>1</v>
      </c>
      <c r="AO43">
        <f>SUMIF(RawData!$C:$C,$A43,RawData!AS:AS)</f>
        <v>1</v>
      </c>
      <c r="AP43">
        <f>SUMIF(RawData!$C:$C,$A43,RawData!AT:AT)</f>
        <v>1</v>
      </c>
      <c r="AQ43">
        <f>SUMIF(RawData!$C:$C,$A43,RawData!AU:AU)</f>
        <v>2</v>
      </c>
      <c r="AR43">
        <f>SUMIF(RawData!$C:$C,$A43,RawData!AV:AV)</f>
        <v>2</v>
      </c>
      <c r="AS43">
        <f>SUMIF(RawData!$C:$C,$A43,RawData!AW:AW)</f>
        <v>3</v>
      </c>
      <c r="AT43">
        <f>SUMIF(RawData!$C:$C,$A43,RawData!AX:AX)</f>
        <v>10</v>
      </c>
      <c r="AU43">
        <f>SUMIF(RawData!$C:$C,$A43,RawData!AY:AY)</f>
        <v>10</v>
      </c>
      <c r="AV43">
        <f>SUMIF(RawData!$C:$C,$A43,RawData!AZ:AZ)</f>
        <v>10</v>
      </c>
      <c r="AW43">
        <f>SUMIF(RawData!$C:$C,$A43,RawData!BA:BA)</f>
        <v>10</v>
      </c>
      <c r="AX43">
        <f>SUMIF(RawData!$C:$C,$A43,RawData!BB:BB)</f>
        <v>12</v>
      </c>
      <c r="AY43">
        <f>SUMIF(RawData!$C:$C,$A43,RawData!BC:BC)</f>
        <v>16</v>
      </c>
      <c r="AZ43">
        <f>SUMIF(RawData!$C:$C,$A43,RawData!BD:BD)</f>
        <v>16</v>
      </c>
      <c r="BA43">
        <f>SUMIF(RawData!$C:$C,$A43,RawData!BE:BE)</f>
        <v>79</v>
      </c>
      <c r="BB43">
        <f>SUMIF(RawData!$C:$C,$A43,RawData!BF:BF)</f>
        <v>115</v>
      </c>
      <c r="BC43">
        <f>SUMIF(RawData!$C:$C,$A43,RawData!BG:BG)</f>
        <v>171</v>
      </c>
      <c r="BD43">
        <f>SUMIF(RawData!$C:$C,$A43,RawData!BH:BH)</f>
        <v>0</v>
      </c>
      <c r="BE43">
        <f>SUMIF(RawData!$C:$C,$A43,RawData!BI:BI)</f>
        <v>0</v>
      </c>
      <c r="BF43">
        <f>SUMIF(RawData!$C:$C,$A43,RawData!BJ:BJ)</f>
        <v>0</v>
      </c>
      <c r="BG43">
        <f>SUMIF(RawData!$C:$C,$A43,RawData!BK:BK)</f>
        <v>0</v>
      </c>
      <c r="BH43">
        <f>SUMIF(RawData!$C:$C,$A43,RawData!BL:BL)</f>
        <v>0</v>
      </c>
      <c r="BI43">
        <f>SUMIF(RawData!$C:$C,$A43,RawData!BM:BM)</f>
        <v>0</v>
      </c>
      <c r="BJ43">
        <f>SUMIF(RawData!$C:$C,$A43,RawData!BN:BN)</f>
        <v>0</v>
      </c>
      <c r="BK43">
        <f>SUMIF(RawData!$C:$C,$A43,RawData!BO:BO)</f>
        <v>0</v>
      </c>
      <c r="BL43">
        <f>SUMIF(RawData!$C:$C,$A43,RawData!BP:BP)</f>
        <v>0</v>
      </c>
      <c r="BM43">
        <f>SUMIF(RawData!$C:$C,$A43,RawData!BQ:BQ)</f>
        <v>0</v>
      </c>
      <c r="BN43">
        <f>SUMIF(RawData!$C:$C,$A43,RawData!BR:BR)</f>
        <v>0</v>
      </c>
      <c r="BO43">
        <f>SUMIF(RawData!$C:$C,$A43,RawData!BS:BS)</f>
        <v>0</v>
      </c>
      <c r="BP43">
        <f>SUMIF(RawData!$C:$C,$A43,RawData!BT:BT)</f>
        <v>0</v>
      </c>
      <c r="BQ43">
        <f>SUMIF(RawData!$C:$C,$A43,RawData!BU:BU)</f>
        <v>0</v>
      </c>
      <c r="BR43">
        <f>SUMIF(RawData!$C:$C,$A43,RawData!BV:BV)</f>
        <v>0</v>
      </c>
      <c r="BS43">
        <f>SUMIF(RawData!$C:$C,$A43,RawData!BW:BW)</f>
        <v>0</v>
      </c>
      <c r="BT43">
        <f>SUMIF(RawData!$C:$C,$A43,RawData!BX:BX)</f>
        <v>0</v>
      </c>
    </row>
    <row r="44" spans="1:72" ht="15" thickBot="1" x14ac:dyDescent="0.35">
      <c r="A44" s="5" t="s">
        <v>94</v>
      </c>
      <c r="B44">
        <f>SUMIF(RawData!$C:$C,$A44,RawData!F:F)</f>
        <v>0</v>
      </c>
      <c r="C44">
        <f>SUMIF(RawData!$C:$C,$A44,RawData!G:G)</f>
        <v>0</v>
      </c>
      <c r="D44">
        <f>SUMIF(RawData!$C:$C,$A44,RawData!H:H)</f>
        <v>0</v>
      </c>
      <c r="E44">
        <f>SUMIF(RawData!$C:$C,$A44,RawData!I:I)</f>
        <v>0</v>
      </c>
      <c r="F44">
        <f>SUMIF(RawData!$C:$C,$A44,RawData!J:J)</f>
        <v>0</v>
      </c>
      <c r="G44">
        <f>SUMIF(RawData!$C:$C,$A44,RawData!K:K)</f>
        <v>0</v>
      </c>
      <c r="H44">
        <f>SUMIF(RawData!$C:$C,$A44,RawData!L:L)</f>
        <v>0</v>
      </c>
      <c r="I44">
        <f>SUMIF(RawData!$C:$C,$A44,RawData!M:M)</f>
        <v>0</v>
      </c>
      <c r="J44">
        <f>SUMIF(RawData!$C:$C,$A44,RawData!N:N)</f>
        <v>0</v>
      </c>
      <c r="K44">
        <f>SUMIF(RawData!$C:$C,$A44,RawData!O:O)</f>
        <v>0</v>
      </c>
      <c r="L44">
        <f>SUMIF(RawData!$C:$C,$A44,RawData!P:P)</f>
        <v>0</v>
      </c>
      <c r="M44">
        <f>SUMIF(RawData!$C:$C,$A44,RawData!Q:Q)</f>
        <v>0</v>
      </c>
      <c r="N44">
        <f>SUMIF(RawData!$C:$C,$A44,RawData!R:R)</f>
        <v>0</v>
      </c>
      <c r="O44">
        <f>SUMIF(RawData!$C:$C,$A44,RawData!S:S)</f>
        <v>0</v>
      </c>
      <c r="P44">
        <f>SUMIF(RawData!$C:$C,$A44,RawData!T:T)</f>
        <v>0</v>
      </c>
      <c r="Q44">
        <f>SUMIF(RawData!$C:$C,$A44,RawData!U:U)</f>
        <v>0</v>
      </c>
      <c r="R44">
        <f>SUMIF(RawData!$C:$C,$A44,RawData!V:V)</f>
        <v>0</v>
      </c>
      <c r="S44">
        <f>SUMIF(RawData!$C:$C,$A44,RawData!W:W)</f>
        <v>0</v>
      </c>
      <c r="T44">
        <f>SUMIF(RawData!$C:$C,$A44,RawData!X:X)</f>
        <v>0</v>
      </c>
      <c r="U44">
        <f>SUMIF(RawData!$C:$C,$A44,RawData!Y:Y)</f>
        <v>0</v>
      </c>
      <c r="V44">
        <f>SUMIF(RawData!$C:$C,$A44,RawData!Z:Z)</f>
        <v>0</v>
      </c>
      <c r="W44">
        <f>SUMIF(RawData!$C:$C,$A44,RawData!AA:AA)</f>
        <v>0</v>
      </c>
      <c r="X44">
        <f>SUMIF(RawData!$C:$C,$A44,RawData!AB:AB)</f>
        <v>0</v>
      </c>
      <c r="Y44">
        <f>SUMIF(RawData!$C:$C,$A44,RawData!AC:AC)</f>
        <v>0</v>
      </c>
      <c r="Z44">
        <f>SUMIF(RawData!$C:$C,$A44,RawData!AD:AD)</f>
        <v>0</v>
      </c>
      <c r="AA44">
        <f>SUMIF(RawData!$C:$C,$A44,RawData!AE:AE)</f>
        <v>0</v>
      </c>
      <c r="AB44">
        <f>SUMIF(RawData!$C:$C,$A44,RawData!AF:AF)</f>
        <v>0</v>
      </c>
      <c r="AC44">
        <f>SUMIF(RawData!$C:$C,$A44,RawData!AG:AG)</f>
        <v>0</v>
      </c>
      <c r="AD44">
        <f>SUMIF(RawData!$C:$C,$A44,RawData!AH:AH)</f>
        <v>0</v>
      </c>
      <c r="AE44">
        <f>SUMIF(RawData!$C:$C,$A44,RawData!AI:AI)</f>
        <v>0</v>
      </c>
      <c r="AF44">
        <f>SUMIF(RawData!$C:$C,$A44,RawData!AJ:AJ)</f>
        <v>1</v>
      </c>
      <c r="AG44">
        <f>SUMIF(RawData!$C:$C,$A44,RawData!AK:AK)</f>
        <v>1</v>
      </c>
      <c r="AH44">
        <f>SUMIF(RawData!$C:$C,$A44,RawData!AL:AL)</f>
        <v>1</v>
      </c>
      <c r="AI44">
        <f>SUMIF(RawData!$C:$C,$A44,RawData!AM:AM)</f>
        <v>1</v>
      </c>
      <c r="AJ44">
        <f>SUMIF(RawData!$C:$C,$A44,RawData!AN:AN)</f>
        <v>1</v>
      </c>
      <c r="AK44">
        <f>SUMIF(RawData!$C:$C,$A44,RawData!AO:AO)</f>
        <v>2</v>
      </c>
      <c r="AL44">
        <f>SUMIF(RawData!$C:$C,$A44,RawData!AP:AP)</f>
        <v>2</v>
      </c>
      <c r="AM44">
        <f>SUMIF(RawData!$C:$C,$A44,RawData!AQ:AQ)</f>
        <v>2</v>
      </c>
      <c r="AN44">
        <f>SUMIF(RawData!$C:$C,$A44,RawData!AR:AR)</f>
        <v>4</v>
      </c>
      <c r="AO44">
        <f>SUMIF(RawData!$C:$C,$A44,RawData!AS:AS)</f>
        <v>10</v>
      </c>
      <c r="AP44">
        <f>SUMIF(RawData!$C:$C,$A44,RawData!AT:AT)</f>
        <v>13</v>
      </c>
      <c r="AQ44">
        <f>SUMIF(RawData!$C:$C,$A44,RawData!AU:AU)</f>
        <v>13</v>
      </c>
      <c r="AR44">
        <f>SUMIF(RawData!$C:$C,$A44,RawData!AV:AV)</f>
        <v>13</v>
      </c>
      <c r="AS44">
        <f>SUMIF(RawData!$C:$C,$A44,RawData!AW:AW)</f>
        <v>16</v>
      </c>
      <c r="AT44">
        <f>SUMIF(RawData!$C:$C,$A44,RawData!AX:AX)</f>
        <v>22</v>
      </c>
      <c r="AU44">
        <f>SUMIF(RawData!$C:$C,$A44,RawData!AY:AY)</f>
        <v>22</v>
      </c>
      <c r="AV44">
        <f>SUMIF(RawData!$C:$C,$A44,RawData!AZ:AZ)</f>
        <v>32</v>
      </c>
      <c r="AW44">
        <f>SUMIF(RawData!$C:$C,$A44,RawData!BA:BA)</f>
        <v>32</v>
      </c>
      <c r="AX44">
        <f>SUMIF(RawData!$C:$C,$A44,RawData!BB:BB)</f>
        <v>41</v>
      </c>
      <c r="AY44">
        <f>SUMIF(RawData!$C:$C,$A44,RawData!BC:BC)</f>
        <v>61</v>
      </c>
      <c r="AZ44">
        <f>SUMIF(RawData!$C:$C,$A44,RawData!BD:BD)</f>
        <v>61</v>
      </c>
      <c r="BA44">
        <f>SUMIF(RawData!$C:$C,$A44,RawData!BE:BE)</f>
        <v>77</v>
      </c>
      <c r="BB44">
        <f>SUMIF(RawData!$C:$C,$A44,RawData!BF:BF)</f>
        <v>93</v>
      </c>
      <c r="BC44">
        <f>SUMIF(RawData!$C:$C,$A44,RawData!BG:BG)</f>
        <v>110</v>
      </c>
      <c r="BD44">
        <f>SUMIF(RawData!$C:$C,$A44,RawData!BH:BH)</f>
        <v>0</v>
      </c>
      <c r="BE44">
        <f>SUMIF(RawData!$C:$C,$A44,RawData!BI:BI)</f>
        <v>0</v>
      </c>
      <c r="BF44">
        <f>SUMIF(RawData!$C:$C,$A44,RawData!BJ:BJ)</f>
        <v>0</v>
      </c>
      <c r="BG44">
        <f>SUMIF(RawData!$C:$C,$A44,RawData!BK:BK)</f>
        <v>0</v>
      </c>
      <c r="BH44">
        <f>SUMIF(RawData!$C:$C,$A44,RawData!BL:BL)</f>
        <v>0</v>
      </c>
      <c r="BI44">
        <f>SUMIF(RawData!$C:$C,$A44,RawData!BM:BM)</f>
        <v>0</v>
      </c>
      <c r="BJ44">
        <f>SUMIF(RawData!$C:$C,$A44,RawData!BN:BN)</f>
        <v>0</v>
      </c>
      <c r="BK44">
        <f>SUMIF(RawData!$C:$C,$A44,RawData!BO:BO)</f>
        <v>0</v>
      </c>
      <c r="BL44">
        <f>SUMIF(RawData!$C:$C,$A44,RawData!BP:BP)</f>
        <v>0</v>
      </c>
      <c r="BM44">
        <f>SUMIF(RawData!$C:$C,$A44,RawData!BQ:BQ)</f>
        <v>0</v>
      </c>
      <c r="BN44">
        <f>SUMIF(RawData!$C:$C,$A44,RawData!BR:BR)</f>
        <v>0</v>
      </c>
      <c r="BO44">
        <f>SUMIF(RawData!$C:$C,$A44,RawData!BS:BS)</f>
        <v>0</v>
      </c>
      <c r="BP44">
        <f>SUMIF(RawData!$C:$C,$A44,RawData!BT:BT)</f>
        <v>0</v>
      </c>
      <c r="BQ44">
        <f>SUMIF(RawData!$C:$C,$A44,RawData!BU:BU)</f>
        <v>0</v>
      </c>
      <c r="BR44">
        <f>SUMIF(RawData!$C:$C,$A44,RawData!BV:BV)</f>
        <v>0</v>
      </c>
      <c r="BS44">
        <f>SUMIF(RawData!$C:$C,$A44,RawData!BW:BW)</f>
        <v>0</v>
      </c>
      <c r="BT44">
        <f>SUMIF(RawData!$C:$C,$A44,RawData!BX:BX)</f>
        <v>0</v>
      </c>
    </row>
    <row r="45" spans="1:72" ht="15" thickBot="1" x14ac:dyDescent="0.35">
      <c r="A45" s="4" t="s">
        <v>62</v>
      </c>
      <c r="B45">
        <f>SUMIF(RawData!$C:$C,$A45,RawData!F:F)</f>
        <v>2</v>
      </c>
      <c r="C45">
        <f>SUMIF(RawData!$C:$C,$A45,RawData!G:G)</f>
        <v>3</v>
      </c>
      <c r="D45">
        <f>SUMIF(RawData!$C:$C,$A45,RawData!H:H)</f>
        <v>5</v>
      </c>
      <c r="E45">
        <f>SUMIF(RawData!$C:$C,$A45,RawData!I:I)</f>
        <v>7</v>
      </c>
      <c r="F45">
        <f>SUMIF(RawData!$C:$C,$A45,RawData!J:J)</f>
        <v>8</v>
      </c>
      <c r="G45">
        <f>SUMIF(RawData!$C:$C,$A45,RawData!K:K)</f>
        <v>8</v>
      </c>
      <c r="H45">
        <f>SUMIF(RawData!$C:$C,$A45,RawData!L:L)</f>
        <v>14</v>
      </c>
      <c r="I45">
        <f>SUMIF(RawData!$C:$C,$A45,RawData!M:M)</f>
        <v>14</v>
      </c>
      <c r="J45">
        <f>SUMIF(RawData!$C:$C,$A45,RawData!N:N)</f>
        <v>14</v>
      </c>
      <c r="K45">
        <f>SUMIF(RawData!$C:$C,$A45,RawData!O:O)</f>
        <v>19</v>
      </c>
      <c r="L45">
        <f>SUMIF(RawData!$C:$C,$A45,RawData!P:P)</f>
        <v>19</v>
      </c>
      <c r="M45">
        <f>SUMIF(RawData!$C:$C,$A45,RawData!Q:Q)</f>
        <v>19</v>
      </c>
      <c r="N45">
        <f>SUMIF(RawData!$C:$C,$A45,RawData!R:R)</f>
        <v>19</v>
      </c>
      <c r="O45">
        <f>SUMIF(RawData!$C:$C,$A45,RawData!S:S)</f>
        <v>25</v>
      </c>
      <c r="P45">
        <f>SUMIF(RawData!$C:$C,$A45,RawData!T:T)</f>
        <v>25</v>
      </c>
      <c r="Q45">
        <f>SUMIF(RawData!$C:$C,$A45,RawData!U:U)</f>
        <v>25</v>
      </c>
      <c r="R45">
        <f>SUMIF(RawData!$C:$C,$A45,RawData!V:V)</f>
        <v>25</v>
      </c>
      <c r="S45">
        <f>SUMIF(RawData!$C:$C,$A45,RawData!W:W)</f>
        <v>32</v>
      </c>
      <c r="T45">
        <f>SUMIF(RawData!$C:$C,$A45,RawData!X:X)</f>
        <v>32</v>
      </c>
      <c r="U45">
        <f>SUMIF(RawData!$C:$C,$A45,RawData!Y:Y)</f>
        <v>32</v>
      </c>
      <c r="V45">
        <f>SUMIF(RawData!$C:$C,$A45,RawData!Z:Z)</f>
        <v>33</v>
      </c>
      <c r="W45">
        <f>SUMIF(RawData!$C:$C,$A45,RawData!AA:AA)</f>
        <v>33</v>
      </c>
      <c r="X45">
        <f>SUMIF(RawData!$C:$C,$A45,RawData!AB:AB)</f>
        <v>33</v>
      </c>
      <c r="Y45">
        <f>SUMIF(RawData!$C:$C,$A45,RawData!AC:AC)</f>
        <v>33</v>
      </c>
      <c r="Z45">
        <f>SUMIF(RawData!$C:$C,$A45,RawData!AD:AD)</f>
        <v>33</v>
      </c>
      <c r="AA45">
        <f>SUMIF(RawData!$C:$C,$A45,RawData!AE:AE)</f>
        <v>34</v>
      </c>
      <c r="AB45">
        <f>SUMIF(RawData!$C:$C,$A45,RawData!AF:AF)</f>
        <v>35</v>
      </c>
      <c r="AC45">
        <f>SUMIF(RawData!$C:$C,$A45,RawData!AG:AG)</f>
        <v>35</v>
      </c>
      <c r="AD45">
        <f>SUMIF(RawData!$C:$C,$A45,RawData!AH:AH)</f>
        <v>35</v>
      </c>
      <c r="AE45">
        <f>SUMIF(RawData!$C:$C,$A45,RawData!AI:AI)</f>
        <v>35</v>
      </c>
      <c r="AF45">
        <f>SUMIF(RawData!$C:$C,$A45,RawData!AJ:AJ)</f>
        <v>35</v>
      </c>
      <c r="AG45">
        <f>SUMIF(RawData!$C:$C,$A45,RawData!AK:AK)</f>
        <v>35</v>
      </c>
      <c r="AH45">
        <f>SUMIF(RawData!$C:$C,$A45,RawData!AL:AL)</f>
        <v>35</v>
      </c>
      <c r="AI45">
        <f>SUMIF(RawData!$C:$C,$A45,RawData!AM:AM)</f>
        <v>35</v>
      </c>
      <c r="AJ45">
        <f>SUMIF(RawData!$C:$C,$A45,RawData!AN:AN)</f>
        <v>37</v>
      </c>
      <c r="AK45">
        <f>SUMIF(RawData!$C:$C,$A45,RawData!AO:AO)</f>
        <v>40</v>
      </c>
      <c r="AL45">
        <f>SUMIF(RawData!$C:$C,$A45,RawData!AP:AP)</f>
        <v>40</v>
      </c>
      <c r="AM45">
        <f>SUMIF(RawData!$C:$C,$A45,RawData!AQ:AQ)</f>
        <v>41</v>
      </c>
      <c r="AN45">
        <f>SUMIF(RawData!$C:$C,$A45,RawData!AR:AR)</f>
        <v>42</v>
      </c>
      <c r="AO45">
        <f>SUMIF(RawData!$C:$C,$A45,RawData!AS:AS)</f>
        <v>42</v>
      </c>
      <c r="AP45">
        <f>SUMIF(RawData!$C:$C,$A45,RawData!AT:AT)</f>
        <v>43</v>
      </c>
      <c r="AQ45">
        <f>SUMIF(RawData!$C:$C,$A45,RawData!AU:AU)</f>
        <v>43</v>
      </c>
      <c r="AR45">
        <f>SUMIF(RawData!$C:$C,$A45,RawData!AV:AV)</f>
        <v>43</v>
      </c>
      <c r="AS45">
        <f>SUMIF(RawData!$C:$C,$A45,RawData!AW:AW)</f>
        <v>47</v>
      </c>
      <c r="AT45">
        <f>SUMIF(RawData!$C:$C,$A45,RawData!AX:AX)</f>
        <v>48</v>
      </c>
      <c r="AU45">
        <f>SUMIF(RawData!$C:$C,$A45,RawData!AY:AY)</f>
        <v>50</v>
      </c>
      <c r="AV45">
        <f>SUMIF(RawData!$C:$C,$A45,RawData!AZ:AZ)</f>
        <v>50</v>
      </c>
      <c r="AW45">
        <f>SUMIF(RawData!$C:$C,$A45,RawData!BA:BA)</f>
        <v>50</v>
      </c>
      <c r="AX45">
        <f>SUMIF(RawData!$C:$C,$A45,RawData!BB:BB)</f>
        <v>53</v>
      </c>
      <c r="AY45">
        <f>SUMIF(RawData!$C:$C,$A45,RawData!BC:BC)</f>
        <v>59</v>
      </c>
      <c r="AZ45">
        <f>SUMIF(RawData!$C:$C,$A45,RawData!BD:BD)</f>
        <v>70</v>
      </c>
      <c r="BA45">
        <f>SUMIF(RawData!$C:$C,$A45,RawData!BE:BE)</f>
        <v>75</v>
      </c>
      <c r="BB45">
        <f>SUMIF(RawData!$C:$C,$A45,RawData!BF:BF)</f>
        <v>82</v>
      </c>
      <c r="BC45">
        <f>SUMIF(RawData!$C:$C,$A45,RawData!BG:BG)</f>
        <v>114</v>
      </c>
      <c r="BD45">
        <f>SUMIF(RawData!$C:$C,$A45,RawData!BH:BH)</f>
        <v>0</v>
      </c>
      <c r="BE45">
        <f>SUMIF(RawData!$C:$C,$A45,RawData!BI:BI)</f>
        <v>0</v>
      </c>
      <c r="BF45">
        <f>SUMIF(RawData!$C:$C,$A45,RawData!BJ:BJ)</f>
        <v>0</v>
      </c>
      <c r="BG45">
        <f>SUMIF(RawData!$C:$C,$A45,RawData!BK:BK)</f>
        <v>0</v>
      </c>
      <c r="BH45">
        <f>SUMIF(RawData!$C:$C,$A45,RawData!BL:BL)</f>
        <v>0</v>
      </c>
      <c r="BI45">
        <f>SUMIF(RawData!$C:$C,$A45,RawData!BM:BM)</f>
        <v>0</v>
      </c>
      <c r="BJ45">
        <f>SUMIF(RawData!$C:$C,$A45,RawData!BN:BN)</f>
        <v>0</v>
      </c>
      <c r="BK45">
        <f>SUMIF(RawData!$C:$C,$A45,RawData!BO:BO)</f>
        <v>0</v>
      </c>
      <c r="BL45">
        <f>SUMIF(RawData!$C:$C,$A45,RawData!BP:BP)</f>
        <v>0</v>
      </c>
      <c r="BM45">
        <f>SUMIF(RawData!$C:$C,$A45,RawData!BQ:BQ)</f>
        <v>0</v>
      </c>
      <c r="BN45">
        <f>SUMIF(RawData!$C:$C,$A45,RawData!BR:BR)</f>
        <v>0</v>
      </c>
      <c r="BO45">
        <f>SUMIF(RawData!$C:$C,$A45,RawData!BS:BS)</f>
        <v>0</v>
      </c>
      <c r="BP45">
        <f>SUMIF(RawData!$C:$C,$A45,RawData!BT:BT)</f>
        <v>0</v>
      </c>
      <c r="BQ45">
        <f>SUMIF(RawData!$C:$C,$A45,RawData!BU:BU)</f>
        <v>0</v>
      </c>
      <c r="BR45">
        <f>SUMIF(RawData!$C:$C,$A45,RawData!BV:BV)</f>
        <v>0</v>
      </c>
      <c r="BS45">
        <f>SUMIF(RawData!$C:$C,$A45,RawData!BW:BW)</f>
        <v>0</v>
      </c>
      <c r="BT45">
        <f>SUMIF(RawData!$C:$C,$A45,RawData!BX:BX)</f>
        <v>0</v>
      </c>
    </row>
    <row r="46" spans="1:72" ht="15" thickBot="1" x14ac:dyDescent="0.35">
      <c r="A46" s="5" t="s">
        <v>134</v>
      </c>
      <c r="B46">
        <f>SUMIF(RawData!$C:$C,$A46,RawData!F:F)</f>
        <v>0</v>
      </c>
      <c r="C46">
        <f>SUMIF(RawData!$C:$C,$A46,RawData!G:G)</f>
        <v>0</v>
      </c>
      <c r="D46">
        <f>SUMIF(RawData!$C:$C,$A46,RawData!H:H)</f>
        <v>0</v>
      </c>
      <c r="E46">
        <f>SUMIF(RawData!$C:$C,$A46,RawData!I:I)</f>
        <v>0</v>
      </c>
      <c r="F46">
        <f>SUMIF(RawData!$C:$C,$A46,RawData!J:J)</f>
        <v>0</v>
      </c>
      <c r="G46">
        <f>SUMIF(RawData!$C:$C,$A46,RawData!K:K)</f>
        <v>0</v>
      </c>
      <c r="H46">
        <f>SUMIF(RawData!$C:$C,$A46,RawData!L:L)</f>
        <v>0</v>
      </c>
      <c r="I46">
        <f>SUMIF(RawData!$C:$C,$A46,RawData!M:M)</f>
        <v>0</v>
      </c>
      <c r="J46">
        <f>SUMIF(RawData!$C:$C,$A46,RawData!N:N)</f>
        <v>0</v>
      </c>
      <c r="K46">
        <f>SUMIF(RawData!$C:$C,$A46,RawData!O:O)</f>
        <v>0</v>
      </c>
      <c r="L46">
        <f>SUMIF(RawData!$C:$C,$A46,RawData!P:P)</f>
        <v>0</v>
      </c>
      <c r="M46">
        <f>SUMIF(RawData!$C:$C,$A46,RawData!Q:Q)</f>
        <v>0</v>
      </c>
      <c r="N46">
        <f>SUMIF(RawData!$C:$C,$A46,RawData!R:R)</f>
        <v>0</v>
      </c>
      <c r="O46">
        <f>SUMIF(RawData!$C:$C,$A46,RawData!S:S)</f>
        <v>0</v>
      </c>
      <c r="P46">
        <f>SUMIF(RawData!$C:$C,$A46,RawData!T:T)</f>
        <v>0</v>
      </c>
      <c r="Q46">
        <f>SUMIF(RawData!$C:$C,$A46,RawData!U:U)</f>
        <v>0</v>
      </c>
      <c r="R46">
        <f>SUMIF(RawData!$C:$C,$A46,RawData!V:V)</f>
        <v>0</v>
      </c>
      <c r="S46">
        <f>SUMIF(RawData!$C:$C,$A46,RawData!W:W)</f>
        <v>0</v>
      </c>
      <c r="T46">
        <f>SUMIF(RawData!$C:$C,$A46,RawData!X:X)</f>
        <v>0</v>
      </c>
      <c r="U46">
        <f>SUMIF(RawData!$C:$C,$A46,RawData!Y:Y)</f>
        <v>0</v>
      </c>
      <c r="V46">
        <f>SUMIF(RawData!$C:$C,$A46,RawData!Z:Z)</f>
        <v>0</v>
      </c>
      <c r="W46">
        <f>SUMIF(RawData!$C:$C,$A46,RawData!AA:AA)</f>
        <v>0</v>
      </c>
      <c r="X46">
        <f>SUMIF(RawData!$C:$C,$A46,RawData!AB:AB)</f>
        <v>0</v>
      </c>
      <c r="Y46">
        <f>SUMIF(RawData!$C:$C,$A46,RawData!AC:AC)</f>
        <v>0</v>
      </c>
      <c r="Z46">
        <f>SUMIF(RawData!$C:$C,$A46,RawData!AD:AD)</f>
        <v>0</v>
      </c>
      <c r="AA46">
        <f>SUMIF(RawData!$C:$C,$A46,RawData!AE:AE)</f>
        <v>0</v>
      </c>
      <c r="AB46">
        <f>SUMIF(RawData!$C:$C,$A46,RawData!AF:AF)</f>
        <v>0</v>
      </c>
      <c r="AC46">
        <f>SUMIF(RawData!$C:$C,$A46,RawData!AG:AG)</f>
        <v>0</v>
      </c>
      <c r="AD46">
        <f>SUMIF(RawData!$C:$C,$A46,RawData!AH:AH)</f>
        <v>0</v>
      </c>
      <c r="AE46">
        <f>SUMIF(RawData!$C:$C,$A46,RawData!AI:AI)</f>
        <v>0</v>
      </c>
      <c r="AF46">
        <f>SUMIF(RawData!$C:$C,$A46,RawData!AJ:AJ)</f>
        <v>0</v>
      </c>
      <c r="AG46">
        <f>SUMIF(RawData!$C:$C,$A46,RawData!AK:AK)</f>
        <v>0</v>
      </c>
      <c r="AH46">
        <f>SUMIF(RawData!$C:$C,$A46,RawData!AL:AL)</f>
        <v>0</v>
      </c>
      <c r="AI46">
        <f>SUMIF(RawData!$C:$C,$A46,RawData!AM:AM)</f>
        <v>0</v>
      </c>
      <c r="AJ46">
        <f>SUMIF(RawData!$C:$C,$A46,RawData!AN:AN)</f>
        <v>0</v>
      </c>
      <c r="AK46">
        <f>SUMIF(RawData!$C:$C,$A46,RawData!AO:AO)</f>
        <v>0</v>
      </c>
      <c r="AL46">
        <f>SUMIF(RawData!$C:$C,$A46,RawData!AP:AP)</f>
        <v>0</v>
      </c>
      <c r="AM46">
        <f>SUMIF(RawData!$C:$C,$A46,RawData!AQ:AQ)</f>
        <v>0</v>
      </c>
      <c r="AN46">
        <f>SUMIF(RawData!$C:$C,$A46,RawData!AR:AR)</f>
        <v>0</v>
      </c>
      <c r="AO46">
        <f>SUMIF(RawData!$C:$C,$A46,RawData!AS:AS)</f>
        <v>0</v>
      </c>
      <c r="AP46">
        <f>SUMIF(RawData!$C:$C,$A46,RawData!AT:AT)</f>
        <v>2</v>
      </c>
      <c r="AQ46">
        <f>SUMIF(RawData!$C:$C,$A46,RawData!AU:AU)</f>
        <v>2</v>
      </c>
      <c r="AR46">
        <f>SUMIF(RawData!$C:$C,$A46,RawData!AV:AV)</f>
        <v>2</v>
      </c>
      <c r="AS46">
        <f>SUMIF(RawData!$C:$C,$A46,RawData!AW:AW)</f>
        <v>2</v>
      </c>
      <c r="AT46">
        <f>SUMIF(RawData!$C:$C,$A46,RawData!AX:AX)</f>
        <v>4</v>
      </c>
      <c r="AU46">
        <f>SUMIF(RawData!$C:$C,$A46,RawData!AY:AY)</f>
        <v>4</v>
      </c>
      <c r="AV46">
        <f>SUMIF(RawData!$C:$C,$A46,RawData!AZ:AZ)</f>
        <v>6</v>
      </c>
      <c r="AW46">
        <f>SUMIF(RawData!$C:$C,$A46,RawData!BA:BA)</f>
        <v>19</v>
      </c>
      <c r="AX46">
        <f>SUMIF(RawData!$C:$C,$A46,RawData!BB:BB)</f>
        <v>27</v>
      </c>
      <c r="AY46">
        <f>SUMIF(RawData!$C:$C,$A46,RawData!BC:BC)</f>
        <v>34</v>
      </c>
      <c r="AZ46">
        <f>SUMIF(RawData!$C:$C,$A46,RawData!BD:BD)</f>
        <v>34</v>
      </c>
      <c r="BA46">
        <f>SUMIF(RawData!$C:$C,$A46,RawData!BE:BE)</f>
        <v>69</v>
      </c>
      <c r="BB46">
        <f>SUMIF(RawData!$C:$C,$A46,RawData!BF:BF)</f>
        <v>96</v>
      </c>
      <c r="BC46">
        <f>SUMIF(RawData!$C:$C,$A46,RawData!BG:BG)</f>
        <v>117</v>
      </c>
      <c r="BD46">
        <f>SUMIF(RawData!$C:$C,$A46,RawData!BH:BH)</f>
        <v>0</v>
      </c>
      <c r="BE46">
        <f>SUMIF(RawData!$C:$C,$A46,RawData!BI:BI)</f>
        <v>0</v>
      </c>
      <c r="BF46">
        <f>SUMIF(RawData!$C:$C,$A46,RawData!BJ:BJ)</f>
        <v>0</v>
      </c>
      <c r="BG46">
        <f>SUMIF(RawData!$C:$C,$A46,RawData!BK:BK)</f>
        <v>0</v>
      </c>
      <c r="BH46">
        <f>SUMIF(RawData!$C:$C,$A46,RawData!BL:BL)</f>
        <v>0</v>
      </c>
      <c r="BI46">
        <f>SUMIF(RawData!$C:$C,$A46,RawData!BM:BM)</f>
        <v>0</v>
      </c>
      <c r="BJ46">
        <f>SUMIF(RawData!$C:$C,$A46,RawData!BN:BN)</f>
        <v>0</v>
      </c>
      <c r="BK46">
        <f>SUMIF(RawData!$C:$C,$A46,RawData!BO:BO)</f>
        <v>0</v>
      </c>
      <c r="BL46">
        <f>SUMIF(RawData!$C:$C,$A46,RawData!BP:BP)</f>
        <v>0</v>
      </c>
      <c r="BM46">
        <f>SUMIF(RawData!$C:$C,$A46,RawData!BQ:BQ)</f>
        <v>0</v>
      </c>
      <c r="BN46">
        <f>SUMIF(RawData!$C:$C,$A46,RawData!BR:BR)</f>
        <v>0</v>
      </c>
      <c r="BO46">
        <f>SUMIF(RawData!$C:$C,$A46,RawData!BS:BS)</f>
        <v>0</v>
      </c>
      <c r="BP46">
        <f>SUMIF(RawData!$C:$C,$A46,RawData!BT:BT)</f>
        <v>0</v>
      </c>
      <c r="BQ46">
        <f>SUMIF(RawData!$C:$C,$A46,RawData!BU:BU)</f>
        <v>0</v>
      </c>
      <c r="BR46">
        <f>SUMIF(RawData!$C:$C,$A46,RawData!BV:BV)</f>
        <v>0</v>
      </c>
      <c r="BS46">
        <f>SUMIF(RawData!$C:$C,$A46,RawData!BW:BW)</f>
        <v>0</v>
      </c>
      <c r="BT46">
        <f>SUMIF(RawData!$C:$C,$A46,RawData!BX:BX)</f>
        <v>0</v>
      </c>
    </row>
    <row r="47" spans="1:72" ht="15" thickBot="1" x14ac:dyDescent="0.35">
      <c r="A47" s="4" t="s">
        <v>164</v>
      </c>
      <c r="B47">
        <f>SUMIF(RawData!$C:$C,$A47,RawData!F:F)</f>
        <v>0</v>
      </c>
      <c r="C47">
        <f>SUMIF(RawData!$C:$C,$A47,RawData!G:G)</f>
        <v>0</v>
      </c>
      <c r="D47">
        <f>SUMIF(RawData!$C:$C,$A47,RawData!H:H)</f>
        <v>0</v>
      </c>
      <c r="E47">
        <f>SUMIF(RawData!$C:$C,$A47,RawData!I:I)</f>
        <v>0</v>
      </c>
      <c r="F47">
        <f>SUMIF(RawData!$C:$C,$A47,RawData!J:J)</f>
        <v>0</v>
      </c>
      <c r="G47">
        <f>SUMIF(RawData!$C:$C,$A47,RawData!K:K)</f>
        <v>0</v>
      </c>
      <c r="H47">
        <f>SUMIF(RawData!$C:$C,$A47,RawData!L:L)</f>
        <v>0</v>
      </c>
      <c r="I47">
        <f>SUMIF(RawData!$C:$C,$A47,RawData!M:M)</f>
        <v>0</v>
      </c>
      <c r="J47">
        <f>SUMIF(RawData!$C:$C,$A47,RawData!N:N)</f>
        <v>0</v>
      </c>
      <c r="K47">
        <f>SUMIF(RawData!$C:$C,$A47,RawData!O:O)</f>
        <v>0</v>
      </c>
      <c r="L47">
        <f>SUMIF(RawData!$C:$C,$A47,RawData!P:P)</f>
        <v>0</v>
      </c>
      <c r="M47">
        <f>SUMIF(RawData!$C:$C,$A47,RawData!Q:Q)</f>
        <v>0</v>
      </c>
      <c r="N47">
        <f>SUMIF(RawData!$C:$C,$A47,RawData!R:R)</f>
        <v>0</v>
      </c>
      <c r="O47">
        <f>SUMIF(RawData!$C:$C,$A47,RawData!S:S)</f>
        <v>0</v>
      </c>
      <c r="P47">
        <f>SUMIF(RawData!$C:$C,$A47,RawData!T:T)</f>
        <v>0</v>
      </c>
      <c r="Q47">
        <f>SUMIF(RawData!$C:$C,$A47,RawData!U:U)</f>
        <v>0</v>
      </c>
      <c r="R47">
        <f>SUMIF(RawData!$C:$C,$A47,RawData!V:V)</f>
        <v>0</v>
      </c>
      <c r="S47">
        <f>SUMIF(RawData!$C:$C,$A47,RawData!W:W)</f>
        <v>0</v>
      </c>
      <c r="T47">
        <f>SUMIF(RawData!$C:$C,$A47,RawData!X:X)</f>
        <v>0</v>
      </c>
      <c r="U47">
        <f>SUMIF(RawData!$C:$C,$A47,RawData!Y:Y)</f>
        <v>0</v>
      </c>
      <c r="V47">
        <f>SUMIF(RawData!$C:$C,$A47,RawData!Z:Z)</f>
        <v>0</v>
      </c>
      <c r="W47">
        <f>SUMIF(RawData!$C:$C,$A47,RawData!AA:AA)</f>
        <v>0</v>
      </c>
      <c r="X47">
        <f>SUMIF(RawData!$C:$C,$A47,RawData!AB:AB)</f>
        <v>0</v>
      </c>
      <c r="Y47">
        <f>SUMIF(RawData!$C:$C,$A47,RawData!AC:AC)</f>
        <v>0</v>
      </c>
      <c r="Z47">
        <f>SUMIF(RawData!$C:$C,$A47,RawData!AD:AD)</f>
        <v>0</v>
      </c>
      <c r="AA47">
        <f>SUMIF(RawData!$C:$C,$A47,RawData!AE:AE)</f>
        <v>0</v>
      </c>
      <c r="AB47">
        <f>SUMIF(RawData!$C:$C,$A47,RawData!AF:AF)</f>
        <v>0</v>
      </c>
      <c r="AC47">
        <f>SUMIF(RawData!$C:$C,$A47,RawData!AG:AG)</f>
        <v>0</v>
      </c>
      <c r="AD47">
        <f>SUMIF(RawData!$C:$C,$A47,RawData!AH:AH)</f>
        <v>0</v>
      </c>
      <c r="AE47">
        <f>SUMIF(RawData!$C:$C,$A47,RawData!AI:AI)</f>
        <v>0</v>
      </c>
      <c r="AF47">
        <f>SUMIF(RawData!$C:$C,$A47,RawData!AJ:AJ)</f>
        <v>0</v>
      </c>
      <c r="AG47">
        <f>SUMIF(RawData!$C:$C,$A47,RawData!AK:AK)</f>
        <v>0</v>
      </c>
      <c r="AH47">
        <f>SUMIF(RawData!$C:$C,$A47,RawData!AL:AL)</f>
        <v>0</v>
      </c>
      <c r="AI47">
        <f>SUMIF(RawData!$C:$C,$A47,RawData!AM:AM)</f>
        <v>0</v>
      </c>
      <c r="AJ47">
        <f>SUMIF(RawData!$C:$C,$A47,RawData!AN:AN)</f>
        <v>0</v>
      </c>
      <c r="AK47">
        <f>SUMIF(RawData!$C:$C,$A47,RawData!AO:AO)</f>
        <v>0</v>
      </c>
      <c r="AL47">
        <f>SUMIF(RawData!$C:$C,$A47,RawData!AP:AP)</f>
        <v>0</v>
      </c>
      <c r="AM47">
        <f>SUMIF(RawData!$C:$C,$A47,RawData!AQ:AQ)</f>
        <v>0</v>
      </c>
      <c r="AN47">
        <f>SUMIF(RawData!$C:$C,$A47,RawData!AR:AR)</f>
        <v>0</v>
      </c>
      <c r="AO47">
        <f>SUMIF(RawData!$C:$C,$A47,RawData!AS:AS)</f>
        <v>0</v>
      </c>
      <c r="AP47">
        <f>SUMIF(RawData!$C:$C,$A47,RawData!AT:AT)</f>
        <v>0</v>
      </c>
      <c r="AQ47">
        <f>SUMIF(RawData!$C:$C,$A47,RawData!AU:AU)</f>
        <v>0</v>
      </c>
      <c r="AR47">
        <f>SUMIF(RawData!$C:$C,$A47,RawData!AV:AV)</f>
        <v>1</v>
      </c>
      <c r="AS47">
        <f>SUMIF(RawData!$C:$C,$A47,RawData!AW:AW)</f>
        <v>1</v>
      </c>
      <c r="AT47">
        <f>SUMIF(RawData!$C:$C,$A47,RawData!AX:AX)</f>
        <v>5</v>
      </c>
      <c r="AU47">
        <f>SUMIF(RawData!$C:$C,$A47,RawData!AY:AY)</f>
        <v>5</v>
      </c>
      <c r="AV47">
        <f>SUMIF(RawData!$C:$C,$A47,RawData!AZ:AZ)</f>
        <v>11</v>
      </c>
      <c r="AW47">
        <f>SUMIF(RawData!$C:$C,$A47,RawData!BA:BA)</f>
        <v>16</v>
      </c>
      <c r="AX47">
        <f>SUMIF(RawData!$C:$C,$A47,RawData!BB:BB)</f>
        <v>22</v>
      </c>
      <c r="AY47">
        <f>SUMIF(RawData!$C:$C,$A47,RawData!BC:BC)</f>
        <v>31</v>
      </c>
      <c r="AZ47">
        <f>SUMIF(RawData!$C:$C,$A47,RawData!BD:BD)</f>
        <v>49</v>
      </c>
      <c r="BA47">
        <f>SUMIF(RawData!$C:$C,$A47,RawData!BE:BE)</f>
        <v>68</v>
      </c>
      <c r="BB47">
        <f>SUMIF(RawData!$C:$C,$A47,RawData!BF:BF)</f>
        <v>103</v>
      </c>
      <c r="BC47">
        <f>SUMIF(RawData!$C:$C,$A47,RawData!BG:BG)</f>
        <v>119</v>
      </c>
      <c r="BD47">
        <f>SUMIF(RawData!$C:$C,$A47,RawData!BH:BH)</f>
        <v>0</v>
      </c>
      <c r="BE47">
        <f>SUMIF(RawData!$C:$C,$A47,RawData!BI:BI)</f>
        <v>0</v>
      </c>
      <c r="BF47">
        <f>SUMIF(RawData!$C:$C,$A47,RawData!BJ:BJ)</f>
        <v>0</v>
      </c>
      <c r="BG47">
        <f>SUMIF(RawData!$C:$C,$A47,RawData!BK:BK)</f>
        <v>0</v>
      </c>
      <c r="BH47">
        <f>SUMIF(RawData!$C:$C,$A47,RawData!BL:BL)</f>
        <v>0</v>
      </c>
      <c r="BI47">
        <f>SUMIF(RawData!$C:$C,$A47,RawData!BM:BM)</f>
        <v>0</v>
      </c>
      <c r="BJ47">
        <f>SUMIF(RawData!$C:$C,$A47,RawData!BN:BN)</f>
        <v>0</v>
      </c>
      <c r="BK47">
        <f>SUMIF(RawData!$C:$C,$A47,RawData!BO:BO)</f>
        <v>0</v>
      </c>
      <c r="BL47">
        <f>SUMIF(RawData!$C:$C,$A47,RawData!BP:BP)</f>
        <v>0</v>
      </c>
      <c r="BM47">
        <f>SUMIF(RawData!$C:$C,$A47,RawData!BQ:BQ)</f>
        <v>0</v>
      </c>
      <c r="BN47">
        <f>SUMIF(RawData!$C:$C,$A47,RawData!BR:BR)</f>
        <v>0</v>
      </c>
      <c r="BO47">
        <f>SUMIF(RawData!$C:$C,$A47,RawData!BS:BS)</f>
        <v>0</v>
      </c>
      <c r="BP47">
        <f>SUMIF(RawData!$C:$C,$A47,RawData!BT:BT)</f>
        <v>0</v>
      </c>
      <c r="BQ47">
        <f>SUMIF(RawData!$C:$C,$A47,RawData!BU:BU)</f>
        <v>0</v>
      </c>
      <c r="BR47">
        <f>SUMIF(RawData!$C:$C,$A47,RawData!BV:BV)</f>
        <v>0</v>
      </c>
      <c r="BS47">
        <f>SUMIF(RawData!$C:$C,$A47,RawData!BW:BW)</f>
        <v>0</v>
      </c>
      <c r="BT47">
        <f>SUMIF(RawData!$C:$C,$A47,RawData!BX:BX)</f>
        <v>0</v>
      </c>
    </row>
    <row r="48" spans="1:72" ht="15" thickBot="1" x14ac:dyDescent="0.35">
      <c r="A48" s="4" t="s">
        <v>83</v>
      </c>
      <c r="B48">
        <f>SUMIF(RawData!$C:$C,$A48,RawData!F:F)</f>
        <v>0</v>
      </c>
      <c r="C48">
        <f>SUMIF(RawData!$C:$C,$A48,RawData!G:G)</f>
        <v>0</v>
      </c>
      <c r="D48">
        <f>SUMIF(RawData!$C:$C,$A48,RawData!H:H)</f>
        <v>0</v>
      </c>
      <c r="E48">
        <f>SUMIF(RawData!$C:$C,$A48,RawData!I:I)</f>
        <v>0</v>
      </c>
      <c r="F48">
        <f>SUMIF(RawData!$C:$C,$A48,RawData!J:J)</f>
        <v>0</v>
      </c>
      <c r="G48">
        <f>SUMIF(RawData!$C:$C,$A48,RawData!K:K)</f>
        <v>0</v>
      </c>
      <c r="H48">
        <f>SUMIF(RawData!$C:$C,$A48,RawData!L:L)</f>
        <v>0</v>
      </c>
      <c r="I48">
        <f>SUMIF(RawData!$C:$C,$A48,RawData!M:M)</f>
        <v>0</v>
      </c>
      <c r="J48">
        <f>SUMIF(RawData!$C:$C,$A48,RawData!N:N)</f>
        <v>1</v>
      </c>
      <c r="K48">
        <f>SUMIF(RawData!$C:$C,$A48,RawData!O:O)</f>
        <v>1</v>
      </c>
      <c r="L48">
        <f>SUMIF(RawData!$C:$C,$A48,RawData!P:P)</f>
        <v>1</v>
      </c>
      <c r="M48">
        <f>SUMIF(RawData!$C:$C,$A48,RawData!Q:Q)</f>
        <v>2</v>
      </c>
      <c r="N48">
        <f>SUMIF(RawData!$C:$C,$A48,RawData!R:R)</f>
        <v>2</v>
      </c>
      <c r="O48">
        <f>SUMIF(RawData!$C:$C,$A48,RawData!S:S)</f>
        <v>2</v>
      </c>
      <c r="P48">
        <f>SUMIF(RawData!$C:$C,$A48,RawData!T:T)</f>
        <v>2</v>
      </c>
      <c r="Q48">
        <f>SUMIF(RawData!$C:$C,$A48,RawData!U:U)</f>
        <v>2</v>
      </c>
      <c r="R48">
        <f>SUMIF(RawData!$C:$C,$A48,RawData!V:V)</f>
        <v>3</v>
      </c>
      <c r="S48">
        <f>SUMIF(RawData!$C:$C,$A48,RawData!W:W)</f>
        <v>3</v>
      </c>
      <c r="T48">
        <f>SUMIF(RawData!$C:$C,$A48,RawData!X:X)</f>
        <v>3</v>
      </c>
      <c r="U48">
        <f>SUMIF(RawData!$C:$C,$A48,RawData!Y:Y)</f>
        <v>3</v>
      </c>
      <c r="V48">
        <f>SUMIF(RawData!$C:$C,$A48,RawData!Z:Z)</f>
        <v>3</v>
      </c>
      <c r="W48">
        <f>SUMIF(RawData!$C:$C,$A48,RawData!AA:AA)</f>
        <v>3</v>
      </c>
      <c r="X48">
        <f>SUMIF(RawData!$C:$C,$A48,RawData!AB:AB)</f>
        <v>3</v>
      </c>
      <c r="Y48">
        <f>SUMIF(RawData!$C:$C,$A48,RawData!AC:AC)</f>
        <v>3</v>
      </c>
      <c r="Z48">
        <f>SUMIF(RawData!$C:$C,$A48,RawData!AD:AD)</f>
        <v>3</v>
      </c>
      <c r="AA48">
        <f>SUMIF(RawData!$C:$C,$A48,RawData!AE:AE)</f>
        <v>3</v>
      </c>
      <c r="AB48">
        <f>SUMIF(RawData!$C:$C,$A48,RawData!AF:AF)</f>
        <v>3</v>
      </c>
      <c r="AC48">
        <f>SUMIF(RawData!$C:$C,$A48,RawData!AG:AG)</f>
        <v>3</v>
      </c>
      <c r="AD48">
        <f>SUMIF(RawData!$C:$C,$A48,RawData!AH:AH)</f>
        <v>3</v>
      </c>
      <c r="AE48">
        <f>SUMIF(RawData!$C:$C,$A48,RawData!AI:AI)</f>
        <v>3</v>
      </c>
      <c r="AF48">
        <f>SUMIF(RawData!$C:$C,$A48,RawData!AJ:AJ)</f>
        <v>3</v>
      </c>
      <c r="AG48">
        <f>SUMIF(RawData!$C:$C,$A48,RawData!AK:AK)</f>
        <v>3</v>
      </c>
      <c r="AH48">
        <f>SUMIF(RawData!$C:$C,$A48,RawData!AL:AL)</f>
        <v>3</v>
      </c>
      <c r="AI48">
        <f>SUMIF(RawData!$C:$C,$A48,RawData!AM:AM)</f>
        <v>3</v>
      </c>
      <c r="AJ48">
        <f>SUMIF(RawData!$C:$C,$A48,RawData!AN:AN)</f>
        <v>3</v>
      </c>
      <c r="AK48">
        <f>SUMIF(RawData!$C:$C,$A48,RawData!AO:AO)</f>
        <v>3</v>
      </c>
      <c r="AL48">
        <f>SUMIF(RawData!$C:$C,$A48,RawData!AP:AP)</f>
        <v>3</v>
      </c>
      <c r="AM48">
        <f>SUMIF(RawData!$C:$C,$A48,RawData!AQ:AQ)</f>
        <v>3</v>
      </c>
      <c r="AN48">
        <f>SUMIF(RawData!$C:$C,$A48,RawData!AR:AR)</f>
        <v>3</v>
      </c>
      <c r="AO48">
        <f>SUMIF(RawData!$C:$C,$A48,RawData!AS:AS)</f>
        <v>3</v>
      </c>
      <c r="AP48">
        <f>SUMIF(RawData!$C:$C,$A48,RawData!AT:AT)</f>
        <v>3</v>
      </c>
      <c r="AQ48">
        <f>SUMIF(RawData!$C:$C,$A48,RawData!AU:AU)</f>
        <v>3</v>
      </c>
      <c r="AR48">
        <f>SUMIF(RawData!$C:$C,$A48,RawData!AV:AV)</f>
        <v>3</v>
      </c>
      <c r="AS48">
        <f>SUMIF(RawData!$C:$C,$A48,RawData!AW:AW)</f>
        <v>3</v>
      </c>
      <c r="AT48">
        <f>SUMIF(RawData!$C:$C,$A48,RawData!AX:AX)</f>
        <v>5</v>
      </c>
      <c r="AU48">
        <f>SUMIF(RawData!$C:$C,$A48,RawData!AY:AY)</f>
        <v>6</v>
      </c>
      <c r="AV48">
        <f>SUMIF(RawData!$C:$C,$A48,RawData!AZ:AZ)</f>
        <v>10</v>
      </c>
      <c r="AW48">
        <f>SUMIF(RawData!$C:$C,$A48,RawData!BA:BA)</f>
        <v>20</v>
      </c>
      <c r="AX48">
        <f>SUMIF(RawData!$C:$C,$A48,RawData!BB:BB)</f>
        <v>33</v>
      </c>
      <c r="AY48">
        <f>SUMIF(RawData!$C:$C,$A48,RawData!BC:BC)</f>
        <v>49</v>
      </c>
      <c r="AZ48">
        <f>SUMIF(RawData!$C:$C,$A48,RawData!BD:BD)</f>
        <v>52</v>
      </c>
      <c r="BA48">
        <f>SUMIF(RawData!$C:$C,$A48,RawData!BE:BE)</f>
        <v>64</v>
      </c>
      <c r="BB48">
        <f>SUMIF(RawData!$C:$C,$A48,RawData!BF:BF)</f>
        <v>111</v>
      </c>
      <c r="BC48">
        <f>SUMIF(RawData!$C:$C,$A48,RawData!BG:BG)</f>
        <v>140</v>
      </c>
      <c r="BD48">
        <f>SUMIF(RawData!$C:$C,$A48,RawData!BH:BH)</f>
        <v>0</v>
      </c>
      <c r="BE48">
        <f>SUMIF(RawData!$C:$C,$A48,RawData!BI:BI)</f>
        <v>0</v>
      </c>
      <c r="BF48">
        <f>SUMIF(RawData!$C:$C,$A48,RawData!BJ:BJ)</f>
        <v>0</v>
      </c>
      <c r="BG48">
        <f>SUMIF(RawData!$C:$C,$A48,RawData!BK:BK)</f>
        <v>0</v>
      </c>
      <c r="BH48">
        <f>SUMIF(RawData!$C:$C,$A48,RawData!BL:BL)</f>
        <v>0</v>
      </c>
      <c r="BI48">
        <f>SUMIF(RawData!$C:$C,$A48,RawData!BM:BM)</f>
        <v>0</v>
      </c>
      <c r="BJ48">
        <f>SUMIF(RawData!$C:$C,$A48,RawData!BN:BN)</f>
        <v>0</v>
      </c>
      <c r="BK48">
        <f>SUMIF(RawData!$C:$C,$A48,RawData!BO:BO)</f>
        <v>0</v>
      </c>
      <c r="BL48">
        <f>SUMIF(RawData!$C:$C,$A48,RawData!BP:BP)</f>
        <v>0</v>
      </c>
      <c r="BM48">
        <f>SUMIF(RawData!$C:$C,$A48,RawData!BQ:BQ)</f>
        <v>0</v>
      </c>
      <c r="BN48">
        <f>SUMIF(RawData!$C:$C,$A48,RawData!BR:BR)</f>
        <v>0</v>
      </c>
      <c r="BO48">
        <f>SUMIF(RawData!$C:$C,$A48,RawData!BS:BS)</f>
        <v>0</v>
      </c>
      <c r="BP48">
        <f>SUMIF(RawData!$C:$C,$A48,RawData!BT:BT)</f>
        <v>0</v>
      </c>
      <c r="BQ48">
        <f>SUMIF(RawData!$C:$C,$A48,RawData!BU:BU)</f>
        <v>0</v>
      </c>
      <c r="BR48">
        <f>SUMIF(RawData!$C:$C,$A48,RawData!BV:BV)</f>
        <v>0</v>
      </c>
      <c r="BS48">
        <f>SUMIF(RawData!$C:$C,$A48,RawData!BW:BW)</f>
        <v>0</v>
      </c>
      <c r="BT48">
        <f>SUMIF(RawData!$C:$C,$A48,RawData!BX:BX)</f>
        <v>0</v>
      </c>
    </row>
    <row r="49" spans="1:72" ht="15" thickBot="1" x14ac:dyDescent="0.35">
      <c r="A49" s="4" t="s">
        <v>370</v>
      </c>
      <c r="B49">
        <f>SUMIF(RawData!$C:$C,$A49,RawData!F:F)</f>
        <v>1</v>
      </c>
      <c r="C49">
        <f>SUMIF(RawData!$C:$C,$A49,RawData!G:G)</f>
        <v>1</v>
      </c>
      <c r="D49">
        <f>SUMIF(RawData!$C:$C,$A49,RawData!H:H)</f>
        <v>3</v>
      </c>
      <c r="E49">
        <f>SUMIF(RawData!$C:$C,$A49,RawData!I:I)</f>
        <v>3</v>
      </c>
      <c r="F49">
        <f>SUMIF(RawData!$C:$C,$A49,RawData!J:J)</f>
        <v>4</v>
      </c>
      <c r="G49">
        <f>SUMIF(RawData!$C:$C,$A49,RawData!K:K)</f>
        <v>5</v>
      </c>
      <c r="H49">
        <f>SUMIF(RawData!$C:$C,$A49,RawData!L:L)</f>
        <v>8</v>
      </c>
      <c r="I49">
        <f>SUMIF(RawData!$C:$C,$A49,RawData!M:M)</f>
        <v>8</v>
      </c>
      <c r="J49">
        <f>SUMIF(RawData!$C:$C,$A49,RawData!N:N)</f>
        <v>9</v>
      </c>
      <c r="K49">
        <f>SUMIF(RawData!$C:$C,$A49,RawData!O:O)</f>
        <v>10</v>
      </c>
      <c r="L49">
        <f>SUMIF(RawData!$C:$C,$A49,RawData!P:P)</f>
        <v>10</v>
      </c>
      <c r="M49">
        <f>SUMIF(RawData!$C:$C,$A49,RawData!Q:Q)</f>
        <v>10</v>
      </c>
      <c r="N49">
        <f>SUMIF(RawData!$C:$C,$A49,RawData!R:R)</f>
        <v>10</v>
      </c>
      <c r="O49">
        <f>SUMIF(RawData!$C:$C,$A49,RawData!S:S)</f>
        <v>11</v>
      </c>
      <c r="P49">
        <f>SUMIF(RawData!$C:$C,$A49,RawData!T:T)</f>
        <v>11</v>
      </c>
      <c r="Q49">
        <f>SUMIF(RawData!$C:$C,$A49,RawData!U:U)</f>
        <v>16</v>
      </c>
      <c r="R49">
        <f>SUMIF(RawData!$C:$C,$A49,RawData!V:V)</f>
        <v>16</v>
      </c>
      <c r="S49">
        <f>SUMIF(RawData!$C:$C,$A49,RawData!W:W)</f>
        <v>17</v>
      </c>
      <c r="T49">
        <f>SUMIF(RawData!$C:$C,$A49,RawData!X:X)</f>
        <v>18</v>
      </c>
      <c r="U49">
        <f>SUMIF(RawData!$C:$C,$A49,RawData!Y:Y)</f>
        <v>18</v>
      </c>
      <c r="V49">
        <f>SUMIF(RawData!$C:$C,$A49,RawData!Z:Z)</f>
        <v>18</v>
      </c>
      <c r="W49">
        <f>SUMIF(RawData!$C:$C,$A49,RawData!AA:AA)</f>
        <v>18</v>
      </c>
      <c r="X49">
        <f>SUMIF(RawData!$C:$C,$A49,RawData!AB:AB)</f>
        <v>18</v>
      </c>
      <c r="Y49">
        <f>SUMIF(RawData!$C:$C,$A49,RawData!AC:AC)</f>
        <v>18</v>
      </c>
      <c r="Z49">
        <f>SUMIF(RawData!$C:$C,$A49,RawData!AD:AD)</f>
        <v>18</v>
      </c>
      <c r="AA49">
        <f>SUMIF(RawData!$C:$C,$A49,RawData!AE:AE)</f>
        <v>20</v>
      </c>
      <c r="AB49">
        <f>SUMIF(RawData!$C:$C,$A49,RawData!AF:AF)</f>
        <v>22</v>
      </c>
      <c r="AC49">
        <f>SUMIF(RawData!$C:$C,$A49,RawData!AG:AG)</f>
        <v>22</v>
      </c>
      <c r="AD49">
        <f>SUMIF(RawData!$C:$C,$A49,RawData!AH:AH)</f>
        <v>23</v>
      </c>
      <c r="AE49">
        <f>SUMIF(RawData!$C:$C,$A49,RawData!AI:AI)</f>
        <v>24</v>
      </c>
      <c r="AF49">
        <f>SUMIF(RawData!$C:$C,$A49,RawData!AJ:AJ)</f>
        <v>26</v>
      </c>
      <c r="AG49">
        <f>SUMIF(RawData!$C:$C,$A49,RawData!AK:AK)</f>
        <v>26</v>
      </c>
      <c r="AH49">
        <f>SUMIF(RawData!$C:$C,$A49,RawData!AL:AL)</f>
        <v>28</v>
      </c>
      <c r="AI49">
        <f>SUMIF(RawData!$C:$C,$A49,RawData!AM:AM)</f>
        <v>30</v>
      </c>
      <c r="AJ49">
        <f>SUMIF(RawData!$C:$C,$A49,RawData!AN:AN)</f>
        <v>31</v>
      </c>
      <c r="AK49">
        <f>SUMIF(RawData!$C:$C,$A49,RawData!AO:AO)</f>
        <v>32</v>
      </c>
      <c r="AL49">
        <f>SUMIF(RawData!$C:$C,$A49,RawData!AP:AP)</f>
        <v>32</v>
      </c>
      <c r="AM49">
        <f>SUMIF(RawData!$C:$C,$A49,RawData!AQ:AQ)</f>
        <v>34</v>
      </c>
      <c r="AN49">
        <f>SUMIF(RawData!$C:$C,$A49,RawData!AR:AR)</f>
        <v>39</v>
      </c>
      <c r="AO49">
        <f>SUMIF(RawData!$C:$C,$A49,RawData!AS:AS)</f>
        <v>40</v>
      </c>
      <c r="AP49">
        <f>SUMIF(RawData!$C:$C,$A49,RawData!AT:AT)</f>
        <v>41</v>
      </c>
      <c r="AQ49">
        <f>SUMIF(RawData!$C:$C,$A49,RawData!AU:AU)</f>
        <v>42</v>
      </c>
      <c r="AR49">
        <f>SUMIF(RawData!$C:$C,$A49,RawData!AV:AV)</f>
        <v>42</v>
      </c>
      <c r="AS49">
        <f>SUMIF(RawData!$C:$C,$A49,RawData!AW:AW)</f>
        <v>44</v>
      </c>
      <c r="AT49">
        <f>SUMIF(RawData!$C:$C,$A49,RawData!AX:AX)</f>
        <v>45</v>
      </c>
      <c r="AU49">
        <f>SUMIF(RawData!$C:$C,$A49,RawData!AY:AY)</f>
        <v>45</v>
      </c>
      <c r="AV49">
        <f>SUMIF(RawData!$C:$C,$A49,RawData!AZ:AZ)</f>
        <v>45</v>
      </c>
      <c r="AW49">
        <f>SUMIF(RawData!$C:$C,$A49,RawData!BA:BA)</f>
        <v>45</v>
      </c>
      <c r="AX49">
        <f>SUMIF(RawData!$C:$C,$A49,RawData!BB:BB)</f>
        <v>47</v>
      </c>
      <c r="AY49">
        <f>SUMIF(RawData!$C:$C,$A49,RawData!BC:BC)</f>
        <v>48</v>
      </c>
      <c r="AZ49">
        <f>SUMIF(RawData!$C:$C,$A49,RawData!BD:BD)</f>
        <v>49</v>
      </c>
      <c r="BA49">
        <f>SUMIF(RawData!$C:$C,$A49,RawData!BE:BE)</f>
        <v>50</v>
      </c>
      <c r="BB49">
        <f>SUMIF(RawData!$C:$C,$A49,RawData!BF:BF)</f>
        <v>53</v>
      </c>
      <c r="BC49">
        <f>SUMIF(RawData!$C:$C,$A49,RawData!BG:BG)</f>
        <v>59</v>
      </c>
      <c r="BD49">
        <f>SUMIF(RawData!$C:$C,$A49,RawData!BH:BH)</f>
        <v>0</v>
      </c>
      <c r="BE49">
        <f>SUMIF(RawData!$C:$C,$A49,RawData!BI:BI)</f>
        <v>0</v>
      </c>
      <c r="BF49">
        <f>SUMIF(RawData!$C:$C,$A49,RawData!BJ:BJ)</f>
        <v>0</v>
      </c>
      <c r="BG49">
        <f>SUMIF(RawData!$C:$C,$A49,RawData!BK:BK)</f>
        <v>0</v>
      </c>
      <c r="BH49">
        <f>SUMIF(RawData!$C:$C,$A49,RawData!BL:BL)</f>
        <v>0</v>
      </c>
      <c r="BI49">
        <f>SUMIF(RawData!$C:$C,$A49,RawData!BM:BM)</f>
        <v>0</v>
      </c>
      <c r="BJ49">
        <f>SUMIF(RawData!$C:$C,$A49,RawData!BN:BN)</f>
        <v>0</v>
      </c>
      <c r="BK49">
        <f>SUMIF(RawData!$C:$C,$A49,RawData!BO:BO)</f>
        <v>0</v>
      </c>
      <c r="BL49">
        <f>SUMIF(RawData!$C:$C,$A49,RawData!BP:BP)</f>
        <v>0</v>
      </c>
      <c r="BM49">
        <f>SUMIF(RawData!$C:$C,$A49,RawData!BQ:BQ)</f>
        <v>0</v>
      </c>
      <c r="BN49">
        <f>SUMIF(RawData!$C:$C,$A49,RawData!BR:BR)</f>
        <v>0</v>
      </c>
      <c r="BO49">
        <f>SUMIF(RawData!$C:$C,$A49,RawData!BS:BS)</f>
        <v>0</v>
      </c>
      <c r="BP49">
        <f>SUMIF(RawData!$C:$C,$A49,RawData!BT:BT)</f>
        <v>0</v>
      </c>
      <c r="BQ49">
        <f>SUMIF(RawData!$C:$C,$A49,RawData!BU:BU)</f>
        <v>0</v>
      </c>
      <c r="BR49">
        <f>SUMIF(RawData!$C:$C,$A49,RawData!BV:BV)</f>
        <v>0</v>
      </c>
      <c r="BS49">
        <f>SUMIF(RawData!$C:$C,$A49,RawData!BW:BW)</f>
        <v>0</v>
      </c>
      <c r="BT49">
        <f>SUMIF(RawData!$C:$C,$A49,RawData!BX:BX)</f>
        <v>0</v>
      </c>
    </row>
    <row r="50" spans="1:72" ht="15" thickBot="1" x14ac:dyDescent="0.35">
      <c r="A50" s="5" t="s">
        <v>371</v>
      </c>
      <c r="B50">
        <f>SUMIF(RawData!$C:$C,$A50,RawData!F:F)</f>
        <v>0</v>
      </c>
      <c r="C50">
        <f>SUMIF(RawData!$C:$C,$A50,RawData!G:G)</f>
        <v>2</v>
      </c>
      <c r="D50">
        <f>SUMIF(RawData!$C:$C,$A50,RawData!H:H)</f>
        <v>2</v>
      </c>
      <c r="E50">
        <f>SUMIF(RawData!$C:$C,$A50,RawData!I:I)</f>
        <v>2</v>
      </c>
      <c r="F50">
        <f>SUMIF(RawData!$C:$C,$A50,RawData!J:J)</f>
        <v>2</v>
      </c>
      <c r="G50">
        <f>SUMIF(RawData!$C:$C,$A50,RawData!K:K)</f>
        <v>2</v>
      </c>
      <c r="H50">
        <f>SUMIF(RawData!$C:$C,$A50,RawData!L:L)</f>
        <v>2</v>
      </c>
      <c r="I50">
        <f>SUMIF(RawData!$C:$C,$A50,RawData!M:M)</f>
        <v>2</v>
      </c>
      <c r="J50">
        <f>SUMIF(RawData!$C:$C,$A50,RawData!N:N)</f>
        <v>2</v>
      </c>
      <c r="K50">
        <f>SUMIF(RawData!$C:$C,$A50,RawData!O:O)</f>
        <v>2</v>
      </c>
      <c r="L50">
        <f>SUMIF(RawData!$C:$C,$A50,RawData!P:P)</f>
        <v>6</v>
      </c>
      <c r="M50">
        <f>SUMIF(RawData!$C:$C,$A50,RawData!Q:Q)</f>
        <v>6</v>
      </c>
      <c r="N50">
        <f>SUMIF(RawData!$C:$C,$A50,RawData!R:R)</f>
        <v>8</v>
      </c>
      <c r="O50">
        <f>SUMIF(RawData!$C:$C,$A50,RawData!S:S)</f>
        <v>8</v>
      </c>
      <c r="P50">
        <f>SUMIF(RawData!$C:$C,$A50,RawData!T:T)</f>
        <v>8</v>
      </c>
      <c r="Q50">
        <f>SUMIF(RawData!$C:$C,$A50,RawData!U:U)</f>
        <v>10</v>
      </c>
      <c r="R50">
        <f>SUMIF(RawData!$C:$C,$A50,RawData!V:V)</f>
        <v>10</v>
      </c>
      <c r="S50">
        <f>SUMIF(RawData!$C:$C,$A50,RawData!W:W)</f>
        <v>13</v>
      </c>
      <c r="T50">
        <f>SUMIF(RawData!$C:$C,$A50,RawData!X:X)</f>
        <v>13</v>
      </c>
      <c r="U50">
        <f>SUMIF(RawData!$C:$C,$A50,RawData!Y:Y)</f>
        <v>14</v>
      </c>
      <c r="V50">
        <f>SUMIF(RawData!$C:$C,$A50,RawData!Z:Z)</f>
        <v>15</v>
      </c>
      <c r="W50">
        <f>SUMIF(RawData!$C:$C,$A50,RawData!AA:AA)</f>
        <v>15</v>
      </c>
      <c r="X50">
        <f>SUMIF(RawData!$C:$C,$A50,RawData!AB:AB)</f>
        <v>16</v>
      </c>
      <c r="Y50">
        <f>SUMIF(RawData!$C:$C,$A50,RawData!AC:AC)</f>
        <v>16</v>
      </c>
      <c r="Z50">
        <f>SUMIF(RawData!$C:$C,$A50,RawData!AD:AD)</f>
        <v>16</v>
      </c>
      <c r="AA50">
        <f>SUMIF(RawData!$C:$C,$A50,RawData!AE:AE)</f>
        <v>16</v>
      </c>
      <c r="AB50">
        <f>SUMIF(RawData!$C:$C,$A50,RawData!AF:AF)</f>
        <v>16</v>
      </c>
      <c r="AC50">
        <f>SUMIF(RawData!$C:$C,$A50,RawData!AG:AG)</f>
        <v>16</v>
      </c>
      <c r="AD50">
        <f>SUMIF(RawData!$C:$C,$A50,RawData!AH:AH)</f>
        <v>16</v>
      </c>
      <c r="AE50">
        <f>SUMIF(RawData!$C:$C,$A50,RawData!AI:AI)</f>
        <v>16</v>
      </c>
      <c r="AF50">
        <f>SUMIF(RawData!$C:$C,$A50,RawData!AJ:AJ)</f>
        <v>16</v>
      </c>
      <c r="AG50">
        <f>SUMIF(RawData!$C:$C,$A50,RawData!AK:AK)</f>
        <v>16</v>
      </c>
      <c r="AH50">
        <f>SUMIF(RawData!$C:$C,$A50,RawData!AL:AL)</f>
        <v>16</v>
      </c>
      <c r="AI50">
        <f>SUMIF(RawData!$C:$C,$A50,RawData!AM:AM)</f>
        <v>16</v>
      </c>
      <c r="AJ50">
        <f>SUMIF(RawData!$C:$C,$A50,RawData!AN:AN)</f>
        <v>16</v>
      </c>
      <c r="AK50">
        <f>SUMIF(RawData!$C:$C,$A50,RawData!AO:AO)</f>
        <v>16</v>
      </c>
      <c r="AL50">
        <f>SUMIF(RawData!$C:$C,$A50,RawData!AP:AP)</f>
        <v>16</v>
      </c>
      <c r="AM50">
        <f>SUMIF(RawData!$C:$C,$A50,RawData!AQ:AQ)</f>
        <v>16</v>
      </c>
      <c r="AN50">
        <f>SUMIF(RawData!$C:$C,$A50,RawData!AR:AR)</f>
        <v>16</v>
      </c>
      <c r="AO50">
        <f>SUMIF(RawData!$C:$C,$A50,RawData!AS:AS)</f>
        <v>16</v>
      </c>
      <c r="AP50">
        <f>SUMIF(RawData!$C:$C,$A50,RawData!AT:AT)</f>
        <v>16</v>
      </c>
      <c r="AQ50">
        <f>SUMIF(RawData!$C:$C,$A50,RawData!AU:AU)</f>
        <v>16</v>
      </c>
      <c r="AR50">
        <f>SUMIF(RawData!$C:$C,$A50,RawData!AV:AV)</f>
        <v>16</v>
      </c>
      <c r="AS50">
        <f>SUMIF(RawData!$C:$C,$A50,RawData!AW:AW)</f>
        <v>16</v>
      </c>
      <c r="AT50">
        <f>SUMIF(RawData!$C:$C,$A50,RawData!AX:AX)</f>
        <v>16</v>
      </c>
      <c r="AU50">
        <f>SUMIF(RawData!$C:$C,$A50,RawData!AY:AY)</f>
        <v>18</v>
      </c>
      <c r="AV50">
        <f>SUMIF(RawData!$C:$C,$A50,RawData!AZ:AZ)</f>
        <v>30</v>
      </c>
      <c r="AW50">
        <f>SUMIF(RawData!$C:$C,$A50,RawData!BA:BA)</f>
        <v>30</v>
      </c>
      <c r="AX50">
        <f>SUMIF(RawData!$C:$C,$A50,RawData!BB:BB)</f>
        <v>31</v>
      </c>
      <c r="AY50">
        <f>SUMIF(RawData!$C:$C,$A50,RawData!BC:BC)</f>
        <v>38</v>
      </c>
      <c r="AZ50">
        <f>SUMIF(RawData!$C:$C,$A50,RawData!BD:BD)</f>
        <v>39</v>
      </c>
      <c r="BA50">
        <f>SUMIF(RawData!$C:$C,$A50,RawData!BE:BE)</f>
        <v>47</v>
      </c>
      <c r="BB50">
        <f>SUMIF(RawData!$C:$C,$A50,RawData!BF:BF)</f>
        <v>53</v>
      </c>
      <c r="BC50">
        <f>SUMIF(RawData!$C:$C,$A50,RawData!BG:BG)</f>
        <v>56</v>
      </c>
      <c r="BD50">
        <f>SUMIF(RawData!$C:$C,$A50,RawData!BH:BH)</f>
        <v>0</v>
      </c>
      <c r="BE50">
        <f>SUMIF(RawData!$C:$C,$A50,RawData!BI:BI)</f>
        <v>0</v>
      </c>
      <c r="BF50">
        <f>SUMIF(RawData!$C:$C,$A50,RawData!BJ:BJ)</f>
        <v>0</v>
      </c>
      <c r="BG50">
        <f>SUMIF(RawData!$C:$C,$A50,RawData!BK:BK)</f>
        <v>0</v>
      </c>
      <c r="BH50">
        <f>SUMIF(RawData!$C:$C,$A50,RawData!BL:BL)</f>
        <v>0</v>
      </c>
      <c r="BI50">
        <f>SUMIF(RawData!$C:$C,$A50,RawData!BM:BM)</f>
        <v>0</v>
      </c>
      <c r="BJ50">
        <f>SUMIF(RawData!$C:$C,$A50,RawData!BN:BN)</f>
        <v>0</v>
      </c>
      <c r="BK50">
        <f>SUMIF(RawData!$C:$C,$A50,RawData!BO:BO)</f>
        <v>0</v>
      </c>
      <c r="BL50">
        <f>SUMIF(RawData!$C:$C,$A50,RawData!BP:BP)</f>
        <v>0</v>
      </c>
      <c r="BM50">
        <f>SUMIF(RawData!$C:$C,$A50,RawData!BQ:BQ)</f>
        <v>0</v>
      </c>
      <c r="BN50">
        <f>SUMIF(RawData!$C:$C,$A50,RawData!BR:BR)</f>
        <v>0</v>
      </c>
      <c r="BO50">
        <f>SUMIF(RawData!$C:$C,$A50,RawData!BS:BS)</f>
        <v>0</v>
      </c>
      <c r="BP50">
        <f>SUMIF(RawData!$C:$C,$A50,RawData!BT:BT)</f>
        <v>0</v>
      </c>
      <c r="BQ50">
        <f>SUMIF(RawData!$C:$C,$A50,RawData!BU:BU)</f>
        <v>0</v>
      </c>
      <c r="BR50">
        <f>SUMIF(RawData!$C:$C,$A50,RawData!BV:BV)</f>
        <v>0</v>
      </c>
      <c r="BS50">
        <f>SUMIF(RawData!$C:$C,$A50,RawData!BW:BW)</f>
        <v>0</v>
      </c>
      <c r="BT50">
        <f>SUMIF(RawData!$C:$C,$A50,RawData!BX:BX)</f>
        <v>0</v>
      </c>
    </row>
    <row r="51" spans="1:72" ht="15" thickBot="1" x14ac:dyDescent="0.35">
      <c r="A51" s="4" t="s">
        <v>372</v>
      </c>
      <c r="B51">
        <f>SUMIF(RawData!$C:$C,$A51,RawData!F:F)</f>
        <v>0</v>
      </c>
      <c r="C51">
        <f>SUMIF(RawData!$C:$C,$A51,RawData!G:G)</f>
        <v>0</v>
      </c>
      <c r="D51">
        <f>SUMIF(RawData!$C:$C,$A51,RawData!H:H)</f>
        <v>0</v>
      </c>
      <c r="E51">
        <f>SUMIF(RawData!$C:$C,$A51,RawData!I:I)</f>
        <v>0</v>
      </c>
      <c r="F51">
        <f>SUMIF(RawData!$C:$C,$A51,RawData!J:J)</f>
        <v>0</v>
      </c>
      <c r="G51">
        <f>SUMIF(RawData!$C:$C,$A51,RawData!K:K)</f>
        <v>0</v>
      </c>
      <c r="H51">
        <f>SUMIF(RawData!$C:$C,$A51,RawData!L:L)</f>
        <v>0</v>
      </c>
      <c r="I51">
        <f>SUMIF(RawData!$C:$C,$A51,RawData!M:M)</f>
        <v>0</v>
      </c>
      <c r="J51">
        <f>SUMIF(RawData!$C:$C,$A51,RawData!N:N)</f>
        <v>0</v>
      </c>
      <c r="K51">
        <f>SUMIF(RawData!$C:$C,$A51,RawData!O:O)</f>
        <v>2</v>
      </c>
      <c r="L51">
        <f>SUMIF(RawData!$C:$C,$A51,RawData!P:P)</f>
        <v>2</v>
      </c>
      <c r="M51">
        <f>SUMIF(RawData!$C:$C,$A51,RawData!Q:Q)</f>
        <v>2</v>
      </c>
      <c r="N51">
        <f>SUMIF(RawData!$C:$C,$A51,RawData!R:R)</f>
        <v>2</v>
      </c>
      <c r="O51">
        <f>SUMIF(RawData!$C:$C,$A51,RawData!S:S)</f>
        <v>2</v>
      </c>
      <c r="P51">
        <f>SUMIF(RawData!$C:$C,$A51,RawData!T:T)</f>
        <v>2</v>
      </c>
      <c r="Q51">
        <f>SUMIF(RawData!$C:$C,$A51,RawData!U:U)</f>
        <v>2</v>
      </c>
      <c r="R51">
        <f>SUMIF(RawData!$C:$C,$A51,RawData!V:V)</f>
        <v>2</v>
      </c>
      <c r="S51">
        <f>SUMIF(RawData!$C:$C,$A51,RawData!W:W)</f>
        <v>2</v>
      </c>
      <c r="T51">
        <f>SUMIF(RawData!$C:$C,$A51,RawData!X:X)</f>
        <v>2</v>
      </c>
      <c r="U51">
        <f>SUMIF(RawData!$C:$C,$A51,RawData!Y:Y)</f>
        <v>2</v>
      </c>
      <c r="V51">
        <f>SUMIF(RawData!$C:$C,$A51,RawData!Z:Z)</f>
        <v>2</v>
      </c>
      <c r="W51">
        <f>SUMIF(RawData!$C:$C,$A51,RawData!AA:AA)</f>
        <v>2</v>
      </c>
      <c r="X51">
        <f>SUMIF(RawData!$C:$C,$A51,RawData!AB:AB)</f>
        <v>2</v>
      </c>
      <c r="Y51">
        <f>SUMIF(RawData!$C:$C,$A51,RawData!AC:AC)</f>
        <v>2</v>
      </c>
      <c r="Z51">
        <f>SUMIF(RawData!$C:$C,$A51,RawData!AD:AD)</f>
        <v>2</v>
      </c>
      <c r="AA51">
        <f>SUMIF(RawData!$C:$C,$A51,RawData!AE:AE)</f>
        <v>2</v>
      </c>
      <c r="AB51">
        <f>SUMIF(RawData!$C:$C,$A51,RawData!AF:AF)</f>
        <v>2</v>
      </c>
      <c r="AC51">
        <f>SUMIF(RawData!$C:$C,$A51,RawData!AG:AG)</f>
        <v>2</v>
      </c>
      <c r="AD51">
        <f>SUMIF(RawData!$C:$C,$A51,RawData!AH:AH)</f>
        <v>2</v>
      </c>
      <c r="AE51">
        <f>SUMIF(RawData!$C:$C,$A51,RawData!AI:AI)</f>
        <v>2</v>
      </c>
      <c r="AF51">
        <f>SUMIF(RawData!$C:$C,$A51,RawData!AJ:AJ)</f>
        <v>2</v>
      </c>
      <c r="AG51">
        <f>SUMIF(RawData!$C:$C,$A51,RawData!AK:AK)</f>
        <v>2</v>
      </c>
      <c r="AH51">
        <f>SUMIF(RawData!$C:$C,$A51,RawData!AL:AL)</f>
        <v>2</v>
      </c>
      <c r="AI51">
        <f>SUMIF(RawData!$C:$C,$A51,RawData!AM:AM)</f>
        <v>2</v>
      </c>
      <c r="AJ51">
        <f>SUMIF(RawData!$C:$C,$A51,RawData!AN:AN)</f>
        <v>2</v>
      </c>
      <c r="AK51">
        <f>SUMIF(RawData!$C:$C,$A51,RawData!AO:AO)</f>
        <v>2</v>
      </c>
      <c r="AL51">
        <f>SUMIF(RawData!$C:$C,$A51,RawData!AP:AP)</f>
        <v>2</v>
      </c>
      <c r="AM51">
        <f>SUMIF(RawData!$C:$C,$A51,RawData!AQ:AQ)</f>
        <v>2</v>
      </c>
      <c r="AN51">
        <f>SUMIF(RawData!$C:$C,$A51,RawData!AR:AR)</f>
        <v>2</v>
      </c>
      <c r="AO51">
        <f>SUMIF(RawData!$C:$C,$A51,RawData!AS:AS)</f>
        <v>2</v>
      </c>
      <c r="AP51">
        <f>SUMIF(RawData!$C:$C,$A51,RawData!AT:AT)</f>
        <v>3</v>
      </c>
      <c r="AQ51">
        <f>SUMIF(RawData!$C:$C,$A51,RawData!AU:AU)</f>
        <v>3</v>
      </c>
      <c r="AR51">
        <f>SUMIF(RawData!$C:$C,$A51,RawData!AV:AV)</f>
        <v>3</v>
      </c>
      <c r="AS51">
        <f>SUMIF(RawData!$C:$C,$A51,RawData!AW:AW)</f>
        <v>4</v>
      </c>
      <c r="AT51">
        <f>SUMIF(RawData!$C:$C,$A51,RawData!AX:AX)</f>
        <v>13</v>
      </c>
      <c r="AU51">
        <f>SUMIF(RawData!$C:$C,$A51,RawData!AY:AY)</f>
        <v>13</v>
      </c>
      <c r="AV51">
        <f>SUMIF(RawData!$C:$C,$A51,RawData!AZ:AZ)</f>
        <v>17</v>
      </c>
      <c r="AW51">
        <f>SUMIF(RawData!$C:$C,$A51,RawData!BA:BA)</f>
        <v>17</v>
      </c>
      <c r="AX51">
        <f>SUMIF(RawData!$C:$C,$A51,RawData!BB:BB)</f>
        <v>20</v>
      </c>
      <c r="AY51">
        <f>SUMIF(RawData!$C:$C,$A51,RawData!BC:BC)</f>
        <v>20</v>
      </c>
      <c r="AZ51">
        <f>SUMIF(RawData!$C:$C,$A51,RawData!BD:BD)</f>
        <v>28</v>
      </c>
      <c r="BA51">
        <f>SUMIF(RawData!$C:$C,$A51,RawData!BE:BE)</f>
        <v>45</v>
      </c>
      <c r="BB51">
        <f>SUMIF(RawData!$C:$C,$A51,RawData!BF:BF)</f>
        <v>59</v>
      </c>
      <c r="BC51">
        <f>SUMIF(RawData!$C:$C,$A51,RawData!BG:BG)</f>
        <v>63</v>
      </c>
      <c r="BD51">
        <f>SUMIF(RawData!$C:$C,$A51,RawData!BH:BH)</f>
        <v>0</v>
      </c>
      <c r="BE51">
        <f>SUMIF(RawData!$C:$C,$A51,RawData!BI:BI)</f>
        <v>0</v>
      </c>
      <c r="BF51">
        <f>SUMIF(RawData!$C:$C,$A51,RawData!BJ:BJ)</f>
        <v>0</v>
      </c>
      <c r="BG51">
        <f>SUMIF(RawData!$C:$C,$A51,RawData!BK:BK)</f>
        <v>0</v>
      </c>
      <c r="BH51">
        <f>SUMIF(RawData!$C:$C,$A51,RawData!BL:BL)</f>
        <v>0</v>
      </c>
      <c r="BI51">
        <f>SUMIF(RawData!$C:$C,$A51,RawData!BM:BM)</f>
        <v>0</v>
      </c>
      <c r="BJ51">
        <f>SUMIF(RawData!$C:$C,$A51,RawData!BN:BN)</f>
        <v>0</v>
      </c>
      <c r="BK51">
        <f>SUMIF(RawData!$C:$C,$A51,RawData!BO:BO)</f>
        <v>0</v>
      </c>
      <c r="BL51">
        <f>SUMIF(RawData!$C:$C,$A51,RawData!BP:BP)</f>
        <v>0</v>
      </c>
      <c r="BM51">
        <f>SUMIF(RawData!$C:$C,$A51,RawData!BQ:BQ)</f>
        <v>0</v>
      </c>
      <c r="BN51">
        <f>SUMIF(RawData!$C:$C,$A51,RawData!BR:BR)</f>
        <v>0</v>
      </c>
      <c r="BO51">
        <f>SUMIF(RawData!$C:$C,$A51,RawData!BS:BS)</f>
        <v>0</v>
      </c>
      <c r="BP51">
        <f>SUMIF(RawData!$C:$C,$A51,RawData!BT:BT)</f>
        <v>0</v>
      </c>
      <c r="BQ51">
        <f>SUMIF(RawData!$C:$C,$A51,RawData!BU:BU)</f>
        <v>0</v>
      </c>
      <c r="BR51">
        <f>SUMIF(RawData!$C:$C,$A51,RawData!BV:BV)</f>
        <v>0</v>
      </c>
      <c r="BS51">
        <f>SUMIF(RawData!$C:$C,$A51,RawData!BW:BW)</f>
        <v>0</v>
      </c>
      <c r="BT51">
        <f>SUMIF(RawData!$C:$C,$A51,RawData!BX:BX)</f>
        <v>0</v>
      </c>
    </row>
    <row r="52" spans="1:72" ht="15" thickBot="1" x14ac:dyDescent="0.35">
      <c r="A52" s="4" t="s">
        <v>151</v>
      </c>
      <c r="B52">
        <f>SUMIF(RawData!$C:$C,$A52,RawData!F:F)</f>
        <v>0</v>
      </c>
      <c r="C52">
        <f>SUMIF(RawData!$C:$C,$A52,RawData!G:G)</f>
        <v>0</v>
      </c>
      <c r="D52">
        <f>SUMIF(RawData!$C:$C,$A52,RawData!H:H)</f>
        <v>0</v>
      </c>
      <c r="E52">
        <f>SUMIF(RawData!$C:$C,$A52,RawData!I:I)</f>
        <v>0</v>
      </c>
      <c r="F52">
        <f>SUMIF(RawData!$C:$C,$A52,RawData!J:J)</f>
        <v>0</v>
      </c>
      <c r="G52">
        <f>SUMIF(RawData!$C:$C,$A52,RawData!K:K)</f>
        <v>0</v>
      </c>
      <c r="H52">
        <f>SUMIF(RawData!$C:$C,$A52,RawData!L:L)</f>
        <v>0</v>
      </c>
      <c r="I52">
        <f>SUMIF(RawData!$C:$C,$A52,RawData!M:M)</f>
        <v>0</v>
      </c>
      <c r="J52">
        <f>SUMIF(RawData!$C:$C,$A52,RawData!N:N)</f>
        <v>0</v>
      </c>
      <c r="K52">
        <f>SUMIF(RawData!$C:$C,$A52,RawData!O:O)</f>
        <v>0</v>
      </c>
      <c r="L52">
        <f>SUMIF(RawData!$C:$C,$A52,RawData!P:P)</f>
        <v>0</v>
      </c>
      <c r="M52">
        <f>SUMIF(RawData!$C:$C,$A52,RawData!Q:Q)</f>
        <v>0</v>
      </c>
      <c r="N52">
        <f>SUMIF(RawData!$C:$C,$A52,RawData!R:R)</f>
        <v>0</v>
      </c>
      <c r="O52">
        <f>SUMIF(RawData!$C:$C,$A52,RawData!S:S)</f>
        <v>0</v>
      </c>
      <c r="P52">
        <f>SUMIF(RawData!$C:$C,$A52,RawData!T:T)</f>
        <v>0</v>
      </c>
      <c r="Q52">
        <f>SUMIF(RawData!$C:$C,$A52,RawData!U:U)</f>
        <v>0</v>
      </c>
      <c r="R52">
        <f>SUMIF(RawData!$C:$C,$A52,RawData!V:V)</f>
        <v>0</v>
      </c>
      <c r="S52">
        <f>SUMIF(RawData!$C:$C,$A52,RawData!W:W)</f>
        <v>0</v>
      </c>
      <c r="T52">
        <f>SUMIF(RawData!$C:$C,$A52,RawData!X:X)</f>
        <v>0</v>
      </c>
      <c r="U52">
        <f>SUMIF(RawData!$C:$C,$A52,RawData!Y:Y)</f>
        <v>0</v>
      </c>
      <c r="V52">
        <f>SUMIF(RawData!$C:$C,$A52,RawData!Z:Z)</f>
        <v>0</v>
      </c>
      <c r="W52">
        <f>SUMIF(RawData!$C:$C,$A52,RawData!AA:AA)</f>
        <v>0</v>
      </c>
      <c r="X52">
        <f>SUMIF(RawData!$C:$C,$A52,RawData!AB:AB)</f>
        <v>0</v>
      </c>
      <c r="Y52">
        <f>SUMIF(RawData!$C:$C,$A52,RawData!AC:AC)</f>
        <v>0</v>
      </c>
      <c r="Z52">
        <f>SUMIF(RawData!$C:$C,$A52,RawData!AD:AD)</f>
        <v>0</v>
      </c>
      <c r="AA52">
        <f>SUMIF(RawData!$C:$C,$A52,RawData!AE:AE)</f>
        <v>0</v>
      </c>
      <c r="AB52">
        <f>SUMIF(RawData!$C:$C,$A52,RawData!AF:AF)</f>
        <v>0</v>
      </c>
      <c r="AC52">
        <f>SUMIF(RawData!$C:$C,$A52,RawData!AG:AG)</f>
        <v>0</v>
      </c>
      <c r="AD52">
        <f>SUMIF(RawData!$C:$C,$A52,RawData!AH:AH)</f>
        <v>0</v>
      </c>
      <c r="AE52">
        <f>SUMIF(RawData!$C:$C,$A52,RawData!AI:AI)</f>
        <v>0</v>
      </c>
      <c r="AF52">
        <f>SUMIF(RawData!$C:$C,$A52,RawData!AJ:AJ)</f>
        <v>0</v>
      </c>
      <c r="AG52">
        <f>SUMIF(RawData!$C:$C,$A52,RawData!AK:AK)</f>
        <v>0</v>
      </c>
      <c r="AH52">
        <f>SUMIF(RawData!$C:$C,$A52,RawData!AL:AL)</f>
        <v>0</v>
      </c>
      <c r="AI52">
        <f>SUMIF(RawData!$C:$C,$A52,RawData!AM:AM)</f>
        <v>0</v>
      </c>
      <c r="AJ52">
        <f>SUMIF(RawData!$C:$C,$A52,RawData!AN:AN)</f>
        <v>0</v>
      </c>
      <c r="AK52">
        <f>SUMIF(RawData!$C:$C,$A52,RawData!AO:AO)</f>
        <v>0</v>
      </c>
      <c r="AL52">
        <f>SUMIF(RawData!$C:$C,$A52,RawData!AP:AP)</f>
        <v>0</v>
      </c>
      <c r="AM52">
        <f>SUMIF(RawData!$C:$C,$A52,RawData!AQ:AQ)</f>
        <v>0</v>
      </c>
      <c r="AN52">
        <f>SUMIF(RawData!$C:$C,$A52,RawData!AR:AR)</f>
        <v>0</v>
      </c>
      <c r="AO52">
        <f>SUMIF(RawData!$C:$C,$A52,RawData!AS:AS)</f>
        <v>0</v>
      </c>
      <c r="AP52">
        <f>SUMIF(RawData!$C:$C,$A52,RawData!AT:AT)</f>
        <v>0</v>
      </c>
      <c r="AQ52">
        <f>SUMIF(RawData!$C:$C,$A52,RawData!AU:AU)</f>
        <v>1</v>
      </c>
      <c r="AR52">
        <f>SUMIF(RawData!$C:$C,$A52,RawData!AV:AV)</f>
        <v>1</v>
      </c>
      <c r="AS52">
        <f>SUMIF(RawData!$C:$C,$A52,RawData!AW:AW)</f>
        <v>4</v>
      </c>
      <c r="AT52">
        <f>SUMIF(RawData!$C:$C,$A52,RawData!AX:AX)</f>
        <v>4</v>
      </c>
      <c r="AU52">
        <f>SUMIF(RawData!$C:$C,$A52,RawData!AY:AY)</f>
        <v>4</v>
      </c>
      <c r="AV52">
        <f>SUMIF(RawData!$C:$C,$A52,RawData!AZ:AZ)</f>
        <v>8</v>
      </c>
      <c r="AW52">
        <f>SUMIF(RawData!$C:$C,$A52,RawData!BA:BA)</f>
        <v>8</v>
      </c>
      <c r="AX52">
        <f>SUMIF(RawData!$C:$C,$A52,RawData!BB:BB)</f>
        <v>13</v>
      </c>
      <c r="AY52">
        <f>SUMIF(RawData!$C:$C,$A52,RawData!BC:BC)</f>
        <v>23</v>
      </c>
      <c r="AZ52">
        <f>SUMIF(RawData!$C:$C,$A52,RawData!BD:BD)</f>
        <v>23</v>
      </c>
      <c r="BA52">
        <f>SUMIF(RawData!$C:$C,$A52,RawData!BE:BE)</f>
        <v>43</v>
      </c>
      <c r="BB52">
        <f>SUMIF(RawData!$C:$C,$A52,RawData!BF:BF)</f>
        <v>61</v>
      </c>
      <c r="BC52">
        <f>SUMIF(RawData!$C:$C,$A52,RawData!BG:BG)</f>
        <v>74</v>
      </c>
      <c r="BD52">
        <f>SUMIF(RawData!$C:$C,$A52,RawData!BH:BH)</f>
        <v>0</v>
      </c>
      <c r="BE52">
        <f>SUMIF(RawData!$C:$C,$A52,RawData!BI:BI)</f>
        <v>0</v>
      </c>
      <c r="BF52">
        <f>SUMIF(RawData!$C:$C,$A52,RawData!BJ:BJ)</f>
        <v>0</v>
      </c>
      <c r="BG52">
        <f>SUMIF(RawData!$C:$C,$A52,RawData!BK:BK)</f>
        <v>0</v>
      </c>
      <c r="BH52">
        <f>SUMIF(RawData!$C:$C,$A52,RawData!BL:BL)</f>
        <v>0</v>
      </c>
      <c r="BI52">
        <f>SUMIF(RawData!$C:$C,$A52,RawData!BM:BM)</f>
        <v>0</v>
      </c>
      <c r="BJ52">
        <f>SUMIF(RawData!$C:$C,$A52,RawData!BN:BN)</f>
        <v>0</v>
      </c>
      <c r="BK52">
        <f>SUMIF(RawData!$C:$C,$A52,RawData!BO:BO)</f>
        <v>0</v>
      </c>
      <c r="BL52">
        <f>SUMIF(RawData!$C:$C,$A52,RawData!BP:BP)</f>
        <v>0</v>
      </c>
      <c r="BM52">
        <f>SUMIF(RawData!$C:$C,$A52,RawData!BQ:BQ)</f>
        <v>0</v>
      </c>
      <c r="BN52">
        <f>SUMIF(RawData!$C:$C,$A52,RawData!BR:BR)</f>
        <v>0</v>
      </c>
      <c r="BO52">
        <f>SUMIF(RawData!$C:$C,$A52,RawData!BS:BS)</f>
        <v>0</v>
      </c>
      <c r="BP52">
        <f>SUMIF(RawData!$C:$C,$A52,RawData!BT:BT)</f>
        <v>0</v>
      </c>
      <c r="BQ52">
        <f>SUMIF(RawData!$C:$C,$A52,RawData!BU:BU)</f>
        <v>0</v>
      </c>
      <c r="BR52">
        <f>SUMIF(RawData!$C:$C,$A52,RawData!BV:BV)</f>
        <v>0</v>
      </c>
      <c r="BS52">
        <f>SUMIF(RawData!$C:$C,$A52,RawData!BW:BW)</f>
        <v>0</v>
      </c>
      <c r="BT52">
        <f>SUMIF(RawData!$C:$C,$A52,RawData!BX:BX)</f>
        <v>0</v>
      </c>
    </row>
    <row r="53" spans="1:72" ht="15" thickBot="1" x14ac:dyDescent="0.35">
      <c r="A53" s="5" t="s">
        <v>260</v>
      </c>
      <c r="B53">
        <f>SUMIF(RawData!$C:$C,$A53,RawData!F:F)</f>
        <v>0</v>
      </c>
      <c r="C53">
        <f>SUMIF(RawData!$C:$C,$A53,RawData!G:G)</f>
        <v>0</v>
      </c>
      <c r="D53">
        <f>SUMIF(RawData!$C:$C,$A53,RawData!H:H)</f>
        <v>0</v>
      </c>
      <c r="E53">
        <f>SUMIF(RawData!$C:$C,$A53,RawData!I:I)</f>
        <v>0</v>
      </c>
      <c r="F53">
        <f>SUMIF(RawData!$C:$C,$A53,RawData!J:J)</f>
        <v>0</v>
      </c>
      <c r="G53">
        <f>SUMIF(RawData!$C:$C,$A53,RawData!K:K)</f>
        <v>0</v>
      </c>
      <c r="H53">
        <f>SUMIF(RawData!$C:$C,$A53,RawData!L:L)</f>
        <v>0</v>
      </c>
      <c r="I53">
        <f>SUMIF(RawData!$C:$C,$A53,RawData!M:M)</f>
        <v>0</v>
      </c>
      <c r="J53">
        <f>SUMIF(RawData!$C:$C,$A53,RawData!N:N)</f>
        <v>0</v>
      </c>
      <c r="K53">
        <f>SUMIF(RawData!$C:$C,$A53,RawData!O:O)</f>
        <v>0</v>
      </c>
      <c r="L53">
        <f>SUMIF(RawData!$C:$C,$A53,RawData!P:P)</f>
        <v>0</v>
      </c>
      <c r="M53">
        <f>SUMIF(RawData!$C:$C,$A53,RawData!Q:Q)</f>
        <v>0</v>
      </c>
      <c r="N53">
        <f>SUMIF(RawData!$C:$C,$A53,RawData!R:R)</f>
        <v>0</v>
      </c>
      <c r="O53">
        <f>SUMIF(RawData!$C:$C,$A53,RawData!S:S)</f>
        <v>0</v>
      </c>
      <c r="P53">
        <f>SUMIF(RawData!$C:$C,$A53,RawData!T:T)</f>
        <v>0</v>
      </c>
      <c r="Q53">
        <f>SUMIF(RawData!$C:$C,$A53,RawData!U:U)</f>
        <v>0</v>
      </c>
      <c r="R53">
        <f>SUMIF(RawData!$C:$C,$A53,RawData!V:V)</f>
        <v>0</v>
      </c>
      <c r="S53">
        <f>SUMIF(RawData!$C:$C,$A53,RawData!W:W)</f>
        <v>0</v>
      </c>
      <c r="T53">
        <f>SUMIF(RawData!$C:$C,$A53,RawData!X:X)</f>
        <v>0</v>
      </c>
      <c r="U53">
        <f>SUMIF(RawData!$C:$C,$A53,RawData!Y:Y)</f>
        <v>0</v>
      </c>
      <c r="V53">
        <f>SUMIF(RawData!$C:$C,$A53,RawData!Z:Z)</f>
        <v>0</v>
      </c>
      <c r="W53">
        <f>SUMIF(RawData!$C:$C,$A53,RawData!AA:AA)</f>
        <v>0</v>
      </c>
      <c r="X53">
        <f>SUMIF(RawData!$C:$C,$A53,RawData!AB:AB)</f>
        <v>0</v>
      </c>
      <c r="Y53">
        <f>SUMIF(RawData!$C:$C,$A53,RawData!AC:AC)</f>
        <v>0</v>
      </c>
      <c r="Z53">
        <f>SUMIF(RawData!$C:$C,$A53,RawData!AD:AD)</f>
        <v>0</v>
      </c>
      <c r="AA53">
        <f>SUMIF(RawData!$C:$C,$A53,RawData!AE:AE)</f>
        <v>0</v>
      </c>
      <c r="AB53">
        <f>SUMIF(RawData!$C:$C,$A53,RawData!AF:AF)</f>
        <v>0</v>
      </c>
      <c r="AC53">
        <f>SUMIF(RawData!$C:$C,$A53,RawData!AG:AG)</f>
        <v>0</v>
      </c>
      <c r="AD53">
        <f>SUMIF(RawData!$C:$C,$A53,RawData!AH:AH)</f>
        <v>0</v>
      </c>
      <c r="AE53">
        <f>SUMIF(RawData!$C:$C,$A53,RawData!AI:AI)</f>
        <v>0</v>
      </c>
      <c r="AF53">
        <f>SUMIF(RawData!$C:$C,$A53,RawData!AJ:AJ)</f>
        <v>0</v>
      </c>
      <c r="AG53">
        <f>SUMIF(RawData!$C:$C,$A53,RawData!AK:AK)</f>
        <v>0</v>
      </c>
      <c r="AH53">
        <f>SUMIF(RawData!$C:$C,$A53,RawData!AL:AL)</f>
        <v>0</v>
      </c>
      <c r="AI53">
        <f>SUMIF(RawData!$C:$C,$A53,RawData!AM:AM)</f>
        <v>0</v>
      </c>
      <c r="AJ53">
        <f>SUMIF(RawData!$C:$C,$A53,RawData!AN:AN)</f>
        <v>0</v>
      </c>
      <c r="AK53">
        <f>SUMIF(RawData!$C:$C,$A53,RawData!AO:AO)</f>
        <v>0</v>
      </c>
      <c r="AL53">
        <f>SUMIF(RawData!$C:$C,$A53,RawData!AP:AP)</f>
        <v>0</v>
      </c>
      <c r="AM53">
        <f>SUMIF(RawData!$C:$C,$A53,RawData!AQ:AQ)</f>
        <v>0</v>
      </c>
      <c r="AN53">
        <f>SUMIF(RawData!$C:$C,$A53,RawData!AR:AR)</f>
        <v>0</v>
      </c>
      <c r="AO53">
        <f>SUMIF(RawData!$C:$C,$A53,RawData!AS:AS)</f>
        <v>0</v>
      </c>
      <c r="AP53">
        <f>SUMIF(RawData!$C:$C,$A53,RawData!AT:AT)</f>
        <v>0</v>
      </c>
      <c r="AQ53">
        <f>SUMIF(RawData!$C:$C,$A53,RawData!AU:AU)</f>
        <v>0</v>
      </c>
      <c r="AR53">
        <f>SUMIF(RawData!$C:$C,$A53,RawData!AV:AV)</f>
        <v>0</v>
      </c>
      <c r="AS53">
        <f>SUMIF(RawData!$C:$C,$A53,RawData!AW:AW)</f>
        <v>0</v>
      </c>
      <c r="AT53">
        <f>SUMIF(RawData!$C:$C,$A53,RawData!AX:AX)</f>
        <v>0</v>
      </c>
      <c r="AU53">
        <f>SUMIF(RawData!$C:$C,$A53,RawData!AY:AY)</f>
        <v>0</v>
      </c>
      <c r="AV53">
        <f>SUMIF(RawData!$C:$C,$A53,RawData!AZ:AZ)</f>
        <v>0</v>
      </c>
      <c r="AW53">
        <f>SUMIF(RawData!$C:$C,$A53,RawData!BA:BA)</f>
        <v>1</v>
      </c>
      <c r="AX53">
        <f>SUMIF(RawData!$C:$C,$A53,RawData!BB:BB)</f>
        <v>1</v>
      </c>
      <c r="AY53">
        <f>SUMIF(RawData!$C:$C,$A53,RawData!BC:BC)</f>
        <v>11</v>
      </c>
      <c r="AZ53">
        <f>SUMIF(RawData!$C:$C,$A53,RawData!BD:BD)</f>
        <v>11</v>
      </c>
      <c r="BA53">
        <f>SUMIF(RawData!$C:$C,$A53,RawData!BE:BE)</f>
        <v>37</v>
      </c>
      <c r="BB53">
        <f>SUMIF(RawData!$C:$C,$A53,RawData!BF:BF)</f>
        <v>40</v>
      </c>
      <c r="BC53">
        <f>SUMIF(RawData!$C:$C,$A53,RawData!BG:BG)</f>
        <v>50</v>
      </c>
      <c r="BD53">
        <f>SUMIF(RawData!$C:$C,$A53,RawData!BH:BH)</f>
        <v>0</v>
      </c>
      <c r="BE53">
        <f>SUMIF(RawData!$C:$C,$A53,RawData!BI:BI)</f>
        <v>0</v>
      </c>
      <c r="BF53">
        <f>SUMIF(RawData!$C:$C,$A53,RawData!BJ:BJ)</f>
        <v>0</v>
      </c>
      <c r="BG53">
        <f>SUMIF(RawData!$C:$C,$A53,RawData!BK:BK)</f>
        <v>0</v>
      </c>
      <c r="BH53">
        <f>SUMIF(RawData!$C:$C,$A53,RawData!BL:BL)</f>
        <v>0</v>
      </c>
      <c r="BI53">
        <f>SUMIF(RawData!$C:$C,$A53,RawData!BM:BM)</f>
        <v>0</v>
      </c>
      <c r="BJ53">
        <f>SUMIF(RawData!$C:$C,$A53,RawData!BN:BN)</f>
        <v>0</v>
      </c>
      <c r="BK53">
        <f>SUMIF(RawData!$C:$C,$A53,RawData!BO:BO)</f>
        <v>0</v>
      </c>
      <c r="BL53">
        <f>SUMIF(RawData!$C:$C,$A53,RawData!BP:BP)</f>
        <v>0</v>
      </c>
      <c r="BM53">
        <f>SUMIF(RawData!$C:$C,$A53,RawData!BQ:BQ)</f>
        <v>0</v>
      </c>
      <c r="BN53">
        <f>SUMIF(RawData!$C:$C,$A53,RawData!BR:BR)</f>
        <v>0</v>
      </c>
      <c r="BO53">
        <f>SUMIF(RawData!$C:$C,$A53,RawData!BS:BS)</f>
        <v>0</v>
      </c>
      <c r="BP53">
        <f>SUMIF(RawData!$C:$C,$A53,RawData!BT:BT)</f>
        <v>0</v>
      </c>
      <c r="BQ53">
        <f>SUMIF(RawData!$C:$C,$A53,RawData!BU:BU)</f>
        <v>0</v>
      </c>
      <c r="BR53">
        <f>SUMIF(RawData!$C:$C,$A53,RawData!BV:BV)</f>
        <v>0</v>
      </c>
      <c r="BS53">
        <f>SUMIF(RawData!$C:$C,$A53,RawData!BW:BW)</f>
        <v>0</v>
      </c>
      <c r="BT53">
        <f>SUMIF(RawData!$C:$C,$A53,RawData!BX:BX)</f>
        <v>0</v>
      </c>
    </row>
    <row r="54" spans="1:72" ht="15" thickBot="1" x14ac:dyDescent="0.35">
      <c r="A54" s="4" t="s">
        <v>188</v>
      </c>
      <c r="B54">
        <f>SUMIF(RawData!$C:$C,$A54,RawData!F:F)</f>
        <v>0</v>
      </c>
      <c r="C54">
        <f>SUMIF(RawData!$C:$C,$A54,RawData!G:G)</f>
        <v>0</v>
      </c>
      <c r="D54">
        <f>SUMIF(RawData!$C:$C,$A54,RawData!H:H)</f>
        <v>0</v>
      </c>
      <c r="E54">
        <f>SUMIF(RawData!$C:$C,$A54,RawData!I:I)</f>
        <v>0</v>
      </c>
      <c r="F54">
        <f>SUMIF(RawData!$C:$C,$A54,RawData!J:J)</f>
        <v>0</v>
      </c>
      <c r="G54">
        <f>SUMIF(RawData!$C:$C,$A54,RawData!K:K)</f>
        <v>0</v>
      </c>
      <c r="H54">
        <f>SUMIF(RawData!$C:$C,$A54,RawData!L:L)</f>
        <v>0</v>
      </c>
      <c r="I54">
        <f>SUMIF(RawData!$C:$C,$A54,RawData!M:M)</f>
        <v>0</v>
      </c>
      <c r="J54">
        <f>SUMIF(RawData!$C:$C,$A54,RawData!N:N)</f>
        <v>0</v>
      </c>
      <c r="K54">
        <f>SUMIF(RawData!$C:$C,$A54,RawData!O:O)</f>
        <v>0</v>
      </c>
      <c r="L54">
        <f>SUMIF(RawData!$C:$C,$A54,RawData!P:P)</f>
        <v>0</v>
      </c>
      <c r="M54">
        <f>SUMIF(RawData!$C:$C,$A54,RawData!Q:Q)</f>
        <v>0</v>
      </c>
      <c r="N54">
        <f>SUMIF(RawData!$C:$C,$A54,RawData!R:R)</f>
        <v>0</v>
      </c>
      <c r="O54">
        <f>SUMIF(RawData!$C:$C,$A54,RawData!S:S)</f>
        <v>0</v>
      </c>
      <c r="P54">
        <f>SUMIF(RawData!$C:$C,$A54,RawData!T:T)</f>
        <v>0</v>
      </c>
      <c r="Q54">
        <f>SUMIF(RawData!$C:$C,$A54,RawData!U:U)</f>
        <v>0</v>
      </c>
      <c r="R54">
        <f>SUMIF(RawData!$C:$C,$A54,RawData!V:V)</f>
        <v>0</v>
      </c>
      <c r="S54">
        <f>SUMIF(RawData!$C:$C,$A54,RawData!W:W)</f>
        <v>0</v>
      </c>
      <c r="T54">
        <f>SUMIF(RawData!$C:$C,$A54,RawData!X:X)</f>
        <v>0</v>
      </c>
      <c r="U54">
        <f>SUMIF(RawData!$C:$C,$A54,RawData!Y:Y)</f>
        <v>0</v>
      </c>
      <c r="V54">
        <f>SUMIF(RawData!$C:$C,$A54,RawData!Z:Z)</f>
        <v>0</v>
      </c>
      <c r="W54">
        <f>SUMIF(RawData!$C:$C,$A54,RawData!AA:AA)</f>
        <v>0</v>
      </c>
      <c r="X54">
        <f>SUMIF(RawData!$C:$C,$A54,RawData!AB:AB)</f>
        <v>0</v>
      </c>
      <c r="Y54">
        <f>SUMIF(RawData!$C:$C,$A54,RawData!AC:AC)</f>
        <v>0</v>
      </c>
      <c r="Z54">
        <f>SUMIF(RawData!$C:$C,$A54,RawData!AD:AD)</f>
        <v>0</v>
      </c>
      <c r="AA54">
        <f>SUMIF(RawData!$C:$C,$A54,RawData!AE:AE)</f>
        <v>0</v>
      </c>
      <c r="AB54">
        <f>SUMIF(RawData!$C:$C,$A54,RawData!AF:AF)</f>
        <v>0</v>
      </c>
      <c r="AC54">
        <f>SUMIF(RawData!$C:$C,$A54,RawData!AG:AG)</f>
        <v>0</v>
      </c>
      <c r="AD54">
        <f>SUMIF(RawData!$C:$C,$A54,RawData!AH:AH)</f>
        <v>0</v>
      </c>
      <c r="AE54">
        <f>SUMIF(RawData!$C:$C,$A54,RawData!AI:AI)</f>
        <v>0</v>
      </c>
      <c r="AF54">
        <f>SUMIF(RawData!$C:$C,$A54,RawData!AJ:AJ)</f>
        <v>0</v>
      </c>
      <c r="AG54">
        <f>SUMIF(RawData!$C:$C,$A54,RawData!AK:AK)</f>
        <v>0</v>
      </c>
      <c r="AH54">
        <f>SUMIF(RawData!$C:$C,$A54,RawData!AL:AL)</f>
        <v>0</v>
      </c>
      <c r="AI54">
        <f>SUMIF(RawData!$C:$C,$A54,RawData!AM:AM)</f>
        <v>0</v>
      </c>
      <c r="AJ54">
        <f>SUMIF(RawData!$C:$C,$A54,RawData!AN:AN)</f>
        <v>0</v>
      </c>
      <c r="AK54">
        <f>SUMIF(RawData!$C:$C,$A54,RawData!AO:AO)</f>
        <v>0</v>
      </c>
      <c r="AL54">
        <f>SUMIF(RawData!$C:$C,$A54,RawData!AP:AP)</f>
        <v>0</v>
      </c>
      <c r="AM54">
        <f>SUMIF(RawData!$C:$C,$A54,RawData!AQ:AQ)</f>
        <v>0</v>
      </c>
      <c r="AN54">
        <f>SUMIF(RawData!$C:$C,$A54,RawData!AR:AR)</f>
        <v>0</v>
      </c>
      <c r="AO54">
        <f>SUMIF(RawData!$C:$C,$A54,RawData!AS:AS)</f>
        <v>0</v>
      </c>
      <c r="AP54">
        <f>SUMIF(RawData!$C:$C,$A54,RawData!AT:AT)</f>
        <v>0</v>
      </c>
      <c r="AQ54">
        <f>SUMIF(RawData!$C:$C,$A54,RawData!AU:AU)</f>
        <v>0</v>
      </c>
      <c r="AR54">
        <f>SUMIF(RawData!$C:$C,$A54,RawData!AV:AV)</f>
        <v>0</v>
      </c>
      <c r="AS54">
        <f>SUMIF(RawData!$C:$C,$A54,RawData!AW:AW)</f>
        <v>0</v>
      </c>
      <c r="AT54">
        <f>SUMIF(RawData!$C:$C,$A54,RawData!AX:AX)</f>
        <v>1</v>
      </c>
      <c r="AU54">
        <f>SUMIF(RawData!$C:$C,$A54,RawData!AY:AY)</f>
        <v>1</v>
      </c>
      <c r="AV54">
        <f>SUMIF(RawData!$C:$C,$A54,RawData!AZ:AZ)</f>
        <v>1</v>
      </c>
      <c r="AW54">
        <f>SUMIF(RawData!$C:$C,$A54,RawData!BA:BA)</f>
        <v>1</v>
      </c>
      <c r="AX54">
        <f>SUMIF(RawData!$C:$C,$A54,RawData!BB:BB)</f>
        <v>5</v>
      </c>
      <c r="AY54">
        <f>SUMIF(RawData!$C:$C,$A54,RawData!BC:BC)</f>
        <v>12</v>
      </c>
      <c r="AZ54">
        <f>SUMIF(RawData!$C:$C,$A54,RawData!BD:BD)</f>
        <v>19</v>
      </c>
      <c r="BA54">
        <f>SUMIF(RawData!$C:$C,$A54,RawData!BE:BE)</f>
        <v>35</v>
      </c>
      <c r="BB54">
        <f>SUMIF(RawData!$C:$C,$A54,RawData!BF:BF)</f>
        <v>46</v>
      </c>
      <c r="BC54">
        <f>SUMIF(RawData!$C:$C,$A54,RawData!BG:BG)</f>
        <v>48</v>
      </c>
      <c r="BD54">
        <f>SUMIF(RawData!$C:$C,$A54,RawData!BH:BH)</f>
        <v>0</v>
      </c>
      <c r="BE54">
        <f>SUMIF(RawData!$C:$C,$A54,RawData!BI:BI)</f>
        <v>0</v>
      </c>
      <c r="BF54">
        <f>SUMIF(RawData!$C:$C,$A54,RawData!BJ:BJ)</f>
        <v>0</v>
      </c>
      <c r="BG54">
        <f>SUMIF(RawData!$C:$C,$A54,RawData!BK:BK)</f>
        <v>0</v>
      </c>
      <c r="BH54">
        <f>SUMIF(RawData!$C:$C,$A54,RawData!BL:BL)</f>
        <v>0</v>
      </c>
      <c r="BI54">
        <f>SUMIF(RawData!$C:$C,$A54,RawData!BM:BM)</f>
        <v>0</v>
      </c>
      <c r="BJ54">
        <f>SUMIF(RawData!$C:$C,$A54,RawData!BN:BN)</f>
        <v>0</v>
      </c>
      <c r="BK54">
        <f>SUMIF(RawData!$C:$C,$A54,RawData!BO:BO)</f>
        <v>0</v>
      </c>
      <c r="BL54">
        <f>SUMIF(RawData!$C:$C,$A54,RawData!BP:BP)</f>
        <v>0</v>
      </c>
      <c r="BM54">
        <f>SUMIF(RawData!$C:$C,$A54,RawData!BQ:BQ)</f>
        <v>0</v>
      </c>
      <c r="BN54">
        <f>SUMIF(RawData!$C:$C,$A54,RawData!BR:BR)</f>
        <v>0</v>
      </c>
      <c r="BO54">
        <f>SUMIF(RawData!$C:$C,$A54,RawData!BS:BS)</f>
        <v>0</v>
      </c>
      <c r="BP54">
        <f>SUMIF(RawData!$C:$C,$A54,RawData!BT:BT)</f>
        <v>0</v>
      </c>
      <c r="BQ54">
        <f>SUMIF(RawData!$C:$C,$A54,RawData!BU:BU)</f>
        <v>0</v>
      </c>
      <c r="BR54">
        <f>SUMIF(RawData!$C:$C,$A54,RawData!BV:BV)</f>
        <v>0</v>
      </c>
      <c r="BS54">
        <f>SUMIF(RawData!$C:$C,$A54,RawData!BW:BW)</f>
        <v>0</v>
      </c>
      <c r="BT54">
        <f>SUMIF(RawData!$C:$C,$A54,RawData!BX:BX)</f>
        <v>0</v>
      </c>
    </row>
    <row r="55" spans="1:72" ht="15" thickBot="1" x14ac:dyDescent="0.35">
      <c r="A55" s="4" t="s">
        <v>126</v>
      </c>
      <c r="B55">
        <f>SUMIF(RawData!$C:$C,$A55,RawData!F:F)</f>
        <v>0</v>
      </c>
      <c r="C55">
        <f>SUMIF(RawData!$C:$C,$A55,RawData!G:G)</f>
        <v>0</v>
      </c>
      <c r="D55">
        <f>SUMIF(RawData!$C:$C,$A55,RawData!H:H)</f>
        <v>0</v>
      </c>
      <c r="E55">
        <f>SUMIF(RawData!$C:$C,$A55,RawData!I:I)</f>
        <v>0</v>
      </c>
      <c r="F55">
        <f>SUMIF(RawData!$C:$C,$A55,RawData!J:J)</f>
        <v>0</v>
      </c>
      <c r="G55">
        <f>SUMIF(RawData!$C:$C,$A55,RawData!K:K)</f>
        <v>0</v>
      </c>
      <c r="H55">
        <f>SUMIF(RawData!$C:$C,$A55,RawData!L:L)</f>
        <v>0</v>
      </c>
      <c r="I55">
        <f>SUMIF(RawData!$C:$C,$A55,RawData!M:M)</f>
        <v>0</v>
      </c>
      <c r="J55">
        <f>SUMIF(RawData!$C:$C,$A55,RawData!N:N)</f>
        <v>0</v>
      </c>
      <c r="K55">
        <f>SUMIF(RawData!$C:$C,$A55,RawData!O:O)</f>
        <v>0</v>
      </c>
      <c r="L55">
        <f>SUMIF(RawData!$C:$C,$A55,RawData!P:P)</f>
        <v>0</v>
      </c>
      <c r="M55">
        <f>SUMIF(RawData!$C:$C,$A55,RawData!Q:Q)</f>
        <v>0</v>
      </c>
      <c r="N55">
        <f>SUMIF(RawData!$C:$C,$A55,RawData!R:R)</f>
        <v>0</v>
      </c>
      <c r="O55">
        <f>SUMIF(RawData!$C:$C,$A55,RawData!S:S)</f>
        <v>0</v>
      </c>
      <c r="P55">
        <f>SUMIF(RawData!$C:$C,$A55,RawData!T:T)</f>
        <v>0</v>
      </c>
      <c r="Q55">
        <f>SUMIF(RawData!$C:$C,$A55,RawData!U:U)</f>
        <v>0</v>
      </c>
      <c r="R55">
        <f>SUMIF(RawData!$C:$C,$A55,RawData!V:V)</f>
        <v>0</v>
      </c>
      <c r="S55">
        <f>SUMIF(RawData!$C:$C,$A55,RawData!W:W)</f>
        <v>0</v>
      </c>
      <c r="T55">
        <f>SUMIF(RawData!$C:$C,$A55,RawData!X:X)</f>
        <v>0</v>
      </c>
      <c r="U55">
        <f>SUMIF(RawData!$C:$C,$A55,RawData!Y:Y)</f>
        <v>0</v>
      </c>
      <c r="V55">
        <f>SUMIF(RawData!$C:$C,$A55,RawData!Z:Z)</f>
        <v>0</v>
      </c>
      <c r="W55">
        <f>SUMIF(RawData!$C:$C,$A55,RawData!AA:AA)</f>
        <v>0</v>
      </c>
      <c r="X55">
        <f>SUMIF(RawData!$C:$C,$A55,RawData!AB:AB)</f>
        <v>0</v>
      </c>
      <c r="Y55">
        <f>SUMIF(RawData!$C:$C,$A55,RawData!AC:AC)</f>
        <v>0</v>
      </c>
      <c r="Z55">
        <f>SUMIF(RawData!$C:$C,$A55,RawData!AD:AD)</f>
        <v>0</v>
      </c>
      <c r="AA55">
        <f>SUMIF(RawData!$C:$C,$A55,RawData!AE:AE)</f>
        <v>0</v>
      </c>
      <c r="AB55">
        <f>SUMIF(RawData!$C:$C,$A55,RawData!AF:AF)</f>
        <v>0</v>
      </c>
      <c r="AC55">
        <f>SUMIF(RawData!$C:$C,$A55,RawData!AG:AG)</f>
        <v>0</v>
      </c>
      <c r="AD55">
        <f>SUMIF(RawData!$C:$C,$A55,RawData!AH:AH)</f>
        <v>0</v>
      </c>
      <c r="AE55">
        <f>SUMIF(RawData!$C:$C,$A55,RawData!AI:AI)</f>
        <v>0</v>
      </c>
      <c r="AF55">
        <f>SUMIF(RawData!$C:$C,$A55,RawData!AJ:AJ)</f>
        <v>0</v>
      </c>
      <c r="AG55">
        <f>SUMIF(RawData!$C:$C,$A55,RawData!AK:AK)</f>
        <v>0</v>
      </c>
      <c r="AH55">
        <f>SUMIF(RawData!$C:$C,$A55,RawData!AL:AL)</f>
        <v>0</v>
      </c>
      <c r="AI55">
        <f>SUMIF(RawData!$C:$C,$A55,RawData!AM:AM)</f>
        <v>0</v>
      </c>
      <c r="AJ55">
        <f>SUMIF(RawData!$C:$C,$A55,RawData!AN:AN)</f>
        <v>0</v>
      </c>
      <c r="AK55">
        <f>SUMIF(RawData!$C:$C,$A55,RawData!AO:AO)</f>
        <v>0</v>
      </c>
      <c r="AL55">
        <f>SUMIF(RawData!$C:$C,$A55,RawData!AP:AP)</f>
        <v>0</v>
      </c>
      <c r="AM55">
        <f>SUMIF(RawData!$C:$C,$A55,RawData!AQ:AQ)</f>
        <v>0</v>
      </c>
      <c r="AN55">
        <f>SUMIF(RawData!$C:$C,$A55,RawData!AR:AR)</f>
        <v>1</v>
      </c>
      <c r="AO55">
        <f>SUMIF(RawData!$C:$C,$A55,RawData!AS:AS)</f>
        <v>1</v>
      </c>
      <c r="AP55">
        <f>SUMIF(RawData!$C:$C,$A55,RawData!AT:AT)</f>
        <v>1</v>
      </c>
      <c r="AQ55">
        <f>SUMIF(RawData!$C:$C,$A55,RawData!AU:AU)</f>
        <v>1</v>
      </c>
      <c r="AR55">
        <f>SUMIF(RawData!$C:$C,$A55,RawData!AV:AV)</f>
        <v>1</v>
      </c>
      <c r="AS55">
        <f>SUMIF(RawData!$C:$C,$A55,RawData!AW:AW)</f>
        <v>1</v>
      </c>
      <c r="AT55">
        <f>SUMIF(RawData!$C:$C,$A55,RawData!AX:AX)</f>
        <v>2</v>
      </c>
      <c r="AU55">
        <f>SUMIF(RawData!$C:$C,$A55,RawData!AY:AY)</f>
        <v>2</v>
      </c>
      <c r="AV55">
        <f>SUMIF(RawData!$C:$C,$A55,RawData!AZ:AZ)</f>
        <v>3</v>
      </c>
      <c r="AW55">
        <f>SUMIF(RawData!$C:$C,$A55,RawData!BA:BA)</f>
        <v>3</v>
      </c>
      <c r="AX55">
        <f>SUMIF(RawData!$C:$C,$A55,RawData!BB:BB)</f>
        <v>5</v>
      </c>
      <c r="AY55">
        <f>SUMIF(RawData!$C:$C,$A55,RawData!BC:BC)</f>
        <v>7</v>
      </c>
      <c r="AZ55">
        <f>SUMIF(RawData!$C:$C,$A55,RawData!BD:BD)</f>
        <v>19</v>
      </c>
      <c r="BA55">
        <f>SUMIF(RawData!$C:$C,$A55,RawData!BE:BE)</f>
        <v>34</v>
      </c>
      <c r="BB55">
        <f>SUMIF(RawData!$C:$C,$A55,RawData!BF:BF)</f>
        <v>51</v>
      </c>
      <c r="BC55">
        <f>SUMIF(RawData!$C:$C,$A55,RawData!BG:BG)</f>
        <v>59</v>
      </c>
      <c r="BD55">
        <f>SUMIF(RawData!$C:$C,$A55,RawData!BH:BH)</f>
        <v>0</v>
      </c>
      <c r="BE55">
        <f>SUMIF(RawData!$C:$C,$A55,RawData!BI:BI)</f>
        <v>0</v>
      </c>
      <c r="BF55">
        <f>SUMIF(RawData!$C:$C,$A55,RawData!BJ:BJ)</f>
        <v>0</v>
      </c>
      <c r="BG55">
        <f>SUMIF(RawData!$C:$C,$A55,RawData!BK:BK)</f>
        <v>0</v>
      </c>
      <c r="BH55">
        <f>SUMIF(RawData!$C:$C,$A55,RawData!BL:BL)</f>
        <v>0</v>
      </c>
      <c r="BI55">
        <f>SUMIF(RawData!$C:$C,$A55,RawData!BM:BM)</f>
        <v>0</v>
      </c>
      <c r="BJ55">
        <f>SUMIF(RawData!$C:$C,$A55,RawData!BN:BN)</f>
        <v>0</v>
      </c>
      <c r="BK55">
        <f>SUMIF(RawData!$C:$C,$A55,RawData!BO:BO)</f>
        <v>0</v>
      </c>
      <c r="BL55">
        <f>SUMIF(RawData!$C:$C,$A55,RawData!BP:BP)</f>
        <v>0</v>
      </c>
      <c r="BM55">
        <f>SUMIF(RawData!$C:$C,$A55,RawData!BQ:BQ)</f>
        <v>0</v>
      </c>
      <c r="BN55">
        <f>SUMIF(RawData!$C:$C,$A55,RawData!BR:BR)</f>
        <v>0</v>
      </c>
      <c r="BO55">
        <f>SUMIF(RawData!$C:$C,$A55,RawData!BS:BS)</f>
        <v>0</v>
      </c>
      <c r="BP55">
        <f>SUMIF(RawData!$C:$C,$A55,RawData!BT:BT)</f>
        <v>0</v>
      </c>
      <c r="BQ55">
        <f>SUMIF(RawData!$C:$C,$A55,RawData!BU:BU)</f>
        <v>0</v>
      </c>
      <c r="BR55">
        <f>SUMIF(RawData!$C:$C,$A55,RawData!BV:BV)</f>
        <v>0</v>
      </c>
      <c r="BS55">
        <f>SUMIF(RawData!$C:$C,$A55,RawData!BW:BW)</f>
        <v>0</v>
      </c>
      <c r="BT55">
        <f>SUMIF(RawData!$C:$C,$A55,RawData!BX:BX)</f>
        <v>0</v>
      </c>
    </row>
    <row r="56" spans="1:72" ht="15" thickBot="1" x14ac:dyDescent="0.35">
      <c r="A56" s="5" t="s">
        <v>257</v>
      </c>
      <c r="B56">
        <f>SUMIF(RawData!$C:$C,$A56,RawData!F:F)</f>
        <v>0</v>
      </c>
      <c r="C56">
        <f>SUMIF(RawData!$C:$C,$A56,RawData!G:G)</f>
        <v>0</v>
      </c>
      <c r="D56">
        <f>SUMIF(RawData!$C:$C,$A56,RawData!H:H)</f>
        <v>0</v>
      </c>
      <c r="E56">
        <f>SUMIF(RawData!$C:$C,$A56,RawData!I:I)</f>
        <v>0</v>
      </c>
      <c r="F56">
        <f>SUMIF(RawData!$C:$C,$A56,RawData!J:J)</f>
        <v>0</v>
      </c>
      <c r="G56">
        <f>SUMIF(RawData!$C:$C,$A56,RawData!K:K)</f>
        <v>0</v>
      </c>
      <c r="H56">
        <f>SUMIF(RawData!$C:$C,$A56,RawData!L:L)</f>
        <v>0</v>
      </c>
      <c r="I56">
        <f>SUMIF(RawData!$C:$C,$A56,RawData!M:M)</f>
        <v>0</v>
      </c>
      <c r="J56">
        <f>SUMIF(RawData!$C:$C,$A56,RawData!N:N)</f>
        <v>0</v>
      </c>
      <c r="K56">
        <f>SUMIF(RawData!$C:$C,$A56,RawData!O:O)</f>
        <v>0</v>
      </c>
      <c r="L56">
        <f>SUMIF(RawData!$C:$C,$A56,RawData!P:P)</f>
        <v>0</v>
      </c>
      <c r="M56">
        <f>SUMIF(RawData!$C:$C,$A56,RawData!Q:Q)</f>
        <v>0</v>
      </c>
      <c r="N56">
        <f>SUMIF(RawData!$C:$C,$A56,RawData!R:R)</f>
        <v>0</v>
      </c>
      <c r="O56">
        <f>SUMIF(RawData!$C:$C,$A56,RawData!S:S)</f>
        <v>0</v>
      </c>
      <c r="P56">
        <f>SUMIF(RawData!$C:$C,$A56,RawData!T:T)</f>
        <v>0</v>
      </c>
      <c r="Q56">
        <f>SUMIF(RawData!$C:$C,$A56,RawData!U:U)</f>
        <v>0</v>
      </c>
      <c r="R56">
        <f>SUMIF(RawData!$C:$C,$A56,RawData!V:V)</f>
        <v>0</v>
      </c>
      <c r="S56">
        <f>SUMIF(RawData!$C:$C,$A56,RawData!W:W)</f>
        <v>0</v>
      </c>
      <c r="T56">
        <f>SUMIF(RawData!$C:$C,$A56,RawData!X:X)</f>
        <v>0</v>
      </c>
      <c r="U56">
        <f>SUMIF(RawData!$C:$C,$A56,RawData!Y:Y)</f>
        <v>0</v>
      </c>
      <c r="V56">
        <f>SUMIF(RawData!$C:$C,$A56,RawData!Z:Z)</f>
        <v>0</v>
      </c>
      <c r="W56">
        <f>SUMIF(RawData!$C:$C,$A56,RawData!AA:AA)</f>
        <v>0</v>
      </c>
      <c r="X56">
        <f>SUMIF(RawData!$C:$C,$A56,RawData!AB:AB)</f>
        <v>0</v>
      </c>
      <c r="Y56">
        <f>SUMIF(RawData!$C:$C,$A56,RawData!AC:AC)</f>
        <v>0</v>
      </c>
      <c r="Z56">
        <f>SUMIF(RawData!$C:$C,$A56,RawData!AD:AD)</f>
        <v>0</v>
      </c>
      <c r="AA56">
        <f>SUMIF(RawData!$C:$C,$A56,RawData!AE:AE)</f>
        <v>0</v>
      </c>
      <c r="AB56">
        <f>SUMIF(RawData!$C:$C,$A56,RawData!AF:AF)</f>
        <v>0</v>
      </c>
      <c r="AC56">
        <f>SUMIF(RawData!$C:$C,$A56,RawData!AG:AG)</f>
        <v>0</v>
      </c>
      <c r="AD56">
        <f>SUMIF(RawData!$C:$C,$A56,RawData!AH:AH)</f>
        <v>0</v>
      </c>
      <c r="AE56">
        <f>SUMIF(RawData!$C:$C,$A56,RawData!AI:AI)</f>
        <v>0</v>
      </c>
      <c r="AF56">
        <f>SUMIF(RawData!$C:$C,$A56,RawData!AJ:AJ)</f>
        <v>0</v>
      </c>
      <c r="AG56">
        <f>SUMIF(RawData!$C:$C,$A56,RawData!AK:AK)</f>
        <v>0</v>
      </c>
      <c r="AH56">
        <f>SUMIF(RawData!$C:$C,$A56,RawData!AL:AL)</f>
        <v>0</v>
      </c>
      <c r="AI56">
        <f>SUMIF(RawData!$C:$C,$A56,RawData!AM:AM)</f>
        <v>0</v>
      </c>
      <c r="AJ56">
        <f>SUMIF(RawData!$C:$C,$A56,RawData!AN:AN)</f>
        <v>0</v>
      </c>
      <c r="AK56">
        <f>SUMIF(RawData!$C:$C,$A56,RawData!AO:AO)</f>
        <v>0</v>
      </c>
      <c r="AL56">
        <f>SUMIF(RawData!$C:$C,$A56,RawData!AP:AP)</f>
        <v>0</v>
      </c>
      <c r="AM56">
        <f>SUMIF(RawData!$C:$C,$A56,RawData!AQ:AQ)</f>
        <v>0</v>
      </c>
      <c r="AN56">
        <f>SUMIF(RawData!$C:$C,$A56,RawData!AR:AR)</f>
        <v>0</v>
      </c>
      <c r="AO56">
        <f>SUMIF(RawData!$C:$C,$A56,RawData!AS:AS)</f>
        <v>0</v>
      </c>
      <c r="AP56">
        <f>SUMIF(RawData!$C:$C,$A56,RawData!AT:AT)</f>
        <v>0</v>
      </c>
      <c r="AQ56">
        <f>SUMIF(RawData!$C:$C,$A56,RawData!AU:AU)</f>
        <v>0</v>
      </c>
      <c r="AR56">
        <f>SUMIF(RawData!$C:$C,$A56,RawData!AV:AV)</f>
        <v>0</v>
      </c>
      <c r="AS56">
        <f>SUMIF(RawData!$C:$C,$A56,RawData!AW:AW)</f>
        <v>0</v>
      </c>
      <c r="AT56">
        <f>SUMIF(RawData!$C:$C,$A56,RawData!AX:AX)</f>
        <v>0</v>
      </c>
      <c r="AU56">
        <f>SUMIF(RawData!$C:$C,$A56,RawData!AY:AY)</f>
        <v>0</v>
      </c>
      <c r="AV56">
        <f>SUMIF(RawData!$C:$C,$A56,RawData!AZ:AZ)</f>
        <v>0</v>
      </c>
      <c r="AW56">
        <f>SUMIF(RawData!$C:$C,$A56,RawData!BA:BA)</f>
        <v>2</v>
      </c>
      <c r="AX56">
        <f>SUMIF(RawData!$C:$C,$A56,RawData!BB:BB)</f>
        <v>10</v>
      </c>
      <c r="AY56">
        <f>SUMIF(RawData!$C:$C,$A56,RawData!BC:BC)</f>
        <v>12</v>
      </c>
      <c r="AZ56">
        <f>SUMIF(RawData!$C:$C,$A56,RawData!BD:BD)</f>
        <v>23</v>
      </c>
      <c r="BA56">
        <f>SUMIF(RawData!$C:$C,$A56,RawData!BE:BE)</f>
        <v>33</v>
      </c>
      <c r="BB56">
        <f>SUMIF(RawData!$C:$C,$A56,RawData!BF:BF)</f>
        <v>38</v>
      </c>
      <c r="BC56">
        <f>SUMIF(RawData!$C:$C,$A56,RawData!BG:BG)</f>
        <v>42</v>
      </c>
      <c r="BD56">
        <f>SUMIF(RawData!$C:$C,$A56,RawData!BH:BH)</f>
        <v>0</v>
      </c>
      <c r="BE56">
        <f>SUMIF(RawData!$C:$C,$A56,RawData!BI:BI)</f>
        <v>0</v>
      </c>
      <c r="BF56">
        <f>SUMIF(RawData!$C:$C,$A56,RawData!BJ:BJ)</f>
        <v>0</v>
      </c>
      <c r="BG56">
        <f>SUMIF(RawData!$C:$C,$A56,RawData!BK:BK)</f>
        <v>0</v>
      </c>
      <c r="BH56">
        <f>SUMIF(RawData!$C:$C,$A56,RawData!BL:BL)</f>
        <v>0</v>
      </c>
      <c r="BI56">
        <f>SUMIF(RawData!$C:$C,$A56,RawData!BM:BM)</f>
        <v>0</v>
      </c>
      <c r="BJ56">
        <f>SUMIF(RawData!$C:$C,$A56,RawData!BN:BN)</f>
        <v>0</v>
      </c>
      <c r="BK56">
        <f>SUMIF(RawData!$C:$C,$A56,RawData!BO:BO)</f>
        <v>0</v>
      </c>
      <c r="BL56">
        <f>SUMIF(RawData!$C:$C,$A56,RawData!BP:BP)</f>
        <v>0</v>
      </c>
      <c r="BM56">
        <f>SUMIF(RawData!$C:$C,$A56,RawData!BQ:BQ)</f>
        <v>0</v>
      </c>
      <c r="BN56">
        <f>SUMIF(RawData!$C:$C,$A56,RawData!BR:BR)</f>
        <v>0</v>
      </c>
      <c r="BO56">
        <f>SUMIF(RawData!$C:$C,$A56,RawData!BS:BS)</f>
        <v>0</v>
      </c>
      <c r="BP56">
        <f>SUMIF(RawData!$C:$C,$A56,RawData!BT:BT)</f>
        <v>0</v>
      </c>
      <c r="BQ56">
        <f>SUMIF(RawData!$C:$C,$A56,RawData!BU:BU)</f>
        <v>0</v>
      </c>
      <c r="BR56">
        <f>SUMIF(RawData!$C:$C,$A56,RawData!BV:BV)</f>
        <v>0</v>
      </c>
      <c r="BS56">
        <f>SUMIF(RawData!$C:$C,$A56,RawData!BW:BW)</f>
        <v>0</v>
      </c>
      <c r="BT56">
        <f>SUMIF(RawData!$C:$C,$A56,RawData!BX:BX)</f>
        <v>0</v>
      </c>
    </row>
    <row r="57" spans="1:72" ht="15" thickBot="1" x14ac:dyDescent="0.35">
      <c r="A57" s="4" t="s">
        <v>103</v>
      </c>
      <c r="B57">
        <f>SUMIF(RawData!$C:$C,$A57,RawData!F:F)</f>
        <v>0</v>
      </c>
      <c r="C57">
        <f>SUMIF(RawData!$C:$C,$A57,RawData!G:G)</f>
        <v>0</v>
      </c>
      <c r="D57">
        <f>SUMIF(RawData!$C:$C,$A57,RawData!H:H)</f>
        <v>0</v>
      </c>
      <c r="E57">
        <f>SUMIF(RawData!$C:$C,$A57,RawData!I:I)</f>
        <v>0</v>
      </c>
      <c r="F57">
        <f>SUMIF(RawData!$C:$C,$A57,RawData!J:J)</f>
        <v>0</v>
      </c>
      <c r="G57">
        <f>SUMIF(RawData!$C:$C,$A57,RawData!K:K)</f>
        <v>0</v>
      </c>
      <c r="H57">
        <f>SUMIF(RawData!$C:$C,$A57,RawData!L:L)</f>
        <v>0</v>
      </c>
      <c r="I57">
        <f>SUMIF(RawData!$C:$C,$A57,RawData!M:M)</f>
        <v>0</v>
      </c>
      <c r="J57">
        <f>SUMIF(RawData!$C:$C,$A57,RawData!N:N)</f>
        <v>0</v>
      </c>
      <c r="K57">
        <f>SUMIF(RawData!$C:$C,$A57,RawData!O:O)</f>
        <v>0</v>
      </c>
      <c r="L57">
        <f>SUMIF(RawData!$C:$C,$A57,RawData!P:P)</f>
        <v>0</v>
      </c>
      <c r="M57">
        <f>SUMIF(RawData!$C:$C,$A57,RawData!Q:Q)</f>
        <v>0</v>
      </c>
      <c r="N57">
        <f>SUMIF(RawData!$C:$C,$A57,RawData!R:R)</f>
        <v>0</v>
      </c>
      <c r="O57">
        <f>SUMIF(RawData!$C:$C,$A57,RawData!S:S)</f>
        <v>0</v>
      </c>
      <c r="P57">
        <f>SUMIF(RawData!$C:$C,$A57,RawData!T:T)</f>
        <v>0</v>
      </c>
      <c r="Q57">
        <f>SUMIF(RawData!$C:$C,$A57,RawData!U:U)</f>
        <v>0</v>
      </c>
      <c r="R57">
        <f>SUMIF(RawData!$C:$C,$A57,RawData!V:V)</f>
        <v>0</v>
      </c>
      <c r="S57">
        <f>SUMIF(RawData!$C:$C,$A57,RawData!W:W)</f>
        <v>0</v>
      </c>
      <c r="T57">
        <f>SUMIF(RawData!$C:$C,$A57,RawData!X:X)</f>
        <v>0</v>
      </c>
      <c r="U57">
        <f>SUMIF(RawData!$C:$C,$A57,RawData!Y:Y)</f>
        <v>0</v>
      </c>
      <c r="V57">
        <f>SUMIF(RawData!$C:$C,$A57,RawData!Z:Z)</f>
        <v>0</v>
      </c>
      <c r="W57">
        <f>SUMIF(RawData!$C:$C,$A57,RawData!AA:AA)</f>
        <v>0</v>
      </c>
      <c r="X57">
        <f>SUMIF(RawData!$C:$C,$A57,RawData!AB:AB)</f>
        <v>0</v>
      </c>
      <c r="Y57">
        <f>SUMIF(RawData!$C:$C,$A57,RawData!AC:AC)</f>
        <v>0</v>
      </c>
      <c r="Z57">
        <f>SUMIF(RawData!$C:$C,$A57,RawData!AD:AD)</f>
        <v>0</v>
      </c>
      <c r="AA57">
        <f>SUMIF(RawData!$C:$C,$A57,RawData!AE:AE)</f>
        <v>0</v>
      </c>
      <c r="AB57">
        <f>SUMIF(RawData!$C:$C,$A57,RawData!AF:AF)</f>
        <v>0</v>
      </c>
      <c r="AC57">
        <f>SUMIF(RawData!$C:$C,$A57,RawData!AG:AG)</f>
        <v>0</v>
      </c>
      <c r="AD57">
        <f>SUMIF(RawData!$C:$C,$A57,RawData!AH:AH)</f>
        <v>0</v>
      </c>
      <c r="AE57">
        <f>SUMIF(RawData!$C:$C,$A57,RawData!AI:AI)</f>
        <v>0</v>
      </c>
      <c r="AF57">
        <f>SUMIF(RawData!$C:$C,$A57,RawData!AJ:AJ)</f>
        <v>0</v>
      </c>
      <c r="AG57">
        <f>SUMIF(RawData!$C:$C,$A57,RawData!AK:AK)</f>
        <v>0</v>
      </c>
      <c r="AH57">
        <f>SUMIF(RawData!$C:$C,$A57,RawData!AL:AL)</f>
        <v>0</v>
      </c>
      <c r="AI57">
        <f>SUMIF(RawData!$C:$C,$A57,RawData!AM:AM)</f>
        <v>0</v>
      </c>
      <c r="AJ57">
        <f>SUMIF(RawData!$C:$C,$A57,RawData!AN:AN)</f>
        <v>1</v>
      </c>
      <c r="AK57">
        <f>SUMIF(RawData!$C:$C,$A57,RawData!AO:AO)</f>
        <v>3</v>
      </c>
      <c r="AL57">
        <f>SUMIF(RawData!$C:$C,$A57,RawData!AP:AP)</f>
        <v>3</v>
      </c>
      <c r="AM57">
        <f>SUMIF(RawData!$C:$C,$A57,RawData!AQ:AQ)</f>
        <v>5</v>
      </c>
      <c r="AN57">
        <f>SUMIF(RawData!$C:$C,$A57,RawData!AR:AR)</f>
        <v>6</v>
      </c>
      <c r="AO57">
        <f>SUMIF(RawData!$C:$C,$A57,RawData!AS:AS)</f>
        <v>7</v>
      </c>
      <c r="AP57">
        <f>SUMIF(RawData!$C:$C,$A57,RawData!AT:AT)</f>
        <v>7</v>
      </c>
      <c r="AQ57">
        <f>SUMIF(RawData!$C:$C,$A57,RawData!AU:AU)</f>
        <v>9</v>
      </c>
      <c r="AR57">
        <f>SUMIF(RawData!$C:$C,$A57,RawData!AV:AV)</f>
        <v>10</v>
      </c>
      <c r="AS57">
        <f>SUMIF(RawData!$C:$C,$A57,RawData!AW:AW)</f>
        <v>10</v>
      </c>
      <c r="AT57">
        <f>SUMIF(RawData!$C:$C,$A57,RawData!AX:AX)</f>
        <v>11</v>
      </c>
      <c r="AU57">
        <f>SUMIF(RawData!$C:$C,$A57,RawData!AY:AY)</f>
        <v>12</v>
      </c>
      <c r="AV57">
        <f>SUMIF(RawData!$C:$C,$A57,RawData!AZ:AZ)</f>
        <v>12</v>
      </c>
      <c r="AW57">
        <f>SUMIF(RawData!$C:$C,$A57,RawData!BA:BA)</f>
        <v>12</v>
      </c>
      <c r="AX57">
        <f>SUMIF(RawData!$C:$C,$A57,RawData!BB:BB)</f>
        <v>14</v>
      </c>
      <c r="AY57">
        <f>SUMIF(RawData!$C:$C,$A57,RawData!BC:BC)</f>
        <v>19</v>
      </c>
      <c r="AZ57">
        <f>SUMIF(RawData!$C:$C,$A57,RawData!BD:BD)</f>
        <v>19</v>
      </c>
      <c r="BA57">
        <f>SUMIF(RawData!$C:$C,$A57,RawData!BE:BE)</f>
        <v>32</v>
      </c>
      <c r="BB57">
        <f>SUMIF(RawData!$C:$C,$A57,RawData!BF:BF)</f>
        <v>38</v>
      </c>
      <c r="BC57">
        <f>SUMIF(RawData!$C:$C,$A57,RawData!BG:BG)</f>
        <v>49</v>
      </c>
      <c r="BD57">
        <f>SUMIF(RawData!$C:$C,$A57,RawData!BH:BH)</f>
        <v>0</v>
      </c>
      <c r="BE57">
        <f>SUMIF(RawData!$C:$C,$A57,RawData!BI:BI)</f>
        <v>0</v>
      </c>
      <c r="BF57">
        <f>SUMIF(RawData!$C:$C,$A57,RawData!BJ:BJ)</f>
        <v>0</v>
      </c>
      <c r="BG57">
        <f>SUMIF(RawData!$C:$C,$A57,RawData!BK:BK)</f>
        <v>0</v>
      </c>
      <c r="BH57">
        <f>SUMIF(RawData!$C:$C,$A57,RawData!BL:BL)</f>
        <v>0</v>
      </c>
      <c r="BI57">
        <f>SUMIF(RawData!$C:$C,$A57,RawData!BM:BM)</f>
        <v>0</v>
      </c>
      <c r="BJ57">
        <f>SUMIF(RawData!$C:$C,$A57,RawData!BN:BN)</f>
        <v>0</v>
      </c>
      <c r="BK57">
        <f>SUMIF(RawData!$C:$C,$A57,RawData!BO:BO)</f>
        <v>0</v>
      </c>
      <c r="BL57">
        <f>SUMIF(RawData!$C:$C,$A57,RawData!BP:BP)</f>
        <v>0</v>
      </c>
      <c r="BM57">
        <f>SUMIF(RawData!$C:$C,$A57,RawData!BQ:BQ)</f>
        <v>0</v>
      </c>
      <c r="BN57">
        <f>SUMIF(RawData!$C:$C,$A57,RawData!BR:BR)</f>
        <v>0</v>
      </c>
      <c r="BO57">
        <f>SUMIF(RawData!$C:$C,$A57,RawData!BS:BS)</f>
        <v>0</v>
      </c>
      <c r="BP57">
        <f>SUMIF(RawData!$C:$C,$A57,RawData!BT:BT)</f>
        <v>0</v>
      </c>
      <c r="BQ57">
        <f>SUMIF(RawData!$C:$C,$A57,RawData!BU:BU)</f>
        <v>0</v>
      </c>
      <c r="BR57">
        <f>SUMIF(RawData!$C:$C,$A57,RawData!BV:BV)</f>
        <v>0</v>
      </c>
      <c r="BS57">
        <f>SUMIF(RawData!$C:$C,$A57,RawData!BW:BW)</f>
        <v>0</v>
      </c>
      <c r="BT57">
        <f>SUMIF(RawData!$C:$C,$A57,RawData!BX:BX)</f>
        <v>0</v>
      </c>
    </row>
    <row r="58" spans="1:72" ht="15" thickBot="1" x14ac:dyDescent="0.35">
      <c r="A58" s="5" t="s">
        <v>189</v>
      </c>
      <c r="B58">
        <f>SUMIF(RawData!$C:$C,$A58,RawData!F:F)</f>
        <v>0</v>
      </c>
      <c r="C58">
        <f>SUMIF(RawData!$C:$C,$A58,RawData!G:G)</f>
        <v>0</v>
      </c>
      <c r="D58">
        <f>SUMIF(RawData!$C:$C,$A58,RawData!H:H)</f>
        <v>0</v>
      </c>
      <c r="E58">
        <f>SUMIF(RawData!$C:$C,$A58,RawData!I:I)</f>
        <v>0</v>
      </c>
      <c r="F58">
        <f>SUMIF(RawData!$C:$C,$A58,RawData!J:J)</f>
        <v>0</v>
      </c>
      <c r="G58">
        <f>SUMIF(RawData!$C:$C,$A58,RawData!K:K)</f>
        <v>0</v>
      </c>
      <c r="H58">
        <f>SUMIF(RawData!$C:$C,$A58,RawData!L:L)</f>
        <v>0</v>
      </c>
      <c r="I58">
        <f>SUMIF(RawData!$C:$C,$A58,RawData!M:M)</f>
        <v>0</v>
      </c>
      <c r="J58">
        <f>SUMIF(RawData!$C:$C,$A58,RawData!N:N)</f>
        <v>0</v>
      </c>
      <c r="K58">
        <f>SUMIF(RawData!$C:$C,$A58,RawData!O:O)</f>
        <v>0</v>
      </c>
      <c r="L58">
        <f>SUMIF(RawData!$C:$C,$A58,RawData!P:P)</f>
        <v>0</v>
      </c>
      <c r="M58">
        <f>SUMIF(RawData!$C:$C,$A58,RawData!Q:Q)</f>
        <v>0</v>
      </c>
      <c r="N58">
        <f>SUMIF(RawData!$C:$C,$A58,RawData!R:R)</f>
        <v>0</v>
      </c>
      <c r="O58">
        <f>SUMIF(RawData!$C:$C,$A58,RawData!S:S)</f>
        <v>0</v>
      </c>
      <c r="P58">
        <f>SUMIF(RawData!$C:$C,$A58,RawData!T:T)</f>
        <v>0</v>
      </c>
      <c r="Q58">
        <f>SUMIF(RawData!$C:$C,$A58,RawData!U:U)</f>
        <v>0</v>
      </c>
      <c r="R58">
        <f>SUMIF(RawData!$C:$C,$A58,RawData!V:V)</f>
        <v>0</v>
      </c>
      <c r="S58">
        <f>SUMIF(RawData!$C:$C,$A58,RawData!W:W)</f>
        <v>0</v>
      </c>
      <c r="T58">
        <f>SUMIF(RawData!$C:$C,$A58,RawData!X:X)</f>
        <v>0</v>
      </c>
      <c r="U58">
        <f>SUMIF(RawData!$C:$C,$A58,RawData!Y:Y)</f>
        <v>0</v>
      </c>
      <c r="V58">
        <f>SUMIF(RawData!$C:$C,$A58,RawData!Z:Z)</f>
        <v>0</v>
      </c>
      <c r="W58">
        <f>SUMIF(RawData!$C:$C,$A58,RawData!AA:AA)</f>
        <v>0</v>
      </c>
      <c r="X58">
        <f>SUMIF(RawData!$C:$C,$A58,RawData!AB:AB)</f>
        <v>0</v>
      </c>
      <c r="Y58">
        <f>SUMIF(RawData!$C:$C,$A58,RawData!AC:AC)</f>
        <v>0</v>
      </c>
      <c r="Z58">
        <f>SUMIF(RawData!$C:$C,$A58,RawData!AD:AD)</f>
        <v>0</v>
      </c>
      <c r="AA58">
        <f>SUMIF(RawData!$C:$C,$A58,RawData!AE:AE)</f>
        <v>0</v>
      </c>
      <c r="AB58">
        <f>SUMIF(RawData!$C:$C,$A58,RawData!AF:AF)</f>
        <v>0</v>
      </c>
      <c r="AC58">
        <f>SUMIF(RawData!$C:$C,$A58,RawData!AG:AG)</f>
        <v>0</v>
      </c>
      <c r="AD58">
        <f>SUMIF(RawData!$C:$C,$A58,RawData!AH:AH)</f>
        <v>0</v>
      </c>
      <c r="AE58">
        <f>SUMIF(RawData!$C:$C,$A58,RawData!AI:AI)</f>
        <v>0</v>
      </c>
      <c r="AF58">
        <f>SUMIF(RawData!$C:$C,$A58,RawData!AJ:AJ)</f>
        <v>0</v>
      </c>
      <c r="AG58">
        <f>SUMIF(RawData!$C:$C,$A58,RawData!AK:AK)</f>
        <v>0</v>
      </c>
      <c r="AH58">
        <f>SUMIF(RawData!$C:$C,$A58,RawData!AL:AL)</f>
        <v>0</v>
      </c>
      <c r="AI58">
        <f>SUMIF(RawData!$C:$C,$A58,RawData!AM:AM)</f>
        <v>0</v>
      </c>
      <c r="AJ58">
        <f>SUMIF(RawData!$C:$C,$A58,RawData!AN:AN)</f>
        <v>0</v>
      </c>
      <c r="AK58">
        <f>SUMIF(RawData!$C:$C,$A58,RawData!AO:AO)</f>
        <v>0</v>
      </c>
      <c r="AL58">
        <f>SUMIF(RawData!$C:$C,$A58,RawData!AP:AP)</f>
        <v>0</v>
      </c>
      <c r="AM58">
        <f>SUMIF(RawData!$C:$C,$A58,RawData!AQ:AQ)</f>
        <v>0</v>
      </c>
      <c r="AN58">
        <f>SUMIF(RawData!$C:$C,$A58,RawData!AR:AR)</f>
        <v>0</v>
      </c>
      <c r="AO58">
        <f>SUMIF(RawData!$C:$C,$A58,RawData!AS:AS)</f>
        <v>0</v>
      </c>
      <c r="AP58">
        <f>SUMIF(RawData!$C:$C,$A58,RawData!AT:AT)</f>
        <v>0</v>
      </c>
      <c r="AQ58">
        <f>SUMIF(RawData!$C:$C,$A58,RawData!AU:AU)</f>
        <v>0</v>
      </c>
      <c r="AR58">
        <f>SUMIF(RawData!$C:$C,$A58,RawData!AV:AV)</f>
        <v>0</v>
      </c>
      <c r="AS58">
        <f>SUMIF(RawData!$C:$C,$A58,RawData!AW:AW)</f>
        <v>0</v>
      </c>
      <c r="AT58">
        <f>SUMIF(RawData!$C:$C,$A58,RawData!AX:AX)</f>
        <v>1</v>
      </c>
      <c r="AU58">
        <f>SUMIF(RawData!$C:$C,$A58,RawData!AY:AY)</f>
        <v>1</v>
      </c>
      <c r="AV58">
        <f>SUMIF(RawData!$C:$C,$A58,RawData!AZ:AZ)</f>
        <v>3</v>
      </c>
      <c r="AW58">
        <f>SUMIF(RawData!$C:$C,$A58,RawData!BA:BA)</f>
        <v>3</v>
      </c>
      <c r="AX58">
        <f>SUMIF(RawData!$C:$C,$A58,RawData!BB:BB)</f>
        <v>7</v>
      </c>
      <c r="AY58">
        <f>SUMIF(RawData!$C:$C,$A58,RawData!BC:BC)</f>
        <v>10</v>
      </c>
      <c r="AZ58">
        <f>SUMIF(RawData!$C:$C,$A58,RawData!BD:BD)</f>
        <v>16</v>
      </c>
      <c r="BA58">
        <f>SUMIF(RawData!$C:$C,$A58,RawData!BE:BE)</f>
        <v>32</v>
      </c>
      <c r="BB58">
        <f>SUMIF(RawData!$C:$C,$A58,RawData!BF:BF)</f>
        <v>44</v>
      </c>
      <c r="BC58">
        <f>SUMIF(RawData!$C:$C,$A58,RawData!BG:BG)</f>
        <v>54</v>
      </c>
      <c r="BD58">
        <f>SUMIF(RawData!$C:$C,$A58,RawData!BH:BH)</f>
        <v>0</v>
      </c>
      <c r="BE58">
        <f>SUMIF(RawData!$C:$C,$A58,RawData!BI:BI)</f>
        <v>0</v>
      </c>
      <c r="BF58">
        <f>SUMIF(RawData!$C:$C,$A58,RawData!BJ:BJ)</f>
        <v>0</v>
      </c>
      <c r="BG58">
        <f>SUMIF(RawData!$C:$C,$A58,RawData!BK:BK)</f>
        <v>0</v>
      </c>
      <c r="BH58">
        <f>SUMIF(RawData!$C:$C,$A58,RawData!BL:BL)</f>
        <v>0</v>
      </c>
      <c r="BI58">
        <f>SUMIF(RawData!$C:$C,$A58,RawData!BM:BM)</f>
        <v>0</v>
      </c>
      <c r="BJ58">
        <f>SUMIF(RawData!$C:$C,$A58,RawData!BN:BN)</f>
        <v>0</v>
      </c>
      <c r="BK58">
        <f>SUMIF(RawData!$C:$C,$A58,RawData!BO:BO)</f>
        <v>0</v>
      </c>
      <c r="BL58">
        <f>SUMIF(RawData!$C:$C,$A58,RawData!BP:BP)</f>
        <v>0</v>
      </c>
      <c r="BM58">
        <f>SUMIF(RawData!$C:$C,$A58,RawData!BQ:BQ)</f>
        <v>0</v>
      </c>
      <c r="BN58">
        <f>SUMIF(RawData!$C:$C,$A58,RawData!BR:BR)</f>
        <v>0</v>
      </c>
      <c r="BO58">
        <f>SUMIF(RawData!$C:$C,$A58,RawData!BS:BS)</f>
        <v>0</v>
      </c>
      <c r="BP58">
        <f>SUMIF(RawData!$C:$C,$A58,RawData!BT:BT)</f>
        <v>0</v>
      </c>
      <c r="BQ58">
        <f>SUMIF(RawData!$C:$C,$A58,RawData!BU:BU)</f>
        <v>0</v>
      </c>
      <c r="BR58">
        <f>SUMIF(RawData!$C:$C,$A58,RawData!BV:BV)</f>
        <v>0</v>
      </c>
      <c r="BS58">
        <f>SUMIF(RawData!$C:$C,$A58,RawData!BW:BW)</f>
        <v>0</v>
      </c>
      <c r="BT58">
        <f>SUMIF(RawData!$C:$C,$A58,RawData!BX:BX)</f>
        <v>0</v>
      </c>
    </row>
    <row r="59" spans="1:72" ht="15" thickBot="1" x14ac:dyDescent="0.35">
      <c r="A59" s="5" t="s">
        <v>150</v>
      </c>
      <c r="B59">
        <f>SUMIF(RawData!$C:$C,$A59,RawData!F:F)</f>
        <v>0</v>
      </c>
      <c r="C59">
        <f>SUMIF(RawData!$C:$C,$A59,RawData!G:G)</f>
        <v>0</v>
      </c>
      <c r="D59">
        <f>SUMIF(RawData!$C:$C,$A59,RawData!H:H)</f>
        <v>0</v>
      </c>
      <c r="E59">
        <f>SUMIF(RawData!$C:$C,$A59,RawData!I:I)</f>
        <v>0</v>
      </c>
      <c r="F59">
        <f>SUMIF(RawData!$C:$C,$A59,RawData!J:J)</f>
        <v>0</v>
      </c>
      <c r="G59">
        <f>SUMIF(RawData!$C:$C,$A59,RawData!K:K)</f>
        <v>0</v>
      </c>
      <c r="H59">
        <f>SUMIF(RawData!$C:$C,$A59,RawData!L:L)</f>
        <v>0</v>
      </c>
      <c r="I59">
        <f>SUMIF(RawData!$C:$C,$A59,RawData!M:M)</f>
        <v>0</v>
      </c>
      <c r="J59">
        <f>SUMIF(RawData!$C:$C,$A59,RawData!N:N)</f>
        <v>0</v>
      </c>
      <c r="K59">
        <f>SUMIF(RawData!$C:$C,$A59,RawData!O:O)</f>
        <v>0</v>
      </c>
      <c r="L59">
        <f>SUMIF(RawData!$C:$C,$A59,RawData!P:P)</f>
        <v>0</v>
      </c>
      <c r="M59">
        <f>SUMIF(RawData!$C:$C,$A59,RawData!Q:Q)</f>
        <v>0</v>
      </c>
      <c r="N59">
        <f>SUMIF(RawData!$C:$C,$A59,RawData!R:R)</f>
        <v>0</v>
      </c>
      <c r="O59">
        <f>SUMIF(RawData!$C:$C,$A59,RawData!S:S)</f>
        <v>0</v>
      </c>
      <c r="P59">
        <f>SUMIF(RawData!$C:$C,$A59,RawData!T:T)</f>
        <v>0</v>
      </c>
      <c r="Q59">
        <f>SUMIF(RawData!$C:$C,$A59,RawData!U:U)</f>
        <v>0</v>
      </c>
      <c r="R59">
        <f>SUMIF(RawData!$C:$C,$A59,RawData!V:V)</f>
        <v>0</v>
      </c>
      <c r="S59">
        <f>SUMIF(RawData!$C:$C,$A59,RawData!W:W)</f>
        <v>0</v>
      </c>
      <c r="T59">
        <f>SUMIF(RawData!$C:$C,$A59,RawData!X:X)</f>
        <v>0</v>
      </c>
      <c r="U59">
        <f>SUMIF(RawData!$C:$C,$A59,RawData!Y:Y)</f>
        <v>0</v>
      </c>
      <c r="V59">
        <f>SUMIF(RawData!$C:$C,$A59,RawData!Z:Z)</f>
        <v>0</v>
      </c>
      <c r="W59">
        <f>SUMIF(RawData!$C:$C,$A59,RawData!AA:AA)</f>
        <v>0</v>
      </c>
      <c r="X59">
        <f>SUMIF(RawData!$C:$C,$A59,RawData!AB:AB)</f>
        <v>0</v>
      </c>
      <c r="Y59">
        <f>SUMIF(RawData!$C:$C,$A59,RawData!AC:AC)</f>
        <v>0</v>
      </c>
      <c r="Z59">
        <f>SUMIF(RawData!$C:$C,$A59,RawData!AD:AD)</f>
        <v>0</v>
      </c>
      <c r="AA59">
        <f>SUMIF(RawData!$C:$C,$A59,RawData!AE:AE)</f>
        <v>0</v>
      </c>
      <c r="AB59">
        <f>SUMIF(RawData!$C:$C,$A59,RawData!AF:AF)</f>
        <v>0</v>
      </c>
      <c r="AC59">
        <f>SUMIF(RawData!$C:$C,$A59,RawData!AG:AG)</f>
        <v>0</v>
      </c>
      <c r="AD59">
        <f>SUMIF(RawData!$C:$C,$A59,RawData!AH:AH)</f>
        <v>0</v>
      </c>
      <c r="AE59">
        <f>SUMIF(RawData!$C:$C,$A59,RawData!AI:AI)</f>
        <v>0</v>
      </c>
      <c r="AF59">
        <f>SUMIF(RawData!$C:$C,$A59,RawData!AJ:AJ)</f>
        <v>0</v>
      </c>
      <c r="AG59">
        <f>SUMIF(RawData!$C:$C,$A59,RawData!AK:AK)</f>
        <v>0</v>
      </c>
      <c r="AH59">
        <f>SUMIF(RawData!$C:$C,$A59,RawData!AL:AL)</f>
        <v>0</v>
      </c>
      <c r="AI59">
        <f>SUMIF(RawData!$C:$C,$A59,RawData!AM:AM)</f>
        <v>0</v>
      </c>
      <c r="AJ59">
        <f>SUMIF(RawData!$C:$C,$A59,RawData!AN:AN)</f>
        <v>0</v>
      </c>
      <c r="AK59">
        <f>SUMIF(RawData!$C:$C,$A59,RawData!AO:AO)</f>
        <v>0</v>
      </c>
      <c r="AL59">
        <f>SUMIF(RawData!$C:$C,$A59,RawData!AP:AP)</f>
        <v>0</v>
      </c>
      <c r="AM59">
        <f>SUMIF(RawData!$C:$C,$A59,RawData!AQ:AQ)</f>
        <v>0</v>
      </c>
      <c r="AN59">
        <f>SUMIF(RawData!$C:$C,$A59,RawData!AR:AR)</f>
        <v>0</v>
      </c>
      <c r="AO59">
        <f>SUMIF(RawData!$C:$C,$A59,RawData!AS:AS)</f>
        <v>0</v>
      </c>
      <c r="AP59">
        <f>SUMIF(RawData!$C:$C,$A59,RawData!AT:AT)</f>
        <v>0</v>
      </c>
      <c r="AQ59">
        <f>SUMIF(RawData!$C:$C,$A59,RawData!AU:AU)</f>
        <v>1</v>
      </c>
      <c r="AR59">
        <f>SUMIF(RawData!$C:$C,$A59,RawData!AV:AV)</f>
        <v>1</v>
      </c>
      <c r="AS59">
        <f>SUMIF(RawData!$C:$C,$A59,RawData!AW:AW)</f>
        <v>1</v>
      </c>
      <c r="AT59">
        <f>SUMIF(RawData!$C:$C,$A59,RawData!AX:AX)</f>
        <v>2</v>
      </c>
      <c r="AU59">
        <f>SUMIF(RawData!$C:$C,$A59,RawData!AY:AY)</f>
        <v>8</v>
      </c>
      <c r="AV59">
        <f>SUMIF(RawData!$C:$C,$A59,RawData!AZ:AZ)</f>
        <v>12</v>
      </c>
      <c r="AW59">
        <f>SUMIF(RawData!$C:$C,$A59,RawData!BA:BA)</f>
        <v>12</v>
      </c>
      <c r="AX59">
        <f>SUMIF(RawData!$C:$C,$A59,RawData!BB:BB)</f>
        <v>17</v>
      </c>
      <c r="AY59">
        <f>SUMIF(RawData!$C:$C,$A59,RawData!BC:BC)</f>
        <v>19</v>
      </c>
      <c r="AZ59">
        <f>SUMIF(RawData!$C:$C,$A59,RawData!BD:BD)</f>
        <v>19</v>
      </c>
      <c r="BA59">
        <f>SUMIF(RawData!$C:$C,$A59,RawData!BE:BE)</f>
        <v>31</v>
      </c>
      <c r="BB59">
        <f>SUMIF(RawData!$C:$C,$A59,RawData!BF:BF)</f>
        <v>34</v>
      </c>
      <c r="BC59">
        <f>SUMIF(RawData!$C:$C,$A59,RawData!BG:BG)</f>
        <v>45</v>
      </c>
      <c r="BD59">
        <f>SUMIF(RawData!$C:$C,$A59,RawData!BH:BH)</f>
        <v>0</v>
      </c>
      <c r="BE59">
        <f>SUMIF(RawData!$C:$C,$A59,RawData!BI:BI)</f>
        <v>0</v>
      </c>
      <c r="BF59">
        <f>SUMIF(RawData!$C:$C,$A59,RawData!BJ:BJ)</f>
        <v>0</v>
      </c>
      <c r="BG59">
        <f>SUMIF(RawData!$C:$C,$A59,RawData!BK:BK)</f>
        <v>0</v>
      </c>
      <c r="BH59">
        <f>SUMIF(RawData!$C:$C,$A59,RawData!BL:BL)</f>
        <v>0</v>
      </c>
      <c r="BI59">
        <f>SUMIF(RawData!$C:$C,$A59,RawData!BM:BM)</f>
        <v>0</v>
      </c>
      <c r="BJ59">
        <f>SUMIF(RawData!$C:$C,$A59,RawData!BN:BN)</f>
        <v>0</v>
      </c>
      <c r="BK59">
        <f>SUMIF(RawData!$C:$C,$A59,RawData!BO:BO)</f>
        <v>0</v>
      </c>
      <c r="BL59">
        <f>SUMIF(RawData!$C:$C,$A59,RawData!BP:BP)</f>
        <v>0</v>
      </c>
      <c r="BM59">
        <f>SUMIF(RawData!$C:$C,$A59,RawData!BQ:BQ)</f>
        <v>0</v>
      </c>
      <c r="BN59">
        <f>SUMIF(RawData!$C:$C,$A59,RawData!BR:BR)</f>
        <v>0</v>
      </c>
      <c r="BO59">
        <f>SUMIF(RawData!$C:$C,$A59,RawData!BS:BS)</f>
        <v>0</v>
      </c>
      <c r="BP59">
        <f>SUMIF(RawData!$C:$C,$A59,RawData!BT:BT)</f>
        <v>0</v>
      </c>
      <c r="BQ59">
        <f>SUMIF(RawData!$C:$C,$A59,RawData!BU:BU)</f>
        <v>0</v>
      </c>
      <c r="BR59">
        <f>SUMIF(RawData!$C:$C,$A59,RawData!BV:BV)</f>
        <v>0</v>
      </c>
      <c r="BS59">
        <f>SUMIF(RawData!$C:$C,$A59,RawData!BW:BW)</f>
        <v>0</v>
      </c>
      <c r="BT59">
        <f>SUMIF(RawData!$C:$C,$A59,RawData!BX:BX)</f>
        <v>0</v>
      </c>
    </row>
    <row r="60" spans="1:72" ht="15" thickBot="1" x14ac:dyDescent="0.35">
      <c r="A60" s="4" t="s">
        <v>107</v>
      </c>
      <c r="B60">
        <f>SUMIF(RawData!$C:$C,$A60,RawData!F:F)</f>
        <v>0</v>
      </c>
      <c r="C60">
        <f>SUMIF(RawData!$C:$C,$A60,RawData!G:G)</f>
        <v>0</v>
      </c>
      <c r="D60">
        <f>SUMIF(RawData!$C:$C,$A60,RawData!H:H)</f>
        <v>0</v>
      </c>
      <c r="E60">
        <f>SUMIF(RawData!$C:$C,$A60,RawData!I:I)</f>
        <v>0</v>
      </c>
      <c r="F60">
        <f>SUMIF(RawData!$C:$C,$A60,RawData!J:J)</f>
        <v>0</v>
      </c>
      <c r="G60">
        <f>SUMIF(RawData!$C:$C,$A60,RawData!K:K)</f>
        <v>0</v>
      </c>
      <c r="H60">
        <f>SUMIF(RawData!$C:$C,$A60,RawData!L:L)</f>
        <v>0</v>
      </c>
      <c r="I60">
        <f>SUMIF(RawData!$C:$C,$A60,RawData!M:M)</f>
        <v>0</v>
      </c>
      <c r="J60">
        <f>SUMIF(RawData!$C:$C,$A60,RawData!N:N)</f>
        <v>0</v>
      </c>
      <c r="K60">
        <f>SUMIF(RawData!$C:$C,$A60,RawData!O:O)</f>
        <v>0</v>
      </c>
      <c r="L60">
        <f>SUMIF(RawData!$C:$C,$A60,RawData!P:P)</f>
        <v>0</v>
      </c>
      <c r="M60">
        <f>SUMIF(RawData!$C:$C,$A60,RawData!Q:Q)</f>
        <v>0</v>
      </c>
      <c r="N60">
        <f>SUMIF(RawData!$C:$C,$A60,RawData!R:R)</f>
        <v>0</v>
      </c>
      <c r="O60">
        <f>SUMIF(RawData!$C:$C,$A60,RawData!S:S)</f>
        <v>0</v>
      </c>
      <c r="P60">
        <f>SUMIF(RawData!$C:$C,$A60,RawData!T:T)</f>
        <v>0</v>
      </c>
      <c r="Q60">
        <f>SUMIF(RawData!$C:$C,$A60,RawData!U:U)</f>
        <v>0</v>
      </c>
      <c r="R60">
        <f>SUMIF(RawData!$C:$C,$A60,RawData!V:V)</f>
        <v>0</v>
      </c>
      <c r="S60">
        <f>SUMIF(RawData!$C:$C,$A60,RawData!W:W)</f>
        <v>0</v>
      </c>
      <c r="T60">
        <f>SUMIF(RawData!$C:$C,$A60,RawData!X:X)</f>
        <v>0</v>
      </c>
      <c r="U60">
        <f>SUMIF(RawData!$C:$C,$A60,RawData!Y:Y)</f>
        <v>0</v>
      </c>
      <c r="V60">
        <f>SUMIF(RawData!$C:$C,$A60,RawData!Z:Z)</f>
        <v>0</v>
      </c>
      <c r="W60">
        <f>SUMIF(RawData!$C:$C,$A60,RawData!AA:AA)</f>
        <v>0</v>
      </c>
      <c r="X60">
        <f>SUMIF(RawData!$C:$C,$A60,RawData!AB:AB)</f>
        <v>0</v>
      </c>
      <c r="Y60">
        <f>SUMIF(RawData!$C:$C,$A60,RawData!AC:AC)</f>
        <v>0</v>
      </c>
      <c r="Z60">
        <f>SUMIF(RawData!$C:$C,$A60,RawData!AD:AD)</f>
        <v>0</v>
      </c>
      <c r="AA60">
        <f>SUMIF(RawData!$C:$C,$A60,RawData!AE:AE)</f>
        <v>0</v>
      </c>
      <c r="AB60">
        <f>SUMIF(RawData!$C:$C,$A60,RawData!AF:AF)</f>
        <v>0</v>
      </c>
      <c r="AC60">
        <f>SUMIF(RawData!$C:$C,$A60,RawData!AG:AG)</f>
        <v>0</v>
      </c>
      <c r="AD60">
        <f>SUMIF(RawData!$C:$C,$A60,RawData!AH:AH)</f>
        <v>0</v>
      </c>
      <c r="AE60">
        <f>SUMIF(RawData!$C:$C,$A60,RawData!AI:AI)</f>
        <v>0</v>
      </c>
      <c r="AF60">
        <f>SUMIF(RawData!$C:$C,$A60,RawData!AJ:AJ)</f>
        <v>0</v>
      </c>
      <c r="AG60">
        <f>SUMIF(RawData!$C:$C,$A60,RawData!AK:AK)</f>
        <v>0</v>
      </c>
      <c r="AH60">
        <f>SUMIF(RawData!$C:$C,$A60,RawData!AL:AL)</f>
        <v>0</v>
      </c>
      <c r="AI60">
        <f>SUMIF(RawData!$C:$C,$A60,RawData!AM:AM)</f>
        <v>0</v>
      </c>
      <c r="AJ60">
        <f>SUMIF(RawData!$C:$C,$A60,RawData!AN:AN)</f>
        <v>0</v>
      </c>
      <c r="AK60">
        <f>SUMIF(RawData!$C:$C,$A60,RawData!AO:AO)</f>
        <v>2</v>
      </c>
      <c r="AL60">
        <f>SUMIF(RawData!$C:$C,$A60,RawData!AP:AP)</f>
        <v>2</v>
      </c>
      <c r="AM60">
        <f>SUMIF(RawData!$C:$C,$A60,RawData!AQ:AQ)</f>
        <v>2</v>
      </c>
      <c r="AN60">
        <f>SUMIF(RawData!$C:$C,$A60,RawData!AR:AR)</f>
        <v>4</v>
      </c>
      <c r="AO60">
        <f>SUMIF(RawData!$C:$C,$A60,RawData!AS:AS)</f>
        <v>4</v>
      </c>
      <c r="AP60">
        <f>SUMIF(RawData!$C:$C,$A60,RawData!AT:AT)</f>
        <v>4</v>
      </c>
      <c r="AQ60">
        <f>SUMIF(RawData!$C:$C,$A60,RawData!AU:AU)</f>
        <v>5</v>
      </c>
      <c r="AR60">
        <f>SUMIF(RawData!$C:$C,$A60,RawData!AV:AV)</f>
        <v>5</v>
      </c>
      <c r="AS60">
        <f>SUMIF(RawData!$C:$C,$A60,RawData!AW:AW)</f>
        <v>5</v>
      </c>
      <c r="AT60">
        <f>SUMIF(RawData!$C:$C,$A60,RawData!AX:AX)</f>
        <v>6</v>
      </c>
      <c r="AU60">
        <f>SUMIF(RawData!$C:$C,$A60,RawData!AY:AY)</f>
        <v>6</v>
      </c>
      <c r="AV60">
        <f>SUMIF(RawData!$C:$C,$A60,RawData!AZ:AZ)</f>
        <v>6</v>
      </c>
      <c r="AW60">
        <f>SUMIF(RawData!$C:$C,$A60,RawData!BA:BA)</f>
        <v>6</v>
      </c>
      <c r="AX60">
        <f>SUMIF(RawData!$C:$C,$A60,RawData!BB:BB)</f>
        <v>16</v>
      </c>
      <c r="AY60">
        <f>SUMIF(RawData!$C:$C,$A60,RawData!BC:BC)</f>
        <v>19</v>
      </c>
      <c r="AZ60">
        <f>SUMIF(RawData!$C:$C,$A60,RawData!BD:BD)</f>
        <v>20</v>
      </c>
      <c r="BA60">
        <f>SUMIF(RawData!$C:$C,$A60,RawData!BE:BE)</f>
        <v>28</v>
      </c>
      <c r="BB60">
        <f>SUMIF(RawData!$C:$C,$A60,RawData!BF:BF)</f>
        <v>31</v>
      </c>
      <c r="BC60">
        <f>SUMIF(RawData!$C:$C,$A60,RawData!BG:BG)</f>
        <v>53</v>
      </c>
      <c r="BD60">
        <f>SUMIF(RawData!$C:$C,$A60,RawData!BH:BH)</f>
        <v>0</v>
      </c>
      <c r="BE60">
        <f>SUMIF(RawData!$C:$C,$A60,RawData!BI:BI)</f>
        <v>0</v>
      </c>
      <c r="BF60">
        <f>SUMIF(RawData!$C:$C,$A60,RawData!BJ:BJ)</f>
        <v>0</v>
      </c>
      <c r="BG60">
        <f>SUMIF(RawData!$C:$C,$A60,RawData!BK:BK)</f>
        <v>0</v>
      </c>
      <c r="BH60">
        <f>SUMIF(RawData!$C:$C,$A60,RawData!BL:BL)</f>
        <v>0</v>
      </c>
      <c r="BI60">
        <f>SUMIF(RawData!$C:$C,$A60,RawData!BM:BM)</f>
        <v>0</v>
      </c>
      <c r="BJ60">
        <f>SUMIF(RawData!$C:$C,$A60,RawData!BN:BN)</f>
        <v>0</v>
      </c>
      <c r="BK60">
        <f>SUMIF(RawData!$C:$C,$A60,RawData!BO:BO)</f>
        <v>0</v>
      </c>
      <c r="BL60">
        <f>SUMIF(RawData!$C:$C,$A60,RawData!BP:BP)</f>
        <v>0</v>
      </c>
      <c r="BM60">
        <f>SUMIF(RawData!$C:$C,$A60,RawData!BQ:BQ)</f>
        <v>0</v>
      </c>
      <c r="BN60">
        <f>SUMIF(RawData!$C:$C,$A60,RawData!BR:BR)</f>
        <v>0</v>
      </c>
      <c r="BO60">
        <f>SUMIF(RawData!$C:$C,$A60,RawData!BS:BS)</f>
        <v>0</v>
      </c>
      <c r="BP60">
        <f>SUMIF(RawData!$C:$C,$A60,RawData!BT:BT)</f>
        <v>0</v>
      </c>
      <c r="BQ60">
        <f>SUMIF(RawData!$C:$C,$A60,RawData!BU:BU)</f>
        <v>0</v>
      </c>
      <c r="BR60">
        <f>SUMIF(RawData!$C:$C,$A60,RawData!BV:BV)</f>
        <v>0</v>
      </c>
      <c r="BS60">
        <f>SUMIF(RawData!$C:$C,$A60,RawData!BW:BW)</f>
        <v>0</v>
      </c>
      <c r="BT60">
        <f>SUMIF(RawData!$C:$C,$A60,RawData!BX:BX)</f>
        <v>0</v>
      </c>
    </row>
    <row r="61" spans="1:72" ht="15" thickBot="1" x14ac:dyDescent="0.35">
      <c r="A61" s="5" t="s">
        <v>187</v>
      </c>
      <c r="B61">
        <f>SUMIF(RawData!$C:$C,$A61,RawData!F:F)</f>
        <v>0</v>
      </c>
      <c r="C61">
        <f>SUMIF(RawData!$C:$C,$A61,RawData!G:G)</f>
        <v>0</v>
      </c>
      <c r="D61">
        <f>SUMIF(RawData!$C:$C,$A61,RawData!H:H)</f>
        <v>0</v>
      </c>
      <c r="E61">
        <f>SUMIF(RawData!$C:$C,$A61,RawData!I:I)</f>
        <v>0</v>
      </c>
      <c r="F61">
        <f>SUMIF(RawData!$C:$C,$A61,RawData!J:J)</f>
        <v>0</v>
      </c>
      <c r="G61">
        <f>SUMIF(RawData!$C:$C,$A61,RawData!K:K)</f>
        <v>0</v>
      </c>
      <c r="H61">
        <f>SUMIF(RawData!$C:$C,$A61,RawData!L:L)</f>
        <v>0</v>
      </c>
      <c r="I61">
        <f>SUMIF(RawData!$C:$C,$A61,RawData!M:M)</f>
        <v>0</v>
      </c>
      <c r="J61">
        <f>SUMIF(RawData!$C:$C,$A61,RawData!N:N)</f>
        <v>0</v>
      </c>
      <c r="K61">
        <f>SUMIF(RawData!$C:$C,$A61,RawData!O:O)</f>
        <v>0</v>
      </c>
      <c r="L61">
        <f>SUMIF(RawData!$C:$C,$A61,RawData!P:P)</f>
        <v>0</v>
      </c>
      <c r="M61">
        <f>SUMIF(RawData!$C:$C,$A61,RawData!Q:Q)</f>
        <v>0</v>
      </c>
      <c r="N61">
        <f>SUMIF(RawData!$C:$C,$A61,RawData!R:R)</f>
        <v>0</v>
      </c>
      <c r="O61">
        <f>SUMIF(RawData!$C:$C,$A61,RawData!S:S)</f>
        <v>0</v>
      </c>
      <c r="P61">
        <f>SUMIF(RawData!$C:$C,$A61,RawData!T:T)</f>
        <v>0</v>
      </c>
      <c r="Q61">
        <f>SUMIF(RawData!$C:$C,$A61,RawData!U:U)</f>
        <v>0</v>
      </c>
      <c r="R61">
        <f>SUMIF(RawData!$C:$C,$A61,RawData!V:V)</f>
        <v>0</v>
      </c>
      <c r="S61">
        <f>SUMIF(RawData!$C:$C,$A61,RawData!W:W)</f>
        <v>0</v>
      </c>
      <c r="T61">
        <f>SUMIF(RawData!$C:$C,$A61,RawData!X:X)</f>
        <v>0</v>
      </c>
      <c r="U61">
        <f>SUMIF(RawData!$C:$C,$A61,RawData!Y:Y)</f>
        <v>0</v>
      </c>
      <c r="V61">
        <f>SUMIF(RawData!$C:$C,$A61,RawData!Z:Z)</f>
        <v>0</v>
      </c>
      <c r="W61">
        <f>SUMIF(RawData!$C:$C,$A61,RawData!AA:AA)</f>
        <v>0</v>
      </c>
      <c r="X61">
        <f>SUMIF(RawData!$C:$C,$A61,RawData!AB:AB)</f>
        <v>0</v>
      </c>
      <c r="Y61">
        <f>SUMIF(RawData!$C:$C,$A61,RawData!AC:AC)</f>
        <v>0</v>
      </c>
      <c r="Z61">
        <f>SUMIF(RawData!$C:$C,$A61,RawData!AD:AD)</f>
        <v>0</v>
      </c>
      <c r="AA61">
        <f>SUMIF(RawData!$C:$C,$A61,RawData!AE:AE)</f>
        <v>0</v>
      </c>
      <c r="AB61">
        <f>SUMIF(RawData!$C:$C,$A61,RawData!AF:AF)</f>
        <v>0</v>
      </c>
      <c r="AC61">
        <f>SUMIF(RawData!$C:$C,$A61,RawData!AG:AG)</f>
        <v>0</v>
      </c>
      <c r="AD61">
        <f>SUMIF(RawData!$C:$C,$A61,RawData!AH:AH)</f>
        <v>0</v>
      </c>
      <c r="AE61">
        <f>SUMIF(RawData!$C:$C,$A61,RawData!AI:AI)</f>
        <v>0</v>
      </c>
      <c r="AF61">
        <f>SUMIF(RawData!$C:$C,$A61,RawData!AJ:AJ)</f>
        <v>0</v>
      </c>
      <c r="AG61">
        <f>SUMIF(RawData!$C:$C,$A61,RawData!AK:AK)</f>
        <v>0</v>
      </c>
      <c r="AH61">
        <f>SUMIF(RawData!$C:$C,$A61,RawData!AL:AL)</f>
        <v>0</v>
      </c>
      <c r="AI61">
        <f>SUMIF(RawData!$C:$C,$A61,RawData!AM:AM)</f>
        <v>0</v>
      </c>
      <c r="AJ61">
        <f>SUMIF(RawData!$C:$C,$A61,RawData!AN:AN)</f>
        <v>0</v>
      </c>
      <c r="AK61">
        <f>SUMIF(RawData!$C:$C,$A61,RawData!AO:AO)</f>
        <v>0</v>
      </c>
      <c r="AL61">
        <f>SUMIF(RawData!$C:$C,$A61,RawData!AP:AP)</f>
        <v>0</v>
      </c>
      <c r="AM61">
        <f>SUMIF(RawData!$C:$C,$A61,RawData!AQ:AQ)</f>
        <v>0</v>
      </c>
      <c r="AN61">
        <f>SUMIF(RawData!$C:$C,$A61,RawData!AR:AR)</f>
        <v>0</v>
      </c>
      <c r="AO61">
        <f>SUMIF(RawData!$C:$C,$A61,RawData!AS:AS)</f>
        <v>0</v>
      </c>
      <c r="AP61">
        <f>SUMIF(RawData!$C:$C,$A61,RawData!AT:AT)</f>
        <v>0</v>
      </c>
      <c r="AQ61">
        <f>SUMIF(RawData!$C:$C,$A61,RawData!AU:AU)</f>
        <v>0</v>
      </c>
      <c r="AR61">
        <f>SUMIF(RawData!$C:$C,$A61,RawData!AV:AV)</f>
        <v>0</v>
      </c>
      <c r="AS61">
        <f>SUMIF(RawData!$C:$C,$A61,RawData!AW:AW)</f>
        <v>0</v>
      </c>
      <c r="AT61">
        <f>SUMIF(RawData!$C:$C,$A61,RawData!AX:AX)</f>
        <v>1</v>
      </c>
      <c r="AU61">
        <f>SUMIF(RawData!$C:$C,$A61,RawData!AY:AY)</f>
        <v>1</v>
      </c>
      <c r="AV61">
        <f>SUMIF(RawData!$C:$C,$A61,RawData!AZ:AZ)</f>
        <v>6</v>
      </c>
      <c r="AW61">
        <f>SUMIF(RawData!$C:$C,$A61,RawData!BA:BA)</f>
        <v>7</v>
      </c>
      <c r="AX61">
        <f>SUMIF(RawData!$C:$C,$A61,RawData!BB:BB)</f>
        <v>11</v>
      </c>
      <c r="AY61">
        <f>SUMIF(RawData!$C:$C,$A61,RawData!BC:BC)</f>
        <v>11</v>
      </c>
      <c r="AZ61">
        <f>SUMIF(RawData!$C:$C,$A61,RawData!BD:BD)</f>
        <v>15</v>
      </c>
      <c r="BA61">
        <f>SUMIF(RawData!$C:$C,$A61,RawData!BE:BE)</f>
        <v>28</v>
      </c>
      <c r="BB61">
        <f>SUMIF(RawData!$C:$C,$A61,RawData!BF:BF)</f>
        <v>38</v>
      </c>
      <c r="BC61">
        <f>SUMIF(RawData!$C:$C,$A61,RawData!BG:BG)</f>
        <v>43</v>
      </c>
      <c r="BD61">
        <f>SUMIF(RawData!$C:$C,$A61,RawData!BH:BH)</f>
        <v>0</v>
      </c>
      <c r="BE61">
        <f>SUMIF(RawData!$C:$C,$A61,RawData!BI:BI)</f>
        <v>0</v>
      </c>
      <c r="BF61">
        <f>SUMIF(RawData!$C:$C,$A61,RawData!BJ:BJ)</f>
        <v>0</v>
      </c>
      <c r="BG61">
        <f>SUMIF(RawData!$C:$C,$A61,RawData!BK:BK)</f>
        <v>0</v>
      </c>
      <c r="BH61">
        <f>SUMIF(RawData!$C:$C,$A61,RawData!BL:BL)</f>
        <v>0</v>
      </c>
      <c r="BI61">
        <f>SUMIF(RawData!$C:$C,$A61,RawData!BM:BM)</f>
        <v>0</v>
      </c>
      <c r="BJ61">
        <f>SUMIF(RawData!$C:$C,$A61,RawData!BN:BN)</f>
        <v>0</v>
      </c>
      <c r="BK61">
        <f>SUMIF(RawData!$C:$C,$A61,RawData!BO:BO)</f>
        <v>0</v>
      </c>
      <c r="BL61">
        <f>SUMIF(RawData!$C:$C,$A61,RawData!BP:BP)</f>
        <v>0</v>
      </c>
      <c r="BM61">
        <f>SUMIF(RawData!$C:$C,$A61,RawData!BQ:BQ)</f>
        <v>0</v>
      </c>
      <c r="BN61">
        <f>SUMIF(RawData!$C:$C,$A61,RawData!BR:BR)</f>
        <v>0</v>
      </c>
      <c r="BO61">
        <f>SUMIF(RawData!$C:$C,$A61,RawData!BS:BS)</f>
        <v>0</v>
      </c>
      <c r="BP61">
        <f>SUMIF(RawData!$C:$C,$A61,RawData!BT:BT)</f>
        <v>0</v>
      </c>
      <c r="BQ61">
        <f>SUMIF(RawData!$C:$C,$A61,RawData!BU:BU)</f>
        <v>0</v>
      </c>
      <c r="BR61">
        <f>SUMIF(RawData!$C:$C,$A61,RawData!BV:BV)</f>
        <v>0</v>
      </c>
      <c r="BS61">
        <f>SUMIF(RawData!$C:$C,$A61,RawData!BW:BW)</f>
        <v>0</v>
      </c>
      <c r="BT61">
        <f>SUMIF(RawData!$C:$C,$A61,RawData!BX:BX)</f>
        <v>0</v>
      </c>
    </row>
    <row r="62" spans="1:72" ht="15" thickBot="1" x14ac:dyDescent="0.35">
      <c r="A62" s="4" t="s">
        <v>118</v>
      </c>
      <c r="B62">
        <f>SUMIF(RawData!$C:$C,$A62,RawData!F:F)</f>
        <v>0</v>
      </c>
      <c r="C62">
        <f>SUMIF(RawData!$C:$C,$A62,RawData!G:G)</f>
        <v>0</v>
      </c>
      <c r="D62">
        <f>SUMIF(RawData!$C:$C,$A62,RawData!H:H)</f>
        <v>0</v>
      </c>
      <c r="E62">
        <f>SUMIF(RawData!$C:$C,$A62,RawData!I:I)</f>
        <v>0</v>
      </c>
      <c r="F62">
        <f>SUMIF(RawData!$C:$C,$A62,RawData!J:J)</f>
        <v>0</v>
      </c>
      <c r="G62">
        <f>SUMIF(RawData!$C:$C,$A62,RawData!K:K)</f>
        <v>0</v>
      </c>
      <c r="H62">
        <f>SUMIF(RawData!$C:$C,$A62,RawData!L:L)</f>
        <v>0</v>
      </c>
      <c r="I62">
        <f>SUMIF(RawData!$C:$C,$A62,RawData!M:M)</f>
        <v>0</v>
      </c>
      <c r="J62">
        <f>SUMIF(RawData!$C:$C,$A62,RawData!N:N)</f>
        <v>0</v>
      </c>
      <c r="K62">
        <f>SUMIF(RawData!$C:$C,$A62,RawData!O:O)</f>
        <v>0</v>
      </c>
      <c r="L62">
        <f>SUMIF(RawData!$C:$C,$A62,RawData!P:P)</f>
        <v>0</v>
      </c>
      <c r="M62">
        <f>SUMIF(RawData!$C:$C,$A62,RawData!Q:Q)</f>
        <v>0</v>
      </c>
      <c r="N62">
        <f>SUMIF(RawData!$C:$C,$A62,RawData!R:R)</f>
        <v>0</v>
      </c>
      <c r="O62">
        <f>SUMIF(RawData!$C:$C,$A62,RawData!S:S)</f>
        <v>0</v>
      </c>
      <c r="P62">
        <f>SUMIF(RawData!$C:$C,$A62,RawData!T:T)</f>
        <v>0</v>
      </c>
      <c r="Q62">
        <f>SUMIF(RawData!$C:$C,$A62,RawData!U:U)</f>
        <v>0</v>
      </c>
      <c r="R62">
        <f>SUMIF(RawData!$C:$C,$A62,RawData!V:V)</f>
        <v>0</v>
      </c>
      <c r="S62">
        <f>SUMIF(RawData!$C:$C,$A62,RawData!W:W)</f>
        <v>0</v>
      </c>
      <c r="T62">
        <f>SUMIF(RawData!$C:$C,$A62,RawData!X:X)</f>
        <v>0</v>
      </c>
      <c r="U62">
        <f>SUMIF(RawData!$C:$C,$A62,RawData!Y:Y)</f>
        <v>0</v>
      </c>
      <c r="V62">
        <f>SUMIF(RawData!$C:$C,$A62,RawData!Z:Z)</f>
        <v>0</v>
      </c>
      <c r="W62">
        <f>SUMIF(RawData!$C:$C,$A62,RawData!AA:AA)</f>
        <v>0</v>
      </c>
      <c r="X62">
        <f>SUMIF(RawData!$C:$C,$A62,RawData!AB:AB)</f>
        <v>0</v>
      </c>
      <c r="Y62">
        <f>SUMIF(RawData!$C:$C,$A62,RawData!AC:AC)</f>
        <v>0</v>
      </c>
      <c r="Z62">
        <f>SUMIF(RawData!$C:$C,$A62,RawData!AD:AD)</f>
        <v>0</v>
      </c>
      <c r="AA62">
        <f>SUMIF(RawData!$C:$C,$A62,RawData!AE:AE)</f>
        <v>0</v>
      </c>
      <c r="AB62">
        <f>SUMIF(RawData!$C:$C,$A62,RawData!AF:AF)</f>
        <v>0</v>
      </c>
      <c r="AC62">
        <f>SUMIF(RawData!$C:$C,$A62,RawData!AG:AG)</f>
        <v>0</v>
      </c>
      <c r="AD62">
        <f>SUMIF(RawData!$C:$C,$A62,RawData!AH:AH)</f>
        <v>0</v>
      </c>
      <c r="AE62">
        <f>SUMIF(RawData!$C:$C,$A62,RawData!AI:AI)</f>
        <v>0</v>
      </c>
      <c r="AF62">
        <f>SUMIF(RawData!$C:$C,$A62,RawData!AJ:AJ)</f>
        <v>0</v>
      </c>
      <c r="AG62">
        <f>SUMIF(RawData!$C:$C,$A62,RawData!AK:AK)</f>
        <v>0</v>
      </c>
      <c r="AH62">
        <f>SUMIF(RawData!$C:$C,$A62,RawData!AL:AL)</f>
        <v>0</v>
      </c>
      <c r="AI62">
        <f>SUMIF(RawData!$C:$C,$A62,RawData!AM:AM)</f>
        <v>0</v>
      </c>
      <c r="AJ62">
        <f>SUMIF(RawData!$C:$C,$A62,RawData!AN:AN)</f>
        <v>0</v>
      </c>
      <c r="AK62">
        <f>SUMIF(RawData!$C:$C,$A62,RawData!AO:AO)</f>
        <v>0</v>
      </c>
      <c r="AL62">
        <f>SUMIF(RawData!$C:$C,$A62,RawData!AP:AP)</f>
        <v>0</v>
      </c>
      <c r="AM62">
        <f>SUMIF(RawData!$C:$C,$A62,RawData!AQ:AQ)</f>
        <v>1</v>
      </c>
      <c r="AN62">
        <f>SUMIF(RawData!$C:$C,$A62,RawData!AR:AR)</f>
        <v>1</v>
      </c>
      <c r="AO62">
        <f>SUMIF(RawData!$C:$C,$A62,RawData!AS:AS)</f>
        <v>1</v>
      </c>
      <c r="AP62">
        <f>SUMIF(RawData!$C:$C,$A62,RawData!AT:AT)</f>
        <v>1</v>
      </c>
      <c r="AQ62">
        <f>SUMIF(RawData!$C:$C,$A62,RawData!AU:AU)</f>
        <v>1</v>
      </c>
      <c r="AR62">
        <f>SUMIF(RawData!$C:$C,$A62,RawData!AV:AV)</f>
        <v>6</v>
      </c>
      <c r="AS62">
        <f>SUMIF(RawData!$C:$C,$A62,RawData!AW:AW)</f>
        <v>6</v>
      </c>
      <c r="AT62">
        <f>SUMIF(RawData!$C:$C,$A62,RawData!AX:AX)</f>
        <v>6</v>
      </c>
      <c r="AU62">
        <f>SUMIF(RawData!$C:$C,$A62,RawData!AY:AY)</f>
        <v>6</v>
      </c>
      <c r="AV62">
        <f>SUMIF(RawData!$C:$C,$A62,RawData!AZ:AZ)</f>
        <v>6</v>
      </c>
      <c r="AW62">
        <f>SUMIF(RawData!$C:$C,$A62,RawData!BA:BA)</f>
        <v>6</v>
      </c>
      <c r="AX62">
        <f>SUMIF(RawData!$C:$C,$A62,RawData!BB:BB)</f>
        <v>9</v>
      </c>
      <c r="AY62">
        <f>SUMIF(RawData!$C:$C,$A62,RawData!BC:BC)</f>
        <v>9</v>
      </c>
      <c r="AZ62">
        <f>SUMIF(RawData!$C:$C,$A62,RawData!BD:BD)</f>
        <v>12</v>
      </c>
      <c r="BA62">
        <f>SUMIF(RawData!$C:$C,$A62,RawData!BE:BE)</f>
        <v>27</v>
      </c>
      <c r="BB62">
        <f>SUMIF(RawData!$C:$C,$A62,RawData!BF:BF)</f>
        <v>27</v>
      </c>
      <c r="BC62">
        <f>SUMIF(RawData!$C:$C,$A62,RawData!BG:BG)</f>
        <v>27</v>
      </c>
      <c r="BD62">
        <f>SUMIF(RawData!$C:$C,$A62,RawData!BH:BH)</f>
        <v>0</v>
      </c>
      <c r="BE62">
        <f>SUMIF(RawData!$C:$C,$A62,RawData!BI:BI)</f>
        <v>0</v>
      </c>
      <c r="BF62">
        <f>SUMIF(RawData!$C:$C,$A62,RawData!BJ:BJ)</f>
        <v>0</v>
      </c>
      <c r="BG62">
        <f>SUMIF(RawData!$C:$C,$A62,RawData!BK:BK)</f>
        <v>0</v>
      </c>
      <c r="BH62">
        <f>SUMIF(RawData!$C:$C,$A62,RawData!BL:BL)</f>
        <v>0</v>
      </c>
      <c r="BI62">
        <f>SUMIF(RawData!$C:$C,$A62,RawData!BM:BM)</f>
        <v>0</v>
      </c>
      <c r="BJ62">
        <f>SUMIF(RawData!$C:$C,$A62,RawData!BN:BN)</f>
        <v>0</v>
      </c>
      <c r="BK62">
        <f>SUMIF(RawData!$C:$C,$A62,RawData!BO:BO)</f>
        <v>0</v>
      </c>
      <c r="BL62">
        <f>SUMIF(RawData!$C:$C,$A62,RawData!BP:BP)</f>
        <v>0</v>
      </c>
      <c r="BM62">
        <f>SUMIF(RawData!$C:$C,$A62,RawData!BQ:BQ)</f>
        <v>0</v>
      </c>
      <c r="BN62">
        <f>SUMIF(RawData!$C:$C,$A62,RawData!BR:BR)</f>
        <v>0</v>
      </c>
      <c r="BO62">
        <f>SUMIF(RawData!$C:$C,$A62,RawData!BS:BS)</f>
        <v>0</v>
      </c>
      <c r="BP62">
        <f>SUMIF(RawData!$C:$C,$A62,RawData!BT:BT)</f>
        <v>0</v>
      </c>
      <c r="BQ62">
        <f>SUMIF(RawData!$C:$C,$A62,RawData!BU:BU)</f>
        <v>0</v>
      </c>
      <c r="BR62">
        <f>SUMIF(RawData!$C:$C,$A62,RawData!BV:BV)</f>
        <v>0</v>
      </c>
      <c r="BS62">
        <f>SUMIF(RawData!$C:$C,$A62,RawData!BW:BW)</f>
        <v>0</v>
      </c>
      <c r="BT62">
        <f>SUMIF(RawData!$C:$C,$A62,RawData!BX:BX)</f>
        <v>0</v>
      </c>
    </row>
    <row r="63" spans="1:72" ht="15" thickBot="1" x14ac:dyDescent="0.35">
      <c r="A63" s="4" t="s">
        <v>310</v>
      </c>
      <c r="B63">
        <f>SUMIF(RawData!$C:$C,$A63,RawData!F:F)</f>
        <v>0</v>
      </c>
      <c r="C63">
        <f>SUMIF(RawData!$C:$C,$A63,RawData!G:G)</f>
        <v>0</v>
      </c>
      <c r="D63">
        <f>SUMIF(RawData!$C:$C,$A63,RawData!H:H)</f>
        <v>0</v>
      </c>
      <c r="E63">
        <f>SUMIF(RawData!$C:$C,$A63,RawData!I:I)</f>
        <v>0</v>
      </c>
      <c r="F63">
        <f>SUMIF(RawData!$C:$C,$A63,RawData!J:J)</f>
        <v>0</v>
      </c>
      <c r="G63">
        <f>SUMIF(RawData!$C:$C,$A63,RawData!K:K)</f>
        <v>0</v>
      </c>
      <c r="H63">
        <f>SUMIF(RawData!$C:$C,$A63,RawData!L:L)</f>
        <v>0</v>
      </c>
      <c r="I63">
        <f>SUMIF(RawData!$C:$C,$A63,RawData!M:M)</f>
        <v>0</v>
      </c>
      <c r="J63">
        <f>SUMIF(RawData!$C:$C,$A63,RawData!N:N)</f>
        <v>0</v>
      </c>
      <c r="K63">
        <f>SUMIF(RawData!$C:$C,$A63,RawData!O:O)</f>
        <v>0</v>
      </c>
      <c r="L63">
        <f>SUMIF(RawData!$C:$C,$A63,RawData!P:P)</f>
        <v>0</v>
      </c>
      <c r="M63">
        <f>SUMIF(RawData!$C:$C,$A63,RawData!Q:Q)</f>
        <v>0</v>
      </c>
      <c r="N63">
        <f>SUMIF(RawData!$C:$C,$A63,RawData!R:R)</f>
        <v>0</v>
      </c>
      <c r="O63">
        <f>SUMIF(RawData!$C:$C,$A63,RawData!S:S)</f>
        <v>0</v>
      </c>
      <c r="P63">
        <f>SUMIF(RawData!$C:$C,$A63,RawData!T:T)</f>
        <v>0</v>
      </c>
      <c r="Q63">
        <f>SUMIF(RawData!$C:$C,$A63,RawData!U:U)</f>
        <v>0</v>
      </c>
      <c r="R63">
        <f>SUMIF(RawData!$C:$C,$A63,RawData!V:V)</f>
        <v>0</v>
      </c>
      <c r="S63">
        <f>SUMIF(RawData!$C:$C,$A63,RawData!W:W)</f>
        <v>0</v>
      </c>
      <c r="T63">
        <f>SUMIF(RawData!$C:$C,$A63,RawData!X:X)</f>
        <v>0</v>
      </c>
      <c r="U63">
        <f>SUMIF(RawData!$C:$C,$A63,RawData!Y:Y)</f>
        <v>0</v>
      </c>
      <c r="V63">
        <f>SUMIF(RawData!$C:$C,$A63,RawData!Z:Z)</f>
        <v>0</v>
      </c>
      <c r="W63">
        <f>SUMIF(RawData!$C:$C,$A63,RawData!AA:AA)</f>
        <v>0</v>
      </c>
      <c r="X63">
        <f>SUMIF(RawData!$C:$C,$A63,RawData!AB:AB)</f>
        <v>0</v>
      </c>
      <c r="Y63">
        <f>SUMIF(RawData!$C:$C,$A63,RawData!AC:AC)</f>
        <v>0</v>
      </c>
      <c r="Z63">
        <f>SUMIF(RawData!$C:$C,$A63,RawData!AD:AD)</f>
        <v>0</v>
      </c>
      <c r="AA63">
        <f>SUMIF(RawData!$C:$C,$A63,RawData!AE:AE)</f>
        <v>0</v>
      </c>
      <c r="AB63">
        <f>SUMIF(RawData!$C:$C,$A63,RawData!AF:AF)</f>
        <v>0</v>
      </c>
      <c r="AC63">
        <f>SUMIF(RawData!$C:$C,$A63,RawData!AG:AG)</f>
        <v>0</v>
      </c>
      <c r="AD63">
        <f>SUMIF(RawData!$C:$C,$A63,RawData!AH:AH)</f>
        <v>0</v>
      </c>
      <c r="AE63">
        <f>SUMIF(RawData!$C:$C,$A63,RawData!AI:AI)</f>
        <v>0</v>
      </c>
      <c r="AF63">
        <f>SUMIF(RawData!$C:$C,$A63,RawData!AJ:AJ)</f>
        <v>0</v>
      </c>
      <c r="AG63">
        <f>SUMIF(RawData!$C:$C,$A63,RawData!AK:AK)</f>
        <v>0</v>
      </c>
      <c r="AH63">
        <f>SUMIF(RawData!$C:$C,$A63,RawData!AL:AL)</f>
        <v>0</v>
      </c>
      <c r="AI63">
        <f>SUMIF(RawData!$C:$C,$A63,RawData!AM:AM)</f>
        <v>0</v>
      </c>
      <c r="AJ63">
        <f>SUMIF(RawData!$C:$C,$A63,RawData!AN:AN)</f>
        <v>0</v>
      </c>
      <c r="AK63">
        <f>SUMIF(RawData!$C:$C,$A63,RawData!AO:AO)</f>
        <v>0</v>
      </c>
      <c r="AL63">
        <f>SUMIF(RawData!$C:$C,$A63,RawData!AP:AP)</f>
        <v>0</v>
      </c>
      <c r="AM63">
        <f>SUMIF(RawData!$C:$C,$A63,RawData!AQ:AQ)</f>
        <v>0</v>
      </c>
      <c r="AN63">
        <f>SUMIF(RawData!$C:$C,$A63,RawData!AR:AR)</f>
        <v>0</v>
      </c>
      <c r="AO63">
        <f>SUMIF(RawData!$C:$C,$A63,RawData!AS:AS)</f>
        <v>0</v>
      </c>
      <c r="AP63">
        <f>SUMIF(RawData!$C:$C,$A63,RawData!AT:AT)</f>
        <v>0</v>
      </c>
      <c r="AQ63">
        <f>SUMIF(RawData!$C:$C,$A63,RawData!AU:AU)</f>
        <v>0</v>
      </c>
      <c r="AR63">
        <f>SUMIF(RawData!$C:$C,$A63,RawData!AV:AV)</f>
        <v>0</v>
      </c>
      <c r="AS63">
        <f>SUMIF(RawData!$C:$C,$A63,RawData!AW:AW)</f>
        <v>0</v>
      </c>
      <c r="AT63">
        <f>SUMIF(RawData!$C:$C,$A63,RawData!AX:AX)</f>
        <v>0</v>
      </c>
      <c r="AU63">
        <f>SUMIF(RawData!$C:$C,$A63,RawData!AY:AY)</f>
        <v>0</v>
      </c>
      <c r="AV63">
        <f>SUMIF(RawData!$C:$C,$A63,RawData!AZ:AZ)</f>
        <v>0</v>
      </c>
      <c r="AW63">
        <f>SUMIF(RawData!$C:$C,$A63,RawData!BA:BA)</f>
        <v>0</v>
      </c>
      <c r="AX63">
        <f>SUMIF(RawData!$C:$C,$A63,RawData!BB:BB)</f>
        <v>1</v>
      </c>
      <c r="AY63">
        <f>SUMIF(RawData!$C:$C,$A63,RawData!BC:BC)</f>
        <v>8</v>
      </c>
      <c r="AZ63">
        <f>SUMIF(RawData!$C:$C,$A63,RawData!BD:BD)</f>
        <v>11</v>
      </c>
      <c r="BA63">
        <f>SUMIF(RawData!$C:$C,$A63,RawData!BE:BE)</f>
        <v>27</v>
      </c>
      <c r="BB63">
        <f>SUMIF(RawData!$C:$C,$A63,RawData!BF:BF)</f>
        <v>36</v>
      </c>
      <c r="BC63">
        <f>SUMIF(RawData!$C:$C,$A63,RawData!BG:BG)</f>
        <v>43</v>
      </c>
      <c r="BD63">
        <f>SUMIF(RawData!$C:$C,$A63,RawData!BH:BH)</f>
        <v>0</v>
      </c>
      <c r="BE63">
        <f>SUMIF(RawData!$C:$C,$A63,RawData!BI:BI)</f>
        <v>0</v>
      </c>
      <c r="BF63">
        <f>SUMIF(RawData!$C:$C,$A63,RawData!BJ:BJ)</f>
        <v>0</v>
      </c>
      <c r="BG63">
        <f>SUMIF(RawData!$C:$C,$A63,RawData!BK:BK)</f>
        <v>0</v>
      </c>
      <c r="BH63">
        <f>SUMIF(RawData!$C:$C,$A63,RawData!BL:BL)</f>
        <v>0</v>
      </c>
      <c r="BI63">
        <f>SUMIF(RawData!$C:$C,$A63,RawData!BM:BM)</f>
        <v>0</v>
      </c>
      <c r="BJ63">
        <f>SUMIF(RawData!$C:$C,$A63,RawData!BN:BN)</f>
        <v>0</v>
      </c>
      <c r="BK63">
        <f>SUMIF(RawData!$C:$C,$A63,RawData!BO:BO)</f>
        <v>0</v>
      </c>
      <c r="BL63">
        <f>SUMIF(RawData!$C:$C,$A63,RawData!BP:BP)</f>
        <v>0</v>
      </c>
      <c r="BM63">
        <f>SUMIF(RawData!$C:$C,$A63,RawData!BQ:BQ)</f>
        <v>0</v>
      </c>
      <c r="BN63">
        <f>SUMIF(RawData!$C:$C,$A63,RawData!BR:BR)</f>
        <v>0</v>
      </c>
      <c r="BO63">
        <f>SUMIF(RawData!$C:$C,$A63,RawData!BS:BS)</f>
        <v>0</v>
      </c>
      <c r="BP63">
        <f>SUMIF(RawData!$C:$C,$A63,RawData!BT:BT)</f>
        <v>0</v>
      </c>
      <c r="BQ63">
        <f>SUMIF(RawData!$C:$C,$A63,RawData!BU:BU)</f>
        <v>0</v>
      </c>
      <c r="BR63">
        <f>SUMIF(RawData!$C:$C,$A63,RawData!BV:BV)</f>
        <v>0</v>
      </c>
      <c r="BS63">
        <f>SUMIF(RawData!$C:$C,$A63,RawData!BW:BW)</f>
        <v>0</v>
      </c>
      <c r="BT63">
        <f>SUMIF(RawData!$C:$C,$A63,RawData!BX:BX)</f>
        <v>0</v>
      </c>
    </row>
    <row r="64" spans="1:72" ht="15" thickBot="1" x14ac:dyDescent="0.35">
      <c r="A64" s="5" t="s">
        <v>102</v>
      </c>
      <c r="B64">
        <f>SUMIF(RawData!$C:$C,$A64,RawData!F:F)</f>
        <v>0</v>
      </c>
      <c r="C64">
        <f>SUMIF(RawData!$C:$C,$A64,RawData!G:G)</f>
        <v>0</v>
      </c>
      <c r="D64">
        <f>SUMIF(RawData!$C:$C,$A64,RawData!H:H)</f>
        <v>0</v>
      </c>
      <c r="E64">
        <f>SUMIF(RawData!$C:$C,$A64,RawData!I:I)</f>
        <v>0</v>
      </c>
      <c r="F64">
        <f>SUMIF(RawData!$C:$C,$A64,RawData!J:J)</f>
        <v>0</v>
      </c>
      <c r="G64">
        <f>SUMIF(RawData!$C:$C,$A64,RawData!K:K)</f>
        <v>0</v>
      </c>
      <c r="H64">
        <f>SUMIF(RawData!$C:$C,$A64,RawData!L:L)</f>
        <v>0</v>
      </c>
      <c r="I64">
        <f>SUMIF(RawData!$C:$C,$A64,RawData!M:M)</f>
        <v>0</v>
      </c>
      <c r="J64">
        <f>SUMIF(RawData!$C:$C,$A64,RawData!N:N)</f>
        <v>0</v>
      </c>
      <c r="K64">
        <f>SUMIF(RawData!$C:$C,$A64,RawData!O:O)</f>
        <v>0</v>
      </c>
      <c r="L64">
        <f>SUMIF(RawData!$C:$C,$A64,RawData!P:P)</f>
        <v>0</v>
      </c>
      <c r="M64">
        <f>SUMIF(RawData!$C:$C,$A64,RawData!Q:Q)</f>
        <v>0</v>
      </c>
      <c r="N64">
        <f>SUMIF(RawData!$C:$C,$A64,RawData!R:R)</f>
        <v>0</v>
      </c>
      <c r="O64">
        <f>SUMIF(RawData!$C:$C,$A64,RawData!S:S)</f>
        <v>0</v>
      </c>
      <c r="P64">
        <f>SUMIF(RawData!$C:$C,$A64,RawData!T:T)</f>
        <v>0</v>
      </c>
      <c r="Q64">
        <f>SUMIF(RawData!$C:$C,$A64,RawData!U:U)</f>
        <v>0</v>
      </c>
      <c r="R64">
        <f>SUMIF(RawData!$C:$C,$A64,RawData!V:V)</f>
        <v>0</v>
      </c>
      <c r="S64">
        <f>SUMIF(RawData!$C:$C,$A64,RawData!W:W)</f>
        <v>0</v>
      </c>
      <c r="T64">
        <f>SUMIF(RawData!$C:$C,$A64,RawData!X:X)</f>
        <v>0</v>
      </c>
      <c r="U64">
        <f>SUMIF(RawData!$C:$C,$A64,RawData!Y:Y)</f>
        <v>0</v>
      </c>
      <c r="V64">
        <f>SUMIF(RawData!$C:$C,$A64,RawData!Z:Z)</f>
        <v>0</v>
      </c>
      <c r="W64">
        <f>SUMIF(RawData!$C:$C,$A64,RawData!AA:AA)</f>
        <v>0</v>
      </c>
      <c r="X64">
        <f>SUMIF(RawData!$C:$C,$A64,RawData!AB:AB)</f>
        <v>0</v>
      </c>
      <c r="Y64">
        <f>SUMIF(RawData!$C:$C,$A64,RawData!AC:AC)</f>
        <v>0</v>
      </c>
      <c r="Z64">
        <f>SUMIF(RawData!$C:$C,$A64,RawData!AD:AD)</f>
        <v>0</v>
      </c>
      <c r="AA64">
        <f>SUMIF(RawData!$C:$C,$A64,RawData!AE:AE)</f>
        <v>0</v>
      </c>
      <c r="AB64">
        <f>SUMIF(RawData!$C:$C,$A64,RawData!AF:AF)</f>
        <v>0</v>
      </c>
      <c r="AC64">
        <f>SUMIF(RawData!$C:$C,$A64,RawData!AG:AG)</f>
        <v>0</v>
      </c>
      <c r="AD64">
        <f>SUMIF(RawData!$C:$C,$A64,RawData!AH:AH)</f>
        <v>0</v>
      </c>
      <c r="AE64">
        <f>SUMIF(RawData!$C:$C,$A64,RawData!AI:AI)</f>
        <v>0</v>
      </c>
      <c r="AF64">
        <f>SUMIF(RawData!$C:$C,$A64,RawData!AJ:AJ)</f>
        <v>0</v>
      </c>
      <c r="AG64">
        <f>SUMIF(RawData!$C:$C,$A64,RawData!AK:AK)</f>
        <v>0</v>
      </c>
      <c r="AH64">
        <f>SUMIF(RawData!$C:$C,$A64,RawData!AL:AL)</f>
        <v>0</v>
      </c>
      <c r="AI64">
        <f>SUMIF(RawData!$C:$C,$A64,RawData!AM:AM)</f>
        <v>0</v>
      </c>
      <c r="AJ64">
        <f>SUMIF(RawData!$C:$C,$A64,RawData!AN:AN)</f>
        <v>1</v>
      </c>
      <c r="AK64">
        <f>SUMIF(RawData!$C:$C,$A64,RawData!AO:AO)</f>
        <v>1</v>
      </c>
      <c r="AL64">
        <f>SUMIF(RawData!$C:$C,$A64,RawData!AP:AP)</f>
        <v>1</v>
      </c>
      <c r="AM64">
        <f>SUMIF(RawData!$C:$C,$A64,RawData!AQ:AQ)</f>
        <v>1</v>
      </c>
      <c r="AN64">
        <f>SUMIF(RawData!$C:$C,$A64,RawData!AR:AR)</f>
        <v>1</v>
      </c>
      <c r="AO64">
        <f>SUMIF(RawData!$C:$C,$A64,RawData!AS:AS)</f>
        <v>1</v>
      </c>
      <c r="AP64">
        <f>SUMIF(RawData!$C:$C,$A64,RawData!AT:AT)</f>
        <v>3</v>
      </c>
      <c r="AQ64">
        <f>SUMIF(RawData!$C:$C,$A64,RawData!AU:AU)</f>
        <v>5</v>
      </c>
      <c r="AR64">
        <f>SUMIF(RawData!$C:$C,$A64,RawData!AV:AV)</f>
        <v>12</v>
      </c>
      <c r="AS64">
        <f>SUMIF(RawData!$C:$C,$A64,RawData!AW:AW)</f>
        <v>12</v>
      </c>
      <c r="AT64">
        <f>SUMIF(RawData!$C:$C,$A64,RawData!AX:AX)</f>
        <v>17</v>
      </c>
      <c r="AU64">
        <f>SUMIF(RawData!$C:$C,$A64,RawData!AY:AY)</f>
        <v>17</v>
      </c>
      <c r="AV64">
        <f>SUMIF(RawData!$C:$C,$A64,RawData!AZ:AZ)</f>
        <v>19</v>
      </c>
      <c r="AW64">
        <f>SUMIF(RawData!$C:$C,$A64,RawData!BA:BA)</f>
        <v>20</v>
      </c>
      <c r="AX64">
        <f>SUMIF(RawData!$C:$C,$A64,RawData!BB:BB)</f>
        <v>20</v>
      </c>
      <c r="AY64">
        <f>SUMIF(RawData!$C:$C,$A64,RawData!BC:BC)</f>
        <v>20</v>
      </c>
      <c r="AZ64">
        <f>SUMIF(RawData!$C:$C,$A64,RawData!BD:BD)</f>
        <v>24</v>
      </c>
      <c r="BA64">
        <f>SUMIF(RawData!$C:$C,$A64,RawData!BE:BE)</f>
        <v>26</v>
      </c>
      <c r="BB64">
        <f>SUMIF(RawData!$C:$C,$A64,RawData!BF:BF)</f>
        <v>37</v>
      </c>
      <c r="BC64">
        <f>SUMIF(RawData!$C:$C,$A64,RawData!BG:BG)</f>
        <v>48</v>
      </c>
      <c r="BD64">
        <f>SUMIF(RawData!$C:$C,$A64,RawData!BH:BH)</f>
        <v>0</v>
      </c>
      <c r="BE64">
        <f>SUMIF(RawData!$C:$C,$A64,RawData!BI:BI)</f>
        <v>0</v>
      </c>
      <c r="BF64">
        <f>SUMIF(RawData!$C:$C,$A64,RawData!BJ:BJ)</f>
        <v>0</v>
      </c>
      <c r="BG64">
        <f>SUMIF(RawData!$C:$C,$A64,RawData!BK:BK)</f>
        <v>0</v>
      </c>
      <c r="BH64">
        <f>SUMIF(RawData!$C:$C,$A64,RawData!BL:BL)</f>
        <v>0</v>
      </c>
      <c r="BI64">
        <f>SUMIF(RawData!$C:$C,$A64,RawData!BM:BM)</f>
        <v>0</v>
      </c>
      <c r="BJ64">
        <f>SUMIF(RawData!$C:$C,$A64,RawData!BN:BN)</f>
        <v>0</v>
      </c>
      <c r="BK64">
        <f>SUMIF(RawData!$C:$C,$A64,RawData!BO:BO)</f>
        <v>0</v>
      </c>
      <c r="BL64">
        <f>SUMIF(RawData!$C:$C,$A64,RawData!BP:BP)</f>
        <v>0</v>
      </c>
      <c r="BM64">
        <f>SUMIF(RawData!$C:$C,$A64,RawData!BQ:BQ)</f>
        <v>0</v>
      </c>
      <c r="BN64">
        <f>SUMIF(RawData!$C:$C,$A64,RawData!BR:BR)</f>
        <v>0</v>
      </c>
      <c r="BO64">
        <f>SUMIF(RawData!$C:$C,$A64,RawData!BS:BS)</f>
        <v>0</v>
      </c>
      <c r="BP64">
        <f>SUMIF(RawData!$C:$C,$A64,RawData!BT:BT)</f>
        <v>0</v>
      </c>
      <c r="BQ64">
        <f>SUMIF(RawData!$C:$C,$A64,RawData!BU:BU)</f>
        <v>0</v>
      </c>
      <c r="BR64">
        <f>SUMIF(RawData!$C:$C,$A64,RawData!BV:BV)</f>
        <v>0</v>
      </c>
      <c r="BS64">
        <f>SUMIF(RawData!$C:$C,$A64,RawData!BW:BW)</f>
        <v>0</v>
      </c>
      <c r="BT64">
        <f>SUMIF(RawData!$C:$C,$A64,RawData!BX:BX)</f>
        <v>0</v>
      </c>
    </row>
    <row r="65" spans="1:72" ht="15" thickBot="1" x14ac:dyDescent="0.35">
      <c r="A65" s="4" t="s">
        <v>109</v>
      </c>
      <c r="B65">
        <f>SUMIF(RawData!$C:$C,$A65,RawData!F:F)</f>
        <v>0</v>
      </c>
      <c r="C65">
        <f>SUMIF(RawData!$C:$C,$A65,RawData!G:G)</f>
        <v>0</v>
      </c>
      <c r="D65">
        <f>SUMIF(RawData!$C:$C,$A65,RawData!H:H)</f>
        <v>0</v>
      </c>
      <c r="E65">
        <f>SUMIF(RawData!$C:$C,$A65,RawData!I:I)</f>
        <v>0</v>
      </c>
      <c r="F65">
        <f>SUMIF(RawData!$C:$C,$A65,RawData!J:J)</f>
        <v>0</v>
      </c>
      <c r="G65">
        <f>SUMIF(RawData!$C:$C,$A65,RawData!K:K)</f>
        <v>0</v>
      </c>
      <c r="H65">
        <f>SUMIF(RawData!$C:$C,$A65,RawData!L:L)</f>
        <v>0</v>
      </c>
      <c r="I65">
        <f>SUMIF(RawData!$C:$C,$A65,RawData!M:M)</f>
        <v>0</v>
      </c>
      <c r="J65">
        <f>SUMIF(RawData!$C:$C,$A65,RawData!N:N)</f>
        <v>0</v>
      </c>
      <c r="K65">
        <f>SUMIF(RawData!$C:$C,$A65,RawData!O:O)</f>
        <v>0</v>
      </c>
      <c r="L65">
        <f>SUMIF(RawData!$C:$C,$A65,RawData!P:P)</f>
        <v>0</v>
      </c>
      <c r="M65">
        <f>SUMIF(RawData!$C:$C,$A65,RawData!Q:Q)</f>
        <v>0</v>
      </c>
      <c r="N65">
        <f>SUMIF(RawData!$C:$C,$A65,RawData!R:R)</f>
        <v>0</v>
      </c>
      <c r="O65">
        <f>SUMIF(RawData!$C:$C,$A65,RawData!S:S)</f>
        <v>0</v>
      </c>
      <c r="P65">
        <f>SUMIF(RawData!$C:$C,$A65,RawData!T:T)</f>
        <v>0</v>
      </c>
      <c r="Q65">
        <f>SUMIF(RawData!$C:$C,$A65,RawData!U:U)</f>
        <v>0</v>
      </c>
      <c r="R65">
        <f>SUMIF(RawData!$C:$C,$A65,RawData!V:V)</f>
        <v>0</v>
      </c>
      <c r="S65">
        <f>SUMIF(RawData!$C:$C,$A65,RawData!W:W)</f>
        <v>0</v>
      </c>
      <c r="T65">
        <f>SUMIF(RawData!$C:$C,$A65,RawData!X:X)</f>
        <v>0</v>
      </c>
      <c r="U65">
        <f>SUMIF(RawData!$C:$C,$A65,RawData!Y:Y)</f>
        <v>0</v>
      </c>
      <c r="V65">
        <f>SUMIF(RawData!$C:$C,$A65,RawData!Z:Z)</f>
        <v>0</v>
      </c>
      <c r="W65">
        <f>SUMIF(RawData!$C:$C,$A65,RawData!AA:AA)</f>
        <v>0</v>
      </c>
      <c r="X65">
        <f>SUMIF(RawData!$C:$C,$A65,RawData!AB:AB)</f>
        <v>0</v>
      </c>
      <c r="Y65">
        <f>SUMIF(RawData!$C:$C,$A65,RawData!AC:AC)</f>
        <v>0</v>
      </c>
      <c r="Z65">
        <f>SUMIF(RawData!$C:$C,$A65,RawData!AD:AD)</f>
        <v>0</v>
      </c>
      <c r="AA65">
        <f>SUMIF(RawData!$C:$C,$A65,RawData!AE:AE)</f>
        <v>0</v>
      </c>
      <c r="AB65">
        <f>SUMIF(RawData!$C:$C,$A65,RawData!AF:AF)</f>
        <v>0</v>
      </c>
      <c r="AC65">
        <f>SUMIF(RawData!$C:$C,$A65,RawData!AG:AG)</f>
        <v>0</v>
      </c>
      <c r="AD65">
        <f>SUMIF(RawData!$C:$C,$A65,RawData!AH:AH)</f>
        <v>0</v>
      </c>
      <c r="AE65">
        <f>SUMIF(RawData!$C:$C,$A65,RawData!AI:AI)</f>
        <v>0</v>
      </c>
      <c r="AF65">
        <f>SUMIF(RawData!$C:$C,$A65,RawData!AJ:AJ)</f>
        <v>0</v>
      </c>
      <c r="AG65">
        <f>SUMIF(RawData!$C:$C,$A65,RawData!AK:AK)</f>
        <v>0</v>
      </c>
      <c r="AH65">
        <f>SUMIF(RawData!$C:$C,$A65,RawData!AL:AL)</f>
        <v>0</v>
      </c>
      <c r="AI65">
        <f>SUMIF(RawData!$C:$C,$A65,RawData!AM:AM)</f>
        <v>0</v>
      </c>
      <c r="AJ65">
        <f>SUMIF(RawData!$C:$C,$A65,RawData!AN:AN)</f>
        <v>0</v>
      </c>
      <c r="AK65">
        <f>SUMIF(RawData!$C:$C,$A65,RawData!AO:AO)</f>
        <v>1</v>
      </c>
      <c r="AL65">
        <f>SUMIF(RawData!$C:$C,$A65,RawData!AP:AP)</f>
        <v>1</v>
      </c>
      <c r="AM65">
        <f>SUMIF(RawData!$C:$C,$A65,RawData!AQ:AQ)</f>
        <v>1</v>
      </c>
      <c r="AN65">
        <f>SUMIF(RawData!$C:$C,$A65,RawData!AR:AR)</f>
        <v>1</v>
      </c>
      <c r="AO65">
        <f>SUMIF(RawData!$C:$C,$A65,RawData!AS:AS)</f>
        <v>3</v>
      </c>
      <c r="AP65">
        <f>SUMIF(RawData!$C:$C,$A65,RawData!AT:AT)</f>
        <v>3</v>
      </c>
      <c r="AQ65">
        <f>SUMIF(RawData!$C:$C,$A65,RawData!AU:AU)</f>
        <v>3</v>
      </c>
      <c r="AR65">
        <f>SUMIF(RawData!$C:$C,$A65,RawData!AV:AV)</f>
        <v>3</v>
      </c>
      <c r="AS65">
        <f>SUMIF(RawData!$C:$C,$A65,RawData!AW:AW)</f>
        <v>4</v>
      </c>
      <c r="AT65">
        <f>SUMIF(RawData!$C:$C,$A65,RawData!AX:AX)</f>
        <v>4</v>
      </c>
      <c r="AU65">
        <f>SUMIF(RawData!$C:$C,$A65,RawData!AY:AY)</f>
        <v>4</v>
      </c>
      <c r="AV65">
        <f>SUMIF(RawData!$C:$C,$A65,RawData!AZ:AZ)</f>
        <v>13</v>
      </c>
      <c r="AW65">
        <f>SUMIF(RawData!$C:$C,$A65,RawData!BA:BA)</f>
        <v>15</v>
      </c>
      <c r="AX65">
        <f>SUMIF(RawData!$C:$C,$A65,RawData!BB:BB)</f>
        <v>15</v>
      </c>
      <c r="AY65">
        <f>SUMIF(RawData!$C:$C,$A65,RawData!BC:BC)</f>
        <v>24</v>
      </c>
      <c r="AZ65">
        <f>SUMIF(RawData!$C:$C,$A65,RawData!BD:BD)</f>
        <v>24</v>
      </c>
      <c r="BA65">
        <f>SUMIF(RawData!$C:$C,$A65,RawData!BE:BE)</f>
        <v>25</v>
      </c>
      <c r="BB65">
        <f>SUMIF(RawData!$C:$C,$A65,RawData!BF:BF)</f>
        <v>30</v>
      </c>
      <c r="BC65">
        <f>SUMIF(RawData!$C:$C,$A65,RawData!BG:BG)</f>
        <v>33</v>
      </c>
      <c r="BD65">
        <f>SUMIF(RawData!$C:$C,$A65,RawData!BH:BH)</f>
        <v>0</v>
      </c>
      <c r="BE65">
        <f>SUMIF(RawData!$C:$C,$A65,RawData!BI:BI)</f>
        <v>0</v>
      </c>
      <c r="BF65">
        <f>SUMIF(RawData!$C:$C,$A65,RawData!BJ:BJ)</f>
        <v>0</v>
      </c>
      <c r="BG65">
        <f>SUMIF(RawData!$C:$C,$A65,RawData!BK:BK)</f>
        <v>0</v>
      </c>
      <c r="BH65">
        <f>SUMIF(RawData!$C:$C,$A65,RawData!BL:BL)</f>
        <v>0</v>
      </c>
      <c r="BI65">
        <f>SUMIF(RawData!$C:$C,$A65,RawData!BM:BM)</f>
        <v>0</v>
      </c>
      <c r="BJ65">
        <f>SUMIF(RawData!$C:$C,$A65,RawData!BN:BN)</f>
        <v>0</v>
      </c>
      <c r="BK65">
        <f>SUMIF(RawData!$C:$C,$A65,RawData!BO:BO)</f>
        <v>0</v>
      </c>
      <c r="BL65">
        <f>SUMIF(RawData!$C:$C,$A65,RawData!BP:BP)</f>
        <v>0</v>
      </c>
      <c r="BM65">
        <f>SUMIF(RawData!$C:$C,$A65,RawData!BQ:BQ)</f>
        <v>0</v>
      </c>
      <c r="BN65">
        <f>SUMIF(RawData!$C:$C,$A65,RawData!BR:BR)</f>
        <v>0</v>
      </c>
      <c r="BO65">
        <f>SUMIF(RawData!$C:$C,$A65,RawData!BS:BS)</f>
        <v>0</v>
      </c>
      <c r="BP65">
        <f>SUMIF(RawData!$C:$C,$A65,RawData!BT:BT)</f>
        <v>0</v>
      </c>
      <c r="BQ65">
        <f>SUMIF(RawData!$C:$C,$A65,RawData!BU:BU)</f>
        <v>0</v>
      </c>
      <c r="BR65">
        <f>SUMIF(RawData!$C:$C,$A65,RawData!BV:BV)</f>
        <v>0</v>
      </c>
      <c r="BS65">
        <f>SUMIF(RawData!$C:$C,$A65,RawData!BW:BW)</f>
        <v>0</v>
      </c>
      <c r="BT65">
        <f>SUMIF(RawData!$C:$C,$A65,RawData!BX:BX)</f>
        <v>0</v>
      </c>
    </row>
    <row r="66" spans="1:72" ht="15" thickBot="1" x14ac:dyDescent="0.35">
      <c r="A66" s="4" t="s">
        <v>172</v>
      </c>
      <c r="B66">
        <f>SUMIF(RawData!$C:$C,$A66,RawData!F:F)</f>
        <v>0</v>
      </c>
      <c r="C66">
        <f>SUMIF(RawData!$C:$C,$A66,RawData!G:G)</f>
        <v>0</v>
      </c>
      <c r="D66">
        <f>SUMIF(RawData!$C:$C,$A66,RawData!H:H)</f>
        <v>0</v>
      </c>
      <c r="E66">
        <f>SUMIF(RawData!$C:$C,$A66,RawData!I:I)</f>
        <v>0</v>
      </c>
      <c r="F66">
        <f>SUMIF(RawData!$C:$C,$A66,RawData!J:J)</f>
        <v>0</v>
      </c>
      <c r="G66">
        <f>SUMIF(RawData!$C:$C,$A66,RawData!K:K)</f>
        <v>0</v>
      </c>
      <c r="H66">
        <f>SUMIF(RawData!$C:$C,$A66,RawData!L:L)</f>
        <v>0</v>
      </c>
      <c r="I66">
        <f>SUMIF(RawData!$C:$C,$A66,RawData!M:M)</f>
        <v>0</v>
      </c>
      <c r="J66">
        <f>SUMIF(RawData!$C:$C,$A66,RawData!N:N)</f>
        <v>0</v>
      </c>
      <c r="K66">
        <f>SUMIF(RawData!$C:$C,$A66,RawData!O:O)</f>
        <v>0</v>
      </c>
      <c r="L66">
        <f>SUMIF(RawData!$C:$C,$A66,RawData!P:P)</f>
        <v>0</v>
      </c>
      <c r="M66">
        <f>SUMIF(RawData!$C:$C,$A66,RawData!Q:Q)</f>
        <v>0</v>
      </c>
      <c r="N66">
        <f>SUMIF(RawData!$C:$C,$A66,RawData!R:R)</f>
        <v>0</v>
      </c>
      <c r="O66">
        <f>SUMIF(RawData!$C:$C,$A66,RawData!S:S)</f>
        <v>0</v>
      </c>
      <c r="P66">
        <f>SUMIF(RawData!$C:$C,$A66,RawData!T:T)</f>
        <v>0</v>
      </c>
      <c r="Q66">
        <f>SUMIF(RawData!$C:$C,$A66,RawData!U:U)</f>
        <v>0</v>
      </c>
      <c r="R66">
        <f>SUMIF(RawData!$C:$C,$A66,RawData!V:V)</f>
        <v>0</v>
      </c>
      <c r="S66">
        <f>SUMIF(RawData!$C:$C,$A66,RawData!W:W)</f>
        <v>0</v>
      </c>
      <c r="T66">
        <f>SUMIF(RawData!$C:$C,$A66,RawData!X:X)</f>
        <v>0</v>
      </c>
      <c r="U66">
        <f>SUMIF(RawData!$C:$C,$A66,RawData!Y:Y)</f>
        <v>0</v>
      </c>
      <c r="V66">
        <f>SUMIF(RawData!$C:$C,$A66,RawData!Z:Z)</f>
        <v>0</v>
      </c>
      <c r="W66">
        <f>SUMIF(RawData!$C:$C,$A66,RawData!AA:AA)</f>
        <v>0</v>
      </c>
      <c r="X66">
        <f>SUMIF(RawData!$C:$C,$A66,RawData!AB:AB)</f>
        <v>0</v>
      </c>
      <c r="Y66">
        <f>SUMIF(RawData!$C:$C,$A66,RawData!AC:AC)</f>
        <v>0</v>
      </c>
      <c r="Z66">
        <f>SUMIF(RawData!$C:$C,$A66,RawData!AD:AD)</f>
        <v>0</v>
      </c>
      <c r="AA66">
        <f>SUMIF(RawData!$C:$C,$A66,RawData!AE:AE)</f>
        <v>0</v>
      </c>
      <c r="AB66">
        <f>SUMIF(RawData!$C:$C,$A66,RawData!AF:AF)</f>
        <v>0</v>
      </c>
      <c r="AC66">
        <f>SUMIF(RawData!$C:$C,$A66,RawData!AG:AG)</f>
        <v>0</v>
      </c>
      <c r="AD66">
        <f>SUMIF(RawData!$C:$C,$A66,RawData!AH:AH)</f>
        <v>0</v>
      </c>
      <c r="AE66">
        <f>SUMIF(RawData!$C:$C,$A66,RawData!AI:AI)</f>
        <v>0</v>
      </c>
      <c r="AF66">
        <f>SUMIF(RawData!$C:$C,$A66,RawData!AJ:AJ)</f>
        <v>0</v>
      </c>
      <c r="AG66">
        <f>SUMIF(RawData!$C:$C,$A66,RawData!AK:AK)</f>
        <v>0</v>
      </c>
      <c r="AH66">
        <f>SUMIF(RawData!$C:$C,$A66,RawData!AL:AL)</f>
        <v>0</v>
      </c>
      <c r="AI66">
        <f>SUMIF(RawData!$C:$C,$A66,RawData!AM:AM)</f>
        <v>0</v>
      </c>
      <c r="AJ66">
        <f>SUMIF(RawData!$C:$C,$A66,RawData!AN:AN)</f>
        <v>0</v>
      </c>
      <c r="AK66">
        <f>SUMIF(RawData!$C:$C,$A66,RawData!AO:AO)</f>
        <v>0</v>
      </c>
      <c r="AL66">
        <f>SUMIF(RawData!$C:$C,$A66,RawData!AP:AP)</f>
        <v>0</v>
      </c>
      <c r="AM66">
        <f>SUMIF(RawData!$C:$C,$A66,RawData!AQ:AQ)</f>
        <v>0</v>
      </c>
      <c r="AN66">
        <f>SUMIF(RawData!$C:$C,$A66,RawData!AR:AR)</f>
        <v>0</v>
      </c>
      <c r="AO66">
        <f>SUMIF(RawData!$C:$C,$A66,RawData!AS:AS)</f>
        <v>0</v>
      </c>
      <c r="AP66">
        <f>SUMIF(RawData!$C:$C,$A66,RawData!AT:AT)</f>
        <v>0</v>
      </c>
      <c r="AQ66">
        <f>SUMIF(RawData!$C:$C,$A66,RawData!AU:AU)</f>
        <v>0</v>
      </c>
      <c r="AR66">
        <f>SUMIF(RawData!$C:$C,$A66,RawData!AV:AV)</f>
        <v>0</v>
      </c>
      <c r="AS66">
        <f>SUMIF(RawData!$C:$C,$A66,RawData!AW:AW)</f>
        <v>1</v>
      </c>
      <c r="AT66">
        <f>SUMIF(RawData!$C:$C,$A66,RawData!AX:AX)</f>
        <v>1</v>
      </c>
      <c r="AU66">
        <f>SUMIF(RawData!$C:$C,$A66,RawData!AY:AY)</f>
        <v>1</v>
      </c>
      <c r="AV66">
        <f>SUMIF(RawData!$C:$C,$A66,RawData!AZ:AZ)</f>
        <v>3</v>
      </c>
      <c r="AW66">
        <f>SUMIF(RawData!$C:$C,$A66,RawData!BA:BA)</f>
        <v>3</v>
      </c>
      <c r="AX66">
        <f>SUMIF(RawData!$C:$C,$A66,RawData!BB:BB)</f>
        <v>7</v>
      </c>
      <c r="AY66">
        <f>SUMIF(RawData!$C:$C,$A66,RawData!BC:BC)</f>
        <v>13</v>
      </c>
      <c r="AZ66">
        <f>SUMIF(RawData!$C:$C,$A66,RawData!BD:BD)</f>
        <v>17</v>
      </c>
      <c r="BA66">
        <f>SUMIF(RawData!$C:$C,$A66,RawData!BE:BE)</f>
        <v>24</v>
      </c>
      <c r="BB66">
        <f>SUMIF(RawData!$C:$C,$A66,RawData!BF:BF)</f>
        <v>38</v>
      </c>
      <c r="BC66">
        <f>SUMIF(RawData!$C:$C,$A66,RawData!BG:BG)</f>
        <v>51</v>
      </c>
      <c r="BD66">
        <f>SUMIF(RawData!$C:$C,$A66,RawData!BH:BH)</f>
        <v>0</v>
      </c>
      <c r="BE66">
        <f>SUMIF(RawData!$C:$C,$A66,RawData!BI:BI)</f>
        <v>0</v>
      </c>
      <c r="BF66">
        <f>SUMIF(RawData!$C:$C,$A66,RawData!BJ:BJ)</f>
        <v>0</v>
      </c>
      <c r="BG66">
        <f>SUMIF(RawData!$C:$C,$A66,RawData!BK:BK)</f>
        <v>0</v>
      </c>
      <c r="BH66">
        <f>SUMIF(RawData!$C:$C,$A66,RawData!BL:BL)</f>
        <v>0</v>
      </c>
      <c r="BI66">
        <f>SUMIF(RawData!$C:$C,$A66,RawData!BM:BM)</f>
        <v>0</v>
      </c>
      <c r="BJ66">
        <f>SUMIF(RawData!$C:$C,$A66,RawData!BN:BN)</f>
        <v>0</v>
      </c>
      <c r="BK66">
        <f>SUMIF(RawData!$C:$C,$A66,RawData!BO:BO)</f>
        <v>0</v>
      </c>
      <c r="BL66">
        <f>SUMIF(RawData!$C:$C,$A66,RawData!BP:BP)</f>
        <v>0</v>
      </c>
      <c r="BM66">
        <f>SUMIF(RawData!$C:$C,$A66,RawData!BQ:BQ)</f>
        <v>0</v>
      </c>
      <c r="BN66">
        <f>SUMIF(RawData!$C:$C,$A66,RawData!BR:BR)</f>
        <v>0</v>
      </c>
      <c r="BO66">
        <f>SUMIF(RawData!$C:$C,$A66,RawData!BS:BS)</f>
        <v>0</v>
      </c>
      <c r="BP66">
        <f>SUMIF(RawData!$C:$C,$A66,RawData!BT:BT)</f>
        <v>0</v>
      </c>
      <c r="BQ66">
        <f>SUMIF(RawData!$C:$C,$A66,RawData!BU:BU)</f>
        <v>0</v>
      </c>
      <c r="BR66">
        <f>SUMIF(RawData!$C:$C,$A66,RawData!BV:BV)</f>
        <v>0</v>
      </c>
      <c r="BS66">
        <f>SUMIF(RawData!$C:$C,$A66,RawData!BW:BW)</f>
        <v>0</v>
      </c>
      <c r="BT66">
        <f>SUMIF(RawData!$C:$C,$A66,RawData!BX:BX)</f>
        <v>0</v>
      </c>
    </row>
    <row r="67" spans="1:72" ht="15" thickBot="1" x14ac:dyDescent="0.35">
      <c r="A67" s="4" t="s">
        <v>226</v>
      </c>
      <c r="B67">
        <f>SUMIF(RawData!$C:$C,$A67,RawData!F:F)</f>
        <v>0</v>
      </c>
      <c r="C67">
        <f>SUMIF(RawData!$C:$C,$A67,RawData!G:G)</f>
        <v>0</v>
      </c>
      <c r="D67">
        <f>SUMIF(RawData!$C:$C,$A67,RawData!H:H)</f>
        <v>0</v>
      </c>
      <c r="E67">
        <f>SUMIF(RawData!$C:$C,$A67,RawData!I:I)</f>
        <v>0</v>
      </c>
      <c r="F67">
        <f>SUMIF(RawData!$C:$C,$A67,RawData!J:J)</f>
        <v>0</v>
      </c>
      <c r="G67">
        <f>SUMIF(RawData!$C:$C,$A67,RawData!K:K)</f>
        <v>0</v>
      </c>
      <c r="H67">
        <f>SUMIF(RawData!$C:$C,$A67,RawData!L:L)</f>
        <v>0</v>
      </c>
      <c r="I67">
        <f>SUMIF(RawData!$C:$C,$A67,RawData!M:M)</f>
        <v>0</v>
      </c>
      <c r="J67">
        <f>SUMIF(RawData!$C:$C,$A67,RawData!N:N)</f>
        <v>0</v>
      </c>
      <c r="K67">
        <f>SUMIF(RawData!$C:$C,$A67,RawData!O:O)</f>
        <v>0</v>
      </c>
      <c r="L67">
        <f>SUMIF(RawData!$C:$C,$A67,RawData!P:P)</f>
        <v>0</v>
      </c>
      <c r="M67">
        <f>SUMIF(RawData!$C:$C,$A67,RawData!Q:Q)</f>
        <v>0</v>
      </c>
      <c r="N67">
        <f>SUMIF(RawData!$C:$C,$A67,RawData!R:R)</f>
        <v>0</v>
      </c>
      <c r="O67">
        <f>SUMIF(RawData!$C:$C,$A67,RawData!S:S)</f>
        <v>0</v>
      </c>
      <c r="P67">
        <f>SUMIF(RawData!$C:$C,$A67,RawData!T:T)</f>
        <v>0</v>
      </c>
      <c r="Q67">
        <f>SUMIF(RawData!$C:$C,$A67,RawData!U:U)</f>
        <v>0</v>
      </c>
      <c r="R67">
        <f>SUMIF(RawData!$C:$C,$A67,RawData!V:V)</f>
        <v>0</v>
      </c>
      <c r="S67">
        <f>SUMIF(RawData!$C:$C,$A67,RawData!W:W)</f>
        <v>0</v>
      </c>
      <c r="T67">
        <f>SUMIF(RawData!$C:$C,$A67,RawData!X:X)</f>
        <v>0</v>
      </c>
      <c r="U67">
        <f>SUMIF(RawData!$C:$C,$A67,RawData!Y:Y)</f>
        <v>0</v>
      </c>
      <c r="V67">
        <f>SUMIF(RawData!$C:$C,$A67,RawData!Z:Z)</f>
        <v>0</v>
      </c>
      <c r="W67">
        <f>SUMIF(RawData!$C:$C,$A67,RawData!AA:AA)</f>
        <v>0</v>
      </c>
      <c r="X67">
        <f>SUMIF(RawData!$C:$C,$A67,RawData!AB:AB)</f>
        <v>0</v>
      </c>
      <c r="Y67">
        <f>SUMIF(RawData!$C:$C,$A67,RawData!AC:AC)</f>
        <v>0</v>
      </c>
      <c r="Z67">
        <f>SUMIF(RawData!$C:$C,$A67,RawData!AD:AD)</f>
        <v>0</v>
      </c>
      <c r="AA67">
        <f>SUMIF(RawData!$C:$C,$A67,RawData!AE:AE)</f>
        <v>0</v>
      </c>
      <c r="AB67">
        <f>SUMIF(RawData!$C:$C,$A67,RawData!AF:AF)</f>
        <v>0</v>
      </c>
      <c r="AC67">
        <f>SUMIF(RawData!$C:$C,$A67,RawData!AG:AG)</f>
        <v>0</v>
      </c>
      <c r="AD67">
        <f>SUMIF(RawData!$C:$C,$A67,RawData!AH:AH)</f>
        <v>0</v>
      </c>
      <c r="AE67">
        <f>SUMIF(RawData!$C:$C,$A67,RawData!AI:AI)</f>
        <v>0</v>
      </c>
      <c r="AF67">
        <f>SUMIF(RawData!$C:$C,$A67,RawData!AJ:AJ)</f>
        <v>0</v>
      </c>
      <c r="AG67">
        <f>SUMIF(RawData!$C:$C,$A67,RawData!AK:AK)</f>
        <v>0</v>
      </c>
      <c r="AH67">
        <f>SUMIF(RawData!$C:$C,$A67,RawData!AL:AL)</f>
        <v>0</v>
      </c>
      <c r="AI67">
        <f>SUMIF(RawData!$C:$C,$A67,RawData!AM:AM)</f>
        <v>0</v>
      </c>
      <c r="AJ67">
        <f>SUMIF(RawData!$C:$C,$A67,RawData!AN:AN)</f>
        <v>0</v>
      </c>
      <c r="AK67">
        <f>SUMIF(RawData!$C:$C,$A67,RawData!AO:AO)</f>
        <v>0</v>
      </c>
      <c r="AL67">
        <f>SUMIF(RawData!$C:$C,$A67,RawData!AP:AP)</f>
        <v>0</v>
      </c>
      <c r="AM67">
        <f>SUMIF(RawData!$C:$C,$A67,RawData!AQ:AQ)</f>
        <v>0</v>
      </c>
      <c r="AN67">
        <f>SUMIF(RawData!$C:$C,$A67,RawData!AR:AR)</f>
        <v>0</v>
      </c>
      <c r="AO67">
        <f>SUMIF(RawData!$C:$C,$A67,RawData!AS:AS)</f>
        <v>0</v>
      </c>
      <c r="AP67">
        <f>SUMIF(RawData!$C:$C,$A67,RawData!AT:AT)</f>
        <v>0</v>
      </c>
      <c r="AQ67">
        <f>SUMIF(RawData!$C:$C,$A67,RawData!AU:AU)</f>
        <v>0</v>
      </c>
      <c r="AR67">
        <f>SUMIF(RawData!$C:$C,$A67,RawData!AV:AV)</f>
        <v>0</v>
      </c>
      <c r="AS67">
        <f>SUMIF(RawData!$C:$C,$A67,RawData!AW:AW)</f>
        <v>0</v>
      </c>
      <c r="AT67">
        <f>SUMIF(RawData!$C:$C,$A67,RawData!AX:AX)</f>
        <v>0</v>
      </c>
      <c r="AU67">
        <f>SUMIF(RawData!$C:$C,$A67,RawData!AY:AY)</f>
        <v>0</v>
      </c>
      <c r="AV67">
        <f>SUMIF(RawData!$C:$C,$A67,RawData!AZ:AZ)</f>
        <v>4</v>
      </c>
      <c r="AW67">
        <f>SUMIF(RawData!$C:$C,$A67,RawData!BA:BA)</f>
        <v>4</v>
      </c>
      <c r="AX67">
        <f>SUMIF(RawData!$C:$C,$A67,RawData!BB:BB)</f>
        <v>4</v>
      </c>
      <c r="AY67">
        <f>SUMIF(RawData!$C:$C,$A67,RawData!BC:BC)</f>
        <v>7</v>
      </c>
      <c r="AZ67">
        <f>SUMIF(RawData!$C:$C,$A67,RawData!BD:BD)</f>
        <v>7</v>
      </c>
      <c r="BA67">
        <f>SUMIF(RawData!$C:$C,$A67,RawData!BE:BE)</f>
        <v>23</v>
      </c>
      <c r="BB67">
        <f>SUMIF(RawData!$C:$C,$A67,RawData!BF:BF)</f>
        <v>41</v>
      </c>
      <c r="BC67">
        <f>SUMIF(RawData!$C:$C,$A67,RawData!BG:BG)</f>
        <v>51</v>
      </c>
      <c r="BD67">
        <f>SUMIF(RawData!$C:$C,$A67,RawData!BH:BH)</f>
        <v>0</v>
      </c>
      <c r="BE67">
        <f>SUMIF(RawData!$C:$C,$A67,RawData!BI:BI)</f>
        <v>0</v>
      </c>
      <c r="BF67">
        <f>SUMIF(RawData!$C:$C,$A67,RawData!BJ:BJ)</f>
        <v>0</v>
      </c>
      <c r="BG67">
        <f>SUMIF(RawData!$C:$C,$A67,RawData!BK:BK)</f>
        <v>0</v>
      </c>
      <c r="BH67">
        <f>SUMIF(RawData!$C:$C,$A67,RawData!BL:BL)</f>
        <v>0</v>
      </c>
      <c r="BI67">
        <f>SUMIF(RawData!$C:$C,$A67,RawData!BM:BM)</f>
        <v>0</v>
      </c>
      <c r="BJ67">
        <f>SUMIF(RawData!$C:$C,$A67,RawData!BN:BN)</f>
        <v>0</v>
      </c>
      <c r="BK67">
        <f>SUMIF(RawData!$C:$C,$A67,RawData!BO:BO)</f>
        <v>0</v>
      </c>
      <c r="BL67">
        <f>SUMIF(RawData!$C:$C,$A67,RawData!BP:BP)</f>
        <v>0</v>
      </c>
      <c r="BM67">
        <f>SUMIF(RawData!$C:$C,$A67,RawData!BQ:BQ)</f>
        <v>0</v>
      </c>
      <c r="BN67">
        <f>SUMIF(RawData!$C:$C,$A67,RawData!BR:BR)</f>
        <v>0</v>
      </c>
      <c r="BO67">
        <f>SUMIF(RawData!$C:$C,$A67,RawData!BS:BS)</f>
        <v>0</v>
      </c>
      <c r="BP67">
        <f>SUMIF(RawData!$C:$C,$A67,RawData!BT:BT)</f>
        <v>0</v>
      </c>
      <c r="BQ67">
        <f>SUMIF(RawData!$C:$C,$A67,RawData!BU:BU)</f>
        <v>0</v>
      </c>
      <c r="BR67">
        <f>SUMIF(RawData!$C:$C,$A67,RawData!BV:BV)</f>
        <v>0</v>
      </c>
      <c r="BS67">
        <f>SUMIF(RawData!$C:$C,$A67,RawData!BW:BW)</f>
        <v>0</v>
      </c>
      <c r="BT67">
        <f>SUMIF(RawData!$C:$C,$A67,RawData!BX:BX)</f>
        <v>0</v>
      </c>
    </row>
    <row r="68" spans="1:72" ht="15" thickBot="1" x14ac:dyDescent="0.35">
      <c r="A68" s="4" t="s">
        <v>186</v>
      </c>
      <c r="B68">
        <f>SUMIF(RawData!$C:$C,$A68,RawData!F:F)</f>
        <v>0</v>
      </c>
      <c r="C68">
        <f>SUMIF(RawData!$C:$C,$A68,RawData!G:G)</f>
        <v>0</v>
      </c>
      <c r="D68">
        <f>SUMIF(RawData!$C:$C,$A68,RawData!H:H)</f>
        <v>0</v>
      </c>
      <c r="E68">
        <f>SUMIF(RawData!$C:$C,$A68,RawData!I:I)</f>
        <v>0</v>
      </c>
      <c r="F68">
        <f>SUMIF(RawData!$C:$C,$A68,RawData!J:J)</f>
        <v>0</v>
      </c>
      <c r="G68">
        <f>SUMIF(RawData!$C:$C,$A68,RawData!K:K)</f>
        <v>0</v>
      </c>
      <c r="H68">
        <f>SUMIF(RawData!$C:$C,$A68,RawData!L:L)</f>
        <v>0</v>
      </c>
      <c r="I68">
        <f>SUMIF(RawData!$C:$C,$A68,RawData!M:M)</f>
        <v>0</v>
      </c>
      <c r="J68">
        <f>SUMIF(RawData!$C:$C,$A68,RawData!N:N)</f>
        <v>0</v>
      </c>
      <c r="K68">
        <f>SUMIF(RawData!$C:$C,$A68,RawData!O:O)</f>
        <v>0</v>
      </c>
      <c r="L68">
        <f>SUMIF(RawData!$C:$C,$A68,RawData!P:P)</f>
        <v>0</v>
      </c>
      <c r="M68">
        <f>SUMIF(RawData!$C:$C,$A68,RawData!Q:Q)</f>
        <v>0</v>
      </c>
      <c r="N68">
        <f>SUMIF(RawData!$C:$C,$A68,RawData!R:R)</f>
        <v>0</v>
      </c>
      <c r="O68">
        <f>SUMIF(RawData!$C:$C,$A68,RawData!S:S)</f>
        <v>0</v>
      </c>
      <c r="P68">
        <f>SUMIF(RawData!$C:$C,$A68,RawData!T:T)</f>
        <v>0</v>
      </c>
      <c r="Q68">
        <f>SUMIF(RawData!$C:$C,$A68,RawData!U:U)</f>
        <v>0</v>
      </c>
      <c r="R68">
        <f>SUMIF(RawData!$C:$C,$A68,RawData!V:V)</f>
        <v>0</v>
      </c>
      <c r="S68">
        <f>SUMIF(RawData!$C:$C,$A68,RawData!W:W)</f>
        <v>0</v>
      </c>
      <c r="T68">
        <f>SUMIF(RawData!$C:$C,$A68,RawData!X:X)</f>
        <v>0</v>
      </c>
      <c r="U68">
        <f>SUMIF(RawData!$C:$C,$A68,RawData!Y:Y)</f>
        <v>0</v>
      </c>
      <c r="V68">
        <f>SUMIF(RawData!$C:$C,$A68,RawData!Z:Z)</f>
        <v>0</v>
      </c>
      <c r="W68">
        <f>SUMIF(RawData!$C:$C,$A68,RawData!AA:AA)</f>
        <v>0</v>
      </c>
      <c r="X68">
        <f>SUMIF(RawData!$C:$C,$A68,RawData!AB:AB)</f>
        <v>0</v>
      </c>
      <c r="Y68">
        <f>SUMIF(RawData!$C:$C,$A68,RawData!AC:AC)</f>
        <v>0</v>
      </c>
      <c r="Z68">
        <f>SUMIF(RawData!$C:$C,$A68,RawData!AD:AD)</f>
        <v>0</v>
      </c>
      <c r="AA68">
        <f>SUMIF(RawData!$C:$C,$A68,RawData!AE:AE)</f>
        <v>0</v>
      </c>
      <c r="AB68">
        <f>SUMIF(RawData!$C:$C,$A68,RawData!AF:AF)</f>
        <v>0</v>
      </c>
      <c r="AC68">
        <f>SUMIF(RawData!$C:$C,$A68,RawData!AG:AG)</f>
        <v>0</v>
      </c>
      <c r="AD68">
        <f>SUMIF(RawData!$C:$C,$A68,RawData!AH:AH)</f>
        <v>0</v>
      </c>
      <c r="AE68">
        <f>SUMIF(RawData!$C:$C,$A68,RawData!AI:AI)</f>
        <v>0</v>
      </c>
      <c r="AF68">
        <f>SUMIF(RawData!$C:$C,$A68,RawData!AJ:AJ)</f>
        <v>0</v>
      </c>
      <c r="AG68">
        <f>SUMIF(RawData!$C:$C,$A68,RawData!AK:AK)</f>
        <v>0</v>
      </c>
      <c r="AH68">
        <f>SUMIF(RawData!$C:$C,$A68,RawData!AL:AL)</f>
        <v>0</v>
      </c>
      <c r="AI68">
        <f>SUMIF(RawData!$C:$C,$A68,RawData!AM:AM)</f>
        <v>0</v>
      </c>
      <c r="AJ68">
        <f>SUMIF(RawData!$C:$C,$A68,RawData!AN:AN)</f>
        <v>0</v>
      </c>
      <c r="AK68">
        <f>SUMIF(RawData!$C:$C,$A68,RawData!AO:AO)</f>
        <v>0</v>
      </c>
      <c r="AL68">
        <f>SUMIF(RawData!$C:$C,$A68,RawData!AP:AP)</f>
        <v>0</v>
      </c>
      <c r="AM68">
        <f>SUMIF(RawData!$C:$C,$A68,RawData!AQ:AQ)</f>
        <v>0</v>
      </c>
      <c r="AN68">
        <f>SUMIF(RawData!$C:$C,$A68,RawData!AR:AR)</f>
        <v>0</v>
      </c>
      <c r="AO68">
        <f>SUMIF(RawData!$C:$C,$A68,RawData!AS:AS)</f>
        <v>0</v>
      </c>
      <c r="AP68">
        <f>SUMIF(RawData!$C:$C,$A68,RawData!AT:AT)</f>
        <v>0</v>
      </c>
      <c r="AQ68">
        <f>SUMIF(RawData!$C:$C,$A68,RawData!AU:AU)</f>
        <v>0</v>
      </c>
      <c r="AR68">
        <f>SUMIF(RawData!$C:$C,$A68,RawData!AV:AV)</f>
        <v>0</v>
      </c>
      <c r="AS68">
        <f>SUMIF(RawData!$C:$C,$A68,RawData!AW:AW)</f>
        <v>0</v>
      </c>
      <c r="AT68">
        <f>SUMIF(RawData!$C:$C,$A68,RawData!AX:AX)</f>
        <v>1</v>
      </c>
      <c r="AU68">
        <f>SUMIF(RawData!$C:$C,$A68,RawData!AY:AY)</f>
        <v>1</v>
      </c>
      <c r="AV68">
        <f>SUMIF(RawData!$C:$C,$A68,RawData!AZ:AZ)</f>
        <v>5</v>
      </c>
      <c r="AW68">
        <f>SUMIF(RawData!$C:$C,$A68,RawData!BA:BA)</f>
        <v>9</v>
      </c>
      <c r="AX68">
        <f>SUMIF(RawData!$C:$C,$A68,RawData!BB:BB)</f>
        <v>9</v>
      </c>
      <c r="AY68">
        <f>SUMIF(RawData!$C:$C,$A68,RawData!BC:BC)</f>
        <v>13</v>
      </c>
      <c r="AZ68">
        <f>SUMIF(RawData!$C:$C,$A68,RawData!BD:BD)</f>
        <v>22</v>
      </c>
      <c r="BA68">
        <f>SUMIF(RawData!$C:$C,$A68,RawData!BE:BE)</f>
        <v>23</v>
      </c>
      <c r="BB68">
        <f>SUMIF(RawData!$C:$C,$A68,RawData!BF:BF)</f>
        <v>26</v>
      </c>
      <c r="BC68">
        <f>SUMIF(RawData!$C:$C,$A68,RawData!BG:BG)</f>
        <v>27</v>
      </c>
      <c r="BD68">
        <f>SUMIF(RawData!$C:$C,$A68,RawData!BH:BH)</f>
        <v>0</v>
      </c>
      <c r="BE68">
        <f>SUMIF(RawData!$C:$C,$A68,RawData!BI:BI)</f>
        <v>0</v>
      </c>
      <c r="BF68">
        <f>SUMIF(RawData!$C:$C,$A68,RawData!BJ:BJ)</f>
        <v>0</v>
      </c>
      <c r="BG68">
        <f>SUMIF(RawData!$C:$C,$A68,RawData!BK:BK)</f>
        <v>0</v>
      </c>
      <c r="BH68">
        <f>SUMIF(RawData!$C:$C,$A68,RawData!BL:BL)</f>
        <v>0</v>
      </c>
      <c r="BI68">
        <f>SUMIF(RawData!$C:$C,$A68,RawData!BM:BM)</f>
        <v>0</v>
      </c>
      <c r="BJ68">
        <f>SUMIF(RawData!$C:$C,$A68,RawData!BN:BN)</f>
        <v>0</v>
      </c>
      <c r="BK68">
        <f>SUMIF(RawData!$C:$C,$A68,RawData!BO:BO)</f>
        <v>0</v>
      </c>
      <c r="BL68">
        <f>SUMIF(RawData!$C:$C,$A68,RawData!BP:BP)</f>
        <v>0</v>
      </c>
      <c r="BM68">
        <f>SUMIF(RawData!$C:$C,$A68,RawData!BQ:BQ)</f>
        <v>0</v>
      </c>
      <c r="BN68">
        <f>SUMIF(RawData!$C:$C,$A68,RawData!BR:BR)</f>
        <v>0</v>
      </c>
      <c r="BO68">
        <f>SUMIF(RawData!$C:$C,$A68,RawData!BS:BS)</f>
        <v>0</v>
      </c>
      <c r="BP68">
        <f>SUMIF(RawData!$C:$C,$A68,RawData!BT:BT)</f>
        <v>0</v>
      </c>
      <c r="BQ68">
        <f>SUMIF(RawData!$C:$C,$A68,RawData!BU:BU)</f>
        <v>0</v>
      </c>
      <c r="BR68">
        <f>SUMIF(RawData!$C:$C,$A68,RawData!BV:BV)</f>
        <v>0</v>
      </c>
      <c r="BS68">
        <f>SUMIF(RawData!$C:$C,$A68,RawData!BW:BW)</f>
        <v>0</v>
      </c>
      <c r="BT68">
        <f>SUMIF(RawData!$C:$C,$A68,RawData!BX:BX)</f>
        <v>0</v>
      </c>
    </row>
    <row r="69" spans="1:72" ht="15" thickBot="1" x14ac:dyDescent="0.35">
      <c r="A69" s="5" t="s">
        <v>159</v>
      </c>
      <c r="B69">
        <f>SUMIF(RawData!$C:$C,$A69,RawData!F:F)</f>
        <v>0</v>
      </c>
      <c r="C69">
        <f>SUMIF(RawData!$C:$C,$A69,RawData!G:G)</f>
        <v>0</v>
      </c>
      <c r="D69">
        <f>SUMIF(RawData!$C:$C,$A69,RawData!H:H)</f>
        <v>0</v>
      </c>
      <c r="E69">
        <f>SUMIF(RawData!$C:$C,$A69,RawData!I:I)</f>
        <v>0</v>
      </c>
      <c r="F69">
        <f>SUMIF(RawData!$C:$C,$A69,RawData!J:J)</f>
        <v>0</v>
      </c>
      <c r="G69">
        <f>SUMIF(RawData!$C:$C,$A69,RawData!K:K)</f>
        <v>0</v>
      </c>
      <c r="H69">
        <f>SUMIF(RawData!$C:$C,$A69,RawData!L:L)</f>
        <v>0</v>
      </c>
      <c r="I69">
        <f>SUMIF(RawData!$C:$C,$A69,RawData!M:M)</f>
        <v>0</v>
      </c>
      <c r="J69">
        <f>SUMIF(RawData!$C:$C,$A69,RawData!N:N)</f>
        <v>0</v>
      </c>
      <c r="K69">
        <f>SUMIF(RawData!$C:$C,$A69,RawData!O:O)</f>
        <v>0</v>
      </c>
      <c r="L69">
        <f>SUMIF(RawData!$C:$C,$A69,RawData!P:P)</f>
        <v>0</v>
      </c>
      <c r="M69">
        <f>SUMIF(RawData!$C:$C,$A69,RawData!Q:Q)</f>
        <v>0</v>
      </c>
      <c r="N69">
        <f>SUMIF(RawData!$C:$C,$A69,RawData!R:R)</f>
        <v>0</v>
      </c>
      <c r="O69">
        <f>SUMIF(RawData!$C:$C,$A69,RawData!S:S)</f>
        <v>0</v>
      </c>
      <c r="P69">
        <f>SUMIF(RawData!$C:$C,$A69,RawData!T:T)</f>
        <v>0</v>
      </c>
      <c r="Q69">
        <f>SUMIF(RawData!$C:$C,$A69,RawData!U:U)</f>
        <v>0</v>
      </c>
      <c r="R69">
        <f>SUMIF(RawData!$C:$C,$A69,RawData!V:V)</f>
        <v>0</v>
      </c>
      <c r="S69">
        <f>SUMIF(RawData!$C:$C,$A69,RawData!W:W)</f>
        <v>0</v>
      </c>
      <c r="T69">
        <f>SUMIF(RawData!$C:$C,$A69,RawData!X:X)</f>
        <v>0</v>
      </c>
      <c r="U69">
        <f>SUMIF(RawData!$C:$C,$A69,RawData!Y:Y)</f>
        <v>0</v>
      </c>
      <c r="V69">
        <f>SUMIF(RawData!$C:$C,$A69,RawData!Z:Z)</f>
        <v>0</v>
      </c>
      <c r="W69">
        <f>SUMIF(RawData!$C:$C,$A69,RawData!AA:AA)</f>
        <v>0</v>
      </c>
      <c r="X69">
        <f>SUMIF(RawData!$C:$C,$A69,RawData!AB:AB)</f>
        <v>0</v>
      </c>
      <c r="Y69">
        <f>SUMIF(RawData!$C:$C,$A69,RawData!AC:AC)</f>
        <v>0</v>
      </c>
      <c r="Z69">
        <f>SUMIF(RawData!$C:$C,$A69,RawData!AD:AD)</f>
        <v>0</v>
      </c>
      <c r="AA69">
        <f>SUMIF(RawData!$C:$C,$A69,RawData!AE:AE)</f>
        <v>0</v>
      </c>
      <c r="AB69">
        <f>SUMIF(RawData!$C:$C,$A69,RawData!AF:AF)</f>
        <v>0</v>
      </c>
      <c r="AC69">
        <f>SUMIF(RawData!$C:$C,$A69,RawData!AG:AG)</f>
        <v>0</v>
      </c>
      <c r="AD69">
        <f>SUMIF(RawData!$C:$C,$A69,RawData!AH:AH)</f>
        <v>0</v>
      </c>
      <c r="AE69">
        <f>SUMIF(RawData!$C:$C,$A69,RawData!AI:AI)</f>
        <v>0</v>
      </c>
      <c r="AF69">
        <f>SUMIF(RawData!$C:$C,$A69,RawData!AJ:AJ)</f>
        <v>0</v>
      </c>
      <c r="AG69">
        <f>SUMIF(RawData!$C:$C,$A69,RawData!AK:AK)</f>
        <v>0</v>
      </c>
      <c r="AH69">
        <f>SUMIF(RawData!$C:$C,$A69,RawData!AL:AL)</f>
        <v>0</v>
      </c>
      <c r="AI69">
        <f>SUMIF(RawData!$C:$C,$A69,RawData!AM:AM)</f>
        <v>0</v>
      </c>
      <c r="AJ69">
        <f>SUMIF(RawData!$C:$C,$A69,RawData!AN:AN)</f>
        <v>0</v>
      </c>
      <c r="AK69">
        <f>SUMIF(RawData!$C:$C,$A69,RawData!AO:AO)</f>
        <v>0</v>
      </c>
      <c r="AL69">
        <f>SUMIF(RawData!$C:$C,$A69,RawData!AP:AP)</f>
        <v>0</v>
      </c>
      <c r="AM69">
        <f>SUMIF(RawData!$C:$C,$A69,RawData!AQ:AQ)</f>
        <v>0</v>
      </c>
      <c r="AN69">
        <f>SUMIF(RawData!$C:$C,$A69,RawData!AR:AR)</f>
        <v>0</v>
      </c>
      <c r="AO69">
        <f>SUMIF(RawData!$C:$C,$A69,RawData!AS:AS)</f>
        <v>0</v>
      </c>
      <c r="AP69">
        <f>SUMIF(RawData!$C:$C,$A69,RawData!AT:AT)</f>
        <v>0</v>
      </c>
      <c r="AQ69">
        <f>SUMIF(RawData!$C:$C,$A69,RawData!AU:AU)</f>
        <v>0</v>
      </c>
      <c r="AR69">
        <f>SUMIF(RawData!$C:$C,$A69,RawData!AV:AV)</f>
        <v>2</v>
      </c>
      <c r="AS69">
        <f>SUMIF(RawData!$C:$C,$A69,RawData!AW:AW)</f>
        <v>2</v>
      </c>
      <c r="AT69">
        <f>SUMIF(RawData!$C:$C,$A69,RawData!AX:AX)</f>
        <v>2</v>
      </c>
      <c r="AU69">
        <f>SUMIF(RawData!$C:$C,$A69,RawData!AY:AY)</f>
        <v>4</v>
      </c>
      <c r="AV69">
        <f>SUMIF(RawData!$C:$C,$A69,RawData!AZ:AZ)</f>
        <v>7</v>
      </c>
      <c r="AW69">
        <f>SUMIF(RawData!$C:$C,$A69,RawData!BA:BA)</f>
        <v>9</v>
      </c>
      <c r="AX69">
        <f>SUMIF(RawData!$C:$C,$A69,RawData!BB:BB)</f>
        <v>9</v>
      </c>
      <c r="AY69">
        <f>SUMIF(RawData!$C:$C,$A69,RawData!BC:BC)</f>
        <v>13</v>
      </c>
      <c r="AZ69">
        <f>SUMIF(RawData!$C:$C,$A69,RawData!BD:BD)</f>
        <v>13</v>
      </c>
      <c r="BA69">
        <f>SUMIF(RawData!$C:$C,$A69,RawData!BE:BE)</f>
        <v>19</v>
      </c>
      <c r="BB69">
        <f>SUMIF(RawData!$C:$C,$A69,RawData!BF:BF)</f>
        <v>30</v>
      </c>
      <c r="BC69">
        <f>SUMIF(RawData!$C:$C,$A69,RawData!BG:BG)</f>
        <v>32</v>
      </c>
      <c r="BD69">
        <f>SUMIF(RawData!$C:$C,$A69,RawData!BH:BH)</f>
        <v>0</v>
      </c>
      <c r="BE69">
        <f>SUMIF(RawData!$C:$C,$A69,RawData!BI:BI)</f>
        <v>0</v>
      </c>
      <c r="BF69">
        <f>SUMIF(RawData!$C:$C,$A69,RawData!BJ:BJ)</f>
        <v>0</v>
      </c>
      <c r="BG69">
        <f>SUMIF(RawData!$C:$C,$A69,RawData!BK:BK)</f>
        <v>0</v>
      </c>
      <c r="BH69">
        <f>SUMIF(RawData!$C:$C,$A69,RawData!BL:BL)</f>
        <v>0</v>
      </c>
      <c r="BI69">
        <f>SUMIF(RawData!$C:$C,$A69,RawData!BM:BM)</f>
        <v>0</v>
      </c>
      <c r="BJ69">
        <f>SUMIF(RawData!$C:$C,$A69,RawData!BN:BN)</f>
        <v>0</v>
      </c>
      <c r="BK69">
        <f>SUMIF(RawData!$C:$C,$A69,RawData!BO:BO)</f>
        <v>0</v>
      </c>
      <c r="BL69">
        <f>SUMIF(RawData!$C:$C,$A69,RawData!BP:BP)</f>
        <v>0</v>
      </c>
      <c r="BM69">
        <f>SUMIF(RawData!$C:$C,$A69,RawData!BQ:BQ)</f>
        <v>0</v>
      </c>
      <c r="BN69">
        <f>SUMIF(RawData!$C:$C,$A69,RawData!BR:BR)</f>
        <v>0</v>
      </c>
      <c r="BO69">
        <f>SUMIF(RawData!$C:$C,$A69,RawData!BS:BS)</f>
        <v>0</v>
      </c>
      <c r="BP69">
        <f>SUMIF(RawData!$C:$C,$A69,RawData!BT:BT)</f>
        <v>0</v>
      </c>
      <c r="BQ69">
        <f>SUMIF(RawData!$C:$C,$A69,RawData!BU:BU)</f>
        <v>0</v>
      </c>
      <c r="BR69">
        <f>SUMIF(RawData!$C:$C,$A69,RawData!BV:BV)</f>
        <v>0</v>
      </c>
      <c r="BS69">
        <f>SUMIF(RawData!$C:$C,$A69,RawData!BW:BW)</f>
        <v>0</v>
      </c>
      <c r="BT69">
        <f>SUMIF(RawData!$C:$C,$A69,RawData!BX:BX)</f>
        <v>0</v>
      </c>
    </row>
    <row r="70" spans="1:72" ht="15" thickBot="1" x14ac:dyDescent="0.35">
      <c r="A70" s="5" t="s">
        <v>98</v>
      </c>
      <c r="B70">
        <f>SUMIF(RawData!$C:$C,$A70,RawData!F:F)</f>
        <v>0</v>
      </c>
      <c r="C70">
        <f>SUMIF(RawData!$C:$C,$A70,RawData!G:G)</f>
        <v>0</v>
      </c>
      <c r="D70">
        <f>SUMIF(RawData!$C:$C,$A70,RawData!H:H)</f>
        <v>0</v>
      </c>
      <c r="E70">
        <f>SUMIF(RawData!$C:$C,$A70,RawData!I:I)</f>
        <v>0</v>
      </c>
      <c r="F70">
        <f>SUMIF(RawData!$C:$C,$A70,RawData!J:J)</f>
        <v>0</v>
      </c>
      <c r="G70">
        <f>SUMIF(RawData!$C:$C,$A70,RawData!K:K)</f>
        <v>0</v>
      </c>
      <c r="H70">
        <f>SUMIF(RawData!$C:$C,$A70,RawData!L:L)</f>
        <v>0</v>
      </c>
      <c r="I70">
        <f>SUMIF(RawData!$C:$C,$A70,RawData!M:M)</f>
        <v>0</v>
      </c>
      <c r="J70">
        <f>SUMIF(RawData!$C:$C,$A70,RawData!N:N)</f>
        <v>0</v>
      </c>
      <c r="K70">
        <f>SUMIF(RawData!$C:$C,$A70,RawData!O:O)</f>
        <v>0</v>
      </c>
      <c r="L70">
        <f>SUMIF(RawData!$C:$C,$A70,RawData!P:P)</f>
        <v>0</v>
      </c>
      <c r="M70">
        <f>SUMIF(RawData!$C:$C,$A70,RawData!Q:Q)</f>
        <v>0</v>
      </c>
      <c r="N70">
        <f>SUMIF(RawData!$C:$C,$A70,RawData!R:R)</f>
        <v>0</v>
      </c>
      <c r="O70">
        <f>SUMIF(RawData!$C:$C,$A70,RawData!S:S)</f>
        <v>0</v>
      </c>
      <c r="P70">
        <f>SUMIF(RawData!$C:$C,$A70,RawData!T:T)</f>
        <v>0</v>
      </c>
      <c r="Q70">
        <f>SUMIF(RawData!$C:$C,$A70,RawData!U:U)</f>
        <v>0</v>
      </c>
      <c r="R70">
        <f>SUMIF(RawData!$C:$C,$A70,RawData!V:V)</f>
        <v>0</v>
      </c>
      <c r="S70">
        <f>SUMIF(RawData!$C:$C,$A70,RawData!W:W)</f>
        <v>0</v>
      </c>
      <c r="T70">
        <f>SUMIF(RawData!$C:$C,$A70,RawData!X:X)</f>
        <v>0</v>
      </c>
      <c r="U70">
        <f>SUMIF(RawData!$C:$C,$A70,RawData!Y:Y)</f>
        <v>0</v>
      </c>
      <c r="V70">
        <f>SUMIF(RawData!$C:$C,$A70,RawData!Z:Z)</f>
        <v>0</v>
      </c>
      <c r="W70">
        <f>SUMIF(RawData!$C:$C,$A70,RawData!AA:AA)</f>
        <v>0</v>
      </c>
      <c r="X70">
        <f>SUMIF(RawData!$C:$C,$A70,RawData!AB:AB)</f>
        <v>0</v>
      </c>
      <c r="Y70">
        <f>SUMIF(RawData!$C:$C,$A70,RawData!AC:AC)</f>
        <v>0</v>
      </c>
      <c r="Z70">
        <f>SUMIF(RawData!$C:$C,$A70,RawData!AD:AD)</f>
        <v>0</v>
      </c>
      <c r="AA70">
        <f>SUMIF(RawData!$C:$C,$A70,RawData!AE:AE)</f>
        <v>0</v>
      </c>
      <c r="AB70">
        <f>SUMIF(RawData!$C:$C,$A70,RawData!AF:AF)</f>
        <v>0</v>
      </c>
      <c r="AC70">
        <f>SUMIF(RawData!$C:$C,$A70,RawData!AG:AG)</f>
        <v>0</v>
      </c>
      <c r="AD70">
        <f>SUMIF(RawData!$C:$C,$A70,RawData!AH:AH)</f>
        <v>0</v>
      </c>
      <c r="AE70">
        <f>SUMIF(RawData!$C:$C,$A70,RawData!AI:AI)</f>
        <v>0</v>
      </c>
      <c r="AF70">
        <f>SUMIF(RawData!$C:$C,$A70,RawData!AJ:AJ)</f>
        <v>0</v>
      </c>
      <c r="AG70">
        <f>SUMIF(RawData!$C:$C,$A70,RawData!AK:AK)</f>
        <v>0</v>
      </c>
      <c r="AH70">
        <f>SUMIF(RawData!$C:$C,$A70,RawData!AL:AL)</f>
        <v>0</v>
      </c>
      <c r="AI70">
        <f>SUMIF(RawData!$C:$C,$A70,RawData!AM:AM)</f>
        <v>2</v>
      </c>
      <c r="AJ70">
        <f>SUMIF(RawData!$C:$C,$A70,RawData!AN:AN)</f>
        <v>2</v>
      </c>
      <c r="AK70">
        <f>SUMIF(RawData!$C:$C,$A70,RawData!AO:AO)</f>
        <v>4</v>
      </c>
      <c r="AL70">
        <f>SUMIF(RawData!$C:$C,$A70,RawData!AP:AP)</f>
        <v>4</v>
      </c>
      <c r="AM70">
        <f>SUMIF(RawData!$C:$C,$A70,RawData!AQ:AQ)</f>
        <v>4</v>
      </c>
      <c r="AN70">
        <f>SUMIF(RawData!$C:$C,$A70,RawData!AR:AR)</f>
        <v>6</v>
      </c>
      <c r="AO70">
        <f>SUMIF(RawData!$C:$C,$A70,RawData!AS:AS)</f>
        <v>6</v>
      </c>
      <c r="AP70">
        <f>SUMIF(RawData!$C:$C,$A70,RawData!AT:AT)</f>
        <v>6</v>
      </c>
      <c r="AQ70">
        <f>SUMIF(RawData!$C:$C,$A70,RawData!AU:AU)</f>
        <v>12</v>
      </c>
      <c r="AR70">
        <f>SUMIF(RawData!$C:$C,$A70,RawData!AV:AV)</f>
        <v>15</v>
      </c>
      <c r="AS70">
        <f>SUMIF(RawData!$C:$C,$A70,RawData!AW:AW)</f>
        <v>16</v>
      </c>
      <c r="AT70">
        <f>SUMIF(RawData!$C:$C,$A70,RawData!AX:AX)</f>
        <v>16</v>
      </c>
      <c r="AU70">
        <f>SUMIF(RawData!$C:$C,$A70,RawData!AY:AY)</f>
        <v>16</v>
      </c>
      <c r="AV70">
        <f>SUMIF(RawData!$C:$C,$A70,RawData!AZ:AZ)</f>
        <v>16</v>
      </c>
      <c r="AW70">
        <f>SUMIF(RawData!$C:$C,$A70,RawData!BA:BA)</f>
        <v>16</v>
      </c>
      <c r="AX70">
        <f>SUMIF(RawData!$C:$C,$A70,RawData!BB:BB)</f>
        <v>18</v>
      </c>
      <c r="AY70">
        <f>SUMIF(RawData!$C:$C,$A70,RawData!BC:BC)</f>
        <v>18</v>
      </c>
      <c r="AZ70">
        <f>SUMIF(RawData!$C:$C,$A70,RawData!BD:BD)</f>
        <v>18</v>
      </c>
      <c r="BA70">
        <f>SUMIF(RawData!$C:$C,$A70,RawData!BE:BE)</f>
        <v>19</v>
      </c>
      <c r="BB70">
        <f>SUMIF(RawData!$C:$C,$A70,RawData!BF:BF)</f>
        <v>19</v>
      </c>
      <c r="BC70">
        <f>SUMIF(RawData!$C:$C,$A70,RawData!BG:BG)</f>
        <v>22</v>
      </c>
      <c r="BD70">
        <f>SUMIF(RawData!$C:$C,$A70,RawData!BH:BH)</f>
        <v>0</v>
      </c>
      <c r="BE70">
        <f>SUMIF(RawData!$C:$C,$A70,RawData!BI:BI)</f>
        <v>0</v>
      </c>
      <c r="BF70">
        <f>SUMIF(RawData!$C:$C,$A70,RawData!BJ:BJ)</f>
        <v>0</v>
      </c>
      <c r="BG70">
        <f>SUMIF(RawData!$C:$C,$A70,RawData!BK:BK)</f>
        <v>0</v>
      </c>
      <c r="BH70">
        <f>SUMIF(RawData!$C:$C,$A70,RawData!BL:BL)</f>
        <v>0</v>
      </c>
      <c r="BI70">
        <f>SUMIF(RawData!$C:$C,$A70,RawData!BM:BM)</f>
        <v>0</v>
      </c>
      <c r="BJ70">
        <f>SUMIF(RawData!$C:$C,$A70,RawData!BN:BN)</f>
        <v>0</v>
      </c>
      <c r="BK70">
        <f>SUMIF(RawData!$C:$C,$A70,RawData!BO:BO)</f>
        <v>0</v>
      </c>
      <c r="BL70">
        <f>SUMIF(RawData!$C:$C,$A70,RawData!BP:BP)</f>
        <v>0</v>
      </c>
      <c r="BM70">
        <f>SUMIF(RawData!$C:$C,$A70,RawData!BQ:BQ)</f>
        <v>0</v>
      </c>
      <c r="BN70">
        <f>SUMIF(RawData!$C:$C,$A70,RawData!BR:BR)</f>
        <v>0</v>
      </c>
      <c r="BO70">
        <f>SUMIF(RawData!$C:$C,$A70,RawData!BS:BS)</f>
        <v>0</v>
      </c>
      <c r="BP70">
        <f>SUMIF(RawData!$C:$C,$A70,RawData!BT:BT)</f>
        <v>0</v>
      </c>
      <c r="BQ70">
        <f>SUMIF(RawData!$C:$C,$A70,RawData!BU:BU)</f>
        <v>0</v>
      </c>
      <c r="BR70">
        <f>SUMIF(RawData!$C:$C,$A70,RawData!BV:BV)</f>
        <v>0</v>
      </c>
      <c r="BS70">
        <f>SUMIF(RawData!$C:$C,$A70,RawData!BW:BW)</f>
        <v>0</v>
      </c>
      <c r="BT70">
        <f>SUMIF(RawData!$C:$C,$A70,RawData!BX:BX)</f>
        <v>0</v>
      </c>
    </row>
    <row r="71" spans="1:72" ht="15" thickBot="1" x14ac:dyDescent="0.35">
      <c r="A71" s="5" t="s">
        <v>130</v>
      </c>
      <c r="B71">
        <f>SUMIF(RawData!$C:$C,$A71,RawData!F:F)</f>
        <v>0</v>
      </c>
      <c r="C71">
        <f>SUMIF(RawData!$C:$C,$A71,RawData!G:G)</f>
        <v>0</v>
      </c>
      <c r="D71">
        <f>SUMIF(RawData!$C:$C,$A71,RawData!H:H)</f>
        <v>0</v>
      </c>
      <c r="E71">
        <f>SUMIF(RawData!$C:$C,$A71,RawData!I:I)</f>
        <v>0</v>
      </c>
      <c r="F71">
        <f>SUMIF(RawData!$C:$C,$A71,RawData!J:J)</f>
        <v>0</v>
      </c>
      <c r="G71">
        <f>SUMIF(RawData!$C:$C,$A71,RawData!K:K)</f>
        <v>0</v>
      </c>
      <c r="H71">
        <f>SUMIF(RawData!$C:$C,$A71,RawData!L:L)</f>
        <v>0</v>
      </c>
      <c r="I71">
        <f>SUMIF(RawData!$C:$C,$A71,RawData!M:M)</f>
        <v>0</v>
      </c>
      <c r="J71">
        <f>SUMIF(RawData!$C:$C,$A71,RawData!N:N)</f>
        <v>0</v>
      </c>
      <c r="K71">
        <f>SUMIF(RawData!$C:$C,$A71,RawData!O:O)</f>
        <v>0</v>
      </c>
      <c r="L71">
        <f>SUMIF(RawData!$C:$C,$A71,RawData!P:P)</f>
        <v>0</v>
      </c>
      <c r="M71">
        <f>SUMIF(RawData!$C:$C,$A71,RawData!Q:Q)</f>
        <v>0</v>
      </c>
      <c r="N71">
        <f>SUMIF(RawData!$C:$C,$A71,RawData!R:R)</f>
        <v>0</v>
      </c>
      <c r="O71">
        <f>SUMIF(RawData!$C:$C,$A71,RawData!S:S)</f>
        <v>0</v>
      </c>
      <c r="P71">
        <f>SUMIF(RawData!$C:$C,$A71,RawData!T:T)</f>
        <v>0</v>
      </c>
      <c r="Q71">
        <f>SUMIF(RawData!$C:$C,$A71,RawData!U:U)</f>
        <v>0</v>
      </c>
      <c r="R71">
        <f>SUMIF(RawData!$C:$C,$A71,RawData!V:V)</f>
        <v>0</v>
      </c>
      <c r="S71">
        <f>SUMIF(RawData!$C:$C,$A71,RawData!W:W)</f>
        <v>0</v>
      </c>
      <c r="T71">
        <f>SUMIF(RawData!$C:$C,$A71,RawData!X:X)</f>
        <v>0</v>
      </c>
      <c r="U71">
        <f>SUMIF(RawData!$C:$C,$A71,RawData!Y:Y)</f>
        <v>0</v>
      </c>
      <c r="V71">
        <f>SUMIF(RawData!$C:$C,$A71,RawData!Z:Z)</f>
        <v>0</v>
      </c>
      <c r="W71">
        <f>SUMIF(RawData!$C:$C,$A71,RawData!AA:AA)</f>
        <v>0</v>
      </c>
      <c r="X71">
        <f>SUMIF(RawData!$C:$C,$A71,RawData!AB:AB)</f>
        <v>0</v>
      </c>
      <c r="Y71">
        <f>SUMIF(RawData!$C:$C,$A71,RawData!AC:AC)</f>
        <v>0</v>
      </c>
      <c r="Z71">
        <f>SUMIF(RawData!$C:$C,$A71,RawData!AD:AD)</f>
        <v>0</v>
      </c>
      <c r="AA71">
        <f>SUMIF(RawData!$C:$C,$A71,RawData!AE:AE)</f>
        <v>0</v>
      </c>
      <c r="AB71">
        <f>SUMIF(RawData!$C:$C,$A71,RawData!AF:AF)</f>
        <v>0</v>
      </c>
      <c r="AC71">
        <f>SUMIF(RawData!$C:$C,$A71,RawData!AG:AG)</f>
        <v>0</v>
      </c>
      <c r="AD71">
        <f>SUMIF(RawData!$C:$C,$A71,RawData!AH:AH)</f>
        <v>0</v>
      </c>
      <c r="AE71">
        <f>SUMIF(RawData!$C:$C,$A71,RawData!AI:AI)</f>
        <v>0</v>
      </c>
      <c r="AF71">
        <f>SUMIF(RawData!$C:$C,$A71,RawData!AJ:AJ)</f>
        <v>0</v>
      </c>
      <c r="AG71">
        <f>SUMIF(RawData!$C:$C,$A71,RawData!AK:AK)</f>
        <v>0</v>
      </c>
      <c r="AH71">
        <f>SUMIF(RawData!$C:$C,$A71,RawData!AL:AL)</f>
        <v>0</v>
      </c>
      <c r="AI71">
        <f>SUMIF(RawData!$C:$C,$A71,RawData!AM:AM)</f>
        <v>0</v>
      </c>
      <c r="AJ71">
        <f>SUMIF(RawData!$C:$C,$A71,RawData!AN:AN)</f>
        <v>0</v>
      </c>
      <c r="AK71">
        <f>SUMIF(RawData!$C:$C,$A71,RawData!AO:AO)</f>
        <v>0</v>
      </c>
      <c r="AL71">
        <f>SUMIF(RawData!$C:$C,$A71,RawData!AP:AP)</f>
        <v>0</v>
      </c>
      <c r="AM71">
        <f>SUMIF(RawData!$C:$C,$A71,RawData!AQ:AQ)</f>
        <v>0</v>
      </c>
      <c r="AN71">
        <f>SUMIF(RawData!$C:$C,$A71,RawData!AR:AR)</f>
        <v>0</v>
      </c>
      <c r="AO71">
        <f>SUMIF(RawData!$C:$C,$A71,RawData!AS:AS)</f>
        <v>6</v>
      </c>
      <c r="AP71">
        <f>SUMIF(RawData!$C:$C,$A71,RawData!AT:AT)</f>
        <v>6</v>
      </c>
      <c r="AQ71">
        <f>SUMIF(RawData!$C:$C,$A71,RawData!AU:AU)</f>
        <v>7</v>
      </c>
      <c r="AR71">
        <f>SUMIF(RawData!$C:$C,$A71,RawData!AV:AV)</f>
        <v>10</v>
      </c>
      <c r="AS71">
        <f>SUMIF(RawData!$C:$C,$A71,RawData!AW:AW)</f>
        <v>13</v>
      </c>
      <c r="AT71">
        <f>SUMIF(RawData!$C:$C,$A71,RawData!AX:AX)</f>
        <v>13</v>
      </c>
      <c r="AU71">
        <f>SUMIF(RawData!$C:$C,$A71,RawData!AY:AY)</f>
        <v>13</v>
      </c>
      <c r="AV71">
        <f>SUMIF(RawData!$C:$C,$A71,RawData!AZ:AZ)</f>
        <v>14</v>
      </c>
      <c r="AW71">
        <f>SUMIF(RawData!$C:$C,$A71,RawData!BA:BA)</f>
        <v>15</v>
      </c>
      <c r="AX71">
        <f>SUMIF(RawData!$C:$C,$A71,RawData!BB:BB)</f>
        <v>15</v>
      </c>
      <c r="AY71">
        <f>SUMIF(RawData!$C:$C,$A71,RawData!BC:BC)</f>
        <v>17</v>
      </c>
      <c r="AZ71">
        <f>SUMIF(RawData!$C:$C,$A71,RawData!BD:BD)</f>
        <v>17</v>
      </c>
      <c r="BA71">
        <f>SUMIF(RawData!$C:$C,$A71,RawData!BE:BE)</f>
        <v>17</v>
      </c>
      <c r="BB71">
        <f>SUMIF(RawData!$C:$C,$A71,RawData!BF:BF)</f>
        <v>28</v>
      </c>
      <c r="BC71">
        <f>SUMIF(RawData!$C:$C,$A71,RawData!BG:BG)</f>
        <v>28</v>
      </c>
      <c r="BD71">
        <f>SUMIF(RawData!$C:$C,$A71,RawData!BH:BH)</f>
        <v>0</v>
      </c>
      <c r="BE71">
        <f>SUMIF(RawData!$C:$C,$A71,RawData!BI:BI)</f>
        <v>0</v>
      </c>
      <c r="BF71">
        <f>SUMIF(RawData!$C:$C,$A71,RawData!BJ:BJ)</f>
        <v>0</v>
      </c>
      <c r="BG71">
        <f>SUMIF(RawData!$C:$C,$A71,RawData!BK:BK)</f>
        <v>0</v>
      </c>
      <c r="BH71">
        <f>SUMIF(RawData!$C:$C,$A71,RawData!BL:BL)</f>
        <v>0</v>
      </c>
      <c r="BI71">
        <f>SUMIF(RawData!$C:$C,$A71,RawData!BM:BM)</f>
        <v>0</v>
      </c>
      <c r="BJ71">
        <f>SUMIF(RawData!$C:$C,$A71,RawData!BN:BN)</f>
        <v>0</v>
      </c>
      <c r="BK71">
        <f>SUMIF(RawData!$C:$C,$A71,RawData!BO:BO)</f>
        <v>0</v>
      </c>
      <c r="BL71">
        <f>SUMIF(RawData!$C:$C,$A71,RawData!BP:BP)</f>
        <v>0</v>
      </c>
      <c r="BM71">
        <f>SUMIF(RawData!$C:$C,$A71,RawData!BQ:BQ)</f>
        <v>0</v>
      </c>
      <c r="BN71">
        <f>SUMIF(RawData!$C:$C,$A71,RawData!BR:BR)</f>
        <v>0</v>
      </c>
      <c r="BO71">
        <f>SUMIF(RawData!$C:$C,$A71,RawData!BS:BS)</f>
        <v>0</v>
      </c>
      <c r="BP71">
        <f>SUMIF(RawData!$C:$C,$A71,RawData!BT:BT)</f>
        <v>0</v>
      </c>
      <c r="BQ71">
        <f>SUMIF(RawData!$C:$C,$A71,RawData!BU:BU)</f>
        <v>0</v>
      </c>
      <c r="BR71">
        <f>SUMIF(RawData!$C:$C,$A71,RawData!BV:BV)</f>
        <v>0</v>
      </c>
      <c r="BS71">
        <f>SUMIF(RawData!$C:$C,$A71,RawData!BW:BW)</f>
        <v>0</v>
      </c>
      <c r="BT71">
        <f>SUMIF(RawData!$C:$C,$A71,RawData!BX:BX)</f>
        <v>0</v>
      </c>
    </row>
    <row r="72" spans="1:72" ht="15" thickBot="1" x14ac:dyDescent="0.35">
      <c r="A72" s="5" t="s">
        <v>138</v>
      </c>
      <c r="B72">
        <f>SUMIF(RawData!$C:$C,$A72,RawData!F:F)</f>
        <v>0</v>
      </c>
      <c r="C72">
        <f>SUMIF(RawData!$C:$C,$A72,RawData!G:G)</f>
        <v>0</v>
      </c>
      <c r="D72">
        <f>SUMIF(RawData!$C:$C,$A72,RawData!H:H)</f>
        <v>0</v>
      </c>
      <c r="E72">
        <f>SUMIF(RawData!$C:$C,$A72,RawData!I:I)</f>
        <v>0</v>
      </c>
      <c r="F72">
        <f>SUMIF(RawData!$C:$C,$A72,RawData!J:J)</f>
        <v>0</v>
      </c>
      <c r="G72">
        <f>SUMIF(RawData!$C:$C,$A72,RawData!K:K)</f>
        <v>0</v>
      </c>
      <c r="H72">
        <f>SUMIF(RawData!$C:$C,$A72,RawData!L:L)</f>
        <v>0</v>
      </c>
      <c r="I72">
        <f>SUMIF(RawData!$C:$C,$A72,RawData!M:M)</f>
        <v>0</v>
      </c>
      <c r="J72">
        <f>SUMIF(RawData!$C:$C,$A72,RawData!N:N)</f>
        <v>0</v>
      </c>
      <c r="K72">
        <f>SUMIF(RawData!$C:$C,$A72,RawData!O:O)</f>
        <v>0</v>
      </c>
      <c r="L72">
        <f>SUMIF(RawData!$C:$C,$A72,RawData!P:P)</f>
        <v>0</v>
      </c>
      <c r="M72">
        <f>SUMIF(RawData!$C:$C,$A72,RawData!Q:Q)</f>
        <v>0</v>
      </c>
      <c r="N72">
        <f>SUMIF(RawData!$C:$C,$A72,RawData!R:R)</f>
        <v>0</v>
      </c>
      <c r="O72">
        <f>SUMIF(RawData!$C:$C,$A72,RawData!S:S)</f>
        <v>0</v>
      </c>
      <c r="P72">
        <f>SUMIF(RawData!$C:$C,$A72,RawData!T:T)</f>
        <v>0</v>
      </c>
      <c r="Q72">
        <f>SUMIF(RawData!$C:$C,$A72,RawData!U:U)</f>
        <v>0</v>
      </c>
      <c r="R72">
        <f>SUMIF(RawData!$C:$C,$A72,RawData!V:V)</f>
        <v>0</v>
      </c>
      <c r="S72">
        <f>SUMIF(RawData!$C:$C,$A72,RawData!W:W)</f>
        <v>0</v>
      </c>
      <c r="T72">
        <f>SUMIF(RawData!$C:$C,$A72,RawData!X:X)</f>
        <v>0</v>
      </c>
      <c r="U72">
        <f>SUMIF(RawData!$C:$C,$A72,RawData!Y:Y)</f>
        <v>0</v>
      </c>
      <c r="V72">
        <f>SUMIF(RawData!$C:$C,$A72,RawData!Z:Z)</f>
        <v>0</v>
      </c>
      <c r="W72">
        <f>SUMIF(RawData!$C:$C,$A72,RawData!AA:AA)</f>
        <v>0</v>
      </c>
      <c r="X72">
        <f>SUMIF(RawData!$C:$C,$A72,RawData!AB:AB)</f>
        <v>0</v>
      </c>
      <c r="Y72">
        <f>SUMIF(RawData!$C:$C,$A72,RawData!AC:AC)</f>
        <v>0</v>
      </c>
      <c r="Z72">
        <f>SUMIF(RawData!$C:$C,$A72,RawData!AD:AD)</f>
        <v>0</v>
      </c>
      <c r="AA72">
        <f>SUMIF(RawData!$C:$C,$A72,RawData!AE:AE)</f>
        <v>0</v>
      </c>
      <c r="AB72">
        <f>SUMIF(RawData!$C:$C,$A72,RawData!AF:AF)</f>
        <v>0</v>
      </c>
      <c r="AC72">
        <f>SUMIF(RawData!$C:$C,$A72,RawData!AG:AG)</f>
        <v>0</v>
      </c>
      <c r="AD72">
        <f>SUMIF(RawData!$C:$C,$A72,RawData!AH:AH)</f>
        <v>0</v>
      </c>
      <c r="AE72">
        <f>SUMIF(RawData!$C:$C,$A72,RawData!AI:AI)</f>
        <v>0</v>
      </c>
      <c r="AF72">
        <f>SUMIF(RawData!$C:$C,$A72,RawData!AJ:AJ)</f>
        <v>0</v>
      </c>
      <c r="AG72">
        <f>SUMIF(RawData!$C:$C,$A72,RawData!AK:AK)</f>
        <v>0</v>
      </c>
      <c r="AH72">
        <f>SUMIF(RawData!$C:$C,$A72,RawData!AL:AL)</f>
        <v>0</v>
      </c>
      <c r="AI72">
        <f>SUMIF(RawData!$C:$C,$A72,RawData!AM:AM)</f>
        <v>0</v>
      </c>
      <c r="AJ72">
        <f>SUMIF(RawData!$C:$C,$A72,RawData!AN:AN)</f>
        <v>0</v>
      </c>
      <c r="AK72">
        <f>SUMIF(RawData!$C:$C,$A72,RawData!AO:AO)</f>
        <v>0</v>
      </c>
      <c r="AL72">
        <f>SUMIF(RawData!$C:$C,$A72,RawData!AP:AP)</f>
        <v>0</v>
      </c>
      <c r="AM72">
        <f>SUMIF(RawData!$C:$C,$A72,RawData!AQ:AQ)</f>
        <v>0</v>
      </c>
      <c r="AN72">
        <f>SUMIF(RawData!$C:$C,$A72,RawData!AR:AR)</f>
        <v>0</v>
      </c>
      <c r="AO72">
        <f>SUMIF(RawData!$C:$C,$A72,RawData!AS:AS)</f>
        <v>0</v>
      </c>
      <c r="AP72">
        <f>SUMIF(RawData!$C:$C,$A72,RawData!AT:AT)</f>
        <v>1</v>
      </c>
      <c r="AQ72">
        <f>SUMIF(RawData!$C:$C,$A72,RawData!AU:AU)</f>
        <v>1</v>
      </c>
      <c r="AR72">
        <f>SUMIF(RawData!$C:$C,$A72,RawData!AV:AV)</f>
        <v>1</v>
      </c>
      <c r="AS72">
        <f>SUMIF(RawData!$C:$C,$A72,RawData!AW:AW)</f>
        <v>1</v>
      </c>
      <c r="AT72">
        <f>SUMIF(RawData!$C:$C,$A72,RawData!AX:AX)</f>
        <v>1</v>
      </c>
      <c r="AU72">
        <f>SUMIF(RawData!$C:$C,$A72,RawData!AY:AY)</f>
        <v>1</v>
      </c>
      <c r="AV72">
        <f>SUMIF(RawData!$C:$C,$A72,RawData!AZ:AZ)</f>
        <v>2</v>
      </c>
      <c r="AW72">
        <f>SUMIF(RawData!$C:$C,$A72,RawData!BA:BA)</f>
        <v>6</v>
      </c>
      <c r="AX72">
        <f>SUMIF(RawData!$C:$C,$A72,RawData!BB:BB)</f>
        <v>8</v>
      </c>
      <c r="AY72">
        <f>SUMIF(RawData!$C:$C,$A72,RawData!BC:BC)</f>
        <v>10</v>
      </c>
      <c r="AZ72">
        <f>SUMIF(RawData!$C:$C,$A72,RawData!BD:BD)</f>
        <v>10</v>
      </c>
      <c r="BA72">
        <f>SUMIF(RawData!$C:$C,$A72,RawData!BE:BE)</f>
        <v>17</v>
      </c>
      <c r="BB72">
        <f>SUMIF(RawData!$C:$C,$A72,RawData!BF:BF)</f>
        <v>26</v>
      </c>
      <c r="BC72">
        <f>SUMIF(RawData!$C:$C,$A72,RawData!BG:BG)</f>
        <v>30</v>
      </c>
      <c r="BD72">
        <f>SUMIF(RawData!$C:$C,$A72,RawData!BH:BH)</f>
        <v>0</v>
      </c>
      <c r="BE72">
        <f>SUMIF(RawData!$C:$C,$A72,RawData!BI:BI)</f>
        <v>0</v>
      </c>
      <c r="BF72">
        <f>SUMIF(RawData!$C:$C,$A72,RawData!BJ:BJ)</f>
        <v>0</v>
      </c>
      <c r="BG72">
        <f>SUMIF(RawData!$C:$C,$A72,RawData!BK:BK)</f>
        <v>0</v>
      </c>
      <c r="BH72">
        <f>SUMIF(RawData!$C:$C,$A72,RawData!BL:BL)</f>
        <v>0</v>
      </c>
      <c r="BI72">
        <f>SUMIF(RawData!$C:$C,$A72,RawData!BM:BM)</f>
        <v>0</v>
      </c>
      <c r="BJ72">
        <f>SUMIF(RawData!$C:$C,$A72,RawData!BN:BN)</f>
        <v>0</v>
      </c>
      <c r="BK72">
        <f>SUMIF(RawData!$C:$C,$A72,RawData!BO:BO)</f>
        <v>0</v>
      </c>
      <c r="BL72">
        <f>SUMIF(RawData!$C:$C,$A72,RawData!BP:BP)</f>
        <v>0</v>
      </c>
      <c r="BM72">
        <f>SUMIF(RawData!$C:$C,$A72,RawData!BQ:BQ)</f>
        <v>0</v>
      </c>
      <c r="BN72">
        <f>SUMIF(RawData!$C:$C,$A72,RawData!BR:BR)</f>
        <v>0</v>
      </c>
      <c r="BO72">
        <f>SUMIF(RawData!$C:$C,$A72,RawData!BS:BS)</f>
        <v>0</v>
      </c>
      <c r="BP72">
        <f>SUMIF(RawData!$C:$C,$A72,RawData!BT:BT)</f>
        <v>0</v>
      </c>
      <c r="BQ72">
        <f>SUMIF(RawData!$C:$C,$A72,RawData!BU:BU)</f>
        <v>0</v>
      </c>
      <c r="BR72">
        <f>SUMIF(RawData!$C:$C,$A72,RawData!BV:BV)</f>
        <v>0</v>
      </c>
      <c r="BS72">
        <f>SUMIF(RawData!$C:$C,$A72,RawData!BW:BW)</f>
        <v>0</v>
      </c>
      <c r="BT72">
        <f>SUMIF(RawData!$C:$C,$A72,RawData!BX:BX)</f>
        <v>0</v>
      </c>
    </row>
    <row r="73" spans="1:72" ht="15" thickBot="1" x14ac:dyDescent="0.35">
      <c r="A73" s="5" t="s">
        <v>165</v>
      </c>
      <c r="B73">
        <f>SUMIF(RawData!$C:$C,$A73,RawData!F:F)</f>
        <v>0</v>
      </c>
      <c r="C73">
        <f>SUMIF(RawData!$C:$C,$A73,RawData!G:G)</f>
        <v>0</v>
      </c>
      <c r="D73">
        <f>SUMIF(RawData!$C:$C,$A73,RawData!H:H)</f>
        <v>0</v>
      </c>
      <c r="E73">
        <f>SUMIF(RawData!$C:$C,$A73,RawData!I:I)</f>
        <v>0</v>
      </c>
      <c r="F73">
        <f>SUMIF(RawData!$C:$C,$A73,RawData!J:J)</f>
        <v>0</v>
      </c>
      <c r="G73">
        <f>SUMIF(RawData!$C:$C,$A73,RawData!K:K)</f>
        <v>0</v>
      </c>
      <c r="H73">
        <f>SUMIF(RawData!$C:$C,$A73,RawData!L:L)</f>
        <v>0</v>
      </c>
      <c r="I73">
        <f>SUMIF(RawData!$C:$C,$A73,RawData!M:M)</f>
        <v>0</v>
      </c>
      <c r="J73">
        <f>SUMIF(RawData!$C:$C,$A73,RawData!N:N)</f>
        <v>0</v>
      </c>
      <c r="K73">
        <f>SUMIF(RawData!$C:$C,$A73,RawData!O:O)</f>
        <v>0</v>
      </c>
      <c r="L73">
        <f>SUMIF(RawData!$C:$C,$A73,RawData!P:P)</f>
        <v>0</v>
      </c>
      <c r="M73">
        <f>SUMIF(RawData!$C:$C,$A73,RawData!Q:Q)</f>
        <v>0</v>
      </c>
      <c r="N73">
        <f>SUMIF(RawData!$C:$C,$A73,RawData!R:R)</f>
        <v>0</v>
      </c>
      <c r="O73">
        <f>SUMIF(RawData!$C:$C,$A73,RawData!S:S)</f>
        <v>0</v>
      </c>
      <c r="P73">
        <f>SUMIF(RawData!$C:$C,$A73,RawData!T:T)</f>
        <v>0</v>
      </c>
      <c r="Q73">
        <f>SUMIF(RawData!$C:$C,$A73,RawData!U:U)</f>
        <v>0</v>
      </c>
      <c r="R73">
        <f>SUMIF(RawData!$C:$C,$A73,RawData!V:V)</f>
        <v>0</v>
      </c>
      <c r="S73">
        <f>SUMIF(RawData!$C:$C,$A73,RawData!W:W)</f>
        <v>0</v>
      </c>
      <c r="T73">
        <f>SUMIF(RawData!$C:$C,$A73,RawData!X:X)</f>
        <v>0</v>
      </c>
      <c r="U73">
        <f>SUMIF(RawData!$C:$C,$A73,RawData!Y:Y)</f>
        <v>0</v>
      </c>
      <c r="V73">
        <f>SUMIF(RawData!$C:$C,$A73,RawData!Z:Z)</f>
        <v>0</v>
      </c>
      <c r="W73">
        <f>SUMIF(RawData!$C:$C,$A73,RawData!AA:AA)</f>
        <v>0</v>
      </c>
      <c r="X73">
        <f>SUMIF(RawData!$C:$C,$A73,RawData!AB:AB)</f>
        <v>0</v>
      </c>
      <c r="Y73">
        <f>SUMIF(RawData!$C:$C,$A73,RawData!AC:AC)</f>
        <v>0</v>
      </c>
      <c r="Z73">
        <f>SUMIF(RawData!$C:$C,$A73,RawData!AD:AD)</f>
        <v>0</v>
      </c>
      <c r="AA73">
        <f>SUMIF(RawData!$C:$C,$A73,RawData!AE:AE)</f>
        <v>0</v>
      </c>
      <c r="AB73">
        <f>SUMIF(RawData!$C:$C,$A73,RawData!AF:AF)</f>
        <v>0</v>
      </c>
      <c r="AC73">
        <f>SUMIF(RawData!$C:$C,$A73,RawData!AG:AG)</f>
        <v>0</v>
      </c>
      <c r="AD73">
        <f>SUMIF(RawData!$C:$C,$A73,RawData!AH:AH)</f>
        <v>0</v>
      </c>
      <c r="AE73">
        <f>SUMIF(RawData!$C:$C,$A73,RawData!AI:AI)</f>
        <v>0</v>
      </c>
      <c r="AF73">
        <f>SUMIF(RawData!$C:$C,$A73,RawData!AJ:AJ)</f>
        <v>0</v>
      </c>
      <c r="AG73">
        <f>SUMIF(RawData!$C:$C,$A73,RawData!AK:AK)</f>
        <v>0</v>
      </c>
      <c r="AH73">
        <f>SUMIF(RawData!$C:$C,$A73,RawData!AL:AL)</f>
        <v>0</v>
      </c>
      <c r="AI73">
        <f>SUMIF(RawData!$C:$C,$A73,RawData!AM:AM)</f>
        <v>0</v>
      </c>
      <c r="AJ73">
        <f>SUMIF(RawData!$C:$C,$A73,RawData!AN:AN)</f>
        <v>0</v>
      </c>
      <c r="AK73">
        <f>SUMIF(RawData!$C:$C,$A73,RawData!AO:AO)</f>
        <v>0</v>
      </c>
      <c r="AL73">
        <f>SUMIF(RawData!$C:$C,$A73,RawData!AP:AP)</f>
        <v>0</v>
      </c>
      <c r="AM73">
        <f>SUMIF(RawData!$C:$C,$A73,RawData!AQ:AQ)</f>
        <v>0</v>
      </c>
      <c r="AN73">
        <f>SUMIF(RawData!$C:$C,$A73,RawData!AR:AR)</f>
        <v>0</v>
      </c>
      <c r="AO73">
        <f>SUMIF(RawData!$C:$C,$A73,RawData!AS:AS)</f>
        <v>0</v>
      </c>
      <c r="AP73">
        <f>SUMIF(RawData!$C:$C,$A73,RawData!AT:AT)</f>
        <v>0</v>
      </c>
      <c r="AQ73">
        <f>SUMIF(RawData!$C:$C,$A73,RawData!AU:AU)</f>
        <v>0</v>
      </c>
      <c r="AR73">
        <f>SUMIF(RawData!$C:$C,$A73,RawData!AV:AV)</f>
        <v>1</v>
      </c>
      <c r="AS73">
        <f>SUMIF(RawData!$C:$C,$A73,RawData!AW:AW)</f>
        <v>1</v>
      </c>
      <c r="AT73">
        <f>SUMIF(RawData!$C:$C,$A73,RawData!AX:AX)</f>
        <v>1</v>
      </c>
      <c r="AU73">
        <f>SUMIF(RawData!$C:$C,$A73,RawData!AY:AY)</f>
        <v>1</v>
      </c>
      <c r="AV73">
        <f>SUMIF(RawData!$C:$C,$A73,RawData!AZ:AZ)</f>
        <v>2</v>
      </c>
      <c r="AW73">
        <f>SUMIF(RawData!$C:$C,$A73,RawData!BA:BA)</f>
        <v>2</v>
      </c>
      <c r="AX73">
        <f>SUMIF(RawData!$C:$C,$A73,RawData!BB:BB)</f>
        <v>5</v>
      </c>
      <c r="AY73">
        <f>SUMIF(RawData!$C:$C,$A73,RawData!BC:BC)</f>
        <v>7</v>
      </c>
      <c r="AZ73">
        <f>SUMIF(RawData!$C:$C,$A73,RawData!BD:BD)</f>
        <v>7</v>
      </c>
      <c r="BA73">
        <f>SUMIF(RawData!$C:$C,$A73,RawData!BE:BE)</f>
        <v>16</v>
      </c>
      <c r="BB73">
        <f>SUMIF(RawData!$C:$C,$A73,RawData!BF:BF)</f>
        <v>18</v>
      </c>
      <c r="BC73">
        <f>SUMIF(RawData!$C:$C,$A73,RawData!BG:BG)</f>
        <v>18</v>
      </c>
      <c r="BD73">
        <f>SUMIF(RawData!$C:$C,$A73,RawData!BH:BH)</f>
        <v>0</v>
      </c>
      <c r="BE73">
        <f>SUMIF(RawData!$C:$C,$A73,RawData!BI:BI)</f>
        <v>0</v>
      </c>
      <c r="BF73">
        <f>SUMIF(RawData!$C:$C,$A73,RawData!BJ:BJ)</f>
        <v>0</v>
      </c>
      <c r="BG73">
        <f>SUMIF(RawData!$C:$C,$A73,RawData!BK:BK)</f>
        <v>0</v>
      </c>
      <c r="BH73">
        <f>SUMIF(RawData!$C:$C,$A73,RawData!BL:BL)</f>
        <v>0</v>
      </c>
      <c r="BI73">
        <f>SUMIF(RawData!$C:$C,$A73,RawData!BM:BM)</f>
        <v>0</v>
      </c>
      <c r="BJ73">
        <f>SUMIF(RawData!$C:$C,$A73,RawData!BN:BN)</f>
        <v>0</v>
      </c>
      <c r="BK73">
        <f>SUMIF(RawData!$C:$C,$A73,RawData!BO:BO)</f>
        <v>0</v>
      </c>
      <c r="BL73">
        <f>SUMIF(RawData!$C:$C,$A73,RawData!BP:BP)</f>
        <v>0</v>
      </c>
      <c r="BM73">
        <f>SUMIF(RawData!$C:$C,$A73,RawData!BQ:BQ)</f>
        <v>0</v>
      </c>
      <c r="BN73">
        <f>SUMIF(RawData!$C:$C,$A73,RawData!BR:BR)</f>
        <v>0</v>
      </c>
      <c r="BO73">
        <f>SUMIF(RawData!$C:$C,$A73,RawData!BS:BS)</f>
        <v>0</v>
      </c>
      <c r="BP73">
        <f>SUMIF(RawData!$C:$C,$A73,RawData!BT:BT)</f>
        <v>0</v>
      </c>
      <c r="BQ73">
        <f>SUMIF(RawData!$C:$C,$A73,RawData!BU:BU)</f>
        <v>0</v>
      </c>
      <c r="BR73">
        <f>SUMIF(RawData!$C:$C,$A73,RawData!BV:BV)</f>
        <v>0</v>
      </c>
      <c r="BS73">
        <f>SUMIF(RawData!$C:$C,$A73,RawData!BW:BW)</f>
        <v>0</v>
      </c>
      <c r="BT73">
        <f>SUMIF(RawData!$C:$C,$A73,RawData!BX:BX)</f>
        <v>0</v>
      </c>
    </row>
    <row r="74" spans="1:72" ht="15" thickBot="1" x14ac:dyDescent="0.35">
      <c r="A74" s="4" t="s">
        <v>131</v>
      </c>
      <c r="B74">
        <f>SUMIF(RawData!$C:$C,$A74,RawData!F:F)</f>
        <v>0</v>
      </c>
      <c r="C74">
        <f>SUMIF(RawData!$C:$C,$A74,RawData!G:G)</f>
        <v>0</v>
      </c>
      <c r="D74">
        <f>SUMIF(RawData!$C:$C,$A74,RawData!H:H)</f>
        <v>0</v>
      </c>
      <c r="E74">
        <f>SUMIF(RawData!$C:$C,$A74,RawData!I:I)</f>
        <v>0</v>
      </c>
      <c r="F74">
        <f>SUMIF(RawData!$C:$C,$A74,RawData!J:J)</f>
        <v>0</v>
      </c>
      <c r="G74">
        <f>SUMIF(RawData!$C:$C,$A74,RawData!K:K)</f>
        <v>0</v>
      </c>
      <c r="H74">
        <f>SUMIF(RawData!$C:$C,$A74,RawData!L:L)</f>
        <v>0</v>
      </c>
      <c r="I74">
        <f>SUMIF(RawData!$C:$C,$A74,RawData!M:M)</f>
        <v>0</v>
      </c>
      <c r="J74">
        <f>SUMIF(RawData!$C:$C,$A74,RawData!N:N)</f>
        <v>0</v>
      </c>
      <c r="K74">
        <f>SUMIF(RawData!$C:$C,$A74,RawData!O:O)</f>
        <v>0</v>
      </c>
      <c r="L74">
        <f>SUMIF(RawData!$C:$C,$A74,RawData!P:P)</f>
        <v>0</v>
      </c>
      <c r="M74">
        <f>SUMIF(RawData!$C:$C,$A74,RawData!Q:Q)</f>
        <v>0</v>
      </c>
      <c r="N74">
        <f>SUMIF(RawData!$C:$C,$A74,RawData!R:R)</f>
        <v>0</v>
      </c>
      <c r="O74">
        <f>SUMIF(RawData!$C:$C,$A74,RawData!S:S)</f>
        <v>0</v>
      </c>
      <c r="P74">
        <f>SUMIF(RawData!$C:$C,$A74,RawData!T:T)</f>
        <v>0</v>
      </c>
      <c r="Q74">
        <f>SUMIF(RawData!$C:$C,$A74,RawData!U:U)</f>
        <v>0</v>
      </c>
      <c r="R74">
        <f>SUMIF(RawData!$C:$C,$A74,RawData!V:V)</f>
        <v>0</v>
      </c>
      <c r="S74">
        <f>SUMIF(RawData!$C:$C,$A74,RawData!W:W)</f>
        <v>0</v>
      </c>
      <c r="T74">
        <f>SUMIF(RawData!$C:$C,$A74,RawData!X:X)</f>
        <v>0</v>
      </c>
      <c r="U74">
        <f>SUMIF(RawData!$C:$C,$A74,RawData!Y:Y)</f>
        <v>0</v>
      </c>
      <c r="V74">
        <f>SUMIF(RawData!$C:$C,$A74,RawData!Z:Z)</f>
        <v>0</v>
      </c>
      <c r="W74">
        <f>SUMIF(RawData!$C:$C,$A74,RawData!AA:AA)</f>
        <v>0</v>
      </c>
      <c r="X74">
        <f>SUMIF(RawData!$C:$C,$A74,RawData!AB:AB)</f>
        <v>0</v>
      </c>
      <c r="Y74">
        <f>SUMIF(RawData!$C:$C,$A74,RawData!AC:AC)</f>
        <v>0</v>
      </c>
      <c r="Z74">
        <f>SUMIF(RawData!$C:$C,$A74,RawData!AD:AD)</f>
        <v>0</v>
      </c>
      <c r="AA74">
        <f>SUMIF(RawData!$C:$C,$A74,RawData!AE:AE)</f>
        <v>0</v>
      </c>
      <c r="AB74">
        <f>SUMIF(RawData!$C:$C,$A74,RawData!AF:AF)</f>
        <v>0</v>
      </c>
      <c r="AC74">
        <f>SUMIF(RawData!$C:$C,$A74,RawData!AG:AG)</f>
        <v>0</v>
      </c>
      <c r="AD74">
        <f>SUMIF(RawData!$C:$C,$A74,RawData!AH:AH)</f>
        <v>0</v>
      </c>
      <c r="AE74">
        <f>SUMIF(RawData!$C:$C,$A74,RawData!AI:AI)</f>
        <v>0</v>
      </c>
      <c r="AF74">
        <f>SUMIF(RawData!$C:$C,$A74,RawData!AJ:AJ)</f>
        <v>0</v>
      </c>
      <c r="AG74">
        <f>SUMIF(RawData!$C:$C,$A74,RawData!AK:AK)</f>
        <v>0</v>
      </c>
      <c r="AH74">
        <f>SUMIF(RawData!$C:$C,$A74,RawData!AL:AL)</f>
        <v>0</v>
      </c>
      <c r="AI74">
        <f>SUMIF(RawData!$C:$C,$A74,RawData!AM:AM)</f>
        <v>0</v>
      </c>
      <c r="AJ74">
        <f>SUMIF(RawData!$C:$C,$A74,RawData!AN:AN)</f>
        <v>0</v>
      </c>
      <c r="AK74">
        <f>SUMIF(RawData!$C:$C,$A74,RawData!AO:AO)</f>
        <v>0</v>
      </c>
      <c r="AL74">
        <f>SUMIF(RawData!$C:$C,$A74,RawData!AP:AP)</f>
        <v>0</v>
      </c>
      <c r="AM74">
        <f>SUMIF(RawData!$C:$C,$A74,RawData!AQ:AQ)</f>
        <v>0</v>
      </c>
      <c r="AN74">
        <f>SUMIF(RawData!$C:$C,$A74,RawData!AR:AR)</f>
        <v>0</v>
      </c>
      <c r="AO74">
        <f>SUMIF(RawData!$C:$C,$A74,RawData!AS:AS)</f>
        <v>3</v>
      </c>
      <c r="AP74">
        <f>SUMIF(RawData!$C:$C,$A74,RawData!AT:AT)</f>
        <v>3</v>
      </c>
      <c r="AQ74">
        <f>SUMIF(RawData!$C:$C,$A74,RawData!AU:AU)</f>
        <v>3</v>
      </c>
      <c r="AR74">
        <f>SUMIF(RawData!$C:$C,$A74,RawData!AV:AV)</f>
        <v>3</v>
      </c>
      <c r="AS74">
        <f>SUMIF(RawData!$C:$C,$A74,RawData!AW:AW)</f>
        <v>6</v>
      </c>
      <c r="AT74">
        <f>SUMIF(RawData!$C:$C,$A74,RawData!AX:AX)</f>
        <v>6</v>
      </c>
      <c r="AU74">
        <f>SUMIF(RawData!$C:$C,$A74,RawData!AY:AY)</f>
        <v>9</v>
      </c>
      <c r="AV74">
        <f>SUMIF(RawData!$C:$C,$A74,RawData!AZ:AZ)</f>
        <v>9</v>
      </c>
      <c r="AW74">
        <f>SUMIF(RawData!$C:$C,$A74,RawData!BA:BA)</f>
        <v>9</v>
      </c>
      <c r="AX74">
        <f>SUMIF(RawData!$C:$C,$A74,RawData!BB:BB)</f>
        <v>11</v>
      </c>
      <c r="AY74">
        <f>SUMIF(RawData!$C:$C,$A74,RawData!BC:BC)</f>
        <v>11</v>
      </c>
      <c r="AZ74">
        <f>SUMIF(RawData!$C:$C,$A74,RawData!BD:BD)</f>
        <v>11</v>
      </c>
      <c r="BA74">
        <f>SUMIF(RawData!$C:$C,$A74,RawData!BE:BE)</f>
        <v>15</v>
      </c>
      <c r="BB74">
        <f>SUMIF(RawData!$C:$C,$A74,RawData!BF:BF)</f>
        <v>15</v>
      </c>
      <c r="BC74">
        <f>SUMIF(RawData!$C:$C,$A74,RawData!BG:BG)</f>
        <v>23</v>
      </c>
      <c r="BD74">
        <f>SUMIF(RawData!$C:$C,$A74,RawData!BH:BH)</f>
        <v>0</v>
      </c>
      <c r="BE74">
        <f>SUMIF(RawData!$C:$C,$A74,RawData!BI:BI)</f>
        <v>0</v>
      </c>
      <c r="BF74">
        <f>SUMIF(RawData!$C:$C,$A74,RawData!BJ:BJ)</f>
        <v>0</v>
      </c>
      <c r="BG74">
        <f>SUMIF(RawData!$C:$C,$A74,RawData!BK:BK)</f>
        <v>0</v>
      </c>
      <c r="BH74">
        <f>SUMIF(RawData!$C:$C,$A74,RawData!BL:BL)</f>
        <v>0</v>
      </c>
      <c r="BI74">
        <f>SUMIF(RawData!$C:$C,$A74,RawData!BM:BM)</f>
        <v>0</v>
      </c>
      <c r="BJ74">
        <f>SUMIF(RawData!$C:$C,$A74,RawData!BN:BN)</f>
        <v>0</v>
      </c>
      <c r="BK74">
        <f>SUMIF(RawData!$C:$C,$A74,RawData!BO:BO)</f>
        <v>0</v>
      </c>
      <c r="BL74">
        <f>SUMIF(RawData!$C:$C,$A74,RawData!BP:BP)</f>
        <v>0</v>
      </c>
      <c r="BM74">
        <f>SUMIF(RawData!$C:$C,$A74,RawData!BQ:BQ)</f>
        <v>0</v>
      </c>
      <c r="BN74">
        <f>SUMIF(RawData!$C:$C,$A74,RawData!BR:BR)</f>
        <v>0</v>
      </c>
      <c r="BO74">
        <f>SUMIF(RawData!$C:$C,$A74,RawData!BS:BS)</f>
        <v>0</v>
      </c>
      <c r="BP74">
        <f>SUMIF(RawData!$C:$C,$A74,RawData!BT:BT)</f>
        <v>0</v>
      </c>
      <c r="BQ74">
        <f>SUMIF(RawData!$C:$C,$A74,RawData!BU:BU)</f>
        <v>0</v>
      </c>
      <c r="BR74">
        <f>SUMIF(RawData!$C:$C,$A74,RawData!BV:BV)</f>
        <v>0</v>
      </c>
      <c r="BS74">
        <f>SUMIF(RawData!$C:$C,$A74,RawData!BW:BW)</f>
        <v>0</v>
      </c>
      <c r="BT74">
        <f>SUMIF(RawData!$C:$C,$A74,RawData!BX:BX)</f>
        <v>0</v>
      </c>
    </row>
    <row r="75" spans="1:72" ht="15" thickBot="1" x14ac:dyDescent="0.35">
      <c r="A75" s="4" t="s">
        <v>258</v>
      </c>
      <c r="B75">
        <f>SUMIF(RawData!$C:$C,$A75,RawData!F:F)</f>
        <v>0</v>
      </c>
      <c r="C75">
        <f>SUMIF(RawData!$C:$C,$A75,RawData!G:G)</f>
        <v>0</v>
      </c>
      <c r="D75">
        <f>SUMIF(RawData!$C:$C,$A75,RawData!H:H)</f>
        <v>0</v>
      </c>
      <c r="E75">
        <f>SUMIF(RawData!$C:$C,$A75,RawData!I:I)</f>
        <v>0</v>
      </c>
      <c r="F75">
        <f>SUMIF(RawData!$C:$C,$A75,RawData!J:J)</f>
        <v>0</v>
      </c>
      <c r="G75">
        <f>SUMIF(RawData!$C:$C,$A75,RawData!K:K)</f>
        <v>0</v>
      </c>
      <c r="H75">
        <f>SUMIF(RawData!$C:$C,$A75,RawData!L:L)</f>
        <v>0</v>
      </c>
      <c r="I75">
        <f>SUMIF(RawData!$C:$C,$A75,RawData!M:M)</f>
        <v>0</v>
      </c>
      <c r="J75">
        <f>SUMIF(RawData!$C:$C,$A75,RawData!N:N)</f>
        <v>0</v>
      </c>
      <c r="K75">
        <f>SUMIF(RawData!$C:$C,$A75,RawData!O:O)</f>
        <v>0</v>
      </c>
      <c r="L75">
        <f>SUMIF(RawData!$C:$C,$A75,RawData!P:P)</f>
        <v>0</v>
      </c>
      <c r="M75">
        <f>SUMIF(RawData!$C:$C,$A75,RawData!Q:Q)</f>
        <v>0</v>
      </c>
      <c r="N75">
        <f>SUMIF(RawData!$C:$C,$A75,RawData!R:R)</f>
        <v>0</v>
      </c>
      <c r="O75">
        <f>SUMIF(RawData!$C:$C,$A75,RawData!S:S)</f>
        <v>0</v>
      </c>
      <c r="P75">
        <f>SUMIF(RawData!$C:$C,$A75,RawData!T:T)</f>
        <v>0</v>
      </c>
      <c r="Q75">
        <f>SUMIF(RawData!$C:$C,$A75,RawData!U:U)</f>
        <v>0</v>
      </c>
      <c r="R75">
        <f>SUMIF(RawData!$C:$C,$A75,RawData!V:V)</f>
        <v>0</v>
      </c>
      <c r="S75">
        <f>SUMIF(RawData!$C:$C,$A75,RawData!W:W)</f>
        <v>0</v>
      </c>
      <c r="T75">
        <f>SUMIF(RawData!$C:$C,$A75,RawData!X:X)</f>
        <v>0</v>
      </c>
      <c r="U75">
        <f>SUMIF(RawData!$C:$C,$A75,RawData!Y:Y)</f>
        <v>0</v>
      </c>
      <c r="V75">
        <f>SUMIF(RawData!$C:$C,$A75,RawData!Z:Z)</f>
        <v>0</v>
      </c>
      <c r="W75">
        <f>SUMIF(RawData!$C:$C,$A75,RawData!AA:AA)</f>
        <v>0</v>
      </c>
      <c r="X75">
        <f>SUMIF(RawData!$C:$C,$A75,RawData!AB:AB)</f>
        <v>0</v>
      </c>
      <c r="Y75">
        <f>SUMIF(RawData!$C:$C,$A75,RawData!AC:AC)</f>
        <v>0</v>
      </c>
      <c r="Z75">
        <f>SUMIF(RawData!$C:$C,$A75,RawData!AD:AD)</f>
        <v>0</v>
      </c>
      <c r="AA75">
        <f>SUMIF(RawData!$C:$C,$A75,RawData!AE:AE)</f>
        <v>0</v>
      </c>
      <c r="AB75">
        <f>SUMIF(RawData!$C:$C,$A75,RawData!AF:AF)</f>
        <v>0</v>
      </c>
      <c r="AC75">
        <f>SUMIF(RawData!$C:$C,$A75,RawData!AG:AG)</f>
        <v>0</v>
      </c>
      <c r="AD75">
        <f>SUMIF(RawData!$C:$C,$A75,RawData!AH:AH)</f>
        <v>0</v>
      </c>
      <c r="AE75">
        <f>SUMIF(RawData!$C:$C,$A75,RawData!AI:AI)</f>
        <v>0</v>
      </c>
      <c r="AF75">
        <f>SUMIF(RawData!$C:$C,$A75,RawData!AJ:AJ)</f>
        <v>0</v>
      </c>
      <c r="AG75">
        <f>SUMIF(RawData!$C:$C,$A75,RawData!AK:AK)</f>
        <v>0</v>
      </c>
      <c r="AH75">
        <f>SUMIF(RawData!$C:$C,$A75,RawData!AL:AL)</f>
        <v>0</v>
      </c>
      <c r="AI75">
        <f>SUMIF(RawData!$C:$C,$A75,RawData!AM:AM)</f>
        <v>0</v>
      </c>
      <c r="AJ75">
        <f>SUMIF(RawData!$C:$C,$A75,RawData!AN:AN)</f>
        <v>0</v>
      </c>
      <c r="AK75">
        <f>SUMIF(RawData!$C:$C,$A75,RawData!AO:AO)</f>
        <v>0</v>
      </c>
      <c r="AL75">
        <f>SUMIF(RawData!$C:$C,$A75,RawData!AP:AP)</f>
        <v>0</v>
      </c>
      <c r="AM75">
        <f>SUMIF(RawData!$C:$C,$A75,RawData!AQ:AQ)</f>
        <v>0</v>
      </c>
      <c r="AN75">
        <f>SUMIF(RawData!$C:$C,$A75,RawData!AR:AR)</f>
        <v>0</v>
      </c>
      <c r="AO75">
        <f>SUMIF(RawData!$C:$C,$A75,RawData!AS:AS)</f>
        <v>0</v>
      </c>
      <c r="AP75">
        <f>SUMIF(RawData!$C:$C,$A75,RawData!AT:AT)</f>
        <v>0</v>
      </c>
      <c r="AQ75">
        <f>SUMIF(RawData!$C:$C,$A75,RawData!AU:AU)</f>
        <v>0</v>
      </c>
      <c r="AR75">
        <f>SUMIF(RawData!$C:$C,$A75,RawData!AV:AV)</f>
        <v>0</v>
      </c>
      <c r="AS75">
        <f>SUMIF(RawData!$C:$C,$A75,RawData!AW:AW)</f>
        <v>0</v>
      </c>
      <c r="AT75">
        <f>SUMIF(RawData!$C:$C,$A75,RawData!AX:AX)</f>
        <v>0</v>
      </c>
      <c r="AU75">
        <f>SUMIF(RawData!$C:$C,$A75,RawData!AY:AY)</f>
        <v>0</v>
      </c>
      <c r="AV75">
        <f>SUMIF(RawData!$C:$C,$A75,RawData!AZ:AZ)</f>
        <v>0</v>
      </c>
      <c r="AW75">
        <f>SUMIF(RawData!$C:$C,$A75,RawData!BA:BA)</f>
        <v>2</v>
      </c>
      <c r="AX75">
        <f>SUMIF(RawData!$C:$C,$A75,RawData!BB:BB)</f>
        <v>3</v>
      </c>
      <c r="AY75">
        <f>SUMIF(RawData!$C:$C,$A75,RawData!BC:BC)</f>
        <v>6</v>
      </c>
      <c r="AZ75">
        <f>SUMIF(RawData!$C:$C,$A75,RawData!BD:BD)</f>
        <v>6</v>
      </c>
      <c r="BA75">
        <f>SUMIF(RawData!$C:$C,$A75,RawData!BE:BE)</f>
        <v>14</v>
      </c>
      <c r="BB75">
        <f>SUMIF(RawData!$C:$C,$A75,RawData!BF:BF)</f>
        <v>26</v>
      </c>
      <c r="BC75">
        <f>SUMIF(RawData!$C:$C,$A75,RawData!BG:BG)</f>
        <v>26</v>
      </c>
      <c r="BD75">
        <f>SUMIF(RawData!$C:$C,$A75,RawData!BH:BH)</f>
        <v>0</v>
      </c>
      <c r="BE75">
        <f>SUMIF(RawData!$C:$C,$A75,RawData!BI:BI)</f>
        <v>0</v>
      </c>
      <c r="BF75">
        <f>SUMIF(RawData!$C:$C,$A75,RawData!BJ:BJ)</f>
        <v>0</v>
      </c>
      <c r="BG75">
        <f>SUMIF(RawData!$C:$C,$A75,RawData!BK:BK)</f>
        <v>0</v>
      </c>
      <c r="BH75">
        <f>SUMIF(RawData!$C:$C,$A75,RawData!BL:BL)</f>
        <v>0</v>
      </c>
      <c r="BI75">
        <f>SUMIF(RawData!$C:$C,$A75,RawData!BM:BM)</f>
        <v>0</v>
      </c>
      <c r="BJ75">
        <f>SUMIF(RawData!$C:$C,$A75,RawData!BN:BN)</f>
        <v>0</v>
      </c>
      <c r="BK75">
        <f>SUMIF(RawData!$C:$C,$A75,RawData!BO:BO)</f>
        <v>0</v>
      </c>
      <c r="BL75">
        <f>SUMIF(RawData!$C:$C,$A75,RawData!BP:BP)</f>
        <v>0</v>
      </c>
      <c r="BM75">
        <f>SUMIF(RawData!$C:$C,$A75,RawData!BQ:BQ)</f>
        <v>0</v>
      </c>
      <c r="BN75">
        <f>SUMIF(RawData!$C:$C,$A75,RawData!BR:BR)</f>
        <v>0</v>
      </c>
      <c r="BO75">
        <f>SUMIF(RawData!$C:$C,$A75,RawData!BS:BS)</f>
        <v>0</v>
      </c>
      <c r="BP75">
        <f>SUMIF(RawData!$C:$C,$A75,RawData!BT:BT)</f>
        <v>0</v>
      </c>
      <c r="BQ75">
        <f>SUMIF(RawData!$C:$C,$A75,RawData!BU:BU)</f>
        <v>0</v>
      </c>
      <c r="BR75">
        <f>SUMIF(RawData!$C:$C,$A75,RawData!BV:BV)</f>
        <v>0</v>
      </c>
      <c r="BS75">
        <f>SUMIF(RawData!$C:$C,$A75,RawData!BW:BW)</f>
        <v>0</v>
      </c>
      <c r="BT75">
        <f>SUMIF(RawData!$C:$C,$A75,RawData!BX:BX)</f>
        <v>0</v>
      </c>
    </row>
    <row r="76" spans="1:72" ht="15" thickBot="1" x14ac:dyDescent="0.35">
      <c r="A76" s="4" t="s">
        <v>111</v>
      </c>
      <c r="B76">
        <f>SUMIF(RawData!$C:$C,$A76,RawData!F:F)</f>
        <v>0</v>
      </c>
      <c r="C76">
        <f>SUMIF(RawData!$C:$C,$A76,RawData!G:G)</f>
        <v>0</v>
      </c>
      <c r="D76">
        <f>SUMIF(RawData!$C:$C,$A76,RawData!H:H)</f>
        <v>0</v>
      </c>
      <c r="E76">
        <f>SUMIF(RawData!$C:$C,$A76,RawData!I:I)</f>
        <v>0</v>
      </c>
      <c r="F76">
        <f>SUMIF(RawData!$C:$C,$A76,RawData!J:J)</f>
        <v>0</v>
      </c>
      <c r="G76">
        <f>SUMIF(RawData!$C:$C,$A76,RawData!K:K)</f>
        <v>0</v>
      </c>
      <c r="H76">
        <f>SUMIF(RawData!$C:$C,$A76,RawData!L:L)</f>
        <v>0</v>
      </c>
      <c r="I76">
        <f>SUMIF(RawData!$C:$C,$A76,RawData!M:M)</f>
        <v>0</v>
      </c>
      <c r="J76">
        <f>SUMIF(RawData!$C:$C,$A76,RawData!N:N)</f>
        <v>0</v>
      </c>
      <c r="K76">
        <f>SUMIF(RawData!$C:$C,$A76,RawData!O:O)</f>
        <v>0</v>
      </c>
      <c r="L76">
        <f>SUMIF(RawData!$C:$C,$A76,RawData!P:P)</f>
        <v>0</v>
      </c>
      <c r="M76">
        <f>SUMIF(RawData!$C:$C,$A76,RawData!Q:Q)</f>
        <v>0</v>
      </c>
      <c r="N76">
        <f>SUMIF(RawData!$C:$C,$A76,RawData!R:R)</f>
        <v>0</v>
      </c>
      <c r="O76">
        <f>SUMIF(RawData!$C:$C,$A76,RawData!S:S)</f>
        <v>0</v>
      </c>
      <c r="P76">
        <f>SUMIF(RawData!$C:$C,$A76,RawData!T:T)</f>
        <v>0</v>
      </c>
      <c r="Q76">
        <f>SUMIF(RawData!$C:$C,$A76,RawData!U:U)</f>
        <v>0</v>
      </c>
      <c r="R76">
        <f>SUMIF(RawData!$C:$C,$A76,RawData!V:V)</f>
        <v>0</v>
      </c>
      <c r="S76">
        <f>SUMIF(RawData!$C:$C,$A76,RawData!W:W)</f>
        <v>0</v>
      </c>
      <c r="T76">
        <f>SUMIF(RawData!$C:$C,$A76,RawData!X:X)</f>
        <v>0</v>
      </c>
      <c r="U76">
        <f>SUMIF(RawData!$C:$C,$A76,RawData!Y:Y)</f>
        <v>0</v>
      </c>
      <c r="V76">
        <f>SUMIF(RawData!$C:$C,$A76,RawData!Z:Z)</f>
        <v>0</v>
      </c>
      <c r="W76">
        <f>SUMIF(RawData!$C:$C,$A76,RawData!AA:AA)</f>
        <v>0</v>
      </c>
      <c r="X76">
        <f>SUMIF(RawData!$C:$C,$A76,RawData!AB:AB)</f>
        <v>0</v>
      </c>
      <c r="Y76">
        <f>SUMIF(RawData!$C:$C,$A76,RawData!AC:AC)</f>
        <v>0</v>
      </c>
      <c r="Z76">
        <f>SUMIF(RawData!$C:$C,$A76,RawData!AD:AD)</f>
        <v>0</v>
      </c>
      <c r="AA76">
        <f>SUMIF(RawData!$C:$C,$A76,RawData!AE:AE)</f>
        <v>0</v>
      </c>
      <c r="AB76">
        <f>SUMIF(RawData!$C:$C,$A76,RawData!AF:AF)</f>
        <v>0</v>
      </c>
      <c r="AC76">
        <f>SUMIF(RawData!$C:$C,$A76,RawData!AG:AG)</f>
        <v>0</v>
      </c>
      <c r="AD76">
        <f>SUMIF(RawData!$C:$C,$A76,RawData!AH:AH)</f>
        <v>0</v>
      </c>
      <c r="AE76">
        <f>SUMIF(RawData!$C:$C,$A76,RawData!AI:AI)</f>
        <v>0</v>
      </c>
      <c r="AF76">
        <f>SUMIF(RawData!$C:$C,$A76,RawData!AJ:AJ)</f>
        <v>0</v>
      </c>
      <c r="AG76">
        <f>SUMIF(RawData!$C:$C,$A76,RawData!AK:AK)</f>
        <v>0</v>
      </c>
      <c r="AH76">
        <f>SUMIF(RawData!$C:$C,$A76,RawData!AL:AL)</f>
        <v>0</v>
      </c>
      <c r="AI76">
        <f>SUMIF(RawData!$C:$C,$A76,RawData!AM:AM)</f>
        <v>0</v>
      </c>
      <c r="AJ76">
        <f>SUMIF(RawData!$C:$C,$A76,RawData!AN:AN)</f>
        <v>0</v>
      </c>
      <c r="AK76">
        <f>SUMIF(RawData!$C:$C,$A76,RawData!AO:AO)</f>
        <v>1</v>
      </c>
      <c r="AL76">
        <f>SUMIF(RawData!$C:$C,$A76,RawData!AP:AP)</f>
        <v>1</v>
      </c>
      <c r="AM76">
        <f>SUMIF(RawData!$C:$C,$A76,RawData!AQ:AQ)</f>
        <v>1</v>
      </c>
      <c r="AN76">
        <f>SUMIF(RawData!$C:$C,$A76,RawData!AR:AR)</f>
        <v>1</v>
      </c>
      <c r="AO76">
        <f>SUMIF(RawData!$C:$C,$A76,RawData!AS:AS)</f>
        <v>1</v>
      </c>
      <c r="AP76">
        <f>SUMIF(RawData!$C:$C,$A76,RawData!AT:AT)</f>
        <v>1</v>
      </c>
      <c r="AQ76">
        <f>SUMIF(RawData!$C:$C,$A76,RawData!AU:AU)</f>
        <v>1</v>
      </c>
      <c r="AR76">
        <f>SUMIF(RawData!$C:$C,$A76,RawData!AV:AV)</f>
        <v>1</v>
      </c>
      <c r="AS76">
        <f>SUMIF(RawData!$C:$C,$A76,RawData!AW:AW)</f>
        <v>1</v>
      </c>
      <c r="AT76">
        <f>SUMIF(RawData!$C:$C,$A76,RawData!AX:AX)</f>
        <v>3</v>
      </c>
      <c r="AU76">
        <f>SUMIF(RawData!$C:$C,$A76,RawData!AY:AY)</f>
        <v>3</v>
      </c>
      <c r="AV76">
        <f>SUMIF(RawData!$C:$C,$A76,RawData!AZ:AZ)</f>
        <v>3</v>
      </c>
      <c r="AW76">
        <f>SUMIF(RawData!$C:$C,$A76,RawData!BA:BA)</f>
        <v>3</v>
      </c>
      <c r="AX76">
        <f>SUMIF(RawData!$C:$C,$A76,RawData!BB:BB)</f>
        <v>7</v>
      </c>
      <c r="AY76">
        <f>SUMIF(RawData!$C:$C,$A76,RawData!BC:BC)</f>
        <v>7</v>
      </c>
      <c r="AZ76">
        <f>SUMIF(RawData!$C:$C,$A76,RawData!BD:BD)</f>
        <v>7</v>
      </c>
      <c r="BA76">
        <f>SUMIF(RawData!$C:$C,$A76,RawData!BE:BE)</f>
        <v>14</v>
      </c>
      <c r="BB76">
        <f>SUMIF(RawData!$C:$C,$A76,RawData!BF:BF)</f>
        <v>14</v>
      </c>
      <c r="BC76">
        <f>SUMIF(RawData!$C:$C,$A76,RawData!BG:BG)</f>
        <v>14</v>
      </c>
      <c r="BD76">
        <f>SUMIF(RawData!$C:$C,$A76,RawData!BH:BH)</f>
        <v>0</v>
      </c>
      <c r="BE76">
        <f>SUMIF(RawData!$C:$C,$A76,RawData!BI:BI)</f>
        <v>0</v>
      </c>
      <c r="BF76">
        <f>SUMIF(RawData!$C:$C,$A76,RawData!BJ:BJ)</f>
        <v>0</v>
      </c>
      <c r="BG76">
        <f>SUMIF(RawData!$C:$C,$A76,RawData!BK:BK)</f>
        <v>0</v>
      </c>
      <c r="BH76">
        <f>SUMIF(RawData!$C:$C,$A76,RawData!BL:BL)</f>
        <v>0</v>
      </c>
      <c r="BI76">
        <f>SUMIF(RawData!$C:$C,$A76,RawData!BM:BM)</f>
        <v>0</v>
      </c>
      <c r="BJ76">
        <f>SUMIF(RawData!$C:$C,$A76,RawData!BN:BN)</f>
        <v>0</v>
      </c>
      <c r="BK76">
        <f>SUMIF(RawData!$C:$C,$A76,RawData!BO:BO)</f>
        <v>0</v>
      </c>
      <c r="BL76">
        <f>SUMIF(RawData!$C:$C,$A76,RawData!BP:BP)</f>
        <v>0</v>
      </c>
      <c r="BM76">
        <f>SUMIF(RawData!$C:$C,$A76,RawData!BQ:BQ)</f>
        <v>0</v>
      </c>
      <c r="BN76">
        <f>SUMIF(RawData!$C:$C,$A76,RawData!BR:BR)</f>
        <v>0</v>
      </c>
      <c r="BO76">
        <f>SUMIF(RawData!$C:$C,$A76,RawData!BS:BS)</f>
        <v>0</v>
      </c>
      <c r="BP76">
        <f>SUMIF(RawData!$C:$C,$A76,RawData!BT:BT)</f>
        <v>0</v>
      </c>
      <c r="BQ76">
        <f>SUMIF(RawData!$C:$C,$A76,RawData!BU:BU)</f>
        <v>0</v>
      </c>
      <c r="BR76">
        <f>SUMIF(RawData!$C:$C,$A76,RawData!BV:BV)</f>
        <v>0</v>
      </c>
      <c r="BS76">
        <f>SUMIF(RawData!$C:$C,$A76,RawData!BW:BW)</f>
        <v>0</v>
      </c>
      <c r="BT76">
        <f>SUMIF(RawData!$C:$C,$A76,RawData!BX:BX)</f>
        <v>0</v>
      </c>
    </row>
    <row r="77" spans="1:72" ht="15" thickBot="1" x14ac:dyDescent="0.35">
      <c r="A77" s="4" t="s">
        <v>167</v>
      </c>
      <c r="B77">
        <f>SUMIF(RawData!$C:$C,$A77,RawData!F:F)</f>
        <v>0</v>
      </c>
      <c r="C77">
        <f>SUMIF(RawData!$C:$C,$A77,RawData!G:G)</f>
        <v>0</v>
      </c>
      <c r="D77">
        <f>SUMIF(RawData!$C:$C,$A77,RawData!H:H)</f>
        <v>0</v>
      </c>
      <c r="E77">
        <f>SUMIF(RawData!$C:$C,$A77,RawData!I:I)</f>
        <v>0</v>
      </c>
      <c r="F77">
        <f>SUMIF(RawData!$C:$C,$A77,RawData!J:J)</f>
        <v>0</v>
      </c>
      <c r="G77">
        <f>SUMIF(RawData!$C:$C,$A77,RawData!K:K)</f>
        <v>0</v>
      </c>
      <c r="H77">
        <f>SUMIF(RawData!$C:$C,$A77,RawData!L:L)</f>
        <v>0</v>
      </c>
      <c r="I77">
        <f>SUMIF(RawData!$C:$C,$A77,RawData!M:M)</f>
        <v>0</v>
      </c>
      <c r="J77">
        <f>SUMIF(RawData!$C:$C,$A77,RawData!N:N)</f>
        <v>0</v>
      </c>
      <c r="K77">
        <f>SUMIF(RawData!$C:$C,$A77,RawData!O:O)</f>
        <v>0</v>
      </c>
      <c r="L77">
        <f>SUMIF(RawData!$C:$C,$A77,RawData!P:P)</f>
        <v>0</v>
      </c>
      <c r="M77">
        <f>SUMIF(RawData!$C:$C,$A77,RawData!Q:Q)</f>
        <v>0</v>
      </c>
      <c r="N77">
        <f>SUMIF(RawData!$C:$C,$A77,RawData!R:R)</f>
        <v>0</v>
      </c>
      <c r="O77">
        <f>SUMIF(RawData!$C:$C,$A77,RawData!S:S)</f>
        <v>0</v>
      </c>
      <c r="P77">
        <f>SUMIF(RawData!$C:$C,$A77,RawData!T:T)</f>
        <v>0</v>
      </c>
      <c r="Q77">
        <f>SUMIF(RawData!$C:$C,$A77,RawData!U:U)</f>
        <v>0</v>
      </c>
      <c r="R77">
        <f>SUMIF(RawData!$C:$C,$A77,RawData!V:V)</f>
        <v>0</v>
      </c>
      <c r="S77">
        <f>SUMIF(RawData!$C:$C,$A77,RawData!W:W)</f>
        <v>0</v>
      </c>
      <c r="T77">
        <f>SUMIF(RawData!$C:$C,$A77,RawData!X:X)</f>
        <v>0</v>
      </c>
      <c r="U77">
        <f>SUMIF(RawData!$C:$C,$A77,RawData!Y:Y)</f>
        <v>0</v>
      </c>
      <c r="V77">
        <f>SUMIF(RawData!$C:$C,$A77,RawData!Z:Z)</f>
        <v>0</v>
      </c>
      <c r="W77">
        <f>SUMIF(RawData!$C:$C,$A77,RawData!AA:AA)</f>
        <v>0</v>
      </c>
      <c r="X77">
        <f>SUMIF(RawData!$C:$C,$A77,RawData!AB:AB)</f>
        <v>0</v>
      </c>
      <c r="Y77">
        <f>SUMIF(RawData!$C:$C,$A77,RawData!AC:AC)</f>
        <v>0</v>
      </c>
      <c r="Z77">
        <f>SUMIF(RawData!$C:$C,$A77,RawData!AD:AD)</f>
        <v>0</v>
      </c>
      <c r="AA77">
        <f>SUMIF(RawData!$C:$C,$A77,RawData!AE:AE)</f>
        <v>0</v>
      </c>
      <c r="AB77">
        <f>SUMIF(RawData!$C:$C,$A77,RawData!AF:AF)</f>
        <v>0</v>
      </c>
      <c r="AC77">
        <f>SUMIF(RawData!$C:$C,$A77,RawData!AG:AG)</f>
        <v>0</v>
      </c>
      <c r="AD77">
        <f>SUMIF(RawData!$C:$C,$A77,RawData!AH:AH)</f>
        <v>0</v>
      </c>
      <c r="AE77">
        <f>SUMIF(RawData!$C:$C,$A77,RawData!AI:AI)</f>
        <v>0</v>
      </c>
      <c r="AF77">
        <f>SUMIF(RawData!$C:$C,$A77,RawData!AJ:AJ)</f>
        <v>0</v>
      </c>
      <c r="AG77">
        <f>SUMIF(RawData!$C:$C,$A77,RawData!AK:AK)</f>
        <v>0</v>
      </c>
      <c r="AH77">
        <f>SUMIF(RawData!$C:$C,$A77,RawData!AL:AL)</f>
        <v>0</v>
      </c>
      <c r="AI77">
        <f>SUMIF(RawData!$C:$C,$A77,RawData!AM:AM)</f>
        <v>0</v>
      </c>
      <c r="AJ77">
        <f>SUMIF(RawData!$C:$C,$A77,RawData!AN:AN)</f>
        <v>0</v>
      </c>
      <c r="AK77">
        <f>SUMIF(RawData!$C:$C,$A77,RawData!AO:AO)</f>
        <v>0</v>
      </c>
      <c r="AL77">
        <f>SUMIF(RawData!$C:$C,$A77,RawData!AP:AP)</f>
        <v>0</v>
      </c>
      <c r="AM77">
        <f>SUMIF(RawData!$C:$C,$A77,RawData!AQ:AQ)</f>
        <v>0</v>
      </c>
      <c r="AN77">
        <f>SUMIF(RawData!$C:$C,$A77,RawData!AR:AR)</f>
        <v>0</v>
      </c>
      <c r="AO77">
        <f>SUMIF(RawData!$C:$C,$A77,RawData!AS:AS)</f>
        <v>0</v>
      </c>
      <c r="AP77">
        <f>SUMIF(RawData!$C:$C,$A77,RawData!AT:AT)</f>
        <v>0</v>
      </c>
      <c r="AQ77">
        <f>SUMIF(RawData!$C:$C,$A77,RawData!AU:AU)</f>
        <v>0</v>
      </c>
      <c r="AR77">
        <f>SUMIF(RawData!$C:$C,$A77,RawData!AV:AV)</f>
        <v>0</v>
      </c>
      <c r="AS77">
        <f>SUMIF(RawData!$C:$C,$A77,RawData!AW:AW)</f>
        <v>2</v>
      </c>
      <c r="AT77">
        <f>SUMIF(RawData!$C:$C,$A77,RawData!AX:AX)</f>
        <v>2</v>
      </c>
      <c r="AU77">
        <f>SUMIF(RawData!$C:$C,$A77,RawData!AY:AY)</f>
        <v>3</v>
      </c>
      <c r="AV77">
        <f>SUMIF(RawData!$C:$C,$A77,RawData!AZ:AZ)</f>
        <v>3</v>
      </c>
      <c r="AW77">
        <f>SUMIF(RawData!$C:$C,$A77,RawData!BA:BA)</f>
        <v>3</v>
      </c>
      <c r="AX77">
        <f>SUMIF(RawData!$C:$C,$A77,RawData!BB:BB)</f>
        <v>5</v>
      </c>
      <c r="AY77">
        <f>SUMIF(RawData!$C:$C,$A77,RawData!BC:BC)</f>
        <v>7</v>
      </c>
      <c r="AZ77">
        <f>SUMIF(RawData!$C:$C,$A77,RawData!BD:BD)</f>
        <v>11</v>
      </c>
      <c r="BA77">
        <f>SUMIF(RawData!$C:$C,$A77,RawData!BE:BE)</f>
        <v>13</v>
      </c>
      <c r="BB77">
        <f>SUMIF(RawData!$C:$C,$A77,RawData!BF:BF)</f>
        <v>18</v>
      </c>
      <c r="BC77">
        <f>SUMIF(RawData!$C:$C,$A77,RawData!BG:BG)</f>
        <v>24</v>
      </c>
      <c r="BD77">
        <f>SUMIF(RawData!$C:$C,$A77,RawData!BH:BH)</f>
        <v>0</v>
      </c>
      <c r="BE77">
        <f>SUMIF(RawData!$C:$C,$A77,RawData!BI:BI)</f>
        <v>0</v>
      </c>
      <c r="BF77">
        <f>SUMIF(RawData!$C:$C,$A77,RawData!BJ:BJ)</f>
        <v>0</v>
      </c>
      <c r="BG77">
        <f>SUMIF(RawData!$C:$C,$A77,RawData!BK:BK)</f>
        <v>0</v>
      </c>
      <c r="BH77">
        <f>SUMIF(RawData!$C:$C,$A77,RawData!BL:BL)</f>
        <v>0</v>
      </c>
      <c r="BI77">
        <f>SUMIF(RawData!$C:$C,$A77,RawData!BM:BM)</f>
        <v>0</v>
      </c>
      <c r="BJ77">
        <f>SUMIF(RawData!$C:$C,$A77,RawData!BN:BN)</f>
        <v>0</v>
      </c>
      <c r="BK77">
        <f>SUMIF(RawData!$C:$C,$A77,RawData!BO:BO)</f>
        <v>0</v>
      </c>
      <c r="BL77">
        <f>SUMIF(RawData!$C:$C,$A77,RawData!BP:BP)</f>
        <v>0</v>
      </c>
      <c r="BM77">
        <f>SUMIF(RawData!$C:$C,$A77,RawData!BQ:BQ)</f>
        <v>0</v>
      </c>
      <c r="BN77">
        <f>SUMIF(RawData!$C:$C,$A77,RawData!BR:BR)</f>
        <v>0</v>
      </c>
      <c r="BO77">
        <f>SUMIF(RawData!$C:$C,$A77,RawData!BS:BS)</f>
        <v>0</v>
      </c>
      <c r="BP77">
        <f>SUMIF(RawData!$C:$C,$A77,RawData!BT:BT)</f>
        <v>0</v>
      </c>
      <c r="BQ77">
        <f>SUMIF(RawData!$C:$C,$A77,RawData!BU:BU)</f>
        <v>0</v>
      </c>
      <c r="BR77">
        <f>SUMIF(RawData!$C:$C,$A77,RawData!BV:BV)</f>
        <v>0</v>
      </c>
      <c r="BS77">
        <f>SUMIF(RawData!$C:$C,$A77,RawData!BW:BW)</f>
        <v>0</v>
      </c>
      <c r="BT77">
        <f>SUMIF(RawData!$C:$C,$A77,RawData!BX:BX)</f>
        <v>0</v>
      </c>
    </row>
    <row r="78" spans="1:72" ht="15" thickBot="1" x14ac:dyDescent="0.35">
      <c r="A78" s="5" t="s">
        <v>185</v>
      </c>
      <c r="B78">
        <f>SUMIF(RawData!$C:$C,$A78,RawData!F:F)</f>
        <v>0</v>
      </c>
      <c r="C78">
        <f>SUMIF(RawData!$C:$C,$A78,RawData!G:G)</f>
        <v>0</v>
      </c>
      <c r="D78">
        <f>SUMIF(RawData!$C:$C,$A78,RawData!H:H)</f>
        <v>0</v>
      </c>
      <c r="E78">
        <f>SUMIF(RawData!$C:$C,$A78,RawData!I:I)</f>
        <v>0</v>
      </c>
      <c r="F78">
        <f>SUMIF(RawData!$C:$C,$A78,RawData!J:J)</f>
        <v>0</v>
      </c>
      <c r="G78">
        <f>SUMIF(RawData!$C:$C,$A78,RawData!K:K)</f>
        <v>0</v>
      </c>
      <c r="H78">
        <f>SUMIF(RawData!$C:$C,$A78,RawData!L:L)</f>
        <v>0</v>
      </c>
      <c r="I78">
        <f>SUMIF(RawData!$C:$C,$A78,RawData!M:M)</f>
        <v>0</v>
      </c>
      <c r="J78">
        <f>SUMIF(RawData!$C:$C,$A78,RawData!N:N)</f>
        <v>0</v>
      </c>
      <c r="K78">
        <f>SUMIF(RawData!$C:$C,$A78,RawData!O:O)</f>
        <v>0</v>
      </c>
      <c r="L78">
        <f>SUMIF(RawData!$C:$C,$A78,RawData!P:P)</f>
        <v>0</v>
      </c>
      <c r="M78">
        <f>SUMIF(RawData!$C:$C,$A78,RawData!Q:Q)</f>
        <v>0</v>
      </c>
      <c r="N78">
        <f>SUMIF(RawData!$C:$C,$A78,RawData!R:R)</f>
        <v>0</v>
      </c>
      <c r="O78">
        <f>SUMIF(RawData!$C:$C,$A78,RawData!S:S)</f>
        <v>0</v>
      </c>
      <c r="P78">
        <f>SUMIF(RawData!$C:$C,$A78,RawData!T:T)</f>
        <v>0</v>
      </c>
      <c r="Q78">
        <f>SUMIF(RawData!$C:$C,$A78,RawData!U:U)</f>
        <v>0</v>
      </c>
      <c r="R78">
        <f>SUMIF(RawData!$C:$C,$A78,RawData!V:V)</f>
        <v>0</v>
      </c>
      <c r="S78">
        <f>SUMIF(RawData!$C:$C,$A78,RawData!W:W)</f>
        <v>0</v>
      </c>
      <c r="T78">
        <f>SUMIF(RawData!$C:$C,$A78,RawData!X:X)</f>
        <v>0</v>
      </c>
      <c r="U78">
        <f>SUMIF(RawData!$C:$C,$A78,RawData!Y:Y)</f>
        <v>0</v>
      </c>
      <c r="V78">
        <f>SUMIF(RawData!$C:$C,$A78,RawData!Z:Z)</f>
        <v>0</v>
      </c>
      <c r="W78">
        <f>SUMIF(RawData!$C:$C,$A78,RawData!AA:AA)</f>
        <v>0</v>
      </c>
      <c r="X78">
        <f>SUMIF(RawData!$C:$C,$A78,RawData!AB:AB)</f>
        <v>0</v>
      </c>
      <c r="Y78">
        <f>SUMIF(RawData!$C:$C,$A78,RawData!AC:AC)</f>
        <v>0</v>
      </c>
      <c r="Z78">
        <f>SUMIF(RawData!$C:$C,$A78,RawData!AD:AD)</f>
        <v>0</v>
      </c>
      <c r="AA78">
        <f>SUMIF(RawData!$C:$C,$A78,RawData!AE:AE)</f>
        <v>0</v>
      </c>
      <c r="AB78">
        <f>SUMIF(RawData!$C:$C,$A78,RawData!AF:AF)</f>
        <v>0</v>
      </c>
      <c r="AC78">
        <f>SUMIF(RawData!$C:$C,$A78,RawData!AG:AG)</f>
        <v>0</v>
      </c>
      <c r="AD78">
        <f>SUMIF(RawData!$C:$C,$A78,RawData!AH:AH)</f>
        <v>0</v>
      </c>
      <c r="AE78">
        <f>SUMIF(RawData!$C:$C,$A78,RawData!AI:AI)</f>
        <v>0</v>
      </c>
      <c r="AF78">
        <f>SUMIF(RawData!$C:$C,$A78,RawData!AJ:AJ)</f>
        <v>0</v>
      </c>
      <c r="AG78">
        <f>SUMIF(RawData!$C:$C,$A78,RawData!AK:AK)</f>
        <v>0</v>
      </c>
      <c r="AH78">
        <f>SUMIF(RawData!$C:$C,$A78,RawData!AL:AL)</f>
        <v>0</v>
      </c>
      <c r="AI78">
        <f>SUMIF(RawData!$C:$C,$A78,RawData!AM:AM)</f>
        <v>0</v>
      </c>
      <c r="AJ78">
        <f>SUMIF(RawData!$C:$C,$A78,RawData!AN:AN)</f>
        <v>0</v>
      </c>
      <c r="AK78">
        <f>SUMIF(RawData!$C:$C,$A78,RawData!AO:AO)</f>
        <v>0</v>
      </c>
      <c r="AL78">
        <f>SUMIF(RawData!$C:$C,$A78,RawData!AP:AP)</f>
        <v>0</v>
      </c>
      <c r="AM78">
        <f>SUMIF(RawData!$C:$C,$A78,RawData!AQ:AQ)</f>
        <v>0</v>
      </c>
      <c r="AN78">
        <f>SUMIF(RawData!$C:$C,$A78,RawData!AR:AR)</f>
        <v>0</v>
      </c>
      <c r="AO78">
        <f>SUMIF(RawData!$C:$C,$A78,RawData!AS:AS)</f>
        <v>0</v>
      </c>
      <c r="AP78">
        <f>SUMIF(RawData!$C:$C,$A78,RawData!AT:AT)</f>
        <v>0</v>
      </c>
      <c r="AQ78">
        <f>SUMIF(RawData!$C:$C,$A78,RawData!AU:AU)</f>
        <v>0</v>
      </c>
      <c r="AR78">
        <f>SUMIF(RawData!$C:$C,$A78,RawData!AV:AV)</f>
        <v>0</v>
      </c>
      <c r="AS78">
        <f>SUMIF(RawData!$C:$C,$A78,RawData!AW:AW)</f>
        <v>0</v>
      </c>
      <c r="AT78">
        <f>SUMIF(RawData!$C:$C,$A78,RawData!AX:AX)</f>
        <v>1</v>
      </c>
      <c r="AU78">
        <f>SUMIF(RawData!$C:$C,$A78,RawData!AY:AY)</f>
        <v>1</v>
      </c>
      <c r="AV78">
        <f>SUMIF(RawData!$C:$C,$A78,RawData!AZ:AZ)</f>
        <v>1</v>
      </c>
      <c r="AW78">
        <f>SUMIF(RawData!$C:$C,$A78,RawData!BA:BA)</f>
        <v>1</v>
      </c>
      <c r="AX78">
        <f>SUMIF(RawData!$C:$C,$A78,RawData!BB:BB)</f>
        <v>3</v>
      </c>
      <c r="AY78">
        <f>SUMIF(RawData!$C:$C,$A78,RawData!BC:BC)</f>
        <v>9</v>
      </c>
      <c r="AZ78">
        <f>SUMIF(RawData!$C:$C,$A78,RawData!BD:BD)</f>
        <v>9</v>
      </c>
      <c r="BA78">
        <f>SUMIF(RawData!$C:$C,$A78,RawData!BE:BE)</f>
        <v>13</v>
      </c>
      <c r="BB78">
        <f>SUMIF(RawData!$C:$C,$A78,RawData!BF:BF)</f>
        <v>22</v>
      </c>
      <c r="BC78">
        <f>SUMIF(RawData!$C:$C,$A78,RawData!BG:BG)</f>
        <v>34</v>
      </c>
      <c r="BD78">
        <f>SUMIF(RawData!$C:$C,$A78,RawData!BH:BH)</f>
        <v>0</v>
      </c>
      <c r="BE78">
        <f>SUMIF(RawData!$C:$C,$A78,RawData!BI:BI)</f>
        <v>0</v>
      </c>
      <c r="BF78">
        <f>SUMIF(RawData!$C:$C,$A78,RawData!BJ:BJ)</f>
        <v>0</v>
      </c>
      <c r="BG78">
        <f>SUMIF(RawData!$C:$C,$A78,RawData!BK:BK)</f>
        <v>0</v>
      </c>
      <c r="BH78">
        <f>SUMIF(RawData!$C:$C,$A78,RawData!BL:BL)</f>
        <v>0</v>
      </c>
      <c r="BI78">
        <f>SUMIF(RawData!$C:$C,$A78,RawData!BM:BM)</f>
        <v>0</v>
      </c>
      <c r="BJ78">
        <f>SUMIF(RawData!$C:$C,$A78,RawData!BN:BN)</f>
        <v>0</v>
      </c>
      <c r="BK78">
        <f>SUMIF(RawData!$C:$C,$A78,RawData!BO:BO)</f>
        <v>0</v>
      </c>
      <c r="BL78">
        <f>SUMIF(RawData!$C:$C,$A78,RawData!BP:BP)</f>
        <v>0</v>
      </c>
      <c r="BM78">
        <f>SUMIF(RawData!$C:$C,$A78,RawData!BQ:BQ)</f>
        <v>0</v>
      </c>
      <c r="BN78">
        <f>SUMIF(RawData!$C:$C,$A78,RawData!BR:BR)</f>
        <v>0</v>
      </c>
      <c r="BO78">
        <f>SUMIF(RawData!$C:$C,$A78,RawData!BS:BS)</f>
        <v>0</v>
      </c>
      <c r="BP78">
        <f>SUMIF(RawData!$C:$C,$A78,RawData!BT:BT)</f>
        <v>0</v>
      </c>
      <c r="BQ78">
        <f>SUMIF(RawData!$C:$C,$A78,RawData!BU:BU)</f>
        <v>0</v>
      </c>
      <c r="BR78">
        <f>SUMIF(RawData!$C:$C,$A78,RawData!BV:BV)</f>
        <v>0</v>
      </c>
      <c r="BS78">
        <f>SUMIF(RawData!$C:$C,$A78,RawData!BW:BW)</f>
        <v>0</v>
      </c>
      <c r="BT78">
        <f>SUMIF(RawData!$C:$C,$A78,RawData!BX:BX)</f>
        <v>0</v>
      </c>
    </row>
    <row r="79" spans="1:72" ht="15" thickBot="1" x14ac:dyDescent="0.35">
      <c r="A79" s="4" t="s">
        <v>204</v>
      </c>
      <c r="B79">
        <f>SUMIF(RawData!$C:$C,$A79,RawData!F:F)</f>
        <v>0</v>
      </c>
      <c r="C79">
        <f>SUMIF(RawData!$C:$C,$A79,RawData!G:G)</f>
        <v>0</v>
      </c>
      <c r="D79">
        <f>SUMIF(RawData!$C:$C,$A79,RawData!H:H)</f>
        <v>0</v>
      </c>
      <c r="E79">
        <f>SUMIF(RawData!$C:$C,$A79,RawData!I:I)</f>
        <v>0</v>
      </c>
      <c r="F79">
        <f>SUMIF(RawData!$C:$C,$A79,RawData!J:J)</f>
        <v>0</v>
      </c>
      <c r="G79">
        <f>SUMIF(RawData!$C:$C,$A79,RawData!K:K)</f>
        <v>0</v>
      </c>
      <c r="H79">
        <f>SUMIF(RawData!$C:$C,$A79,RawData!L:L)</f>
        <v>0</v>
      </c>
      <c r="I79">
        <f>SUMIF(RawData!$C:$C,$A79,RawData!M:M)</f>
        <v>0</v>
      </c>
      <c r="J79">
        <f>SUMIF(RawData!$C:$C,$A79,RawData!N:N)</f>
        <v>0</v>
      </c>
      <c r="K79">
        <f>SUMIF(RawData!$C:$C,$A79,RawData!O:O)</f>
        <v>0</v>
      </c>
      <c r="L79">
        <f>SUMIF(RawData!$C:$C,$A79,RawData!P:P)</f>
        <v>0</v>
      </c>
      <c r="M79">
        <f>SUMIF(RawData!$C:$C,$A79,RawData!Q:Q)</f>
        <v>0</v>
      </c>
      <c r="N79">
        <f>SUMIF(RawData!$C:$C,$A79,RawData!R:R)</f>
        <v>0</v>
      </c>
      <c r="O79">
        <f>SUMIF(RawData!$C:$C,$A79,RawData!S:S)</f>
        <v>0</v>
      </c>
      <c r="P79">
        <f>SUMIF(RawData!$C:$C,$A79,RawData!T:T)</f>
        <v>0</v>
      </c>
      <c r="Q79">
        <f>SUMIF(RawData!$C:$C,$A79,RawData!U:U)</f>
        <v>0</v>
      </c>
      <c r="R79">
        <f>SUMIF(RawData!$C:$C,$A79,RawData!V:V)</f>
        <v>0</v>
      </c>
      <c r="S79">
        <f>SUMIF(RawData!$C:$C,$A79,RawData!W:W)</f>
        <v>0</v>
      </c>
      <c r="T79">
        <f>SUMIF(RawData!$C:$C,$A79,RawData!X:X)</f>
        <v>0</v>
      </c>
      <c r="U79">
        <f>SUMIF(RawData!$C:$C,$A79,RawData!Y:Y)</f>
        <v>0</v>
      </c>
      <c r="V79">
        <f>SUMIF(RawData!$C:$C,$A79,RawData!Z:Z)</f>
        <v>0</v>
      </c>
      <c r="W79">
        <f>SUMIF(RawData!$C:$C,$A79,RawData!AA:AA)</f>
        <v>0</v>
      </c>
      <c r="X79">
        <f>SUMIF(RawData!$C:$C,$A79,RawData!AB:AB)</f>
        <v>0</v>
      </c>
      <c r="Y79">
        <f>SUMIF(RawData!$C:$C,$A79,RawData!AC:AC)</f>
        <v>0</v>
      </c>
      <c r="Z79">
        <f>SUMIF(RawData!$C:$C,$A79,RawData!AD:AD)</f>
        <v>0</v>
      </c>
      <c r="AA79">
        <f>SUMIF(RawData!$C:$C,$A79,RawData!AE:AE)</f>
        <v>0</v>
      </c>
      <c r="AB79">
        <f>SUMIF(RawData!$C:$C,$A79,RawData!AF:AF)</f>
        <v>0</v>
      </c>
      <c r="AC79">
        <f>SUMIF(RawData!$C:$C,$A79,RawData!AG:AG)</f>
        <v>0</v>
      </c>
      <c r="AD79">
        <f>SUMIF(RawData!$C:$C,$A79,RawData!AH:AH)</f>
        <v>0</v>
      </c>
      <c r="AE79">
        <f>SUMIF(RawData!$C:$C,$A79,RawData!AI:AI)</f>
        <v>0</v>
      </c>
      <c r="AF79">
        <f>SUMIF(RawData!$C:$C,$A79,RawData!AJ:AJ)</f>
        <v>0</v>
      </c>
      <c r="AG79">
        <f>SUMIF(RawData!$C:$C,$A79,RawData!AK:AK)</f>
        <v>0</v>
      </c>
      <c r="AH79">
        <f>SUMIF(RawData!$C:$C,$A79,RawData!AL:AL)</f>
        <v>0</v>
      </c>
      <c r="AI79">
        <f>SUMIF(RawData!$C:$C,$A79,RawData!AM:AM)</f>
        <v>0</v>
      </c>
      <c r="AJ79">
        <f>SUMIF(RawData!$C:$C,$A79,RawData!AN:AN)</f>
        <v>0</v>
      </c>
      <c r="AK79">
        <f>SUMIF(RawData!$C:$C,$A79,RawData!AO:AO)</f>
        <v>0</v>
      </c>
      <c r="AL79">
        <f>SUMIF(RawData!$C:$C,$A79,RawData!AP:AP)</f>
        <v>0</v>
      </c>
      <c r="AM79">
        <f>SUMIF(RawData!$C:$C,$A79,RawData!AQ:AQ)</f>
        <v>0</v>
      </c>
      <c r="AN79">
        <f>SUMIF(RawData!$C:$C,$A79,RawData!AR:AR)</f>
        <v>0</v>
      </c>
      <c r="AO79">
        <f>SUMIF(RawData!$C:$C,$A79,RawData!AS:AS)</f>
        <v>0</v>
      </c>
      <c r="AP79">
        <f>SUMIF(RawData!$C:$C,$A79,RawData!AT:AT)</f>
        <v>0</v>
      </c>
      <c r="AQ79">
        <f>SUMIF(RawData!$C:$C,$A79,RawData!AU:AU)</f>
        <v>0</v>
      </c>
      <c r="AR79">
        <f>SUMIF(RawData!$C:$C,$A79,RawData!AV:AV)</f>
        <v>0</v>
      </c>
      <c r="AS79">
        <f>SUMIF(RawData!$C:$C,$A79,RawData!AW:AW)</f>
        <v>0</v>
      </c>
      <c r="AT79">
        <f>SUMIF(RawData!$C:$C,$A79,RawData!AX:AX)</f>
        <v>0</v>
      </c>
      <c r="AU79">
        <f>SUMIF(RawData!$C:$C,$A79,RawData!AY:AY)</f>
        <v>3</v>
      </c>
      <c r="AV79">
        <f>SUMIF(RawData!$C:$C,$A79,RawData!AZ:AZ)</f>
        <v>3</v>
      </c>
      <c r="AW79">
        <f>SUMIF(RawData!$C:$C,$A79,RawData!BA:BA)</f>
        <v>3</v>
      </c>
      <c r="AX79">
        <f>SUMIF(RawData!$C:$C,$A79,RawData!BB:BB)</f>
        <v>5</v>
      </c>
      <c r="AY79">
        <f>SUMIF(RawData!$C:$C,$A79,RawData!BC:BC)</f>
        <v>6</v>
      </c>
      <c r="AZ79">
        <f>SUMIF(RawData!$C:$C,$A79,RawData!BD:BD)</f>
        <v>6</v>
      </c>
      <c r="BA79">
        <f>SUMIF(RawData!$C:$C,$A79,RawData!BE:BE)</f>
        <v>12</v>
      </c>
      <c r="BB79">
        <f>SUMIF(RawData!$C:$C,$A79,RawData!BF:BF)</f>
        <v>18</v>
      </c>
      <c r="BC79">
        <f>SUMIF(RawData!$C:$C,$A79,RawData!BG:BG)</f>
        <v>21</v>
      </c>
      <c r="BD79">
        <f>SUMIF(RawData!$C:$C,$A79,RawData!BH:BH)</f>
        <v>0</v>
      </c>
      <c r="BE79">
        <f>SUMIF(RawData!$C:$C,$A79,RawData!BI:BI)</f>
        <v>0</v>
      </c>
      <c r="BF79">
        <f>SUMIF(RawData!$C:$C,$A79,RawData!BJ:BJ)</f>
        <v>0</v>
      </c>
      <c r="BG79">
        <f>SUMIF(RawData!$C:$C,$A79,RawData!BK:BK)</f>
        <v>0</v>
      </c>
      <c r="BH79">
        <f>SUMIF(RawData!$C:$C,$A79,RawData!BL:BL)</f>
        <v>0</v>
      </c>
      <c r="BI79">
        <f>SUMIF(RawData!$C:$C,$A79,RawData!BM:BM)</f>
        <v>0</v>
      </c>
      <c r="BJ79">
        <f>SUMIF(RawData!$C:$C,$A79,RawData!BN:BN)</f>
        <v>0</v>
      </c>
      <c r="BK79">
        <f>SUMIF(RawData!$C:$C,$A79,RawData!BO:BO)</f>
        <v>0</v>
      </c>
      <c r="BL79">
        <f>SUMIF(RawData!$C:$C,$A79,RawData!BP:BP)</f>
        <v>0</v>
      </c>
      <c r="BM79">
        <f>SUMIF(RawData!$C:$C,$A79,RawData!BQ:BQ)</f>
        <v>0</v>
      </c>
      <c r="BN79">
        <f>SUMIF(RawData!$C:$C,$A79,RawData!BR:BR)</f>
        <v>0</v>
      </c>
      <c r="BO79">
        <f>SUMIF(RawData!$C:$C,$A79,RawData!BS:BS)</f>
        <v>0</v>
      </c>
      <c r="BP79">
        <f>SUMIF(RawData!$C:$C,$A79,RawData!BT:BT)</f>
        <v>0</v>
      </c>
      <c r="BQ79">
        <f>SUMIF(RawData!$C:$C,$A79,RawData!BU:BU)</f>
        <v>0</v>
      </c>
      <c r="BR79">
        <f>SUMIF(RawData!$C:$C,$A79,RawData!BV:BV)</f>
        <v>0</v>
      </c>
      <c r="BS79">
        <f>SUMIF(RawData!$C:$C,$A79,RawData!BW:BW)</f>
        <v>0</v>
      </c>
      <c r="BT79">
        <f>SUMIF(RawData!$C:$C,$A79,RawData!BX:BX)</f>
        <v>0</v>
      </c>
    </row>
    <row r="80" spans="1:72" ht="15" thickBot="1" x14ac:dyDescent="0.35">
      <c r="A80" s="5" t="s">
        <v>121</v>
      </c>
      <c r="B80">
        <f>SUMIF(RawData!$C:$C,$A80,RawData!F:F)</f>
        <v>0</v>
      </c>
      <c r="C80">
        <f>SUMIF(RawData!$C:$C,$A80,RawData!G:G)</f>
        <v>0</v>
      </c>
      <c r="D80">
        <f>SUMIF(RawData!$C:$C,$A80,RawData!H:H)</f>
        <v>0</v>
      </c>
      <c r="E80">
        <f>SUMIF(RawData!$C:$C,$A80,RawData!I:I)</f>
        <v>0</v>
      </c>
      <c r="F80">
        <f>SUMIF(RawData!$C:$C,$A80,RawData!J:J)</f>
        <v>0</v>
      </c>
      <c r="G80">
        <f>SUMIF(RawData!$C:$C,$A80,RawData!K:K)</f>
        <v>0</v>
      </c>
      <c r="H80">
        <f>SUMIF(RawData!$C:$C,$A80,RawData!L:L)</f>
        <v>0</v>
      </c>
      <c r="I80">
        <f>SUMIF(RawData!$C:$C,$A80,RawData!M:M)</f>
        <v>0</v>
      </c>
      <c r="J80">
        <f>SUMIF(RawData!$C:$C,$A80,RawData!N:N)</f>
        <v>0</v>
      </c>
      <c r="K80">
        <f>SUMIF(RawData!$C:$C,$A80,RawData!O:O)</f>
        <v>0</v>
      </c>
      <c r="L80">
        <f>SUMIF(RawData!$C:$C,$A80,RawData!P:P)</f>
        <v>0</v>
      </c>
      <c r="M80">
        <f>SUMIF(RawData!$C:$C,$A80,RawData!Q:Q)</f>
        <v>0</v>
      </c>
      <c r="N80">
        <f>SUMIF(RawData!$C:$C,$A80,RawData!R:R)</f>
        <v>0</v>
      </c>
      <c r="O80">
        <f>SUMIF(RawData!$C:$C,$A80,RawData!S:S)</f>
        <v>0</v>
      </c>
      <c r="P80">
        <f>SUMIF(RawData!$C:$C,$A80,RawData!T:T)</f>
        <v>0</v>
      </c>
      <c r="Q80">
        <f>SUMIF(RawData!$C:$C,$A80,RawData!U:U)</f>
        <v>0</v>
      </c>
      <c r="R80">
        <f>SUMIF(RawData!$C:$C,$A80,RawData!V:V)</f>
        <v>0</v>
      </c>
      <c r="S80">
        <f>SUMIF(RawData!$C:$C,$A80,RawData!W:W)</f>
        <v>0</v>
      </c>
      <c r="T80">
        <f>SUMIF(RawData!$C:$C,$A80,RawData!X:X)</f>
        <v>0</v>
      </c>
      <c r="U80">
        <f>SUMIF(RawData!$C:$C,$A80,RawData!Y:Y)</f>
        <v>0</v>
      </c>
      <c r="V80">
        <f>SUMIF(RawData!$C:$C,$A80,RawData!Z:Z)</f>
        <v>0</v>
      </c>
      <c r="W80">
        <f>SUMIF(RawData!$C:$C,$A80,RawData!AA:AA)</f>
        <v>0</v>
      </c>
      <c r="X80">
        <f>SUMIF(RawData!$C:$C,$A80,RawData!AB:AB)</f>
        <v>0</v>
      </c>
      <c r="Y80">
        <f>SUMIF(RawData!$C:$C,$A80,RawData!AC:AC)</f>
        <v>0</v>
      </c>
      <c r="Z80">
        <f>SUMIF(RawData!$C:$C,$A80,RawData!AD:AD)</f>
        <v>0</v>
      </c>
      <c r="AA80">
        <f>SUMIF(RawData!$C:$C,$A80,RawData!AE:AE)</f>
        <v>0</v>
      </c>
      <c r="AB80">
        <f>SUMIF(RawData!$C:$C,$A80,RawData!AF:AF)</f>
        <v>0</v>
      </c>
      <c r="AC80">
        <f>SUMIF(RawData!$C:$C,$A80,RawData!AG:AG)</f>
        <v>0</v>
      </c>
      <c r="AD80">
        <f>SUMIF(RawData!$C:$C,$A80,RawData!AH:AH)</f>
        <v>0</v>
      </c>
      <c r="AE80">
        <f>SUMIF(RawData!$C:$C,$A80,RawData!AI:AI)</f>
        <v>0</v>
      </c>
      <c r="AF80">
        <f>SUMIF(RawData!$C:$C,$A80,RawData!AJ:AJ)</f>
        <v>0</v>
      </c>
      <c r="AG80">
        <f>SUMIF(RawData!$C:$C,$A80,RawData!AK:AK)</f>
        <v>0</v>
      </c>
      <c r="AH80">
        <f>SUMIF(RawData!$C:$C,$A80,RawData!AL:AL)</f>
        <v>0</v>
      </c>
      <c r="AI80">
        <f>SUMIF(RawData!$C:$C,$A80,RawData!AM:AM)</f>
        <v>0</v>
      </c>
      <c r="AJ80">
        <f>SUMIF(RawData!$C:$C,$A80,RawData!AN:AN)</f>
        <v>0</v>
      </c>
      <c r="AK80">
        <f>SUMIF(RawData!$C:$C,$A80,RawData!AO:AO)</f>
        <v>0</v>
      </c>
      <c r="AL80">
        <f>SUMIF(RawData!$C:$C,$A80,RawData!AP:AP)</f>
        <v>0</v>
      </c>
      <c r="AM80">
        <f>SUMIF(RawData!$C:$C,$A80,RawData!AQ:AQ)</f>
        <v>1</v>
      </c>
      <c r="AN80">
        <f>SUMIF(RawData!$C:$C,$A80,RawData!AR:AR)</f>
        <v>4</v>
      </c>
      <c r="AO80">
        <f>SUMIF(RawData!$C:$C,$A80,RawData!AS:AS)</f>
        <v>5</v>
      </c>
      <c r="AP80">
        <f>SUMIF(RawData!$C:$C,$A80,RawData!AT:AT)</f>
        <v>5</v>
      </c>
      <c r="AQ80">
        <f>SUMIF(RawData!$C:$C,$A80,RawData!AU:AU)</f>
        <v>5</v>
      </c>
      <c r="AR80">
        <f>SUMIF(RawData!$C:$C,$A80,RawData!AV:AV)</f>
        <v>5</v>
      </c>
      <c r="AS80">
        <f>SUMIF(RawData!$C:$C,$A80,RawData!AW:AW)</f>
        <v>5</v>
      </c>
      <c r="AT80">
        <f>SUMIF(RawData!$C:$C,$A80,RawData!AX:AX)</f>
        <v>6</v>
      </c>
      <c r="AU80">
        <f>SUMIF(RawData!$C:$C,$A80,RawData!AY:AY)</f>
        <v>6</v>
      </c>
      <c r="AV80">
        <f>SUMIF(RawData!$C:$C,$A80,RawData!AZ:AZ)</f>
        <v>7</v>
      </c>
      <c r="AW80">
        <f>SUMIF(RawData!$C:$C,$A80,RawData!BA:BA)</f>
        <v>7</v>
      </c>
      <c r="AX80">
        <f>SUMIF(RawData!$C:$C,$A80,RawData!BB:BB)</f>
        <v>7</v>
      </c>
      <c r="AY80">
        <f>SUMIF(RawData!$C:$C,$A80,RawData!BC:BC)</f>
        <v>8</v>
      </c>
      <c r="AZ80">
        <f>SUMIF(RawData!$C:$C,$A80,RawData!BD:BD)</f>
        <v>12</v>
      </c>
      <c r="BA80">
        <f>SUMIF(RawData!$C:$C,$A80,RawData!BE:BE)</f>
        <v>12</v>
      </c>
      <c r="BB80">
        <f>SUMIF(RawData!$C:$C,$A80,RawData!BF:BF)</f>
        <v>26</v>
      </c>
      <c r="BC80">
        <f>SUMIF(RawData!$C:$C,$A80,RawData!BG:BG)</f>
        <v>41</v>
      </c>
      <c r="BD80">
        <f>SUMIF(RawData!$C:$C,$A80,RawData!BH:BH)</f>
        <v>0</v>
      </c>
      <c r="BE80">
        <f>SUMIF(RawData!$C:$C,$A80,RawData!BI:BI)</f>
        <v>0</v>
      </c>
      <c r="BF80">
        <f>SUMIF(RawData!$C:$C,$A80,RawData!BJ:BJ)</f>
        <v>0</v>
      </c>
      <c r="BG80">
        <f>SUMIF(RawData!$C:$C,$A80,RawData!BK:BK)</f>
        <v>0</v>
      </c>
      <c r="BH80">
        <f>SUMIF(RawData!$C:$C,$A80,RawData!BL:BL)</f>
        <v>0</v>
      </c>
      <c r="BI80">
        <f>SUMIF(RawData!$C:$C,$A80,RawData!BM:BM)</f>
        <v>0</v>
      </c>
      <c r="BJ80">
        <f>SUMIF(RawData!$C:$C,$A80,RawData!BN:BN)</f>
        <v>0</v>
      </c>
      <c r="BK80">
        <f>SUMIF(RawData!$C:$C,$A80,RawData!BO:BO)</f>
        <v>0</v>
      </c>
      <c r="BL80">
        <f>SUMIF(RawData!$C:$C,$A80,RawData!BP:BP)</f>
        <v>0</v>
      </c>
      <c r="BM80">
        <f>SUMIF(RawData!$C:$C,$A80,RawData!BQ:BQ)</f>
        <v>0</v>
      </c>
      <c r="BN80">
        <f>SUMIF(RawData!$C:$C,$A80,RawData!BR:BR)</f>
        <v>0</v>
      </c>
      <c r="BO80">
        <f>SUMIF(RawData!$C:$C,$A80,RawData!BS:BS)</f>
        <v>0</v>
      </c>
      <c r="BP80">
        <f>SUMIF(RawData!$C:$C,$A80,RawData!BT:BT)</f>
        <v>0</v>
      </c>
      <c r="BQ80">
        <f>SUMIF(RawData!$C:$C,$A80,RawData!BU:BU)</f>
        <v>0</v>
      </c>
      <c r="BR80">
        <f>SUMIF(RawData!$C:$C,$A80,RawData!BV:BV)</f>
        <v>0</v>
      </c>
      <c r="BS80">
        <f>SUMIF(RawData!$C:$C,$A80,RawData!BW:BW)</f>
        <v>0</v>
      </c>
      <c r="BT80">
        <f>SUMIF(RawData!$C:$C,$A80,RawData!BX:BX)</f>
        <v>0</v>
      </c>
    </row>
    <row r="81" spans="1:72" ht="15" thickBot="1" x14ac:dyDescent="0.35">
      <c r="A81" s="4" t="s">
        <v>141</v>
      </c>
      <c r="B81">
        <f>SUMIF(RawData!$C:$C,$A81,RawData!F:F)</f>
        <v>0</v>
      </c>
      <c r="C81">
        <f>SUMIF(RawData!$C:$C,$A81,RawData!G:G)</f>
        <v>0</v>
      </c>
      <c r="D81">
        <f>SUMIF(RawData!$C:$C,$A81,RawData!H:H)</f>
        <v>0</v>
      </c>
      <c r="E81">
        <f>SUMIF(RawData!$C:$C,$A81,RawData!I:I)</f>
        <v>0</v>
      </c>
      <c r="F81">
        <f>SUMIF(RawData!$C:$C,$A81,RawData!J:J)</f>
        <v>0</v>
      </c>
      <c r="G81">
        <f>SUMIF(RawData!$C:$C,$A81,RawData!K:K)</f>
        <v>0</v>
      </c>
      <c r="H81">
        <f>SUMIF(RawData!$C:$C,$A81,RawData!L:L)</f>
        <v>0</v>
      </c>
      <c r="I81">
        <f>SUMIF(RawData!$C:$C,$A81,RawData!M:M)</f>
        <v>0</v>
      </c>
      <c r="J81">
        <f>SUMIF(RawData!$C:$C,$A81,RawData!N:N)</f>
        <v>0</v>
      </c>
      <c r="K81">
        <f>SUMIF(RawData!$C:$C,$A81,RawData!O:O)</f>
        <v>0</v>
      </c>
      <c r="L81">
        <f>SUMIF(RawData!$C:$C,$A81,RawData!P:P)</f>
        <v>0</v>
      </c>
      <c r="M81">
        <f>SUMIF(RawData!$C:$C,$A81,RawData!Q:Q)</f>
        <v>0</v>
      </c>
      <c r="N81">
        <f>SUMIF(RawData!$C:$C,$A81,RawData!R:R)</f>
        <v>0</v>
      </c>
      <c r="O81">
        <f>SUMIF(RawData!$C:$C,$A81,RawData!S:S)</f>
        <v>0</v>
      </c>
      <c r="P81">
        <f>SUMIF(RawData!$C:$C,$A81,RawData!T:T)</f>
        <v>0</v>
      </c>
      <c r="Q81">
        <f>SUMIF(RawData!$C:$C,$A81,RawData!U:U)</f>
        <v>0</v>
      </c>
      <c r="R81">
        <f>SUMIF(RawData!$C:$C,$A81,RawData!V:V)</f>
        <v>0</v>
      </c>
      <c r="S81">
        <f>SUMIF(RawData!$C:$C,$A81,RawData!W:W)</f>
        <v>0</v>
      </c>
      <c r="T81">
        <f>SUMIF(RawData!$C:$C,$A81,RawData!X:X)</f>
        <v>0</v>
      </c>
      <c r="U81">
        <f>SUMIF(RawData!$C:$C,$A81,RawData!Y:Y)</f>
        <v>0</v>
      </c>
      <c r="V81">
        <f>SUMIF(RawData!$C:$C,$A81,RawData!Z:Z)</f>
        <v>0</v>
      </c>
      <c r="W81">
        <f>SUMIF(RawData!$C:$C,$A81,RawData!AA:AA)</f>
        <v>0</v>
      </c>
      <c r="X81">
        <f>SUMIF(RawData!$C:$C,$A81,RawData!AB:AB)</f>
        <v>0</v>
      </c>
      <c r="Y81">
        <f>SUMIF(RawData!$C:$C,$A81,RawData!AC:AC)</f>
        <v>0</v>
      </c>
      <c r="Z81">
        <f>SUMIF(RawData!$C:$C,$A81,RawData!AD:AD)</f>
        <v>0</v>
      </c>
      <c r="AA81">
        <f>SUMIF(RawData!$C:$C,$A81,RawData!AE:AE)</f>
        <v>0</v>
      </c>
      <c r="AB81">
        <f>SUMIF(RawData!$C:$C,$A81,RawData!AF:AF)</f>
        <v>0</v>
      </c>
      <c r="AC81">
        <f>SUMIF(RawData!$C:$C,$A81,RawData!AG:AG)</f>
        <v>0</v>
      </c>
      <c r="AD81">
        <f>SUMIF(RawData!$C:$C,$A81,RawData!AH:AH)</f>
        <v>0</v>
      </c>
      <c r="AE81">
        <f>SUMIF(RawData!$C:$C,$A81,RawData!AI:AI)</f>
        <v>0</v>
      </c>
      <c r="AF81">
        <f>SUMIF(RawData!$C:$C,$A81,RawData!AJ:AJ)</f>
        <v>0</v>
      </c>
      <c r="AG81">
        <f>SUMIF(RawData!$C:$C,$A81,RawData!AK:AK)</f>
        <v>0</v>
      </c>
      <c r="AH81">
        <f>SUMIF(RawData!$C:$C,$A81,RawData!AL:AL)</f>
        <v>0</v>
      </c>
      <c r="AI81">
        <f>SUMIF(RawData!$C:$C,$A81,RawData!AM:AM)</f>
        <v>0</v>
      </c>
      <c r="AJ81">
        <f>SUMIF(RawData!$C:$C,$A81,RawData!AN:AN)</f>
        <v>0</v>
      </c>
      <c r="AK81">
        <f>SUMIF(RawData!$C:$C,$A81,RawData!AO:AO)</f>
        <v>0</v>
      </c>
      <c r="AL81">
        <f>SUMIF(RawData!$C:$C,$A81,RawData!AP:AP)</f>
        <v>0</v>
      </c>
      <c r="AM81">
        <f>SUMIF(RawData!$C:$C,$A81,RawData!AQ:AQ)</f>
        <v>0</v>
      </c>
      <c r="AN81">
        <f>SUMIF(RawData!$C:$C,$A81,RawData!AR:AR)</f>
        <v>0</v>
      </c>
      <c r="AO81">
        <f>SUMIF(RawData!$C:$C,$A81,RawData!AS:AS)</f>
        <v>0</v>
      </c>
      <c r="AP81">
        <f>SUMIF(RawData!$C:$C,$A81,RawData!AT:AT)</f>
        <v>1</v>
      </c>
      <c r="AQ81">
        <f>SUMIF(RawData!$C:$C,$A81,RawData!AU:AU)</f>
        <v>2</v>
      </c>
      <c r="AR81">
        <f>SUMIF(RawData!$C:$C,$A81,RawData!AV:AV)</f>
        <v>4</v>
      </c>
      <c r="AS81">
        <f>SUMIF(RawData!$C:$C,$A81,RawData!AW:AW)</f>
        <v>4</v>
      </c>
      <c r="AT81">
        <f>SUMIF(RawData!$C:$C,$A81,RawData!AX:AX)</f>
        <v>4</v>
      </c>
      <c r="AU81">
        <f>SUMIF(RawData!$C:$C,$A81,RawData!AY:AY)</f>
        <v>4</v>
      </c>
      <c r="AV81">
        <f>SUMIF(RawData!$C:$C,$A81,RawData!AZ:AZ)</f>
        <v>4</v>
      </c>
      <c r="AW81">
        <f>SUMIF(RawData!$C:$C,$A81,RawData!BA:BA)</f>
        <v>4</v>
      </c>
      <c r="AX81">
        <f>SUMIF(RawData!$C:$C,$A81,RawData!BB:BB)</f>
        <v>4</v>
      </c>
      <c r="AY81">
        <f>SUMIF(RawData!$C:$C,$A81,RawData!BC:BC)</f>
        <v>4</v>
      </c>
      <c r="AZ81">
        <f>SUMIF(RawData!$C:$C,$A81,RawData!BD:BD)</f>
        <v>4</v>
      </c>
      <c r="BA81">
        <f>SUMIF(RawData!$C:$C,$A81,RawData!BE:BE)</f>
        <v>10</v>
      </c>
      <c r="BB81">
        <f>SUMIF(RawData!$C:$C,$A81,RawData!BF:BF)</f>
        <v>10</v>
      </c>
      <c r="BC81">
        <f>SUMIF(RawData!$C:$C,$A81,RawData!BG:BG)</f>
        <v>24</v>
      </c>
      <c r="BD81">
        <f>SUMIF(RawData!$C:$C,$A81,RawData!BH:BH)</f>
        <v>0</v>
      </c>
      <c r="BE81">
        <f>SUMIF(RawData!$C:$C,$A81,RawData!BI:BI)</f>
        <v>0</v>
      </c>
      <c r="BF81">
        <f>SUMIF(RawData!$C:$C,$A81,RawData!BJ:BJ)</f>
        <v>0</v>
      </c>
      <c r="BG81">
        <f>SUMIF(RawData!$C:$C,$A81,RawData!BK:BK)</f>
        <v>0</v>
      </c>
      <c r="BH81">
        <f>SUMIF(RawData!$C:$C,$A81,RawData!BL:BL)</f>
        <v>0</v>
      </c>
      <c r="BI81">
        <f>SUMIF(RawData!$C:$C,$A81,RawData!BM:BM)</f>
        <v>0</v>
      </c>
      <c r="BJ81">
        <f>SUMIF(RawData!$C:$C,$A81,RawData!BN:BN)</f>
        <v>0</v>
      </c>
      <c r="BK81">
        <f>SUMIF(RawData!$C:$C,$A81,RawData!BO:BO)</f>
        <v>0</v>
      </c>
      <c r="BL81">
        <f>SUMIF(RawData!$C:$C,$A81,RawData!BP:BP)</f>
        <v>0</v>
      </c>
      <c r="BM81">
        <f>SUMIF(RawData!$C:$C,$A81,RawData!BQ:BQ)</f>
        <v>0</v>
      </c>
      <c r="BN81">
        <f>SUMIF(RawData!$C:$C,$A81,RawData!BR:BR)</f>
        <v>0</v>
      </c>
      <c r="BO81">
        <f>SUMIF(RawData!$C:$C,$A81,RawData!BS:BS)</f>
        <v>0</v>
      </c>
      <c r="BP81">
        <f>SUMIF(RawData!$C:$C,$A81,RawData!BT:BT)</f>
        <v>0</v>
      </c>
      <c r="BQ81">
        <f>SUMIF(RawData!$C:$C,$A81,RawData!BU:BU)</f>
        <v>0</v>
      </c>
      <c r="BR81">
        <f>SUMIF(RawData!$C:$C,$A81,RawData!BV:BV)</f>
        <v>0</v>
      </c>
      <c r="BS81">
        <f>SUMIF(RawData!$C:$C,$A81,RawData!BW:BW)</f>
        <v>0</v>
      </c>
      <c r="BT81">
        <f>SUMIF(RawData!$C:$C,$A81,RawData!BX:BX)</f>
        <v>0</v>
      </c>
    </row>
    <row r="82" spans="1:72" ht="15" thickBot="1" x14ac:dyDescent="0.35">
      <c r="A82" s="5" t="s">
        <v>227</v>
      </c>
      <c r="B82">
        <f>SUMIF(RawData!$C:$C,$A82,RawData!F:F)</f>
        <v>0</v>
      </c>
      <c r="C82">
        <f>SUMIF(RawData!$C:$C,$A82,RawData!G:G)</f>
        <v>0</v>
      </c>
      <c r="D82">
        <f>SUMIF(RawData!$C:$C,$A82,RawData!H:H)</f>
        <v>0</v>
      </c>
      <c r="E82">
        <f>SUMIF(RawData!$C:$C,$A82,RawData!I:I)</f>
        <v>0</v>
      </c>
      <c r="F82">
        <f>SUMIF(RawData!$C:$C,$A82,RawData!J:J)</f>
        <v>0</v>
      </c>
      <c r="G82">
        <f>SUMIF(RawData!$C:$C,$A82,RawData!K:K)</f>
        <v>0</v>
      </c>
      <c r="H82">
        <f>SUMIF(RawData!$C:$C,$A82,RawData!L:L)</f>
        <v>0</v>
      </c>
      <c r="I82">
        <f>SUMIF(RawData!$C:$C,$A82,RawData!M:M)</f>
        <v>0</v>
      </c>
      <c r="J82">
        <f>SUMIF(RawData!$C:$C,$A82,RawData!N:N)</f>
        <v>0</v>
      </c>
      <c r="K82">
        <f>SUMIF(RawData!$C:$C,$A82,RawData!O:O)</f>
        <v>0</v>
      </c>
      <c r="L82">
        <f>SUMIF(RawData!$C:$C,$A82,RawData!P:P)</f>
        <v>0</v>
      </c>
      <c r="M82">
        <f>SUMIF(RawData!$C:$C,$A82,RawData!Q:Q)</f>
        <v>0</v>
      </c>
      <c r="N82">
        <f>SUMIF(RawData!$C:$C,$A82,RawData!R:R)</f>
        <v>0</v>
      </c>
      <c r="O82">
        <f>SUMIF(RawData!$C:$C,$A82,RawData!S:S)</f>
        <v>0</v>
      </c>
      <c r="P82">
        <f>SUMIF(RawData!$C:$C,$A82,RawData!T:T)</f>
        <v>0</v>
      </c>
      <c r="Q82">
        <f>SUMIF(RawData!$C:$C,$A82,RawData!U:U)</f>
        <v>0</v>
      </c>
      <c r="R82">
        <f>SUMIF(RawData!$C:$C,$A82,RawData!V:V)</f>
        <v>0</v>
      </c>
      <c r="S82">
        <f>SUMIF(RawData!$C:$C,$A82,RawData!W:W)</f>
        <v>0</v>
      </c>
      <c r="T82">
        <f>SUMIF(RawData!$C:$C,$A82,RawData!X:X)</f>
        <v>0</v>
      </c>
      <c r="U82">
        <f>SUMIF(RawData!$C:$C,$A82,RawData!Y:Y)</f>
        <v>0</v>
      </c>
      <c r="V82">
        <f>SUMIF(RawData!$C:$C,$A82,RawData!Z:Z)</f>
        <v>0</v>
      </c>
      <c r="W82">
        <f>SUMIF(RawData!$C:$C,$A82,RawData!AA:AA)</f>
        <v>0</v>
      </c>
      <c r="X82">
        <f>SUMIF(RawData!$C:$C,$A82,RawData!AB:AB)</f>
        <v>0</v>
      </c>
      <c r="Y82">
        <f>SUMIF(RawData!$C:$C,$A82,RawData!AC:AC)</f>
        <v>0</v>
      </c>
      <c r="Z82">
        <f>SUMIF(RawData!$C:$C,$A82,RawData!AD:AD)</f>
        <v>0</v>
      </c>
      <c r="AA82">
        <f>SUMIF(RawData!$C:$C,$A82,RawData!AE:AE)</f>
        <v>0</v>
      </c>
      <c r="AB82">
        <f>SUMIF(RawData!$C:$C,$A82,RawData!AF:AF)</f>
        <v>0</v>
      </c>
      <c r="AC82">
        <f>SUMIF(RawData!$C:$C,$A82,RawData!AG:AG)</f>
        <v>0</v>
      </c>
      <c r="AD82">
        <f>SUMIF(RawData!$C:$C,$A82,RawData!AH:AH)</f>
        <v>0</v>
      </c>
      <c r="AE82">
        <f>SUMIF(RawData!$C:$C,$A82,RawData!AI:AI)</f>
        <v>0</v>
      </c>
      <c r="AF82">
        <f>SUMIF(RawData!$C:$C,$A82,RawData!AJ:AJ)</f>
        <v>0</v>
      </c>
      <c r="AG82">
        <f>SUMIF(RawData!$C:$C,$A82,RawData!AK:AK)</f>
        <v>0</v>
      </c>
      <c r="AH82">
        <f>SUMIF(RawData!$C:$C,$A82,RawData!AL:AL)</f>
        <v>0</v>
      </c>
      <c r="AI82">
        <f>SUMIF(RawData!$C:$C,$A82,RawData!AM:AM)</f>
        <v>0</v>
      </c>
      <c r="AJ82">
        <f>SUMIF(RawData!$C:$C,$A82,RawData!AN:AN)</f>
        <v>0</v>
      </c>
      <c r="AK82">
        <f>SUMIF(RawData!$C:$C,$A82,RawData!AO:AO)</f>
        <v>0</v>
      </c>
      <c r="AL82">
        <f>SUMIF(RawData!$C:$C,$A82,RawData!AP:AP)</f>
        <v>0</v>
      </c>
      <c r="AM82">
        <f>SUMIF(RawData!$C:$C,$A82,RawData!AQ:AQ)</f>
        <v>0</v>
      </c>
      <c r="AN82">
        <f>SUMIF(RawData!$C:$C,$A82,RawData!AR:AR)</f>
        <v>0</v>
      </c>
      <c r="AO82">
        <f>SUMIF(RawData!$C:$C,$A82,RawData!AS:AS)</f>
        <v>0</v>
      </c>
      <c r="AP82">
        <f>SUMIF(RawData!$C:$C,$A82,RawData!AT:AT)</f>
        <v>0</v>
      </c>
      <c r="AQ82">
        <f>SUMIF(RawData!$C:$C,$A82,RawData!AU:AU)</f>
        <v>0</v>
      </c>
      <c r="AR82">
        <f>SUMIF(RawData!$C:$C,$A82,RawData!AV:AV)</f>
        <v>0</v>
      </c>
      <c r="AS82">
        <f>SUMIF(RawData!$C:$C,$A82,RawData!AW:AW)</f>
        <v>0</v>
      </c>
      <c r="AT82">
        <f>SUMIF(RawData!$C:$C,$A82,RawData!AX:AX)</f>
        <v>0</v>
      </c>
      <c r="AU82">
        <f>SUMIF(RawData!$C:$C,$A82,RawData!AY:AY)</f>
        <v>0</v>
      </c>
      <c r="AV82">
        <f>SUMIF(RawData!$C:$C,$A82,RawData!AZ:AZ)</f>
        <v>4</v>
      </c>
      <c r="AW82">
        <f>SUMIF(RawData!$C:$C,$A82,RawData!BA:BA)</f>
        <v>4</v>
      </c>
      <c r="AX82">
        <f>SUMIF(RawData!$C:$C,$A82,RawData!BB:BB)</f>
        <v>6</v>
      </c>
      <c r="AY82">
        <f>SUMIF(RawData!$C:$C,$A82,RawData!BC:BC)</f>
        <v>8</v>
      </c>
      <c r="AZ82">
        <f>SUMIF(RawData!$C:$C,$A82,RawData!BD:BD)</f>
        <v>8</v>
      </c>
      <c r="BA82">
        <f>SUMIF(RawData!$C:$C,$A82,RawData!BE:BE)</f>
        <v>9</v>
      </c>
      <c r="BB82">
        <f>SUMIF(RawData!$C:$C,$A82,RawData!BF:BF)</f>
        <v>10</v>
      </c>
      <c r="BC82">
        <f>SUMIF(RawData!$C:$C,$A82,RawData!BG:BG)</f>
        <v>13</v>
      </c>
      <c r="BD82">
        <f>SUMIF(RawData!$C:$C,$A82,RawData!BH:BH)</f>
        <v>0</v>
      </c>
      <c r="BE82">
        <f>SUMIF(RawData!$C:$C,$A82,RawData!BI:BI)</f>
        <v>0</v>
      </c>
      <c r="BF82">
        <f>SUMIF(RawData!$C:$C,$A82,RawData!BJ:BJ)</f>
        <v>0</v>
      </c>
      <c r="BG82">
        <f>SUMIF(RawData!$C:$C,$A82,RawData!BK:BK)</f>
        <v>0</v>
      </c>
      <c r="BH82">
        <f>SUMIF(RawData!$C:$C,$A82,RawData!BL:BL)</f>
        <v>0</v>
      </c>
      <c r="BI82">
        <f>SUMIF(RawData!$C:$C,$A82,RawData!BM:BM)</f>
        <v>0</v>
      </c>
      <c r="BJ82">
        <f>SUMIF(RawData!$C:$C,$A82,RawData!BN:BN)</f>
        <v>0</v>
      </c>
      <c r="BK82">
        <f>SUMIF(RawData!$C:$C,$A82,RawData!BO:BO)</f>
        <v>0</v>
      </c>
      <c r="BL82">
        <f>SUMIF(RawData!$C:$C,$A82,RawData!BP:BP)</f>
        <v>0</v>
      </c>
      <c r="BM82">
        <f>SUMIF(RawData!$C:$C,$A82,RawData!BQ:BQ)</f>
        <v>0</v>
      </c>
      <c r="BN82">
        <f>SUMIF(RawData!$C:$C,$A82,RawData!BR:BR)</f>
        <v>0</v>
      </c>
      <c r="BO82">
        <f>SUMIF(RawData!$C:$C,$A82,RawData!BS:BS)</f>
        <v>0</v>
      </c>
      <c r="BP82">
        <f>SUMIF(RawData!$C:$C,$A82,RawData!BT:BT)</f>
        <v>0</v>
      </c>
      <c r="BQ82">
        <f>SUMIF(RawData!$C:$C,$A82,RawData!BU:BU)</f>
        <v>0</v>
      </c>
      <c r="BR82">
        <f>SUMIF(RawData!$C:$C,$A82,RawData!BV:BV)</f>
        <v>0</v>
      </c>
      <c r="BS82">
        <f>SUMIF(RawData!$C:$C,$A82,RawData!BW:BW)</f>
        <v>0</v>
      </c>
      <c r="BT82">
        <f>SUMIF(RawData!$C:$C,$A82,RawData!BX:BX)</f>
        <v>0</v>
      </c>
    </row>
    <row r="83" spans="1:72" ht="15" thickBot="1" x14ac:dyDescent="0.35">
      <c r="A83" s="5" t="s">
        <v>132</v>
      </c>
      <c r="B83">
        <f>SUMIF(RawData!$C:$C,$A83,RawData!F:F)</f>
        <v>0</v>
      </c>
      <c r="C83">
        <f>SUMIF(RawData!$C:$C,$A83,RawData!G:G)</f>
        <v>0</v>
      </c>
      <c r="D83">
        <f>SUMIF(RawData!$C:$C,$A83,RawData!H:H)</f>
        <v>0</v>
      </c>
      <c r="E83">
        <f>SUMIF(RawData!$C:$C,$A83,RawData!I:I)</f>
        <v>0</v>
      </c>
      <c r="F83">
        <f>SUMIF(RawData!$C:$C,$A83,RawData!J:J)</f>
        <v>0</v>
      </c>
      <c r="G83">
        <f>SUMIF(RawData!$C:$C,$A83,RawData!K:K)</f>
        <v>0</v>
      </c>
      <c r="H83">
        <f>SUMIF(RawData!$C:$C,$A83,RawData!L:L)</f>
        <v>0</v>
      </c>
      <c r="I83">
        <f>SUMIF(RawData!$C:$C,$A83,RawData!M:M)</f>
        <v>0</v>
      </c>
      <c r="J83">
        <f>SUMIF(RawData!$C:$C,$A83,RawData!N:N)</f>
        <v>0</v>
      </c>
      <c r="K83">
        <f>SUMIF(RawData!$C:$C,$A83,RawData!O:O)</f>
        <v>0</v>
      </c>
      <c r="L83">
        <f>SUMIF(RawData!$C:$C,$A83,RawData!P:P)</f>
        <v>0</v>
      </c>
      <c r="M83">
        <f>SUMIF(RawData!$C:$C,$A83,RawData!Q:Q)</f>
        <v>0</v>
      </c>
      <c r="N83">
        <f>SUMIF(RawData!$C:$C,$A83,RawData!R:R)</f>
        <v>0</v>
      </c>
      <c r="O83">
        <f>SUMIF(RawData!$C:$C,$A83,RawData!S:S)</f>
        <v>0</v>
      </c>
      <c r="P83">
        <f>SUMIF(RawData!$C:$C,$A83,RawData!T:T)</f>
        <v>0</v>
      </c>
      <c r="Q83">
        <f>SUMIF(RawData!$C:$C,$A83,RawData!U:U)</f>
        <v>0</v>
      </c>
      <c r="R83">
        <f>SUMIF(RawData!$C:$C,$A83,RawData!V:V)</f>
        <v>0</v>
      </c>
      <c r="S83">
        <f>SUMIF(RawData!$C:$C,$A83,RawData!W:W)</f>
        <v>0</v>
      </c>
      <c r="T83">
        <f>SUMIF(RawData!$C:$C,$A83,RawData!X:X)</f>
        <v>0</v>
      </c>
      <c r="U83">
        <f>SUMIF(RawData!$C:$C,$A83,RawData!Y:Y)</f>
        <v>0</v>
      </c>
      <c r="V83">
        <f>SUMIF(RawData!$C:$C,$A83,RawData!Z:Z)</f>
        <v>0</v>
      </c>
      <c r="W83">
        <f>SUMIF(RawData!$C:$C,$A83,RawData!AA:AA)</f>
        <v>0</v>
      </c>
      <c r="X83">
        <f>SUMIF(RawData!$C:$C,$A83,RawData!AB:AB)</f>
        <v>0</v>
      </c>
      <c r="Y83">
        <f>SUMIF(RawData!$C:$C,$A83,RawData!AC:AC)</f>
        <v>0</v>
      </c>
      <c r="Z83">
        <f>SUMIF(RawData!$C:$C,$A83,RawData!AD:AD)</f>
        <v>0</v>
      </c>
      <c r="AA83">
        <f>SUMIF(RawData!$C:$C,$A83,RawData!AE:AE)</f>
        <v>0</v>
      </c>
      <c r="AB83">
        <f>SUMIF(RawData!$C:$C,$A83,RawData!AF:AF)</f>
        <v>0</v>
      </c>
      <c r="AC83">
        <f>SUMIF(RawData!$C:$C,$A83,RawData!AG:AG)</f>
        <v>0</v>
      </c>
      <c r="AD83">
        <f>SUMIF(RawData!$C:$C,$A83,RawData!AH:AH)</f>
        <v>0</v>
      </c>
      <c r="AE83">
        <f>SUMIF(RawData!$C:$C,$A83,RawData!AI:AI)</f>
        <v>0</v>
      </c>
      <c r="AF83">
        <f>SUMIF(RawData!$C:$C,$A83,RawData!AJ:AJ)</f>
        <v>0</v>
      </c>
      <c r="AG83">
        <f>SUMIF(RawData!$C:$C,$A83,RawData!AK:AK)</f>
        <v>0</v>
      </c>
      <c r="AH83">
        <f>SUMIF(RawData!$C:$C,$A83,RawData!AL:AL)</f>
        <v>0</v>
      </c>
      <c r="AI83">
        <f>SUMIF(RawData!$C:$C,$A83,RawData!AM:AM)</f>
        <v>0</v>
      </c>
      <c r="AJ83">
        <f>SUMIF(RawData!$C:$C,$A83,RawData!AN:AN)</f>
        <v>0</v>
      </c>
      <c r="AK83">
        <f>SUMIF(RawData!$C:$C,$A83,RawData!AO:AO)</f>
        <v>0</v>
      </c>
      <c r="AL83">
        <f>SUMIF(RawData!$C:$C,$A83,RawData!AP:AP)</f>
        <v>0</v>
      </c>
      <c r="AM83">
        <f>SUMIF(RawData!$C:$C,$A83,RawData!AQ:AQ)</f>
        <v>0</v>
      </c>
      <c r="AN83">
        <f>SUMIF(RawData!$C:$C,$A83,RawData!AR:AR)</f>
        <v>0</v>
      </c>
      <c r="AO83">
        <f>SUMIF(RawData!$C:$C,$A83,RawData!AS:AS)</f>
        <v>1</v>
      </c>
      <c r="AP83">
        <f>SUMIF(RawData!$C:$C,$A83,RawData!AT:AT)</f>
        <v>1</v>
      </c>
      <c r="AQ83">
        <f>SUMIF(RawData!$C:$C,$A83,RawData!AU:AU)</f>
        <v>1</v>
      </c>
      <c r="AR83">
        <f>SUMIF(RawData!$C:$C,$A83,RawData!AV:AV)</f>
        <v>1</v>
      </c>
      <c r="AS83">
        <f>SUMIF(RawData!$C:$C,$A83,RawData!AW:AW)</f>
        <v>1</v>
      </c>
      <c r="AT83">
        <f>SUMIF(RawData!$C:$C,$A83,RawData!AX:AX)</f>
        <v>1</v>
      </c>
      <c r="AU83">
        <f>SUMIF(RawData!$C:$C,$A83,RawData!AY:AY)</f>
        <v>1</v>
      </c>
      <c r="AV83">
        <f>SUMIF(RawData!$C:$C,$A83,RawData!AZ:AZ)</f>
        <v>1</v>
      </c>
      <c r="AW83">
        <f>SUMIF(RawData!$C:$C,$A83,RawData!BA:BA)</f>
        <v>1</v>
      </c>
      <c r="AX83">
        <f>SUMIF(RawData!$C:$C,$A83,RawData!BB:BB)</f>
        <v>1</v>
      </c>
      <c r="AY83">
        <f>SUMIF(RawData!$C:$C,$A83,RawData!BC:BC)</f>
        <v>1</v>
      </c>
      <c r="AZ83">
        <f>SUMIF(RawData!$C:$C,$A83,RawData!BD:BD)</f>
        <v>4</v>
      </c>
      <c r="BA83">
        <f>SUMIF(RawData!$C:$C,$A83,RawData!BE:BE)</f>
        <v>8</v>
      </c>
      <c r="BB83">
        <f>SUMIF(RawData!$C:$C,$A83,RawData!BF:BF)</f>
        <v>18</v>
      </c>
      <c r="BC83">
        <f>SUMIF(RawData!$C:$C,$A83,RawData!BG:BG)</f>
        <v>26</v>
      </c>
      <c r="BD83">
        <f>SUMIF(RawData!$C:$C,$A83,RawData!BH:BH)</f>
        <v>0</v>
      </c>
      <c r="BE83">
        <f>SUMIF(RawData!$C:$C,$A83,RawData!BI:BI)</f>
        <v>0</v>
      </c>
      <c r="BF83">
        <f>SUMIF(RawData!$C:$C,$A83,RawData!BJ:BJ)</f>
        <v>0</v>
      </c>
      <c r="BG83">
        <f>SUMIF(RawData!$C:$C,$A83,RawData!BK:BK)</f>
        <v>0</v>
      </c>
      <c r="BH83">
        <f>SUMIF(RawData!$C:$C,$A83,RawData!BL:BL)</f>
        <v>0</v>
      </c>
      <c r="BI83">
        <f>SUMIF(RawData!$C:$C,$A83,RawData!BM:BM)</f>
        <v>0</v>
      </c>
      <c r="BJ83">
        <f>SUMIF(RawData!$C:$C,$A83,RawData!BN:BN)</f>
        <v>0</v>
      </c>
      <c r="BK83">
        <f>SUMIF(RawData!$C:$C,$A83,RawData!BO:BO)</f>
        <v>0</v>
      </c>
      <c r="BL83">
        <f>SUMIF(RawData!$C:$C,$A83,RawData!BP:BP)</f>
        <v>0</v>
      </c>
      <c r="BM83">
        <f>SUMIF(RawData!$C:$C,$A83,RawData!BQ:BQ)</f>
        <v>0</v>
      </c>
      <c r="BN83">
        <f>SUMIF(RawData!$C:$C,$A83,RawData!BR:BR)</f>
        <v>0</v>
      </c>
      <c r="BO83">
        <f>SUMIF(RawData!$C:$C,$A83,RawData!BS:BS)</f>
        <v>0</v>
      </c>
      <c r="BP83">
        <f>SUMIF(RawData!$C:$C,$A83,RawData!BT:BT)</f>
        <v>0</v>
      </c>
      <c r="BQ83">
        <f>SUMIF(RawData!$C:$C,$A83,RawData!BU:BU)</f>
        <v>0</v>
      </c>
      <c r="BR83">
        <f>SUMIF(RawData!$C:$C,$A83,RawData!BV:BV)</f>
        <v>0</v>
      </c>
      <c r="BS83">
        <f>SUMIF(RawData!$C:$C,$A83,RawData!BW:BW)</f>
        <v>0</v>
      </c>
      <c r="BT83">
        <f>SUMIF(RawData!$C:$C,$A83,RawData!BX:BX)</f>
        <v>0</v>
      </c>
    </row>
    <row r="84" spans="1:72" ht="15" thickBot="1" x14ac:dyDescent="0.35">
      <c r="A84" s="4" t="s">
        <v>381</v>
      </c>
      <c r="B84">
        <f>SUMIF(RawData!$C:$C,$A84,RawData!F:F)</f>
        <v>0</v>
      </c>
      <c r="C84">
        <f>SUMIF(RawData!$C:$C,$A84,RawData!G:G)</f>
        <v>0</v>
      </c>
      <c r="D84">
        <f>SUMIF(RawData!$C:$C,$A84,RawData!H:H)</f>
        <v>0</v>
      </c>
      <c r="E84">
        <f>SUMIF(RawData!$C:$C,$A84,RawData!I:I)</f>
        <v>0</v>
      </c>
      <c r="F84">
        <f>SUMIF(RawData!$C:$C,$A84,RawData!J:J)</f>
        <v>0</v>
      </c>
      <c r="G84">
        <f>SUMIF(RawData!$C:$C,$A84,RawData!K:K)</f>
        <v>0</v>
      </c>
      <c r="H84">
        <f>SUMIF(RawData!$C:$C,$A84,RawData!L:L)</f>
        <v>0</v>
      </c>
      <c r="I84">
        <f>SUMIF(RawData!$C:$C,$A84,RawData!M:M)</f>
        <v>0</v>
      </c>
      <c r="J84">
        <f>SUMIF(RawData!$C:$C,$A84,RawData!N:N)</f>
        <v>0</v>
      </c>
      <c r="K84">
        <f>SUMIF(RawData!$C:$C,$A84,RawData!O:O)</f>
        <v>0</v>
      </c>
      <c r="L84">
        <f>SUMIF(RawData!$C:$C,$A84,RawData!P:P)</f>
        <v>0</v>
      </c>
      <c r="M84">
        <f>SUMIF(RawData!$C:$C,$A84,RawData!Q:Q)</f>
        <v>0</v>
      </c>
      <c r="N84">
        <f>SUMIF(RawData!$C:$C,$A84,RawData!R:R)</f>
        <v>0</v>
      </c>
      <c r="O84">
        <f>SUMIF(RawData!$C:$C,$A84,RawData!S:S)</f>
        <v>0</v>
      </c>
      <c r="P84">
        <f>SUMIF(RawData!$C:$C,$A84,RawData!T:T)</f>
        <v>0</v>
      </c>
      <c r="Q84">
        <f>SUMIF(RawData!$C:$C,$A84,RawData!U:U)</f>
        <v>0</v>
      </c>
      <c r="R84">
        <f>SUMIF(RawData!$C:$C,$A84,RawData!V:V)</f>
        <v>0</v>
      </c>
      <c r="S84">
        <f>SUMIF(RawData!$C:$C,$A84,RawData!W:W)</f>
        <v>0</v>
      </c>
      <c r="T84">
        <f>SUMIF(RawData!$C:$C,$A84,RawData!X:X)</f>
        <v>0</v>
      </c>
      <c r="U84">
        <f>SUMIF(RawData!$C:$C,$A84,RawData!Y:Y)</f>
        <v>0</v>
      </c>
      <c r="V84">
        <f>SUMIF(RawData!$C:$C,$A84,RawData!Z:Z)</f>
        <v>0</v>
      </c>
      <c r="W84">
        <f>SUMIF(RawData!$C:$C,$A84,RawData!AA:AA)</f>
        <v>0</v>
      </c>
      <c r="X84">
        <f>SUMIF(RawData!$C:$C,$A84,RawData!AB:AB)</f>
        <v>0</v>
      </c>
      <c r="Y84">
        <f>SUMIF(RawData!$C:$C,$A84,RawData!AC:AC)</f>
        <v>0</v>
      </c>
      <c r="Z84">
        <f>SUMIF(RawData!$C:$C,$A84,RawData!AD:AD)</f>
        <v>0</v>
      </c>
      <c r="AA84">
        <f>SUMIF(RawData!$C:$C,$A84,RawData!AE:AE)</f>
        <v>0</v>
      </c>
      <c r="AB84">
        <f>SUMIF(RawData!$C:$C,$A84,RawData!AF:AF)</f>
        <v>0</v>
      </c>
      <c r="AC84">
        <f>SUMIF(RawData!$C:$C,$A84,RawData!AG:AG)</f>
        <v>0</v>
      </c>
      <c r="AD84">
        <f>SUMIF(RawData!$C:$C,$A84,RawData!AH:AH)</f>
        <v>0</v>
      </c>
      <c r="AE84">
        <f>SUMIF(RawData!$C:$C,$A84,RawData!AI:AI)</f>
        <v>0</v>
      </c>
      <c r="AF84">
        <f>SUMIF(RawData!$C:$C,$A84,RawData!AJ:AJ)</f>
        <v>0</v>
      </c>
      <c r="AG84">
        <f>SUMIF(RawData!$C:$C,$A84,RawData!AK:AK)</f>
        <v>0</v>
      </c>
      <c r="AH84">
        <f>SUMIF(RawData!$C:$C,$A84,RawData!AL:AL)</f>
        <v>0</v>
      </c>
      <c r="AI84">
        <f>SUMIF(RawData!$C:$C,$A84,RawData!AM:AM)</f>
        <v>0</v>
      </c>
      <c r="AJ84">
        <f>SUMIF(RawData!$C:$C,$A84,RawData!AN:AN)</f>
        <v>0</v>
      </c>
      <c r="AK84">
        <f>SUMIF(RawData!$C:$C,$A84,RawData!AO:AO)</f>
        <v>0</v>
      </c>
      <c r="AL84">
        <f>SUMIF(RawData!$C:$C,$A84,RawData!AP:AP)</f>
        <v>0</v>
      </c>
      <c r="AM84">
        <f>SUMIF(RawData!$C:$C,$A84,RawData!AQ:AQ)</f>
        <v>0</v>
      </c>
      <c r="AN84">
        <f>SUMIF(RawData!$C:$C,$A84,RawData!AR:AR)</f>
        <v>0</v>
      </c>
      <c r="AO84">
        <f>SUMIF(RawData!$C:$C,$A84,RawData!AS:AS)</f>
        <v>0</v>
      </c>
      <c r="AP84">
        <f>SUMIF(RawData!$C:$C,$A84,RawData!AT:AT)</f>
        <v>0</v>
      </c>
      <c r="AQ84">
        <f>SUMIF(RawData!$C:$C,$A84,RawData!AU:AU)</f>
        <v>0</v>
      </c>
      <c r="AR84">
        <f>SUMIF(RawData!$C:$C,$A84,RawData!AV:AV)</f>
        <v>0</v>
      </c>
      <c r="AS84">
        <f>SUMIF(RawData!$C:$C,$A84,RawData!AW:AW)</f>
        <v>0</v>
      </c>
      <c r="AT84">
        <f>SUMIF(RawData!$C:$C,$A84,RawData!AX:AX)</f>
        <v>0</v>
      </c>
      <c r="AU84">
        <f>SUMIF(RawData!$C:$C,$A84,RawData!AY:AY)</f>
        <v>0</v>
      </c>
      <c r="AV84">
        <f>SUMIF(RawData!$C:$C,$A84,RawData!AZ:AZ)</f>
        <v>0</v>
      </c>
      <c r="AW84">
        <f>SUMIF(RawData!$C:$C,$A84,RawData!BA:BA)</f>
        <v>0</v>
      </c>
      <c r="AX84">
        <f>SUMIF(RawData!$C:$C,$A84,RawData!BB:BB)</f>
        <v>0</v>
      </c>
      <c r="AY84">
        <f>SUMIF(RawData!$C:$C,$A84,RawData!BC:BC)</f>
        <v>1</v>
      </c>
      <c r="AZ84">
        <f>SUMIF(RawData!$C:$C,$A84,RawData!BD:BD)</f>
        <v>2</v>
      </c>
      <c r="BA84">
        <f>SUMIF(RawData!$C:$C,$A84,RawData!BE:BE)</f>
        <v>8</v>
      </c>
      <c r="BB84">
        <f>SUMIF(RawData!$C:$C,$A84,RawData!BF:BF)</f>
        <v>8</v>
      </c>
      <c r="BC84">
        <f>SUMIF(RawData!$C:$C,$A84,RawData!BG:BG)</f>
        <v>10</v>
      </c>
      <c r="BD84">
        <f>SUMIF(RawData!$C:$C,$A84,RawData!BH:BH)</f>
        <v>0</v>
      </c>
      <c r="BE84">
        <f>SUMIF(RawData!$C:$C,$A84,RawData!BI:BI)</f>
        <v>0</v>
      </c>
      <c r="BF84">
        <f>SUMIF(RawData!$C:$C,$A84,RawData!BJ:BJ)</f>
        <v>0</v>
      </c>
      <c r="BG84">
        <f>SUMIF(RawData!$C:$C,$A84,RawData!BK:BK)</f>
        <v>0</v>
      </c>
      <c r="BH84">
        <f>SUMIF(RawData!$C:$C,$A84,RawData!BL:BL)</f>
        <v>0</v>
      </c>
      <c r="BI84">
        <f>SUMIF(RawData!$C:$C,$A84,RawData!BM:BM)</f>
        <v>0</v>
      </c>
      <c r="BJ84">
        <f>SUMIF(RawData!$C:$C,$A84,RawData!BN:BN)</f>
        <v>0</v>
      </c>
      <c r="BK84">
        <f>SUMIF(RawData!$C:$C,$A84,RawData!BO:BO)</f>
        <v>0</v>
      </c>
      <c r="BL84">
        <f>SUMIF(RawData!$C:$C,$A84,RawData!BP:BP)</f>
        <v>0</v>
      </c>
      <c r="BM84">
        <f>SUMIF(RawData!$C:$C,$A84,RawData!BQ:BQ)</f>
        <v>0</v>
      </c>
      <c r="BN84">
        <f>SUMIF(RawData!$C:$C,$A84,RawData!BR:BR)</f>
        <v>0</v>
      </c>
      <c r="BO84">
        <f>SUMIF(RawData!$C:$C,$A84,RawData!BS:BS)</f>
        <v>0</v>
      </c>
      <c r="BP84">
        <f>SUMIF(RawData!$C:$C,$A84,RawData!BT:BT)</f>
        <v>0</v>
      </c>
      <c r="BQ84">
        <f>SUMIF(RawData!$C:$C,$A84,RawData!BU:BU)</f>
        <v>0</v>
      </c>
      <c r="BR84">
        <f>SUMIF(RawData!$C:$C,$A84,RawData!BV:BV)</f>
        <v>0</v>
      </c>
      <c r="BS84">
        <f>SUMIF(RawData!$C:$C,$A84,RawData!BW:BW)</f>
        <v>0</v>
      </c>
      <c r="BT84">
        <f>SUMIF(RawData!$C:$C,$A84,RawData!BX:BX)</f>
        <v>0</v>
      </c>
    </row>
    <row r="85" spans="1:72" ht="15" thickBot="1" x14ac:dyDescent="0.35">
      <c r="A85" s="4" t="s">
        <v>99</v>
      </c>
      <c r="B85">
        <f>SUMIF(RawData!$C:$C,$A85,RawData!F:F)</f>
        <v>0</v>
      </c>
      <c r="C85">
        <f>SUMIF(RawData!$C:$C,$A85,RawData!G:G)</f>
        <v>0</v>
      </c>
      <c r="D85">
        <f>SUMIF(RawData!$C:$C,$A85,RawData!H:H)</f>
        <v>0</v>
      </c>
      <c r="E85">
        <f>SUMIF(RawData!$C:$C,$A85,RawData!I:I)</f>
        <v>0</v>
      </c>
      <c r="F85">
        <f>SUMIF(RawData!$C:$C,$A85,RawData!J:J)</f>
        <v>0</v>
      </c>
      <c r="G85">
        <f>SUMIF(RawData!$C:$C,$A85,RawData!K:K)</f>
        <v>0</v>
      </c>
      <c r="H85">
        <f>SUMIF(RawData!$C:$C,$A85,RawData!L:L)</f>
        <v>0</v>
      </c>
      <c r="I85">
        <f>SUMIF(RawData!$C:$C,$A85,RawData!M:M)</f>
        <v>0</v>
      </c>
      <c r="J85">
        <f>SUMIF(RawData!$C:$C,$A85,RawData!N:N)</f>
        <v>0</v>
      </c>
      <c r="K85">
        <f>SUMIF(RawData!$C:$C,$A85,RawData!O:O)</f>
        <v>0</v>
      </c>
      <c r="L85">
        <f>SUMIF(RawData!$C:$C,$A85,RawData!P:P)</f>
        <v>0</v>
      </c>
      <c r="M85">
        <f>SUMIF(RawData!$C:$C,$A85,RawData!Q:Q)</f>
        <v>0</v>
      </c>
      <c r="N85">
        <f>SUMIF(RawData!$C:$C,$A85,RawData!R:R)</f>
        <v>0</v>
      </c>
      <c r="O85">
        <f>SUMIF(RawData!$C:$C,$A85,RawData!S:S)</f>
        <v>0</v>
      </c>
      <c r="P85">
        <f>SUMIF(RawData!$C:$C,$A85,RawData!T:T)</f>
        <v>0</v>
      </c>
      <c r="Q85">
        <f>SUMIF(RawData!$C:$C,$A85,RawData!U:U)</f>
        <v>0</v>
      </c>
      <c r="R85">
        <f>SUMIF(RawData!$C:$C,$A85,RawData!V:V)</f>
        <v>0</v>
      </c>
      <c r="S85">
        <f>SUMIF(RawData!$C:$C,$A85,RawData!W:W)</f>
        <v>0</v>
      </c>
      <c r="T85">
        <f>SUMIF(RawData!$C:$C,$A85,RawData!X:X)</f>
        <v>0</v>
      </c>
      <c r="U85">
        <f>SUMIF(RawData!$C:$C,$A85,RawData!Y:Y)</f>
        <v>0</v>
      </c>
      <c r="V85">
        <f>SUMIF(RawData!$C:$C,$A85,RawData!Z:Z)</f>
        <v>0</v>
      </c>
      <c r="W85">
        <f>SUMIF(RawData!$C:$C,$A85,RawData!AA:AA)</f>
        <v>0</v>
      </c>
      <c r="X85">
        <f>SUMIF(RawData!$C:$C,$A85,RawData!AB:AB)</f>
        <v>0</v>
      </c>
      <c r="Y85">
        <f>SUMIF(RawData!$C:$C,$A85,RawData!AC:AC)</f>
        <v>0</v>
      </c>
      <c r="Z85">
        <f>SUMIF(RawData!$C:$C,$A85,RawData!AD:AD)</f>
        <v>0</v>
      </c>
      <c r="AA85">
        <f>SUMIF(RawData!$C:$C,$A85,RawData!AE:AE)</f>
        <v>0</v>
      </c>
      <c r="AB85">
        <f>SUMIF(RawData!$C:$C,$A85,RawData!AF:AF)</f>
        <v>0</v>
      </c>
      <c r="AC85">
        <f>SUMIF(RawData!$C:$C,$A85,RawData!AG:AG)</f>
        <v>0</v>
      </c>
      <c r="AD85">
        <f>SUMIF(RawData!$C:$C,$A85,RawData!AH:AH)</f>
        <v>0</v>
      </c>
      <c r="AE85">
        <f>SUMIF(RawData!$C:$C,$A85,RawData!AI:AI)</f>
        <v>0</v>
      </c>
      <c r="AF85">
        <f>SUMIF(RawData!$C:$C,$A85,RawData!AJ:AJ)</f>
        <v>0</v>
      </c>
      <c r="AG85">
        <f>SUMIF(RawData!$C:$C,$A85,RawData!AK:AK)</f>
        <v>0</v>
      </c>
      <c r="AH85">
        <f>SUMIF(RawData!$C:$C,$A85,RawData!AL:AL)</f>
        <v>0</v>
      </c>
      <c r="AI85">
        <f>SUMIF(RawData!$C:$C,$A85,RawData!AM:AM)</f>
        <v>1</v>
      </c>
      <c r="AJ85">
        <f>SUMIF(RawData!$C:$C,$A85,RawData!AN:AN)</f>
        <v>1</v>
      </c>
      <c r="AK85">
        <f>SUMIF(RawData!$C:$C,$A85,RawData!AO:AO)</f>
        <v>1</v>
      </c>
      <c r="AL85">
        <f>SUMIF(RawData!$C:$C,$A85,RawData!AP:AP)</f>
        <v>1</v>
      </c>
      <c r="AM85">
        <f>SUMIF(RawData!$C:$C,$A85,RawData!AQ:AQ)</f>
        <v>1</v>
      </c>
      <c r="AN85">
        <f>SUMIF(RawData!$C:$C,$A85,RawData!AR:AR)</f>
        <v>1</v>
      </c>
      <c r="AO85">
        <f>SUMIF(RawData!$C:$C,$A85,RawData!AS:AS)</f>
        <v>1</v>
      </c>
      <c r="AP85">
        <f>SUMIF(RawData!$C:$C,$A85,RawData!AT:AT)</f>
        <v>1</v>
      </c>
      <c r="AQ85">
        <f>SUMIF(RawData!$C:$C,$A85,RawData!AU:AU)</f>
        <v>1</v>
      </c>
      <c r="AR85">
        <f>SUMIF(RawData!$C:$C,$A85,RawData!AV:AV)</f>
        <v>1</v>
      </c>
      <c r="AS85">
        <f>SUMIF(RawData!$C:$C,$A85,RawData!AW:AW)</f>
        <v>1</v>
      </c>
      <c r="AT85">
        <f>SUMIF(RawData!$C:$C,$A85,RawData!AX:AX)</f>
        <v>1</v>
      </c>
      <c r="AU85">
        <f>SUMIF(RawData!$C:$C,$A85,RawData!AY:AY)</f>
        <v>1</v>
      </c>
      <c r="AV85">
        <f>SUMIF(RawData!$C:$C,$A85,RawData!AZ:AZ)</f>
        <v>4</v>
      </c>
      <c r="AW85">
        <f>SUMIF(RawData!$C:$C,$A85,RawData!BA:BA)</f>
        <v>4</v>
      </c>
      <c r="AX85">
        <f>SUMIF(RawData!$C:$C,$A85,RawData!BB:BB)</f>
        <v>5</v>
      </c>
      <c r="AY85">
        <f>SUMIF(RawData!$C:$C,$A85,RawData!BC:BC)</f>
        <v>7</v>
      </c>
      <c r="AZ85">
        <f>SUMIF(RawData!$C:$C,$A85,RawData!BD:BD)</f>
        <v>7</v>
      </c>
      <c r="BA85">
        <f>SUMIF(RawData!$C:$C,$A85,RawData!BE:BE)</f>
        <v>7</v>
      </c>
      <c r="BB85">
        <f>SUMIF(RawData!$C:$C,$A85,RawData!BF:BF)</f>
        <v>11</v>
      </c>
      <c r="BC85">
        <f>SUMIF(RawData!$C:$C,$A85,RawData!BG:BG)</f>
        <v>16</v>
      </c>
      <c r="BD85">
        <f>SUMIF(RawData!$C:$C,$A85,RawData!BH:BH)</f>
        <v>0</v>
      </c>
      <c r="BE85">
        <f>SUMIF(RawData!$C:$C,$A85,RawData!BI:BI)</f>
        <v>0</v>
      </c>
      <c r="BF85">
        <f>SUMIF(RawData!$C:$C,$A85,RawData!BJ:BJ)</f>
        <v>0</v>
      </c>
      <c r="BG85">
        <f>SUMIF(RawData!$C:$C,$A85,RawData!BK:BK)</f>
        <v>0</v>
      </c>
      <c r="BH85">
        <f>SUMIF(RawData!$C:$C,$A85,RawData!BL:BL)</f>
        <v>0</v>
      </c>
      <c r="BI85">
        <f>SUMIF(RawData!$C:$C,$A85,RawData!BM:BM)</f>
        <v>0</v>
      </c>
      <c r="BJ85">
        <f>SUMIF(RawData!$C:$C,$A85,RawData!BN:BN)</f>
        <v>0</v>
      </c>
      <c r="BK85">
        <f>SUMIF(RawData!$C:$C,$A85,RawData!BO:BO)</f>
        <v>0</v>
      </c>
      <c r="BL85">
        <f>SUMIF(RawData!$C:$C,$A85,RawData!BP:BP)</f>
        <v>0</v>
      </c>
      <c r="BM85">
        <f>SUMIF(RawData!$C:$C,$A85,RawData!BQ:BQ)</f>
        <v>0</v>
      </c>
      <c r="BN85">
        <f>SUMIF(RawData!$C:$C,$A85,RawData!BR:BR)</f>
        <v>0</v>
      </c>
      <c r="BO85">
        <f>SUMIF(RawData!$C:$C,$A85,RawData!BS:BS)</f>
        <v>0</v>
      </c>
      <c r="BP85">
        <f>SUMIF(RawData!$C:$C,$A85,RawData!BT:BT)</f>
        <v>0</v>
      </c>
      <c r="BQ85">
        <f>SUMIF(RawData!$C:$C,$A85,RawData!BU:BU)</f>
        <v>0</v>
      </c>
      <c r="BR85">
        <f>SUMIF(RawData!$C:$C,$A85,RawData!BV:BV)</f>
        <v>0</v>
      </c>
      <c r="BS85">
        <f>SUMIF(RawData!$C:$C,$A85,RawData!BW:BW)</f>
        <v>0</v>
      </c>
      <c r="BT85">
        <f>SUMIF(RawData!$C:$C,$A85,RawData!BX:BX)</f>
        <v>0</v>
      </c>
    </row>
    <row r="86" spans="1:72" ht="15" thickBot="1" x14ac:dyDescent="0.35">
      <c r="A86" s="4" t="s">
        <v>139</v>
      </c>
      <c r="B86">
        <f>SUMIF(RawData!$C:$C,$A86,RawData!F:F)</f>
        <v>0</v>
      </c>
      <c r="C86">
        <f>SUMIF(RawData!$C:$C,$A86,RawData!G:G)</f>
        <v>0</v>
      </c>
      <c r="D86">
        <f>SUMIF(RawData!$C:$C,$A86,RawData!H:H)</f>
        <v>0</v>
      </c>
      <c r="E86">
        <f>SUMIF(RawData!$C:$C,$A86,RawData!I:I)</f>
        <v>0</v>
      </c>
      <c r="F86">
        <f>SUMIF(RawData!$C:$C,$A86,RawData!J:J)</f>
        <v>0</v>
      </c>
      <c r="G86">
        <f>SUMIF(RawData!$C:$C,$A86,RawData!K:K)</f>
        <v>0</v>
      </c>
      <c r="H86">
        <f>SUMIF(RawData!$C:$C,$A86,RawData!L:L)</f>
        <v>0</v>
      </c>
      <c r="I86">
        <f>SUMIF(RawData!$C:$C,$A86,RawData!M:M)</f>
        <v>0</v>
      </c>
      <c r="J86">
        <f>SUMIF(RawData!$C:$C,$A86,RawData!N:N)</f>
        <v>0</v>
      </c>
      <c r="K86">
        <f>SUMIF(RawData!$C:$C,$A86,RawData!O:O)</f>
        <v>0</v>
      </c>
      <c r="L86">
        <f>SUMIF(RawData!$C:$C,$A86,RawData!P:P)</f>
        <v>0</v>
      </c>
      <c r="M86">
        <f>SUMIF(RawData!$C:$C,$A86,RawData!Q:Q)</f>
        <v>0</v>
      </c>
      <c r="N86">
        <f>SUMIF(RawData!$C:$C,$A86,RawData!R:R)</f>
        <v>0</v>
      </c>
      <c r="O86">
        <f>SUMIF(RawData!$C:$C,$A86,RawData!S:S)</f>
        <v>0</v>
      </c>
      <c r="P86">
        <f>SUMIF(RawData!$C:$C,$A86,RawData!T:T)</f>
        <v>0</v>
      </c>
      <c r="Q86">
        <f>SUMIF(RawData!$C:$C,$A86,RawData!U:U)</f>
        <v>0</v>
      </c>
      <c r="R86">
        <f>SUMIF(RawData!$C:$C,$A86,RawData!V:V)</f>
        <v>0</v>
      </c>
      <c r="S86">
        <f>SUMIF(RawData!$C:$C,$A86,RawData!W:W)</f>
        <v>0</v>
      </c>
      <c r="T86">
        <f>SUMIF(RawData!$C:$C,$A86,RawData!X:X)</f>
        <v>0</v>
      </c>
      <c r="U86">
        <f>SUMIF(RawData!$C:$C,$A86,RawData!Y:Y)</f>
        <v>0</v>
      </c>
      <c r="V86">
        <f>SUMIF(RawData!$C:$C,$A86,RawData!Z:Z)</f>
        <v>0</v>
      </c>
      <c r="W86">
        <f>SUMIF(RawData!$C:$C,$A86,RawData!AA:AA)</f>
        <v>0</v>
      </c>
      <c r="X86">
        <f>SUMIF(RawData!$C:$C,$A86,RawData!AB:AB)</f>
        <v>0</v>
      </c>
      <c r="Y86">
        <f>SUMIF(RawData!$C:$C,$A86,RawData!AC:AC)</f>
        <v>0</v>
      </c>
      <c r="Z86">
        <f>SUMIF(RawData!$C:$C,$A86,RawData!AD:AD)</f>
        <v>0</v>
      </c>
      <c r="AA86">
        <f>SUMIF(RawData!$C:$C,$A86,RawData!AE:AE)</f>
        <v>0</v>
      </c>
      <c r="AB86">
        <f>SUMIF(RawData!$C:$C,$A86,RawData!AF:AF)</f>
        <v>0</v>
      </c>
      <c r="AC86">
        <f>SUMIF(RawData!$C:$C,$A86,RawData!AG:AG)</f>
        <v>0</v>
      </c>
      <c r="AD86">
        <f>SUMIF(RawData!$C:$C,$A86,RawData!AH:AH)</f>
        <v>0</v>
      </c>
      <c r="AE86">
        <f>SUMIF(RawData!$C:$C,$A86,RawData!AI:AI)</f>
        <v>0</v>
      </c>
      <c r="AF86">
        <f>SUMIF(RawData!$C:$C,$A86,RawData!AJ:AJ)</f>
        <v>0</v>
      </c>
      <c r="AG86">
        <f>SUMIF(RawData!$C:$C,$A86,RawData!AK:AK)</f>
        <v>0</v>
      </c>
      <c r="AH86">
        <f>SUMIF(RawData!$C:$C,$A86,RawData!AL:AL)</f>
        <v>0</v>
      </c>
      <c r="AI86">
        <f>SUMIF(RawData!$C:$C,$A86,RawData!AM:AM)</f>
        <v>0</v>
      </c>
      <c r="AJ86">
        <f>SUMIF(RawData!$C:$C,$A86,RawData!AN:AN)</f>
        <v>0</v>
      </c>
      <c r="AK86">
        <f>SUMIF(RawData!$C:$C,$A86,RawData!AO:AO)</f>
        <v>0</v>
      </c>
      <c r="AL86">
        <f>SUMIF(RawData!$C:$C,$A86,RawData!AP:AP)</f>
        <v>0</v>
      </c>
      <c r="AM86">
        <f>SUMIF(RawData!$C:$C,$A86,RawData!AQ:AQ)</f>
        <v>0</v>
      </c>
      <c r="AN86">
        <f>SUMIF(RawData!$C:$C,$A86,RawData!AR:AR)</f>
        <v>0</v>
      </c>
      <c r="AO86">
        <f>SUMIF(RawData!$C:$C,$A86,RawData!AS:AS)</f>
        <v>0</v>
      </c>
      <c r="AP86">
        <f>SUMIF(RawData!$C:$C,$A86,RawData!AT:AT)</f>
        <v>1</v>
      </c>
      <c r="AQ86">
        <f>SUMIF(RawData!$C:$C,$A86,RawData!AU:AU)</f>
        <v>1</v>
      </c>
      <c r="AR86">
        <f>SUMIF(RawData!$C:$C,$A86,RawData!AV:AV)</f>
        <v>1</v>
      </c>
      <c r="AS86">
        <f>SUMIF(RawData!$C:$C,$A86,RawData!AW:AW)</f>
        <v>2</v>
      </c>
      <c r="AT86">
        <f>SUMIF(RawData!$C:$C,$A86,RawData!AX:AX)</f>
        <v>2</v>
      </c>
      <c r="AU86">
        <f>SUMIF(RawData!$C:$C,$A86,RawData!AY:AY)</f>
        <v>2</v>
      </c>
      <c r="AV86">
        <f>SUMIF(RawData!$C:$C,$A86,RawData!AZ:AZ)</f>
        <v>2</v>
      </c>
      <c r="AW86">
        <f>SUMIF(RawData!$C:$C,$A86,RawData!BA:BA)</f>
        <v>2</v>
      </c>
      <c r="AX86">
        <f>SUMIF(RawData!$C:$C,$A86,RawData!BB:BB)</f>
        <v>3</v>
      </c>
      <c r="AY86">
        <f>SUMIF(RawData!$C:$C,$A86,RawData!BC:BC)</f>
        <v>5</v>
      </c>
      <c r="AZ86">
        <f>SUMIF(RawData!$C:$C,$A86,RawData!BD:BD)</f>
        <v>6</v>
      </c>
      <c r="BA86">
        <f>SUMIF(RawData!$C:$C,$A86,RawData!BE:BE)</f>
        <v>7</v>
      </c>
      <c r="BB86">
        <f>SUMIF(RawData!$C:$C,$A86,RawData!BF:BF)</f>
        <v>17</v>
      </c>
      <c r="BC86">
        <f>SUMIF(RawData!$C:$C,$A86,RawData!BG:BG)</f>
        <v>28</v>
      </c>
      <c r="BD86">
        <f>SUMIF(RawData!$C:$C,$A86,RawData!BH:BH)</f>
        <v>0</v>
      </c>
      <c r="BE86">
        <f>SUMIF(RawData!$C:$C,$A86,RawData!BI:BI)</f>
        <v>0</v>
      </c>
      <c r="BF86">
        <f>SUMIF(RawData!$C:$C,$A86,RawData!BJ:BJ)</f>
        <v>0</v>
      </c>
      <c r="BG86">
        <f>SUMIF(RawData!$C:$C,$A86,RawData!BK:BK)</f>
        <v>0</v>
      </c>
      <c r="BH86">
        <f>SUMIF(RawData!$C:$C,$A86,RawData!BL:BL)</f>
        <v>0</v>
      </c>
      <c r="BI86">
        <f>SUMIF(RawData!$C:$C,$A86,RawData!BM:BM)</f>
        <v>0</v>
      </c>
      <c r="BJ86">
        <f>SUMIF(RawData!$C:$C,$A86,RawData!BN:BN)</f>
        <v>0</v>
      </c>
      <c r="BK86">
        <f>SUMIF(RawData!$C:$C,$A86,RawData!BO:BO)</f>
        <v>0</v>
      </c>
      <c r="BL86">
        <f>SUMIF(RawData!$C:$C,$A86,RawData!BP:BP)</f>
        <v>0</v>
      </c>
      <c r="BM86">
        <f>SUMIF(RawData!$C:$C,$A86,RawData!BQ:BQ)</f>
        <v>0</v>
      </c>
      <c r="BN86">
        <f>SUMIF(RawData!$C:$C,$A86,RawData!BR:BR)</f>
        <v>0</v>
      </c>
      <c r="BO86">
        <f>SUMIF(RawData!$C:$C,$A86,RawData!BS:BS)</f>
        <v>0</v>
      </c>
      <c r="BP86">
        <f>SUMIF(RawData!$C:$C,$A86,RawData!BT:BT)</f>
        <v>0</v>
      </c>
      <c r="BQ86">
        <f>SUMIF(RawData!$C:$C,$A86,RawData!BU:BU)</f>
        <v>0</v>
      </c>
      <c r="BR86">
        <f>SUMIF(RawData!$C:$C,$A86,RawData!BV:BV)</f>
        <v>0</v>
      </c>
      <c r="BS86">
        <f>SUMIF(RawData!$C:$C,$A86,RawData!BW:BW)</f>
        <v>0</v>
      </c>
      <c r="BT86">
        <f>SUMIF(RawData!$C:$C,$A86,RawData!BX:BX)</f>
        <v>0</v>
      </c>
    </row>
    <row r="87" spans="1:72" ht="15" thickBot="1" x14ac:dyDescent="0.35">
      <c r="A87" s="4" t="s">
        <v>120</v>
      </c>
      <c r="B87">
        <f>SUMIF(RawData!$C:$C,$A87,RawData!F:F)</f>
        <v>0</v>
      </c>
      <c r="C87">
        <f>SUMIF(RawData!$C:$C,$A87,RawData!G:G)</f>
        <v>0</v>
      </c>
      <c r="D87">
        <f>SUMIF(RawData!$C:$C,$A87,RawData!H:H)</f>
        <v>0</v>
      </c>
      <c r="E87">
        <f>SUMIF(RawData!$C:$C,$A87,RawData!I:I)</f>
        <v>0</v>
      </c>
      <c r="F87">
        <f>SUMIF(RawData!$C:$C,$A87,RawData!J:J)</f>
        <v>0</v>
      </c>
      <c r="G87">
        <f>SUMIF(RawData!$C:$C,$A87,RawData!K:K)</f>
        <v>0</v>
      </c>
      <c r="H87">
        <f>SUMIF(RawData!$C:$C,$A87,RawData!L:L)</f>
        <v>0</v>
      </c>
      <c r="I87">
        <f>SUMIF(RawData!$C:$C,$A87,RawData!M:M)</f>
        <v>0</v>
      </c>
      <c r="J87">
        <f>SUMIF(RawData!$C:$C,$A87,RawData!N:N)</f>
        <v>0</v>
      </c>
      <c r="K87">
        <f>SUMIF(RawData!$C:$C,$A87,RawData!O:O)</f>
        <v>0</v>
      </c>
      <c r="L87">
        <f>SUMIF(RawData!$C:$C,$A87,RawData!P:P)</f>
        <v>0</v>
      </c>
      <c r="M87">
        <f>SUMIF(RawData!$C:$C,$A87,RawData!Q:Q)</f>
        <v>0</v>
      </c>
      <c r="N87">
        <f>SUMIF(RawData!$C:$C,$A87,RawData!R:R)</f>
        <v>0</v>
      </c>
      <c r="O87">
        <f>SUMIF(RawData!$C:$C,$A87,RawData!S:S)</f>
        <v>0</v>
      </c>
      <c r="P87">
        <f>SUMIF(RawData!$C:$C,$A87,RawData!T:T)</f>
        <v>0</v>
      </c>
      <c r="Q87">
        <f>SUMIF(RawData!$C:$C,$A87,RawData!U:U)</f>
        <v>0</v>
      </c>
      <c r="R87">
        <f>SUMIF(RawData!$C:$C,$A87,RawData!V:V)</f>
        <v>0</v>
      </c>
      <c r="S87">
        <f>SUMIF(RawData!$C:$C,$A87,RawData!W:W)</f>
        <v>0</v>
      </c>
      <c r="T87">
        <f>SUMIF(RawData!$C:$C,$A87,RawData!X:X)</f>
        <v>0</v>
      </c>
      <c r="U87">
        <f>SUMIF(RawData!$C:$C,$A87,RawData!Y:Y)</f>
        <v>0</v>
      </c>
      <c r="V87">
        <f>SUMIF(RawData!$C:$C,$A87,RawData!Z:Z)</f>
        <v>0</v>
      </c>
      <c r="W87">
        <f>SUMIF(RawData!$C:$C,$A87,RawData!AA:AA)</f>
        <v>0</v>
      </c>
      <c r="X87">
        <f>SUMIF(RawData!$C:$C,$A87,RawData!AB:AB)</f>
        <v>0</v>
      </c>
      <c r="Y87">
        <f>SUMIF(RawData!$C:$C,$A87,RawData!AC:AC)</f>
        <v>0</v>
      </c>
      <c r="Z87">
        <f>SUMIF(RawData!$C:$C,$A87,RawData!AD:AD)</f>
        <v>0</v>
      </c>
      <c r="AA87">
        <f>SUMIF(RawData!$C:$C,$A87,RawData!AE:AE)</f>
        <v>0</v>
      </c>
      <c r="AB87">
        <f>SUMIF(RawData!$C:$C,$A87,RawData!AF:AF)</f>
        <v>0</v>
      </c>
      <c r="AC87">
        <f>SUMIF(RawData!$C:$C,$A87,RawData!AG:AG)</f>
        <v>0</v>
      </c>
      <c r="AD87">
        <f>SUMIF(RawData!$C:$C,$A87,RawData!AH:AH)</f>
        <v>0</v>
      </c>
      <c r="AE87">
        <f>SUMIF(RawData!$C:$C,$A87,RawData!AI:AI)</f>
        <v>0</v>
      </c>
      <c r="AF87">
        <f>SUMIF(RawData!$C:$C,$A87,RawData!AJ:AJ)</f>
        <v>0</v>
      </c>
      <c r="AG87">
        <f>SUMIF(RawData!$C:$C,$A87,RawData!AK:AK)</f>
        <v>0</v>
      </c>
      <c r="AH87">
        <f>SUMIF(RawData!$C:$C,$A87,RawData!AL:AL)</f>
        <v>0</v>
      </c>
      <c r="AI87">
        <f>SUMIF(RawData!$C:$C,$A87,RawData!AM:AM)</f>
        <v>0</v>
      </c>
      <c r="AJ87">
        <f>SUMIF(RawData!$C:$C,$A87,RawData!AN:AN)</f>
        <v>0</v>
      </c>
      <c r="AK87">
        <f>SUMIF(RawData!$C:$C,$A87,RawData!AO:AO)</f>
        <v>0</v>
      </c>
      <c r="AL87">
        <f>SUMIF(RawData!$C:$C,$A87,RawData!AP:AP)</f>
        <v>0</v>
      </c>
      <c r="AM87">
        <f>SUMIF(RawData!$C:$C,$A87,RawData!AQ:AQ)</f>
        <v>1</v>
      </c>
      <c r="AN87">
        <f>SUMIF(RawData!$C:$C,$A87,RawData!AR:AR)</f>
        <v>1</v>
      </c>
      <c r="AO87">
        <f>SUMIF(RawData!$C:$C,$A87,RawData!AS:AS)</f>
        <v>1</v>
      </c>
      <c r="AP87">
        <f>SUMIF(RawData!$C:$C,$A87,RawData!AT:AT)</f>
        <v>1</v>
      </c>
      <c r="AQ87">
        <f>SUMIF(RawData!$C:$C,$A87,RawData!AU:AU)</f>
        <v>1</v>
      </c>
      <c r="AR87">
        <f>SUMIF(RawData!$C:$C,$A87,RawData!AV:AV)</f>
        <v>1</v>
      </c>
      <c r="AS87">
        <f>SUMIF(RawData!$C:$C,$A87,RawData!AW:AW)</f>
        <v>1</v>
      </c>
      <c r="AT87">
        <f>SUMIF(RawData!$C:$C,$A87,RawData!AX:AX)</f>
        <v>1</v>
      </c>
      <c r="AU87">
        <f>SUMIF(RawData!$C:$C,$A87,RawData!AY:AY)</f>
        <v>1</v>
      </c>
      <c r="AV87">
        <f>SUMIF(RawData!$C:$C,$A87,RawData!AZ:AZ)</f>
        <v>1</v>
      </c>
      <c r="AW87">
        <f>SUMIF(RawData!$C:$C,$A87,RawData!BA:BA)</f>
        <v>1</v>
      </c>
      <c r="AX87">
        <f>SUMIF(RawData!$C:$C,$A87,RawData!BB:BB)</f>
        <v>1</v>
      </c>
      <c r="AY87">
        <f>SUMIF(RawData!$C:$C,$A87,RawData!BC:BC)</f>
        <v>3</v>
      </c>
      <c r="AZ87">
        <f>SUMIF(RawData!$C:$C,$A87,RawData!BD:BD)</f>
        <v>3</v>
      </c>
      <c r="BA87">
        <f>SUMIF(RawData!$C:$C,$A87,RawData!BE:BE)</f>
        <v>6</v>
      </c>
      <c r="BB87">
        <f>SUMIF(RawData!$C:$C,$A87,RawData!BF:BF)</f>
        <v>8</v>
      </c>
      <c r="BC87">
        <f>SUMIF(RawData!$C:$C,$A87,RawData!BG:BG)</f>
        <v>12</v>
      </c>
      <c r="BD87">
        <f>SUMIF(RawData!$C:$C,$A87,RawData!BH:BH)</f>
        <v>0</v>
      </c>
      <c r="BE87">
        <f>SUMIF(RawData!$C:$C,$A87,RawData!BI:BI)</f>
        <v>0</v>
      </c>
      <c r="BF87">
        <f>SUMIF(RawData!$C:$C,$A87,RawData!BJ:BJ)</f>
        <v>0</v>
      </c>
      <c r="BG87">
        <f>SUMIF(RawData!$C:$C,$A87,RawData!BK:BK)</f>
        <v>0</v>
      </c>
      <c r="BH87">
        <f>SUMIF(RawData!$C:$C,$A87,RawData!BL:BL)</f>
        <v>0</v>
      </c>
      <c r="BI87">
        <f>SUMIF(RawData!$C:$C,$A87,RawData!BM:BM)</f>
        <v>0</v>
      </c>
      <c r="BJ87">
        <f>SUMIF(RawData!$C:$C,$A87,RawData!BN:BN)</f>
        <v>0</v>
      </c>
      <c r="BK87">
        <f>SUMIF(RawData!$C:$C,$A87,RawData!BO:BO)</f>
        <v>0</v>
      </c>
      <c r="BL87">
        <f>SUMIF(RawData!$C:$C,$A87,RawData!BP:BP)</f>
        <v>0</v>
      </c>
      <c r="BM87">
        <f>SUMIF(RawData!$C:$C,$A87,RawData!BQ:BQ)</f>
        <v>0</v>
      </c>
      <c r="BN87">
        <f>SUMIF(RawData!$C:$C,$A87,RawData!BR:BR)</f>
        <v>0</v>
      </c>
      <c r="BO87">
        <f>SUMIF(RawData!$C:$C,$A87,RawData!BS:BS)</f>
        <v>0</v>
      </c>
      <c r="BP87">
        <f>SUMIF(RawData!$C:$C,$A87,RawData!BT:BT)</f>
        <v>0</v>
      </c>
      <c r="BQ87">
        <f>SUMIF(RawData!$C:$C,$A87,RawData!BU:BU)</f>
        <v>0</v>
      </c>
      <c r="BR87">
        <f>SUMIF(RawData!$C:$C,$A87,RawData!BV:BV)</f>
        <v>0</v>
      </c>
      <c r="BS87">
        <f>SUMIF(RawData!$C:$C,$A87,RawData!BW:BW)</f>
        <v>0</v>
      </c>
      <c r="BT87">
        <f>SUMIF(RawData!$C:$C,$A87,RawData!BX:BX)</f>
        <v>0</v>
      </c>
    </row>
    <row r="88" spans="1:72" ht="15" thickBot="1" x14ac:dyDescent="0.35">
      <c r="A88" s="5" t="s">
        <v>373</v>
      </c>
      <c r="B88">
        <f>SUMIF(RawData!$C:$C,$A88,RawData!F:F)</f>
        <v>0</v>
      </c>
      <c r="C88">
        <f>SUMIF(RawData!$C:$C,$A88,RawData!G:G)</f>
        <v>0</v>
      </c>
      <c r="D88">
        <f>SUMIF(RawData!$C:$C,$A88,RawData!H:H)</f>
        <v>0</v>
      </c>
      <c r="E88">
        <f>SUMIF(RawData!$C:$C,$A88,RawData!I:I)</f>
        <v>0</v>
      </c>
      <c r="F88">
        <f>SUMIF(RawData!$C:$C,$A88,RawData!J:J)</f>
        <v>0</v>
      </c>
      <c r="G88">
        <f>SUMIF(RawData!$C:$C,$A88,RawData!K:K)</f>
        <v>0</v>
      </c>
      <c r="H88">
        <f>SUMIF(RawData!$C:$C,$A88,RawData!L:L)</f>
        <v>0</v>
      </c>
      <c r="I88">
        <f>SUMIF(RawData!$C:$C,$A88,RawData!M:M)</f>
        <v>0</v>
      </c>
      <c r="J88">
        <f>SUMIF(RawData!$C:$C,$A88,RawData!N:N)</f>
        <v>0</v>
      </c>
      <c r="K88">
        <f>SUMIF(RawData!$C:$C,$A88,RawData!O:O)</f>
        <v>0</v>
      </c>
      <c r="L88">
        <f>SUMIF(RawData!$C:$C,$A88,RawData!P:P)</f>
        <v>0</v>
      </c>
      <c r="M88">
        <f>SUMIF(RawData!$C:$C,$A88,RawData!Q:Q)</f>
        <v>0</v>
      </c>
      <c r="N88">
        <f>SUMIF(RawData!$C:$C,$A88,RawData!R:R)</f>
        <v>0</v>
      </c>
      <c r="O88">
        <f>SUMIF(RawData!$C:$C,$A88,RawData!S:S)</f>
        <v>0</v>
      </c>
      <c r="P88">
        <f>SUMIF(RawData!$C:$C,$A88,RawData!T:T)</f>
        <v>0</v>
      </c>
      <c r="Q88">
        <f>SUMIF(RawData!$C:$C,$A88,RawData!U:U)</f>
        <v>0</v>
      </c>
      <c r="R88">
        <f>SUMIF(RawData!$C:$C,$A88,RawData!V:V)</f>
        <v>0</v>
      </c>
      <c r="S88">
        <f>SUMIF(RawData!$C:$C,$A88,RawData!W:W)</f>
        <v>0</v>
      </c>
      <c r="T88">
        <f>SUMIF(RawData!$C:$C,$A88,RawData!X:X)</f>
        <v>0</v>
      </c>
      <c r="U88">
        <f>SUMIF(RawData!$C:$C,$A88,RawData!Y:Y)</f>
        <v>0</v>
      </c>
      <c r="V88">
        <f>SUMIF(RawData!$C:$C,$A88,RawData!Z:Z)</f>
        <v>0</v>
      </c>
      <c r="W88">
        <f>SUMIF(RawData!$C:$C,$A88,RawData!AA:AA)</f>
        <v>0</v>
      </c>
      <c r="X88">
        <f>SUMIF(RawData!$C:$C,$A88,RawData!AB:AB)</f>
        <v>0</v>
      </c>
      <c r="Y88">
        <f>SUMIF(RawData!$C:$C,$A88,RawData!AC:AC)</f>
        <v>0</v>
      </c>
      <c r="Z88">
        <f>SUMIF(RawData!$C:$C,$A88,RawData!AD:AD)</f>
        <v>0</v>
      </c>
      <c r="AA88">
        <f>SUMIF(RawData!$C:$C,$A88,RawData!AE:AE)</f>
        <v>0</v>
      </c>
      <c r="AB88">
        <f>SUMIF(RawData!$C:$C,$A88,RawData!AF:AF)</f>
        <v>0</v>
      </c>
      <c r="AC88">
        <f>SUMIF(RawData!$C:$C,$A88,RawData!AG:AG)</f>
        <v>0</v>
      </c>
      <c r="AD88">
        <f>SUMIF(RawData!$C:$C,$A88,RawData!AH:AH)</f>
        <v>0</v>
      </c>
      <c r="AE88">
        <f>SUMIF(RawData!$C:$C,$A88,RawData!AI:AI)</f>
        <v>0</v>
      </c>
      <c r="AF88">
        <f>SUMIF(RawData!$C:$C,$A88,RawData!AJ:AJ)</f>
        <v>0</v>
      </c>
      <c r="AG88">
        <f>SUMIF(RawData!$C:$C,$A88,RawData!AK:AK)</f>
        <v>0</v>
      </c>
      <c r="AH88">
        <f>SUMIF(RawData!$C:$C,$A88,RawData!AL:AL)</f>
        <v>0</v>
      </c>
      <c r="AI88">
        <f>SUMIF(RawData!$C:$C,$A88,RawData!AM:AM)</f>
        <v>0</v>
      </c>
      <c r="AJ88">
        <f>SUMIF(RawData!$C:$C,$A88,RawData!AN:AN)</f>
        <v>0</v>
      </c>
      <c r="AK88">
        <f>SUMIF(RawData!$C:$C,$A88,RawData!AO:AO)</f>
        <v>0</v>
      </c>
      <c r="AL88">
        <f>SUMIF(RawData!$C:$C,$A88,RawData!AP:AP)</f>
        <v>0</v>
      </c>
      <c r="AM88">
        <f>SUMIF(RawData!$C:$C,$A88,RawData!AQ:AQ)</f>
        <v>0</v>
      </c>
      <c r="AN88">
        <f>SUMIF(RawData!$C:$C,$A88,RawData!AR:AR)</f>
        <v>0</v>
      </c>
      <c r="AO88">
        <f>SUMIF(RawData!$C:$C,$A88,RawData!AS:AS)</f>
        <v>0</v>
      </c>
      <c r="AP88">
        <f>SUMIF(RawData!$C:$C,$A88,RawData!AT:AT)</f>
        <v>0</v>
      </c>
      <c r="AQ88">
        <f>SUMIF(RawData!$C:$C,$A88,RawData!AU:AU)</f>
        <v>0</v>
      </c>
      <c r="AR88">
        <f>SUMIF(RawData!$C:$C,$A88,RawData!AV:AV)</f>
        <v>0</v>
      </c>
      <c r="AS88">
        <f>SUMIF(RawData!$C:$C,$A88,RawData!AW:AW)</f>
        <v>0</v>
      </c>
      <c r="AT88">
        <f>SUMIF(RawData!$C:$C,$A88,RawData!AX:AX)</f>
        <v>0</v>
      </c>
      <c r="AU88">
        <f>SUMIF(RawData!$C:$C,$A88,RawData!AY:AY)</f>
        <v>0</v>
      </c>
      <c r="AV88">
        <f>SUMIF(RawData!$C:$C,$A88,RawData!AZ:AZ)</f>
        <v>1</v>
      </c>
      <c r="AW88">
        <f>SUMIF(RawData!$C:$C,$A88,RawData!BA:BA)</f>
        <v>1</v>
      </c>
      <c r="AX88">
        <f>SUMIF(RawData!$C:$C,$A88,RawData!BB:BB)</f>
        <v>3</v>
      </c>
      <c r="AY88">
        <f>SUMIF(RawData!$C:$C,$A88,RawData!BC:BC)</f>
        <v>3</v>
      </c>
      <c r="AZ88">
        <f>SUMIF(RawData!$C:$C,$A88,RawData!BD:BD)</f>
        <v>3</v>
      </c>
      <c r="BA88">
        <f>SUMIF(RawData!$C:$C,$A88,RawData!BE:BE)</f>
        <v>6</v>
      </c>
      <c r="BB88">
        <f>SUMIF(RawData!$C:$C,$A88,RawData!BF:BF)</f>
        <v>12</v>
      </c>
      <c r="BC88">
        <f>SUMIF(RawData!$C:$C,$A88,RawData!BG:BG)</f>
        <v>23</v>
      </c>
      <c r="BD88">
        <f>SUMIF(RawData!$C:$C,$A88,RawData!BH:BH)</f>
        <v>0</v>
      </c>
      <c r="BE88">
        <f>SUMIF(RawData!$C:$C,$A88,RawData!BI:BI)</f>
        <v>0</v>
      </c>
      <c r="BF88">
        <f>SUMIF(RawData!$C:$C,$A88,RawData!BJ:BJ)</f>
        <v>0</v>
      </c>
      <c r="BG88">
        <f>SUMIF(RawData!$C:$C,$A88,RawData!BK:BK)</f>
        <v>0</v>
      </c>
      <c r="BH88">
        <f>SUMIF(RawData!$C:$C,$A88,RawData!BL:BL)</f>
        <v>0</v>
      </c>
      <c r="BI88">
        <f>SUMIF(RawData!$C:$C,$A88,RawData!BM:BM)</f>
        <v>0</v>
      </c>
      <c r="BJ88">
        <f>SUMIF(RawData!$C:$C,$A88,RawData!BN:BN)</f>
        <v>0</v>
      </c>
      <c r="BK88">
        <f>SUMIF(RawData!$C:$C,$A88,RawData!BO:BO)</f>
        <v>0</v>
      </c>
      <c r="BL88">
        <f>SUMIF(RawData!$C:$C,$A88,RawData!BP:BP)</f>
        <v>0</v>
      </c>
      <c r="BM88">
        <f>SUMIF(RawData!$C:$C,$A88,RawData!BQ:BQ)</f>
        <v>0</v>
      </c>
      <c r="BN88">
        <f>SUMIF(RawData!$C:$C,$A88,RawData!BR:BR)</f>
        <v>0</v>
      </c>
      <c r="BO88">
        <f>SUMIF(RawData!$C:$C,$A88,RawData!BS:BS)</f>
        <v>0</v>
      </c>
      <c r="BP88">
        <f>SUMIF(RawData!$C:$C,$A88,RawData!BT:BT)</f>
        <v>0</v>
      </c>
      <c r="BQ88">
        <f>SUMIF(RawData!$C:$C,$A88,RawData!BU:BU)</f>
        <v>0</v>
      </c>
      <c r="BR88">
        <f>SUMIF(RawData!$C:$C,$A88,RawData!BV:BV)</f>
        <v>0</v>
      </c>
      <c r="BS88">
        <f>SUMIF(RawData!$C:$C,$A88,RawData!BW:BW)</f>
        <v>0</v>
      </c>
      <c r="BT88">
        <f>SUMIF(RawData!$C:$C,$A88,RawData!BX:BX)</f>
        <v>0</v>
      </c>
    </row>
    <row r="89" spans="1:72" ht="15" thickBot="1" x14ac:dyDescent="0.35">
      <c r="A89" s="5" t="s">
        <v>233</v>
      </c>
      <c r="B89">
        <f>SUMIF(RawData!$C:$C,$A89,RawData!F:F)</f>
        <v>0</v>
      </c>
      <c r="C89">
        <f>SUMIF(RawData!$C:$C,$A89,RawData!G:G)</f>
        <v>0</v>
      </c>
      <c r="D89">
        <f>SUMIF(RawData!$C:$C,$A89,RawData!H:H)</f>
        <v>0</v>
      </c>
      <c r="E89">
        <f>SUMIF(RawData!$C:$C,$A89,RawData!I:I)</f>
        <v>0</v>
      </c>
      <c r="F89">
        <f>SUMIF(RawData!$C:$C,$A89,RawData!J:J)</f>
        <v>0</v>
      </c>
      <c r="G89">
        <f>SUMIF(RawData!$C:$C,$A89,RawData!K:K)</f>
        <v>0</v>
      </c>
      <c r="H89">
        <f>SUMIF(RawData!$C:$C,$A89,RawData!L:L)</f>
        <v>0</v>
      </c>
      <c r="I89">
        <f>SUMIF(RawData!$C:$C,$A89,RawData!M:M)</f>
        <v>0</v>
      </c>
      <c r="J89">
        <f>SUMIF(RawData!$C:$C,$A89,RawData!N:N)</f>
        <v>0</v>
      </c>
      <c r="K89">
        <f>SUMIF(RawData!$C:$C,$A89,RawData!O:O)</f>
        <v>0</v>
      </c>
      <c r="L89">
        <f>SUMIF(RawData!$C:$C,$A89,RawData!P:P)</f>
        <v>0</v>
      </c>
      <c r="M89">
        <f>SUMIF(RawData!$C:$C,$A89,RawData!Q:Q)</f>
        <v>0</v>
      </c>
      <c r="N89">
        <f>SUMIF(RawData!$C:$C,$A89,RawData!R:R)</f>
        <v>0</v>
      </c>
      <c r="O89">
        <f>SUMIF(RawData!$C:$C,$A89,RawData!S:S)</f>
        <v>0</v>
      </c>
      <c r="P89">
        <f>SUMIF(RawData!$C:$C,$A89,RawData!T:T)</f>
        <v>0</v>
      </c>
      <c r="Q89">
        <f>SUMIF(RawData!$C:$C,$A89,RawData!U:U)</f>
        <v>0</v>
      </c>
      <c r="R89">
        <f>SUMIF(RawData!$C:$C,$A89,RawData!V:V)</f>
        <v>0</v>
      </c>
      <c r="S89">
        <f>SUMIF(RawData!$C:$C,$A89,RawData!W:W)</f>
        <v>0</v>
      </c>
      <c r="T89">
        <f>SUMIF(RawData!$C:$C,$A89,RawData!X:X)</f>
        <v>0</v>
      </c>
      <c r="U89">
        <f>SUMIF(RawData!$C:$C,$A89,RawData!Y:Y)</f>
        <v>0</v>
      </c>
      <c r="V89">
        <f>SUMIF(RawData!$C:$C,$A89,RawData!Z:Z)</f>
        <v>0</v>
      </c>
      <c r="W89">
        <f>SUMIF(RawData!$C:$C,$A89,RawData!AA:AA)</f>
        <v>0</v>
      </c>
      <c r="X89">
        <f>SUMIF(RawData!$C:$C,$A89,RawData!AB:AB)</f>
        <v>0</v>
      </c>
      <c r="Y89">
        <f>SUMIF(RawData!$C:$C,$A89,RawData!AC:AC)</f>
        <v>0</v>
      </c>
      <c r="Z89">
        <f>SUMIF(RawData!$C:$C,$A89,RawData!AD:AD)</f>
        <v>0</v>
      </c>
      <c r="AA89">
        <f>SUMIF(RawData!$C:$C,$A89,RawData!AE:AE)</f>
        <v>0</v>
      </c>
      <c r="AB89">
        <f>SUMIF(RawData!$C:$C,$A89,RawData!AF:AF)</f>
        <v>0</v>
      </c>
      <c r="AC89">
        <f>SUMIF(RawData!$C:$C,$A89,RawData!AG:AG)</f>
        <v>0</v>
      </c>
      <c r="AD89">
        <f>SUMIF(RawData!$C:$C,$A89,RawData!AH:AH)</f>
        <v>0</v>
      </c>
      <c r="AE89">
        <f>SUMIF(RawData!$C:$C,$A89,RawData!AI:AI)</f>
        <v>0</v>
      </c>
      <c r="AF89">
        <f>SUMIF(RawData!$C:$C,$A89,RawData!AJ:AJ)</f>
        <v>0</v>
      </c>
      <c r="AG89">
        <f>SUMIF(RawData!$C:$C,$A89,RawData!AK:AK)</f>
        <v>0</v>
      </c>
      <c r="AH89">
        <f>SUMIF(RawData!$C:$C,$A89,RawData!AL:AL)</f>
        <v>0</v>
      </c>
      <c r="AI89">
        <f>SUMIF(RawData!$C:$C,$A89,RawData!AM:AM)</f>
        <v>0</v>
      </c>
      <c r="AJ89">
        <f>SUMIF(RawData!$C:$C,$A89,RawData!AN:AN)</f>
        <v>0</v>
      </c>
      <c r="AK89">
        <f>SUMIF(RawData!$C:$C,$A89,RawData!AO:AO)</f>
        <v>0</v>
      </c>
      <c r="AL89">
        <f>SUMIF(RawData!$C:$C,$A89,RawData!AP:AP)</f>
        <v>0</v>
      </c>
      <c r="AM89">
        <f>SUMIF(RawData!$C:$C,$A89,RawData!AQ:AQ)</f>
        <v>0</v>
      </c>
      <c r="AN89">
        <f>SUMIF(RawData!$C:$C,$A89,RawData!AR:AR)</f>
        <v>0</v>
      </c>
      <c r="AO89">
        <f>SUMIF(RawData!$C:$C,$A89,RawData!AS:AS)</f>
        <v>0</v>
      </c>
      <c r="AP89">
        <f>SUMIF(RawData!$C:$C,$A89,RawData!AT:AT)</f>
        <v>0</v>
      </c>
      <c r="AQ89">
        <f>SUMIF(RawData!$C:$C,$A89,RawData!AU:AU)</f>
        <v>0</v>
      </c>
      <c r="AR89">
        <f>SUMIF(RawData!$C:$C,$A89,RawData!AV:AV)</f>
        <v>0</v>
      </c>
      <c r="AS89">
        <f>SUMIF(RawData!$C:$C,$A89,RawData!AW:AW)</f>
        <v>0</v>
      </c>
      <c r="AT89">
        <f>SUMIF(RawData!$C:$C,$A89,RawData!AX:AX)</f>
        <v>0</v>
      </c>
      <c r="AU89">
        <f>SUMIF(RawData!$C:$C,$A89,RawData!AY:AY)</f>
        <v>0</v>
      </c>
      <c r="AV89">
        <f>SUMIF(RawData!$C:$C,$A89,RawData!AZ:AZ)</f>
        <v>1</v>
      </c>
      <c r="AW89">
        <f>SUMIF(RawData!$C:$C,$A89,RawData!BA:BA)</f>
        <v>1</v>
      </c>
      <c r="AX89">
        <f>SUMIF(RawData!$C:$C,$A89,RawData!BB:BB)</f>
        <v>1</v>
      </c>
      <c r="AY89">
        <f>SUMIF(RawData!$C:$C,$A89,RawData!BC:BC)</f>
        <v>5</v>
      </c>
      <c r="AZ89">
        <f>SUMIF(RawData!$C:$C,$A89,RawData!BD:BD)</f>
        <v>5</v>
      </c>
      <c r="BA89">
        <f>SUMIF(RawData!$C:$C,$A89,RawData!BE:BE)</f>
        <v>6</v>
      </c>
      <c r="BB89">
        <f>SUMIF(RawData!$C:$C,$A89,RawData!BF:BF)</f>
        <v>6</v>
      </c>
      <c r="BC89">
        <f>SUMIF(RawData!$C:$C,$A89,RawData!BG:BG)</f>
        <v>6</v>
      </c>
      <c r="BD89">
        <f>SUMIF(RawData!$C:$C,$A89,RawData!BH:BH)</f>
        <v>0</v>
      </c>
      <c r="BE89">
        <f>SUMIF(RawData!$C:$C,$A89,RawData!BI:BI)</f>
        <v>0</v>
      </c>
      <c r="BF89">
        <f>SUMIF(RawData!$C:$C,$A89,RawData!BJ:BJ)</f>
        <v>0</v>
      </c>
      <c r="BG89">
        <f>SUMIF(RawData!$C:$C,$A89,RawData!BK:BK)</f>
        <v>0</v>
      </c>
      <c r="BH89">
        <f>SUMIF(RawData!$C:$C,$A89,RawData!BL:BL)</f>
        <v>0</v>
      </c>
      <c r="BI89">
        <f>SUMIF(RawData!$C:$C,$A89,RawData!BM:BM)</f>
        <v>0</v>
      </c>
      <c r="BJ89">
        <f>SUMIF(RawData!$C:$C,$A89,RawData!BN:BN)</f>
        <v>0</v>
      </c>
      <c r="BK89">
        <f>SUMIF(RawData!$C:$C,$A89,RawData!BO:BO)</f>
        <v>0</v>
      </c>
      <c r="BL89">
        <f>SUMIF(RawData!$C:$C,$A89,RawData!BP:BP)</f>
        <v>0</v>
      </c>
      <c r="BM89">
        <f>SUMIF(RawData!$C:$C,$A89,RawData!BQ:BQ)</f>
        <v>0</v>
      </c>
      <c r="BN89">
        <f>SUMIF(RawData!$C:$C,$A89,RawData!BR:BR)</f>
        <v>0</v>
      </c>
      <c r="BO89">
        <f>SUMIF(RawData!$C:$C,$A89,RawData!BS:BS)</f>
        <v>0</v>
      </c>
      <c r="BP89">
        <f>SUMIF(RawData!$C:$C,$A89,RawData!BT:BT)</f>
        <v>0</v>
      </c>
      <c r="BQ89">
        <f>SUMIF(RawData!$C:$C,$A89,RawData!BU:BU)</f>
        <v>0</v>
      </c>
      <c r="BR89">
        <f>SUMIF(RawData!$C:$C,$A89,RawData!BV:BV)</f>
        <v>0</v>
      </c>
      <c r="BS89">
        <f>SUMIF(RawData!$C:$C,$A89,RawData!BW:BW)</f>
        <v>0</v>
      </c>
      <c r="BT89">
        <f>SUMIF(RawData!$C:$C,$A89,RawData!BX:BX)</f>
        <v>0</v>
      </c>
    </row>
    <row r="90" spans="1:72" ht="15" thickBot="1" x14ac:dyDescent="0.35">
      <c r="A90" s="4" t="s">
        <v>79</v>
      </c>
      <c r="B90">
        <f>SUMIF(RawData!$C:$C,$A90,RawData!F:F)</f>
        <v>0</v>
      </c>
      <c r="C90">
        <f>SUMIF(RawData!$C:$C,$A90,RawData!G:G)</f>
        <v>0</v>
      </c>
      <c r="D90">
        <f>SUMIF(RawData!$C:$C,$A90,RawData!H:H)</f>
        <v>0</v>
      </c>
      <c r="E90">
        <f>SUMIF(RawData!$C:$C,$A90,RawData!I:I)</f>
        <v>0</v>
      </c>
      <c r="F90">
        <f>SUMIF(RawData!$C:$C,$A90,RawData!J:J)</f>
        <v>0</v>
      </c>
      <c r="G90">
        <f>SUMIF(RawData!$C:$C,$A90,RawData!K:K)</f>
        <v>1</v>
      </c>
      <c r="H90">
        <f>SUMIF(RawData!$C:$C,$A90,RawData!L:L)</f>
        <v>1</v>
      </c>
      <c r="I90">
        <f>SUMIF(RawData!$C:$C,$A90,RawData!M:M)</f>
        <v>1</v>
      </c>
      <c r="J90">
        <f>SUMIF(RawData!$C:$C,$A90,RawData!N:N)</f>
        <v>1</v>
      </c>
      <c r="K90">
        <f>SUMIF(RawData!$C:$C,$A90,RawData!O:O)</f>
        <v>1</v>
      </c>
      <c r="L90">
        <f>SUMIF(RawData!$C:$C,$A90,RawData!P:P)</f>
        <v>1</v>
      </c>
      <c r="M90">
        <f>SUMIF(RawData!$C:$C,$A90,RawData!Q:Q)</f>
        <v>1</v>
      </c>
      <c r="N90">
        <f>SUMIF(RawData!$C:$C,$A90,RawData!R:R)</f>
        <v>1</v>
      </c>
      <c r="O90">
        <f>SUMIF(RawData!$C:$C,$A90,RawData!S:S)</f>
        <v>1</v>
      </c>
      <c r="P90">
        <f>SUMIF(RawData!$C:$C,$A90,RawData!T:T)</f>
        <v>1</v>
      </c>
      <c r="Q90">
        <f>SUMIF(RawData!$C:$C,$A90,RawData!U:U)</f>
        <v>1</v>
      </c>
      <c r="R90">
        <f>SUMIF(RawData!$C:$C,$A90,RawData!V:V)</f>
        <v>1</v>
      </c>
      <c r="S90">
        <f>SUMIF(RawData!$C:$C,$A90,RawData!W:W)</f>
        <v>1</v>
      </c>
      <c r="T90">
        <f>SUMIF(RawData!$C:$C,$A90,RawData!X:X)</f>
        <v>1</v>
      </c>
      <c r="U90">
        <f>SUMIF(RawData!$C:$C,$A90,RawData!Y:Y)</f>
        <v>1</v>
      </c>
      <c r="V90">
        <f>SUMIF(RawData!$C:$C,$A90,RawData!Z:Z)</f>
        <v>1</v>
      </c>
      <c r="W90">
        <f>SUMIF(RawData!$C:$C,$A90,RawData!AA:AA)</f>
        <v>1</v>
      </c>
      <c r="X90">
        <f>SUMIF(RawData!$C:$C,$A90,RawData!AB:AB)</f>
        <v>1</v>
      </c>
      <c r="Y90">
        <f>SUMIF(RawData!$C:$C,$A90,RawData!AC:AC)</f>
        <v>1</v>
      </c>
      <c r="Z90">
        <f>SUMIF(RawData!$C:$C,$A90,RawData!AD:AD)</f>
        <v>1</v>
      </c>
      <c r="AA90">
        <f>SUMIF(RawData!$C:$C,$A90,RawData!AE:AE)</f>
        <v>1</v>
      </c>
      <c r="AB90">
        <f>SUMIF(RawData!$C:$C,$A90,RawData!AF:AF)</f>
        <v>1</v>
      </c>
      <c r="AC90">
        <f>SUMIF(RawData!$C:$C,$A90,RawData!AG:AG)</f>
        <v>1</v>
      </c>
      <c r="AD90">
        <f>SUMIF(RawData!$C:$C,$A90,RawData!AH:AH)</f>
        <v>1</v>
      </c>
      <c r="AE90">
        <f>SUMIF(RawData!$C:$C,$A90,RawData!AI:AI)</f>
        <v>1</v>
      </c>
      <c r="AF90">
        <f>SUMIF(RawData!$C:$C,$A90,RawData!AJ:AJ)</f>
        <v>1</v>
      </c>
      <c r="AG90">
        <f>SUMIF(RawData!$C:$C,$A90,RawData!AK:AK)</f>
        <v>1</v>
      </c>
      <c r="AH90">
        <f>SUMIF(RawData!$C:$C,$A90,RawData!AL:AL)</f>
        <v>1</v>
      </c>
      <c r="AI90">
        <f>SUMIF(RawData!$C:$C,$A90,RawData!AM:AM)</f>
        <v>1</v>
      </c>
      <c r="AJ90">
        <f>SUMIF(RawData!$C:$C,$A90,RawData!AN:AN)</f>
        <v>1</v>
      </c>
      <c r="AK90">
        <f>SUMIF(RawData!$C:$C,$A90,RawData!AO:AO)</f>
        <v>1</v>
      </c>
      <c r="AL90">
        <f>SUMIF(RawData!$C:$C,$A90,RawData!AP:AP)</f>
        <v>1</v>
      </c>
      <c r="AM90">
        <f>SUMIF(RawData!$C:$C,$A90,RawData!AQ:AQ)</f>
        <v>1</v>
      </c>
      <c r="AN90">
        <f>SUMIF(RawData!$C:$C,$A90,RawData!AR:AR)</f>
        <v>1</v>
      </c>
      <c r="AO90">
        <f>SUMIF(RawData!$C:$C,$A90,RawData!AS:AS)</f>
        <v>1</v>
      </c>
      <c r="AP90">
        <f>SUMIF(RawData!$C:$C,$A90,RawData!AT:AT)</f>
        <v>1</v>
      </c>
      <c r="AQ90">
        <f>SUMIF(RawData!$C:$C,$A90,RawData!AU:AU)</f>
        <v>1</v>
      </c>
      <c r="AR90">
        <f>SUMIF(RawData!$C:$C,$A90,RawData!AV:AV)</f>
        <v>1</v>
      </c>
      <c r="AS90">
        <f>SUMIF(RawData!$C:$C,$A90,RawData!AW:AW)</f>
        <v>1</v>
      </c>
      <c r="AT90">
        <f>SUMIF(RawData!$C:$C,$A90,RawData!AX:AX)</f>
        <v>1</v>
      </c>
      <c r="AU90">
        <f>SUMIF(RawData!$C:$C,$A90,RawData!AY:AY)</f>
        <v>1</v>
      </c>
      <c r="AV90">
        <f>SUMIF(RawData!$C:$C,$A90,RawData!AZ:AZ)</f>
        <v>1</v>
      </c>
      <c r="AW90">
        <f>SUMIF(RawData!$C:$C,$A90,RawData!BA:BA)</f>
        <v>1</v>
      </c>
      <c r="AX90">
        <f>SUMIF(RawData!$C:$C,$A90,RawData!BB:BB)</f>
        <v>1</v>
      </c>
      <c r="AY90">
        <f>SUMIF(RawData!$C:$C,$A90,RawData!BC:BC)</f>
        <v>2</v>
      </c>
      <c r="AZ90">
        <f>SUMIF(RawData!$C:$C,$A90,RawData!BD:BD)</f>
        <v>2</v>
      </c>
      <c r="BA90">
        <f>SUMIF(RawData!$C:$C,$A90,RawData!BE:BE)</f>
        <v>6</v>
      </c>
      <c r="BB90">
        <f>SUMIF(RawData!$C:$C,$A90,RawData!BF:BF)</f>
        <v>10</v>
      </c>
      <c r="BC90">
        <f>SUMIF(RawData!$C:$C,$A90,RawData!BG:BG)</f>
        <v>18</v>
      </c>
      <c r="BD90">
        <f>SUMIF(RawData!$C:$C,$A90,RawData!BH:BH)</f>
        <v>0</v>
      </c>
      <c r="BE90">
        <f>SUMIF(RawData!$C:$C,$A90,RawData!BI:BI)</f>
        <v>0</v>
      </c>
      <c r="BF90">
        <f>SUMIF(RawData!$C:$C,$A90,RawData!BJ:BJ)</f>
        <v>0</v>
      </c>
      <c r="BG90">
        <f>SUMIF(RawData!$C:$C,$A90,RawData!BK:BK)</f>
        <v>0</v>
      </c>
      <c r="BH90">
        <f>SUMIF(RawData!$C:$C,$A90,RawData!BL:BL)</f>
        <v>0</v>
      </c>
      <c r="BI90">
        <f>SUMIF(RawData!$C:$C,$A90,RawData!BM:BM)</f>
        <v>0</v>
      </c>
      <c r="BJ90">
        <f>SUMIF(RawData!$C:$C,$A90,RawData!BN:BN)</f>
        <v>0</v>
      </c>
      <c r="BK90">
        <f>SUMIF(RawData!$C:$C,$A90,RawData!BO:BO)</f>
        <v>0</v>
      </c>
      <c r="BL90">
        <f>SUMIF(RawData!$C:$C,$A90,RawData!BP:BP)</f>
        <v>0</v>
      </c>
      <c r="BM90">
        <f>SUMIF(RawData!$C:$C,$A90,RawData!BQ:BQ)</f>
        <v>0</v>
      </c>
      <c r="BN90">
        <f>SUMIF(RawData!$C:$C,$A90,RawData!BR:BR)</f>
        <v>0</v>
      </c>
      <c r="BO90">
        <f>SUMIF(RawData!$C:$C,$A90,RawData!BS:BS)</f>
        <v>0</v>
      </c>
      <c r="BP90">
        <f>SUMIF(RawData!$C:$C,$A90,RawData!BT:BT)</f>
        <v>0</v>
      </c>
      <c r="BQ90">
        <f>SUMIF(RawData!$C:$C,$A90,RawData!BU:BU)</f>
        <v>0</v>
      </c>
      <c r="BR90">
        <f>SUMIF(RawData!$C:$C,$A90,RawData!BV:BV)</f>
        <v>0</v>
      </c>
      <c r="BS90">
        <f>SUMIF(RawData!$C:$C,$A90,RawData!BW:BW)</f>
        <v>0</v>
      </c>
      <c r="BT90">
        <f>SUMIF(RawData!$C:$C,$A90,RawData!BX:BX)</f>
        <v>0</v>
      </c>
    </row>
    <row r="91" spans="1:72" ht="15" thickBot="1" x14ac:dyDescent="0.35">
      <c r="A91" s="5" t="s">
        <v>78</v>
      </c>
      <c r="B91">
        <f>SUMIF(RawData!$C:$C,$A91,RawData!F:F)</f>
        <v>0</v>
      </c>
      <c r="C91">
        <f>SUMIF(RawData!$C:$C,$A91,RawData!G:G)</f>
        <v>0</v>
      </c>
      <c r="D91">
        <f>SUMIF(RawData!$C:$C,$A91,RawData!H:H)</f>
        <v>0</v>
      </c>
      <c r="E91">
        <f>SUMIF(RawData!$C:$C,$A91,RawData!I:I)</f>
        <v>0</v>
      </c>
      <c r="F91">
        <f>SUMIF(RawData!$C:$C,$A91,RawData!J:J)</f>
        <v>0</v>
      </c>
      <c r="G91">
        <f>SUMIF(RawData!$C:$C,$A91,RawData!K:K)</f>
        <v>1</v>
      </c>
      <c r="H91">
        <f>SUMIF(RawData!$C:$C,$A91,RawData!L:L)</f>
        <v>1</v>
      </c>
      <c r="I91">
        <f>SUMIF(RawData!$C:$C,$A91,RawData!M:M)</f>
        <v>1</v>
      </c>
      <c r="J91">
        <f>SUMIF(RawData!$C:$C,$A91,RawData!N:N)</f>
        <v>1</v>
      </c>
      <c r="K91">
        <f>SUMIF(RawData!$C:$C,$A91,RawData!O:O)</f>
        <v>1</v>
      </c>
      <c r="L91">
        <f>SUMIF(RawData!$C:$C,$A91,RawData!P:P)</f>
        <v>1</v>
      </c>
      <c r="M91">
        <f>SUMIF(RawData!$C:$C,$A91,RawData!Q:Q)</f>
        <v>1</v>
      </c>
      <c r="N91">
        <f>SUMIF(RawData!$C:$C,$A91,RawData!R:R)</f>
        <v>1</v>
      </c>
      <c r="O91">
        <f>SUMIF(RawData!$C:$C,$A91,RawData!S:S)</f>
        <v>1</v>
      </c>
      <c r="P91">
        <f>SUMIF(RawData!$C:$C,$A91,RawData!T:T)</f>
        <v>1</v>
      </c>
      <c r="Q91">
        <f>SUMIF(RawData!$C:$C,$A91,RawData!U:U)</f>
        <v>1</v>
      </c>
      <c r="R91">
        <f>SUMIF(RawData!$C:$C,$A91,RawData!V:V)</f>
        <v>1</v>
      </c>
      <c r="S91">
        <f>SUMIF(RawData!$C:$C,$A91,RawData!W:W)</f>
        <v>1</v>
      </c>
      <c r="T91">
        <f>SUMIF(RawData!$C:$C,$A91,RawData!X:X)</f>
        <v>1</v>
      </c>
      <c r="U91">
        <f>SUMIF(RawData!$C:$C,$A91,RawData!Y:Y)</f>
        <v>1</v>
      </c>
      <c r="V91">
        <f>SUMIF(RawData!$C:$C,$A91,RawData!Z:Z)</f>
        <v>1</v>
      </c>
      <c r="W91">
        <f>SUMIF(RawData!$C:$C,$A91,RawData!AA:AA)</f>
        <v>1</v>
      </c>
      <c r="X91">
        <f>SUMIF(RawData!$C:$C,$A91,RawData!AB:AB)</f>
        <v>1</v>
      </c>
      <c r="Y91">
        <f>SUMIF(RawData!$C:$C,$A91,RawData!AC:AC)</f>
        <v>1</v>
      </c>
      <c r="Z91">
        <f>SUMIF(RawData!$C:$C,$A91,RawData!AD:AD)</f>
        <v>1</v>
      </c>
      <c r="AA91">
        <f>SUMIF(RawData!$C:$C,$A91,RawData!AE:AE)</f>
        <v>1</v>
      </c>
      <c r="AB91">
        <f>SUMIF(RawData!$C:$C,$A91,RawData!AF:AF)</f>
        <v>1</v>
      </c>
      <c r="AC91">
        <f>SUMIF(RawData!$C:$C,$A91,RawData!AG:AG)</f>
        <v>1</v>
      </c>
      <c r="AD91">
        <f>SUMIF(RawData!$C:$C,$A91,RawData!AH:AH)</f>
        <v>1</v>
      </c>
      <c r="AE91">
        <f>SUMIF(RawData!$C:$C,$A91,RawData!AI:AI)</f>
        <v>1</v>
      </c>
      <c r="AF91">
        <f>SUMIF(RawData!$C:$C,$A91,RawData!AJ:AJ)</f>
        <v>1</v>
      </c>
      <c r="AG91">
        <f>SUMIF(RawData!$C:$C,$A91,RawData!AK:AK)</f>
        <v>1</v>
      </c>
      <c r="AH91">
        <f>SUMIF(RawData!$C:$C,$A91,RawData!AL:AL)</f>
        <v>1</v>
      </c>
      <c r="AI91">
        <f>SUMIF(RawData!$C:$C,$A91,RawData!AM:AM)</f>
        <v>1</v>
      </c>
      <c r="AJ91">
        <f>SUMIF(RawData!$C:$C,$A91,RawData!AN:AN)</f>
        <v>1</v>
      </c>
      <c r="AK91">
        <f>SUMIF(RawData!$C:$C,$A91,RawData!AO:AO)</f>
        <v>1</v>
      </c>
      <c r="AL91">
        <f>SUMIF(RawData!$C:$C,$A91,RawData!AP:AP)</f>
        <v>1</v>
      </c>
      <c r="AM91">
        <f>SUMIF(RawData!$C:$C,$A91,RawData!AQ:AQ)</f>
        <v>1</v>
      </c>
      <c r="AN91">
        <f>SUMIF(RawData!$C:$C,$A91,RawData!AR:AR)</f>
        <v>1</v>
      </c>
      <c r="AO91">
        <f>SUMIF(RawData!$C:$C,$A91,RawData!AS:AS)</f>
        <v>1</v>
      </c>
      <c r="AP91">
        <f>SUMIF(RawData!$C:$C,$A91,RawData!AT:AT)</f>
        <v>1</v>
      </c>
      <c r="AQ91">
        <f>SUMIF(RawData!$C:$C,$A91,RawData!AU:AU)</f>
        <v>1</v>
      </c>
      <c r="AR91">
        <f>SUMIF(RawData!$C:$C,$A91,RawData!AV:AV)</f>
        <v>1</v>
      </c>
      <c r="AS91">
        <f>SUMIF(RawData!$C:$C,$A91,RawData!AW:AW)</f>
        <v>1</v>
      </c>
      <c r="AT91">
        <f>SUMIF(RawData!$C:$C,$A91,RawData!AX:AX)</f>
        <v>1</v>
      </c>
      <c r="AU91">
        <f>SUMIF(RawData!$C:$C,$A91,RawData!AY:AY)</f>
        <v>1</v>
      </c>
      <c r="AV91">
        <f>SUMIF(RawData!$C:$C,$A91,RawData!AZ:AZ)</f>
        <v>2</v>
      </c>
      <c r="AW91">
        <f>SUMIF(RawData!$C:$C,$A91,RawData!BA:BA)</f>
        <v>2</v>
      </c>
      <c r="AX91">
        <f>SUMIF(RawData!$C:$C,$A91,RawData!BB:BB)</f>
        <v>2</v>
      </c>
      <c r="AY91">
        <f>SUMIF(RawData!$C:$C,$A91,RawData!BC:BC)</f>
        <v>3</v>
      </c>
      <c r="AZ91">
        <f>SUMIF(RawData!$C:$C,$A91,RawData!BD:BD)</f>
        <v>3</v>
      </c>
      <c r="BA91">
        <f>SUMIF(RawData!$C:$C,$A91,RawData!BE:BE)</f>
        <v>5</v>
      </c>
      <c r="BB91">
        <f>SUMIF(RawData!$C:$C,$A91,RawData!BF:BF)</f>
        <v>7</v>
      </c>
      <c r="BC91">
        <f>SUMIF(RawData!$C:$C,$A91,RawData!BG:BG)</f>
        <v>7</v>
      </c>
      <c r="BD91">
        <f>SUMIF(RawData!$C:$C,$A91,RawData!BH:BH)</f>
        <v>0</v>
      </c>
      <c r="BE91">
        <f>SUMIF(RawData!$C:$C,$A91,RawData!BI:BI)</f>
        <v>0</v>
      </c>
      <c r="BF91">
        <f>SUMIF(RawData!$C:$C,$A91,RawData!BJ:BJ)</f>
        <v>0</v>
      </c>
      <c r="BG91">
        <f>SUMIF(RawData!$C:$C,$A91,RawData!BK:BK)</f>
        <v>0</v>
      </c>
      <c r="BH91">
        <f>SUMIF(RawData!$C:$C,$A91,RawData!BL:BL)</f>
        <v>0</v>
      </c>
      <c r="BI91">
        <f>SUMIF(RawData!$C:$C,$A91,RawData!BM:BM)</f>
        <v>0</v>
      </c>
      <c r="BJ91">
        <f>SUMIF(RawData!$C:$C,$A91,RawData!BN:BN)</f>
        <v>0</v>
      </c>
      <c r="BK91">
        <f>SUMIF(RawData!$C:$C,$A91,RawData!BO:BO)</f>
        <v>0</v>
      </c>
      <c r="BL91">
        <f>SUMIF(RawData!$C:$C,$A91,RawData!BP:BP)</f>
        <v>0</v>
      </c>
      <c r="BM91">
        <f>SUMIF(RawData!$C:$C,$A91,RawData!BQ:BQ)</f>
        <v>0</v>
      </c>
      <c r="BN91">
        <f>SUMIF(RawData!$C:$C,$A91,RawData!BR:BR)</f>
        <v>0</v>
      </c>
      <c r="BO91">
        <f>SUMIF(RawData!$C:$C,$A91,RawData!BS:BS)</f>
        <v>0</v>
      </c>
      <c r="BP91">
        <f>SUMIF(RawData!$C:$C,$A91,RawData!BT:BT)</f>
        <v>0</v>
      </c>
      <c r="BQ91">
        <f>SUMIF(RawData!$C:$C,$A91,RawData!BU:BU)</f>
        <v>0</v>
      </c>
      <c r="BR91">
        <f>SUMIF(RawData!$C:$C,$A91,RawData!BV:BV)</f>
        <v>0</v>
      </c>
      <c r="BS91">
        <f>SUMIF(RawData!$C:$C,$A91,RawData!BW:BW)</f>
        <v>0</v>
      </c>
      <c r="BT91">
        <f>SUMIF(RawData!$C:$C,$A91,RawData!BX:BX)</f>
        <v>0</v>
      </c>
    </row>
    <row r="92" spans="1:72" ht="15" thickBot="1" x14ac:dyDescent="0.35">
      <c r="A92" s="4" t="s">
        <v>133</v>
      </c>
      <c r="B92">
        <f>SUMIF(RawData!$C:$C,$A92,RawData!F:F)</f>
        <v>0</v>
      </c>
      <c r="C92">
        <f>SUMIF(RawData!$C:$C,$A92,RawData!G:G)</f>
        <v>0</v>
      </c>
      <c r="D92">
        <f>SUMIF(RawData!$C:$C,$A92,RawData!H:H)</f>
        <v>0</v>
      </c>
      <c r="E92">
        <f>SUMIF(RawData!$C:$C,$A92,RawData!I:I)</f>
        <v>0</v>
      </c>
      <c r="F92">
        <f>SUMIF(RawData!$C:$C,$A92,RawData!J:J)</f>
        <v>0</v>
      </c>
      <c r="G92">
        <f>SUMIF(RawData!$C:$C,$A92,RawData!K:K)</f>
        <v>0</v>
      </c>
      <c r="H92">
        <f>SUMIF(RawData!$C:$C,$A92,RawData!L:L)</f>
        <v>0</v>
      </c>
      <c r="I92">
        <f>SUMIF(RawData!$C:$C,$A92,RawData!M:M)</f>
        <v>0</v>
      </c>
      <c r="J92">
        <f>SUMIF(RawData!$C:$C,$A92,RawData!N:N)</f>
        <v>0</v>
      </c>
      <c r="K92">
        <f>SUMIF(RawData!$C:$C,$A92,RawData!O:O)</f>
        <v>0</v>
      </c>
      <c r="L92">
        <f>SUMIF(RawData!$C:$C,$A92,RawData!P:P)</f>
        <v>0</v>
      </c>
      <c r="M92">
        <f>SUMIF(RawData!$C:$C,$A92,RawData!Q:Q)</f>
        <v>0</v>
      </c>
      <c r="N92">
        <f>SUMIF(RawData!$C:$C,$A92,RawData!R:R)</f>
        <v>0</v>
      </c>
      <c r="O92">
        <f>SUMIF(RawData!$C:$C,$A92,RawData!S:S)</f>
        <v>0</v>
      </c>
      <c r="P92">
        <f>SUMIF(RawData!$C:$C,$A92,RawData!T:T)</f>
        <v>0</v>
      </c>
      <c r="Q92">
        <f>SUMIF(RawData!$C:$C,$A92,RawData!U:U)</f>
        <v>0</v>
      </c>
      <c r="R92">
        <f>SUMIF(RawData!$C:$C,$A92,RawData!V:V)</f>
        <v>0</v>
      </c>
      <c r="S92">
        <f>SUMIF(RawData!$C:$C,$A92,RawData!W:W)</f>
        <v>0</v>
      </c>
      <c r="T92">
        <f>SUMIF(RawData!$C:$C,$A92,RawData!X:X)</f>
        <v>0</v>
      </c>
      <c r="U92">
        <f>SUMIF(RawData!$C:$C,$A92,RawData!Y:Y)</f>
        <v>0</v>
      </c>
      <c r="V92">
        <f>SUMIF(RawData!$C:$C,$A92,RawData!Z:Z)</f>
        <v>0</v>
      </c>
      <c r="W92">
        <f>SUMIF(RawData!$C:$C,$A92,RawData!AA:AA)</f>
        <v>0</v>
      </c>
      <c r="X92">
        <f>SUMIF(RawData!$C:$C,$A92,RawData!AB:AB)</f>
        <v>0</v>
      </c>
      <c r="Y92">
        <f>SUMIF(RawData!$C:$C,$A92,RawData!AC:AC)</f>
        <v>0</v>
      </c>
      <c r="Z92">
        <f>SUMIF(RawData!$C:$C,$A92,RawData!AD:AD)</f>
        <v>0</v>
      </c>
      <c r="AA92">
        <f>SUMIF(RawData!$C:$C,$A92,RawData!AE:AE)</f>
        <v>0</v>
      </c>
      <c r="AB92">
        <f>SUMIF(RawData!$C:$C,$A92,RawData!AF:AF)</f>
        <v>0</v>
      </c>
      <c r="AC92">
        <f>SUMIF(RawData!$C:$C,$A92,RawData!AG:AG)</f>
        <v>0</v>
      </c>
      <c r="AD92">
        <f>SUMIF(RawData!$C:$C,$A92,RawData!AH:AH)</f>
        <v>0</v>
      </c>
      <c r="AE92">
        <f>SUMIF(RawData!$C:$C,$A92,RawData!AI:AI)</f>
        <v>0</v>
      </c>
      <c r="AF92">
        <f>SUMIF(RawData!$C:$C,$A92,RawData!AJ:AJ)</f>
        <v>0</v>
      </c>
      <c r="AG92">
        <f>SUMIF(RawData!$C:$C,$A92,RawData!AK:AK)</f>
        <v>0</v>
      </c>
      <c r="AH92">
        <f>SUMIF(RawData!$C:$C,$A92,RawData!AL:AL)</f>
        <v>0</v>
      </c>
      <c r="AI92">
        <f>SUMIF(RawData!$C:$C,$A92,RawData!AM:AM)</f>
        <v>0</v>
      </c>
      <c r="AJ92">
        <f>SUMIF(RawData!$C:$C,$A92,RawData!AN:AN)</f>
        <v>0</v>
      </c>
      <c r="AK92">
        <f>SUMIF(RawData!$C:$C,$A92,RawData!AO:AO)</f>
        <v>0</v>
      </c>
      <c r="AL92">
        <f>SUMIF(RawData!$C:$C,$A92,RawData!AP:AP)</f>
        <v>0</v>
      </c>
      <c r="AM92">
        <f>SUMIF(RawData!$C:$C,$A92,RawData!AQ:AQ)</f>
        <v>0</v>
      </c>
      <c r="AN92">
        <f>SUMIF(RawData!$C:$C,$A92,RawData!AR:AR)</f>
        <v>0</v>
      </c>
      <c r="AO92">
        <f>SUMIF(RawData!$C:$C,$A92,RawData!AS:AS)</f>
        <v>1</v>
      </c>
      <c r="AP92">
        <f>SUMIF(RawData!$C:$C,$A92,RawData!AT:AT)</f>
        <v>1</v>
      </c>
      <c r="AQ92">
        <f>SUMIF(RawData!$C:$C,$A92,RawData!AU:AU)</f>
        <v>1</v>
      </c>
      <c r="AR92">
        <f>SUMIF(RawData!$C:$C,$A92,RawData!AV:AV)</f>
        <v>1</v>
      </c>
      <c r="AS92">
        <f>SUMIF(RawData!$C:$C,$A92,RawData!AW:AW)</f>
        <v>1</v>
      </c>
      <c r="AT92">
        <f>SUMIF(RawData!$C:$C,$A92,RawData!AX:AX)</f>
        <v>2</v>
      </c>
      <c r="AU92">
        <f>SUMIF(RawData!$C:$C,$A92,RawData!AY:AY)</f>
        <v>2</v>
      </c>
      <c r="AV92">
        <f>SUMIF(RawData!$C:$C,$A92,RawData!AZ:AZ)</f>
        <v>5</v>
      </c>
      <c r="AW92">
        <f>SUMIF(RawData!$C:$C,$A92,RawData!BA:BA)</f>
        <v>5</v>
      </c>
      <c r="AX92">
        <f>SUMIF(RawData!$C:$C,$A92,RawData!BB:BB)</f>
        <v>5</v>
      </c>
      <c r="AY92">
        <f>SUMIF(RawData!$C:$C,$A92,RawData!BC:BC)</f>
        <v>5</v>
      </c>
      <c r="AZ92">
        <f>SUMIF(RawData!$C:$C,$A92,RawData!BD:BD)</f>
        <v>5</v>
      </c>
      <c r="BA92">
        <f>SUMIF(RawData!$C:$C,$A92,RawData!BE:BE)</f>
        <v>5</v>
      </c>
      <c r="BB92">
        <f>SUMIF(RawData!$C:$C,$A92,RawData!BF:BF)</f>
        <v>11</v>
      </c>
      <c r="BC92">
        <f>SUMIF(RawData!$C:$C,$A92,RawData!BG:BG)</f>
        <v>11</v>
      </c>
      <c r="BD92">
        <f>SUMIF(RawData!$C:$C,$A92,RawData!BH:BH)</f>
        <v>0</v>
      </c>
      <c r="BE92">
        <f>SUMIF(RawData!$C:$C,$A92,RawData!BI:BI)</f>
        <v>0</v>
      </c>
      <c r="BF92">
        <f>SUMIF(RawData!$C:$C,$A92,RawData!BJ:BJ)</f>
        <v>0</v>
      </c>
      <c r="BG92">
        <f>SUMIF(RawData!$C:$C,$A92,RawData!BK:BK)</f>
        <v>0</v>
      </c>
      <c r="BH92">
        <f>SUMIF(RawData!$C:$C,$A92,RawData!BL:BL)</f>
        <v>0</v>
      </c>
      <c r="BI92">
        <f>SUMIF(RawData!$C:$C,$A92,RawData!BM:BM)</f>
        <v>0</v>
      </c>
      <c r="BJ92">
        <f>SUMIF(RawData!$C:$C,$A92,RawData!BN:BN)</f>
        <v>0</v>
      </c>
      <c r="BK92">
        <f>SUMIF(RawData!$C:$C,$A92,RawData!BO:BO)</f>
        <v>0</v>
      </c>
      <c r="BL92">
        <f>SUMIF(RawData!$C:$C,$A92,RawData!BP:BP)</f>
        <v>0</v>
      </c>
      <c r="BM92">
        <f>SUMIF(RawData!$C:$C,$A92,RawData!BQ:BQ)</f>
        <v>0</v>
      </c>
      <c r="BN92">
        <f>SUMIF(RawData!$C:$C,$A92,RawData!BR:BR)</f>
        <v>0</v>
      </c>
      <c r="BO92">
        <f>SUMIF(RawData!$C:$C,$A92,RawData!BS:BS)</f>
        <v>0</v>
      </c>
      <c r="BP92">
        <f>SUMIF(RawData!$C:$C,$A92,RawData!BT:BT)</f>
        <v>0</v>
      </c>
      <c r="BQ92">
        <f>SUMIF(RawData!$C:$C,$A92,RawData!BU:BU)</f>
        <v>0</v>
      </c>
      <c r="BR92">
        <f>SUMIF(RawData!$C:$C,$A92,RawData!BV:BV)</f>
        <v>0</v>
      </c>
      <c r="BS92">
        <f>SUMIF(RawData!$C:$C,$A92,RawData!BW:BW)</f>
        <v>0</v>
      </c>
      <c r="BT92">
        <f>SUMIF(RawData!$C:$C,$A92,RawData!BX:BX)</f>
        <v>0</v>
      </c>
    </row>
    <row r="93" spans="1:72" ht="15" thickBot="1" x14ac:dyDescent="0.35">
      <c r="A93" s="5" t="s">
        <v>203</v>
      </c>
      <c r="B93">
        <f>SUMIF(RawData!$C:$C,$A93,RawData!F:F)</f>
        <v>0</v>
      </c>
      <c r="C93">
        <f>SUMIF(RawData!$C:$C,$A93,RawData!G:G)</f>
        <v>0</v>
      </c>
      <c r="D93">
        <f>SUMIF(RawData!$C:$C,$A93,RawData!H:H)</f>
        <v>0</v>
      </c>
      <c r="E93">
        <f>SUMIF(RawData!$C:$C,$A93,RawData!I:I)</f>
        <v>0</v>
      </c>
      <c r="F93">
        <f>SUMIF(RawData!$C:$C,$A93,RawData!J:J)</f>
        <v>0</v>
      </c>
      <c r="G93">
        <f>SUMIF(RawData!$C:$C,$A93,RawData!K:K)</f>
        <v>0</v>
      </c>
      <c r="H93">
        <f>SUMIF(RawData!$C:$C,$A93,RawData!L:L)</f>
        <v>0</v>
      </c>
      <c r="I93">
        <f>SUMIF(RawData!$C:$C,$A93,RawData!M:M)</f>
        <v>0</v>
      </c>
      <c r="J93">
        <f>SUMIF(RawData!$C:$C,$A93,RawData!N:N)</f>
        <v>0</v>
      </c>
      <c r="K93">
        <f>SUMIF(RawData!$C:$C,$A93,RawData!O:O)</f>
        <v>0</v>
      </c>
      <c r="L93">
        <f>SUMIF(RawData!$C:$C,$A93,RawData!P:P)</f>
        <v>0</v>
      </c>
      <c r="M93">
        <f>SUMIF(RawData!$C:$C,$A93,RawData!Q:Q)</f>
        <v>0</v>
      </c>
      <c r="N93">
        <f>SUMIF(RawData!$C:$C,$A93,RawData!R:R)</f>
        <v>0</v>
      </c>
      <c r="O93">
        <f>SUMIF(RawData!$C:$C,$A93,RawData!S:S)</f>
        <v>0</v>
      </c>
      <c r="P93">
        <f>SUMIF(RawData!$C:$C,$A93,RawData!T:T)</f>
        <v>0</v>
      </c>
      <c r="Q93">
        <f>SUMIF(RawData!$C:$C,$A93,RawData!U:U)</f>
        <v>0</v>
      </c>
      <c r="R93">
        <f>SUMIF(RawData!$C:$C,$A93,RawData!V:V)</f>
        <v>0</v>
      </c>
      <c r="S93">
        <f>SUMIF(RawData!$C:$C,$A93,RawData!W:W)</f>
        <v>0</v>
      </c>
      <c r="T93">
        <f>SUMIF(RawData!$C:$C,$A93,RawData!X:X)</f>
        <v>0</v>
      </c>
      <c r="U93">
        <f>SUMIF(RawData!$C:$C,$A93,RawData!Y:Y)</f>
        <v>0</v>
      </c>
      <c r="V93">
        <f>SUMIF(RawData!$C:$C,$A93,RawData!Z:Z)</f>
        <v>0</v>
      </c>
      <c r="W93">
        <f>SUMIF(RawData!$C:$C,$A93,RawData!AA:AA)</f>
        <v>0</v>
      </c>
      <c r="X93">
        <f>SUMIF(RawData!$C:$C,$A93,RawData!AB:AB)</f>
        <v>0</v>
      </c>
      <c r="Y93">
        <f>SUMIF(RawData!$C:$C,$A93,RawData!AC:AC)</f>
        <v>0</v>
      </c>
      <c r="Z93">
        <f>SUMIF(RawData!$C:$C,$A93,RawData!AD:AD)</f>
        <v>0</v>
      </c>
      <c r="AA93">
        <f>SUMIF(RawData!$C:$C,$A93,RawData!AE:AE)</f>
        <v>0</v>
      </c>
      <c r="AB93">
        <f>SUMIF(RawData!$C:$C,$A93,RawData!AF:AF)</f>
        <v>0</v>
      </c>
      <c r="AC93">
        <f>SUMIF(RawData!$C:$C,$A93,RawData!AG:AG)</f>
        <v>0</v>
      </c>
      <c r="AD93">
        <f>SUMIF(RawData!$C:$C,$A93,RawData!AH:AH)</f>
        <v>0</v>
      </c>
      <c r="AE93">
        <f>SUMIF(RawData!$C:$C,$A93,RawData!AI:AI)</f>
        <v>0</v>
      </c>
      <c r="AF93">
        <f>SUMIF(RawData!$C:$C,$A93,RawData!AJ:AJ)</f>
        <v>0</v>
      </c>
      <c r="AG93">
        <f>SUMIF(RawData!$C:$C,$A93,RawData!AK:AK)</f>
        <v>0</v>
      </c>
      <c r="AH93">
        <f>SUMIF(RawData!$C:$C,$A93,RawData!AL:AL)</f>
        <v>0</v>
      </c>
      <c r="AI93">
        <f>SUMIF(RawData!$C:$C,$A93,RawData!AM:AM)</f>
        <v>0</v>
      </c>
      <c r="AJ93">
        <f>SUMIF(RawData!$C:$C,$A93,RawData!AN:AN)</f>
        <v>0</v>
      </c>
      <c r="AK93">
        <f>SUMIF(RawData!$C:$C,$A93,RawData!AO:AO)</f>
        <v>0</v>
      </c>
      <c r="AL93">
        <f>SUMIF(RawData!$C:$C,$A93,RawData!AP:AP)</f>
        <v>0</v>
      </c>
      <c r="AM93">
        <f>SUMIF(RawData!$C:$C,$A93,RawData!AQ:AQ)</f>
        <v>0</v>
      </c>
      <c r="AN93">
        <f>SUMIF(RawData!$C:$C,$A93,RawData!AR:AR)</f>
        <v>0</v>
      </c>
      <c r="AO93">
        <f>SUMIF(RawData!$C:$C,$A93,RawData!AS:AS)</f>
        <v>0</v>
      </c>
      <c r="AP93">
        <f>SUMIF(RawData!$C:$C,$A93,RawData!AT:AT)</f>
        <v>0</v>
      </c>
      <c r="AQ93">
        <f>SUMIF(RawData!$C:$C,$A93,RawData!AU:AU)</f>
        <v>0</v>
      </c>
      <c r="AR93">
        <f>SUMIF(RawData!$C:$C,$A93,RawData!AV:AV)</f>
        <v>0</v>
      </c>
      <c r="AS93">
        <f>SUMIF(RawData!$C:$C,$A93,RawData!AW:AW)</f>
        <v>0</v>
      </c>
      <c r="AT93">
        <f>SUMIF(RawData!$C:$C,$A93,RawData!AX:AX)</f>
        <v>0</v>
      </c>
      <c r="AU93">
        <f>SUMIF(RawData!$C:$C,$A93,RawData!AY:AY)</f>
        <v>0</v>
      </c>
      <c r="AV93">
        <f>SUMIF(RawData!$C:$C,$A93,RawData!AZ:AZ)</f>
        <v>0</v>
      </c>
      <c r="AW93">
        <f>SUMIF(RawData!$C:$C,$A93,RawData!BA:BA)</f>
        <v>0</v>
      </c>
      <c r="AX93">
        <f>SUMIF(RawData!$C:$C,$A93,RawData!BB:BB)</f>
        <v>0</v>
      </c>
      <c r="AY93">
        <f>SUMIF(RawData!$C:$C,$A93,RawData!BC:BC)</f>
        <v>0</v>
      </c>
      <c r="AZ93">
        <f>SUMIF(RawData!$C:$C,$A93,RawData!BD:BD)</f>
        <v>0</v>
      </c>
      <c r="BA93">
        <f>SUMIF(RawData!$C:$C,$A93,RawData!BE:BE)</f>
        <v>0</v>
      </c>
      <c r="BB93">
        <f>SUMIF(RawData!$C:$C,$A93,RawData!BF:BF)</f>
        <v>0</v>
      </c>
      <c r="BC93">
        <f>SUMIF(RawData!$C:$C,$A93,RawData!BG:BG)</f>
        <v>0</v>
      </c>
      <c r="BD93">
        <f>SUMIF(RawData!$C:$C,$A93,RawData!BH:BH)</f>
        <v>0</v>
      </c>
      <c r="BE93">
        <f>SUMIF(RawData!$C:$C,$A93,RawData!BI:BI)</f>
        <v>0</v>
      </c>
      <c r="BF93">
        <f>SUMIF(RawData!$C:$C,$A93,RawData!BJ:BJ)</f>
        <v>0</v>
      </c>
      <c r="BG93">
        <f>SUMIF(RawData!$C:$C,$A93,RawData!BK:BK)</f>
        <v>0</v>
      </c>
      <c r="BH93">
        <f>SUMIF(RawData!$C:$C,$A93,RawData!BL:BL)</f>
        <v>0</v>
      </c>
      <c r="BI93">
        <f>SUMIF(RawData!$C:$C,$A93,RawData!BM:BM)</f>
        <v>0</v>
      </c>
      <c r="BJ93">
        <f>SUMIF(RawData!$C:$C,$A93,RawData!BN:BN)</f>
        <v>0</v>
      </c>
      <c r="BK93">
        <f>SUMIF(RawData!$C:$C,$A93,RawData!BO:BO)</f>
        <v>0</v>
      </c>
      <c r="BL93">
        <f>SUMIF(RawData!$C:$C,$A93,RawData!BP:BP)</f>
        <v>0</v>
      </c>
      <c r="BM93">
        <f>SUMIF(RawData!$C:$C,$A93,RawData!BQ:BQ)</f>
        <v>0</v>
      </c>
      <c r="BN93">
        <f>SUMIF(RawData!$C:$C,$A93,RawData!BR:BR)</f>
        <v>0</v>
      </c>
      <c r="BO93">
        <f>SUMIF(RawData!$C:$C,$A93,RawData!BS:BS)</f>
        <v>0</v>
      </c>
      <c r="BP93">
        <f>SUMIF(RawData!$C:$C,$A93,RawData!BT:BT)</f>
        <v>0</v>
      </c>
      <c r="BQ93">
        <f>SUMIF(RawData!$C:$C,$A93,RawData!BU:BU)</f>
        <v>0</v>
      </c>
      <c r="BR93">
        <f>SUMIF(RawData!$C:$C,$A93,RawData!BV:BV)</f>
        <v>0</v>
      </c>
      <c r="BS93">
        <f>SUMIF(RawData!$C:$C,$A93,RawData!BW:BW)</f>
        <v>0</v>
      </c>
      <c r="BT93">
        <f>SUMIF(RawData!$C:$C,$A93,RawData!BX:BX)</f>
        <v>0</v>
      </c>
    </row>
    <row r="94" spans="1:72" ht="15" thickBot="1" x14ac:dyDescent="0.35">
      <c r="A94" s="4" t="s">
        <v>122</v>
      </c>
      <c r="B94">
        <f>SUMIF(RawData!$C:$C,$A94,RawData!F:F)</f>
        <v>0</v>
      </c>
      <c r="C94">
        <f>SUMIF(RawData!$C:$C,$A94,RawData!G:G)</f>
        <v>0</v>
      </c>
      <c r="D94">
        <f>SUMIF(RawData!$C:$C,$A94,RawData!H:H)</f>
        <v>0</v>
      </c>
      <c r="E94">
        <f>SUMIF(RawData!$C:$C,$A94,RawData!I:I)</f>
        <v>0</v>
      </c>
      <c r="F94">
        <f>SUMIF(RawData!$C:$C,$A94,RawData!J:J)</f>
        <v>0</v>
      </c>
      <c r="G94">
        <f>SUMIF(RawData!$C:$C,$A94,RawData!K:K)</f>
        <v>0</v>
      </c>
      <c r="H94">
        <f>SUMIF(RawData!$C:$C,$A94,RawData!L:L)</f>
        <v>0</v>
      </c>
      <c r="I94">
        <f>SUMIF(RawData!$C:$C,$A94,RawData!M:M)</f>
        <v>0</v>
      </c>
      <c r="J94">
        <f>SUMIF(RawData!$C:$C,$A94,RawData!N:N)</f>
        <v>0</v>
      </c>
      <c r="K94">
        <f>SUMIF(RawData!$C:$C,$A94,RawData!O:O)</f>
        <v>0</v>
      </c>
      <c r="L94">
        <f>SUMIF(RawData!$C:$C,$A94,RawData!P:P)</f>
        <v>0</v>
      </c>
      <c r="M94">
        <f>SUMIF(RawData!$C:$C,$A94,RawData!Q:Q)</f>
        <v>0</v>
      </c>
      <c r="N94">
        <f>SUMIF(RawData!$C:$C,$A94,RawData!R:R)</f>
        <v>0</v>
      </c>
      <c r="O94">
        <f>SUMIF(RawData!$C:$C,$A94,RawData!S:S)</f>
        <v>0</v>
      </c>
      <c r="P94">
        <f>SUMIF(RawData!$C:$C,$A94,RawData!T:T)</f>
        <v>0</v>
      </c>
      <c r="Q94">
        <f>SUMIF(RawData!$C:$C,$A94,RawData!U:U)</f>
        <v>0</v>
      </c>
      <c r="R94">
        <f>SUMIF(RawData!$C:$C,$A94,RawData!V:V)</f>
        <v>0</v>
      </c>
      <c r="S94">
        <f>SUMIF(RawData!$C:$C,$A94,RawData!W:W)</f>
        <v>0</v>
      </c>
      <c r="T94">
        <f>SUMIF(RawData!$C:$C,$A94,RawData!X:X)</f>
        <v>0</v>
      </c>
      <c r="U94">
        <f>SUMIF(RawData!$C:$C,$A94,RawData!Y:Y)</f>
        <v>0</v>
      </c>
      <c r="V94">
        <f>SUMIF(RawData!$C:$C,$A94,RawData!Z:Z)</f>
        <v>0</v>
      </c>
      <c r="W94">
        <f>SUMIF(RawData!$C:$C,$A94,RawData!AA:AA)</f>
        <v>0</v>
      </c>
      <c r="X94">
        <f>SUMIF(RawData!$C:$C,$A94,RawData!AB:AB)</f>
        <v>0</v>
      </c>
      <c r="Y94">
        <f>SUMIF(RawData!$C:$C,$A94,RawData!AC:AC)</f>
        <v>0</v>
      </c>
      <c r="Z94">
        <f>SUMIF(RawData!$C:$C,$A94,RawData!AD:AD)</f>
        <v>0</v>
      </c>
      <c r="AA94">
        <f>SUMIF(RawData!$C:$C,$A94,RawData!AE:AE)</f>
        <v>0</v>
      </c>
      <c r="AB94">
        <f>SUMIF(RawData!$C:$C,$A94,RawData!AF:AF)</f>
        <v>0</v>
      </c>
      <c r="AC94">
        <f>SUMIF(RawData!$C:$C,$A94,RawData!AG:AG)</f>
        <v>0</v>
      </c>
      <c r="AD94">
        <f>SUMIF(RawData!$C:$C,$A94,RawData!AH:AH)</f>
        <v>0</v>
      </c>
      <c r="AE94">
        <f>SUMIF(RawData!$C:$C,$A94,RawData!AI:AI)</f>
        <v>0</v>
      </c>
      <c r="AF94">
        <f>SUMIF(RawData!$C:$C,$A94,RawData!AJ:AJ)</f>
        <v>0</v>
      </c>
      <c r="AG94">
        <f>SUMIF(RawData!$C:$C,$A94,RawData!AK:AK)</f>
        <v>0</v>
      </c>
      <c r="AH94">
        <f>SUMIF(RawData!$C:$C,$A94,RawData!AL:AL)</f>
        <v>0</v>
      </c>
      <c r="AI94">
        <f>SUMIF(RawData!$C:$C,$A94,RawData!AM:AM)</f>
        <v>0</v>
      </c>
      <c r="AJ94">
        <f>SUMIF(RawData!$C:$C,$A94,RawData!AN:AN)</f>
        <v>0</v>
      </c>
      <c r="AK94">
        <f>SUMIF(RawData!$C:$C,$A94,RawData!AO:AO)</f>
        <v>0</v>
      </c>
      <c r="AL94">
        <f>SUMIF(RawData!$C:$C,$A94,RawData!AP:AP)</f>
        <v>0</v>
      </c>
      <c r="AM94">
        <f>SUMIF(RawData!$C:$C,$A94,RawData!AQ:AQ)</f>
        <v>1</v>
      </c>
      <c r="AN94">
        <f>SUMIF(RawData!$C:$C,$A94,RawData!AR:AR)</f>
        <v>1</v>
      </c>
      <c r="AO94">
        <f>SUMIF(RawData!$C:$C,$A94,RawData!AS:AS)</f>
        <v>1</v>
      </c>
      <c r="AP94">
        <f>SUMIF(RawData!$C:$C,$A94,RawData!AT:AT)</f>
        <v>1</v>
      </c>
      <c r="AQ94">
        <f>SUMIF(RawData!$C:$C,$A94,RawData!AU:AU)</f>
        <v>1</v>
      </c>
      <c r="AR94">
        <f>SUMIF(RawData!$C:$C,$A94,RawData!AV:AV)</f>
        <v>3</v>
      </c>
      <c r="AS94">
        <f>SUMIF(RawData!$C:$C,$A94,RawData!AW:AW)</f>
        <v>3</v>
      </c>
      <c r="AT94">
        <f>SUMIF(RawData!$C:$C,$A94,RawData!AX:AX)</f>
        <v>4</v>
      </c>
      <c r="AU94">
        <f>SUMIF(RawData!$C:$C,$A94,RawData!AY:AY)</f>
        <v>5</v>
      </c>
      <c r="AV94">
        <f>SUMIF(RawData!$C:$C,$A94,RawData!AZ:AZ)</f>
        <v>5</v>
      </c>
      <c r="AW94">
        <f>SUMIF(RawData!$C:$C,$A94,RawData!BA:BA)</f>
        <v>5</v>
      </c>
      <c r="AX94">
        <f>SUMIF(RawData!$C:$C,$A94,RawData!BB:BB)</f>
        <v>5</v>
      </c>
      <c r="AY94">
        <f>SUMIF(RawData!$C:$C,$A94,RawData!BC:BC)</f>
        <v>5</v>
      </c>
      <c r="AZ94">
        <f>SUMIF(RawData!$C:$C,$A94,RawData!BD:BD)</f>
        <v>5</v>
      </c>
      <c r="BA94">
        <f>SUMIF(RawData!$C:$C,$A94,RawData!BE:BE)</f>
        <v>5</v>
      </c>
      <c r="BB94">
        <f>SUMIF(RawData!$C:$C,$A94,RawData!BF:BF)</f>
        <v>6</v>
      </c>
      <c r="BC94">
        <f>SUMIF(RawData!$C:$C,$A94,RawData!BG:BG)</f>
        <v>8</v>
      </c>
      <c r="BD94">
        <f>SUMIF(RawData!$C:$C,$A94,RawData!BH:BH)</f>
        <v>0</v>
      </c>
      <c r="BE94">
        <f>SUMIF(RawData!$C:$C,$A94,RawData!BI:BI)</f>
        <v>0</v>
      </c>
      <c r="BF94">
        <f>SUMIF(RawData!$C:$C,$A94,RawData!BJ:BJ)</f>
        <v>0</v>
      </c>
      <c r="BG94">
        <f>SUMIF(RawData!$C:$C,$A94,RawData!BK:BK)</f>
        <v>0</v>
      </c>
      <c r="BH94">
        <f>SUMIF(RawData!$C:$C,$A94,RawData!BL:BL)</f>
        <v>0</v>
      </c>
      <c r="BI94">
        <f>SUMIF(RawData!$C:$C,$A94,RawData!BM:BM)</f>
        <v>0</v>
      </c>
      <c r="BJ94">
        <f>SUMIF(RawData!$C:$C,$A94,RawData!BN:BN)</f>
        <v>0</v>
      </c>
      <c r="BK94">
        <f>SUMIF(RawData!$C:$C,$A94,RawData!BO:BO)</f>
        <v>0</v>
      </c>
      <c r="BL94">
        <f>SUMIF(RawData!$C:$C,$A94,RawData!BP:BP)</f>
        <v>0</v>
      </c>
      <c r="BM94">
        <f>SUMIF(RawData!$C:$C,$A94,RawData!BQ:BQ)</f>
        <v>0</v>
      </c>
      <c r="BN94">
        <f>SUMIF(RawData!$C:$C,$A94,RawData!BR:BR)</f>
        <v>0</v>
      </c>
      <c r="BO94">
        <f>SUMIF(RawData!$C:$C,$A94,RawData!BS:BS)</f>
        <v>0</v>
      </c>
      <c r="BP94">
        <f>SUMIF(RawData!$C:$C,$A94,RawData!BT:BT)</f>
        <v>0</v>
      </c>
      <c r="BQ94">
        <f>SUMIF(RawData!$C:$C,$A94,RawData!BU:BU)</f>
        <v>0</v>
      </c>
      <c r="BR94">
        <f>SUMIF(RawData!$C:$C,$A94,RawData!BV:BV)</f>
        <v>0</v>
      </c>
      <c r="BS94">
        <f>SUMIF(RawData!$C:$C,$A94,RawData!BW:BW)</f>
        <v>0</v>
      </c>
      <c r="BT94">
        <f>SUMIF(RawData!$C:$C,$A94,RawData!BX:BX)</f>
        <v>0</v>
      </c>
    </row>
    <row r="95" spans="1:72" ht="15" thickBot="1" x14ac:dyDescent="0.35">
      <c r="A95" s="5" t="s">
        <v>382</v>
      </c>
      <c r="B95">
        <f>SUMIF(RawData!$C:$C,$A95,RawData!F:F)</f>
        <v>0</v>
      </c>
      <c r="C95">
        <f>SUMIF(RawData!$C:$C,$A95,RawData!G:G)</f>
        <v>0</v>
      </c>
      <c r="D95">
        <f>SUMIF(RawData!$C:$C,$A95,RawData!H:H)</f>
        <v>0</v>
      </c>
      <c r="E95">
        <f>SUMIF(RawData!$C:$C,$A95,RawData!I:I)</f>
        <v>0</v>
      </c>
      <c r="F95">
        <f>SUMIF(RawData!$C:$C,$A95,RawData!J:J)</f>
        <v>0</v>
      </c>
      <c r="G95">
        <f>SUMIF(RawData!$C:$C,$A95,RawData!K:K)</f>
        <v>0</v>
      </c>
      <c r="H95">
        <f>SUMIF(RawData!$C:$C,$A95,RawData!L:L)</f>
        <v>0</v>
      </c>
      <c r="I95">
        <f>SUMIF(RawData!$C:$C,$A95,RawData!M:M)</f>
        <v>0</v>
      </c>
      <c r="J95">
        <f>SUMIF(RawData!$C:$C,$A95,RawData!N:N)</f>
        <v>0</v>
      </c>
      <c r="K95">
        <f>SUMIF(RawData!$C:$C,$A95,RawData!O:O)</f>
        <v>0</v>
      </c>
      <c r="L95">
        <f>SUMIF(RawData!$C:$C,$A95,RawData!P:P)</f>
        <v>0</v>
      </c>
      <c r="M95">
        <f>SUMIF(RawData!$C:$C,$A95,RawData!Q:Q)</f>
        <v>0</v>
      </c>
      <c r="N95">
        <f>SUMIF(RawData!$C:$C,$A95,RawData!R:R)</f>
        <v>0</v>
      </c>
      <c r="O95">
        <f>SUMIF(RawData!$C:$C,$A95,RawData!S:S)</f>
        <v>0</v>
      </c>
      <c r="P95">
        <f>SUMIF(RawData!$C:$C,$A95,RawData!T:T)</f>
        <v>0</v>
      </c>
      <c r="Q95">
        <f>SUMIF(RawData!$C:$C,$A95,RawData!U:U)</f>
        <v>0</v>
      </c>
      <c r="R95">
        <f>SUMIF(RawData!$C:$C,$A95,RawData!V:V)</f>
        <v>0</v>
      </c>
      <c r="S95">
        <f>SUMIF(RawData!$C:$C,$A95,RawData!W:W)</f>
        <v>0</v>
      </c>
      <c r="T95">
        <f>SUMIF(RawData!$C:$C,$A95,RawData!X:X)</f>
        <v>0</v>
      </c>
      <c r="U95">
        <f>SUMIF(RawData!$C:$C,$A95,RawData!Y:Y)</f>
        <v>0</v>
      </c>
      <c r="V95">
        <f>SUMIF(RawData!$C:$C,$A95,RawData!Z:Z)</f>
        <v>0</v>
      </c>
      <c r="W95">
        <f>SUMIF(RawData!$C:$C,$A95,RawData!AA:AA)</f>
        <v>0</v>
      </c>
      <c r="X95">
        <f>SUMIF(RawData!$C:$C,$A95,RawData!AB:AB)</f>
        <v>0</v>
      </c>
      <c r="Y95">
        <f>SUMIF(RawData!$C:$C,$A95,RawData!AC:AC)</f>
        <v>0</v>
      </c>
      <c r="Z95">
        <f>SUMIF(RawData!$C:$C,$A95,RawData!AD:AD)</f>
        <v>0</v>
      </c>
      <c r="AA95">
        <f>SUMIF(RawData!$C:$C,$A95,RawData!AE:AE)</f>
        <v>0</v>
      </c>
      <c r="AB95">
        <f>SUMIF(RawData!$C:$C,$A95,RawData!AF:AF)</f>
        <v>0</v>
      </c>
      <c r="AC95">
        <f>SUMIF(RawData!$C:$C,$A95,RawData!AG:AG)</f>
        <v>0</v>
      </c>
      <c r="AD95">
        <f>SUMIF(RawData!$C:$C,$A95,RawData!AH:AH)</f>
        <v>0</v>
      </c>
      <c r="AE95">
        <f>SUMIF(RawData!$C:$C,$A95,RawData!AI:AI)</f>
        <v>0</v>
      </c>
      <c r="AF95">
        <f>SUMIF(RawData!$C:$C,$A95,RawData!AJ:AJ)</f>
        <v>0</v>
      </c>
      <c r="AG95">
        <f>SUMIF(RawData!$C:$C,$A95,RawData!AK:AK)</f>
        <v>0</v>
      </c>
      <c r="AH95">
        <f>SUMIF(RawData!$C:$C,$A95,RawData!AL:AL)</f>
        <v>0</v>
      </c>
      <c r="AI95">
        <f>SUMIF(RawData!$C:$C,$A95,RawData!AM:AM)</f>
        <v>0</v>
      </c>
      <c r="AJ95">
        <f>SUMIF(RawData!$C:$C,$A95,RawData!AN:AN)</f>
        <v>0</v>
      </c>
      <c r="AK95">
        <f>SUMIF(RawData!$C:$C,$A95,RawData!AO:AO)</f>
        <v>0</v>
      </c>
      <c r="AL95">
        <f>SUMIF(RawData!$C:$C,$A95,RawData!AP:AP)</f>
        <v>0</v>
      </c>
      <c r="AM95">
        <f>SUMIF(RawData!$C:$C,$A95,RawData!AQ:AQ)</f>
        <v>0</v>
      </c>
      <c r="AN95">
        <f>SUMIF(RawData!$C:$C,$A95,RawData!AR:AR)</f>
        <v>0</v>
      </c>
      <c r="AO95">
        <f>SUMIF(RawData!$C:$C,$A95,RawData!AS:AS)</f>
        <v>0</v>
      </c>
      <c r="AP95">
        <f>SUMIF(RawData!$C:$C,$A95,RawData!AT:AT)</f>
        <v>0</v>
      </c>
      <c r="AQ95">
        <f>SUMIF(RawData!$C:$C,$A95,RawData!AU:AU)</f>
        <v>0</v>
      </c>
      <c r="AR95">
        <f>SUMIF(RawData!$C:$C,$A95,RawData!AV:AV)</f>
        <v>0</v>
      </c>
      <c r="AS95">
        <f>SUMIF(RawData!$C:$C,$A95,RawData!AW:AW)</f>
        <v>0</v>
      </c>
      <c r="AT95">
        <f>SUMIF(RawData!$C:$C,$A95,RawData!AX:AX)</f>
        <v>0</v>
      </c>
      <c r="AU95">
        <f>SUMIF(RawData!$C:$C,$A95,RawData!AY:AY)</f>
        <v>0</v>
      </c>
      <c r="AV95">
        <f>SUMIF(RawData!$C:$C,$A95,RawData!AZ:AZ)</f>
        <v>0</v>
      </c>
      <c r="AW95">
        <f>SUMIF(RawData!$C:$C,$A95,RawData!BA:BA)</f>
        <v>0</v>
      </c>
      <c r="AX95">
        <f>SUMIF(RawData!$C:$C,$A95,RawData!BB:BB)</f>
        <v>0</v>
      </c>
      <c r="AY95">
        <f>SUMIF(RawData!$C:$C,$A95,RawData!BC:BC)</f>
        <v>1</v>
      </c>
      <c r="AZ95">
        <f>SUMIF(RawData!$C:$C,$A95,RawData!BD:BD)</f>
        <v>1</v>
      </c>
      <c r="BA95">
        <f>SUMIF(RawData!$C:$C,$A95,RawData!BE:BE)</f>
        <v>5</v>
      </c>
      <c r="BB95">
        <f>SUMIF(RawData!$C:$C,$A95,RawData!BF:BF)</f>
        <v>6</v>
      </c>
      <c r="BC95">
        <f>SUMIF(RawData!$C:$C,$A95,RawData!BG:BG)</f>
        <v>7</v>
      </c>
      <c r="BD95">
        <f>SUMIF(RawData!$C:$C,$A95,RawData!BH:BH)</f>
        <v>0</v>
      </c>
      <c r="BE95">
        <f>SUMIF(RawData!$C:$C,$A95,RawData!BI:BI)</f>
        <v>0</v>
      </c>
      <c r="BF95">
        <f>SUMIF(RawData!$C:$C,$A95,RawData!BJ:BJ)</f>
        <v>0</v>
      </c>
      <c r="BG95">
        <f>SUMIF(RawData!$C:$C,$A95,RawData!BK:BK)</f>
        <v>0</v>
      </c>
      <c r="BH95">
        <f>SUMIF(RawData!$C:$C,$A95,RawData!BL:BL)</f>
        <v>0</v>
      </c>
      <c r="BI95">
        <f>SUMIF(RawData!$C:$C,$A95,RawData!BM:BM)</f>
        <v>0</v>
      </c>
      <c r="BJ95">
        <f>SUMIF(RawData!$C:$C,$A95,RawData!BN:BN)</f>
        <v>0</v>
      </c>
      <c r="BK95">
        <f>SUMIF(RawData!$C:$C,$A95,RawData!BO:BO)</f>
        <v>0</v>
      </c>
      <c r="BL95">
        <f>SUMIF(RawData!$C:$C,$A95,RawData!BP:BP)</f>
        <v>0</v>
      </c>
      <c r="BM95">
        <f>SUMIF(RawData!$C:$C,$A95,RawData!BQ:BQ)</f>
        <v>0</v>
      </c>
      <c r="BN95">
        <f>SUMIF(RawData!$C:$C,$A95,RawData!BR:BR)</f>
        <v>0</v>
      </c>
      <c r="BO95">
        <f>SUMIF(RawData!$C:$C,$A95,RawData!BS:BS)</f>
        <v>0</v>
      </c>
      <c r="BP95">
        <f>SUMIF(RawData!$C:$C,$A95,RawData!BT:BT)</f>
        <v>0</v>
      </c>
      <c r="BQ95">
        <f>SUMIF(RawData!$C:$C,$A95,RawData!BU:BU)</f>
        <v>0</v>
      </c>
      <c r="BR95">
        <f>SUMIF(RawData!$C:$C,$A95,RawData!BV:BV)</f>
        <v>0</v>
      </c>
      <c r="BS95">
        <f>SUMIF(RawData!$C:$C,$A95,RawData!BW:BW)</f>
        <v>0</v>
      </c>
      <c r="BT95">
        <f>SUMIF(RawData!$C:$C,$A95,RawData!BX:BX)</f>
        <v>0</v>
      </c>
    </row>
    <row r="96" spans="1:72" ht="15" thickBot="1" x14ac:dyDescent="0.35">
      <c r="A96" s="4" t="s">
        <v>383</v>
      </c>
      <c r="B96">
        <f>SUMIF(RawData!$C:$C,$A96,RawData!F:F)</f>
        <v>0</v>
      </c>
      <c r="C96">
        <f>SUMIF(RawData!$C:$C,$A96,RawData!G:G)</f>
        <v>0</v>
      </c>
      <c r="D96">
        <f>SUMIF(RawData!$C:$C,$A96,RawData!H:H)</f>
        <v>0</v>
      </c>
      <c r="E96">
        <f>SUMIF(RawData!$C:$C,$A96,RawData!I:I)</f>
        <v>0</v>
      </c>
      <c r="F96">
        <f>SUMIF(RawData!$C:$C,$A96,RawData!J:J)</f>
        <v>0</v>
      </c>
      <c r="G96">
        <f>SUMIF(RawData!$C:$C,$A96,RawData!K:K)</f>
        <v>0</v>
      </c>
      <c r="H96">
        <f>SUMIF(RawData!$C:$C,$A96,RawData!L:L)</f>
        <v>0</v>
      </c>
      <c r="I96">
        <f>SUMIF(RawData!$C:$C,$A96,RawData!M:M)</f>
        <v>0</v>
      </c>
      <c r="J96">
        <f>SUMIF(RawData!$C:$C,$A96,RawData!N:N)</f>
        <v>0</v>
      </c>
      <c r="K96">
        <f>SUMIF(RawData!$C:$C,$A96,RawData!O:O)</f>
        <v>0</v>
      </c>
      <c r="L96">
        <f>SUMIF(RawData!$C:$C,$A96,RawData!P:P)</f>
        <v>0</v>
      </c>
      <c r="M96">
        <f>SUMIF(RawData!$C:$C,$A96,RawData!Q:Q)</f>
        <v>0</v>
      </c>
      <c r="N96">
        <f>SUMIF(RawData!$C:$C,$A96,RawData!R:R)</f>
        <v>0</v>
      </c>
      <c r="O96">
        <f>SUMIF(RawData!$C:$C,$A96,RawData!S:S)</f>
        <v>0</v>
      </c>
      <c r="P96">
        <f>SUMIF(RawData!$C:$C,$A96,RawData!T:T)</f>
        <v>0</v>
      </c>
      <c r="Q96">
        <f>SUMIF(RawData!$C:$C,$A96,RawData!U:U)</f>
        <v>0</v>
      </c>
      <c r="R96">
        <f>SUMIF(RawData!$C:$C,$A96,RawData!V:V)</f>
        <v>0</v>
      </c>
      <c r="S96">
        <f>SUMIF(RawData!$C:$C,$A96,RawData!W:W)</f>
        <v>0</v>
      </c>
      <c r="T96">
        <f>SUMIF(RawData!$C:$C,$A96,RawData!X:X)</f>
        <v>0</v>
      </c>
      <c r="U96">
        <f>SUMIF(RawData!$C:$C,$A96,RawData!Y:Y)</f>
        <v>0</v>
      </c>
      <c r="V96">
        <f>SUMIF(RawData!$C:$C,$A96,RawData!Z:Z)</f>
        <v>0</v>
      </c>
      <c r="W96">
        <f>SUMIF(RawData!$C:$C,$A96,RawData!AA:AA)</f>
        <v>0</v>
      </c>
      <c r="X96">
        <f>SUMIF(RawData!$C:$C,$A96,RawData!AB:AB)</f>
        <v>0</v>
      </c>
      <c r="Y96">
        <f>SUMIF(RawData!$C:$C,$A96,RawData!AC:AC)</f>
        <v>0</v>
      </c>
      <c r="Z96">
        <f>SUMIF(RawData!$C:$C,$A96,RawData!AD:AD)</f>
        <v>0</v>
      </c>
      <c r="AA96">
        <f>SUMIF(RawData!$C:$C,$A96,RawData!AE:AE)</f>
        <v>0</v>
      </c>
      <c r="AB96">
        <f>SUMIF(RawData!$C:$C,$A96,RawData!AF:AF)</f>
        <v>0</v>
      </c>
      <c r="AC96">
        <f>SUMIF(RawData!$C:$C,$A96,RawData!AG:AG)</f>
        <v>0</v>
      </c>
      <c r="AD96">
        <f>SUMIF(RawData!$C:$C,$A96,RawData!AH:AH)</f>
        <v>0</v>
      </c>
      <c r="AE96">
        <f>SUMIF(RawData!$C:$C,$A96,RawData!AI:AI)</f>
        <v>0</v>
      </c>
      <c r="AF96">
        <f>SUMIF(RawData!$C:$C,$A96,RawData!AJ:AJ)</f>
        <v>0</v>
      </c>
      <c r="AG96">
        <f>SUMIF(RawData!$C:$C,$A96,RawData!AK:AK)</f>
        <v>0</v>
      </c>
      <c r="AH96">
        <f>SUMIF(RawData!$C:$C,$A96,RawData!AL:AL)</f>
        <v>0</v>
      </c>
      <c r="AI96">
        <f>SUMIF(RawData!$C:$C,$A96,RawData!AM:AM)</f>
        <v>0</v>
      </c>
      <c r="AJ96">
        <f>SUMIF(RawData!$C:$C,$A96,RawData!AN:AN)</f>
        <v>0</v>
      </c>
      <c r="AK96">
        <f>SUMIF(RawData!$C:$C,$A96,RawData!AO:AO)</f>
        <v>0</v>
      </c>
      <c r="AL96">
        <f>SUMIF(RawData!$C:$C,$A96,RawData!AP:AP)</f>
        <v>0</v>
      </c>
      <c r="AM96">
        <f>SUMIF(RawData!$C:$C,$A96,RawData!AQ:AQ)</f>
        <v>0</v>
      </c>
      <c r="AN96">
        <f>SUMIF(RawData!$C:$C,$A96,RawData!AR:AR)</f>
        <v>0</v>
      </c>
      <c r="AO96">
        <f>SUMIF(RawData!$C:$C,$A96,RawData!AS:AS)</f>
        <v>0</v>
      </c>
      <c r="AP96">
        <f>SUMIF(RawData!$C:$C,$A96,RawData!AT:AT)</f>
        <v>0</v>
      </c>
      <c r="AQ96">
        <f>SUMIF(RawData!$C:$C,$A96,RawData!AU:AU)</f>
        <v>0</v>
      </c>
      <c r="AR96">
        <f>SUMIF(RawData!$C:$C,$A96,RawData!AV:AV)</f>
        <v>0</v>
      </c>
      <c r="AS96">
        <f>SUMIF(RawData!$C:$C,$A96,RawData!AW:AW)</f>
        <v>0</v>
      </c>
      <c r="AT96">
        <f>SUMIF(RawData!$C:$C,$A96,RawData!AX:AX)</f>
        <v>0</v>
      </c>
      <c r="AU96">
        <f>SUMIF(RawData!$C:$C,$A96,RawData!AY:AY)</f>
        <v>0</v>
      </c>
      <c r="AV96">
        <f>SUMIF(RawData!$C:$C,$A96,RawData!AZ:AZ)</f>
        <v>0</v>
      </c>
      <c r="AW96">
        <f>SUMIF(RawData!$C:$C,$A96,RawData!BA:BA)</f>
        <v>0</v>
      </c>
      <c r="AX96">
        <f>SUMIF(RawData!$C:$C,$A96,RawData!BB:BB)</f>
        <v>0</v>
      </c>
      <c r="AY96">
        <f>SUMIF(RawData!$C:$C,$A96,RawData!BC:BC)</f>
        <v>1</v>
      </c>
      <c r="AZ96">
        <f>SUMIF(RawData!$C:$C,$A96,RawData!BD:BD)</f>
        <v>1</v>
      </c>
      <c r="BA96">
        <f>SUMIF(RawData!$C:$C,$A96,RawData!BE:BE)</f>
        <v>5</v>
      </c>
      <c r="BB96">
        <f>SUMIF(RawData!$C:$C,$A96,RawData!BF:BF)</f>
        <v>5</v>
      </c>
      <c r="BC96">
        <f>SUMIF(RawData!$C:$C,$A96,RawData!BG:BG)</f>
        <v>6</v>
      </c>
      <c r="BD96">
        <f>SUMIF(RawData!$C:$C,$A96,RawData!BH:BH)</f>
        <v>0</v>
      </c>
      <c r="BE96">
        <f>SUMIF(RawData!$C:$C,$A96,RawData!BI:BI)</f>
        <v>0</v>
      </c>
      <c r="BF96">
        <f>SUMIF(RawData!$C:$C,$A96,RawData!BJ:BJ)</f>
        <v>0</v>
      </c>
      <c r="BG96">
        <f>SUMIF(RawData!$C:$C,$A96,RawData!BK:BK)</f>
        <v>0</v>
      </c>
      <c r="BH96">
        <f>SUMIF(RawData!$C:$C,$A96,RawData!BL:BL)</f>
        <v>0</v>
      </c>
      <c r="BI96">
        <f>SUMIF(RawData!$C:$C,$A96,RawData!BM:BM)</f>
        <v>0</v>
      </c>
      <c r="BJ96">
        <f>SUMIF(RawData!$C:$C,$A96,RawData!BN:BN)</f>
        <v>0</v>
      </c>
      <c r="BK96">
        <f>SUMIF(RawData!$C:$C,$A96,RawData!BO:BO)</f>
        <v>0</v>
      </c>
      <c r="BL96">
        <f>SUMIF(RawData!$C:$C,$A96,RawData!BP:BP)</f>
        <v>0</v>
      </c>
      <c r="BM96">
        <f>SUMIF(RawData!$C:$C,$A96,RawData!BQ:BQ)</f>
        <v>0</v>
      </c>
      <c r="BN96">
        <f>SUMIF(RawData!$C:$C,$A96,RawData!BR:BR)</f>
        <v>0</v>
      </c>
      <c r="BO96">
        <f>SUMIF(RawData!$C:$C,$A96,RawData!BS:BS)</f>
        <v>0</v>
      </c>
      <c r="BP96">
        <f>SUMIF(RawData!$C:$C,$A96,RawData!BT:BT)</f>
        <v>0</v>
      </c>
      <c r="BQ96">
        <f>SUMIF(RawData!$C:$C,$A96,RawData!BU:BU)</f>
        <v>0</v>
      </c>
      <c r="BR96">
        <f>SUMIF(RawData!$C:$C,$A96,RawData!BV:BV)</f>
        <v>0</v>
      </c>
      <c r="BS96">
        <f>SUMIF(RawData!$C:$C,$A96,RawData!BW:BW)</f>
        <v>0</v>
      </c>
      <c r="BT96">
        <f>SUMIF(RawData!$C:$C,$A96,RawData!BX:BX)</f>
        <v>0</v>
      </c>
    </row>
    <row r="97" spans="1:72" ht="15" thickBot="1" x14ac:dyDescent="0.35">
      <c r="A97" s="5" t="s">
        <v>438</v>
      </c>
      <c r="B97">
        <f>SUMIF(RawData!$C:$C,$A97,RawData!F:F)</f>
        <v>0</v>
      </c>
      <c r="C97">
        <f>SUMIF(RawData!$C:$C,$A97,RawData!G:G)</f>
        <v>0</v>
      </c>
      <c r="D97">
        <f>SUMIF(RawData!$C:$C,$A97,RawData!H:H)</f>
        <v>0</v>
      </c>
      <c r="E97">
        <f>SUMIF(RawData!$C:$C,$A97,RawData!I:I)</f>
        <v>0</v>
      </c>
      <c r="F97">
        <f>SUMIF(RawData!$C:$C,$A97,RawData!J:J)</f>
        <v>0</v>
      </c>
      <c r="G97">
        <f>SUMIF(RawData!$C:$C,$A97,RawData!K:K)</f>
        <v>0</v>
      </c>
      <c r="H97">
        <f>SUMIF(RawData!$C:$C,$A97,RawData!L:L)</f>
        <v>0</v>
      </c>
      <c r="I97">
        <f>SUMIF(RawData!$C:$C,$A97,RawData!M:M)</f>
        <v>0</v>
      </c>
      <c r="J97">
        <f>SUMIF(RawData!$C:$C,$A97,RawData!N:N)</f>
        <v>0</v>
      </c>
      <c r="K97">
        <f>SUMIF(RawData!$C:$C,$A97,RawData!O:O)</f>
        <v>0</v>
      </c>
      <c r="L97">
        <f>SUMIF(RawData!$C:$C,$A97,RawData!P:P)</f>
        <v>0</v>
      </c>
      <c r="M97">
        <f>SUMIF(RawData!$C:$C,$A97,RawData!Q:Q)</f>
        <v>0</v>
      </c>
      <c r="N97">
        <f>SUMIF(RawData!$C:$C,$A97,RawData!R:R)</f>
        <v>0</v>
      </c>
      <c r="O97">
        <f>SUMIF(RawData!$C:$C,$A97,RawData!S:S)</f>
        <v>0</v>
      </c>
      <c r="P97">
        <f>SUMIF(RawData!$C:$C,$A97,RawData!T:T)</f>
        <v>0</v>
      </c>
      <c r="Q97">
        <f>SUMIF(RawData!$C:$C,$A97,RawData!U:U)</f>
        <v>0</v>
      </c>
      <c r="R97">
        <f>SUMIF(RawData!$C:$C,$A97,RawData!V:V)</f>
        <v>0</v>
      </c>
      <c r="S97">
        <f>SUMIF(RawData!$C:$C,$A97,RawData!W:W)</f>
        <v>0</v>
      </c>
      <c r="T97">
        <f>SUMIF(RawData!$C:$C,$A97,RawData!X:X)</f>
        <v>0</v>
      </c>
      <c r="U97">
        <f>SUMIF(RawData!$C:$C,$A97,RawData!Y:Y)</f>
        <v>0</v>
      </c>
      <c r="V97">
        <f>SUMIF(RawData!$C:$C,$A97,RawData!Z:Z)</f>
        <v>0</v>
      </c>
      <c r="W97">
        <f>SUMIF(RawData!$C:$C,$A97,RawData!AA:AA)</f>
        <v>0</v>
      </c>
      <c r="X97">
        <f>SUMIF(RawData!$C:$C,$A97,RawData!AB:AB)</f>
        <v>0</v>
      </c>
      <c r="Y97">
        <f>SUMIF(RawData!$C:$C,$A97,RawData!AC:AC)</f>
        <v>0</v>
      </c>
      <c r="Z97">
        <f>SUMIF(RawData!$C:$C,$A97,RawData!AD:AD)</f>
        <v>0</v>
      </c>
      <c r="AA97">
        <f>SUMIF(RawData!$C:$C,$A97,RawData!AE:AE)</f>
        <v>0</v>
      </c>
      <c r="AB97">
        <f>SUMIF(RawData!$C:$C,$A97,RawData!AF:AF)</f>
        <v>0</v>
      </c>
      <c r="AC97">
        <f>SUMIF(RawData!$C:$C,$A97,RawData!AG:AG)</f>
        <v>0</v>
      </c>
      <c r="AD97">
        <f>SUMIF(RawData!$C:$C,$A97,RawData!AH:AH)</f>
        <v>0</v>
      </c>
      <c r="AE97">
        <f>SUMIF(RawData!$C:$C,$A97,RawData!AI:AI)</f>
        <v>0</v>
      </c>
      <c r="AF97">
        <f>SUMIF(RawData!$C:$C,$A97,RawData!AJ:AJ)</f>
        <v>0</v>
      </c>
      <c r="AG97">
        <f>SUMIF(RawData!$C:$C,$A97,RawData!AK:AK)</f>
        <v>0</v>
      </c>
      <c r="AH97">
        <f>SUMIF(RawData!$C:$C,$A97,RawData!AL:AL)</f>
        <v>0</v>
      </c>
      <c r="AI97">
        <f>SUMIF(RawData!$C:$C,$A97,RawData!AM:AM)</f>
        <v>0</v>
      </c>
      <c r="AJ97">
        <f>SUMIF(RawData!$C:$C,$A97,RawData!AN:AN)</f>
        <v>0</v>
      </c>
      <c r="AK97">
        <f>SUMIF(RawData!$C:$C,$A97,RawData!AO:AO)</f>
        <v>0</v>
      </c>
      <c r="AL97">
        <f>SUMIF(RawData!$C:$C,$A97,RawData!AP:AP)</f>
        <v>0</v>
      </c>
      <c r="AM97">
        <f>SUMIF(RawData!$C:$C,$A97,RawData!AQ:AQ)</f>
        <v>0</v>
      </c>
      <c r="AN97">
        <f>SUMIF(RawData!$C:$C,$A97,RawData!AR:AR)</f>
        <v>0</v>
      </c>
      <c r="AO97">
        <f>SUMIF(RawData!$C:$C,$A97,RawData!AS:AS)</f>
        <v>0</v>
      </c>
      <c r="AP97">
        <f>SUMIF(RawData!$C:$C,$A97,RawData!AT:AT)</f>
        <v>0</v>
      </c>
      <c r="AQ97">
        <f>SUMIF(RawData!$C:$C,$A97,RawData!AU:AU)</f>
        <v>0</v>
      </c>
      <c r="AR97">
        <f>SUMIF(RawData!$C:$C,$A97,RawData!AV:AV)</f>
        <v>0</v>
      </c>
      <c r="AS97">
        <f>SUMIF(RawData!$C:$C,$A97,RawData!AW:AW)</f>
        <v>0</v>
      </c>
      <c r="AT97">
        <f>SUMIF(RawData!$C:$C,$A97,RawData!AX:AX)</f>
        <v>0</v>
      </c>
      <c r="AU97">
        <f>SUMIF(RawData!$C:$C,$A97,RawData!AY:AY)</f>
        <v>0</v>
      </c>
      <c r="AV97">
        <f>SUMIF(RawData!$C:$C,$A97,RawData!AZ:AZ)</f>
        <v>0</v>
      </c>
      <c r="AW97">
        <f>SUMIF(RawData!$C:$C,$A97,RawData!BA:BA)</f>
        <v>0</v>
      </c>
      <c r="AX97">
        <f>SUMIF(RawData!$C:$C,$A97,RawData!BB:BB)</f>
        <v>0</v>
      </c>
      <c r="AY97">
        <f>SUMIF(RawData!$C:$C,$A97,RawData!BC:BC)</f>
        <v>0</v>
      </c>
      <c r="AZ97">
        <f>SUMIF(RawData!$C:$C,$A97,RawData!BD:BD)</f>
        <v>3</v>
      </c>
      <c r="BA97">
        <f>SUMIF(RawData!$C:$C,$A97,RawData!BE:BE)</f>
        <v>4</v>
      </c>
      <c r="BB97">
        <f>SUMIF(RawData!$C:$C,$A97,RawData!BF:BF)</f>
        <v>4</v>
      </c>
      <c r="BC97">
        <f>SUMIF(RawData!$C:$C,$A97,RawData!BG:BG)</f>
        <v>4</v>
      </c>
      <c r="BD97">
        <f>SUMIF(RawData!$C:$C,$A97,RawData!BH:BH)</f>
        <v>0</v>
      </c>
      <c r="BE97">
        <f>SUMIF(RawData!$C:$C,$A97,RawData!BI:BI)</f>
        <v>0</v>
      </c>
      <c r="BF97">
        <f>SUMIF(RawData!$C:$C,$A97,RawData!BJ:BJ)</f>
        <v>0</v>
      </c>
      <c r="BG97">
        <f>SUMIF(RawData!$C:$C,$A97,RawData!BK:BK)</f>
        <v>0</v>
      </c>
      <c r="BH97">
        <f>SUMIF(RawData!$C:$C,$A97,RawData!BL:BL)</f>
        <v>0</v>
      </c>
      <c r="BI97">
        <f>SUMIF(RawData!$C:$C,$A97,RawData!BM:BM)</f>
        <v>0</v>
      </c>
      <c r="BJ97">
        <f>SUMIF(RawData!$C:$C,$A97,RawData!BN:BN)</f>
        <v>0</v>
      </c>
      <c r="BK97">
        <f>SUMIF(RawData!$C:$C,$A97,RawData!BO:BO)</f>
        <v>0</v>
      </c>
      <c r="BL97">
        <f>SUMIF(RawData!$C:$C,$A97,RawData!BP:BP)</f>
        <v>0</v>
      </c>
      <c r="BM97">
        <f>SUMIF(RawData!$C:$C,$A97,RawData!BQ:BQ)</f>
        <v>0</v>
      </c>
      <c r="BN97">
        <f>SUMIF(RawData!$C:$C,$A97,RawData!BR:BR)</f>
        <v>0</v>
      </c>
      <c r="BO97">
        <f>SUMIF(RawData!$C:$C,$A97,RawData!BS:BS)</f>
        <v>0</v>
      </c>
      <c r="BP97">
        <f>SUMIF(RawData!$C:$C,$A97,RawData!BT:BT)</f>
        <v>0</v>
      </c>
      <c r="BQ97">
        <f>SUMIF(RawData!$C:$C,$A97,RawData!BU:BU)</f>
        <v>0</v>
      </c>
      <c r="BR97">
        <f>SUMIF(RawData!$C:$C,$A97,RawData!BV:BV)</f>
        <v>0</v>
      </c>
      <c r="BS97">
        <f>SUMIF(RawData!$C:$C,$A97,RawData!BW:BW)</f>
        <v>0</v>
      </c>
      <c r="BT97">
        <f>SUMIF(RawData!$C:$C,$A97,RawData!BX:BX)</f>
        <v>0</v>
      </c>
    </row>
    <row r="98" spans="1:72" ht="15" thickBot="1" x14ac:dyDescent="0.35">
      <c r="A98" s="5" t="s">
        <v>441</v>
      </c>
      <c r="B98">
        <f>SUMIF(RawData!$C:$C,$A98,RawData!F:F)</f>
        <v>0</v>
      </c>
      <c r="C98">
        <f>SUMIF(RawData!$C:$C,$A98,RawData!G:G)</f>
        <v>0</v>
      </c>
      <c r="D98">
        <f>SUMIF(RawData!$C:$C,$A98,RawData!H:H)</f>
        <v>0</v>
      </c>
      <c r="E98">
        <f>SUMIF(RawData!$C:$C,$A98,RawData!I:I)</f>
        <v>0</v>
      </c>
      <c r="F98">
        <f>SUMIF(RawData!$C:$C,$A98,RawData!J:J)</f>
        <v>0</v>
      </c>
      <c r="G98">
        <f>SUMIF(RawData!$C:$C,$A98,RawData!K:K)</f>
        <v>0</v>
      </c>
      <c r="H98">
        <f>SUMIF(RawData!$C:$C,$A98,RawData!L:L)</f>
        <v>0</v>
      </c>
      <c r="I98">
        <f>SUMIF(RawData!$C:$C,$A98,RawData!M:M)</f>
        <v>0</v>
      </c>
      <c r="J98">
        <f>SUMIF(RawData!$C:$C,$A98,RawData!N:N)</f>
        <v>0</v>
      </c>
      <c r="K98">
        <f>SUMIF(RawData!$C:$C,$A98,RawData!O:O)</f>
        <v>0</v>
      </c>
      <c r="L98">
        <f>SUMIF(RawData!$C:$C,$A98,RawData!P:P)</f>
        <v>0</v>
      </c>
      <c r="M98">
        <f>SUMIF(RawData!$C:$C,$A98,RawData!Q:Q)</f>
        <v>0</v>
      </c>
      <c r="N98">
        <f>SUMIF(RawData!$C:$C,$A98,RawData!R:R)</f>
        <v>0</v>
      </c>
      <c r="O98">
        <f>SUMIF(RawData!$C:$C,$A98,RawData!S:S)</f>
        <v>0</v>
      </c>
      <c r="P98">
        <f>SUMIF(RawData!$C:$C,$A98,RawData!T:T)</f>
        <v>0</v>
      </c>
      <c r="Q98">
        <f>SUMIF(RawData!$C:$C,$A98,RawData!U:U)</f>
        <v>0</v>
      </c>
      <c r="R98">
        <f>SUMIF(RawData!$C:$C,$A98,RawData!V:V)</f>
        <v>0</v>
      </c>
      <c r="S98">
        <f>SUMIF(RawData!$C:$C,$A98,RawData!W:W)</f>
        <v>0</v>
      </c>
      <c r="T98">
        <f>SUMIF(RawData!$C:$C,$A98,RawData!X:X)</f>
        <v>0</v>
      </c>
      <c r="U98">
        <f>SUMIF(RawData!$C:$C,$A98,RawData!Y:Y)</f>
        <v>0</v>
      </c>
      <c r="V98">
        <f>SUMIF(RawData!$C:$C,$A98,RawData!Z:Z)</f>
        <v>0</v>
      </c>
      <c r="W98">
        <f>SUMIF(RawData!$C:$C,$A98,RawData!AA:AA)</f>
        <v>0</v>
      </c>
      <c r="X98">
        <f>SUMIF(RawData!$C:$C,$A98,RawData!AB:AB)</f>
        <v>0</v>
      </c>
      <c r="Y98">
        <f>SUMIF(RawData!$C:$C,$A98,RawData!AC:AC)</f>
        <v>0</v>
      </c>
      <c r="Z98">
        <f>SUMIF(RawData!$C:$C,$A98,RawData!AD:AD)</f>
        <v>0</v>
      </c>
      <c r="AA98">
        <f>SUMIF(RawData!$C:$C,$A98,RawData!AE:AE)</f>
        <v>0</v>
      </c>
      <c r="AB98">
        <f>SUMIF(RawData!$C:$C,$A98,RawData!AF:AF)</f>
        <v>0</v>
      </c>
      <c r="AC98">
        <f>SUMIF(RawData!$C:$C,$A98,RawData!AG:AG)</f>
        <v>0</v>
      </c>
      <c r="AD98">
        <f>SUMIF(RawData!$C:$C,$A98,RawData!AH:AH)</f>
        <v>0</v>
      </c>
      <c r="AE98">
        <f>SUMIF(RawData!$C:$C,$A98,RawData!AI:AI)</f>
        <v>0</v>
      </c>
      <c r="AF98">
        <f>SUMIF(RawData!$C:$C,$A98,RawData!AJ:AJ)</f>
        <v>0</v>
      </c>
      <c r="AG98">
        <f>SUMIF(RawData!$C:$C,$A98,RawData!AK:AK)</f>
        <v>0</v>
      </c>
      <c r="AH98">
        <f>SUMIF(RawData!$C:$C,$A98,RawData!AL:AL)</f>
        <v>0</v>
      </c>
      <c r="AI98">
        <f>SUMIF(RawData!$C:$C,$A98,RawData!AM:AM)</f>
        <v>0</v>
      </c>
      <c r="AJ98">
        <f>SUMIF(RawData!$C:$C,$A98,RawData!AN:AN)</f>
        <v>0</v>
      </c>
      <c r="AK98">
        <f>SUMIF(RawData!$C:$C,$A98,RawData!AO:AO)</f>
        <v>0</v>
      </c>
      <c r="AL98">
        <f>SUMIF(RawData!$C:$C,$A98,RawData!AP:AP)</f>
        <v>0</v>
      </c>
      <c r="AM98">
        <f>SUMIF(RawData!$C:$C,$A98,RawData!AQ:AQ)</f>
        <v>0</v>
      </c>
      <c r="AN98">
        <f>SUMIF(RawData!$C:$C,$A98,RawData!AR:AR)</f>
        <v>0</v>
      </c>
      <c r="AO98">
        <f>SUMIF(RawData!$C:$C,$A98,RawData!AS:AS)</f>
        <v>0</v>
      </c>
      <c r="AP98">
        <f>SUMIF(RawData!$C:$C,$A98,RawData!AT:AT)</f>
        <v>0</v>
      </c>
      <c r="AQ98">
        <f>SUMIF(RawData!$C:$C,$A98,RawData!AU:AU)</f>
        <v>0</v>
      </c>
      <c r="AR98">
        <f>SUMIF(RawData!$C:$C,$A98,RawData!AV:AV)</f>
        <v>0</v>
      </c>
      <c r="AS98">
        <f>SUMIF(RawData!$C:$C,$A98,RawData!AW:AW)</f>
        <v>0</v>
      </c>
      <c r="AT98">
        <f>SUMIF(RawData!$C:$C,$A98,RawData!AX:AX)</f>
        <v>0</v>
      </c>
      <c r="AU98">
        <f>SUMIF(RawData!$C:$C,$A98,RawData!AY:AY)</f>
        <v>0</v>
      </c>
      <c r="AV98">
        <f>SUMIF(RawData!$C:$C,$A98,RawData!AZ:AZ)</f>
        <v>0</v>
      </c>
      <c r="AW98">
        <f>SUMIF(RawData!$C:$C,$A98,RawData!BA:BA)</f>
        <v>0</v>
      </c>
      <c r="AX98">
        <f>SUMIF(RawData!$C:$C,$A98,RawData!BB:BB)</f>
        <v>0</v>
      </c>
      <c r="AY98">
        <f>SUMIF(RawData!$C:$C,$A98,RawData!BC:BC)</f>
        <v>0</v>
      </c>
      <c r="AZ98">
        <f>SUMIF(RawData!$C:$C,$A98,RawData!BD:BD)</f>
        <v>0</v>
      </c>
      <c r="BA98">
        <f>SUMIF(RawData!$C:$C,$A98,RawData!BE:BE)</f>
        <v>4</v>
      </c>
      <c r="BB98">
        <f>SUMIF(RawData!$C:$C,$A98,RawData!BF:BF)</f>
        <v>6</v>
      </c>
      <c r="BC98">
        <f>SUMIF(RawData!$C:$C,$A98,RawData!BG:BG)</f>
        <v>9</v>
      </c>
      <c r="BD98">
        <f>SUMIF(RawData!$C:$C,$A98,RawData!BH:BH)</f>
        <v>0</v>
      </c>
      <c r="BE98">
        <f>SUMIF(RawData!$C:$C,$A98,RawData!BI:BI)</f>
        <v>0</v>
      </c>
      <c r="BF98">
        <f>SUMIF(RawData!$C:$C,$A98,RawData!BJ:BJ)</f>
        <v>0</v>
      </c>
      <c r="BG98">
        <f>SUMIF(RawData!$C:$C,$A98,RawData!BK:BK)</f>
        <v>0</v>
      </c>
      <c r="BH98">
        <f>SUMIF(RawData!$C:$C,$A98,RawData!BL:BL)</f>
        <v>0</v>
      </c>
      <c r="BI98">
        <f>SUMIF(RawData!$C:$C,$A98,RawData!BM:BM)</f>
        <v>0</v>
      </c>
      <c r="BJ98">
        <f>SUMIF(RawData!$C:$C,$A98,RawData!BN:BN)</f>
        <v>0</v>
      </c>
      <c r="BK98">
        <f>SUMIF(RawData!$C:$C,$A98,RawData!BO:BO)</f>
        <v>0</v>
      </c>
      <c r="BL98">
        <f>SUMIF(RawData!$C:$C,$A98,RawData!BP:BP)</f>
        <v>0</v>
      </c>
      <c r="BM98">
        <f>SUMIF(RawData!$C:$C,$A98,RawData!BQ:BQ)</f>
        <v>0</v>
      </c>
      <c r="BN98">
        <f>SUMIF(RawData!$C:$C,$A98,RawData!BR:BR)</f>
        <v>0</v>
      </c>
      <c r="BO98">
        <f>SUMIF(RawData!$C:$C,$A98,RawData!BS:BS)</f>
        <v>0</v>
      </c>
      <c r="BP98">
        <f>SUMIF(RawData!$C:$C,$A98,RawData!BT:BT)</f>
        <v>0</v>
      </c>
      <c r="BQ98">
        <f>SUMIF(RawData!$C:$C,$A98,RawData!BU:BU)</f>
        <v>0</v>
      </c>
      <c r="BR98">
        <f>SUMIF(RawData!$C:$C,$A98,RawData!BV:BV)</f>
        <v>0</v>
      </c>
      <c r="BS98">
        <f>SUMIF(RawData!$C:$C,$A98,RawData!BW:BW)</f>
        <v>0</v>
      </c>
      <c r="BT98">
        <f>SUMIF(RawData!$C:$C,$A98,RawData!BX:BX)</f>
        <v>0</v>
      </c>
    </row>
    <row r="99" spans="1:72" ht="15" thickBot="1" x14ac:dyDescent="0.35">
      <c r="A99" s="4" t="s">
        <v>229</v>
      </c>
      <c r="B99">
        <f>SUMIF(RawData!$C:$C,$A99,RawData!F:F)</f>
        <v>0</v>
      </c>
      <c r="C99">
        <f>SUMIF(RawData!$C:$C,$A99,RawData!G:G)</f>
        <v>0</v>
      </c>
      <c r="D99">
        <f>SUMIF(RawData!$C:$C,$A99,RawData!H:H)</f>
        <v>0</v>
      </c>
      <c r="E99">
        <f>SUMIF(RawData!$C:$C,$A99,RawData!I:I)</f>
        <v>0</v>
      </c>
      <c r="F99">
        <f>SUMIF(RawData!$C:$C,$A99,RawData!J:J)</f>
        <v>0</v>
      </c>
      <c r="G99">
        <f>SUMIF(RawData!$C:$C,$A99,RawData!K:K)</f>
        <v>0</v>
      </c>
      <c r="H99">
        <f>SUMIF(RawData!$C:$C,$A99,RawData!L:L)</f>
        <v>0</v>
      </c>
      <c r="I99">
        <f>SUMIF(RawData!$C:$C,$A99,RawData!M:M)</f>
        <v>0</v>
      </c>
      <c r="J99">
        <f>SUMIF(RawData!$C:$C,$A99,RawData!N:N)</f>
        <v>0</v>
      </c>
      <c r="K99">
        <f>SUMIF(RawData!$C:$C,$A99,RawData!O:O)</f>
        <v>0</v>
      </c>
      <c r="L99">
        <f>SUMIF(RawData!$C:$C,$A99,RawData!P:P)</f>
        <v>0</v>
      </c>
      <c r="M99">
        <f>SUMIF(RawData!$C:$C,$A99,RawData!Q:Q)</f>
        <v>0</v>
      </c>
      <c r="N99">
        <f>SUMIF(RawData!$C:$C,$A99,RawData!R:R)</f>
        <v>0</v>
      </c>
      <c r="O99">
        <f>SUMIF(RawData!$C:$C,$A99,RawData!S:S)</f>
        <v>0</v>
      </c>
      <c r="P99">
        <f>SUMIF(RawData!$C:$C,$A99,RawData!T:T)</f>
        <v>0</v>
      </c>
      <c r="Q99">
        <f>SUMIF(RawData!$C:$C,$A99,RawData!U:U)</f>
        <v>0</v>
      </c>
      <c r="R99">
        <f>SUMIF(RawData!$C:$C,$A99,RawData!V:V)</f>
        <v>0</v>
      </c>
      <c r="S99">
        <f>SUMIF(RawData!$C:$C,$A99,RawData!W:W)</f>
        <v>0</v>
      </c>
      <c r="T99">
        <f>SUMIF(RawData!$C:$C,$A99,RawData!X:X)</f>
        <v>0</v>
      </c>
      <c r="U99">
        <f>SUMIF(RawData!$C:$C,$A99,RawData!Y:Y)</f>
        <v>0</v>
      </c>
      <c r="V99">
        <f>SUMIF(RawData!$C:$C,$A99,RawData!Z:Z)</f>
        <v>0</v>
      </c>
      <c r="W99">
        <f>SUMIF(RawData!$C:$C,$A99,RawData!AA:AA)</f>
        <v>0</v>
      </c>
      <c r="X99">
        <f>SUMIF(RawData!$C:$C,$A99,RawData!AB:AB)</f>
        <v>0</v>
      </c>
      <c r="Y99">
        <f>SUMIF(RawData!$C:$C,$A99,RawData!AC:AC)</f>
        <v>0</v>
      </c>
      <c r="Z99">
        <f>SUMIF(RawData!$C:$C,$A99,RawData!AD:AD)</f>
        <v>0</v>
      </c>
      <c r="AA99">
        <f>SUMIF(RawData!$C:$C,$A99,RawData!AE:AE)</f>
        <v>0</v>
      </c>
      <c r="AB99">
        <f>SUMIF(RawData!$C:$C,$A99,RawData!AF:AF)</f>
        <v>0</v>
      </c>
      <c r="AC99">
        <f>SUMIF(RawData!$C:$C,$A99,RawData!AG:AG)</f>
        <v>0</v>
      </c>
      <c r="AD99">
        <f>SUMIF(RawData!$C:$C,$A99,RawData!AH:AH)</f>
        <v>0</v>
      </c>
      <c r="AE99">
        <f>SUMIF(RawData!$C:$C,$A99,RawData!AI:AI)</f>
        <v>0</v>
      </c>
      <c r="AF99">
        <f>SUMIF(RawData!$C:$C,$A99,RawData!AJ:AJ)</f>
        <v>0</v>
      </c>
      <c r="AG99">
        <f>SUMIF(RawData!$C:$C,$A99,RawData!AK:AK)</f>
        <v>0</v>
      </c>
      <c r="AH99">
        <f>SUMIF(RawData!$C:$C,$A99,RawData!AL:AL)</f>
        <v>0</v>
      </c>
      <c r="AI99">
        <f>SUMIF(RawData!$C:$C,$A99,RawData!AM:AM)</f>
        <v>0</v>
      </c>
      <c r="AJ99">
        <f>SUMIF(RawData!$C:$C,$A99,RawData!AN:AN)</f>
        <v>0</v>
      </c>
      <c r="AK99">
        <f>SUMIF(RawData!$C:$C,$A99,RawData!AO:AO)</f>
        <v>0</v>
      </c>
      <c r="AL99">
        <f>SUMIF(RawData!$C:$C,$A99,RawData!AP:AP)</f>
        <v>0</v>
      </c>
      <c r="AM99">
        <f>SUMIF(RawData!$C:$C,$A99,RawData!AQ:AQ)</f>
        <v>0</v>
      </c>
      <c r="AN99">
        <f>SUMIF(RawData!$C:$C,$A99,RawData!AR:AR)</f>
        <v>0</v>
      </c>
      <c r="AO99">
        <f>SUMIF(RawData!$C:$C,$A99,RawData!AS:AS)</f>
        <v>0</v>
      </c>
      <c r="AP99">
        <f>SUMIF(RawData!$C:$C,$A99,RawData!AT:AT)</f>
        <v>0</v>
      </c>
      <c r="AQ99">
        <f>SUMIF(RawData!$C:$C,$A99,RawData!AU:AU)</f>
        <v>0</v>
      </c>
      <c r="AR99">
        <f>SUMIF(RawData!$C:$C,$A99,RawData!AV:AV)</f>
        <v>0</v>
      </c>
      <c r="AS99">
        <f>SUMIF(RawData!$C:$C,$A99,RawData!AW:AW)</f>
        <v>0</v>
      </c>
      <c r="AT99">
        <f>SUMIF(RawData!$C:$C,$A99,RawData!AX:AX)</f>
        <v>0</v>
      </c>
      <c r="AU99">
        <f>SUMIF(RawData!$C:$C,$A99,RawData!AY:AY)</f>
        <v>0</v>
      </c>
      <c r="AV99">
        <f>SUMIF(RawData!$C:$C,$A99,RawData!AZ:AZ)</f>
        <v>3</v>
      </c>
      <c r="AW99">
        <f>SUMIF(RawData!$C:$C,$A99,RawData!BA:BA)</f>
        <v>3</v>
      </c>
      <c r="AX99">
        <f>SUMIF(RawData!$C:$C,$A99,RawData!BB:BB)</f>
        <v>3</v>
      </c>
      <c r="AY99">
        <f>SUMIF(RawData!$C:$C,$A99,RawData!BC:BC)</f>
        <v>3</v>
      </c>
      <c r="AZ99">
        <f>SUMIF(RawData!$C:$C,$A99,RawData!BD:BD)</f>
        <v>3</v>
      </c>
      <c r="BA99">
        <f>SUMIF(RawData!$C:$C,$A99,RawData!BE:BE)</f>
        <v>3</v>
      </c>
      <c r="BB99">
        <f>SUMIF(RawData!$C:$C,$A99,RawData!BF:BF)</f>
        <v>3</v>
      </c>
      <c r="BC99">
        <f>SUMIF(RawData!$C:$C,$A99,RawData!BG:BG)</f>
        <v>5</v>
      </c>
      <c r="BD99">
        <f>SUMIF(RawData!$C:$C,$A99,RawData!BH:BH)</f>
        <v>0</v>
      </c>
      <c r="BE99">
        <f>SUMIF(RawData!$C:$C,$A99,RawData!BI:BI)</f>
        <v>0</v>
      </c>
      <c r="BF99">
        <f>SUMIF(RawData!$C:$C,$A99,RawData!BJ:BJ)</f>
        <v>0</v>
      </c>
      <c r="BG99">
        <f>SUMIF(RawData!$C:$C,$A99,RawData!BK:BK)</f>
        <v>0</v>
      </c>
      <c r="BH99">
        <f>SUMIF(RawData!$C:$C,$A99,RawData!BL:BL)</f>
        <v>0</v>
      </c>
      <c r="BI99">
        <f>SUMIF(RawData!$C:$C,$A99,RawData!BM:BM)</f>
        <v>0</v>
      </c>
      <c r="BJ99">
        <f>SUMIF(RawData!$C:$C,$A99,RawData!BN:BN)</f>
        <v>0</v>
      </c>
      <c r="BK99">
        <f>SUMIF(RawData!$C:$C,$A99,RawData!BO:BO)</f>
        <v>0</v>
      </c>
      <c r="BL99">
        <f>SUMIF(RawData!$C:$C,$A99,RawData!BP:BP)</f>
        <v>0</v>
      </c>
      <c r="BM99">
        <f>SUMIF(RawData!$C:$C,$A99,RawData!BQ:BQ)</f>
        <v>0</v>
      </c>
      <c r="BN99">
        <f>SUMIF(RawData!$C:$C,$A99,RawData!BR:BR)</f>
        <v>0</v>
      </c>
      <c r="BO99">
        <f>SUMIF(RawData!$C:$C,$A99,RawData!BS:BS)</f>
        <v>0</v>
      </c>
      <c r="BP99">
        <f>SUMIF(RawData!$C:$C,$A99,RawData!BT:BT)</f>
        <v>0</v>
      </c>
      <c r="BQ99">
        <f>SUMIF(RawData!$C:$C,$A99,RawData!BU:BU)</f>
        <v>0</v>
      </c>
      <c r="BR99">
        <f>SUMIF(RawData!$C:$C,$A99,RawData!BV:BV)</f>
        <v>0</v>
      </c>
      <c r="BS99">
        <f>SUMIF(RawData!$C:$C,$A99,RawData!BW:BW)</f>
        <v>0</v>
      </c>
      <c r="BT99">
        <f>SUMIF(RawData!$C:$C,$A99,RawData!BX:BX)</f>
        <v>0</v>
      </c>
    </row>
    <row r="100" spans="1:72" ht="15" thickBot="1" x14ac:dyDescent="0.35">
      <c r="A100" s="4" t="s">
        <v>374</v>
      </c>
      <c r="B100">
        <f>SUMIF(RawData!$C:$C,$A100,RawData!F:F)</f>
        <v>0</v>
      </c>
      <c r="C100">
        <f>SUMIF(RawData!$C:$C,$A100,RawData!G:G)</f>
        <v>0</v>
      </c>
      <c r="D100">
        <f>SUMIF(RawData!$C:$C,$A100,RawData!H:H)</f>
        <v>0</v>
      </c>
      <c r="E100">
        <f>SUMIF(RawData!$C:$C,$A100,RawData!I:I)</f>
        <v>0</v>
      </c>
      <c r="F100">
        <f>SUMIF(RawData!$C:$C,$A100,RawData!J:J)</f>
        <v>0</v>
      </c>
      <c r="G100">
        <f>SUMIF(RawData!$C:$C,$A100,RawData!K:K)</f>
        <v>0</v>
      </c>
      <c r="H100">
        <f>SUMIF(RawData!$C:$C,$A100,RawData!L:L)</f>
        <v>0</v>
      </c>
      <c r="I100">
        <f>SUMIF(RawData!$C:$C,$A100,RawData!M:M)</f>
        <v>0</v>
      </c>
      <c r="J100">
        <f>SUMIF(RawData!$C:$C,$A100,RawData!N:N)</f>
        <v>0</v>
      </c>
      <c r="K100">
        <f>SUMIF(RawData!$C:$C,$A100,RawData!O:O)</f>
        <v>0</v>
      </c>
      <c r="L100">
        <f>SUMIF(RawData!$C:$C,$A100,RawData!P:P)</f>
        <v>0</v>
      </c>
      <c r="M100">
        <f>SUMIF(RawData!$C:$C,$A100,RawData!Q:Q)</f>
        <v>0</v>
      </c>
      <c r="N100">
        <f>SUMIF(RawData!$C:$C,$A100,RawData!R:R)</f>
        <v>0</v>
      </c>
      <c r="O100">
        <f>SUMIF(RawData!$C:$C,$A100,RawData!S:S)</f>
        <v>0</v>
      </c>
      <c r="P100">
        <f>SUMIF(RawData!$C:$C,$A100,RawData!T:T)</f>
        <v>0</v>
      </c>
      <c r="Q100">
        <f>SUMIF(RawData!$C:$C,$A100,RawData!U:U)</f>
        <v>0</v>
      </c>
      <c r="R100">
        <f>SUMIF(RawData!$C:$C,$A100,RawData!V:V)</f>
        <v>0</v>
      </c>
      <c r="S100">
        <f>SUMIF(RawData!$C:$C,$A100,RawData!W:W)</f>
        <v>0</v>
      </c>
      <c r="T100">
        <f>SUMIF(RawData!$C:$C,$A100,RawData!X:X)</f>
        <v>0</v>
      </c>
      <c r="U100">
        <f>SUMIF(RawData!$C:$C,$A100,RawData!Y:Y)</f>
        <v>0</v>
      </c>
      <c r="V100">
        <f>SUMIF(RawData!$C:$C,$A100,RawData!Z:Z)</f>
        <v>0</v>
      </c>
      <c r="W100">
        <f>SUMIF(RawData!$C:$C,$A100,RawData!AA:AA)</f>
        <v>0</v>
      </c>
      <c r="X100">
        <f>SUMIF(RawData!$C:$C,$A100,RawData!AB:AB)</f>
        <v>0</v>
      </c>
      <c r="Y100">
        <f>SUMIF(RawData!$C:$C,$A100,RawData!AC:AC)</f>
        <v>0</v>
      </c>
      <c r="Z100">
        <f>SUMIF(RawData!$C:$C,$A100,RawData!AD:AD)</f>
        <v>0</v>
      </c>
      <c r="AA100">
        <f>SUMIF(RawData!$C:$C,$A100,RawData!AE:AE)</f>
        <v>0</v>
      </c>
      <c r="AB100">
        <f>SUMIF(RawData!$C:$C,$A100,RawData!AF:AF)</f>
        <v>0</v>
      </c>
      <c r="AC100">
        <f>SUMIF(RawData!$C:$C,$A100,RawData!AG:AG)</f>
        <v>0</v>
      </c>
      <c r="AD100">
        <f>SUMIF(RawData!$C:$C,$A100,RawData!AH:AH)</f>
        <v>0</v>
      </c>
      <c r="AE100">
        <f>SUMIF(RawData!$C:$C,$A100,RawData!AI:AI)</f>
        <v>0</v>
      </c>
      <c r="AF100">
        <f>SUMIF(RawData!$C:$C,$A100,RawData!AJ:AJ)</f>
        <v>0</v>
      </c>
      <c r="AG100">
        <f>SUMIF(RawData!$C:$C,$A100,RawData!AK:AK)</f>
        <v>0</v>
      </c>
      <c r="AH100">
        <f>SUMIF(RawData!$C:$C,$A100,RawData!AL:AL)</f>
        <v>0</v>
      </c>
      <c r="AI100">
        <f>SUMIF(RawData!$C:$C,$A100,RawData!AM:AM)</f>
        <v>0</v>
      </c>
      <c r="AJ100">
        <f>SUMIF(RawData!$C:$C,$A100,RawData!AN:AN)</f>
        <v>0</v>
      </c>
      <c r="AK100">
        <f>SUMIF(RawData!$C:$C,$A100,RawData!AO:AO)</f>
        <v>0</v>
      </c>
      <c r="AL100">
        <f>SUMIF(RawData!$C:$C,$A100,RawData!AP:AP)</f>
        <v>0</v>
      </c>
      <c r="AM100">
        <f>SUMIF(RawData!$C:$C,$A100,RawData!AQ:AQ)</f>
        <v>0</v>
      </c>
      <c r="AN100">
        <f>SUMIF(RawData!$C:$C,$A100,RawData!AR:AR)</f>
        <v>0</v>
      </c>
      <c r="AO100">
        <f>SUMIF(RawData!$C:$C,$A100,RawData!AS:AS)</f>
        <v>0</v>
      </c>
      <c r="AP100">
        <f>SUMIF(RawData!$C:$C,$A100,RawData!AT:AT)</f>
        <v>0</v>
      </c>
      <c r="AQ100">
        <f>SUMIF(RawData!$C:$C,$A100,RawData!AU:AU)</f>
        <v>0</v>
      </c>
      <c r="AR100">
        <f>SUMIF(RawData!$C:$C,$A100,RawData!AV:AV)</f>
        <v>0</v>
      </c>
      <c r="AS100">
        <f>SUMIF(RawData!$C:$C,$A100,RawData!AW:AW)</f>
        <v>0</v>
      </c>
      <c r="AT100">
        <f>SUMIF(RawData!$C:$C,$A100,RawData!AX:AX)</f>
        <v>0</v>
      </c>
      <c r="AU100">
        <f>SUMIF(RawData!$C:$C,$A100,RawData!AY:AY)</f>
        <v>0</v>
      </c>
      <c r="AV100">
        <f>SUMIF(RawData!$C:$C,$A100,RawData!AZ:AZ)</f>
        <v>0</v>
      </c>
      <c r="AW100">
        <f>SUMIF(RawData!$C:$C,$A100,RawData!BA:BA)</f>
        <v>0</v>
      </c>
      <c r="AX100">
        <f>SUMIF(RawData!$C:$C,$A100,RawData!BB:BB)</f>
        <v>0</v>
      </c>
      <c r="AY100">
        <f>SUMIF(RawData!$C:$C,$A100,RawData!BC:BC)</f>
        <v>2</v>
      </c>
      <c r="AZ100">
        <f>SUMIF(RawData!$C:$C,$A100,RawData!BD:BD)</f>
        <v>2</v>
      </c>
      <c r="BA100">
        <f>SUMIF(RawData!$C:$C,$A100,RawData!BE:BE)</f>
        <v>3</v>
      </c>
      <c r="BB100">
        <f>SUMIF(RawData!$C:$C,$A100,RawData!BF:BF)</f>
        <v>10</v>
      </c>
      <c r="BC100">
        <f>SUMIF(RawData!$C:$C,$A100,RawData!BG:BG)</f>
        <v>10</v>
      </c>
      <c r="BD100">
        <f>SUMIF(RawData!$C:$C,$A100,RawData!BH:BH)</f>
        <v>0</v>
      </c>
      <c r="BE100">
        <f>SUMIF(RawData!$C:$C,$A100,RawData!BI:BI)</f>
        <v>0</v>
      </c>
      <c r="BF100">
        <f>SUMIF(RawData!$C:$C,$A100,RawData!BJ:BJ)</f>
        <v>0</v>
      </c>
      <c r="BG100">
        <f>SUMIF(RawData!$C:$C,$A100,RawData!BK:BK)</f>
        <v>0</v>
      </c>
      <c r="BH100">
        <f>SUMIF(RawData!$C:$C,$A100,RawData!BL:BL)</f>
        <v>0</v>
      </c>
      <c r="BI100">
        <f>SUMIF(RawData!$C:$C,$A100,RawData!BM:BM)</f>
        <v>0</v>
      </c>
      <c r="BJ100">
        <f>SUMIF(RawData!$C:$C,$A100,RawData!BN:BN)</f>
        <v>0</v>
      </c>
      <c r="BK100">
        <f>SUMIF(RawData!$C:$C,$A100,RawData!BO:BO)</f>
        <v>0</v>
      </c>
      <c r="BL100">
        <f>SUMIF(RawData!$C:$C,$A100,RawData!BP:BP)</f>
        <v>0</v>
      </c>
      <c r="BM100">
        <f>SUMIF(RawData!$C:$C,$A100,RawData!BQ:BQ)</f>
        <v>0</v>
      </c>
      <c r="BN100">
        <f>SUMIF(RawData!$C:$C,$A100,RawData!BR:BR)</f>
        <v>0</v>
      </c>
      <c r="BO100">
        <f>SUMIF(RawData!$C:$C,$A100,RawData!BS:BS)</f>
        <v>0</v>
      </c>
      <c r="BP100">
        <f>SUMIF(RawData!$C:$C,$A100,RawData!BT:BT)</f>
        <v>0</v>
      </c>
      <c r="BQ100">
        <f>SUMIF(RawData!$C:$C,$A100,RawData!BU:BU)</f>
        <v>0</v>
      </c>
      <c r="BR100">
        <f>SUMIF(RawData!$C:$C,$A100,RawData!BV:BV)</f>
        <v>0</v>
      </c>
      <c r="BS100">
        <f>SUMIF(RawData!$C:$C,$A100,RawData!BW:BW)</f>
        <v>0</v>
      </c>
      <c r="BT100">
        <f>SUMIF(RawData!$C:$C,$A100,RawData!BX:BX)</f>
        <v>0</v>
      </c>
    </row>
    <row r="101" spans="1:72" ht="15" thickBot="1" x14ac:dyDescent="0.35">
      <c r="A101" s="5" t="s">
        <v>207</v>
      </c>
      <c r="B101">
        <f>SUMIF(RawData!$C:$C,$A101,RawData!F:F)</f>
        <v>0</v>
      </c>
      <c r="C101">
        <f>SUMIF(RawData!$C:$C,$A101,RawData!G:G)</f>
        <v>0</v>
      </c>
      <c r="D101">
        <f>SUMIF(RawData!$C:$C,$A101,RawData!H:H)</f>
        <v>0</v>
      </c>
      <c r="E101">
        <f>SUMIF(RawData!$C:$C,$A101,RawData!I:I)</f>
        <v>0</v>
      </c>
      <c r="F101">
        <f>SUMIF(RawData!$C:$C,$A101,RawData!J:J)</f>
        <v>0</v>
      </c>
      <c r="G101">
        <f>SUMIF(RawData!$C:$C,$A101,RawData!K:K)</f>
        <v>0</v>
      </c>
      <c r="H101">
        <f>SUMIF(RawData!$C:$C,$A101,RawData!L:L)</f>
        <v>0</v>
      </c>
      <c r="I101">
        <f>SUMIF(RawData!$C:$C,$A101,RawData!M:M)</f>
        <v>0</v>
      </c>
      <c r="J101">
        <f>SUMIF(RawData!$C:$C,$A101,RawData!N:N)</f>
        <v>0</v>
      </c>
      <c r="K101">
        <f>SUMIF(RawData!$C:$C,$A101,RawData!O:O)</f>
        <v>0</v>
      </c>
      <c r="L101">
        <f>SUMIF(RawData!$C:$C,$A101,RawData!P:P)</f>
        <v>0</v>
      </c>
      <c r="M101">
        <f>SUMIF(RawData!$C:$C,$A101,RawData!Q:Q)</f>
        <v>0</v>
      </c>
      <c r="N101">
        <f>SUMIF(RawData!$C:$C,$A101,RawData!R:R)</f>
        <v>0</v>
      </c>
      <c r="O101">
        <f>SUMIF(RawData!$C:$C,$A101,RawData!S:S)</f>
        <v>0</v>
      </c>
      <c r="P101">
        <f>SUMIF(RawData!$C:$C,$A101,RawData!T:T)</f>
        <v>0</v>
      </c>
      <c r="Q101">
        <f>SUMIF(RawData!$C:$C,$A101,RawData!U:U)</f>
        <v>0</v>
      </c>
      <c r="R101">
        <f>SUMIF(RawData!$C:$C,$A101,RawData!V:V)</f>
        <v>0</v>
      </c>
      <c r="S101">
        <f>SUMIF(RawData!$C:$C,$A101,RawData!W:W)</f>
        <v>0</v>
      </c>
      <c r="T101">
        <f>SUMIF(RawData!$C:$C,$A101,RawData!X:X)</f>
        <v>0</v>
      </c>
      <c r="U101">
        <f>SUMIF(RawData!$C:$C,$A101,RawData!Y:Y)</f>
        <v>0</v>
      </c>
      <c r="V101">
        <f>SUMIF(RawData!$C:$C,$A101,RawData!Z:Z)</f>
        <v>0</v>
      </c>
      <c r="W101">
        <f>SUMIF(RawData!$C:$C,$A101,RawData!AA:AA)</f>
        <v>0</v>
      </c>
      <c r="X101">
        <f>SUMIF(RawData!$C:$C,$A101,RawData!AB:AB)</f>
        <v>0</v>
      </c>
      <c r="Y101">
        <f>SUMIF(RawData!$C:$C,$A101,RawData!AC:AC)</f>
        <v>0</v>
      </c>
      <c r="Z101">
        <f>SUMIF(RawData!$C:$C,$A101,RawData!AD:AD)</f>
        <v>0</v>
      </c>
      <c r="AA101">
        <f>SUMIF(RawData!$C:$C,$A101,RawData!AE:AE)</f>
        <v>0</v>
      </c>
      <c r="AB101">
        <f>SUMIF(RawData!$C:$C,$A101,RawData!AF:AF)</f>
        <v>0</v>
      </c>
      <c r="AC101">
        <f>SUMIF(RawData!$C:$C,$A101,RawData!AG:AG)</f>
        <v>0</v>
      </c>
      <c r="AD101">
        <f>SUMIF(RawData!$C:$C,$A101,RawData!AH:AH)</f>
        <v>0</v>
      </c>
      <c r="AE101">
        <f>SUMIF(RawData!$C:$C,$A101,RawData!AI:AI)</f>
        <v>0</v>
      </c>
      <c r="AF101">
        <f>SUMIF(RawData!$C:$C,$A101,RawData!AJ:AJ)</f>
        <v>0</v>
      </c>
      <c r="AG101">
        <f>SUMIF(RawData!$C:$C,$A101,RawData!AK:AK)</f>
        <v>0</v>
      </c>
      <c r="AH101">
        <f>SUMIF(RawData!$C:$C,$A101,RawData!AL:AL)</f>
        <v>0</v>
      </c>
      <c r="AI101">
        <f>SUMIF(RawData!$C:$C,$A101,RawData!AM:AM)</f>
        <v>0</v>
      </c>
      <c r="AJ101">
        <f>SUMIF(RawData!$C:$C,$A101,RawData!AN:AN)</f>
        <v>0</v>
      </c>
      <c r="AK101">
        <f>SUMIF(RawData!$C:$C,$A101,RawData!AO:AO)</f>
        <v>0</v>
      </c>
      <c r="AL101">
        <f>SUMIF(RawData!$C:$C,$A101,RawData!AP:AP)</f>
        <v>0</v>
      </c>
      <c r="AM101">
        <f>SUMIF(RawData!$C:$C,$A101,RawData!AQ:AQ)</f>
        <v>0</v>
      </c>
      <c r="AN101">
        <f>SUMIF(RawData!$C:$C,$A101,RawData!AR:AR)</f>
        <v>0</v>
      </c>
      <c r="AO101">
        <f>SUMIF(RawData!$C:$C,$A101,RawData!AS:AS)</f>
        <v>0</v>
      </c>
      <c r="AP101">
        <f>SUMIF(RawData!$C:$C,$A101,RawData!AT:AT)</f>
        <v>0</v>
      </c>
      <c r="AQ101">
        <f>SUMIF(RawData!$C:$C,$A101,RawData!AU:AU)</f>
        <v>0</v>
      </c>
      <c r="AR101">
        <f>SUMIF(RawData!$C:$C,$A101,RawData!AV:AV)</f>
        <v>0</v>
      </c>
      <c r="AS101">
        <f>SUMIF(RawData!$C:$C,$A101,RawData!AW:AW)</f>
        <v>0</v>
      </c>
      <c r="AT101">
        <f>SUMIF(RawData!$C:$C,$A101,RawData!AX:AX)</f>
        <v>0</v>
      </c>
      <c r="AU101">
        <f>SUMIF(RawData!$C:$C,$A101,RawData!AY:AY)</f>
        <v>2</v>
      </c>
      <c r="AV101">
        <f>SUMIF(RawData!$C:$C,$A101,RawData!AZ:AZ)</f>
        <v>2</v>
      </c>
      <c r="AW101">
        <f>SUMIF(RawData!$C:$C,$A101,RawData!BA:BA)</f>
        <v>2</v>
      </c>
      <c r="AX101">
        <f>SUMIF(RawData!$C:$C,$A101,RawData!BB:BB)</f>
        <v>2</v>
      </c>
      <c r="AY101">
        <f>SUMIF(RawData!$C:$C,$A101,RawData!BC:BC)</f>
        <v>3</v>
      </c>
      <c r="AZ101">
        <f>SUMIF(RawData!$C:$C,$A101,RawData!BD:BD)</f>
        <v>3</v>
      </c>
      <c r="BA101">
        <f>SUMIF(RawData!$C:$C,$A101,RawData!BE:BE)</f>
        <v>3</v>
      </c>
      <c r="BB101">
        <f>SUMIF(RawData!$C:$C,$A101,RawData!BF:BF)</f>
        <v>9</v>
      </c>
      <c r="BC101">
        <f>SUMIF(RawData!$C:$C,$A101,RawData!BG:BG)</f>
        <v>9</v>
      </c>
      <c r="BD101">
        <f>SUMIF(RawData!$C:$C,$A101,RawData!BH:BH)</f>
        <v>0</v>
      </c>
      <c r="BE101">
        <f>SUMIF(RawData!$C:$C,$A101,RawData!BI:BI)</f>
        <v>0</v>
      </c>
      <c r="BF101">
        <f>SUMIF(RawData!$C:$C,$A101,RawData!BJ:BJ)</f>
        <v>0</v>
      </c>
      <c r="BG101">
        <f>SUMIF(RawData!$C:$C,$A101,RawData!BK:BK)</f>
        <v>0</v>
      </c>
      <c r="BH101">
        <f>SUMIF(RawData!$C:$C,$A101,RawData!BL:BL)</f>
        <v>0</v>
      </c>
      <c r="BI101">
        <f>SUMIF(RawData!$C:$C,$A101,RawData!BM:BM)</f>
        <v>0</v>
      </c>
      <c r="BJ101">
        <f>SUMIF(RawData!$C:$C,$A101,RawData!BN:BN)</f>
        <v>0</v>
      </c>
      <c r="BK101">
        <f>SUMIF(RawData!$C:$C,$A101,RawData!BO:BO)</f>
        <v>0</v>
      </c>
      <c r="BL101">
        <f>SUMIF(RawData!$C:$C,$A101,RawData!BP:BP)</f>
        <v>0</v>
      </c>
      <c r="BM101">
        <f>SUMIF(RawData!$C:$C,$A101,RawData!BQ:BQ)</f>
        <v>0</v>
      </c>
      <c r="BN101">
        <f>SUMIF(RawData!$C:$C,$A101,RawData!BR:BR)</f>
        <v>0</v>
      </c>
      <c r="BO101">
        <f>SUMIF(RawData!$C:$C,$A101,RawData!BS:BS)</f>
        <v>0</v>
      </c>
      <c r="BP101">
        <f>SUMIF(RawData!$C:$C,$A101,RawData!BT:BT)</f>
        <v>0</v>
      </c>
      <c r="BQ101">
        <f>SUMIF(RawData!$C:$C,$A101,RawData!BU:BU)</f>
        <v>0</v>
      </c>
      <c r="BR101">
        <f>SUMIF(RawData!$C:$C,$A101,RawData!BV:BV)</f>
        <v>0</v>
      </c>
      <c r="BS101">
        <f>SUMIF(RawData!$C:$C,$A101,RawData!BW:BW)</f>
        <v>0</v>
      </c>
      <c r="BT101">
        <f>SUMIF(RawData!$C:$C,$A101,RawData!BX:BX)</f>
        <v>0</v>
      </c>
    </row>
    <row r="102" spans="1:72" ht="15" thickBot="1" x14ac:dyDescent="0.35">
      <c r="A102" s="4" t="s">
        <v>156</v>
      </c>
      <c r="B102">
        <f>SUMIF(RawData!$C:$C,$A102,RawData!F:F)</f>
        <v>0</v>
      </c>
      <c r="C102">
        <f>SUMIF(RawData!$C:$C,$A102,RawData!G:G)</f>
        <v>0</v>
      </c>
      <c r="D102">
        <f>SUMIF(RawData!$C:$C,$A102,RawData!H:H)</f>
        <v>0</v>
      </c>
      <c r="E102">
        <f>SUMIF(RawData!$C:$C,$A102,RawData!I:I)</f>
        <v>0</v>
      </c>
      <c r="F102">
        <f>SUMIF(RawData!$C:$C,$A102,RawData!J:J)</f>
        <v>0</v>
      </c>
      <c r="G102">
        <f>SUMIF(RawData!$C:$C,$A102,RawData!K:K)</f>
        <v>0</v>
      </c>
      <c r="H102">
        <f>SUMIF(RawData!$C:$C,$A102,RawData!L:L)</f>
        <v>0</v>
      </c>
      <c r="I102">
        <f>SUMIF(RawData!$C:$C,$A102,RawData!M:M)</f>
        <v>0</v>
      </c>
      <c r="J102">
        <f>SUMIF(RawData!$C:$C,$A102,RawData!N:N)</f>
        <v>0</v>
      </c>
      <c r="K102">
        <f>SUMIF(RawData!$C:$C,$A102,RawData!O:O)</f>
        <v>0</v>
      </c>
      <c r="L102">
        <f>SUMIF(RawData!$C:$C,$A102,RawData!P:P)</f>
        <v>0</v>
      </c>
      <c r="M102">
        <f>SUMIF(RawData!$C:$C,$A102,RawData!Q:Q)</f>
        <v>0</v>
      </c>
      <c r="N102">
        <f>SUMIF(RawData!$C:$C,$A102,RawData!R:R)</f>
        <v>0</v>
      </c>
      <c r="O102">
        <f>SUMIF(RawData!$C:$C,$A102,RawData!S:S)</f>
        <v>0</v>
      </c>
      <c r="P102">
        <f>SUMIF(RawData!$C:$C,$A102,RawData!T:T)</f>
        <v>0</v>
      </c>
      <c r="Q102">
        <f>SUMIF(RawData!$C:$C,$A102,RawData!U:U)</f>
        <v>0</v>
      </c>
      <c r="R102">
        <f>SUMIF(RawData!$C:$C,$A102,RawData!V:V)</f>
        <v>0</v>
      </c>
      <c r="S102">
        <f>SUMIF(RawData!$C:$C,$A102,RawData!W:W)</f>
        <v>0</v>
      </c>
      <c r="T102">
        <f>SUMIF(RawData!$C:$C,$A102,RawData!X:X)</f>
        <v>0</v>
      </c>
      <c r="U102">
        <f>SUMIF(RawData!$C:$C,$A102,RawData!Y:Y)</f>
        <v>0</v>
      </c>
      <c r="V102">
        <f>SUMIF(RawData!$C:$C,$A102,RawData!Z:Z)</f>
        <v>0</v>
      </c>
      <c r="W102">
        <f>SUMIF(RawData!$C:$C,$A102,RawData!AA:AA)</f>
        <v>0</v>
      </c>
      <c r="X102">
        <f>SUMIF(RawData!$C:$C,$A102,RawData!AB:AB)</f>
        <v>0</v>
      </c>
      <c r="Y102">
        <f>SUMIF(RawData!$C:$C,$A102,RawData!AC:AC)</f>
        <v>0</v>
      </c>
      <c r="Z102">
        <f>SUMIF(RawData!$C:$C,$A102,RawData!AD:AD)</f>
        <v>0</v>
      </c>
      <c r="AA102">
        <f>SUMIF(RawData!$C:$C,$A102,RawData!AE:AE)</f>
        <v>0</v>
      </c>
      <c r="AB102">
        <f>SUMIF(RawData!$C:$C,$A102,RawData!AF:AF)</f>
        <v>0</v>
      </c>
      <c r="AC102">
        <f>SUMIF(RawData!$C:$C,$A102,RawData!AG:AG)</f>
        <v>0</v>
      </c>
      <c r="AD102">
        <f>SUMIF(RawData!$C:$C,$A102,RawData!AH:AH)</f>
        <v>0</v>
      </c>
      <c r="AE102">
        <f>SUMIF(RawData!$C:$C,$A102,RawData!AI:AI)</f>
        <v>0</v>
      </c>
      <c r="AF102">
        <f>SUMIF(RawData!$C:$C,$A102,RawData!AJ:AJ)</f>
        <v>0</v>
      </c>
      <c r="AG102">
        <f>SUMIF(RawData!$C:$C,$A102,RawData!AK:AK)</f>
        <v>0</v>
      </c>
      <c r="AH102">
        <f>SUMIF(RawData!$C:$C,$A102,RawData!AL:AL)</f>
        <v>0</v>
      </c>
      <c r="AI102">
        <f>SUMIF(RawData!$C:$C,$A102,RawData!AM:AM)</f>
        <v>0</v>
      </c>
      <c r="AJ102">
        <f>SUMIF(RawData!$C:$C,$A102,RawData!AN:AN)</f>
        <v>0</v>
      </c>
      <c r="AK102">
        <f>SUMIF(RawData!$C:$C,$A102,RawData!AO:AO)</f>
        <v>0</v>
      </c>
      <c r="AL102">
        <f>SUMIF(RawData!$C:$C,$A102,RawData!AP:AP)</f>
        <v>0</v>
      </c>
      <c r="AM102">
        <f>SUMIF(RawData!$C:$C,$A102,RawData!AQ:AQ)</f>
        <v>0</v>
      </c>
      <c r="AN102">
        <f>SUMIF(RawData!$C:$C,$A102,RawData!AR:AR)</f>
        <v>0</v>
      </c>
      <c r="AO102">
        <f>SUMIF(RawData!$C:$C,$A102,RawData!AS:AS)</f>
        <v>0</v>
      </c>
      <c r="AP102">
        <f>SUMIF(RawData!$C:$C,$A102,RawData!AT:AT)</f>
        <v>0</v>
      </c>
      <c r="AQ102">
        <f>SUMIF(RawData!$C:$C,$A102,RawData!AU:AU)</f>
        <v>1</v>
      </c>
      <c r="AR102">
        <f>SUMIF(RawData!$C:$C,$A102,RawData!AV:AV)</f>
        <v>1</v>
      </c>
      <c r="AS102">
        <f>SUMIF(RawData!$C:$C,$A102,RawData!AW:AW)</f>
        <v>1</v>
      </c>
      <c r="AT102">
        <f>SUMIF(RawData!$C:$C,$A102,RawData!AX:AX)</f>
        <v>1</v>
      </c>
      <c r="AU102">
        <f>SUMIF(RawData!$C:$C,$A102,RawData!AY:AY)</f>
        <v>1</v>
      </c>
      <c r="AV102">
        <f>SUMIF(RawData!$C:$C,$A102,RawData!AZ:AZ)</f>
        <v>1</v>
      </c>
      <c r="AW102">
        <f>SUMIF(RawData!$C:$C,$A102,RawData!BA:BA)</f>
        <v>1</v>
      </c>
      <c r="AX102">
        <f>SUMIF(RawData!$C:$C,$A102,RawData!BB:BB)</f>
        <v>1</v>
      </c>
      <c r="AY102">
        <f>SUMIF(RawData!$C:$C,$A102,RawData!BC:BC)</f>
        <v>1</v>
      </c>
      <c r="AZ102">
        <f>SUMIF(RawData!$C:$C,$A102,RawData!BD:BD)</f>
        <v>1</v>
      </c>
      <c r="BA102">
        <f>SUMIF(RawData!$C:$C,$A102,RawData!BE:BE)</f>
        <v>3</v>
      </c>
      <c r="BB102">
        <f>SUMIF(RawData!$C:$C,$A102,RawData!BF:BF)</f>
        <v>3</v>
      </c>
      <c r="BC102">
        <f>SUMIF(RawData!$C:$C,$A102,RawData!BG:BG)</f>
        <v>3</v>
      </c>
      <c r="BD102">
        <f>SUMIF(RawData!$C:$C,$A102,RawData!BH:BH)</f>
        <v>0</v>
      </c>
      <c r="BE102">
        <f>SUMIF(RawData!$C:$C,$A102,RawData!BI:BI)</f>
        <v>0</v>
      </c>
      <c r="BF102">
        <f>SUMIF(RawData!$C:$C,$A102,RawData!BJ:BJ)</f>
        <v>0</v>
      </c>
      <c r="BG102">
        <f>SUMIF(RawData!$C:$C,$A102,RawData!BK:BK)</f>
        <v>0</v>
      </c>
      <c r="BH102">
        <f>SUMIF(RawData!$C:$C,$A102,RawData!BL:BL)</f>
        <v>0</v>
      </c>
      <c r="BI102">
        <f>SUMIF(RawData!$C:$C,$A102,RawData!BM:BM)</f>
        <v>0</v>
      </c>
      <c r="BJ102">
        <f>SUMIF(RawData!$C:$C,$A102,RawData!BN:BN)</f>
        <v>0</v>
      </c>
      <c r="BK102">
        <f>SUMIF(RawData!$C:$C,$A102,RawData!BO:BO)</f>
        <v>0</v>
      </c>
      <c r="BL102">
        <f>SUMIF(RawData!$C:$C,$A102,RawData!BP:BP)</f>
        <v>0</v>
      </c>
      <c r="BM102">
        <f>SUMIF(RawData!$C:$C,$A102,RawData!BQ:BQ)</f>
        <v>0</v>
      </c>
      <c r="BN102">
        <f>SUMIF(RawData!$C:$C,$A102,RawData!BR:BR)</f>
        <v>0</v>
      </c>
      <c r="BO102">
        <f>SUMIF(RawData!$C:$C,$A102,RawData!BS:BS)</f>
        <v>0</v>
      </c>
      <c r="BP102">
        <f>SUMIF(RawData!$C:$C,$A102,RawData!BT:BT)</f>
        <v>0</v>
      </c>
      <c r="BQ102">
        <f>SUMIF(RawData!$C:$C,$A102,RawData!BU:BU)</f>
        <v>0</v>
      </c>
      <c r="BR102">
        <f>SUMIF(RawData!$C:$C,$A102,RawData!BV:BV)</f>
        <v>0</v>
      </c>
      <c r="BS102">
        <f>SUMIF(RawData!$C:$C,$A102,RawData!BW:BW)</f>
        <v>0</v>
      </c>
      <c r="BT102">
        <f>SUMIF(RawData!$C:$C,$A102,RawData!BX:BX)</f>
        <v>0</v>
      </c>
    </row>
    <row r="103" spans="1:72" ht="15" thickBot="1" x14ac:dyDescent="0.35">
      <c r="A103" s="4" t="s">
        <v>450</v>
      </c>
      <c r="B103">
        <f>SUMIF(RawData!$C:$C,$A103,RawData!F:F)</f>
        <v>0</v>
      </c>
      <c r="C103">
        <f>SUMIF(RawData!$C:$C,$A103,RawData!G:G)</f>
        <v>0</v>
      </c>
      <c r="D103">
        <f>SUMIF(RawData!$C:$C,$A103,RawData!H:H)</f>
        <v>0</v>
      </c>
      <c r="E103">
        <f>SUMIF(RawData!$C:$C,$A103,RawData!I:I)</f>
        <v>0</v>
      </c>
      <c r="F103">
        <f>SUMIF(RawData!$C:$C,$A103,RawData!J:J)</f>
        <v>0</v>
      </c>
      <c r="G103">
        <f>SUMIF(RawData!$C:$C,$A103,RawData!K:K)</f>
        <v>0</v>
      </c>
      <c r="H103">
        <f>SUMIF(RawData!$C:$C,$A103,RawData!L:L)</f>
        <v>0</v>
      </c>
      <c r="I103">
        <f>SUMIF(RawData!$C:$C,$A103,RawData!M:M)</f>
        <v>0</v>
      </c>
      <c r="J103">
        <f>SUMIF(RawData!$C:$C,$A103,RawData!N:N)</f>
        <v>0</v>
      </c>
      <c r="K103">
        <f>SUMIF(RawData!$C:$C,$A103,RawData!O:O)</f>
        <v>0</v>
      </c>
      <c r="L103">
        <f>SUMIF(RawData!$C:$C,$A103,RawData!P:P)</f>
        <v>0</v>
      </c>
      <c r="M103">
        <f>SUMIF(RawData!$C:$C,$A103,RawData!Q:Q)</f>
        <v>0</v>
      </c>
      <c r="N103">
        <f>SUMIF(RawData!$C:$C,$A103,RawData!R:R)</f>
        <v>0</v>
      </c>
      <c r="O103">
        <f>SUMIF(RawData!$C:$C,$A103,RawData!S:S)</f>
        <v>0</v>
      </c>
      <c r="P103">
        <f>SUMIF(RawData!$C:$C,$A103,RawData!T:T)</f>
        <v>0</v>
      </c>
      <c r="Q103">
        <f>SUMIF(RawData!$C:$C,$A103,RawData!U:U)</f>
        <v>0</v>
      </c>
      <c r="R103">
        <f>SUMIF(RawData!$C:$C,$A103,RawData!V:V)</f>
        <v>0</v>
      </c>
      <c r="S103">
        <f>SUMIF(RawData!$C:$C,$A103,RawData!W:W)</f>
        <v>0</v>
      </c>
      <c r="T103">
        <f>SUMIF(RawData!$C:$C,$A103,RawData!X:X)</f>
        <v>0</v>
      </c>
      <c r="U103">
        <f>SUMIF(RawData!$C:$C,$A103,RawData!Y:Y)</f>
        <v>0</v>
      </c>
      <c r="V103">
        <f>SUMIF(RawData!$C:$C,$A103,RawData!Z:Z)</f>
        <v>0</v>
      </c>
      <c r="W103">
        <f>SUMIF(RawData!$C:$C,$A103,RawData!AA:AA)</f>
        <v>0</v>
      </c>
      <c r="X103">
        <f>SUMIF(RawData!$C:$C,$A103,RawData!AB:AB)</f>
        <v>0</v>
      </c>
      <c r="Y103">
        <f>SUMIF(RawData!$C:$C,$A103,RawData!AC:AC)</f>
        <v>0</v>
      </c>
      <c r="Z103">
        <f>SUMIF(RawData!$C:$C,$A103,RawData!AD:AD)</f>
        <v>0</v>
      </c>
      <c r="AA103">
        <f>SUMIF(RawData!$C:$C,$A103,RawData!AE:AE)</f>
        <v>0</v>
      </c>
      <c r="AB103">
        <f>SUMIF(RawData!$C:$C,$A103,RawData!AF:AF)</f>
        <v>0</v>
      </c>
      <c r="AC103">
        <f>SUMIF(RawData!$C:$C,$A103,RawData!AG:AG)</f>
        <v>0</v>
      </c>
      <c r="AD103">
        <f>SUMIF(RawData!$C:$C,$A103,RawData!AH:AH)</f>
        <v>0</v>
      </c>
      <c r="AE103">
        <f>SUMIF(RawData!$C:$C,$A103,RawData!AI:AI)</f>
        <v>0</v>
      </c>
      <c r="AF103">
        <f>SUMIF(RawData!$C:$C,$A103,RawData!AJ:AJ)</f>
        <v>0</v>
      </c>
      <c r="AG103">
        <f>SUMIF(RawData!$C:$C,$A103,RawData!AK:AK)</f>
        <v>0</v>
      </c>
      <c r="AH103">
        <f>SUMIF(RawData!$C:$C,$A103,RawData!AL:AL)</f>
        <v>0</v>
      </c>
      <c r="AI103">
        <f>SUMIF(RawData!$C:$C,$A103,RawData!AM:AM)</f>
        <v>0</v>
      </c>
      <c r="AJ103">
        <f>SUMIF(RawData!$C:$C,$A103,RawData!AN:AN)</f>
        <v>0</v>
      </c>
      <c r="AK103">
        <f>SUMIF(RawData!$C:$C,$A103,RawData!AO:AO)</f>
        <v>0</v>
      </c>
      <c r="AL103">
        <f>SUMIF(RawData!$C:$C,$A103,RawData!AP:AP)</f>
        <v>0</v>
      </c>
      <c r="AM103">
        <f>SUMIF(RawData!$C:$C,$A103,RawData!AQ:AQ)</f>
        <v>0</v>
      </c>
      <c r="AN103">
        <f>SUMIF(RawData!$C:$C,$A103,RawData!AR:AR)</f>
        <v>0</v>
      </c>
      <c r="AO103">
        <f>SUMIF(RawData!$C:$C,$A103,RawData!AS:AS)</f>
        <v>0</v>
      </c>
      <c r="AP103">
        <f>SUMIF(RawData!$C:$C,$A103,RawData!AT:AT)</f>
        <v>0</v>
      </c>
      <c r="AQ103">
        <f>SUMIF(RawData!$C:$C,$A103,RawData!AU:AU)</f>
        <v>0</v>
      </c>
      <c r="AR103">
        <f>SUMIF(RawData!$C:$C,$A103,RawData!AV:AV)</f>
        <v>0</v>
      </c>
      <c r="AS103">
        <f>SUMIF(RawData!$C:$C,$A103,RawData!AW:AW)</f>
        <v>0</v>
      </c>
      <c r="AT103">
        <f>SUMIF(RawData!$C:$C,$A103,RawData!AX:AX)</f>
        <v>0</v>
      </c>
      <c r="AU103">
        <f>SUMIF(RawData!$C:$C,$A103,RawData!AY:AY)</f>
        <v>0</v>
      </c>
      <c r="AV103">
        <f>SUMIF(RawData!$C:$C,$A103,RawData!AZ:AZ)</f>
        <v>0</v>
      </c>
      <c r="AW103">
        <f>SUMIF(RawData!$C:$C,$A103,RawData!BA:BA)</f>
        <v>0</v>
      </c>
      <c r="AX103">
        <f>SUMIF(RawData!$C:$C,$A103,RawData!BB:BB)</f>
        <v>0</v>
      </c>
      <c r="AY103">
        <f>SUMIF(RawData!$C:$C,$A103,RawData!BC:BC)</f>
        <v>0</v>
      </c>
      <c r="AZ103">
        <f>SUMIF(RawData!$C:$C,$A103,RawData!BD:BD)</f>
        <v>0</v>
      </c>
      <c r="BA103">
        <f>SUMIF(RawData!$C:$C,$A103,RawData!BE:BE)</f>
        <v>2</v>
      </c>
      <c r="BB103">
        <f>SUMIF(RawData!$C:$C,$A103,RawData!BF:BF)</f>
        <v>2</v>
      </c>
      <c r="BC103">
        <f>SUMIF(RawData!$C:$C,$A103,RawData!BG:BG)</f>
        <v>2</v>
      </c>
      <c r="BD103">
        <f>SUMIF(RawData!$C:$C,$A103,RawData!BH:BH)</f>
        <v>0</v>
      </c>
      <c r="BE103">
        <f>SUMIF(RawData!$C:$C,$A103,RawData!BI:BI)</f>
        <v>0</v>
      </c>
      <c r="BF103">
        <f>SUMIF(RawData!$C:$C,$A103,RawData!BJ:BJ)</f>
        <v>0</v>
      </c>
      <c r="BG103">
        <f>SUMIF(RawData!$C:$C,$A103,RawData!BK:BK)</f>
        <v>0</v>
      </c>
      <c r="BH103">
        <f>SUMIF(RawData!$C:$C,$A103,RawData!BL:BL)</f>
        <v>0</v>
      </c>
      <c r="BI103">
        <f>SUMIF(RawData!$C:$C,$A103,RawData!BM:BM)</f>
        <v>0</v>
      </c>
      <c r="BJ103">
        <f>SUMIF(RawData!$C:$C,$A103,RawData!BN:BN)</f>
        <v>0</v>
      </c>
      <c r="BK103">
        <f>SUMIF(RawData!$C:$C,$A103,RawData!BO:BO)</f>
        <v>0</v>
      </c>
      <c r="BL103">
        <f>SUMIF(RawData!$C:$C,$A103,RawData!BP:BP)</f>
        <v>0</v>
      </c>
      <c r="BM103">
        <f>SUMIF(RawData!$C:$C,$A103,RawData!BQ:BQ)</f>
        <v>0</v>
      </c>
      <c r="BN103">
        <f>SUMIF(RawData!$C:$C,$A103,RawData!BR:BR)</f>
        <v>0</v>
      </c>
      <c r="BO103">
        <f>SUMIF(RawData!$C:$C,$A103,RawData!BS:BS)</f>
        <v>0</v>
      </c>
      <c r="BP103">
        <f>SUMIF(RawData!$C:$C,$A103,RawData!BT:BT)</f>
        <v>0</v>
      </c>
      <c r="BQ103">
        <f>SUMIF(RawData!$C:$C,$A103,RawData!BU:BU)</f>
        <v>0</v>
      </c>
      <c r="BR103">
        <f>SUMIF(RawData!$C:$C,$A103,RawData!BV:BV)</f>
        <v>0</v>
      </c>
      <c r="BS103">
        <f>SUMIF(RawData!$C:$C,$A103,RawData!BW:BW)</f>
        <v>0</v>
      </c>
      <c r="BT103">
        <f>SUMIF(RawData!$C:$C,$A103,RawData!BX:BX)</f>
        <v>0</v>
      </c>
    </row>
    <row r="104" spans="1:72" ht="15" thickBot="1" x14ac:dyDescent="0.35">
      <c r="A104" s="5" t="s">
        <v>306</v>
      </c>
      <c r="B104">
        <f>SUMIF(RawData!$C:$C,$A104,RawData!F:F)</f>
        <v>0</v>
      </c>
      <c r="C104">
        <f>SUMIF(RawData!$C:$C,$A104,RawData!G:G)</f>
        <v>0</v>
      </c>
      <c r="D104">
        <f>SUMIF(RawData!$C:$C,$A104,RawData!H:H)</f>
        <v>0</v>
      </c>
      <c r="E104">
        <f>SUMIF(RawData!$C:$C,$A104,RawData!I:I)</f>
        <v>0</v>
      </c>
      <c r="F104">
        <f>SUMIF(RawData!$C:$C,$A104,RawData!J:J)</f>
        <v>0</v>
      </c>
      <c r="G104">
        <f>SUMIF(RawData!$C:$C,$A104,RawData!K:K)</f>
        <v>0</v>
      </c>
      <c r="H104">
        <f>SUMIF(RawData!$C:$C,$A104,RawData!L:L)</f>
        <v>0</v>
      </c>
      <c r="I104">
        <f>SUMIF(RawData!$C:$C,$A104,RawData!M:M)</f>
        <v>0</v>
      </c>
      <c r="J104">
        <f>SUMIF(RawData!$C:$C,$A104,RawData!N:N)</f>
        <v>0</v>
      </c>
      <c r="K104">
        <f>SUMIF(RawData!$C:$C,$A104,RawData!O:O)</f>
        <v>0</v>
      </c>
      <c r="L104">
        <f>SUMIF(RawData!$C:$C,$A104,RawData!P:P)</f>
        <v>0</v>
      </c>
      <c r="M104">
        <f>SUMIF(RawData!$C:$C,$A104,RawData!Q:Q)</f>
        <v>0</v>
      </c>
      <c r="N104">
        <f>SUMIF(RawData!$C:$C,$A104,RawData!R:R)</f>
        <v>0</v>
      </c>
      <c r="O104">
        <f>SUMIF(RawData!$C:$C,$A104,RawData!S:S)</f>
        <v>0</v>
      </c>
      <c r="P104">
        <f>SUMIF(RawData!$C:$C,$A104,RawData!T:T)</f>
        <v>0</v>
      </c>
      <c r="Q104">
        <f>SUMIF(RawData!$C:$C,$A104,RawData!U:U)</f>
        <v>0</v>
      </c>
      <c r="R104">
        <f>SUMIF(RawData!$C:$C,$A104,RawData!V:V)</f>
        <v>0</v>
      </c>
      <c r="S104">
        <f>SUMIF(RawData!$C:$C,$A104,RawData!W:W)</f>
        <v>0</v>
      </c>
      <c r="T104">
        <f>SUMIF(RawData!$C:$C,$A104,RawData!X:X)</f>
        <v>0</v>
      </c>
      <c r="U104">
        <f>SUMIF(RawData!$C:$C,$A104,RawData!Y:Y)</f>
        <v>0</v>
      </c>
      <c r="V104">
        <f>SUMIF(RawData!$C:$C,$A104,RawData!Z:Z)</f>
        <v>0</v>
      </c>
      <c r="W104">
        <f>SUMIF(RawData!$C:$C,$A104,RawData!AA:AA)</f>
        <v>0</v>
      </c>
      <c r="X104">
        <f>SUMIF(RawData!$C:$C,$A104,RawData!AB:AB)</f>
        <v>0</v>
      </c>
      <c r="Y104">
        <f>SUMIF(RawData!$C:$C,$A104,RawData!AC:AC)</f>
        <v>0</v>
      </c>
      <c r="Z104">
        <f>SUMIF(RawData!$C:$C,$A104,RawData!AD:AD)</f>
        <v>0</v>
      </c>
      <c r="AA104">
        <f>SUMIF(RawData!$C:$C,$A104,RawData!AE:AE)</f>
        <v>0</v>
      </c>
      <c r="AB104">
        <f>SUMIF(RawData!$C:$C,$A104,RawData!AF:AF)</f>
        <v>0</v>
      </c>
      <c r="AC104">
        <f>SUMIF(RawData!$C:$C,$A104,RawData!AG:AG)</f>
        <v>0</v>
      </c>
      <c r="AD104">
        <f>SUMIF(RawData!$C:$C,$A104,RawData!AH:AH)</f>
        <v>0</v>
      </c>
      <c r="AE104">
        <f>SUMIF(RawData!$C:$C,$A104,RawData!AI:AI)</f>
        <v>0</v>
      </c>
      <c r="AF104">
        <f>SUMIF(RawData!$C:$C,$A104,RawData!AJ:AJ)</f>
        <v>0</v>
      </c>
      <c r="AG104">
        <f>SUMIF(RawData!$C:$C,$A104,RawData!AK:AK)</f>
        <v>0</v>
      </c>
      <c r="AH104">
        <f>SUMIF(RawData!$C:$C,$A104,RawData!AL:AL)</f>
        <v>0</v>
      </c>
      <c r="AI104">
        <f>SUMIF(RawData!$C:$C,$A104,RawData!AM:AM)</f>
        <v>0</v>
      </c>
      <c r="AJ104">
        <f>SUMIF(RawData!$C:$C,$A104,RawData!AN:AN)</f>
        <v>0</v>
      </c>
      <c r="AK104">
        <f>SUMIF(RawData!$C:$C,$A104,RawData!AO:AO)</f>
        <v>0</v>
      </c>
      <c r="AL104">
        <f>SUMIF(RawData!$C:$C,$A104,RawData!AP:AP)</f>
        <v>0</v>
      </c>
      <c r="AM104">
        <f>SUMIF(RawData!$C:$C,$A104,RawData!AQ:AQ)</f>
        <v>0</v>
      </c>
      <c r="AN104">
        <f>SUMIF(RawData!$C:$C,$A104,RawData!AR:AR)</f>
        <v>0</v>
      </c>
      <c r="AO104">
        <f>SUMIF(RawData!$C:$C,$A104,RawData!AS:AS)</f>
        <v>0</v>
      </c>
      <c r="AP104">
        <f>SUMIF(RawData!$C:$C,$A104,RawData!AT:AT)</f>
        <v>0</v>
      </c>
      <c r="AQ104">
        <f>SUMIF(RawData!$C:$C,$A104,RawData!AU:AU)</f>
        <v>0</v>
      </c>
      <c r="AR104">
        <f>SUMIF(RawData!$C:$C,$A104,RawData!AV:AV)</f>
        <v>0</v>
      </c>
      <c r="AS104">
        <f>SUMIF(RawData!$C:$C,$A104,RawData!AW:AW)</f>
        <v>0</v>
      </c>
      <c r="AT104">
        <f>SUMIF(RawData!$C:$C,$A104,RawData!AX:AX)</f>
        <v>0</v>
      </c>
      <c r="AU104">
        <f>SUMIF(RawData!$C:$C,$A104,RawData!AY:AY)</f>
        <v>0</v>
      </c>
      <c r="AV104">
        <f>SUMIF(RawData!$C:$C,$A104,RawData!AZ:AZ)</f>
        <v>0</v>
      </c>
      <c r="AW104">
        <f>SUMIF(RawData!$C:$C,$A104,RawData!BA:BA)</f>
        <v>0</v>
      </c>
      <c r="AX104">
        <f>SUMIF(RawData!$C:$C,$A104,RawData!BB:BB)</f>
        <v>1</v>
      </c>
      <c r="AY104">
        <f>SUMIF(RawData!$C:$C,$A104,RawData!BC:BC)</f>
        <v>2</v>
      </c>
      <c r="AZ104">
        <f>SUMIF(RawData!$C:$C,$A104,RawData!BD:BD)</f>
        <v>2</v>
      </c>
      <c r="BA104">
        <f>SUMIF(RawData!$C:$C,$A104,RawData!BE:BE)</f>
        <v>2</v>
      </c>
      <c r="BB104">
        <f>SUMIF(RawData!$C:$C,$A104,RawData!BF:BF)</f>
        <v>2</v>
      </c>
      <c r="BC104">
        <f>SUMIF(RawData!$C:$C,$A104,RawData!BG:BG)</f>
        <v>3</v>
      </c>
      <c r="BD104">
        <f>SUMIF(RawData!$C:$C,$A104,RawData!BH:BH)</f>
        <v>0</v>
      </c>
      <c r="BE104">
        <f>SUMIF(RawData!$C:$C,$A104,RawData!BI:BI)</f>
        <v>0</v>
      </c>
      <c r="BF104">
        <f>SUMIF(RawData!$C:$C,$A104,RawData!BJ:BJ)</f>
        <v>0</v>
      </c>
      <c r="BG104">
        <f>SUMIF(RawData!$C:$C,$A104,RawData!BK:BK)</f>
        <v>0</v>
      </c>
      <c r="BH104">
        <f>SUMIF(RawData!$C:$C,$A104,RawData!BL:BL)</f>
        <v>0</v>
      </c>
      <c r="BI104">
        <f>SUMIF(RawData!$C:$C,$A104,RawData!BM:BM)</f>
        <v>0</v>
      </c>
      <c r="BJ104">
        <f>SUMIF(RawData!$C:$C,$A104,RawData!BN:BN)</f>
        <v>0</v>
      </c>
      <c r="BK104">
        <f>SUMIF(RawData!$C:$C,$A104,RawData!BO:BO)</f>
        <v>0</v>
      </c>
      <c r="BL104">
        <f>SUMIF(RawData!$C:$C,$A104,RawData!BP:BP)</f>
        <v>0</v>
      </c>
      <c r="BM104">
        <f>SUMIF(RawData!$C:$C,$A104,RawData!BQ:BQ)</f>
        <v>0</v>
      </c>
      <c r="BN104">
        <f>SUMIF(RawData!$C:$C,$A104,RawData!BR:BR)</f>
        <v>0</v>
      </c>
      <c r="BO104">
        <f>SUMIF(RawData!$C:$C,$A104,RawData!BS:BS)</f>
        <v>0</v>
      </c>
      <c r="BP104">
        <f>SUMIF(RawData!$C:$C,$A104,RawData!BT:BT)</f>
        <v>0</v>
      </c>
      <c r="BQ104">
        <f>SUMIF(RawData!$C:$C,$A104,RawData!BU:BU)</f>
        <v>0</v>
      </c>
      <c r="BR104">
        <f>SUMIF(RawData!$C:$C,$A104,RawData!BV:BV)</f>
        <v>0</v>
      </c>
      <c r="BS104">
        <f>SUMIF(RawData!$C:$C,$A104,RawData!BW:BW)</f>
        <v>0</v>
      </c>
      <c r="BT104">
        <f>SUMIF(RawData!$C:$C,$A104,RawData!BX:BX)</f>
        <v>0</v>
      </c>
    </row>
    <row r="105" spans="1:72" ht="15" thickBot="1" x14ac:dyDescent="0.35">
      <c r="A105" s="4" t="s">
        <v>184</v>
      </c>
      <c r="B105">
        <f>SUMIF(RawData!$C:$C,$A105,RawData!F:F)</f>
        <v>0</v>
      </c>
      <c r="C105">
        <f>SUMIF(RawData!$C:$C,$A105,RawData!G:G)</f>
        <v>0</v>
      </c>
      <c r="D105">
        <f>SUMIF(RawData!$C:$C,$A105,RawData!H:H)</f>
        <v>0</v>
      </c>
      <c r="E105">
        <f>SUMIF(RawData!$C:$C,$A105,RawData!I:I)</f>
        <v>0</v>
      </c>
      <c r="F105">
        <f>SUMIF(RawData!$C:$C,$A105,RawData!J:J)</f>
        <v>0</v>
      </c>
      <c r="G105">
        <f>SUMIF(RawData!$C:$C,$A105,RawData!K:K)</f>
        <v>0</v>
      </c>
      <c r="H105">
        <f>SUMIF(RawData!$C:$C,$A105,RawData!L:L)</f>
        <v>0</v>
      </c>
      <c r="I105">
        <f>SUMIF(RawData!$C:$C,$A105,RawData!M:M)</f>
        <v>0</v>
      </c>
      <c r="J105">
        <f>SUMIF(RawData!$C:$C,$A105,RawData!N:N)</f>
        <v>0</v>
      </c>
      <c r="K105">
        <f>SUMIF(RawData!$C:$C,$A105,RawData!O:O)</f>
        <v>0</v>
      </c>
      <c r="L105">
        <f>SUMIF(RawData!$C:$C,$A105,RawData!P:P)</f>
        <v>0</v>
      </c>
      <c r="M105">
        <f>SUMIF(RawData!$C:$C,$A105,RawData!Q:Q)</f>
        <v>0</v>
      </c>
      <c r="N105">
        <f>SUMIF(RawData!$C:$C,$A105,RawData!R:R)</f>
        <v>0</v>
      </c>
      <c r="O105">
        <f>SUMIF(RawData!$C:$C,$A105,RawData!S:S)</f>
        <v>0</v>
      </c>
      <c r="P105">
        <f>SUMIF(RawData!$C:$C,$A105,RawData!T:T)</f>
        <v>0</v>
      </c>
      <c r="Q105">
        <f>SUMIF(RawData!$C:$C,$A105,RawData!U:U)</f>
        <v>0</v>
      </c>
      <c r="R105">
        <f>SUMIF(RawData!$C:$C,$A105,RawData!V:V)</f>
        <v>0</v>
      </c>
      <c r="S105">
        <f>SUMIF(RawData!$C:$C,$A105,RawData!W:W)</f>
        <v>0</v>
      </c>
      <c r="T105">
        <f>SUMIF(RawData!$C:$C,$A105,RawData!X:X)</f>
        <v>0</v>
      </c>
      <c r="U105">
        <f>SUMIF(RawData!$C:$C,$A105,RawData!Y:Y)</f>
        <v>0</v>
      </c>
      <c r="V105">
        <f>SUMIF(RawData!$C:$C,$A105,RawData!Z:Z)</f>
        <v>0</v>
      </c>
      <c r="W105">
        <f>SUMIF(RawData!$C:$C,$A105,RawData!AA:AA)</f>
        <v>0</v>
      </c>
      <c r="X105">
        <f>SUMIF(RawData!$C:$C,$A105,RawData!AB:AB)</f>
        <v>0</v>
      </c>
      <c r="Y105">
        <f>SUMIF(RawData!$C:$C,$A105,RawData!AC:AC)</f>
        <v>0</v>
      </c>
      <c r="Z105">
        <f>SUMIF(RawData!$C:$C,$A105,RawData!AD:AD)</f>
        <v>0</v>
      </c>
      <c r="AA105">
        <f>SUMIF(RawData!$C:$C,$A105,RawData!AE:AE)</f>
        <v>0</v>
      </c>
      <c r="AB105">
        <f>SUMIF(RawData!$C:$C,$A105,RawData!AF:AF)</f>
        <v>0</v>
      </c>
      <c r="AC105">
        <f>SUMIF(RawData!$C:$C,$A105,RawData!AG:AG)</f>
        <v>0</v>
      </c>
      <c r="AD105">
        <f>SUMIF(RawData!$C:$C,$A105,RawData!AH:AH)</f>
        <v>0</v>
      </c>
      <c r="AE105">
        <f>SUMIF(RawData!$C:$C,$A105,RawData!AI:AI)</f>
        <v>0</v>
      </c>
      <c r="AF105">
        <f>SUMIF(RawData!$C:$C,$A105,RawData!AJ:AJ)</f>
        <v>0</v>
      </c>
      <c r="AG105">
        <f>SUMIF(RawData!$C:$C,$A105,RawData!AK:AK)</f>
        <v>0</v>
      </c>
      <c r="AH105">
        <f>SUMIF(RawData!$C:$C,$A105,RawData!AL:AL)</f>
        <v>0</v>
      </c>
      <c r="AI105">
        <f>SUMIF(RawData!$C:$C,$A105,RawData!AM:AM)</f>
        <v>0</v>
      </c>
      <c r="AJ105">
        <f>SUMIF(RawData!$C:$C,$A105,RawData!AN:AN)</f>
        <v>0</v>
      </c>
      <c r="AK105">
        <f>SUMIF(RawData!$C:$C,$A105,RawData!AO:AO)</f>
        <v>0</v>
      </c>
      <c r="AL105">
        <f>SUMIF(RawData!$C:$C,$A105,RawData!AP:AP)</f>
        <v>0</v>
      </c>
      <c r="AM105">
        <f>SUMIF(RawData!$C:$C,$A105,RawData!AQ:AQ)</f>
        <v>0</v>
      </c>
      <c r="AN105">
        <f>SUMIF(RawData!$C:$C,$A105,RawData!AR:AR)</f>
        <v>0</v>
      </c>
      <c r="AO105">
        <f>SUMIF(RawData!$C:$C,$A105,RawData!AS:AS)</f>
        <v>0</v>
      </c>
      <c r="AP105">
        <f>SUMIF(RawData!$C:$C,$A105,RawData!AT:AT)</f>
        <v>0</v>
      </c>
      <c r="AQ105">
        <f>SUMIF(RawData!$C:$C,$A105,RawData!AU:AU)</f>
        <v>0</v>
      </c>
      <c r="AR105">
        <f>SUMIF(RawData!$C:$C,$A105,RawData!AV:AV)</f>
        <v>0</v>
      </c>
      <c r="AS105">
        <f>SUMIF(RawData!$C:$C,$A105,RawData!AW:AW)</f>
        <v>0</v>
      </c>
      <c r="AT105">
        <f>SUMIF(RawData!$C:$C,$A105,RawData!AX:AX)</f>
        <v>1</v>
      </c>
      <c r="AU105">
        <f>SUMIF(RawData!$C:$C,$A105,RawData!AY:AY)</f>
        <v>1</v>
      </c>
      <c r="AV105">
        <f>SUMIF(RawData!$C:$C,$A105,RawData!AZ:AZ)</f>
        <v>2</v>
      </c>
      <c r="AW105">
        <f>SUMIF(RawData!$C:$C,$A105,RawData!BA:BA)</f>
        <v>2</v>
      </c>
      <c r="AX105">
        <f>SUMIF(RawData!$C:$C,$A105,RawData!BB:BB)</f>
        <v>2</v>
      </c>
      <c r="AY105">
        <f>SUMIF(RawData!$C:$C,$A105,RawData!BC:BC)</f>
        <v>2</v>
      </c>
      <c r="AZ105">
        <f>SUMIF(RawData!$C:$C,$A105,RawData!BD:BD)</f>
        <v>2</v>
      </c>
      <c r="BA105">
        <f>SUMIF(RawData!$C:$C,$A105,RawData!BE:BE)</f>
        <v>2</v>
      </c>
      <c r="BB105">
        <f>SUMIF(RawData!$C:$C,$A105,RawData!BF:BF)</f>
        <v>2</v>
      </c>
      <c r="BC105">
        <f>SUMIF(RawData!$C:$C,$A105,RawData!BG:BG)</f>
        <v>2</v>
      </c>
      <c r="BD105">
        <f>SUMIF(RawData!$C:$C,$A105,RawData!BH:BH)</f>
        <v>0</v>
      </c>
      <c r="BE105">
        <f>SUMIF(RawData!$C:$C,$A105,RawData!BI:BI)</f>
        <v>0</v>
      </c>
      <c r="BF105">
        <f>SUMIF(RawData!$C:$C,$A105,RawData!BJ:BJ)</f>
        <v>0</v>
      </c>
      <c r="BG105">
        <f>SUMIF(RawData!$C:$C,$A105,RawData!BK:BK)</f>
        <v>0</v>
      </c>
      <c r="BH105">
        <f>SUMIF(RawData!$C:$C,$A105,RawData!BL:BL)</f>
        <v>0</v>
      </c>
      <c r="BI105">
        <f>SUMIF(RawData!$C:$C,$A105,RawData!BM:BM)</f>
        <v>0</v>
      </c>
      <c r="BJ105">
        <f>SUMIF(RawData!$C:$C,$A105,RawData!BN:BN)</f>
        <v>0</v>
      </c>
      <c r="BK105">
        <f>SUMIF(RawData!$C:$C,$A105,RawData!BO:BO)</f>
        <v>0</v>
      </c>
      <c r="BL105">
        <f>SUMIF(RawData!$C:$C,$A105,RawData!BP:BP)</f>
        <v>0</v>
      </c>
      <c r="BM105">
        <f>SUMIF(RawData!$C:$C,$A105,RawData!BQ:BQ)</f>
        <v>0</v>
      </c>
      <c r="BN105">
        <f>SUMIF(RawData!$C:$C,$A105,RawData!BR:BR)</f>
        <v>0</v>
      </c>
      <c r="BO105">
        <f>SUMIF(RawData!$C:$C,$A105,RawData!BS:BS)</f>
        <v>0</v>
      </c>
      <c r="BP105">
        <f>SUMIF(RawData!$C:$C,$A105,RawData!BT:BT)</f>
        <v>0</v>
      </c>
      <c r="BQ105">
        <f>SUMIF(RawData!$C:$C,$A105,RawData!BU:BU)</f>
        <v>0</v>
      </c>
      <c r="BR105">
        <f>SUMIF(RawData!$C:$C,$A105,RawData!BV:BV)</f>
        <v>0</v>
      </c>
      <c r="BS105">
        <f>SUMIF(RawData!$C:$C,$A105,RawData!BW:BW)</f>
        <v>0</v>
      </c>
      <c r="BT105">
        <f>SUMIF(RawData!$C:$C,$A105,RawData!BX:BX)</f>
        <v>0</v>
      </c>
    </row>
    <row r="106" spans="1:72" ht="15" thickBot="1" x14ac:dyDescent="0.35">
      <c r="A106" s="5" t="s">
        <v>379</v>
      </c>
      <c r="B106">
        <f>SUMIF(RawData!$C:$C,$A106,RawData!F:F)</f>
        <v>0</v>
      </c>
      <c r="C106">
        <f>SUMIF(RawData!$C:$C,$A106,RawData!G:G)</f>
        <v>0</v>
      </c>
      <c r="D106">
        <f>SUMIF(RawData!$C:$C,$A106,RawData!H:H)</f>
        <v>0</v>
      </c>
      <c r="E106">
        <f>SUMIF(RawData!$C:$C,$A106,RawData!I:I)</f>
        <v>0</v>
      </c>
      <c r="F106">
        <f>SUMIF(RawData!$C:$C,$A106,RawData!J:J)</f>
        <v>0</v>
      </c>
      <c r="G106">
        <f>SUMIF(RawData!$C:$C,$A106,RawData!K:K)</f>
        <v>0</v>
      </c>
      <c r="H106">
        <f>SUMIF(RawData!$C:$C,$A106,RawData!L:L)</f>
        <v>0</v>
      </c>
      <c r="I106">
        <f>SUMIF(RawData!$C:$C,$A106,RawData!M:M)</f>
        <v>0</v>
      </c>
      <c r="J106">
        <f>SUMIF(RawData!$C:$C,$A106,RawData!N:N)</f>
        <v>0</v>
      </c>
      <c r="K106">
        <f>SUMIF(RawData!$C:$C,$A106,RawData!O:O)</f>
        <v>0</v>
      </c>
      <c r="L106">
        <f>SUMIF(RawData!$C:$C,$A106,RawData!P:P)</f>
        <v>0</v>
      </c>
      <c r="M106">
        <f>SUMIF(RawData!$C:$C,$A106,RawData!Q:Q)</f>
        <v>0</v>
      </c>
      <c r="N106">
        <f>SUMIF(RawData!$C:$C,$A106,RawData!R:R)</f>
        <v>0</v>
      </c>
      <c r="O106">
        <f>SUMIF(RawData!$C:$C,$A106,RawData!S:S)</f>
        <v>0</v>
      </c>
      <c r="P106">
        <f>SUMIF(RawData!$C:$C,$A106,RawData!T:T)</f>
        <v>0</v>
      </c>
      <c r="Q106">
        <f>SUMIF(RawData!$C:$C,$A106,RawData!U:U)</f>
        <v>0</v>
      </c>
      <c r="R106">
        <f>SUMIF(RawData!$C:$C,$A106,RawData!V:V)</f>
        <v>0</v>
      </c>
      <c r="S106">
        <f>SUMIF(RawData!$C:$C,$A106,RawData!W:W)</f>
        <v>0</v>
      </c>
      <c r="T106">
        <f>SUMIF(RawData!$C:$C,$A106,RawData!X:X)</f>
        <v>0</v>
      </c>
      <c r="U106">
        <f>SUMIF(RawData!$C:$C,$A106,RawData!Y:Y)</f>
        <v>0</v>
      </c>
      <c r="V106">
        <f>SUMIF(RawData!$C:$C,$A106,RawData!Z:Z)</f>
        <v>0</v>
      </c>
      <c r="W106">
        <f>SUMIF(RawData!$C:$C,$A106,RawData!AA:AA)</f>
        <v>0</v>
      </c>
      <c r="X106">
        <f>SUMIF(RawData!$C:$C,$A106,RawData!AB:AB)</f>
        <v>0</v>
      </c>
      <c r="Y106">
        <f>SUMIF(RawData!$C:$C,$A106,RawData!AC:AC)</f>
        <v>0</v>
      </c>
      <c r="Z106">
        <f>SUMIF(RawData!$C:$C,$A106,RawData!AD:AD)</f>
        <v>0</v>
      </c>
      <c r="AA106">
        <f>SUMIF(RawData!$C:$C,$A106,RawData!AE:AE)</f>
        <v>0</v>
      </c>
      <c r="AB106">
        <f>SUMIF(RawData!$C:$C,$A106,RawData!AF:AF)</f>
        <v>0</v>
      </c>
      <c r="AC106">
        <f>SUMIF(RawData!$C:$C,$A106,RawData!AG:AG)</f>
        <v>0</v>
      </c>
      <c r="AD106">
        <f>SUMIF(RawData!$C:$C,$A106,RawData!AH:AH)</f>
        <v>0</v>
      </c>
      <c r="AE106">
        <f>SUMIF(RawData!$C:$C,$A106,RawData!AI:AI)</f>
        <v>0</v>
      </c>
      <c r="AF106">
        <f>SUMIF(RawData!$C:$C,$A106,RawData!AJ:AJ)</f>
        <v>0</v>
      </c>
      <c r="AG106">
        <f>SUMIF(RawData!$C:$C,$A106,RawData!AK:AK)</f>
        <v>0</v>
      </c>
      <c r="AH106">
        <f>SUMIF(RawData!$C:$C,$A106,RawData!AL:AL)</f>
        <v>0</v>
      </c>
      <c r="AI106">
        <f>SUMIF(RawData!$C:$C,$A106,RawData!AM:AM)</f>
        <v>0</v>
      </c>
      <c r="AJ106">
        <f>SUMIF(RawData!$C:$C,$A106,RawData!AN:AN)</f>
        <v>0</v>
      </c>
      <c r="AK106">
        <f>SUMIF(RawData!$C:$C,$A106,RawData!AO:AO)</f>
        <v>0</v>
      </c>
      <c r="AL106">
        <f>SUMIF(RawData!$C:$C,$A106,RawData!AP:AP)</f>
        <v>0</v>
      </c>
      <c r="AM106">
        <f>SUMIF(RawData!$C:$C,$A106,RawData!AQ:AQ)</f>
        <v>0</v>
      </c>
      <c r="AN106">
        <f>SUMIF(RawData!$C:$C,$A106,RawData!AR:AR)</f>
        <v>0</v>
      </c>
      <c r="AO106">
        <f>SUMIF(RawData!$C:$C,$A106,RawData!AS:AS)</f>
        <v>0</v>
      </c>
      <c r="AP106">
        <f>SUMIF(RawData!$C:$C,$A106,RawData!AT:AT)</f>
        <v>0</v>
      </c>
      <c r="AQ106">
        <f>SUMIF(RawData!$C:$C,$A106,RawData!AU:AU)</f>
        <v>0</v>
      </c>
      <c r="AR106">
        <f>SUMIF(RawData!$C:$C,$A106,RawData!AV:AV)</f>
        <v>0</v>
      </c>
      <c r="AS106">
        <f>SUMIF(RawData!$C:$C,$A106,RawData!AW:AW)</f>
        <v>0</v>
      </c>
      <c r="AT106">
        <f>SUMIF(RawData!$C:$C,$A106,RawData!AX:AX)</f>
        <v>0</v>
      </c>
      <c r="AU106">
        <f>SUMIF(RawData!$C:$C,$A106,RawData!AY:AY)</f>
        <v>0</v>
      </c>
      <c r="AV106">
        <f>SUMIF(RawData!$C:$C,$A106,RawData!AZ:AZ)</f>
        <v>0</v>
      </c>
      <c r="AW106">
        <f>SUMIF(RawData!$C:$C,$A106,RawData!BA:BA)</f>
        <v>0</v>
      </c>
      <c r="AX106">
        <f>SUMIF(RawData!$C:$C,$A106,RawData!BB:BB)</f>
        <v>0</v>
      </c>
      <c r="AY106">
        <f>SUMIF(RawData!$C:$C,$A106,RawData!BC:BC)</f>
        <v>1</v>
      </c>
      <c r="AZ106">
        <f>SUMIF(RawData!$C:$C,$A106,RawData!BD:BD)</f>
        <v>1</v>
      </c>
      <c r="BA106">
        <f>SUMIF(RawData!$C:$C,$A106,RawData!BE:BE)</f>
        <v>2</v>
      </c>
      <c r="BB106">
        <f>SUMIF(RawData!$C:$C,$A106,RawData!BF:BF)</f>
        <v>2</v>
      </c>
      <c r="BC106">
        <f>SUMIF(RawData!$C:$C,$A106,RawData!BG:BG)</f>
        <v>2</v>
      </c>
      <c r="BD106">
        <f>SUMIF(RawData!$C:$C,$A106,RawData!BH:BH)</f>
        <v>0</v>
      </c>
      <c r="BE106">
        <f>SUMIF(RawData!$C:$C,$A106,RawData!BI:BI)</f>
        <v>0</v>
      </c>
      <c r="BF106">
        <f>SUMIF(RawData!$C:$C,$A106,RawData!BJ:BJ)</f>
        <v>0</v>
      </c>
      <c r="BG106">
        <f>SUMIF(RawData!$C:$C,$A106,RawData!BK:BK)</f>
        <v>0</v>
      </c>
      <c r="BH106">
        <f>SUMIF(RawData!$C:$C,$A106,RawData!BL:BL)</f>
        <v>0</v>
      </c>
      <c r="BI106">
        <f>SUMIF(RawData!$C:$C,$A106,RawData!BM:BM)</f>
        <v>0</v>
      </c>
      <c r="BJ106">
        <f>SUMIF(RawData!$C:$C,$A106,RawData!BN:BN)</f>
        <v>0</v>
      </c>
      <c r="BK106">
        <f>SUMIF(RawData!$C:$C,$A106,RawData!BO:BO)</f>
        <v>0</v>
      </c>
      <c r="BL106">
        <f>SUMIF(RawData!$C:$C,$A106,RawData!BP:BP)</f>
        <v>0</v>
      </c>
      <c r="BM106">
        <f>SUMIF(RawData!$C:$C,$A106,RawData!BQ:BQ)</f>
        <v>0</v>
      </c>
      <c r="BN106">
        <f>SUMIF(RawData!$C:$C,$A106,RawData!BR:BR)</f>
        <v>0</v>
      </c>
      <c r="BO106">
        <f>SUMIF(RawData!$C:$C,$A106,RawData!BS:BS)</f>
        <v>0</v>
      </c>
      <c r="BP106">
        <f>SUMIF(RawData!$C:$C,$A106,RawData!BT:BT)</f>
        <v>0</v>
      </c>
      <c r="BQ106">
        <f>SUMIF(RawData!$C:$C,$A106,RawData!BU:BU)</f>
        <v>0</v>
      </c>
      <c r="BR106">
        <f>SUMIF(RawData!$C:$C,$A106,RawData!BV:BV)</f>
        <v>0</v>
      </c>
      <c r="BS106">
        <f>SUMIF(RawData!$C:$C,$A106,RawData!BW:BW)</f>
        <v>0</v>
      </c>
      <c r="BT106">
        <f>SUMIF(RawData!$C:$C,$A106,RawData!BX:BX)</f>
        <v>0</v>
      </c>
    </row>
    <row r="107" spans="1:72" ht="15" thickBot="1" x14ac:dyDescent="0.35">
      <c r="A107" s="5" t="s">
        <v>376</v>
      </c>
      <c r="B107">
        <f>SUMIF(RawData!$C:$C,$A107,RawData!F:F)</f>
        <v>0</v>
      </c>
      <c r="C107">
        <f>SUMIF(RawData!$C:$C,$A107,RawData!G:G)</f>
        <v>0</v>
      </c>
      <c r="D107">
        <f>SUMIF(RawData!$C:$C,$A107,RawData!H:H)</f>
        <v>0</v>
      </c>
      <c r="E107">
        <f>SUMIF(RawData!$C:$C,$A107,RawData!I:I)</f>
        <v>0</v>
      </c>
      <c r="F107">
        <f>SUMIF(RawData!$C:$C,$A107,RawData!J:J)</f>
        <v>0</v>
      </c>
      <c r="G107">
        <f>SUMIF(RawData!$C:$C,$A107,RawData!K:K)</f>
        <v>0</v>
      </c>
      <c r="H107">
        <f>SUMIF(RawData!$C:$C,$A107,RawData!L:L)</f>
        <v>0</v>
      </c>
      <c r="I107">
        <f>SUMIF(RawData!$C:$C,$A107,RawData!M:M)</f>
        <v>0</v>
      </c>
      <c r="J107">
        <f>SUMIF(RawData!$C:$C,$A107,RawData!N:N)</f>
        <v>0</v>
      </c>
      <c r="K107">
        <f>SUMIF(RawData!$C:$C,$A107,RawData!O:O)</f>
        <v>0</v>
      </c>
      <c r="L107">
        <f>SUMIF(RawData!$C:$C,$A107,RawData!P:P)</f>
        <v>0</v>
      </c>
      <c r="M107">
        <f>SUMIF(RawData!$C:$C,$A107,RawData!Q:Q)</f>
        <v>0</v>
      </c>
      <c r="N107">
        <f>SUMIF(RawData!$C:$C,$A107,RawData!R:R)</f>
        <v>0</v>
      </c>
      <c r="O107">
        <f>SUMIF(RawData!$C:$C,$A107,RawData!S:S)</f>
        <v>0</v>
      </c>
      <c r="P107">
        <f>SUMIF(RawData!$C:$C,$A107,RawData!T:T)</f>
        <v>0</v>
      </c>
      <c r="Q107">
        <f>SUMIF(RawData!$C:$C,$A107,RawData!U:U)</f>
        <v>0</v>
      </c>
      <c r="R107">
        <f>SUMIF(RawData!$C:$C,$A107,RawData!V:V)</f>
        <v>0</v>
      </c>
      <c r="S107">
        <f>SUMIF(RawData!$C:$C,$A107,RawData!W:W)</f>
        <v>0</v>
      </c>
      <c r="T107">
        <f>SUMIF(RawData!$C:$C,$A107,RawData!X:X)</f>
        <v>0</v>
      </c>
      <c r="U107">
        <f>SUMIF(RawData!$C:$C,$A107,RawData!Y:Y)</f>
        <v>0</v>
      </c>
      <c r="V107">
        <f>SUMIF(RawData!$C:$C,$A107,RawData!Z:Z)</f>
        <v>0</v>
      </c>
      <c r="W107">
        <f>SUMIF(RawData!$C:$C,$A107,RawData!AA:AA)</f>
        <v>0</v>
      </c>
      <c r="X107">
        <f>SUMIF(RawData!$C:$C,$A107,RawData!AB:AB)</f>
        <v>0</v>
      </c>
      <c r="Y107">
        <f>SUMIF(RawData!$C:$C,$A107,RawData!AC:AC)</f>
        <v>0</v>
      </c>
      <c r="Z107">
        <f>SUMIF(RawData!$C:$C,$A107,RawData!AD:AD)</f>
        <v>0</v>
      </c>
      <c r="AA107">
        <f>SUMIF(RawData!$C:$C,$A107,RawData!AE:AE)</f>
        <v>0</v>
      </c>
      <c r="AB107">
        <f>SUMIF(RawData!$C:$C,$A107,RawData!AF:AF)</f>
        <v>0</v>
      </c>
      <c r="AC107">
        <f>SUMIF(RawData!$C:$C,$A107,RawData!AG:AG)</f>
        <v>0</v>
      </c>
      <c r="AD107">
        <f>SUMIF(RawData!$C:$C,$A107,RawData!AH:AH)</f>
        <v>0</v>
      </c>
      <c r="AE107">
        <f>SUMIF(RawData!$C:$C,$A107,RawData!AI:AI)</f>
        <v>0</v>
      </c>
      <c r="AF107">
        <f>SUMIF(RawData!$C:$C,$A107,RawData!AJ:AJ)</f>
        <v>0</v>
      </c>
      <c r="AG107">
        <f>SUMIF(RawData!$C:$C,$A107,RawData!AK:AK)</f>
        <v>0</v>
      </c>
      <c r="AH107">
        <f>SUMIF(RawData!$C:$C,$A107,RawData!AL:AL)</f>
        <v>0</v>
      </c>
      <c r="AI107">
        <f>SUMIF(RawData!$C:$C,$A107,RawData!AM:AM)</f>
        <v>0</v>
      </c>
      <c r="AJ107">
        <f>SUMIF(RawData!$C:$C,$A107,RawData!AN:AN)</f>
        <v>0</v>
      </c>
      <c r="AK107">
        <f>SUMIF(RawData!$C:$C,$A107,RawData!AO:AO)</f>
        <v>0</v>
      </c>
      <c r="AL107">
        <f>SUMIF(RawData!$C:$C,$A107,RawData!AP:AP)</f>
        <v>0</v>
      </c>
      <c r="AM107">
        <f>SUMIF(RawData!$C:$C,$A107,RawData!AQ:AQ)</f>
        <v>0</v>
      </c>
      <c r="AN107">
        <f>SUMIF(RawData!$C:$C,$A107,RawData!AR:AR)</f>
        <v>0</v>
      </c>
      <c r="AO107">
        <f>SUMIF(RawData!$C:$C,$A107,RawData!AS:AS)</f>
        <v>0</v>
      </c>
      <c r="AP107">
        <f>SUMIF(RawData!$C:$C,$A107,RawData!AT:AT)</f>
        <v>0</v>
      </c>
      <c r="AQ107">
        <f>SUMIF(RawData!$C:$C,$A107,RawData!AU:AU)</f>
        <v>0</v>
      </c>
      <c r="AR107">
        <f>SUMIF(RawData!$C:$C,$A107,RawData!AV:AV)</f>
        <v>0</v>
      </c>
      <c r="AS107">
        <f>SUMIF(RawData!$C:$C,$A107,RawData!AW:AW)</f>
        <v>0</v>
      </c>
      <c r="AT107">
        <f>SUMIF(RawData!$C:$C,$A107,RawData!AX:AX)</f>
        <v>0</v>
      </c>
      <c r="AU107">
        <f>SUMIF(RawData!$C:$C,$A107,RawData!AY:AY)</f>
        <v>0</v>
      </c>
      <c r="AV107">
        <f>SUMIF(RawData!$C:$C,$A107,RawData!AZ:AZ)</f>
        <v>0</v>
      </c>
      <c r="AW107">
        <f>SUMIF(RawData!$C:$C,$A107,RawData!BA:BA)</f>
        <v>0</v>
      </c>
      <c r="AX107">
        <f>SUMIF(RawData!$C:$C,$A107,RawData!BB:BB)</f>
        <v>0</v>
      </c>
      <c r="AY107">
        <f>SUMIF(RawData!$C:$C,$A107,RawData!BC:BC)</f>
        <v>2</v>
      </c>
      <c r="AZ107">
        <f>SUMIF(RawData!$C:$C,$A107,RawData!BD:BD)</f>
        <v>2</v>
      </c>
      <c r="BA107">
        <f>SUMIF(RawData!$C:$C,$A107,RawData!BE:BE)</f>
        <v>2</v>
      </c>
      <c r="BB107">
        <f>SUMIF(RawData!$C:$C,$A107,RawData!BF:BF)</f>
        <v>2</v>
      </c>
      <c r="BC107">
        <f>SUMIF(RawData!$C:$C,$A107,RawData!BG:BG)</f>
        <v>3</v>
      </c>
      <c r="BD107">
        <f>SUMIF(RawData!$C:$C,$A107,RawData!BH:BH)</f>
        <v>0</v>
      </c>
      <c r="BE107">
        <f>SUMIF(RawData!$C:$C,$A107,RawData!BI:BI)</f>
        <v>0</v>
      </c>
      <c r="BF107">
        <f>SUMIF(RawData!$C:$C,$A107,RawData!BJ:BJ)</f>
        <v>0</v>
      </c>
      <c r="BG107">
        <f>SUMIF(RawData!$C:$C,$A107,RawData!BK:BK)</f>
        <v>0</v>
      </c>
      <c r="BH107">
        <f>SUMIF(RawData!$C:$C,$A107,RawData!BL:BL)</f>
        <v>0</v>
      </c>
      <c r="BI107">
        <f>SUMIF(RawData!$C:$C,$A107,RawData!BM:BM)</f>
        <v>0</v>
      </c>
      <c r="BJ107">
        <f>SUMIF(RawData!$C:$C,$A107,RawData!BN:BN)</f>
        <v>0</v>
      </c>
      <c r="BK107">
        <f>SUMIF(RawData!$C:$C,$A107,RawData!BO:BO)</f>
        <v>0</v>
      </c>
      <c r="BL107">
        <f>SUMIF(RawData!$C:$C,$A107,RawData!BP:BP)</f>
        <v>0</v>
      </c>
      <c r="BM107">
        <f>SUMIF(RawData!$C:$C,$A107,RawData!BQ:BQ)</f>
        <v>0</v>
      </c>
      <c r="BN107">
        <f>SUMIF(RawData!$C:$C,$A107,RawData!BR:BR)</f>
        <v>0</v>
      </c>
      <c r="BO107">
        <f>SUMIF(RawData!$C:$C,$A107,RawData!BS:BS)</f>
        <v>0</v>
      </c>
      <c r="BP107">
        <f>SUMIF(RawData!$C:$C,$A107,RawData!BT:BT)</f>
        <v>0</v>
      </c>
      <c r="BQ107">
        <f>SUMIF(RawData!$C:$C,$A107,RawData!BU:BU)</f>
        <v>0</v>
      </c>
      <c r="BR107">
        <f>SUMIF(RawData!$C:$C,$A107,RawData!BV:BV)</f>
        <v>0</v>
      </c>
      <c r="BS107">
        <f>SUMIF(RawData!$C:$C,$A107,RawData!BW:BW)</f>
        <v>0</v>
      </c>
      <c r="BT107">
        <f>SUMIF(RawData!$C:$C,$A107,RawData!BX:BX)</f>
        <v>0</v>
      </c>
    </row>
    <row r="108" spans="1:72" ht="15" thickBot="1" x14ac:dyDescent="0.35">
      <c r="A108" s="5" t="s">
        <v>127</v>
      </c>
      <c r="B108">
        <f>SUMIF(RawData!$C:$C,$A108,RawData!F:F)</f>
        <v>0</v>
      </c>
      <c r="C108">
        <f>SUMIF(RawData!$C:$C,$A108,RawData!G:G)</f>
        <v>0</v>
      </c>
      <c r="D108">
        <f>SUMIF(RawData!$C:$C,$A108,RawData!H:H)</f>
        <v>0</v>
      </c>
      <c r="E108">
        <f>SUMIF(RawData!$C:$C,$A108,RawData!I:I)</f>
        <v>0</v>
      </c>
      <c r="F108">
        <f>SUMIF(RawData!$C:$C,$A108,RawData!J:J)</f>
        <v>0</v>
      </c>
      <c r="G108">
        <f>SUMIF(RawData!$C:$C,$A108,RawData!K:K)</f>
        <v>0</v>
      </c>
      <c r="H108">
        <f>SUMIF(RawData!$C:$C,$A108,RawData!L:L)</f>
        <v>0</v>
      </c>
      <c r="I108">
        <f>SUMIF(RawData!$C:$C,$A108,RawData!M:M)</f>
        <v>0</v>
      </c>
      <c r="J108">
        <f>SUMIF(RawData!$C:$C,$A108,RawData!N:N)</f>
        <v>0</v>
      </c>
      <c r="K108">
        <f>SUMIF(RawData!$C:$C,$A108,RawData!O:O)</f>
        <v>0</v>
      </c>
      <c r="L108">
        <f>SUMIF(RawData!$C:$C,$A108,RawData!P:P)</f>
        <v>0</v>
      </c>
      <c r="M108">
        <f>SUMIF(RawData!$C:$C,$A108,RawData!Q:Q)</f>
        <v>0</v>
      </c>
      <c r="N108">
        <f>SUMIF(RawData!$C:$C,$A108,RawData!R:R)</f>
        <v>0</v>
      </c>
      <c r="O108">
        <f>SUMIF(RawData!$C:$C,$A108,RawData!S:S)</f>
        <v>0</v>
      </c>
      <c r="P108">
        <f>SUMIF(RawData!$C:$C,$A108,RawData!T:T)</f>
        <v>0</v>
      </c>
      <c r="Q108">
        <f>SUMIF(RawData!$C:$C,$A108,RawData!U:U)</f>
        <v>0</v>
      </c>
      <c r="R108">
        <f>SUMIF(RawData!$C:$C,$A108,RawData!V:V)</f>
        <v>0</v>
      </c>
      <c r="S108">
        <f>SUMIF(RawData!$C:$C,$A108,RawData!W:W)</f>
        <v>0</v>
      </c>
      <c r="T108">
        <f>SUMIF(RawData!$C:$C,$A108,RawData!X:X)</f>
        <v>0</v>
      </c>
      <c r="U108">
        <f>SUMIF(RawData!$C:$C,$A108,RawData!Y:Y)</f>
        <v>0</v>
      </c>
      <c r="V108">
        <f>SUMIF(RawData!$C:$C,$A108,RawData!Z:Z)</f>
        <v>0</v>
      </c>
      <c r="W108">
        <f>SUMIF(RawData!$C:$C,$A108,RawData!AA:AA)</f>
        <v>0</v>
      </c>
      <c r="X108">
        <f>SUMIF(RawData!$C:$C,$A108,RawData!AB:AB)</f>
        <v>0</v>
      </c>
      <c r="Y108">
        <f>SUMIF(RawData!$C:$C,$A108,RawData!AC:AC)</f>
        <v>0</v>
      </c>
      <c r="Z108">
        <f>SUMIF(RawData!$C:$C,$A108,RawData!AD:AD)</f>
        <v>0</v>
      </c>
      <c r="AA108">
        <f>SUMIF(RawData!$C:$C,$A108,RawData!AE:AE)</f>
        <v>0</v>
      </c>
      <c r="AB108">
        <f>SUMIF(RawData!$C:$C,$A108,RawData!AF:AF)</f>
        <v>0</v>
      </c>
      <c r="AC108">
        <f>SUMIF(RawData!$C:$C,$A108,RawData!AG:AG)</f>
        <v>0</v>
      </c>
      <c r="AD108">
        <f>SUMIF(RawData!$C:$C,$A108,RawData!AH:AH)</f>
        <v>0</v>
      </c>
      <c r="AE108">
        <f>SUMIF(RawData!$C:$C,$A108,RawData!AI:AI)</f>
        <v>0</v>
      </c>
      <c r="AF108">
        <f>SUMIF(RawData!$C:$C,$A108,RawData!AJ:AJ)</f>
        <v>0</v>
      </c>
      <c r="AG108">
        <f>SUMIF(RawData!$C:$C,$A108,RawData!AK:AK)</f>
        <v>0</v>
      </c>
      <c r="AH108">
        <f>SUMIF(RawData!$C:$C,$A108,RawData!AL:AL)</f>
        <v>0</v>
      </c>
      <c r="AI108">
        <f>SUMIF(RawData!$C:$C,$A108,RawData!AM:AM)</f>
        <v>0</v>
      </c>
      <c r="AJ108">
        <f>SUMIF(RawData!$C:$C,$A108,RawData!AN:AN)</f>
        <v>0</v>
      </c>
      <c r="AK108">
        <f>SUMIF(RawData!$C:$C,$A108,RawData!AO:AO)</f>
        <v>0</v>
      </c>
      <c r="AL108">
        <f>SUMIF(RawData!$C:$C,$A108,RawData!AP:AP)</f>
        <v>0</v>
      </c>
      <c r="AM108">
        <f>SUMIF(RawData!$C:$C,$A108,RawData!AQ:AQ)</f>
        <v>0</v>
      </c>
      <c r="AN108">
        <f>SUMIF(RawData!$C:$C,$A108,RawData!AR:AR)</f>
        <v>1</v>
      </c>
      <c r="AO108">
        <f>SUMIF(RawData!$C:$C,$A108,RawData!AS:AS)</f>
        <v>1</v>
      </c>
      <c r="AP108">
        <f>SUMIF(RawData!$C:$C,$A108,RawData!AT:AT)</f>
        <v>1</v>
      </c>
      <c r="AQ108">
        <f>SUMIF(RawData!$C:$C,$A108,RawData!AU:AU)</f>
        <v>1</v>
      </c>
      <c r="AR108">
        <f>SUMIF(RawData!$C:$C,$A108,RawData!AV:AV)</f>
        <v>1</v>
      </c>
      <c r="AS108">
        <f>SUMIF(RawData!$C:$C,$A108,RawData!AW:AW)</f>
        <v>1</v>
      </c>
      <c r="AT108">
        <f>SUMIF(RawData!$C:$C,$A108,RawData!AX:AX)</f>
        <v>1</v>
      </c>
      <c r="AU108">
        <f>SUMIF(RawData!$C:$C,$A108,RawData!AY:AY)</f>
        <v>1</v>
      </c>
      <c r="AV108">
        <f>SUMIF(RawData!$C:$C,$A108,RawData!AZ:AZ)</f>
        <v>1</v>
      </c>
      <c r="AW108">
        <f>SUMIF(RawData!$C:$C,$A108,RawData!BA:BA)</f>
        <v>1</v>
      </c>
      <c r="AX108">
        <f>SUMIF(RawData!$C:$C,$A108,RawData!BB:BB)</f>
        <v>1</v>
      </c>
      <c r="AY108">
        <f>SUMIF(RawData!$C:$C,$A108,RawData!BC:BC)</f>
        <v>1</v>
      </c>
      <c r="AZ108">
        <f>SUMIF(RawData!$C:$C,$A108,RawData!BD:BD)</f>
        <v>2</v>
      </c>
      <c r="BA108">
        <f>SUMIF(RawData!$C:$C,$A108,RawData!BE:BE)</f>
        <v>2</v>
      </c>
      <c r="BB108">
        <f>SUMIF(RawData!$C:$C,$A108,RawData!BF:BF)</f>
        <v>2</v>
      </c>
      <c r="BC108">
        <f>SUMIF(RawData!$C:$C,$A108,RawData!BG:BG)</f>
        <v>2</v>
      </c>
      <c r="BD108">
        <f>SUMIF(RawData!$C:$C,$A108,RawData!BH:BH)</f>
        <v>0</v>
      </c>
      <c r="BE108">
        <f>SUMIF(RawData!$C:$C,$A108,RawData!BI:BI)</f>
        <v>0</v>
      </c>
      <c r="BF108">
        <f>SUMIF(RawData!$C:$C,$A108,RawData!BJ:BJ)</f>
        <v>0</v>
      </c>
      <c r="BG108">
        <f>SUMIF(RawData!$C:$C,$A108,RawData!BK:BK)</f>
        <v>0</v>
      </c>
      <c r="BH108">
        <f>SUMIF(RawData!$C:$C,$A108,RawData!BL:BL)</f>
        <v>0</v>
      </c>
      <c r="BI108">
        <f>SUMIF(RawData!$C:$C,$A108,RawData!BM:BM)</f>
        <v>0</v>
      </c>
      <c r="BJ108">
        <f>SUMIF(RawData!$C:$C,$A108,RawData!BN:BN)</f>
        <v>0</v>
      </c>
      <c r="BK108">
        <f>SUMIF(RawData!$C:$C,$A108,RawData!BO:BO)</f>
        <v>0</v>
      </c>
      <c r="BL108">
        <f>SUMIF(RawData!$C:$C,$A108,RawData!BP:BP)</f>
        <v>0</v>
      </c>
      <c r="BM108">
        <f>SUMIF(RawData!$C:$C,$A108,RawData!BQ:BQ)</f>
        <v>0</v>
      </c>
      <c r="BN108">
        <f>SUMIF(RawData!$C:$C,$A108,RawData!BR:BR)</f>
        <v>0</v>
      </c>
      <c r="BO108">
        <f>SUMIF(RawData!$C:$C,$A108,RawData!BS:BS)</f>
        <v>0</v>
      </c>
      <c r="BP108">
        <f>SUMIF(RawData!$C:$C,$A108,RawData!BT:BT)</f>
        <v>0</v>
      </c>
      <c r="BQ108">
        <f>SUMIF(RawData!$C:$C,$A108,RawData!BU:BU)</f>
        <v>0</v>
      </c>
      <c r="BR108">
        <f>SUMIF(RawData!$C:$C,$A108,RawData!BV:BV)</f>
        <v>0</v>
      </c>
      <c r="BS108">
        <f>SUMIF(RawData!$C:$C,$A108,RawData!BW:BW)</f>
        <v>0</v>
      </c>
      <c r="BT108">
        <f>SUMIF(RawData!$C:$C,$A108,RawData!BX:BX)</f>
        <v>0</v>
      </c>
    </row>
    <row r="109" spans="1:72" ht="15" thickBot="1" x14ac:dyDescent="0.35">
      <c r="A109" s="5" t="s">
        <v>123</v>
      </c>
      <c r="B109">
        <f>SUMIF(RawData!$C:$C,$A109,RawData!F:F)</f>
        <v>0</v>
      </c>
      <c r="C109">
        <f>SUMIF(RawData!$C:$C,$A109,RawData!G:G)</f>
        <v>0</v>
      </c>
      <c r="D109">
        <f>SUMIF(RawData!$C:$C,$A109,RawData!H:H)</f>
        <v>0</v>
      </c>
      <c r="E109">
        <f>SUMIF(RawData!$C:$C,$A109,RawData!I:I)</f>
        <v>0</v>
      </c>
      <c r="F109">
        <f>SUMIF(RawData!$C:$C,$A109,RawData!J:J)</f>
        <v>0</v>
      </c>
      <c r="G109">
        <f>SUMIF(RawData!$C:$C,$A109,RawData!K:K)</f>
        <v>0</v>
      </c>
      <c r="H109">
        <f>SUMIF(RawData!$C:$C,$A109,RawData!L:L)</f>
        <v>0</v>
      </c>
      <c r="I109">
        <f>SUMIF(RawData!$C:$C,$A109,RawData!M:M)</f>
        <v>0</v>
      </c>
      <c r="J109">
        <f>SUMIF(RawData!$C:$C,$A109,RawData!N:N)</f>
        <v>0</v>
      </c>
      <c r="K109">
        <f>SUMIF(RawData!$C:$C,$A109,RawData!O:O)</f>
        <v>0</v>
      </c>
      <c r="L109">
        <f>SUMIF(RawData!$C:$C,$A109,RawData!P:P)</f>
        <v>0</v>
      </c>
      <c r="M109">
        <f>SUMIF(RawData!$C:$C,$A109,RawData!Q:Q)</f>
        <v>0</v>
      </c>
      <c r="N109">
        <f>SUMIF(RawData!$C:$C,$A109,RawData!R:R)</f>
        <v>0</v>
      </c>
      <c r="O109">
        <f>SUMIF(RawData!$C:$C,$A109,RawData!S:S)</f>
        <v>0</v>
      </c>
      <c r="P109">
        <f>SUMIF(RawData!$C:$C,$A109,RawData!T:T)</f>
        <v>0</v>
      </c>
      <c r="Q109">
        <f>SUMIF(RawData!$C:$C,$A109,RawData!U:U)</f>
        <v>0</v>
      </c>
      <c r="R109">
        <f>SUMIF(RawData!$C:$C,$A109,RawData!V:V)</f>
        <v>0</v>
      </c>
      <c r="S109">
        <f>SUMIF(RawData!$C:$C,$A109,RawData!W:W)</f>
        <v>0</v>
      </c>
      <c r="T109">
        <f>SUMIF(RawData!$C:$C,$A109,RawData!X:X)</f>
        <v>0</v>
      </c>
      <c r="U109">
        <f>SUMIF(RawData!$C:$C,$A109,RawData!Y:Y)</f>
        <v>0</v>
      </c>
      <c r="V109">
        <f>SUMIF(RawData!$C:$C,$A109,RawData!Z:Z)</f>
        <v>0</v>
      </c>
      <c r="W109">
        <f>SUMIF(RawData!$C:$C,$A109,RawData!AA:AA)</f>
        <v>0</v>
      </c>
      <c r="X109">
        <f>SUMIF(RawData!$C:$C,$A109,RawData!AB:AB)</f>
        <v>0</v>
      </c>
      <c r="Y109">
        <f>SUMIF(RawData!$C:$C,$A109,RawData!AC:AC)</f>
        <v>0</v>
      </c>
      <c r="Z109">
        <f>SUMIF(RawData!$C:$C,$A109,RawData!AD:AD)</f>
        <v>0</v>
      </c>
      <c r="AA109">
        <f>SUMIF(RawData!$C:$C,$A109,RawData!AE:AE)</f>
        <v>0</v>
      </c>
      <c r="AB109">
        <f>SUMIF(RawData!$C:$C,$A109,RawData!AF:AF)</f>
        <v>0</v>
      </c>
      <c r="AC109">
        <f>SUMIF(RawData!$C:$C,$A109,RawData!AG:AG)</f>
        <v>0</v>
      </c>
      <c r="AD109">
        <f>SUMIF(RawData!$C:$C,$A109,RawData!AH:AH)</f>
        <v>0</v>
      </c>
      <c r="AE109">
        <f>SUMIF(RawData!$C:$C,$A109,RawData!AI:AI)</f>
        <v>0</v>
      </c>
      <c r="AF109">
        <f>SUMIF(RawData!$C:$C,$A109,RawData!AJ:AJ)</f>
        <v>0</v>
      </c>
      <c r="AG109">
        <f>SUMIF(RawData!$C:$C,$A109,RawData!AK:AK)</f>
        <v>0</v>
      </c>
      <c r="AH109">
        <f>SUMIF(RawData!$C:$C,$A109,RawData!AL:AL)</f>
        <v>0</v>
      </c>
      <c r="AI109">
        <f>SUMIF(RawData!$C:$C,$A109,RawData!AM:AM)</f>
        <v>0</v>
      </c>
      <c r="AJ109">
        <f>SUMIF(RawData!$C:$C,$A109,RawData!AN:AN)</f>
        <v>0</v>
      </c>
      <c r="AK109">
        <f>SUMIF(RawData!$C:$C,$A109,RawData!AO:AO)</f>
        <v>0</v>
      </c>
      <c r="AL109">
        <f>SUMIF(RawData!$C:$C,$A109,RawData!AP:AP)</f>
        <v>0</v>
      </c>
      <c r="AM109">
        <f>SUMIF(RawData!$C:$C,$A109,RawData!AQ:AQ)</f>
        <v>1</v>
      </c>
      <c r="AN109">
        <f>SUMIF(RawData!$C:$C,$A109,RawData!AR:AR)</f>
        <v>1</v>
      </c>
      <c r="AO109">
        <f>SUMIF(RawData!$C:$C,$A109,RawData!AS:AS)</f>
        <v>1</v>
      </c>
      <c r="AP109">
        <f>SUMIF(RawData!$C:$C,$A109,RawData!AT:AT)</f>
        <v>1</v>
      </c>
      <c r="AQ109">
        <f>SUMIF(RawData!$C:$C,$A109,RawData!AU:AU)</f>
        <v>1</v>
      </c>
      <c r="AR109">
        <f>SUMIF(RawData!$C:$C,$A109,RawData!AV:AV)</f>
        <v>1</v>
      </c>
      <c r="AS109">
        <f>SUMIF(RawData!$C:$C,$A109,RawData!AW:AW)</f>
        <v>1</v>
      </c>
      <c r="AT109">
        <f>SUMIF(RawData!$C:$C,$A109,RawData!AX:AX)</f>
        <v>1</v>
      </c>
      <c r="AU109">
        <f>SUMIF(RawData!$C:$C,$A109,RawData!AY:AY)</f>
        <v>1</v>
      </c>
      <c r="AV109">
        <f>SUMIF(RawData!$C:$C,$A109,RawData!AZ:AZ)</f>
        <v>1</v>
      </c>
      <c r="AW109">
        <f>SUMIF(RawData!$C:$C,$A109,RawData!BA:BA)</f>
        <v>2</v>
      </c>
      <c r="AX109">
        <f>SUMIF(RawData!$C:$C,$A109,RawData!BB:BB)</f>
        <v>2</v>
      </c>
      <c r="AY109">
        <f>SUMIF(RawData!$C:$C,$A109,RawData!BC:BC)</f>
        <v>2</v>
      </c>
      <c r="AZ109">
        <f>SUMIF(RawData!$C:$C,$A109,RawData!BD:BD)</f>
        <v>2</v>
      </c>
      <c r="BA109">
        <f>SUMIF(RawData!$C:$C,$A109,RawData!BE:BE)</f>
        <v>2</v>
      </c>
      <c r="BB109">
        <f>SUMIF(RawData!$C:$C,$A109,RawData!BF:BF)</f>
        <v>2</v>
      </c>
      <c r="BC109">
        <f>SUMIF(RawData!$C:$C,$A109,RawData!BG:BG)</f>
        <v>2</v>
      </c>
      <c r="BD109">
        <f>SUMIF(RawData!$C:$C,$A109,RawData!BH:BH)</f>
        <v>0</v>
      </c>
      <c r="BE109">
        <f>SUMIF(RawData!$C:$C,$A109,RawData!BI:BI)</f>
        <v>0</v>
      </c>
      <c r="BF109">
        <f>SUMIF(RawData!$C:$C,$A109,RawData!BJ:BJ)</f>
        <v>0</v>
      </c>
      <c r="BG109">
        <f>SUMIF(RawData!$C:$C,$A109,RawData!BK:BK)</f>
        <v>0</v>
      </c>
      <c r="BH109">
        <f>SUMIF(RawData!$C:$C,$A109,RawData!BL:BL)</f>
        <v>0</v>
      </c>
      <c r="BI109">
        <f>SUMIF(RawData!$C:$C,$A109,RawData!BM:BM)</f>
        <v>0</v>
      </c>
      <c r="BJ109">
        <f>SUMIF(RawData!$C:$C,$A109,RawData!BN:BN)</f>
        <v>0</v>
      </c>
      <c r="BK109">
        <f>SUMIF(RawData!$C:$C,$A109,RawData!BO:BO)</f>
        <v>0</v>
      </c>
      <c r="BL109">
        <f>SUMIF(RawData!$C:$C,$A109,RawData!BP:BP)</f>
        <v>0</v>
      </c>
      <c r="BM109">
        <f>SUMIF(RawData!$C:$C,$A109,RawData!BQ:BQ)</f>
        <v>0</v>
      </c>
      <c r="BN109">
        <f>SUMIF(RawData!$C:$C,$A109,RawData!BR:BR)</f>
        <v>0</v>
      </c>
      <c r="BO109">
        <f>SUMIF(RawData!$C:$C,$A109,RawData!BS:BS)</f>
        <v>0</v>
      </c>
      <c r="BP109">
        <f>SUMIF(RawData!$C:$C,$A109,RawData!BT:BT)</f>
        <v>0</v>
      </c>
      <c r="BQ109">
        <f>SUMIF(RawData!$C:$C,$A109,RawData!BU:BU)</f>
        <v>0</v>
      </c>
      <c r="BR109">
        <f>SUMIF(RawData!$C:$C,$A109,RawData!BV:BV)</f>
        <v>0</v>
      </c>
      <c r="BS109">
        <f>SUMIF(RawData!$C:$C,$A109,RawData!BW:BW)</f>
        <v>0</v>
      </c>
      <c r="BT109">
        <f>SUMIF(RawData!$C:$C,$A109,RawData!BX:BX)</f>
        <v>0</v>
      </c>
    </row>
    <row r="110" spans="1:72" ht="15" thickBot="1" x14ac:dyDescent="0.35">
      <c r="A110" s="5" t="s">
        <v>136</v>
      </c>
      <c r="B110">
        <f>SUMIF(RawData!$C:$C,$A110,RawData!F:F)</f>
        <v>0</v>
      </c>
      <c r="C110">
        <f>SUMIF(RawData!$C:$C,$A110,RawData!G:G)</f>
        <v>0</v>
      </c>
      <c r="D110">
        <f>SUMIF(RawData!$C:$C,$A110,RawData!H:H)</f>
        <v>0</v>
      </c>
      <c r="E110">
        <f>SUMIF(RawData!$C:$C,$A110,RawData!I:I)</f>
        <v>0</v>
      </c>
      <c r="F110">
        <f>SUMIF(RawData!$C:$C,$A110,RawData!J:J)</f>
        <v>0</v>
      </c>
      <c r="G110">
        <f>SUMIF(RawData!$C:$C,$A110,RawData!K:K)</f>
        <v>0</v>
      </c>
      <c r="H110">
        <f>SUMIF(RawData!$C:$C,$A110,RawData!L:L)</f>
        <v>0</v>
      </c>
      <c r="I110">
        <f>SUMIF(RawData!$C:$C,$A110,RawData!M:M)</f>
        <v>0</v>
      </c>
      <c r="J110">
        <f>SUMIF(RawData!$C:$C,$A110,RawData!N:N)</f>
        <v>0</v>
      </c>
      <c r="K110">
        <f>SUMIF(RawData!$C:$C,$A110,RawData!O:O)</f>
        <v>0</v>
      </c>
      <c r="L110">
        <f>SUMIF(RawData!$C:$C,$A110,RawData!P:P)</f>
        <v>0</v>
      </c>
      <c r="M110">
        <f>SUMIF(RawData!$C:$C,$A110,RawData!Q:Q)</f>
        <v>0</v>
      </c>
      <c r="N110">
        <f>SUMIF(RawData!$C:$C,$A110,RawData!R:R)</f>
        <v>0</v>
      </c>
      <c r="O110">
        <f>SUMIF(RawData!$C:$C,$A110,RawData!S:S)</f>
        <v>0</v>
      </c>
      <c r="P110">
        <f>SUMIF(RawData!$C:$C,$A110,RawData!T:T)</f>
        <v>0</v>
      </c>
      <c r="Q110">
        <f>SUMIF(RawData!$C:$C,$A110,RawData!U:U)</f>
        <v>0</v>
      </c>
      <c r="R110">
        <f>SUMIF(RawData!$C:$C,$A110,RawData!V:V)</f>
        <v>0</v>
      </c>
      <c r="S110">
        <f>SUMIF(RawData!$C:$C,$A110,RawData!W:W)</f>
        <v>0</v>
      </c>
      <c r="T110">
        <f>SUMIF(RawData!$C:$C,$A110,RawData!X:X)</f>
        <v>0</v>
      </c>
      <c r="U110">
        <f>SUMIF(RawData!$C:$C,$A110,RawData!Y:Y)</f>
        <v>0</v>
      </c>
      <c r="V110">
        <f>SUMIF(RawData!$C:$C,$A110,RawData!Z:Z)</f>
        <v>0</v>
      </c>
      <c r="W110">
        <f>SUMIF(RawData!$C:$C,$A110,RawData!AA:AA)</f>
        <v>0</v>
      </c>
      <c r="X110">
        <f>SUMIF(RawData!$C:$C,$A110,RawData!AB:AB)</f>
        <v>0</v>
      </c>
      <c r="Y110">
        <f>SUMIF(RawData!$C:$C,$A110,RawData!AC:AC)</f>
        <v>0</v>
      </c>
      <c r="Z110">
        <f>SUMIF(RawData!$C:$C,$A110,RawData!AD:AD)</f>
        <v>0</v>
      </c>
      <c r="AA110">
        <f>SUMIF(RawData!$C:$C,$A110,RawData!AE:AE)</f>
        <v>0</v>
      </c>
      <c r="AB110">
        <f>SUMIF(RawData!$C:$C,$A110,RawData!AF:AF)</f>
        <v>0</v>
      </c>
      <c r="AC110">
        <f>SUMIF(RawData!$C:$C,$A110,RawData!AG:AG)</f>
        <v>0</v>
      </c>
      <c r="AD110">
        <f>SUMIF(RawData!$C:$C,$A110,RawData!AH:AH)</f>
        <v>0</v>
      </c>
      <c r="AE110">
        <f>SUMIF(RawData!$C:$C,$A110,RawData!AI:AI)</f>
        <v>0</v>
      </c>
      <c r="AF110">
        <f>SUMIF(RawData!$C:$C,$A110,RawData!AJ:AJ)</f>
        <v>0</v>
      </c>
      <c r="AG110">
        <f>SUMIF(RawData!$C:$C,$A110,RawData!AK:AK)</f>
        <v>0</v>
      </c>
      <c r="AH110">
        <f>SUMIF(RawData!$C:$C,$A110,RawData!AL:AL)</f>
        <v>0</v>
      </c>
      <c r="AI110">
        <f>SUMIF(RawData!$C:$C,$A110,RawData!AM:AM)</f>
        <v>0</v>
      </c>
      <c r="AJ110">
        <f>SUMIF(RawData!$C:$C,$A110,RawData!AN:AN)</f>
        <v>0</v>
      </c>
      <c r="AK110">
        <f>SUMIF(RawData!$C:$C,$A110,RawData!AO:AO)</f>
        <v>0</v>
      </c>
      <c r="AL110">
        <f>SUMIF(RawData!$C:$C,$A110,RawData!AP:AP)</f>
        <v>0</v>
      </c>
      <c r="AM110">
        <f>SUMIF(RawData!$C:$C,$A110,RawData!AQ:AQ)</f>
        <v>0</v>
      </c>
      <c r="AN110">
        <f>SUMIF(RawData!$C:$C,$A110,RawData!AR:AR)</f>
        <v>0</v>
      </c>
      <c r="AO110">
        <f>SUMIF(RawData!$C:$C,$A110,RawData!AS:AS)</f>
        <v>0</v>
      </c>
      <c r="AP110">
        <f>SUMIF(RawData!$C:$C,$A110,RawData!AT:AT)</f>
        <v>1</v>
      </c>
      <c r="AQ110">
        <f>SUMIF(RawData!$C:$C,$A110,RawData!AU:AU)</f>
        <v>1</v>
      </c>
      <c r="AR110">
        <f>SUMIF(RawData!$C:$C,$A110,RawData!AV:AV)</f>
        <v>1</v>
      </c>
      <c r="AS110">
        <f>SUMIF(RawData!$C:$C,$A110,RawData!AW:AW)</f>
        <v>1</v>
      </c>
      <c r="AT110">
        <f>SUMIF(RawData!$C:$C,$A110,RawData!AX:AX)</f>
        <v>1</v>
      </c>
      <c r="AU110">
        <f>SUMIF(RawData!$C:$C,$A110,RawData!AY:AY)</f>
        <v>1</v>
      </c>
      <c r="AV110">
        <f>SUMIF(RawData!$C:$C,$A110,RawData!AZ:AZ)</f>
        <v>1</v>
      </c>
      <c r="AW110">
        <f>SUMIF(RawData!$C:$C,$A110,RawData!BA:BA)</f>
        <v>1</v>
      </c>
      <c r="AX110">
        <f>SUMIF(RawData!$C:$C,$A110,RawData!BB:BB)</f>
        <v>1</v>
      </c>
      <c r="AY110">
        <f>SUMIF(RawData!$C:$C,$A110,RawData!BC:BC)</f>
        <v>1</v>
      </c>
      <c r="AZ110">
        <f>SUMIF(RawData!$C:$C,$A110,RawData!BD:BD)</f>
        <v>1</v>
      </c>
      <c r="BA110">
        <f>SUMIF(RawData!$C:$C,$A110,RawData!BE:BE)</f>
        <v>1</v>
      </c>
      <c r="BB110">
        <f>SUMIF(RawData!$C:$C,$A110,RawData!BF:BF)</f>
        <v>1</v>
      </c>
      <c r="BC110">
        <f>SUMIF(RawData!$C:$C,$A110,RawData!BG:BG)</f>
        <v>1</v>
      </c>
      <c r="BD110">
        <f>SUMIF(RawData!$C:$C,$A110,RawData!BH:BH)</f>
        <v>0</v>
      </c>
      <c r="BE110">
        <f>SUMIF(RawData!$C:$C,$A110,RawData!BI:BI)</f>
        <v>0</v>
      </c>
      <c r="BF110">
        <f>SUMIF(RawData!$C:$C,$A110,RawData!BJ:BJ)</f>
        <v>0</v>
      </c>
      <c r="BG110">
        <f>SUMIF(RawData!$C:$C,$A110,RawData!BK:BK)</f>
        <v>0</v>
      </c>
      <c r="BH110">
        <f>SUMIF(RawData!$C:$C,$A110,RawData!BL:BL)</f>
        <v>0</v>
      </c>
      <c r="BI110">
        <f>SUMIF(RawData!$C:$C,$A110,RawData!BM:BM)</f>
        <v>0</v>
      </c>
      <c r="BJ110">
        <f>SUMIF(RawData!$C:$C,$A110,RawData!BN:BN)</f>
        <v>0</v>
      </c>
      <c r="BK110">
        <f>SUMIF(RawData!$C:$C,$A110,RawData!BO:BO)</f>
        <v>0</v>
      </c>
      <c r="BL110">
        <f>SUMIF(RawData!$C:$C,$A110,RawData!BP:BP)</f>
        <v>0</v>
      </c>
      <c r="BM110">
        <f>SUMIF(RawData!$C:$C,$A110,RawData!BQ:BQ)</f>
        <v>0</v>
      </c>
      <c r="BN110">
        <f>SUMIF(RawData!$C:$C,$A110,RawData!BR:BR)</f>
        <v>0</v>
      </c>
      <c r="BO110">
        <f>SUMIF(RawData!$C:$C,$A110,RawData!BS:BS)</f>
        <v>0</v>
      </c>
      <c r="BP110">
        <f>SUMIF(RawData!$C:$C,$A110,RawData!BT:BT)</f>
        <v>0</v>
      </c>
      <c r="BQ110">
        <f>SUMIF(RawData!$C:$C,$A110,RawData!BU:BU)</f>
        <v>0</v>
      </c>
      <c r="BR110">
        <f>SUMIF(RawData!$C:$C,$A110,RawData!BV:BV)</f>
        <v>0</v>
      </c>
      <c r="BS110">
        <f>SUMIF(RawData!$C:$C,$A110,RawData!BW:BW)</f>
        <v>0</v>
      </c>
      <c r="BT110">
        <f>SUMIF(RawData!$C:$C,$A110,RawData!BX:BX)</f>
        <v>0</v>
      </c>
    </row>
    <row r="111" spans="1:72" ht="15" thickBot="1" x14ac:dyDescent="0.35">
      <c r="A111" s="5" t="s">
        <v>452</v>
      </c>
      <c r="B111">
        <f>SUMIF(RawData!$C:$C,$A111,RawData!F:F)</f>
        <v>0</v>
      </c>
      <c r="C111">
        <f>SUMIF(RawData!$C:$C,$A111,RawData!G:G)</f>
        <v>0</v>
      </c>
      <c r="D111">
        <f>SUMIF(RawData!$C:$C,$A111,RawData!H:H)</f>
        <v>0</v>
      </c>
      <c r="E111">
        <f>SUMIF(RawData!$C:$C,$A111,RawData!I:I)</f>
        <v>0</v>
      </c>
      <c r="F111">
        <f>SUMIF(RawData!$C:$C,$A111,RawData!J:J)</f>
        <v>0</v>
      </c>
      <c r="G111">
        <f>SUMIF(RawData!$C:$C,$A111,RawData!K:K)</f>
        <v>0</v>
      </c>
      <c r="H111">
        <f>SUMIF(RawData!$C:$C,$A111,RawData!L:L)</f>
        <v>0</v>
      </c>
      <c r="I111">
        <f>SUMIF(RawData!$C:$C,$A111,RawData!M:M)</f>
        <v>0</v>
      </c>
      <c r="J111">
        <f>SUMIF(RawData!$C:$C,$A111,RawData!N:N)</f>
        <v>0</v>
      </c>
      <c r="K111">
        <f>SUMIF(RawData!$C:$C,$A111,RawData!O:O)</f>
        <v>0</v>
      </c>
      <c r="L111">
        <f>SUMIF(RawData!$C:$C,$A111,RawData!P:P)</f>
        <v>0</v>
      </c>
      <c r="M111">
        <f>SUMIF(RawData!$C:$C,$A111,RawData!Q:Q)</f>
        <v>0</v>
      </c>
      <c r="N111">
        <f>SUMIF(RawData!$C:$C,$A111,RawData!R:R)</f>
        <v>0</v>
      </c>
      <c r="O111">
        <f>SUMIF(RawData!$C:$C,$A111,RawData!S:S)</f>
        <v>0</v>
      </c>
      <c r="P111">
        <f>SUMIF(RawData!$C:$C,$A111,RawData!T:T)</f>
        <v>0</v>
      </c>
      <c r="Q111">
        <f>SUMIF(RawData!$C:$C,$A111,RawData!U:U)</f>
        <v>0</v>
      </c>
      <c r="R111">
        <f>SUMIF(RawData!$C:$C,$A111,RawData!V:V)</f>
        <v>0</v>
      </c>
      <c r="S111">
        <f>SUMIF(RawData!$C:$C,$A111,RawData!W:W)</f>
        <v>0</v>
      </c>
      <c r="T111">
        <f>SUMIF(RawData!$C:$C,$A111,RawData!X:X)</f>
        <v>0</v>
      </c>
      <c r="U111">
        <f>SUMIF(RawData!$C:$C,$A111,RawData!Y:Y)</f>
        <v>0</v>
      </c>
      <c r="V111">
        <f>SUMIF(RawData!$C:$C,$A111,RawData!Z:Z)</f>
        <v>0</v>
      </c>
      <c r="W111">
        <f>SUMIF(RawData!$C:$C,$A111,RawData!AA:AA)</f>
        <v>0</v>
      </c>
      <c r="X111">
        <f>SUMIF(RawData!$C:$C,$A111,RawData!AB:AB)</f>
        <v>0</v>
      </c>
      <c r="Y111">
        <f>SUMIF(RawData!$C:$C,$A111,RawData!AC:AC)</f>
        <v>0</v>
      </c>
      <c r="Z111">
        <f>SUMIF(RawData!$C:$C,$A111,RawData!AD:AD)</f>
        <v>0</v>
      </c>
      <c r="AA111">
        <f>SUMIF(RawData!$C:$C,$A111,RawData!AE:AE)</f>
        <v>0</v>
      </c>
      <c r="AB111">
        <f>SUMIF(RawData!$C:$C,$A111,RawData!AF:AF)</f>
        <v>0</v>
      </c>
      <c r="AC111">
        <f>SUMIF(RawData!$C:$C,$A111,RawData!AG:AG)</f>
        <v>0</v>
      </c>
      <c r="AD111">
        <f>SUMIF(RawData!$C:$C,$A111,RawData!AH:AH)</f>
        <v>0</v>
      </c>
      <c r="AE111">
        <f>SUMIF(RawData!$C:$C,$A111,RawData!AI:AI)</f>
        <v>0</v>
      </c>
      <c r="AF111">
        <f>SUMIF(RawData!$C:$C,$A111,RawData!AJ:AJ)</f>
        <v>0</v>
      </c>
      <c r="AG111">
        <f>SUMIF(RawData!$C:$C,$A111,RawData!AK:AK)</f>
        <v>0</v>
      </c>
      <c r="AH111">
        <f>SUMIF(RawData!$C:$C,$A111,RawData!AL:AL)</f>
        <v>0</v>
      </c>
      <c r="AI111">
        <f>SUMIF(RawData!$C:$C,$A111,RawData!AM:AM)</f>
        <v>0</v>
      </c>
      <c r="AJ111">
        <f>SUMIF(RawData!$C:$C,$A111,RawData!AN:AN)</f>
        <v>0</v>
      </c>
      <c r="AK111">
        <f>SUMIF(RawData!$C:$C,$A111,RawData!AO:AO)</f>
        <v>0</v>
      </c>
      <c r="AL111">
        <f>SUMIF(RawData!$C:$C,$A111,RawData!AP:AP)</f>
        <v>0</v>
      </c>
      <c r="AM111">
        <f>SUMIF(RawData!$C:$C,$A111,RawData!AQ:AQ)</f>
        <v>0</v>
      </c>
      <c r="AN111">
        <f>SUMIF(RawData!$C:$C,$A111,RawData!AR:AR)</f>
        <v>0</v>
      </c>
      <c r="AO111">
        <f>SUMIF(RawData!$C:$C,$A111,RawData!AS:AS)</f>
        <v>0</v>
      </c>
      <c r="AP111">
        <f>SUMIF(RawData!$C:$C,$A111,RawData!AT:AT)</f>
        <v>0</v>
      </c>
      <c r="AQ111">
        <f>SUMIF(RawData!$C:$C,$A111,RawData!AU:AU)</f>
        <v>0</v>
      </c>
      <c r="AR111">
        <f>SUMIF(RawData!$C:$C,$A111,RawData!AV:AV)</f>
        <v>0</v>
      </c>
      <c r="AS111">
        <f>SUMIF(RawData!$C:$C,$A111,RawData!AW:AW)</f>
        <v>0</v>
      </c>
      <c r="AT111">
        <f>SUMIF(RawData!$C:$C,$A111,RawData!AX:AX)</f>
        <v>0</v>
      </c>
      <c r="AU111">
        <f>SUMIF(RawData!$C:$C,$A111,RawData!AY:AY)</f>
        <v>0</v>
      </c>
      <c r="AV111">
        <f>SUMIF(RawData!$C:$C,$A111,RawData!AZ:AZ)</f>
        <v>0</v>
      </c>
      <c r="AW111">
        <f>SUMIF(RawData!$C:$C,$A111,RawData!BA:BA)</f>
        <v>0</v>
      </c>
      <c r="AX111">
        <f>SUMIF(RawData!$C:$C,$A111,RawData!BB:BB)</f>
        <v>0</v>
      </c>
      <c r="AY111">
        <f>SUMIF(RawData!$C:$C,$A111,RawData!BC:BC)</f>
        <v>0</v>
      </c>
      <c r="AZ111">
        <f>SUMIF(RawData!$C:$C,$A111,RawData!BD:BD)</f>
        <v>0</v>
      </c>
      <c r="BA111">
        <f>SUMIF(RawData!$C:$C,$A111,RawData!BE:BE)</f>
        <v>1</v>
      </c>
      <c r="BB111">
        <f>SUMIF(RawData!$C:$C,$A111,RawData!BF:BF)</f>
        <v>1</v>
      </c>
      <c r="BC111">
        <f>SUMIF(RawData!$C:$C,$A111,RawData!BG:BG)</f>
        <v>1</v>
      </c>
      <c r="BD111">
        <f>SUMIF(RawData!$C:$C,$A111,RawData!BH:BH)</f>
        <v>0</v>
      </c>
      <c r="BE111">
        <f>SUMIF(RawData!$C:$C,$A111,RawData!BI:BI)</f>
        <v>0</v>
      </c>
      <c r="BF111">
        <f>SUMIF(RawData!$C:$C,$A111,RawData!BJ:BJ)</f>
        <v>0</v>
      </c>
      <c r="BG111">
        <f>SUMIF(RawData!$C:$C,$A111,RawData!BK:BK)</f>
        <v>0</v>
      </c>
      <c r="BH111">
        <f>SUMIF(RawData!$C:$C,$A111,RawData!BL:BL)</f>
        <v>0</v>
      </c>
      <c r="BI111">
        <f>SUMIF(RawData!$C:$C,$A111,RawData!BM:BM)</f>
        <v>0</v>
      </c>
      <c r="BJ111">
        <f>SUMIF(RawData!$C:$C,$A111,RawData!BN:BN)</f>
        <v>0</v>
      </c>
      <c r="BK111">
        <f>SUMIF(RawData!$C:$C,$A111,RawData!BO:BO)</f>
        <v>0</v>
      </c>
      <c r="BL111">
        <f>SUMIF(RawData!$C:$C,$A111,RawData!BP:BP)</f>
        <v>0</v>
      </c>
      <c r="BM111">
        <f>SUMIF(RawData!$C:$C,$A111,RawData!BQ:BQ)</f>
        <v>0</v>
      </c>
      <c r="BN111">
        <f>SUMIF(RawData!$C:$C,$A111,RawData!BR:BR)</f>
        <v>0</v>
      </c>
      <c r="BO111">
        <f>SUMIF(RawData!$C:$C,$A111,RawData!BS:BS)</f>
        <v>0</v>
      </c>
      <c r="BP111">
        <f>SUMIF(RawData!$C:$C,$A111,RawData!BT:BT)</f>
        <v>0</v>
      </c>
      <c r="BQ111">
        <f>SUMIF(RawData!$C:$C,$A111,RawData!BU:BU)</f>
        <v>0</v>
      </c>
      <c r="BR111">
        <f>SUMIF(RawData!$C:$C,$A111,RawData!BV:BV)</f>
        <v>0</v>
      </c>
      <c r="BS111">
        <f>SUMIF(RawData!$C:$C,$A111,RawData!BW:BW)</f>
        <v>0</v>
      </c>
      <c r="BT111">
        <f>SUMIF(RawData!$C:$C,$A111,RawData!BX:BX)</f>
        <v>0</v>
      </c>
    </row>
    <row r="112" spans="1:72" ht="15" thickBot="1" x14ac:dyDescent="0.35">
      <c r="A112" s="5" t="s">
        <v>183</v>
      </c>
      <c r="B112">
        <f>SUMIF(RawData!$C:$C,$A112,RawData!F:F)</f>
        <v>0</v>
      </c>
      <c r="C112">
        <f>SUMIF(RawData!$C:$C,$A112,RawData!G:G)</f>
        <v>0</v>
      </c>
      <c r="D112">
        <f>SUMIF(RawData!$C:$C,$A112,RawData!H:H)</f>
        <v>0</v>
      </c>
      <c r="E112">
        <f>SUMIF(RawData!$C:$C,$A112,RawData!I:I)</f>
        <v>0</v>
      </c>
      <c r="F112">
        <f>SUMIF(RawData!$C:$C,$A112,RawData!J:J)</f>
        <v>0</v>
      </c>
      <c r="G112">
        <f>SUMIF(RawData!$C:$C,$A112,RawData!K:K)</f>
        <v>0</v>
      </c>
      <c r="H112">
        <f>SUMIF(RawData!$C:$C,$A112,RawData!L:L)</f>
        <v>0</v>
      </c>
      <c r="I112">
        <f>SUMIF(RawData!$C:$C,$A112,RawData!M:M)</f>
        <v>0</v>
      </c>
      <c r="J112">
        <f>SUMIF(RawData!$C:$C,$A112,RawData!N:N)</f>
        <v>0</v>
      </c>
      <c r="K112">
        <f>SUMIF(RawData!$C:$C,$A112,RawData!O:O)</f>
        <v>0</v>
      </c>
      <c r="L112">
        <f>SUMIF(RawData!$C:$C,$A112,RawData!P:P)</f>
        <v>0</v>
      </c>
      <c r="M112">
        <f>SUMIF(RawData!$C:$C,$A112,RawData!Q:Q)</f>
        <v>0</v>
      </c>
      <c r="N112">
        <f>SUMIF(RawData!$C:$C,$A112,RawData!R:R)</f>
        <v>0</v>
      </c>
      <c r="O112">
        <f>SUMIF(RawData!$C:$C,$A112,RawData!S:S)</f>
        <v>0</v>
      </c>
      <c r="P112">
        <f>SUMIF(RawData!$C:$C,$A112,RawData!T:T)</f>
        <v>0</v>
      </c>
      <c r="Q112">
        <f>SUMIF(RawData!$C:$C,$A112,RawData!U:U)</f>
        <v>0</v>
      </c>
      <c r="R112">
        <f>SUMIF(RawData!$C:$C,$A112,RawData!V:V)</f>
        <v>0</v>
      </c>
      <c r="S112">
        <f>SUMIF(RawData!$C:$C,$A112,RawData!W:W)</f>
        <v>0</v>
      </c>
      <c r="T112">
        <f>SUMIF(RawData!$C:$C,$A112,RawData!X:X)</f>
        <v>0</v>
      </c>
      <c r="U112">
        <f>SUMIF(RawData!$C:$C,$A112,RawData!Y:Y)</f>
        <v>0</v>
      </c>
      <c r="V112">
        <f>SUMIF(RawData!$C:$C,$A112,RawData!Z:Z)</f>
        <v>0</v>
      </c>
      <c r="W112">
        <f>SUMIF(RawData!$C:$C,$A112,RawData!AA:AA)</f>
        <v>0</v>
      </c>
      <c r="X112">
        <f>SUMIF(RawData!$C:$C,$A112,RawData!AB:AB)</f>
        <v>0</v>
      </c>
      <c r="Y112">
        <f>SUMIF(RawData!$C:$C,$A112,RawData!AC:AC)</f>
        <v>0</v>
      </c>
      <c r="Z112">
        <f>SUMIF(RawData!$C:$C,$A112,RawData!AD:AD)</f>
        <v>0</v>
      </c>
      <c r="AA112">
        <f>SUMIF(RawData!$C:$C,$A112,RawData!AE:AE)</f>
        <v>0</v>
      </c>
      <c r="AB112">
        <f>SUMIF(RawData!$C:$C,$A112,RawData!AF:AF)</f>
        <v>0</v>
      </c>
      <c r="AC112">
        <f>SUMIF(RawData!$C:$C,$A112,RawData!AG:AG)</f>
        <v>0</v>
      </c>
      <c r="AD112">
        <f>SUMIF(RawData!$C:$C,$A112,RawData!AH:AH)</f>
        <v>0</v>
      </c>
      <c r="AE112">
        <f>SUMIF(RawData!$C:$C,$A112,RawData!AI:AI)</f>
        <v>0</v>
      </c>
      <c r="AF112">
        <f>SUMIF(RawData!$C:$C,$A112,RawData!AJ:AJ)</f>
        <v>0</v>
      </c>
      <c r="AG112">
        <f>SUMIF(RawData!$C:$C,$A112,RawData!AK:AK)</f>
        <v>0</v>
      </c>
      <c r="AH112">
        <f>SUMIF(RawData!$C:$C,$A112,RawData!AL:AL)</f>
        <v>0</v>
      </c>
      <c r="AI112">
        <f>SUMIF(RawData!$C:$C,$A112,RawData!AM:AM)</f>
        <v>0</v>
      </c>
      <c r="AJ112">
        <f>SUMIF(RawData!$C:$C,$A112,RawData!AN:AN)</f>
        <v>0</v>
      </c>
      <c r="AK112">
        <f>SUMIF(RawData!$C:$C,$A112,RawData!AO:AO)</f>
        <v>0</v>
      </c>
      <c r="AL112">
        <f>SUMIF(RawData!$C:$C,$A112,RawData!AP:AP)</f>
        <v>0</v>
      </c>
      <c r="AM112">
        <f>SUMIF(RawData!$C:$C,$A112,RawData!AQ:AQ)</f>
        <v>0</v>
      </c>
      <c r="AN112">
        <f>SUMIF(RawData!$C:$C,$A112,RawData!AR:AR)</f>
        <v>0</v>
      </c>
      <c r="AO112">
        <f>SUMIF(RawData!$C:$C,$A112,RawData!AS:AS)</f>
        <v>0</v>
      </c>
      <c r="AP112">
        <f>SUMIF(RawData!$C:$C,$A112,RawData!AT:AT)</f>
        <v>0</v>
      </c>
      <c r="AQ112">
        <f>SUMIF(RawData!$C:$C,$A112,RawData!AU:AU)</f>
        <v>0</v>
      </c>
      <c r="AR112">
        <f>SUMIF(RawData!$C:$C,$A112,RawData!AV:AV)</f>
        <v>0</v>
      </c>
      <c r="AS112">
        <f>SUMIF(RawData!$C:$C,$A112,RawData!AW:AW)</f>
        <v>0</v>
      </c>
      <c r="AT112">
        <f>SUMIF(RawData!$C:$C,$A112,RawData!AX:AX)</f>
        <v>1</v>
      </c>
      <c r="AU112">
        <f>SUMIF(RawData!$C:$C,$A112,RawData!AY:AY)</f>
        <v>1</v>
      </c>
      <c r="AV112">
        <f>SUMIF(RawData!$C:$C,$A112,RawData!AZ:AZ)</f>
        <v>1</v>
      </c>
      <c r="AW112">
        <f>SUMIF(RawData!$C:$C,$A112,RawData!BA:BA)</f>
        <v>1</v>
      </c>
      <c r="AX112">
        <f>SUMIF(RawData!$C:$C,$A112,RawData!BB:BB)</f>
        <v>1</v>
      </c>
      <c r="AY112">
        <f>SUMIF(RawData!$C:$C,$A112,RawData!BC:BC)</f>
        <v>1</v>
      </c>
      <c r="AZ112">
        <f>SUMIF(RawData!$C:$C,$A112,RawData!BD:BD)</f>
        <v>1</v>
      </c>
      <c r="BA112">
        <f>SUMIF(RawData!$C:$C,$A112,RawData!BE:BE)</f>
        <v>1</v>
      </c>
      <c r="BB112">
        <f>SUMIF(RawData!$C:$C,$A112,RawData!BF:BF)</f>
        <v>1</v>
      </c>
      <c r="BC112">
        <f>SUMIF(RawData!$C:$C,$A112,RawData!BG:BG)</f>
        <v>1</v>
      </c>
      <c r="BD112">
        <f>SUMIF(RawData!$C:$C,$A112,RawData!BH:BH)</f>
        <v>0</v>
      </c>
      <c r="BE112">
        <f>SUMIF(RawData!$C:$C,$A112,RawData!BI:BI)</f>
        <v>0</v>
      </c>
      <c r="BF112">
        <f>SUMIF(RawData!$C:$C,$A112,RawData!BJ:BJ)</f>
        <v>0</v>
      </c>
      <c r="BG112">
        <f>SUMIF(RawData!$C:$C,$A112,RawData!BK:BK)</f>
        <v>0</v>
      </c>
      <c r="BH112">
        <f>SUMIF(RawData!$C:$C,$A112,RawData!BL:BL)</f>
        <v>0</v>
      </c>
      <c r="BI112">
        <f>SUMIF(RawData!$C:$C,$A112,RawData!BM:BM)</f>
        <v>0</v>
      </c>
      <c r="BJ112">
        <f>SUMIF(RawData!$C:$C,$A112,RawData!BN:BN)</f>
        <v>0</v>
      </c>
      <c r="BK112">
        <f>SUMIF(RawData!$C:$C,$A112,RawData!BO:BO)</f>
        <v>0</v>
      </c>
      <c r="BL112">
        <f>SUMIF(RawData!$C:$C,$A112,RawData!BP:BP)</f>
        <v>0</v>
      </c>
      <c r="BM112">
        <f>SUMIF(RawData!$C:$C,$A112,RawData!BQ:BQ)</f>
        <v>0</v>
      </c>
      <c r="BN112">
        <f>SUMIF(RawData!$C:$C,$A112,RawData!BR:BR)</f>
        <v>0</v>
      </c>
      <c r="BO112">
        <f>SUMIF(RawData!$C:$C,$A112,RawData!BS:BS)</f>
        <v>0</v>
      </c>
      <c r="BP112">
        <f>SUMIF(RawData!$C:$C,$A112,RawData!BT:BT)</f>
        <v>0</v>
      </c>
      <c r="BQ112">
        <f>SUMIF(RawData!$C:$C,$A112,RawData!BU:BU)</f>
        <v>0</v>
      </c>
      <c r="BR112">
        <f>SUMIF(RawData!$C:$C,$A112,RawData!BV:BV)</f>
        <v>0</v>
      </c>
      <c r="BS112">
        <f>SUMIF(RawData!$C:$C,$A112,RawData!BW:BW)</f>
        <v>0</v>
      </c>
      <c r="BT112">
        <f>SUMIF(RawData!$C:$C,$A112,RawData!BX:BX)</f>
        <v>0</v>
      </c>
    </row>
    <row r="113" spans="1:72" ht="15" thickBot="1" x14ac:dyDescent="0.35">
      <c r="A113" s="5" t="s">
        <v>443</v>
      </c>
      <c r="B113">
        <f>SUMIF(RawData!$C:$C,$A113,RawData!F:F)</f>
        <v>0</v>
      </c>
      <c r="C113">
        <f>SUMIF(RawData!$C:$C,$A113,RawData!G:G)</f>
        <v>0</v>
      </c>
      <c r="D113">
        <f>SUMIF(RawData!$C:$C,$A113,RawData!H:H)</f>
        <v>0</v>
      </c>
      <c r="E113">
        <f>SUMIF(RawData!$C:$C,$A113,RawData!I:I)</f>
        <v>0</v>
      </c>
      <c r="F113">
        <f>SUMIF(RawData!$C:$C,$A113,RawData!J:J)</f>
        <v>0</v>
      </c>
      <c r="G113">
        <f>SUMIF(RawData!$C:$C,$A113,RawData!K:K)</f>
        <v>0</v>
      </c>
      <c r="H113">
        <f>SUMIF(RawData!$C:$C,$A113,RawData!L:L)</f>
        <v>0</v>
      </c>
      <c r="I113">
        <f>SUMIF(RawData!$C:$C,$A113,RawData!M:M)</f>
        <v>0</v>
      </c>
      <c r="J113">
        <f>SUMIF(RawData!$C:$C,$A113,RawData!N:N)</f>
        <v>0</v>
      </c>
      <c r="K113">
        <f>SUMIF(RawData!$C:$C,$A113,RawData!O:O)</f>
        <v>0</v>
      </c>
      <c r="L113">
        <f>SUMIF(RawData!$C:$C,$A113,RawData!P:P)</f>
        <v>0</v>
      </c>
      <c r="M113">
        <f>SUMIF(RawData!$C:$C,$A113,RawData!Q:Q)</f>
        <v>0</v>
      </c>
      <c r="N113">
        <f>SUMIF(RawData!$C:$C,$A113,RawData!R:R)</f>
        <v>0</v>
      </c>
      <c r="O113">
        <f>SUMIF(RawData!$C:$C,$A113,RawData!S:S)</f>
        <v>0</v>
      </c>
      <c r="P113">
        <f>SUMIF(RawData!$C:$C,$A113,RawData!T:T)</f>
        <v>0</v>
      </c>
      <c r="Q113">
        <f>SUMIF(RawData!$C:$C,$A113,RawData!U:U)</f>
        <v>0</v>
      </c>
      <c r="R113">
        <f>SUMIF(RawData!$C:$C,$A113,RawData!V:V)</f>
        <v>0</v>
      </c>
      <c r="S113">
        <f>SUMIF(RawData!$C:$C,$A113,RawData!W:W)</f>
        <v>0</v>
      </c>
      <c r="T113">
        <f>SUMIF(RawData!$C:$C,$A113,RawData!X:X)</f>
        <v>0</v>
      </c>
      <c r="U113">
        <f>SUMIF(RawData!$C:$C,$A113,RawData!Y:Y)</f>
        <v>0</v>
      </c>
      <c r="V113">
        <f>SUMIF(RawData!$C:$C,$A113,RawData!Z:Z)</f>
        <v>0</v>
      </c>
      <c r="W113">
        <f>SUMIF(RawData!$C:$C,$A113,RawData!AA:AA)</f>
        <v>0</v>
      </c>
      <c r="X113">
        <f>SUMIF(RawData!$C:$C,$A113,RawData!AB:AB)</f>
        <v>0</v>
      </c>
      <c r="Y113">
        <f>SUMIF(RawData!$C:$C,$A113,RawData!AC:AC)</f>
        <v>0</v>
      </c>
      <c r="Z113">
        <f>SUMIF(RawData!$C:$C,$A113,RawData!AD:AD)</f>
        <v>0</v>
      </c>
      <c r="AA113">
        <f>SUMIF(RawData!$C:$C,$A113,RawData!AE:AE)</f>
        <v>0</v>
      </c>
      <c r="AB113">
        <f>SUMIF(RawData!$C:$C,$A113,RawData!AF:AF)</f>
        <v>0</v>
      </c>
      <c r="AC113">
        <f>SUMIF(RawData!$C:$C,$A113,RawData!AG:AG)</f>
        <v>0</v>
      </c>
      <c r="AD113">
        <f>SUMIF(RawData!$C:$C,$A113,RawData!AH:AH)</f>
        <v>0</v>
      </c>
      <c r="AE113">
        <f>SUMIF(RawData!$C:$C,$A113,RawData!AI:AI)</f>
        <v>0</v>
      </c>
      <c r="AF113">
        <f>SUMIF(RawData!$C:$C,$A113,RawData!AJ:AJ)</f>
        <v>0</v>
      </c>
      <c r="AG113">
        <f>SUMIF(RawData!$C:$C,$A113,RawData!AK:AK)</f>
        <v>0</v>
      </c>
      <c r="AH113">
        <f>SUMIF(RawData!$C:$C,$A113,RawData!AL:AL)</f>
        <v>0</v>
      </c>
      <c r="AI113">
        <f>SUMIF(RawData!$C:$C,$A113,RawData!AM:AM)</f>
        <v>0</v>
      </c>
      <c r="AJ113">
        <f>SUMIF(RawData!$C:$C,$A113,RawData!AN:AN)</f>
        <v>0</v>
      </c>
      <c r="AK113">
        <f>SUMIF(RawData!$C:$C,$A113,RawData!AO:AO)</f>
        <v>0</v>
      </c>
      <c r="AL113">
        <f>SUMIF(RawData!$C:$C,$A113,RawData!AP:AP)</f>
        <v>0</v>
      </c>
      <c r="AM113">
        <f>SUMIF(RawData!$C:$C,$A113,RawData!AQ:AQ)</f>
        <v>0</v>
      </c>
      <c r="AN113">
        <f>SUMIF(RawData!$C:$C,$A113,RawData!AR:AR)</f>
        <v>0</v>
      </c>
      <c r="AO113">
        <f>SUMIF(RawData!$C:$C,$A113,RawData!AS:AS)</f>
        <v>0</v>
      </c>
      <c r="AP113">
        <f>SUMIF(RawData!$C:$C,$A113,RawData!AT:AT)</f>
        <v>0</v>
      </c>
      <c r="AQ113">
        <f>SUMIF(RawData!$C:$C,$A113,RawData!AU:AU)</f>
        <v>0</v>
      </c>
      <c r="AR113">
        <f>SUMIF(RawData!$C:$C,$A113,RawData!AV:AV)</f>
        <v>0</v>
      </c>
      <c r="AS113">
        <f>SUMIF(RawData!$C:$C,$A113,RawData!AW:AW)</f>
        <v>0</v>
      </c>
      <c r="AT113">
        <f>SUMIF(RawData!$C:$C,$A113,RawData!AX:AX)</f>
        <v>0</v>
      </c>
      <c r="AU113">
        <f>SUMIF(RawData!$C:$C,$A113,RawData!AY:AY)</f>
        <v>0</v>
      </c>
      <c r="AV113">
        <f>SUMIF(RawData!$C:$C,$A113,RawData!AZ:AZ)</f>
        <v>0</v>
      </c>
      <c r="AW113">
        <f>SUMIF(RawData!$C:$C,$A113,RawData!BA:BA)</f>
        <v>0</v>
      </c>
      <c r="AX113">
        <f>SUMIF(RawData!$C:$C,$A113,RawData!BB:BB)</f>
        <v>0</v>
      </c>
      <c r="AY113">
        <f>SUMIF(RawData!$C:$C,$A113,RawData!BC:BC)</f>
        <v>0</v>
      </c>
      <c r="AZ113">
        <f>SUMIF(RawData!$C:$C,$A113,RawData!BD:BD)</f>
        <v>0</v>
      </c>
      <c r="BA113">
        <f>SUMIF(RawData!$C:$C,$A113,RawData!BE:BE)</f>
        <v>1</v>
      </c>
      <c r="BB113">
        <f>SUMIF(RawData!$C:$C,$A113,RawData!BF:BF)</f>
        <v>1</v>
      </c>
      <c r="BC113">
        <f>SUMIF(RawData!$C:$C,$A113,RawData!BG:BG)</f>
        <v>1</v>
      </c>
      <c r="BD113">
        <f>SUMIF(RawData!$C:$C,$A113,RawData!BH:BH)</f>
        <v>0</v>
      </c>
      <c r="BE113">
        <f>SUMIF(RawData!$C:$C,$A113,RawData!BI:BI)</f>
        <v>0</v>
      </c>
      <c r="BF113">
        <f>SUMIF(RawData!$C:$C,$A113,RawData!BJ:BJ)</f>
        <v>0</v>
      </c>
      <c r="BG113">
        <f>SUMIF(RawData!$C:$C,$A113,RawData!BK:BK)</f>
        <v>0</v>
      </c>
      <c r="BH113">
        <f>SUMIF(RawData!$C:$C,$A113,RawData!BL:BL)</f>
        <v>0</v>
      </c>
      <c r="BI113">
        <f>SUMIF(RawData!$C:$C,$A113,RawData!BM:BM)</f>
        <v>0</v>
      </c>
      <c r="BJ113">
        <f>SUMIF(RawData!$C:$C,$A113,RawData!BN:BN)</f>
        <v>0</v>
      </c>
      <c r="BK113">
        <f>SUMIF(RawData!$C:$C,$A113,RawData!BO:BO)</f>
        <v>0</v>
      </c>
      <c r="BL113">
        <f>SUMIF(RawData!$C:$C,$A113,RawData!BP:BP)</f>
        <v>0</v>
      </c>
      <c r="BM113">
        <f>SUMIF(RawData!$C:$C,$A113,RawData!BQ:BQ)</f>
        <v>0</v>
      </c>
      <c r="BN113">
        <f>SUMIF(RawData!$C:$C,$A113,RawData!BR:BR)</f>
        <v>0</v>
      </c>
      <c r="BO113">
        <f>SUMIF(RawData!$C:$C,$A113,RawData!BS:BS)</f>
        <v>0</v>
      </c>
      <c r="BP113">
        <f>SUMIF(RawData!$C:$C,$A113,RawData!BT:BT)</f>
        <v>0</v>
      </c>
      <c r="BQ113">
        <f>SUMIF(RawData!$C:$C,$A113,RawData!BU:BU)</f>
        <v>0</v>
      </c>
      <c r="BR113">
        <f>SUMIF(RawData!$C:$C,$A113,RawData!BV:BV)</f>
        <v>0</v>
      </c>
      <c r="BS113">
        <f>SUMIF(RawData!$C:$C,$A113,RawData!BW:BW)</f>
        <v>0</v>
      </c>
      <c r="BT113">
        <f>SUMIF(RawData!$C:$C,$A113,RawData!BX:BX)</f>
        <v>0</v>
      </c>
    </row>
    <row r="114" spans="1:72" ht="15" thickBot="1" x14ac:dyDescent="0.35">
      <c r="A114" s="4" t="s">
        <v>380</v>
      </c>
      <c r="B114">
        <f>SUMIF(RawData!$C:$C,$A114,RawData!F:F)</f>
        <v>0</v>
      </c>
      <c r="C114">
        <f>SUMIF(RawData!$C:$C,$A114,RawData!G:G)</f>
        <v>0</v>
      </c>
      <c r="D114">
        <f>SUMIF(RawData!$C:$C,$A114,RawData!H:H)</f>
        <v>0</v>
      </c>
      <c r="E114">
        <f>SUMIF(RawData!$C:$C,$A114,RawData!I:I)</f>
        <v>0</v>
      </c>
      <c r="F114">
        <f>SUMIF(RawData!$C:$C,$A114,RawData!J:J)</f>
        <v>0</v>
      </c>
      <c r="G114">
        <f>SUMIF(RawData!$C:$C,$A114,RawData!K:K)</f>
        <v>0</v>
      </c>
      <c r="H114">
        <f>SUMIF(RawData!$C:$C,$A114,RawData!L:L)</f>
        <v>0</v>
      </c>
      <c r="I114">
        <f>SUMIF(RawData!$C:$C,$A114,RawData!M:M)</f>
        <v>0</v>
      </c>
      <c r="J114">
        <f>SUMIF(RawData!$C:$C,$A114,RawData!N:N)</f>
        <v>0</v>
      </c>
      <c r="K114">
        <f>SUMIF(RawData!$C:$C,$A114,RawData!O:O)</f>
        <v>0</v>
      </c>
      <c r="L114">
        <f>SUMIF(RawData!$C:$C,$A114,RawData!P:P)</f>
        <v>0</v>
      </c>
      <c r="M114">
        <f>SUMIF(RawData!$C:$C,$A114,RawData!Q:Q)</f>
        <v>0</v>
      </c>
      <c r="N114">
        <f>SUMIF(RawData!$C:$C,$A114,RawData!R:R)</f>
        <v>0</v>
      </c>
      <c r="O114">
        <f>SUMIF(RawData!$C:$C,$A114,RawData!S:S)</f>
        <v>0</v>
      </c>
      <c r="P114">
        <f>SUMIF(RawData!$C:$C,$A114,RawData!T:T)</f>
        <v>0</v>
      </c>
      <c r="Q114">
        <f>SUMIF(RawData!$C:$C,$A114,RawData!U:U)</f>
        <v>0</v>
      </c>
      <c r="R114">
        <f>SUMIF(RawData!$C:$C,$A114,RawData!V:V)</f>
        <v>0</v>
      </c>
      <c r="S114">
        <f>SUMIF(RawData!$C:$C,$A114,RawData!W:W)</f>
        <v>0</v>
      </c>
      <c r="T114">
        <f>SUMIF(RawData!$C:$C,$A114,RawData!X:X)</f>
        <v>0</v>
      </c>
      <c r="U114">
        <f>SUMIF(RawData!$C:$C,$A114,RawData!Y:Y)</f>
        <v>0</v>
      </c>
      <c r="V114">
        <f>SUMIF(RawData!$C:$C,$A114,RawData!Z:Z)</f>
        <v>0</v>
      </c>
      <c r="W114">
        <f>SUMIF(RawData!$C:$C,$A114,RawData!AA:AA)</f>
        <v>0</v>
      </c>
      <c r="X114">
        <f>SUMIF(RawData!$C:$C,$A114,RawData!AB:AB)</f>
        <v>0</v>
      </c>
      <c r="Y114">
        <f>SUMIF(RawData!$C:$C,$A114,RawData!AC:AC)</f>
        <v>0</v>
      </c>
      <c r="Z114">
        <f>SUMIF(RawData!$C:$C,$A114,RawData!AD:AD)</f>
        <v>0</v>
      </c>
      <c r="AA114">
        <f>SUMIF(RawData!$C:$C,$A114,RawData!AE:AE)</f>
        <v>0</v>
      </c>
      <c r="AB114">
        <f>SUMIF(RawData!$C:$C,$A114,RawData!AF:AF)</f>
        <v>0</v>
      </c>
      <c r="AC114">
        <f>SUMIF(RawData!$C:$C,$A114,RawData!AG:AG)</f>
        <v>0</v>
      </c>
      <c r="AD114">
        <f>SUMIF(RawData!$C:$C,$A114,RawData!AH:AH)</f>
        <v>0</v>
      </c>
      <c r="AE114">
        <f>SUMIF(RawData!$C:$C,$A114,RawData!AI:AI)</f>
        <v>0</v>
      </c>
      <c r="AF114">
        <f>SUMIF(RawData!$C:$C,$A114,RawData!AJ:AJ)</f>
        <v>0</v>
      </c>
      <c r="AG114">
        <f>SUMIF(RawData!$C:$C,$A114,RawData!AK:AK)</f>
        <v>0</v>
      </c>
      <c r="AH114">
        <f>SUMIF(RawData!$C:$C,$A114,RawData!AL:AL)</f>
        <v>0</v>
      </c>
      <c r="AI114">
        <f>SUMIF(RawData!$C:$C,$A114,RawData!AM:AM)</f>
        <v>0</v>
      </c>
      <c r="AJ114">
        <f>SUMIF(RawData!$C:$C,$A114,RawData!AN:AN)</f>
        <v>0</v>
      </c>
      <c r="AK114">
        <f>SUMIF(RawData!$C:$C,$A114,RawData!AO:AO)</f>
        <v>0</v>
      </c>
      <c r="AL114">
        <f>SUMIF(RawData!$C:$C,$A114,RawData!AP:AP)</f>
        <v>0</v>
      </c>
      <c r="AM114">
        <f>SUMIF(RawData!$C:$C,$A114,RawData!AQ:AQ)</f>
        <v>0</v>
      </c>
      <c r="AN114">
        <f>SUMIF(RawData!$C:$C,$A114,RawData!AR:AR)</f>
        <v>0</v>
      </c>
      <c r="AO114">
        <f>SUMIF(RawData!$C:$C,$A114,RawData!AS:AS)</f>
        <v>0</v>
      </c>
      <c r="AP114">
        <f>SUMIF(RawData!$C:$C,$A114,RawData!AT:AT)</f>
        <v>0</v>
      </c>
      <c r="AQ114">
        <f>SUMIF(RawData!$C:$C,$A114,RawData!AU:AU)</f>
        <v>0</v>
      </c>
      <c r="AR114">
        <f>SUMIF(RawData!$C:$C,$A114,RawData!AV:AV)</f>
        <v>0</v>
      </c>
      <c r="AS114">
        <f>SUMIF(RawData!$C:$C,$A114,RawData!AW:AW)</f>
        <v>0</v>
      </c>
      <c r="AT114">
        <f>SUMIF(RawData!$C:$C,$A114,RawData!AX:AX)</f>
        <v>0</v>
      </c>
      <c r="AU114">
        <f>SUMIF(RawData!$C:$C,$A114,RawData!AY:AY)</f>
        <v>0</v>
      </c>
      <c r="AV114">
        <f>SUMIF(RawData!$C:$C,$A114,RawData!AZ:AZ)</f>
        <v>0</v>
      </c>
      <c r="AW114">
        <f>SUMIF(RawData!$C:$C,$A114,RawData!BA:BA)</f>
        <v>0</v>
      </c>
      <c r="AX114">
        <f>SUMIF(RawData!$C:$C,$A114,RawData!BB:BB)</f>
        <v>0</v>
      </c>
      <c r="AY114">
        <f>SUMIF(RawData!$C:$C,$A114,RawData!BC:BC)</f>
        <v>1</v>
      </c>
      <c r="AZ114">
        <f>SUMIF(RawData!$C:$C,$A114,RawData!BD:BD)</f>
        <v>1</v>
      </c>
      <c r="BA114">
        <f>SUMIF(RawData!$C:$C,$A114,RawData!BE:BE)</f>
        <v>1</v>
      </c>
      <c r="BB114">
        <f>SUMIF(RawData!$C:$C,$A114,RawData!BF:BF)</f>
        <v>1</v>
      </c>
      <c r="BC114">
        <f>SUMIF(RawData!$C:$C,$A114,RawData!BG:BG)</f>
        <v>1</v>
      </c>
      <c r="BD114">
        <f>SUMIF(RawData!$C:$C,$A114,RawData!BH:BH)</f>
        <v>0</v>
      </c>
      <c r="BE114">
        <f>SUMIF(RawData!$C:$C,$A114,RawData!BI:BI)</f>
        <v>0</v>
      </c>
      <c r="BF114">
        <f>SUMIF(RawData!$C:$C,$A114,RawData!BJ:BJ)</f>
        <v>0</v>
      </c>
      <c r="BG114">
        <f>SUMIF(RawData!$C:$C,$A114,RawData!BK:BK)</f>
        <v>0</v>
      </c>
      <c r="BH114">
        <f>SUMIF(RawData!$C:$C,$A114,RawData!BL:BL)</f>
        <v>0</v>
      </c>
      <c r="BI114">
        <f>SUMIF(RawData!$C:$C,$A114,RawData!BM:BM)</f>
        <v>0</v>
      </c>
      <c r="BJ114">
        <f>SUMIF(RawData!$C:$C,$A114,RawData!BN:BN)</f>
        <v>0</v>
      </c>
      <c r="BK114">
        <f>SUMIF(RawData!$C:$C,$A114,RawData!BO:BO)</f>
        <v>0</v>
      </c>
      <c r="BL114">
        <f>SUMIF(RawData!$C:$C,$A114,RawData!BP:BP)</f>
        <v>0</v>
      </c>
      <c r="BM114">
        <f>SUMIF(RawData!$C:$C,$A114,RawData!BQ:BQ)</f>
        <v>0</v>
      </c>
      <c r="BN114">
        <f>SUMIF(RawData!$C:$C,$A114,RawData!BR:BR)</f>
        <v>0</v>
      </c>
      <c r="BO114">
        <f>SUMIF(RawData!$C:$C,$A114,RawData!BS:BS)</f>
        <v>0</v>
      </c>
      <c r="BP114">
        <f>SUMIF(RawData!$C:$C,$A114,RawData!BT:BT)</f>
        <v>0</v>
      </c>
      <c r="BQ114">
        <f>SUMIF(RawData!$C:$C,$A114,RawData!BU:BU)</f>
        <v>0</v>
      </c>
      <c r="BR114">
        <f>SUMIF(RawData!$C:$C,$A114,RawData!BV:BV)</f>
        <v>0</v>
      </c>
      <c r="BS114">
        <f>SUMIF(RawData!$C:$C,$A114,RawData!BW:BW)</f>
        <v>0</v>
      </c>
      <c r="BT114">
        <f>SUMIF(RawData!$C:$C,$A114,RawData!BX:BX)</f>
        <v>0</v>
      </c>
    </row>
    <row r="115" spans="1:72" ht="15" thickBot="1" x14ac:dyDescent="0.35">
      <c r="A115" s="5" t="s">
        <v>447</v>
      </c>
      <c r="B115">
        <f>SUMIF(RawData!$C:$C,$A115,RawData!F:F)</f>
        <v>0</v>
      </c>
      <c r="C115">
        <f>SUMIF(RawData!$C:$C,$A115,RawData!G:G)</f>
        <v>0</v>
      </c>
      <c r="D115">
        <f>SUMIF(RawData!$C:$C,$A115,RawData!H:H)</f>
        <v>0</v>
      </c>
      <c r="E115">
        <f>SUMIF(RawData!$C:$C,$A115,RawData!I:I)</f>
        <v>0</v>
      </c>
      <c r="F115">
        <f>SUMIF(RawData!$C:$C,$A115,RawData!J:J)</f>
        <v>0</v>
      </c>
      <c r="G115">
        <f>SUMIF(RawData!$C:$C,$A115,RawData!K:K)</f>
        <v>0</v>
      </c>
      <c r="H115">
        <f>SUMIF(RawData!$C:$C,$A115,RawData!L:L)</f>
        <v>0</v>
      </c>
      <c r="I115">
        <f>SUMIF(RawData!$C:$C,$A115,RawData!M:M)</f>
        <v>0</v>
      </c>
      <c r="J115">
        <f>SUMIF(RawData!$C:$C,$A115,RawData!N:N)</f>
        <v>0</v>
      </c>
      <c r="K115">
        <f>SUMIF(RawData!$C:$C,$A115,RawData!O:O)</f>
        <v>0</v>
      </c>
      <c r="L115">
        <f>SUMIF(RawData!$C:$C,$A115,RawData!P:P)</f>
        <v>0</v>
      </c>
      <c r="M115">
        <f>SUMIF(RawData!$C:$C,$A115,RawData!Q:Q)</f>
        <v>0</v>
      </c>
      <c r="N115">
        <f>SUMIF(RawData!$C:$C,$A115,RawData!R:R)</f>
        <v>0</v>
      </c>
      <c r="O115">
        <f>SUMIF(RawData!$C:$C,$A115,RawData!S:S)</f>
        <v>0</v>
      </c>
      <c r="P115">
        <f>SUMIF(RawData!$C:$C,$A115,RawData!T:T)</f>
        <v>0</v>
      </c>
      <c r="Q115">
        <f>SUMIF(RawData!$C:$C,$A115,RawData!U:U)</f>
        <v>0</v>
      </c>
      <c r="R115">
        <f>SUMIF(RawData!$C:$C,$A115,RawData!V:V)</f>
        <v>0</v>
      </c>
      <c r="S115">
        <f>SUMIF(RawData!$C:$C,$A115,RawData!W:W)</f>
        <v>0</v>
      </c>
      <c r="T115">
        <f>SUMIF(RawData!$C:$C,$A115,RawData!X:X)</f>
        <v>0</v>
      </c>
      <c r="U115">
        <f>SUMIF(RawData!$C:$C,$A115,RawData!Y:Y)</f>
        <v>0</v>
      </c>
      <c r="V115">
        <f>SUMIF(RawData!$C:$C,$A115,RawData!Z:Z)</f>
        <v>0</v>
      </c>
      <c r="W115">
        <f>SUMIF(RawData!$C:$C,$A115,RawData!AA:AA)</f>
        <v>0</v>
      </c>
      <c r="X115">
        <f>SUMIF(RawData!$C:$C,$A115,RawData!AB:AB)</f>
        <v>0</v>
      </c>
      <c r="Y115">
        <f>SUMIF(RawData!$C:$C,$A115,RawData!AC:AC)</f>
        <v>0</v>
      </c>
      <c r="Z115">
        <f>SUMIF(RawData!$C:$C,$A115,RawData!AD:AD)</f>
        <v>0</v>
      </c>
      <c r="AA115">
        <f>SUMIF(RawData!$C:$C,$A115,RawData!AE:AE)</f>
        <v>0</v>
      </c>
      <c r="AB115">
        <f>SUMIF(RawData!$C:$C,$A115,RawData!AF:AF)</f>
        <v>0</v>
      </c>
      <c r="AC115">
        <f>SUMIF(RawData!$C:$C,$A115,RawData!AG:AG)</f>
        <v>0</v>
      </c>
      <c r="AD115">
        <f>SUMIF(RawData!$C:$C,$A115,RawData!AH:AH)</f>
        <v>0</v>
      </c>
      <c r="AE115">
        <f>SUMIF(RawData!$C:$C,$A115,RawData!AI:AI)</f>
        <v>0</v>
      </c>
      <c r="AF115">
        <f>SUMIF(RawData!$C:$C,$A115,RawData!AJ:AJ)</f>
        <v>0</v>
      </c>
      <c r="AG115">
        <f>SUMIF(RawData!$C:$C,$A115,RawData!AK:AK)</f>
        <v>0</v>
      </c>
      <c r="AH115">
        <f>SUMIF(RawData!$C:$C,$A115,RawData!AL:AL)</f>
        <v>0</v>
      </c>
      <c r="AI115">
        <f>SUMIF(RawData!$C:$C,$A115,RawData!AM:AM)</f>
        <v>0</v>
      </c>
      <c r="AJ115">
        <f>SUMIF(RawData!$C:$C,$A115,RawData!AN:AN)</f>
        <v>0</v>
      </c>
      <c r="AK115">
        <f>SUMIF(RawData!$C:$C,$A115,RawData!AO:AO)</f>
        <v>0</v>
      </c>
      <c r="AL115">
        <f>SUMIF(RawData!$C:$C,$A115,RawData!AP:AP)</f>
        <v>0</v>
      </c>
      <c r="AM115">
        <f>SUMIF(RawData!$C:$C,$A115,RawData!AQ:AQ)</f>
        <v>0</v>
      </c>
      <c r="AN115">
        <f>SUMIF(RawData!$C:$C,$A115,RawData!AR:AR)</f>
        <v>0</v>
      </c>
      <c r="AO115">
        <f>SUMIF(RawData!$C:$C,$A115,RawData!AS:AS)</f>
        <v>0</v>
      </c>
      <c r="AP115">
        <f>SUMIF(RawData!$C:$C,$A115,RawData!AT:AT)</f>
        <v>0</v>
      </c>
      <c r="AQ115">
        <f>SUMIF(RawData!$C:$C,$A115,RawData!AU:AU)</f>
        <v>0</v>
      </c>
      <c r="AR115">
        <f>SUMIF(RawData!$C:$C,$A115,RawData!AV:AV)</f>
        <v>0</v>
      </c>
      <c r="AS115">
        <f>SUMIF(RawData!$C:$C,$A115,RawData!AW:AW)</f>
        <v>0</v>
      </c>
      <c r="AT115">
        <f>SUMIF(RawData!$C:$C,$A115,RawData!AX:AX)</f>
        <v>0</v>
      </c>
      <c r="AU115">
        <f>SUMIF(RawData!$C:$C,$A115,RawData!AY:AY)</f>
        <v>0</v>
      </c>
      <c r="AV115">
        <f>SUMIF(RawData!$C:$C,$A115,RawData!AZ:AZ)</f>
        <v>0</v>
      </c>
      <c r="AW115">
        <f>SUMIF(RawData!$C:$C,$A115,RawData!BA:BA)</f>
        <v>0</v>
      </c>
      <c r="AX115">
        <f>SUMIF(RawData!$C:$C,$A115,RawData!BB:BB)</f>
        <v>0</v>
      </c>
      <c r="AY115">
        <f>SUMIF(RawData!$C:$C,$A115,RawData!BC:BC)</f>
        <v>0</v>
      </c>
      <c r="AZ115">
        <f>SUMIF(RawData!$C:$C,$A115,RawData!BD:BD)</f>
        <v>0</v>
      </c>
      <c r="BA115">
        <f>SUMIF(RawData!$C:$C,$A115,RawData!BE:BE)</f>
        <v>1</v>
      </c>
      <c r="BB115">
        <f>SUMIF(RawData!$C:$C,$A115,RawData!BF:BF)</f>
        <v>1</v>
      </c>
      <c r="BC115">
        <f>SUMIF(RawData!$C:$C,$A115,RawData!BG:BG)</f>
        <v>1</v>
      </c>
      <c r="BD115">
        <f>SUMIF(RawData!$C:$C,$A115,RawData!BH:BH)</f>
        <v>0</v>
      </c>
      <c r="BE115">
        <f>SUMIF(RawData!$C:$C,$A115,RawData!BI:BI)</f>
        <v>0</v>
      </c>
      <c r="BF115">
        <f>SUMIF(RawData!$C:$C,$A115,RawData!BJ:BJ)</f>
        <v>0</v>
      </c>
      <c r="BG115">
        <f>SUMIF(RawData!$C:$C,$A115,RawData!BK:BK)</f>
        <v>0</v>
      </c>
      <c r="BH115">
        <f>SUMIF(RawData!$C:$C,$A115,RawData!BL:BL)</f>
        <v>0</v>
      </c>
      <c r="BI115">
        <f>SUMIF(RawData!$C:$C,$A115,RawData!BM:BM)</f>
        <v>0</v>
      </c>
      <c r="BJ115">
        <f>SUMIF(RawData!$C:$C,$A115,RawData!BN:BN)</f>
        <v>0</v>
      </c>
      <c r="BK115">
        <f>SUMIF(RawData!$C:$C,$A115,RawData!BO:BO)</f>
        <v>0</v>
      </c>
      <c r="BL115">
        <f>SUMIF(RawData!$C:$C,$A115,RawData!BP:BP)</f>
        <v>0</v>
      </c>
      <c r="BM115">
        <f>SUMIF(RawData!$C:$C,$A115,RawData!BQ:BQ)</f>
        <v>0</v>
      </c>
      <c r="BN115">
        <f>SUMIF(RawData!$C:$C,$A115,RawData!BR:BR)</f>
        <v>0</v>
      </c>
      <c r="BO115">
        <f>SUMIF(RawData!$C:$C,$A115,RawData!BS:BS)</f>
        <v>0</v>
      </c>
      <c r="BP115">
        <f>SUMIF(RawData!$C:$C,$A115,RawData!BT:BT)</f>
        <v>0</v>
      </c>
      <c r="BQ115">
        <f>SUMIF(RawData!$C:$C,$A115,RawData!BU:BU)</f>
        <v>0</v>
      </c>
      <c r="BR115">
        <f>SUMIF(RawData!$C:$C,$A115,RawData!BV:BV)</f>
        <v>0</v>
      </c>
      <c r="BS115">
        <f>SUMIF(RawData!$C:$C,$A115,RawData!BW:BW)</f>
        <v>0</v>
      </c>
      <c r="BT115">
        <f>SUMIF(RawData!$C:$C,$A115,RawData!BX:BX)</f>
        <v>0</v>
      </c>
    </row>
    <row r="116" spans="1:72" ht="15" thickBot="1" x14ac:dyDescent="0.35">
      <c r="A116" s="4" t="s">
        <v>444</v>
      </c>
      <c r="B116">
        <f>SUMIF(RawData!$C:$C,$A116,RawData!F:F)</f>
        <v>0</v>
      </c>
      <c r="C116">
        <f>SUMIF(RawData!$C:$C,$A116,RawData!G:G)</f>
        <v>0</v>
      </c>
      <c r="D116">
        <f>SUMIF(RawData!$C:$C,$A116,RawData!H:H)</f>
        <v>0</v>
      </c>
      <c r="E116">
        <f>SUMIF(RawData!$C:$C,$A116,RawData!I:I)</f>
        <v>0</v>
      </c>
      <c r="F116">
        <f>SUMIF(RawData!$C:$C,$A116,RawData!J:J)</f>
        <v>0</v>
      </c>
      <c r="G116">
        <f>SUMIF(RawData!$C:$C,$A116,RawData!K:K)</f>
        <v>0</v>
      </c>
      <c r="H116">
        <f>SUMIF(RawData!$C:$C,$A116,RawData!L:L)</f>
        <v>0</v>
      </c>
      <c r="I116">
        <f>SUMIF(RawData!$C:$C,$A116,RawData!M:M)</f>
        <v>0</v>
      </c>
      <c r="J116">
        <f>SUMIF(RawData!$C:$C,$A116,RawData!N:N)</f>
        <v>0</v>
      </c>
      <c r="K116">
        <f>SUMIF(RawData!$C:$C,$A116,RawData!O:O)</f>
        <v>0</v>
      </c>
      <c r="L116">
        <f>SUMIF(RawData!$C:$C,$A116,RawData!P:P)</f>
        <v>0</v>
      </c>
      <c r="M116">
        <f>SUMIF(RawData!$C:$C,$A116,RawData!Q:Q)</f>
        <v>0</v>
      </c>
      <c r="N116">
        <f>SUMIF(RawData!$C:$C,$A116,RawData!R:R)</f>
        <v>0</v>
      </c>
      <c r="O116">
        <f>SUMIF(RawData!$C:$C,$A116,RawData!S:S)</f>
        <v>0</v>
      </c>
      <c r="P116">
        <f>SUMIF(RawData!$C:$C,$A116,RawData!T:T)</f>
        <v>0</v>
      </c>
      <c r="Q116">
        <f>SUMIF(RawData!$C:$C,$A116,RawData!U:U)</f>
        <v>0</v>
      </c>
      <c r="R116">
        <f>SUMIF(RawData!$C:$C,$A116,RawData!V:V)</f>
        <v>0</v>
      </c>
      <c r="S116">
        <f>SUMIF(RawData!$C:$C,$A116,RawData!W:W)</f>
        <v>0</v>
      </c>
      <c r="T116">
        <f>SUMIF(RawData!$C:$C,$A116,RawData!X:X)</f>
        <v>0</v>
      </c>
      <c r="U116">
        <f>SUMIF(RawData!$C:$C,$A116,RawData!Y:Y)</f>
        <v>0</v>
      </c>
      <c r="V116">
        <f>SUMIF(RawData!$C:$C,$A116,RawData!Z:Z)</f>
        <v>0</v>
      </c>
      <c r="W116">
        <f>SUMIF(RawData!$C:$C,$A116,RawData!AA:AA)</f>
        <v>0</v>
      </c>
      <c r="X116">
        <f>SUMIF(RawData!$C:$C,$A116,RawData!AB:AB)</f>
        <v>0</v>
      </c>
      <c r="Y116">
        <f>SUMIF(RawData!$C:$C,$A116,RawData!AC:AC)</f>
        <v>0</v>
      </c>
      <c r="Z116">
        <f>SUMIF(RawData!$C:$C,$A116,RawData!AD:AD)</f>
        <v>0</v>
      </c>
      <c r="AA116">
        <f>SUMIF(RawData!$C:$C,$A116,RawData!AE:AE)</f>
        <v>0</v>
      </c>
      <c r="AB116">
        <f>SUMIF(RawData!$C:$C,$A116,RawData!AF:AF)</f>
        <v>0</v>
      </c>
      <c r="AC116">
        <f>SUMIF(RawData!$C:$C,$A116,RawData!AG:AG)</f>
        <v>0</v>
      </c>
      <c r="AD116">
        <f>SUMIF(RawData!$C:$C,$A116,RawData!AH:AH)</f>
        <v>0</v>
      </c>
      <c r="AE116">
        <f>SUMIF(RawData!$C:$C,$A116,RawData!AI:AI)</f>
        <v>0</v>
      </c>
      <c r="AF116">
        <f>SUMIF(RawData!$C:$C,$A116,RawData!AJ:AJ)</f>
        <v>0</v>
      </c>
      <c r="AG116">
        <f>SUMIF(RawData!$C:$C,$A116,RawData!AK:AK)</f>
        <v>0</v>
      </c>
      <c r="AH116">
        <f>SUMIF(RawData!$C:$C,$A116,RawData!AL:AL)</f>
        <v>0</v>
      </c>
      <c r="AI116">
        <f>SUMIF(RawData!$C:$C,$A116,RawData!AM:AM)</f>
        <v>0</v>
      </c>
      <c r="AJ116">
        <f>SUMIF(RawData!$C:$C,$A116,RawData!AN:AN)</f>
        <v>0</v>
      </c>
      <c r="AK116">
        <f>SUMIF(RawData!$C:$C,$A116,RawData!AO:AO)</f>
        <v>0</v>
      </c>
      <c r="AL116">
        <f>SUMIF(RawData!$C:$C,$A116,RawData!AP:AP)</f>
        <v>0</v>
      </c>
      <c r="AM116">
        <f>SUMIF(RawData!$C:$C,$A116,RawData!AQ:AQ)</f>
        <v>0</v>
      </c>
      <c r="AN116">
        <f>SUMIF(RawData!$C:$C,$A116,RawData!AR:AR)</f>
        <v>0</v>
      </c>
      <c r="AO116">
        <f>SUMIF(RawData!$C:$C,$A116,RawData!AS:AS)</f>
        <v>0</v>
      </c>
      <c r="AP116">
        <f>SUMIF(RawData!$C:$C,$A116,RawData!AT:AT)</f>
        <v>0</v>
      </c>
      <c r="AQ116">
        <f>SUMIF(RawData!$C:$C,$A116,RawData!AU:AU)</f>
        <v>0</v>
      </c>
      <c r="AR116">
        <f>SUMIF(RawData!$C:$C,$A116,RawData!AV:AV)</f>
        <v>0</v>
      </c>
      <c r="AS116">
        <f>SUMIF(RawData!$C:$C,$A116,RawData!AW:AW)</f>
        <v>0</v>
      </c>
      <c r="AT116">
        <f>SUMIF(RawData!$C:$C,$A116,RawData!AX:AX)</f>
        <v>0</v>
      </c>
      <c r="AU116">
        <f>SUMIF(RawData!$C:$C,$A116,RawData!AY:AY)</f>
        <v>0</v>
      </c>
      <c r="AV116">
        <f>SUMIF(RawData!$C:$C,$A116,RawData!AZ:AZ)</f>
        <v>0</v>
      </c>
      <c r="AW116">
        <f>SUMIF(RawData!$C:$C,$A116,RawData!BA:BA)</f>
        <v>0</v>
      </c>
      <c r="AX116">
        <f>SUMIF(RawData!$C:$C,$A116,RawData!BB:BB)</f>
        <v>0</v>
      </c>
      <c r="AY116">
        <f>SUMIF(RawData!$C:$C,$A116,RawData!BC:BC)</f>
        <v>0</v>
      </c>
      <c r="AZ116">
        <f>SUMIF(RawData!$C:$C,$A116,RawData!BD:BD)</f>
        <v>0</v>
      </c>
      <c r="BA116">
        <f>SUMIF(RawData!$C:$C,$A116,RawData!BE:BE)</f>
        <v>1</v>
      </c>
      <c r="BB116">
        <f>SUMIF(RawData!$C:$C,$A116,RawData!BF:BF)</f>
        <v>1</v>
      </c>
      <c r="BC116">
        <f>SUMIF(RawData!$C:$C,$A116,RawData!BG:BG)</f>
        <v>3</v>
      </c>
      <c r="BD116">
        <f>SUMIF(RawData!$C:$C,$A116,RawData!BH:BH)</f>
        <v>0</v>
      </c>
      <c r="BE116">
        <f>SUMIF(RawData!$C:$C,$A116,RawData!BI:BI)</f>
        <v>0</v>
      </c>
      <c r="BF116">
        <f>SUMIF(RawData!$C:$C,$A116,RawData!BJ:BJ)</f>
        <v>0</v>
      </c>
      <c r="BG116">
        <f>SUMIF(RawData!$C:$C,$A116,RawData!BK:BK)</f>
        <v>0</v>
      </c>
      <c r="BH116">
        <f>SUMIF(RawData!$C:$C,$A116,RawData!BL:BL)</f>
        <v>0</v>
      </c>
      <c r="BI116">
        <f>SUMIF(RawData!$C:$C,$A116,RawData!BM:BM)</f>
        <v>0</v>
      </c>
      <c r="BJ116">
        <f>SUMIF(RawData!$C:$C,$A116,RawData!BN:BN)</f>
        <v>0</v>
      </c>
      <c r="BK116">
        <f>SUMIF(RawData!$C:$C,$A116,RawData!BO:BO)</f>
        <v>0</v>
      </c>
      <c r="BL116">
        <f>SUMIF(RawData!$C:$C,$A116,RawData!BP:BP)</f>
        <v>0</v>
      </c>
      <c r="BM116">
        <f>SUMIF(RawData!$C:$C,$A116,RawData!BQ:BQ)</f>
        <v>0</v>
      </c>
      <c r="BN116">
        <f>SUMIF(RawData!$C:$C,$A116,RawData!BR:BR)</f>
        <v>0</v>
      </c>
      <c r="BO116">
        <f>SUMIF(RawData!$C:$C,$A116,RawData!BS:BS)</f>
        <v>0</v>
      </c>
      <c r="BP116">
        <f>SUMIF(RawData!$C:$C,$A116,RawData!BT:BT)</f>
        <v>0</v>
      </c>
      <c r="BQ116">
        <f>SUMIF(RawData!$C:$C,$A116,RawData!BU:BU)</f>
        <v>0</v>
      </c>
      <c r="BR116">
        <f>SUMIF(RawData!$C:$C,$A116,RawData!BV:BV)</f>
        <v>0</v>
      </c>
      <c r="BS116">
        <f>SUMIF(RawData!$C:$C,$A116,RawData!BW:BW)</f>
        <v>0</v>
      </c>
      <c r="BT116">
        <f>SUMIF(RawData!$C:$C,$A116,RawData!BX:BX)</f>
        <v>0</v>
      </c>
    </row>
    <row r="117" spans="1:72" ht="15" thickBot="1" x14ac:dyDescent="0.35">
      <c r="A117" s="5" t="s">
        <v>449</v>
      </c>
      <c r="B117">
        <f>SUMIF(RawData!$C:$C,$A117,RawData!F:F)</f>
        <v>0</v>
      </c>
      <c r="C117">
        <f>SUMIF(RawData!$C:$C,$A117,RawData!G:G)</f>
        <v>0</v>
      </c>
      <c r="D117">
        <f>SUMIF(RawData!$C:$C,$A117,RawData!H:H)</f>
        <v>0</v>
      </c>
      <c r="E117">
        <f>SUMIF(RawData!$C:$C,$A117,RawData!I:I)</f>
        <v>0</v>
      </c>
      <c r="F117">
        <f>SUMIF(RawData!$C:$C,$A117,RawData!J:J)</f>
        <v>0</v>
      </c>
      <c r="G117">
        <f>SUMIF(RawData!$C:$C,$A117,RawData!K:K)</f>
        <v>0</v>
      </c>
      <c r="H117">
        <f>SUMIF(RawData!$C:$C,$A117,RawData!L:L)</f>
        <v>0</v>
      </c>
      <c r="I117">
        <f>SUMIF(RawData!$C:$C,$A117,RawData!M:M)</f>
        <v>0</v>
      </c>
      <c r="J117">
        <f>SUMIF(RawData!$C:$C,$A117,RawData!N:N)</f>
        <v>0</v>
      </c>
      <c r="K117">
        <f>SUMIF(RawData!$C:$C,$A117,RawData!O:O)</f>
        <v>0</v>
      </c>
      <c r="L117">
        <f>SUMIF(RawData!$C:$C,$A117,RawData!P:P)</f>
        <v>0</v>
      </c>
      <c r="M117">
        <f>SUMIF(RawData!$C:$C,$A117,RawData!Q:Q)</f>
        <v>0</v>
      </c>
      <c r="N117">
        <f>SUMIF(RawData!$C:$C,$A117,RawData!R:R)</f>
        <v>0</v>
      </c>
      <c r="O117">
        <f>SUMIF(RawData!$C:$C,$A117,RawData!S:S)</f>
        <v>0</v>
      </c>
      <c r="P117">
        <f>SUMIF(RawData!$C:$C,$A117,RawData!T:T)</f>
        <v>0</v>
      </c>
      <c r="Q117">
        <f>SUMIF(RawData!$C:$C,$A117,RawData!U:U)</f>
        <v>0</v>
      </c>
      <c r="R117">
        <f>SUMIF(RawData!$C:$C,$A117,RawData!V:V)</f>
        <v>0</v>
      </c>
      <c r="S117">
        <f>SUMIF(RawData!$C:$C,$A117,RawData!W:W)</f>
        <v>0</v>
      </c>
      <c r="T117">
        <f>SUMIF(RawData!$C:$C,$A117,RawData!X:X)</f>
        <v>0</v>
      </c>
      <c r="U117">
        <f>SUMIF(RawData!$C:$C,$A117,RawData!Y:Y)</f>
        <v>0</v>
      </c>
      <c r="V117">
        <f>SUMIF(RawData!$C:$C,$A117,RawData!Z:Z)</f>
        <v>0</v>
      </c>
      <c r="W117">
        <f>SUMIF(RawData!$C:$C,$A117,RawData!AA:AA)</f>
        <v>0</v>
      </c>
      <c r="X117">
        <f>SUMIF(RawData!$C:$C,$A117,RawData!AB:AB)</f>
        <v>0</v>
      </c>
      <c r="Y117">
        <f>SUMIF(RawData!$C:$C,$A117,RawData!AC:AC)</f>
        <v>0</v>
      </c>
      <c r="Z117">
        <f>SUMIF(RawData!$C:$C,$A117,RawData!AD:AD)</f>
        <v>0</v>
      </c>
      <c r="AA117">
        <f>SUMIF(RawData!$C:$C,$A117,RawData!AE:AE)</f>
        <v>0</v>
      </c>
      <c r="AB117">
        <f>SUMIF(RawData!$C:$C,$A117,RawData!AF:AF)</f>
        <v>0</v>
      </c>
      <c r="AC117">
        <f>SUMIF(RawData!$C:$C,$A117,RawData!AG:AG)</f>
        <v>0</v>
      </c>
      <c r="AD117">
        <f>SUMIF(RawData!$C:$C,$A117,RawData!AH:AH)</f>
        <v>0</v>
      </c>
      <c r="AE117">
        <f>SUMIF(RawData!$C:$C,$A117,RawData!AI:AI)</f>
        <v>0</v>
      </c>
      <c r="AF117">
        <f>SUMIF(RawData!$C:$C,$A117,RawData!AJ:AJ)</f>
        <v>0</v>
      </c>
      <c r="AG117">
        <f>SUMIF(RawData!$C:$C,$A117,RawData!AK:AK)</f>
        <v>0</v>
      </c>
      <c r="AH117">
        <f>SUMIF(RawData!$C:$C,$A117,RawData!AL:AL)</f>
        <v>0</v>
      </c>
      <c r="AI117">
        <f>SUMIF(RawData!$C:$C,$A117,RawData!AM:AM)</f>
        <v>0</v>
      </c>
      <c r="AJ117">
        <f>SUMIF(RawData!$C:$C,$A117,RawData!AN:AN)</f>
        <v>0</v>
      </c>
      <c r="AK117">
        <f>SUMIF(RawData!$C:$C,$A117,RawData!AO:AO)</f>
        <v>0</v>
      </c>
      <c r="AL117">
        <f>SUMIF(RawData!$C:$C,$A117,RawData!AP:AP)</f>
        <v>0</v>
      </c>
      <c r="AM117">
        <f>SUMIF(RawData!$C:$C,$A117,RawData!AQ:AQ)</f>
        <v>0</v>
      </c>
      <c r="AN117">
        <f>SUMIF(RawData!$C:$C,$A117,RawData!AR:AR)</f>
        <v>0</v>
      </c>
      <c r="AO117">
        <f>SUMIF(RawData!$C:$C,$A117,RawData!AS:AS)</f>
        <v>0</v>
      </c>
      <c r="AP117">
        <f>SUMIF(RawData!$C:$C,$A117,RawData!AT:AT)</f>
        <v>0</v>
      </c>
      <c r="AQ117">
        <f>SUMIF(RawData!$C:$C,$A117,RawData!AU:AU)</f>
        <v>0</v>
      </c>
      <c r="AR117">
        <f>SUMIF(RawData!$C:$C,$A117,RawData!AV:AV)</f>
        <v>0</v>
      </c>
      <c r="AS117">
        <f>SUMIF(RawData!$C:$C,$A117,RawData!AW:AW)</f>
        <v>0</v>
      </c>
      <c r="AT117">
        <f>SUMIF(RawData!$C:$C,$A117,RawData!AX:AX)</f>
        <v>0</v>
      </c>
      <c r="AU117">
        <f>SUMIF(RawData!$C:$C,$A117,RawData!AY:AY)</f>
        <v>0</v>
      </c>
      <c r="AV117">
        <f>SUMIF(RawData!$C:$C,$A117,RawData!AZ:AZ)</f>
        <v>0</v>
      </c>
      <c r="AW117">
        <f>SUMIF(RawData!$C:$C,$A117,RawData!BA:BA)</f>
        <v>0</v>
      </c>
      <c r="AX117">
        <f>SUMIF(RawData!$C:$C,$A117,RawData!BB:BB)</f>
        <v>0</v>
      </c>
      <c r="AY117">
        <f>SUMIF(RawData!$C:$C,$A117,RawData!BC:BC)</f>
        <v>0</v>
      </c>
      <c r="AZ117">
        <f>SUMIF(RawData!$C:$C,$A117,RawData!BD:BD)</f>
        <v>0</v>
      </c>
      <c r="BA117">
        <f>SUMIF(RawData!$C:$C,$A117,RawData!BE:BE)</f>
        <v>1</v>
      </c>
      <c r="BB117">
        <f>SUMIF(RawData!$C:$C,$A117,RawData!BF:BF)</f>
        <v>1</v>
      </c>
      <c r="BC117">
        <f>SUMIF(RawData!$C:$C,$A117,RawData!BG:BG)</f>
        <v>1</v>
      </c>
      <c r="BD117">
        <f>SUMIF(RawData!$C:$C,$A117,RawData!BH:BH)</f>
        <v>0</v>
      </c>
      <c r="BE117">
        <f>SUMIF(RawData!$C:$C,$A117,RawData!BI:BI)</f>
        <v>0</v>
      </c>
      <c r="BF117">
        <f>SUMIF(RawData!$C:$C,$A117,RawData!BJ:BJ)</f>
        <v>0</v>
      </c>
      <c r="BG117">
        <f>SUMIF(RawData!$C:$C,$A117,RawData!BK:BK)</f>
        <v>0</v>
      </c>
      <c r="BH117">
        <f>SUMIF(RawData!$C:$C,$A117,RawData!BL:BL)</f>
        <v>0</v>
      </c>
      <c r="BI117">
        <f>SUMIF(RawData!$C:$C,$A117,RawData!BM:BM)</f>
        <v>0</v>
      </c>
      <c r="BJ117">
        <f>SUMIF(RawData!$C:$C,$A117,RawData!BN:BN)</f>
        <v>0</v>
      </c>
      <c r="BK117">
        <f>SUMIF(RawData!$C:$C,$A117,RawData!BO:BO)</f>
        <v>0</v>
      </c>
      <c r="BL117">
        <f>SUMIF(RawData!$C:$C,$A117,RawData!BP:BP)</f>
        <v>0</v>
      </c>
      <c r="BM117">
        <f>SUMIF(RawData!$C:$C,$A117,RawData!BQ:BQ)</f>
        <v>0</v>
      </c>
      <c r="BN117">
        <f>SUMIF(RawData!$C:$C,$A117,RawData!BR:BR)</f>
        <v>0</v>
      </c>
      <c r="BO117">
        <f>SUMIF(RawData!$C:$C,$A117,RawData!BS:BS)</f>
        <v>0</v>
      </c>
      <c r="BP117">
        <f>SUMIF(RawData!$C:$C,$A117,RawData!BT:BT)</f>
        <v>0</v>
      </c>
      <c r="BQ117">
        <f>SUMIF(RawData!$C:$C,$A117,RawData!BU:BU)</f>
        <v>0</v>
      </c>
      <c r="BR117">
        <f>SUMIF(RawData!$C:$C,$A117,RawData!BV:BV)</f>
        <v>0</v>
      </c>
      <c r="BS117">
        <f>SUMIF(RawData!$C:$C,$A117,RawData!BW:BW)</f>
        <v>0</v>
      </c>
      <c r="BT117">
        <f>SUMIF(RawData!$C:$C,$A117,RawData!BX:BX)</f>
        <v>0</v>
      </c>
    </row>
    <row r="118" spans="1:72" ht="15" thickBot="1" x14ac:dyDescent="0.35">
      <c r="A118" s="4" t="s">
        <v>439</v>
      </c>
      <c r="B118">
        <f>SUMIF(RawData!$C:$C,$A118,RawData!F:F)</f>
        <v>0</v>
      </c>
      <c r="C118">
        <f>SUMIF(RawData!$C:$C,$A118,RawData!G:G)</f>
        <v>0</v>
      </c>
      <c r="D118">
        <f>SUMIF(RawData!$C:$C,$A118,RawData!H:H)</f>
        <v>0</v>
      </c>
      <c r="E118">
        <f>SUMIF(RawData!$C:$C,$A118,RawData!I:I)</f>
        <v>0</v>
      </c>
      <c r="F118">
        <f>SUMIF(RawData!$C:$C,$A118,RawData!J:J)</f>
        <v>0</v>
      </c>
      <c r="G118">
        <f>SUMIF(RawData!$C:$C,$A118,RawData!K:K)</f>
        <v>0</v>
      </c>
      <c r="H118">
        <f>SUMIF(RawData!$C:$C,$A118,RawData!L:L)</f>
        <v>0</v>
      </c>
      <c r="I118">
        <f>SUMIF(RawData!$C:$C,$A118,RawData!M:M)</f>
        <v>0</v>
      </c>
      <c r="J118">
        <f>SUMIF(RawData!$C:$C,$A118,RawData!N:N)</f>
        <v>0</v>
      </c>
      <c r="K118">
        <f>SUMIF(RawData!$C:$C,$A118,RawData!O:O)</f>
        <v>0</v>
      </c>
      <c r="L118">
        <f>SUMIF(RawData!$C:$C,$A118,RawData!P:P)</f>
        <v>0</v>
      </c>
      <c r="M118">
        <f>SUMIF(RawData!$C:$C,$A118,RawData!Q:Q)</f>
        <v>0</v>
      </c>
      <c r="N118">
        <f>SUMIF(RawData!$C:$C,$A118,RawData!R:R)</f>
        <v>0</v>
      </c>
      <c r="O118">
        <f>SUMIF(RawData!$C:$C,$A118,RawData!S:S)</f>
        <v>0</v>
      </c>
      <c r="P118">
        <f>SUMIF(RawData!$C:$C,$A118,RawData!T:T)</f>
        <v>0</v>
      </c>
      <c r="Q118">
        <f>SUMIF(RawData!$C:$C,$A118,RawData!U:U)</f>
        <v>0</v>
      </c>
      <c r="R118">
        <f>SUMIF(RawData!$C:$C,$A118,RawData!V:V)</f>
        <v>0</v>
      </c>
      <c r="S118">
        <f>SUMIF(RawData!$C:$C,$A118,RawData!W:W)</f>
        <v>0</v>
      </c>
      <c r="T118">
        <f>SUMIF(RawData!$C:$C,$A118,RawData!X:X)</f>
        <v>0</v>
      </c>
      <c r="U118">
        <f>SUMIF(RawData!$C:$C,$A118,RawData!Y:Y)</f>
        <v>0</v>
      </c>
      <c r="V118">
        <f>SUMIF(RawData!$C:$C,$A118,RawData!Z:Z)</f>
        <v>0</v>
      </c>
      <c r="W118">
        <f>SUMIF(RawData!$C:$C,$A118,RawData!AA:AA)</f>
        <v>0</v>
      </c>
      <c r="X118">
        <f>SUMIF(RawData!$C:$C,$A118,RawData!AB:AB)</f>
        <v>0</v>
      </c>
      <c r="Y118">
        <f>SUMIF(RawData!$C:$C,$A118,RawData!AC:AC)</f>
        <v>0</v>
      </c>
      <c r="Z118">
        <f>SUMIF(RawData!$C:$C,$A118,RawData!AD:AD)</f>
        <v>0</v>
      </c>
      <c r="AA118">
        <f>SUMIF(RawData!$C:$C,$A118,RawData!AE:AE)</f>
        <v>0</v>
      </c>
      <c r="AB118">
        <f>SUMIF(RawData!$C:$C,$A118,RawData!AF:AF)</f>
        <v>0</v>
      </c>
      <c r="AC118">
        <f>SUMIF(RawData!$C:$C,$A118,RawData!AG:AG)</f>
        <v>0</v>
      </c>
      <c r="AD118">
        <f>SUMIF(RawData!$C:$C,$A118,RawData!AH:AH)</f>
        <v>0</v>
      </c>
      <c r="AE118">
        <f>SUMIF(RawData!$C:$C,$A118,RawData!AI:AI)</f>
        <v>0</v>
      </c>
      <c r="AF118">
        <f>SUMIF(RawData!$C:$C,$A118,RawData!AJ:AJ)</f>
        <v>0</v>
      </c>
      <c r="AG118">
        <f>SUMIF(RawData!$C:$C,$A118,RawData!AK:AK)</f>
        <v>0</v>
      </c>
      <c r="AH118">
        <f>SUMIF(RawData!$C:$C,$A118,RawData!AL:AL)</f>
        <v>0</v>
      </c>
      <c r="AI118">
        <f>SUMIF(RawData!$C:$C,$A118,RawData!AM:AM)</f>
        <v>0</v>
      </c>
      <c r="AJ118">
        <f>SUMIF(RawData!$C:$C,$A118,RawData!AN:AN)</f>
        <v>0</v>
      </c>
      <c r="AK118">
        <f>SUMIF(RawData!$C:$C,$A118,RawData!AO:AO)</f>
        <v>0</v>
      </c>
      <c r="AL118">
        <f>SUMIF(RawData!$C:$C,$A118,RawData!AP:AP)</f>
        <v>0</v>
      </c>
      <c r="AM118">
        <f>SUMIF(RawData!$C:$C,$A118,RawData!AQ:AQ)</f>
        <v>0</v>
      </c>
      <c r="AN118">
        <f>SUMIF(RawData!$C:$C,$A118,RawData!AR:AR)</f>
        <v>0</v>
      </c>
      <c r="AO118">
        <f>SUMIF(RawData!$C:$C,$A118,RawData!AS:AS)</f>
        <v>0</v>
      </c>
      <c r="AP118">
        <f>SUMIF(RawData!$C:$C,$A118,RawData!AT:AT)</f>
        <v>0</v>
      </c>
      <c r="AQ118">
        <f>SUMIF(RawData!$C:$C,$A118,RawData!AU:AU)</f>
        <v>0</v>
      </c>
      <c r="AR118">
        <f>SUMIF(RawData!$C:$C,$A118,RawData!AV:AV)</f>
        <v>0</v>
      </c>
      <c r="AS118">
        <f>SUMIF(RawData!$C:$C,$A118,RawData!AW:AW)</f>
        <v>0</v>
      </c>
      <c r="AT118">
        <f>SUMIF(RawData!$C:$C,$A118,RawData!AX:AX)</f>
        <v>0</v>
      </c>
      <c r="AU118">
        <f>SUMIF(RawData!$C:$C,$A118,RawData!AY:AY)</f>
        <v>0</v>
      </c>
      <c r="AV118">
        <f>SUMIF(RawData!$C:$C,$A118,RawData!AZ:AZ)</f>
        <v>0</v>
      </c>
      <c r="AW118">
        <f>SUMIF(RawData!$C:$C,$A118,RawData!BA:BA)</f>
        <v>0</v>
      </c>
      <c r="AX118">
        <f>SUMIF(RawData!$C:$C,$A118,RawData!BB:BB)</f>
        <v>0</v>
      </c>
      <c r="AY118">
        <f>SUMIF(RawData!$C:$C,$A118,RawData!BC:BC)</f>
        <v>0</v>
      </c>
      <c r="AZ118">
        <f>SUMIF(RawData!$C:$C,$A118,RawData!BD:BD)</f>
        <v>1</v>
      </c>
      <c r="BA118">
        <f>SUMIF(RawData!$C:$C,$A118,RawData!BE:BE)</f>
        <v>1</v>
      </c>
      <c r="BB118">
        <f>SUMIF(RawData!$C:$C,$A118,RawData!BF:BF)</f>
        <v>1</v>
      </c>
      <c r="BC118">
        <f>SUMIF(RawData!$C:$C,$A118,RawData!BG:BG)</f>
        <v>4</v>
      </c>
      <c r="BD118">
        <f>SUMIF(RawData!$C:$C,$A118,RawData!BH:BH)</f>
        <v>0</v>
      </c>
      <c r="BE118">
        <f>SUMIF(RawData!$C:$C,$A118,RawData!BI:BI)</f>
        <v>0</v>
      </c>
      <c r="BF118">
        <f>SUMIF(RawData!$C:$C,$A118,RawData!BJ:BJ)</f>
        <v>0</v>
      </c>
      <c r="BG118">
        <f>SUMIF(RawData!$C:$C,$A118,RawData!BK:BK)</f>
        <v>0</v>
      </c>
      <c r="BH118">
        <f>SUMIF(RawData!$C:$C,$A118,RawData!BL:BL)</f>
        <v>0</v>
      </c>
      <c r="BI118">
        <f>SUMIF(RawData!$C:$C,$A118,RawData!BM:BM)</f>
        <v>0</v>
      </c>
      <c r="BJ118">
        <f>SUMIF(RawData!$C:$C,$A118,RawData!BN:BN)</f>
        <v>0</v>
      </c>
      <c r="BK118">
        <f>SUMIF(RawData!$C:$C,$A118,RawData!BO:BO)</f>
        <v>0</v>
      </c>
      <c r="BL118">
        <f>SUMIF(RawData!$C:$C,$A118,RawData!BP:BP)</f>
        <v>0</v>
      </c>
      <c r="BM118">
        <f>SUMIF(RawData!$C:$C,$A118,RawData!BQ:BQ)</f>
        <v>0</v>
      </c>
      <c r="BN118">
        <f>SUMIF(RawData!$C:$C,$A118,RawData!BR:BR)</f>
        <v>0</v>
      </c>
      <c r="BO118">
        <f>SUMIF(RawData!$C:$C,$A118,RawData!BS:BS)</f>
        <v>0</v>
      </c>
      <c r="BP118">
        <f>SUMIF(RawData!$C:$C,$A118,RawData!BT:BT)</f>
        <v>0</v>
      </c>
      <c r="BQ118">
        <f>SUMIF(RawData!$C:$C,$A118,RawData!BU:BU)</f>
        <v>0</v>
      </c>
      <c r="BR118">
        <f>SUMIF(RawData!$C:$C,$A118,RawData!BV:BV)</f>
        <v>0</v>
      </c>
      <c r="BS118">
        <f>SUMIF(RawData!$C:$C,$A118,RawData!BW:BW)</f>
        <v>0</v>
      </c>
      <c r="BT118">
        <f>SUMIF(RawData!$C:$C,$A118,RawData!BX:BX)</f>
        <v>0</v>
      </c>
    </row>
    <row r="119" spans="1:72" ht="15" thickBot="1" x14ac:dyDescent="0.35">
      <c r="A119" s="4" t="s">
        <v>308</v>
      </c>
      <c r="B119">
        <f>SUMIF(RawData!$C:$C,$A119,RawData!F:F)</f>
        <v>0</v>
      </c>
      <c r="C119">
        <f>SUMIF(RawData!$C:$C,$A119,RawData!G:G)</f>
        <v>0</v>
      </c>
      <c r="D119">
        <f>SUMIF(RawData!$C:$C,$A119,RawData!H:H)</f>
        <v>0</v>
      </c>
      <c r="E119">
        <f>SUMIF(RawData!$C:$C,$A119,RawData!I:I)</f>
        <v>0</v>
      </c>
      <c r="F119">
        <f>SUMIF(RawData!$C:$C,$A119,RawData!J:J)</f>
        <v>0</v>
      </c>
      <c r="G119">
        <f>SUMIF(RawData!$C:$C,$A119,RawData!K:K)</f>
        <v>0</v>
      </c>
      <c r="H119">
        <f>SUMIF(RawData!$C:$C,$A119,RawData!L:L)</f>
        <v>0</v>
      </c>
      <c r="I119">
        <f>SUMIF(RawData!$C:$C,$A119,RawData!M:M)</f>
        <v>0</v>
      </c>
      <c r="J119">
        <f>SUMIF(RawData!$C:$C,$A119,RawData!N:N)</f>
        <v>0</v>
      </c>
      <c r="K119">
        <f>SUMIF(RawData!$C:$C,$A119,RawData!O:O)</f>
        <v>0</v>
      </c>
      <c r="L119">
        <f>SUMIF(RawData!$C:$C,$A119,RawData!P:P)</f>
        <v>0</v>
      </c>
      <c r="M119">
        <f>SUMIF(RawData!$C:$C,$A119,RawData!Q:Q)</f>
        <v>0</v>
      </c>
      <c r="N119">
        <f>SUMIF(RawData!$C:$C,$A119,RawData!R:R)</f>
        <v>0</v>
      </c>
      <c r="O119">
        <f>SUMIF(RawData!$C:$C,$A119,RawData!S:S)</f>
        <v>0</v>
      </c>
      <c r="P119">
        <f>SUMIF(RawData!$C:$C,$A119,RawData!T:T)</f>
        <v>0</v>
      </c>
      <c r="Q119">
        <f>SUMIF(RawData!$C:$C,$A119,RawData!U:U)</f>
        <v>0</v>
      </c>
      <c r="R119">
        <f>SUMIF(RawData!$C:$C,$A119,RawData!V:V)</f>
        <v>0</v>
      </c>
      <c r="S119">
        <f>SUMIF(RawData!$C:$C,$A119,RawData!W:W)</f>
        <v>0</v>
      </c>
      <c r="T119">
        <f>SUMIF(RawData!$C:$C,$A119,RawData!X:X)</f>
        <v>0</v>
      </c>
      <c r="U119">
        <f>SUMIF(RawData!$C:$C,$A119,RawData!Y:Y)</f>
        <v>0</v>
      </c>
      <c r="V119">
        <f>SUMIF(RawData!$C:$C,$A119,RawData!Z:Z)</f>
        <v>0</v>
      </c>
      <c r="W119">
        <f>SUMIF(RawData!$C:$C,$A119,RawData!AA:AA)</f>
        <v>0</v>
      </c>
      <c r="X119">
        <f>SUMIF(RawData!$C:$C,$A119,RawData!AB:AB)</f>
        <v>0</v>
      </c>
      <c r="Y119">
        <f>SUMIF(RawData!$C:$C,$A119,RawData!AC:AC)</f>
        <v>0</v>
      </c>
      <c r="Z119">
        <f>SUMIF(RawData!$C:$C,$A119,RawData!AD:AD)</f>
        <v>0</v>
      </c>
      <c r="AA119">
        <f>SUMIF(RawData!$C:$C,$A119,RawData!AE:AE)</f>
        <v>0</v>
      </c>
      <c r="AB119">
        <f>SUMIF(RawData!$C:$C,$A119,RawData!AF:AF)</f>
        <v>0</v>
      </c>
      <c r="AC119">
        <f>SUMIF(RawData!$C:$C,$A119,RawData!AG:AG)</f>
        <v>0</v>
      </c>
      <c r="AD119">
        <f>SUMIF(RawData!$C:$C,$A119,RawData!AH:AH)</f>
        <v>0</v>
      </c>
      <c r="AE119">
        <f>SUMIF(RawData!$C:$C,$A119,RawData!AI:AI)</f>
        <v>0</v>
      </c>
      <c r="AF119">
        <f>SUMIF(RawData!$C:$C,$A119,RawData!AJ:AJ)</f>
        <v>0</v>
      </c>
      <c r="AG119">
        <f>SUMIF(RawData!$C:$C,$A119,RawData!AK:AK)</f>
        <v>0</v>
      </c>
      <c r="AH119">
        <f>SUMIF(RawData!$C:$C,$A119,RawData!AL:AL)</f>
        <v>0</v>
      </c>
      <c r="AI119">
        <f>SUMIF(RawData!$C:$C,$A119,RawData!AM:AM)</f>
        <v>0</v>
      </c>
      <c r="AJ119">
        <f>SUMIF(RawData!$C:$C,$A119,RawData!AN:AN)</f>
        <v>0</v>
      </c>
      <c r="AK119">
        <f>SUMIF(RawData!$C:$C,$A119,RawData!AO:AO)</f>
        <v>0</v>
      </c>
      <c r="AL119">
        <f>SUMIF(RawData!$C:$C,$A119,RawData!AP:AP)</f>
        <v>0</v>
      </c>
      <c r="AM119">
        <f>SUMIF(RawData!$C:$C,$A119,RawData!AQ:AQ)</f>
        <v>0</v>
      </c>
      <c r="AN119">
        <f>SUMIF(RawData!$C:$C,$A119,RawData!AR:AR)</f>
        <v>0</v>
      </c>
      <c r="AO119">
        <f>SUMIF(RawData!$C:$C,$A119,RawData!AS:AS)</f>
        <v>0</v>
      </c>
      <c r="AP119">
        <f>SUMIF(RawData!$C:$C,$A119,RawData!AT:AT)</f>
        <v>0</v>
      </c>
      <c r="AQ119">
        <f>SUMIF(RawData!$C:$C,$A119,RawData!AU:AU)</f>
        <v>0</v>
      </c>
      <c r="AR119">
        <f>SUMIF(RawData!$C:$C,$A119,RawData!AV:AV)</f>
        <v>0</v>
      </c>
      <c r="AS119">
        <f>SUMIF(RawData!$C:$C,$A119,RawData!AW:AW)</f>
        <v>0</v>
      </c>
      <c r="AT119">
        <f>SUMIF(RawData!$C:$C,$A119,RawData!AX:AX)</f>
        <v>1</v>
      </c>
      <c r="AU119">
        <f>SUMIF(RawData!$C:$C,$A119,RawData!AY:AY)</f>
        <v>1</v>
      </c>
      <c r="AV119">
        <f>SUMIF(RawData!$C:$C,$A119,RawData!AZ:AZ)</f>
        <v>1</v>
      </c>
      <c r="AW119">
        <f>SUMIF(RawData!$C:$C,$A119,RawData!BA:BA)</f>
        <v>1</v>
      </c>
      <c r="AX119">
        <f>SUMIF(RawData!$C:$C,$A119,RawData!BB:BB)</f>
        <v>1</v>
      </c>
      <c r="AY119">
        <f>SUMIF(RawData!$C:$C,$A119,RawData!BC:BC)</f>
        <v>1</v>
      </c>
      <c r="AZ119">
        <f>SUMIF(RawData!$C:$C,$A119,RawData!BD:BD)</f>
        <v>1</v>
      </c>
      <c r="BA119">
        <f>SUMIF(RawData!$C:$C,$A119,RawData!BE:BE)</f>
        <v>1</v>
      </c>
      <c r="BB119">
        <f>SUMIF(RawData!$C:$C,$A119,RawData!BF:BF)</f>
        <v>1</v>
      </c>
      <c r="BC119">
        <f>SUMIF(RawData!$C:$C,$A119,RawData!BG:BG)</f>
        <v>1</v>
      </c>
      <c r="BD119">
        <f>SUMIF(RawData!$C:$C,$A119,RawData!BH:BH)</f>
        <v>0</v>
      </c>
      <c r="BE119">
        <f>SUMIF(RawData!$C:$C,$A119,RawData!BI:BI)</f>
        <v>0</v>
      </c>
      <c r="BF119">
        <f>SUMIF(RawData!$C:$C,$A119,RawData!BJ:BJ)</f>
        <v>0</v>
      </c>
      <c r="BG119">
        <f>SUMIF(RawData!$C:$C,$A119,RawData!BK:BK)</f>
        <v>0</v>
      </c>
      <c r="BH119">
        <f>SUMIF(RawData!$C:$C,$A119,RawData!BL:BL)</f>
        <v>0</v>
      </c>
      <c r="BI119">
        <f>SUMIF(RawData!$C:$C,$A119,RawData!BM:BM)</f>
        <v>0</v>
      </c>
      <c r="BJ119">
        <f>SUMIF(RawData!$C:$C,$A119,RawData!BN:BN)</f>
        <v>0</v>
      </c>
      <c r="BK119">
        <f>SUMIF(RawData!$C:$C,$A119,RawData!BO:BO)</f>
        <v>0</v>
      </c>
      <c r="BL119">
        <f>SUMIF(RawData!$C:$C,$A119,RawData!BP:BP)</f>
        <v>0</v>
      </c>
      <c r="BM119">
        <f>SUMIF(RawData!$C:$C,$A119,RawData!BQ:BQ)</f>
        <v>0</v>
      </c>
      <c r="BN119">
        <f>SUMIF(RawData!$C:$C,$A119,RawData!BR:BR)</f>
        <v>0</v>
      </c>
      <c r="BO119">
        <f>SUMIF(RawData!$C:$C,$A119,RawData!BS:BS)</f>
        <v>0</v>
      </c>
      <c r="BP119">
        <f>SUMIF(RawData!$C:$C,$A119,RawData!BT:BT)</f>
        <v>0</v>
      </c>
      <c r="BQ119">
        <f>SUMIF(RawData!$C:$C,$A119,RawData!BU:BU)</f>
        <v>0</v>
      </c>
      <c r="BR119">
        <f>SUMIF(RawData!$C:$C,$A119,RawData!BV:BV)</f>
        <v>0</v>
      </c>
      <c r="BS119">
        <f>SUMIF(RawData!$C:$C,$A119,RawData!BW:BW)</f>
        <v>0</v>
      </c>
      <c r="BT119">
        <f>SUMIF(RawData!$C:$C,$A119,RawData!BX:BX)</f>
        <v>0</v>
      </c>
    </row>
    <row r="120" spans="1:72" ht="15" thickBot="1" x14ac:dyDescent="0.35">
      <c r="A120" s="5" t="s">
        <v>152</v>
      </c>
      <c r="B120">
        <f>SUMIF(RawData!$C:$C,$A120,RawData!F:F)</f>
        <v>0</v>
      </c>
      <c r="C120">
        <f>SUMIF(RawData!$C:$C,$A120,RawData!G:G)</f>
        <v>0</v>
      </c>
      <c r="D120">
        <f>SUMIF(RawData!$C:$C,$A120,RawData!H:H)</f>
        <v>0</v>
      </c>
      <c r="E120">
        <f>SUMIF(RawData!$C:$C,$A120,RawData!I:I)</f>
        <v>0</v>
      </c>
      <c r="F120">
        <f>SUMIF(RawData!$C:$C,$A120,RawData!J:J)</f>
        <v>0</v>
      </c>
      <c r="G120">
        <f>SUMIF(RawData!$C:$C,$A120,RawData!K:K)</f>
        <v>0</v>
      </c>
      <c r="H120">
        <f>SUMIF(RawData!$C:$C,$A120,RawData!L:L)</f>
        <v>0</v>
      </c>
      <c r="I120">
        <f>SUMIF(RawData!$C:$C,$A120,RawData!M:M)</f>
        <v>0</v>
      </c>
      <c r="J120">
        <f>SUMIF(RawData!$C:$C,$A120,RawData!N:N)</f>
        <v>0</v>
      </c>
      <c r="K120">
        <f>SUMIF(RawData!$C:$C,$A120,RawData!O:O)</f>
        <v>0</v>
      </c>
      <c r="L120">
        <f>SUMIF(RawData!$C:$C,$A120,RawData!P:P)</f>
        <v>0</v>
      </c>
      <c r="M120">
        <f>SUMIF(RawData!$C:$C,$A120,RawData!Q:Q)</f>
        <v>0</v>
      </c>
      <c r="N120">
        <f>SUMIF(RawData!$C:$C,$A120,RawData!R:R)</f>
        <v>0</v>
      </c>
      <c r="O120">
        <f>SUMIF(RawData!$C:$C,$A120,RawData!S:S)</f>
        <v>0</v>
      </c>
      <c r="P120">
        <f>SUMIF(RawData!$C:$C,$A120,RawData!T:T)</f>
        <v>0</v>
      </c>
      <c r="Q120">
        <f>SUMIF(RawData!$C:$C,$A120,RawData!U:U)</f>
        <v>0</v>
      </c>
      <c r="R120">
        <f>SUMIF(RawData!$C:$C,$A120,RawData!V:V)</f>
        <v>0</v>
      </c>
      <c r="S120">
        <f>SUMIF(RawData!$C:$C,$A120,RawData!W:W)</f>
        <v>0</v>
      </c>
      <c r="T120">
        <f>SUMIF(RawData!$C:$C,$A120,RawData!X:X)</f>
        <v>0</v>
      </c>
      <c r="U120">
        <f>SUMIF(RawData!$C:$C,$A120,RawData!Y:Y)</f>
        <v>0</v>
      </c>
      <c r="V120">
        <f>SUMIF(RawData!$C:$C,$A120,RawData!Z:Z)</f>
        <v>0</v>
      </c>
      <c r="W120">
        <f>SUMIF(RawData!$C:$C,$A120,RawData!AA:AA)</f>
        <v>0</v>
      </c>
      <c r="X120">
        <f>SUMIF(RawData!$C:$C,$A120,RawData!AB:AB)</f>
        <v>0</v>
      </c>
      <c r="Y120">
        <f>SUMIF(RawData!$C:$C,$A120,RawData!AC:AC)</f>
        <v>0</v>
      </c>
      <c r="Z120">
        <f>SUMIF(RawData!$C:$C,$A120,RawData!AD:AD)</f>
        <v>0</v>
      </c>
      <c r="AA120">
        <f>SUMIF(RawData!$C:$C,$A120,RawData!AE:AE)</f>
        <v>0</v>
      </c>
      <c r="AB120">
        <f>SUMIF(RawData!$C:$C,$A120,RawData!AF:AF)</f>
        <v>0</v>
      </c>
      <c r="AC120">
        <f>SUMIF(RawData!$C:$C,$A120,RawData!AG:AG)</f>
        <v>0</v>
      </c>
      <c r="AD120">
        <f>SUMIF(RawData!$C:$C,$A120,RawData!AH:AH)</f>
        <v>0</v>
      </c>
      <c r="AE120">
        <f>SUMIF(RawData!$C:$C,$A120,RawData!AI:AI)</f>
        <v>0</v>
      </c>
      <c r="AF120">
        <f>SUMIF(RawData!$C:$C,$A120,RawData!AJ:AJ)</f>
        <v>0</v>
      </c>
      <c r="AG120">
        <f>SUMIF(RawData!$C:$C,$A120,RawData!AK:AK)</f>
        <v>0</v>
      </c>
      <c r="AH120">
        <f>SUMIF(RawData!$C:$C,$A120,RawData!AL:AL)</f>
        <v>0</v>
      </c>
      <c r="AI120">
        <f>SUMIF(RawData!$C:$C,$A120,RawData!AM:AM)</f>
        <v>0</v>
      </c>
      <c r="AJ120">
        <f>SUMIF(RawData!$C:$C,$A120,RawData!AN:AN)</f>
        <v>0</v>
      </c>
      <c r="AK120">
        <f>SUMIF(RawData!$C:$C,$A120,RawData!AO:AO)</f>
        <v>0</v>
      </c>
      <c r="AL120">
        <f>SUMIF(RawData!$C:$C,$A120,RawData!AP:AP)</f>
        <v>0</v>
      </c>
      <c r="AM120">
        <f>SUMIF(RawData!$C:$C,$A120,RawData!AQ:AQ)</f>
        <v>0</v>
      </c>
      <c r="AN120">
        <f>SUMIF(RawData!$C:$C,$A120,RawData!AR:AR)</f>
        <v>0</v>
      </c>
      <c r="AO120">
        <f>SUMIF(RawData!$C:$C,$A120,RawData!AS:AS)</f>
        <v>0</v>
      </c>
      <c r="AP120">
        <f>SUMIF(RawData!$C:$C,$A120,RawData!AT:AT)</f>
        <v>0</v>
      </c>
      <c r="AQ120">
        <f>SUMIF(RawData!$C:$C,$A120,RawData!AU:AU)</f>
        <v>1</v>
      </c>
      <c r="AR120">
        <f>SUMIF(RawData!$C:$C,$A120,RawData!AV:AV)</f>
        <v>1</v>
      </c>
      <c r="AS120">
        <f>SUMIF(RawData!$C:$C,$A120,RawData!AW:AW)</f>
        <v>1</v>
      </c>
      <c r="AT120">
        <f>SUMIF(RawData!$C:$C,$A120,RawData!AX:AX)</f>
        <v>1</v>
      </c>
      <c r="AU120">
        <f>SUMIF(RawData!$C:$C,$A120,RawData!AY:AY)</f>
        <v>1</v>
      </c>
      <c r="AV120">
        <f>SUMIF(RawData!$C:$C,$A120,RawData!AZ:AZ)</f>
        <v>1</v>
      </c>
      <c r="AW120">
        <f>SUMIF(RawData!$C:$C,$A120,RawData!BA:BA)</f>
        <v>1</v>
      </c>
      <c r="AX120">
        <f>SUMIF(RawData!$C:$C,$A120,RawData!BB:BB)</f>
        <v>1</v>
      </c>
      <c r="AY120">
        <f>SUMIF(RawData!$C:$C,$A120,RawData!BC:BC)</f>
        <v>1</v>
      </c>
      <c r="AZ120">
        <f>SUMIF(RawData!$C:$C,$A120,RawData!BD:BD)</f>
        <v>1</v>
      </c>
      <c r="BA120">
        <f>SUMIF(RawData!$C:$C,$A120,RawData!BE:BE)</f>
        <v>1</v>
      </c>
      <c r="BB120">
        <f>SUMIF(RawData!$C:$C,$A120,RawData!BF:BF)</f>
        <v>1</v>
      </c>
      <c r="BC120">
        <f>SUMIF(RawData!$C:$C,$A120,RawData!BG:BG)</f>
        <v>8</v>
      </c>
      <c r="BD120">
        <f>SUMIF(RawData!$C:$C,$A120,RawData!BH:BH)</f>
        <v>0</v>
      </c>
      <c r="BE120">
        <f>SUMIF(RawData!$C:$C,$A120,RawData!BI:BI)</f>
        <v>0</v>
      </c>
      <c r="BF120">
        <f>SUMIF(RawData!$C:$C,$A120,RawData!BJ:BJ)</f>
        <v>0</v>
      </c>
      <c r="BG120">
        <f>SUMIF(RawData!$C:$C,$A120,RawData!BK:BK)</f>
        <v>0</v>
      </c>
      <c r="BH120">
        <f>SUMIF(RawData!$C:$C,$A120,RawData!BL:BL)</f>
        <v>0</v>
      </c>
      <c r="BI120">
        <f>SUMIF(RawData!$C:$C,$A120,RawData!BM:BM)</f>
        <v>0</v>
      </c>
      <c r="BJ120">
        <f>SUMIF(RawData!$C:$C,$A120,RawData!BN:BN)</f>
        <v>0</v>
      </c>
      <c r="BK120">
        <f>SUMIF(RawData!$C:$C,$A120,RawData!BO:BO)</f>
        <v>0</v>
      </c>
      <c r="BL120">
        <f>SUMIF(RawData!$C:$C,$A120,RawData!BP:BP)</f>
        <v>0</v>
      </c>
      <c r="BM120">
        <f>SUMIF(RawData!$C:$C,$A120,RawData!BQ:BQ)</f>
        <v>0</v>
      </c>
      <c r="BN120">
        <f>SUMIF(RawData!$C:$C,$A120,RawData!BR:BR)</f>
        <v>0</v>
      </c>
      <c r="BO120">
        <f>SUMIF(RawData!$C:$C,$A120,RawData!BS:BS)</f>
        <v>0</v>
      </c>
      <c r="BP120">
        <f>SUMIF(RawData!$C:$C,$A120,RawData!BT:BT)</f>
        <v>0</v>
      </c>
      <c r="BQ120">
        <f>SUMIF(RawData!$C:$C,$A120,RawData!BU:BU)</f>
        <v>0</v>
      </c>
      <c r="BR120">
        <f>SUMIF(RawData!$C:$C,$A120,RawData!BV:BV)</f>
        <v>0</v>
      </c>
      <c r="BS120">
        <f>SUMIF(RawData!$C:$C,$A120,RawData!BW:BW)</f>
        <v>0</v>
      </c>
      <c r="BT120">
        <f>SUMIF(RawData!$C:$C,$A120,RawData!BX:BX)</f>
        <v>0</v>
      </c>
    </row>
    <row r="121" spans="1:72" ht="15" thickBot="1" x14ac:dyDescent="0.35">
      <c r="A121" s="4" t="s">
        <v>451</v>
      </c>
      <c r="B121">
        <f>SUMIF(RawData!$C:$C,$A121,RawData!F:F)</f>
        <v>0</v>
      </c>
      <c r="C121">
        <f>SUMIF(RawData!$C:$C,$A121,RawData!G:G)</f>
        <v>0</v>
      </c>
      <c r="D121">
        <f>SUMIF(RawData!$C:$C,$A121,RawData!H:H)</f>
        <v>0</v>
      </c>
      <c r="E121">
        <f>SUMIF(RawData!$C:$C,$A121,RawData!I:I)</f>
        <v>0</v>
      </c>
      <c r="F121">
        <f>SUMIF(RawData!$C:$C,$A121,RawData!J:J)</f>
        <v>0</v>
      </c>
      <c r="G121">
        <f>SUMIF(RawData!$C:$C,$A121,RawData!K:K)</f>
        <v>0</v>
      </c>
      <c r="H121">
        <f>SUMIF(RawData!$C:$C,$A121,RawData!L:L)</f>
        <v>0</v>
      </c>
      <c r="I121">
        <f>SUMIF(RawData!$C:$C,$A121,RawData!M:M)</f>
        <v>0</v>
      </c>
      <c r="J121">
        <f>SUMIF(RawData!$C:$C,$A121,RawData!N:N)</f>
        <v>0</v>
      </c>
      <c r="K121">
        <f>SUMIF(RawData!$C:$C,$A121,RawData!O:O)</f>
        <v>0</v>
      </c>
      <c r="L121">
        <f>SUMIF(RawData!$C:$C,$A121,RawData!P:P)</f>
        <v>0</v>
      </c>
      <c r="M121">
        <f>SUMIF(RawData!$C:$C,$A121,RawData!Q:Q)</f>
        <v>0</v>
      </c>
      <c r="N121">
        <f>SUMIF(RawData!$C:$C,$A121,RawData!R:R)</f>
        <v>0</v>
      </c>
      <c r="O121">
        <f>SUMIF(RawData!$C:$C,$A121,RawData!S:S)</f>
        <v>0</v>
      </c>
      <c r="P121">
        <f>SUMIF(RawData!$C:$C,$A121,RawData!T:T)</f>
        <v>0</v>
      </c>
      <c r="Q121">
        <f>SUMIF(RawData!$C:$C,$A121,RawData!U:U)</f>
        <v>0</v>
      </c>
      <c r="R121">
        <f>SUMIF(RawData!$C:$C,$A121,RawData!V:V)</f>
        <v>0</v>
      </c>
      <c r="S121">
        <f>SUMIF(RawData!$C:$C,$A121,RawData!W:W)</f>
        <v>0</v>
      </c>
      <c r="T121">
        <f>SUMIF(RawData!$C:$C,$A121,RawData!X:X)</f>
        <v>0</v>
      </c>
      <c r="U121">
        <f>SUMIF(RawData!$C:$C,$A121,RawData!Y:Y)</f>
        <v>0</v>
      </c>
      <c r="V121">
        <f>SUMIF(RawData!$C:$C,$A121,RawData!Z:Z)</f>
        <v>0</v>
      </c>
      <c r="W121">
        <f>SUMIF(RawData!$C:$C,$A121,RawData!AA:AA)</f>
        <v>0</v>
      </c>
      <c r="X121">
        <f>SUMIF(RawData!$C:$C,$A121,RawData!AB:AB)</f>
        <v>0</v>
      </c>
      <c r="Y121">
        <f>SUMIF(RawData!$C:$C,$A121,RawData!AC:AC)</f>
        <v>0</v>
      </c>
      <c r="Z121">
        <f>SUMIF(RawData!$C:$C,$A121,RawData!AD:AD)</f>
        <v>0</v>
      </c>
      <c r="AA121">
        <f>SUMIF(RawData!$C:$C,$A121,RawData!AE:AE)</f>
        <v>0</v>
      </c>
      <c r="AB121">
        <f>SUMIF(RawData!$C:$C,$A121,RawData!AF:AF)</f>
        <v>0</v>
      </c>
      <c r="AC121">
        <f>SUMIF(RawData!$C:$C,$A121,RawData!AG:AG)</f>
        <v>0</v>
      </c>
      <c r="AD121">
        <f>SUMIF(RawData!$C:$C,$A121,RawData!AH:AH)</f>
        <v>0</v>
      </c>
      <c r="AE121">
        <f>SUMIF(RawData!$C:$C,$A121,RawData!AI:AI)</f>
        <v>0</v>
      </c>
      <c r="AF121">
        <f>SUMIF(RawData!$C:$C,$A121,RawData!AJ:AJ)</f>
        <v>0</v>
      </c>
      <c r="AG121">
        <f>SUMIF(RawData!$C:$C,$A121,RawData!AK:AK)</f>
        <v>0</v>
      </c>
      <c r="AH121">
        <f>SUMIF(RawData!$C:$C,$A121,RawData!AL:AL)</f>
        <v>0</v>
      </c>
      <c r="AI121">
        <f>SUMIF(RawData!$C:$C,$A121,RawData!AM:AM)</f>
        <v>0</v>
      </c>
      <c r="AJ121">
        <f>SUMIF(RawData!$C:$C,$A121,RawData!AN:AN)</f>
        <v>0</v>
      </c>
      <c r="AK121">
        <f>SUMIF(RawData!$C:$C,$A121,RawData!AO:AO)</f>
        <v>0</v>
      </c>
      <c r="AL121">
        <f>SUMIF(RawData!$C:$C,$A121,RawData!AP:AP)</f>
        <v>0</v>
      </c>
      <c r="AM121">
        <f>SUMIF(RawData!$C:$C,$A121,RawData!AQ:AQ)</f>
        <v>0</v>
      </c>
      <c r="AN121">
        <f>SUMIF(RawData!$C:$C,$A121,RawData!AR:AR)</f>
        <v>0</v>
      </c>
      <c r="AO121">
        <f>SUMIF(RawData!$C:$C,$A121,RawData!AS:AS)</f>
        <v>0</v>
      </c>
      <c r="AP121">
        <f>SUMIF(RawData!$C:$C,$A121,RawData!AT:AT)</f>
        <v>0</v>
      </c>
      <c r="AQ121">
        <f>SUMIF(RawData!$C:$C,$A121,RawData!AU:AU)</f>
        <v>0</v>
      </c>
      <c r="AR121">
        <f>SUMIF(RawData!$C:$C,$A121,RawData!AV:AV)</f>
        <v>0</v>
      </c>
      <c r="AS121">
        <f>SUMIF(RawData!$C:$C,$A121,RawData!AW:AW)</f>
        <v>0</v>
      </c>
      <c r="AT121">
        <f>SUMIF(RawData!$C:$C,$A121,RawData!AX:AX)</f>
        <v>0</v>
      </c>
      <c r="AU121">
        <f>SUMIF(RawData!$C:$C,$A121,RawData!AY:AY)</f>
        <v>0</v>
      </c>
      <c r="AV121">
        <f>SUMIF(RawData!$C:$C,$A121,RawData!AZ:AZ)</f>
        <v>0</v>
      </c>
      <c r="AW121">
        <f>SUMIF(RawData!$C:$C,$A121,RawData!BA:BA)</f>
        <v>0</v>
      </c>
      <c r="AX121">
        <f>SUMIF(RawData!$C:$C,$A121,RawData!BB:BB)</f>
        <v>0</v>
      </c>
      <c r="AY121">
        <f>SUMIF(RawData!$C:$C,$A121,RawData!BC:BC)</f>
        <v>0</v>
      </c>
      <c r="AZ121">
        <f>SUMIF(RawData!$C:$C,$A121,RawData!BD:BD)</f>
        <v>0</v>
      </c>
      <c r="BA121">
        <f>SUMIF(RawData!$C:$C,$A121,RawData!BE:BE)</f>
        <v>1</v>
      </c>
      <c r="BB121">
        <f>SUMIF(RawData!$C:$C,$A121,RawData!BF:BF)</f>
        <v>1</v>
      </c>
      <c r="BC121">
        <f>SUMIF(RawData!$C:$C,$A121,RawData!BG:BG)</f>
        <v>3</v>
      </c>
      <c r="BD121">
        <f>SUMIF(RawData!$C:$C,$A121,RawData!BH:BH)</f>
        <v>0</v>
      </c>
      <c r="BE121">
        <f>SUMIF(RawData!$C:$C,$A121,RawData!BI:BI)</f>
        <v>0</v>
      </c>
      <c r="BF121">
        <f>SUMIF(RawData!$C:$C,$A121,RawData!BJ:BJ)</f>
        <v>0</v>
      </c>
      <c r="BG121">
        <f>SUMIF(RawData!$C:$C,$A121,RawData!BK:BK)</f>
        <v>0</v>
      </c>
      <c r="BH121">
        <f>SUMIF(RawData!$C:$C,$A121,RawData!BL:BL)</f>
        <v>0</v>
      </c>
      <c r="BI121">
        <f>SUMIF(RawData!$C:$C,$A121,RawData!BM:BM)</f>
        <v>0</v>
      </c>
      <c r="BJ121">
        <f>SUMIF(RawData!$C:$C,$A121,RawData!BN:BN)</f>
        <v>0</v>
      </c>
      <c r="BK121">
        <f>SUMIF(RawData!$C:$C,$A121,RawData!BO:BO)</f>
        <v>0</v>
      </c>
      <c r="BL121">
        <f>SUMIF(RawData!$C:$C,$A121,RawData!BP:BP)</f>
        <v>0</v>
      </c>
      <c r="BM121">
        <f>SUMIF(RawData!$C:$C,$A121,RawData!BQ:BQ)</f>
        <v>0</v>
      </c>
      <c r="BN121">
        <f>SUMIF(RawData!$C:$C,$A121,RawData!BR:BR)</f>
        <v>0</v>
      </c>
      <c r="BO121">
        <f>SUMIF(RawData!$C:$C,$A121,RawData!BS:BS)</f>
        <v>0</v>
      </c>
      <c r="BP121">
        <f>SUMIF(RawData!$C:$C,$A121,RawData!BT:BT)</f>
        <v>0</v>
      </c>
      <c r="BQ121">
        <f>SUMIF(RawData!$C:$C,$A121,RawData!BU:BU)</f>
        <v>0</v>
      </c>
      <c r="BR121">
        <f>SUMIF(RawData!$C:$C,$A121,RawData!BV:BV)</f>
        <v>0</v>
      </c>
      <c r="BS121">
        <f>SUMIF(RawData!$C:$C,$A121,RawData!BW:BW)</f>
        <v>0</v>
      </c>
      <c r="BT121">
        <f>SUMIF(RawData!$C:$C,$A121,RawData!BX:BX)</f>
        <v>0</v>
      </c>
    </row>
    <row r="122" spans="1:72" ht="15" thickBot="1" x14ac:dyDescent="0.35">
      <c r="A122" s="5" t="s">
        <v>163</v>
      </c>
      <c r="B122">
        <f>SUMIF(RawData!$C:$C,$A122,RawData!F:F)</f>
        <v>0</v>
      </c>
      <c r="C122">
        <f>SUMIF(RawData!$C:$C,$A122,RawData!G:G)</f>
        <v>0</v>
      </c>
      <c r="D122">
        <f>SUMIF(RawData!$C:$C,$A122,RawData!H:H)</f>
        <v>0</v>
      </c>
      <c r="E122">
        <f>SUMIF(RawData!$C:$C,$A122,RawData!I:I)</f>
        <v>0</v>
      </c>
      <c r="F122">
        <f>SUMIF(RawData!$C:$C,$A122,RawData!J:J)</f>
        <v>0</v>
      </c>
      <c r="G122">
        <f>SUMIF(RawData!$C:$C,$A122,RawData!K:K)</f>
        <v>0</v>
      </c>
      <c r="H122">
        <f>SUMIF(RawData!$C:$C,$A122,RawData!L:L)</f>
        <v>0</v>
      </c>
      <c r="I122">
        <f>SUMIF(RawData!$C:$C,$A122,RawData!M:M)</f>
        <v>0</v>
      </c>
      <c r="J122">
        <f>SUMIF(RawData!$C:$C,$A122,RawData!N:N)</f>
        <v>0</v>
      </c>
      <c r="K122">
        <f>SUMIF(RawData!$C:$C,$A122,RawData!O:O)</f>
        <v>0</v>
      </c>
      <c r="L122">
        <f>SUMIF(RawData!$C:$C,$A122,RawData!P:P)</f>
        <v>0</v>
      </c>
      <c r="M122">
        <f>SUMIF(RawData!$C:$C,$A122,RawData!Q:Q)</f>
        <v>0</v>
      </c>
      <c r="N122">
        <f>SUMIF(RawData!$C:$C,$A122,RawData!R:R)</f>
        <v>0</v>
      </c>
      <c r="O122">
        <f>SUMIF(RawData!$C:$C,$A122,RawData!S:S)</f>
        <v>0</v>
      </c>
      <c r="P122">
        <f>SUMIF(RawData!$C:$C,$A122,RawData!T:T)</f>
        <v>0</v>
      </c>
      <c r="Q122">
        <f>SUMIF(RawData!$C:$C,$A122,RawData!U:U)</f>
        <v>0</v>
      </c>
      <c r="R122">
        <f>SUMIF(RawData!$C:$C,$A122,RawData!V:V)</f>
        <v>0</v>
      </c>
      <c r="S122">
        <f>SUMIF(RawData!$C:$C,$A122,RawData!W:W)</f>
        <v>0</v>
      </c>
      <c r="T122">
        <f>SUMIF(RawData!$C:$C,$A122,RawData!X:X)</f>
        <v>0</v>
      </c>
      <c r="U122">
        <f>SUMIF(RawData!$C:$C,$A122,RawData!Y:Y)</f>
        <v>0</v>
      </c>
      <c r="V122">
        <f>SUMIF(RawData!$C:$C,$A122,RawData!Z:Z)</f>
        <v>0</v>
      </c>
      <c r="W122">
        <f>SUMIF(RawData!$C:$C,$A122,RawData!AA:AA)</f>
        <v>0</v>
      </c>
      <c r="X122">
        <f>SUMIF(RawData!$C:$C,$A122,RawData!AB:AB)</f>
        <v>0</v>
      </c>
      <c r="Y122">
        <f>SUMIF(RawData!$C:$C,$A122,RawData!AC:AC)</f>
        <v>0</v>
      </c>
      <c r="Z122">
        <f>SUMIF(RawData!$C:$C,$A122,RawData!AD:AD)</f>
        <v>0</v>
      </c>
      <c r="AA122">
        <f>SUMIF(RawData!$C:$C,$A122,RawData!AE:AE)</f>
        <v>0</v>
      </c>
      <c r="AB122">
        <f>SUMIF(RawData!$C:$C,$A122,RawData!AF:AF)</f>
        <v>0</v>
      </c>
      <c r="AC122">
        <f>SUMIF(RawData!$C:$C,$A122,RawData!AG:AG)</f>
        <v>0</v>
      </c>
      <c r="AD122">
        <f>SUMIF(RawData!$C:$C,$A122,RawData!AH:AH)</f>
        <v>0</v>
      </c>
      <c r="AE122">
        <f>SUMIF(RawData!$C:$C,$A122,RawData!AI:AI)</f>
        <v>0</v>
      </c>
      <c r="AF122">
        <f>SUMIF(RawData!$C:$C,$A122,RawData!AJ:AJ)</f>
        <v>0</v>
      </c>
      <c r="AG122">
        <f>SUMIF(RawData!$C:$C,$A122,RawData!AK:AK)</f>
        <v>0</v>
      </c>
      <c r="AH122">
        <f>SUMIF(RawData!$C:$C,$A122,RawData!AL:AL)</f>
        <v>0</v>
      </c>
      <c r="AI122">
        <f>SUMIF(RawData!$C:$C,$A122,RawData!AM:AM)</f>
        <v>0</v>
      </c>
      <c r="AJ122">
        <f>SUMIF(RawData!$C:$C,$A122,RawData!AN:AN)</f>
        <v>0</v>
      </c>
      <c r="AK122">
        <f>SUMIF(RawData!$C:$C,$A122,RawData!AO:AO)</f>
        <v>0</v>
      </c>
      <c r="AL122">
        <f>SUMIF(RawData!$C:$C,$A122,RawData!AP:AP)</f>
        <v>0</v>
      </c>
      <c r="AM122">
        <f>SUMIF(RawData!$C:$C,$A122,RawData!AQ:AQ)</f>
        <v>0</v>
      </c>
      <c r="AN122">
        <f>SUMIF(RawData!$C:$C,$A122,RawData!AR:AR)</f>
        <v>0</v>
      </c>
      <c r="AO122">
        <f>SUMIF(RawData!$C:$C,$A122,RawData!AS:AS)</f>
        <v>0</v>
      </c>
      <c r="AP122">
        <f>SUMIF(RawData!$C:$C,$A122,RawData!AT:AT)</f>
        <v>0</v>
      </c>
      <c r="AQ122">
        <f>SUMIF(RawData!$C:$C,$A122,RawData!AU:AU)</f>
        <v>0</v>
      </c>
      <c r="AR122">
        <f>SUMIF(RawData!$C:$C,$A122,RawData!AV:AV)</f>
        <v>1</v>
      </c>
      <c r="AS122">
        <f>SUMIF(RawData!$C:$C,$A122,RawData!AW:AW)</f>
        <v>1</v>
      </c>
      <c r="AT122">
        <f>SUMIF(RawData!$C:$C,$A122,RawData!AX:AX)</f>
        <v>1</v>
      </c>
      <c r="AU122">
        <f>SUMIF(RawData!$C:$C,$A122,RawData!AY:AY)</f>
        <v>1</v>
      </c>
      <c r="AV122">
        <f>SUMIF(RawData!$C:$C,$A122,RawData!AZ:AZ)</f>
        <v>1</v>
      </c>
      <c r="AW122">
        <f>SUMIF(RawData!$C:$C,$A122,RawData!BA:BA)</f>
        <v>1</v>
      </c>
      <c r="AX122">
        <f>SUMIF(RawData!$C:$C,$A122,RawData!BB:BB)</f>
        <v>1</v>
      </c>
      <c r="AY122">
        <f>SUMIF(RawData!$C:$C,$A122,RawData!BC:BC)</f>
        <v>1</v>
      </c>
      <c r="AZ122">
        <f>SUMIF(RawData!$C:$C,$A122,RawData!BD:BD)</f>
        <v>1</v>
      </c>
      <c r="BA122">
        <f>SUMIF(RawData!$C:$C,$A122,RawData!BE:BE)</f>
        <v>1</v>
      </c>
      <c r="BB122">
        <f>SUMIF(RawData!$C:$C,$A122,RawData!BF:BF)</f>
        <v>4</v>
      </c>
      <c r="BC122">
        <f>SUMIF(RawData!$C:$C,$A122,RawData!BG:BG)</f>
        <v>4</v>
      </c>
      <c r="BD122">
        <f>SUMIF(RawData!$C:$C,$A122,RawData!BH:BH)</f>
        <v>0</v>
      </c>
      <c r="BE122">
        <f>SUMIF(RawData!$C:$C,$A122,RawData!BI:BI)</f>
        <v>0</v>
      </c>
      <c r="BF122">
        <f>SUMIF(RawData!$C:$C,$A122,RawData!BJ:BJ)</f>
        <v>0</v>
      </c>
      <c r="BG122">
        <f>SUMIF(RawData!$C:$C,$A122,RawData!BK:BK)</f>
        <v>0</v>
      </c>
      <c r="BH122">
        <f>SUMIF(RawData!$C:$C,$A122,RawData!BL:BL)</f>
        <v>0</v>
      </c>
      <c r="BI122">
        <f>SUMIF(RawData!$C:$C,$A122,RawData!BM:BM)</f>
        <v>0</v>
      </c>
      <c r="BJ122">
        <f>SUMIF(RawData!$C:$C,$A122,RawData!BN:BN)</f>
        <v>0</v>
      </c>
      <c r="BK122">
        <f>SUMIF(RawData!$C:$C,$A122,RawData!BO:BO)</f>
        <v>0</v>
      </c>
      <c r="BL122">
        <f>SUMIF(RawData!$C:$C,$A122,RawData!BP:BP)</f>
        <v>0</v>
      </c>
      <c r="BM122">
        <f>SUMIF(RawData!$C:$C,$A122,RawData!BQ:BQ)</f>
        <v>0</v>
      </c>
      <c r="BN122">
        <f>SUMIF(RawData!$C:$C,$A122,RawData!BR:BR)</f>
        <v>0</v>
      </c>
      <c r="BO122">
        <f>SUMIF(RawData!$C:$C,$A122,RawData!BS:BS)</f>
        <v>0</v>
      </c>
      <c r="BP122">
        <f>SUMIF(RawData!$C:$C,$A122,RawData!BT:BT)</f>
        <v>0</v>
      </c>
      <c r="BQ122">
        <f>SUMIF(RawData!$C:$C,$A122,RawData!BU:BU)</f>
        <v>0</v>
      </c>
      <c r="BR122">
        <f>SUMIF(RawData!$C:$C,$A122,RawData!BV:BV)</f>
        <v>0</v>
      </c>
      <c r="BS122">
        <f>SUMIF(RawData!$C:$C,$A122,RawData!BW:BW)</f>
        <v>0</v>
      </c>
      <c r="BT122">
        <f>SUMIF(RawData!$C:$C,$A122,RawData!BX:BX)</f>
        <v>0</v>
      </c>
    </row>
    <row r="123" spans="1:72" ht="15" thickBot="1" x14ac:dyDescent="0.35">
      <c r="A123" s="5" t="s">
        <v>309</v>
      </c>
      <c r="B123">
        <f>SUMIF(RawData!$C:$C,$A123,RawData!F:F)</f>
        <v>0</v>
      </c>
      <c r="C123">
        <f>SUMIF(RawData!$C:$C,$A123,RawData!G:G)</f>
        <v>0</v>
      </c>
      <c r="D123">
        <f>SUMIF(RawData!$C:$C,$A123,RawData!H:H)</f>
        <v>0</v>
      </c>
      <c r="E123">
        <f>SUMIF(RawData!$C:$C,$A123,RawData!I:I)</f>
        <v>0</v>
      </c>
      <c r="F123">
        <f>SUMIF(RawData!$C:$C,$A123,RawData!J:J)</f>
        <v>0</v>
      </c>
      <c r="G123">
        <f>SUMIF(RawData!$C:$C,$A123,RawData!K:K)</f>
        <v>0</v>
      </c>
      <c r="H123">
        <f>SUMIF(RawData!$C:$C,$A123,RawData!L:L)</f>
        <v>0</v>
      </c>
      <c r="I123">
        <f>SUMIF(RawData!$C:$C,$A123,RawData!M:M)</f>
        <v>0</v>
      </c>
      <c r="J123">
        <f>SUMIF(RawData!$C:$C,$A123,RawData!N:N)</f>
        <v>0</v>
      </c>
      <c r="K123">
        <f>SUMIF(RawData!$C:$C,$A123,RawData!O:O)</f>
        <v>0</v>
      </c>
      <c r="L123">
        <f>SUMIF(RawData!$C:$C,$A123,RawData!P:P)</f>
        <v>0</v>
      </c>
      <c r="M123">
        <f>SUMIF(RawData!$C:$C,$A123,RawData!Q:Q)</f>
        <v>0</v>
      </c>
      <c r="N123">
        <f>SUMIF(RawData!$C:$C,$A123,RawData!R:R)</f>
        <v>0</v>
      </c>
      <c r="O123">
        <f>SUMIF(RawData!$C:$C,$A123,RawData!S:S)</f>
        <v>0</v>
      </c>
      <c r="P123">
        <f>SUMIF(RawData!$C:$C,$A123,RawData!T:T)</f>
        <v>0</v>
      </c>
      <c r="Q123">
        <f>SUMIF(RawData!$C:$C,$A123,RawData!U:U)</f>
        <v>0</v>
      </c>
      <c r="R123">
        <f>SUMIF(RawData!$C:$C,$A123,RawData!V:V)</f>
        <v>0</v>
      </c>
      <c r="S123">
        <f>SUMIF(RawData!$C:$C,$A123,RawData!W:W)</f>
        <v>0</v>
      </c>
      <c r="T123">
        <f>SUMIF(RawData!$C:$C,$A123,RawData!X:X)</f>
        <v>0</v>
      </c>
      <c r="U123">
        <f>SUMIF(RawData!$C:$C,$A123,RawData!Y:Y)</f>
        <v>0</v>
      </c>
      <c r="V123">
        <f>SUMIF(RawData!$C:$C,$A123,RawData!Z:Z)</f>
        <v>0</v>
      </c>
      <c r="W123">
        <f>SUMIF(RawData!$C:$C,$A123,RawData!AA:AA)</f>
        <v>0</v>
      </c>
      <c r="X123">
        <f>SUMIF(RawData!$C:$C,$A123,RawData!AB:AB)</f>
        <v>0</v>
      </c>
      <c r="Y123">
        <f>SUMIF(RawData!$C:$C,$A123,RawData!AC:AC)</f>
        <v>0</v>
      </c>
      <c r="Z123">
        <f>SUMIF(RawData!$C:$C,$A123,RawData!AD:AD)</f>
        <v>0</v>
      </c>
      <c r="AA123">
        <f>SUMIF(RawData!$C:$C,$A123,RawData!AE:AE)</f>
        <v>0</v>
      </c>
      <c r="AB123">
        <f>SUMIF(RawData!$C:$C,$A123,RawData!AF:AF)</f>
        <v>0</v>
      </c>
      <c r="AC123">
        <f>SUMIF(RawData!$C:$C,$A123,RawData!AG:AG)</f>
        <v>0</v>
      </c>
      <c r="AD123">
        <f>SUMIF(RawData!$C:$C,$A123,RawData!AH:AH)</f>
        <v>0</v>
      </c>
      <c r="AE123">
        <f>SUMIF(RawData!$C:$C,$A123,RawData!AI:AI)</f>
        <v>0</v>
      </c>
      <c r="AF123">
        <f>SUMIF(RawData!$C:$C,$A123,RawData!AJ:AJ)</f>
        <v>0</v>
      </c>
      <c r="AG123">
        <f>SUMIF(RawData!$C:$C,$A123,RawData!AK:AK)</f>
        <v>0</v>
      </c>
      <c r="AH123">
        <f>SUMIF(RawData!$C:$C,$A123,RawData!AL:AL)</f>
        <v>0</v>
      </c>
      <c r="AI123">
        <f>SUMIF(RawData!$C:$C,$A123,RawData!AM:AM)</f>
        <v>0</v>
      </c>
      <c r="AJ123">
        <f>SUMIF(RawData!$C:$C,$A123,RawData!AN:AN)</f>
        <v>0</v>
      </c>
      <c r="AK123">
        <f>SUMIF(RawData!$C:$C,$A123,RawData!AO:AO)</f>
        <v>0</v>
      </c>
      <c r="AL123">
        <f>SUMIF(RawData!$C:$C,$A123,RawData!AP:AP)</f>
        <v>0</v>
      </c>
      <c r="AM123">
        <f>SUMIF(RawData!$C:$C,$A123,RawData!AQ:AQ)</f>
        <v>0</v>
      </c>
      <c r="AN123">
        <f>SUMIF(RawData!$C:$C,$A123,RawData!AR:AR)</f>
        <v>0</v>
      </c>
      <c r="AO123">
        <f>SUMIF(RawData!$C:$C,$A123,RawData!AS:AS)</f>
        <v>0</v>
      </c>
      <c r="AP123">
        <f>SUMIF(RawData!$C:$C,$A123,RawData!AT:AT)</f>
        <v>0</v>
      </c>
      <c r="AQ123">
        <f>SUMIF(RawData!$C:$C,$A123,RawData!AU:AU)</f>
        <v>0</v>
      </c>
      <c r="AR123">
        <f>SUMIF(RawData!$C:$C,$A123,RawData!AV:AV)</f>
        <v>0</v>
      </c>
      <c r="AS123">
        <f>SUMIF(RawData!$C:$C,$A123,RawData!AW:AW)</f>
        <v>0</v>
      </c>
      <c r="AT123">
        <f>SUMIF(RawData!$C:$C,$A123,RawData!AX:AX)</f>
        <v>0</v>
      </c>
      <c r="AU123">
        <f>SUMIF(RawData!$C:$C,$A123,RawData!AY:AY)</f>
        <v>0</v>
      </c>
      <c r="AV123">
        <f>SUMIF(RawData!$C:$C,$A123,RawData!AZ:AZ)</f>
        <v>0</v>
      </c>
      <c r="AW123">
        <f>SUMIF(RawData!$C:$C,$A123,RawData!BA:BA)</f>
        <v>0</v>
      </c>
      <c r="AX123">
        <f>SUMIF(RawData!$C:$C,$A123,RawData!BB:BB)</f>
        <v>1</v>
      </c>
      <c r="AY123">
        <f>SUMIF(RawData!$C:$C,$A123,RawData!BC:BC)</f>
        <v>1</v>
      </c>
      <c r="AZ123">
        <f>SUMIF(RawData!$C:$C,$A123,RawData!BD:BD)</f>
        <v>1</v>
      </c>
      <c r="BA123">
        <f>SUMIF(RawData!$C:$C,$A123,RawData!BE:BE)</f>
        <v>1</v>
      </c>
      <c r="BB123">
        <f>SUMIF(RawData!$C:$C,$A123,RawData!BF:BF)</f>
        <v>1</v>
      </c>
      <c r="BC123">
        <f>SUMIF(RawData!$C:$C,$A123,RawData!BG:BG)</f>
        <v>1</v>
      </c>
      <c r="BD123">
        <f>SUMIF(RawData!$C:$C,$A123,RawData!BH:BH)</f>
        <v>0</v>
      </c>
      <c r="BE123">
        <f>SUMIF(RawData!$C:$C,$A123,RawData!BI:BI)</f>
        <v>0</v>
      </c>
      <c r="BF123">
        <f>SUMIF(RawData!$C:$C,$A123,RawData!BJ:BJ)</f>
        <v>0</v>
      </c>
      <c r="BG123">
        <f>SUMIF(RawData!$C:$C,$A123,RawData!BK:BK)</f>
        <v>0</v>
      </c>
      <c r="BH123">
        <f>SUMIF(RawData!$C:$C,$A123,RawData!BL:BL)</f>
        <v>0</v>
      </c>
      <c r="BI123">
        <f>SUMIF(RawData!$C:$C,$A123,RawData!BM:BM)</f>
        <v>0</v>
      </c>
      <c r="BJ123">
        <f>SUMIF(RawData!$C:$C,$A123,RawData!BN:BN)</f>
        <v>0</v>
      </c>
      <c r="BK123">
        <f>SUMIF(RawData!$C:$C,$A123,RawData!BO:BO)</f>
        <v>0</v>
      </c>
      <c r="BL123">
        <f>SUMIF(RawData!$C:$C,$A123,RawData!BP:BP)</f>
        <v>0</v>
      </c>
      <c r="BM123">
        <f>SUMIF(RawData!$C:$C,$A123,RawData!BQ:BQ)</f>
        <v>0</v>
      </c>
      <c r="BN123">
        <f>SUMIF(RawData!$C:$C,$A123,RawData!BR:BR)</f>
        <v>0</v>
      </c>
      <c r="BO123">
        <f>SUMIF(RawData!$C:$C,$A123,RawData!BS:BS)</f>
        <v>0</v>
      </c>
      <c r="BP123">
        <f>SUMIF(RawData!$C:$C,$A123,RawData!BT:BT)</f>
        <v>0</v>
      </c>
      <c r="BQ123">
        <f>SUMIF(RawData!$C:$C,$A123,RawData!BU:BU)</f>
        <v>0</v>
      </c>
      <c r="BR123">
        <f>SUMIF(RawData!$C:$C,$A123,RawData!BV:BV)</f>
        <v>0</v>
      </c>
      <c r="BS123">
        <f>SUMIF(RawData!$C:$C,$A123,RawData!BW:BW)</f>
        <v>0</v>
      </c>
      <c r="BT123">
        <f>SUMIF(RawData!$C:$C,$A123,RawData!BX:BX)</f>
        <v>0</v>
      </c>
    </row>
    <row r="124" spans="1:72" ht="15" thickBot="1" x14ac:dyDescent="0.35">
      <c r="A124" s="5" t="s">
        <v>69</v>
      </c>
      <c r="B124">
        <f>SUMIF(RawData!$C:$C,$A124,RawData!F:F)</f>
        <v>0</v>
      </c>
      <c r="C124">
        <f>SUMIF(RawData!$C:$C,$A124,RawData!G:G)</f>
        <v>0</v>
      </c>
      <c r="D124">
        <f>SUMIF(RawData!$C:$C,$A124,RawData!H:H)</f>
        <v>0</v>
      </c>
      <c r="E124">
        <f>SUMIF(RawData!$C:$C,$A124,RawData!I:I)</f>
        <v>1</v>
      </c>
      <c r="F124">
        <f>SUMIF(RawData!$C:$C,$A124,RawData!J:J)</f>
        <v>1</v>
      </c>
      <c r="G124">
        <f>SUMIF(RawData!$C:$C,$A124,RawData!K:K)</f>
        <v>1</v>
      </c>
      <c r="H124">
        <f>SUMIF(RawData!$C:$C,$A124,RawData!L:L)</f>
        <v>1</v>
      </c>
      <c r="I124">
        <f>SUMIF(RawData!$C:$C,$A124,RawData!M:M)</f>
        <v>1</v>
      </c>
      <c r="J124">
        <f>SUMIF(RawData!$C:$C,$A124,RawData!N:N)</f>
        <v>1</v>
      </c>
      <c r="K124">
        <f>SUMIF(RawData!$C:$C,$A124,RawData!O:O)</f>
        <v>1</v>
      </c>
      <c r="L124">
        <f>SUMIF(RawData!$C:$C,$A124,RawData!P:P)</f>
        <v>1</v>
      </c>
      <c r="M124">
        <f>SUMIF(RawData!$C:$C,$A124,RawData!Q:Q)</f>
        <v>1</v>
      </c>
      <c r="N124">
        <f>SUMIF(RawData!$C:$C,$A124,RawData!R:R)</f>
        <v>1</v>
      </c>
      <c r="O124">
        <f>SUMIF(RawData!$C:$C,$A124,RawData!S:S)</f>
        <v>1</v>
      </c>
      <c r="P124">
        <f>SUMIF(RawData!$C:$C,$A124,RawData!T:T)</f>
        <v>1</v>
      </c>
      <c r="Q124">
        <f>SUMIF(RawData!$C:$C,$A124,RawData!U:U)</f>
        <v>1</v>
      </c>
      <c r="R124">
        <f>SUMIF(RawData!$C:$C,$A124,RawData!V:V)</f>
        <v>1</v>
      </c>
      <c r="S124">
        <f>SUMIF(RawData!$C:$C,$A124,RawData!W:W)</f>
        <v>1</v>
      </c>
      <c r="T124">
        <f>SUMIF(RawData!$C:$C,$A124,RawData!X:X)</f>
        <v>1</v>
      </c>
      <c r="U124">
        <f>SUMIF(RawData!$C:$C,$A124,RawData!Y:Y)</f>
        <v>1</v>
      </c>
      <c r="V124">
        <f>SUMIF(RawData!$C:$C,$A124,RawData!Z:Z)</f>
        <v>1</v>
      </c>
      <c r="W124">
        <f>SUMIF(RawData!$C:$C,$A124,RawData!AA:AA)</f>
        <v>1</v>
      </c>
      <c r="X124">
        <f>SUMIF(RawData!$C:$C,$A124,RawData!AB:AB)</f>
        <v>1</v>
      </c>
      <c r="Y124">
        <f>SUMIF(RawData!$C:$C,$A124,RawData!AC:AC)</f>
        <v>1</v>
      </c>
      <c r="Z124">
        <f>SUMIF(RawData!$C:$C,$A124,RawData!AD:AD)</f>
        <v>1</v>
      </c>
      <c r="AA124">
        <f>SUMIF(RawData!$C:$C,$A124,RawData!AE:AE)</f>
        <v>1</v>
      </c>
      <c r="AB124">
        <f>SUMIF(RawData!$C:$C,$A124,RawData!AF:AF)</f>
        <v>1</v>
      </c>
      <c r="AC124">
        <f>SUMIF(RawData!$C:$C,$A124,RawData!AG:AG)</f>
        <v>1</v>
      </c>
      <c r="AD124">
        <f>SUMIF(RawData!$C:$C,$A124,RawData!AH:AH)</f>
        <v>1</v>
      </c>
      <c r="AE124">
        <f>SUMIF(RawData!$C:$C,$A124,RawData!AI:AI)</f>
        <v>1</v>
      </c>
      <c r="AF124">
        <f>SUMIF(RawData!$C:$C,$A124,RawData!AJ:AJ)</f>
        <v>1</v>
      </c>
      <c r="AG124">
        <f>SUMIF(RawData!$C:$C,$A124,RawData!AK:AK)</f>
        <v>1</v>
      </c>
      <c r="AH124">
        <f>SUMIF(RawData!$C:$C,$A124,RawData!AL:AL)</f>
        <v>1</v>
      </c>
      <c r="AI124">
        <f>SUMIF(RawData!$C:$C,$A124,RawData!AM:AM)</f>
        <v>1</v>
      </c>
      <c r="AJ124">
        <f>SUMIF(RawData!$C:$C,$A124,RawData!AN:AN)</f>
        <v>1</v>
      </c>
      <c r="AK124">
        <f>SUMIF(RawData!$C:$C,$A124,RawData!AO:AO)</f>
        <v>1</v>
      </c>
      <c r="AL124">
        <f>SUMIF(RawData!$C:$C,$A124,RawData!AP:AP)</f>
        <v>1</v>
      </c>
      <c r="AM124">
        <f>SUMIF(RawData!$C:$C,$A124,RawData!AQ:AQ)</f>
        <v>1</v>
      </c>
      <c r="AN124">
        <f>SUMIF(RawData!$C:$C,$A124,RawData!AR:AR)</f>
        <v>1</v>
      </c>
      <c r="AO124">
        <f>SUMIF(RawData!$C:$C,$A124,RawData!AS:AS)</f>
        <v>1</v>
      </c>
      <c r="AP124">
        <f>SUMIF(RawData!$C:$C,$A124,RawData!AT:AT)</f>
        <v>1</v>
      </c>
      <c r="AQ124">
        <f>SUMIF(RawData!$C:$C,$A124,RawData!AU:AU)</f>
        <v>1</v>
      </c>
      <c r="AR124">
        <f>SUMIF(RawData!$C:$C,$A124,RawData!AV:AV)</f>
        <v>1</v>
      </c>
      <c r="AS124">
        <f>SUMIF(RawData!$C:$C,$A124,RawData!AW:AW)</f>
        <v>1</v>
      </c>
      <c r="AT124">
        <f>SUMIF(RawData!$C:$C,$A124,RawData!AX:AX)</f>
        <v>1</v>
      </c>
      <c r="AU124">
        <f>SUMIF(RawData!$C:$C,$A124,RawData!AY:AY)</f>
        <v>1</v>
      </c>
      <c r="AV124">
        <f>SUMIF(RawData!$C:$C,$A124,RawData!AZ:AZ)</f>
        <v>1</v>
      </c>
      <c r="AW124">
        <f>SUMIF(RawData!$C:$C,$A124,RawData!BA:BA)</f>
        <v>1</v>
      </c>
      <c r="AX124">
        <f>SUMIF(RawData!$C:$C,$A124,RawData!BB:BB)</f>
        <v>1</v>
      </c>
      <c r="AY124">
        <f>SUMIF(RawData!$C:$C,$A124,RawData!BC:BC)</f>
        <v>1</v>
      </c>
      <c r="AZ124">
        <f>SUMIF(RawData!$C:$C,$A124,RawData!BD:BD)</f>
        <v>1</v>
      </c>
      <c r="BA124">
        <f>SUMIF(RawData!$C:$C,$A124,RawData!BE:BE)</f>
        <v>1</v>
      </c>
      <c r="BB124">
        <f>SUMIF(RawData!$C:$C,$A124,RawData!BF:BF)</f>
        <v>1</v>
      </c>
      <c r="BC124">
        <f>SUMIF(RawData!$C:$C,$A124,RawData!BG:BG)</f>
        <v>1</v>
      </c>
      <c r="BD124">
        <f>SUMIF(RawData!$C:$C,$A124,RawData!BH:BH)</f>
        <v>0</v>
      </c>
      <c r="BE124">
        <f>SUMIF(RawData!$C:$C,$A124,RawData!BI:BI)</f>
        <v>0</v>
      </c>
      <c r="BF124">
        <f>SUMIF(RawData!$C:$C,$A124,RawData!BJ:BJ)</f>
        <v>0</v>
      </c>
      <c r="BG124">
        <f>SUMIF(RawData!$C:$C,$A124,RawData!BK:BK)</f>
        <v>0</v>
      </c>
      <c r="BH124">
        <f>SUMIF(RawData!$C:$C,$A124,RawData!BL:BL)</f>
        <v>0</v>
      </c>
      <c r="BI124">
        <f>SUMIF(RawData!$C:$C,$A124,RawData!BM:BM)</f>
        <v>0</v>
      </c>
      <c r="BJ124">
        <f>SUMIF(RawData!$C:$C,$A124,RawData!BN:BN)</f>
        <v>0</v>
      </c>
      <c r="BK124">
        <f>SUMIF(RawData!$C:$C,$A124,RawData!BO:BO)</f>
        <v>0</v>
      </c>
      <c r="BL124">
        <f>SUMIF(RawData!$C:$C,$A124,RawData!BP:BP)</f>
        <v>0</v>
      </c>
      <c r="BM124">
        <f>SUMIF(RawData!$C:$C,$A124,RawData!BQ:BQ)</f>
        <v>0</v>
      </c>
      <c r="BN124">
        <f>SUMIF(RawData!$C:$C,$A124,RawData!BR:BR)</f>
        <v>0</v>
      </c>
      <c r="BO124">
        <f>SUMIF(RawData!$C:$C,$A124,RawData!BS:BS)</f>
        <v>0</v>
      </c>
      <c r="BP124">
        <f>SUMIF(RawData!$C:$C,$A124,RawData!BT:BT)</f>
        <v>0</v>
      </c>
      <c r="BQ124">
        <f>SUMIF(RawData!$C:$C,$A124,RawData!BU:BU)</f>
        <v>0</v>
      </c>
      <c r="BR124">
        <f>SUMIF(RawData!$C:$C,$A124,RawData!BV:BV)</f>
        <v>0</v>
      </c>
      <c r="BS124">
        <f>SUMIF(RawData!$C:$C,$A124,RawData!BW:BW)</f>
        <v>0</v>
      </c>
      <c r="BT124">
        <f>SUMIF(RawData!$C:$C,$A124,RawData!BX:BX)</f>
        <v>0</v>
      </c>
    </row>
    <row r="125" spans="1:72" ht="15" thickBot="1" x14ac:dyDescent="0.35">
      <c r="A125" s="4" t="s">
        <v>448</v>
      </c>
      <c r="B125">
        <f>SUMIF(RawData!$C:$C,$A125,RawData!F:F)</f>
        <v>0</v>
      </c>
      <c r="C125">
        <f>SUMIF(RawData!$C:$C,$A125,RawData!G:G)</f>
        <v>0</v>
      </c>
      <c r="D125">
        <f>SUMIF(RawData!$C:$C,$A125,RawData!H:H)</f>
        <v>0</v>
      </c>
      <c r="E125">
        <f>SUMIF(RawData!$C:$C,$A125,RawData!I:I)</f>
        <v>0</v>
      </c>
      <c r="F125">
        <f>SUMIF(RawData!$C:$C,$A125,RawData!J:J)</f>
        <v>0</v>
      </c>
      <c r="G125">
        <f>SUMIF(RawData!$C:$C,$A125,RawData!K:K)</f>
        <v>0</v>
      </c>
      <c r="H125">
        <f>SUMIF(RawData!$C:$C,$A125,RawData!L:L)</f>
        <v>0</v>
      </c>
      <c r="I125">
        <f>SUMIF(RawData!$C:$C,$A125,RawData!M:M)</f>
        <v>0</v>
      </c>
      <c r="J125">
        <f>SUMIF(RawData!$C:$C,$A125,RawData!N:N)</f>
        <v>0</v>
      </c>
      <c r="K125">
        <f>SUMIF(RawData!$C:$C,$A125,RawData!O:O)</f>
        <v>0</v>
      </c>
      <c r="L125">
        <f>SUMIF(RawData!$C:$C,$A125,RawData!P:P)</f>
        <v>0</v>
      </c>
      <c r="M125">
        <f>SUMIF(RawData!$C:$C,$A125,RawData!Q:Q)</f>
        <v>0</v>
      </c>
      <c r="N125">
        <f>SUMIF(RawData!$C:$C,$A125,RawData!R:R)</f>
        <v>0</v>
      </c>
      <c r="O125">
        <f>SUMIF(RawData!$C:$C,$A125,RawData!S:S)</f>
        <v>0</v>
      </c>
      <c r="P125">
        <f>SUMIF(RawData!$C:$C,$A125,RawData!T:T)</f>
        <v>0</v>
      </c>
      <c r="Q125">
        <f>SUMIF(RawData!$C:$C,$A125,RawData!U:U)</f>
        <v>0</v>
      </c>
      <c r="R125">
        <f>SUMIF(RawData!$C:$C,$A125,RawData!V:V)</f>
        <v>0</v>
      </c>
      <c r="S125">
        <f>SUMIF(RawData!$C:$C,$A125,RawData!W:W)</f>
        <v>0</v>
      </c>
      <c r="T125">
        <f>SUMIF(RawData!$C:$C,$A125,RawData!X:X)</f>
        <v>0</v>
      </c>
      <c r="U125">
        <f>SUMIF(RawData!$C:$C,$A125,RawData!Y:Y)</f>
        <v>0</v>
      </c>
      <c r="V125">
        <f>SUMIF(RawData!$C:$C,$A125,RawData!Z:Z)</f>
        <v>0</v>
      </c>
      <c r="W125">
        <f>SUMIF(RawData!$C:$C,$A125,RawData!AA:AA)</f>
        <v>0</v>
      </c>
      <c r="X125">
        <f>SUMIF(RawData!$C:$C,$A125,RawData!AB:AB)</f>
        <v>0</v>
      </c>
      <c r="Y125">
        <f>SUMIF(RawData!$C:$C,$A125,RawData!AC:AC)</f>
        <v>0</v>
      </c>
      <c r="Z125">
        <f>SUMIF(RawData!$C:$C,$A125,RawData!AD:AD)</f>
        <v>0</v>
      </c>
      <c r="AA125">
        <f>SUMIF(RawData!$C:$C,$A125,RawData!AE:AE)</f>
        <v>0</v>
      </c>
      <c r="AB125">
        <f>SUMIF(RawData!$C:$C,$A125,RawData!AF:AF)</f>
        <v>0</v>
      </c>
      <c r="AC125">
        <f>SUMIF(RawData!$C:$C,$A125,RawData!AG:AG)</f>
        <v>0</v>
      </c>
      <c r="AD125">
        <f>SUMIF(RawData!$C:$C,$A125,RawData!AH:AH)</f>
        <v>0</v>
      </c>
      <c r="AE125">
        <f>SUMIF(RawData!$C:$C,$A125,RawData!AI:AI)</f>
        <v>0</v>
      </c>
      <c r="AF125">
        <f>SUMIF(RawData!$C:$C,$A125,RawData!AJ:AJ)</f>
        <v>0</v>
      </c>
      <c r="AG125">
        <f>SUMIF(RawData!$C:$C,$A125,RawData!AK:AK)</f>
        <v>0</v>
      </c>
      <c r="AH125">
        <f>SUMIF(RawData!$C:$C,$A125,RawData!AL:AL)</f>
        <v>0</v>
      </c>
      <c r="AI125">
        <f>SUMIF(RawData!$C:$C,$A125,RawData!AM:AM)</f>
        <v>0</v>
      </c>
      <c r="AJ125">
        <f>SUMIF(RawData!$C:$C,$A125,RawData!AN:AN)</f>
        <v>0</v>
      </c>
      <c r="AK125">
        <f>SUMIF(RawData!$C:$C,$A125,RawData!AO:AO)</f>
        <v>0</v>
      </c>
      <c r="AL125">
        <f>SUMIF(RawData!$C:$C,$A125,RawData!AP:AP)</f>
        <v>0</v>
      </c>
      <c r="AM125">
        <f>SUMIF(RawData!$C:$C,$A125,RawData!AQ:AQ)</f>
        <v>0</v>
      </c>
      <c r="AN125">
        <f>SUMIF(RawData!$C:$C,$A125,RawData!AR:AR)</f>
        <v>0</v>
      </c>
      <c r="AO125">
        <f>SUMIF(RawData!$C:$C,$A125,RawData!AS:AS)</f>
        <v>0</v>
      </c>
      <c r="AP125">
        <f>SUMIF(RawData!$C:$C,$A125,RawData!AT:AT)</f>
        <v>0</v>
      </c>
      <c r="AQ125">
        <f>SUMIF(RawData!$C:$C,$A125,RawData!AU:AU)</f>
        <v>0</v>
      </c>
      <c r="AR125">
        <f>SUMIF(RawData!$C:$C,$A125,RawData!AV:AV)</f>
        <v>0</v>
      </c>
      <c r="AS125">
        <f>SUMIF(RawData!$C:$C,$A125,RawData!AW:AW)</f>
        <v>0</v>
      </c>
      <c r="AT125">
        <f>SUMIF(RawData!$C:$C,$A125,RawData!AX:AX)</f>
        <v>0</v>
      </c>
      <c r="AU125">
        <f>SUMIF(RawData!$C:$C,$A125,RawData!AY:AY)</f>
        <v>0</v>
      </c>
      <c r="AV125">
        <f>SUMIF(RawData!$C:$C,$A125,RawData!AZ:AZ)</f>
        <v>0</v>
      </c>
      <c r="AW125">
        <f>SUMIF(RawData!$C:$C,$A125,RawData!BA:BA)</f>
        <v>0</v>
      </c>
      <c r="AX125">
        <f>SUMIF(RawData!$C:$C,$A125,RawData!BB:BB)</f>
        <v>0</v>
      </c>
      <c r="AY125">
        <f>SUMIF(RawData!$C:$C,$A125,RawData!BC:BC)</f>
        <v>0</v>
      </c>
      <c r="AZ125">
        <f>SUMIF(RawData!$C:$C,$A125,RawData!BD:BD)</f>
        <v>0</v>
      </c>
      <c r="BA125">
        <f>SUMIF(RawData!$C:$C,$A125,RawData!BE:BE)</f>
        <v>1</v>
      </c>
      <c r="BB125">
        <f>SUMIF(RawData!$C:$C,$A125,RawData!BF:BF)</f>
        <v>1</v>
      </c>
      <c r="BC125">
        <f>SUMIF(RawData!$C:$C,$A125,RawData!BG:BG)</f>
        <v>1</v>
      </c>
      <c r="BD125">
        <f>SUMIF(RawData!$C:$C,$A125,RawData!BH:BH)</f>
        <v>0</v>
      </c>
      <c r="BE125">
        <f>SUMIF(RawData!$C:$C,$A125,RawData!BI:BI)</f>
        <v>0</v>
      </c>
      <c r="BF125">
        <f>SUMIF(RawData!$C:$C,$A125,RawData!BJ:BJ)</f>
        <v>0</v>
      </c>
      <c r="BG125">
        <f>SUMIF(RawData!$C:$C,$A125,RawData!BK:BK)</f>
        <v>0</v>
      </c>
      <c r="BH125">
        <f>SUMIF(RawData!$C:$C,$A125,RawData!BL:BL)</f>
        <v>0</v>
      </c>
      <c r="BI125">
        <f>SUMIF(RawData!$C:$C,$A125,RawData!BM:BM)</f>
        <v>0</v>
      </c>
      <c r="BJ125">
        <f>SUMIF(RawData!$C:$C,$A125,RawData!BN:BN)</f>
        <v>0</v>
      </c>
      <c r="BK125">
        <f>SUMIF(RawData!$C:$C,$A125,RawData!BO:BO)</f>
        <v>0</v>
      </c>
      <c r="BL125">
        <f>SUMIF(RawData!$C:$C,$A125,RawData!BP:BP)</f>
        <v>0</v>
      </c>
      <c r="BM125">
        <f>SUMIF(RawData!$C:$C,$A125,RawData!BQ:BQ)</f>
        <v>0</v>
      </c>
      <c r="BN125">
        <f>SUMIF(RawData!$C:$C,$A125,RawData!BR:BR)</f>
        <v>0</v>
      </c>
      <c r="BO125">
        <f>SUMIF(RawData!$C:$C,$A125,RawData!BS:BS)</f>
        <v>0</v>
      </c>
      <c r="BP125">
        <f>SUMIF(RawData!$C:$C,$A125,RawData!BT:BT)</f>
        <v>0</v>
      </c>
      <c r="BQ125">
        <f>SUMIF(RawData!$C:$C,$A125,RawData!BU:BU)</f>
        <v>0</v>
      </c>
      <c r="BR125">
        <f>SUMIF(RawData!$C:$C,$A125,RawData!BV:BV)</f>
        <v>0</v>
      </c>
      <c r="BS125">
        <f>SUMIF(RawData!$C:$C,$A125,RawData!BW:BW)</f>
        <v>0</v>
      </c>
      <c r="BT125">
        <f>SUMIF(RawData!$C:$C,$A125,RawData!BX:BX)</f>
        <v>0</v>
      </c>
    </row>
    <row r="126" spans="1:72" ht="15" thickBot="1" x14ac:dyDescent="0.35">
      <c r="A126" s="4" t="s">
        <v>190</v>
      </c>
      <c r="B126">
        <f>SUMIF(RawData!$C:$C,$A126,RawData!F:F)</f>
        <v>0</v>
      </c>
      <c r="C126">
        <f>SUMIF(RawData!$C:$C,$A126,RawData!G:G)</f>
        <v>0</v>
      </c>
      <c r="D126">
        <f>SUMIF(RawData!$C:$C,$A126,RawData!H:H)</f>
        <v>0</v>
      </c>
      <c r="E126">
        <f>SUMIF(RawData!$C:$C,$A126,RawData!I:I)</f>
        <v>0</v>
      </c>
      <c r="F126">
        <f>SUMIF(RawData!$C:$C,$A126,RawData!J:J)</f>
        <v>0</v>
      </c>
      <c r="G126">
        <f>SUMIF(RawData!$C:$C,$A126,RawData!K:K)</f>
        <v>0</v>
      </c>
      <c r="H126">
        <f>SUMIF(RawData!$C:$C,$A126,RawData!L:L)</f>
        <v>0</v>
      </c>
      <c r="I126">
        <f>SUMIF(RawData!$C:$C,$A126,RawData!M:M)</f>
        <v>0</v>
      </c>
      <c r="J126">
        <f>SUMIF(RawData!$C:$C,$A126,RawData!N:N)</f>
        <v>0</v>
      </c>
      <c r="K126">
        <f>SUMIF(RawData!$C:$C,$A126,RawData!O:O)</f>
        <v>0</v>
      </c>
      <c r="L126">
        <f>SUMIF(RawData!$C:$C,$A126,RawData!P:P)</f>
        <v>0</v>
      </c>
      <c r="M126">
        <f>SUMIF(RawData!$C:$C,$A126,RawData!Q:Q)</f>
        <v>0</v>
      </c>
      <c r="N126">
        <f>SUMIF(RawData!$C:$C,$A126,RawData!R:R)</f>
        <v>0</v>
      </c>
      <c r="O126">
        <f>SUMIF(RawData!$C:$C,$A126,RawData!S:S)</f>
        <v>0</v>
      </c>
      <c r="P126">
        <f>SUMIF(RawData!$C:$C,$A126,RawData!T:T)</f>
        <v>0</v>
      </c>
      <c r="Q126">
        <f>SUMIF(RawData!$C:$C,$A126,RawData!U:U)</f>
        <v>0</v>
      </c>
      <c r="R126">
        <f>SUMIF(RawData!$C:$C,$A126,RawData!V:V)</f>
        <v>0</v>
      </c>
      <c r="S126">
        <f>SUMIF(RawData!$C:$C,$A126,RawData!W:W)</f>
        <v>0</v>
      </c>
      <c r="T126">
        <f>SUMIF(RawData!$C:$C,$A126,RawData!X:X)</f>
        <v>0</v>
      </c>
      <c r="U126">
        <f>SUMIF(RawData!$C:$C,$A126,RawData!Y:Y)</f>
        <v>0</v>
      </c>
      <c r="V126">
        <f>SUMIF(RawData!$C:$C,$A126,RawData!Z:Z)</f>
        <v>0</v>
      </c>
      <c r="W126">
        <f>SUMIF(RawData!$C:$C,$A126,RawData!AA:AA)</f>
        <v>0</v>
      </c>
      <c r="X126">
        <f>SUMIF(RawData!$C:$C,$A126,RawData!AB:AB)</f>
        <v>0</v>
      </c>
      <c r="Y126">
        <f>SUMIF(RawData!$C:$C,$A126,RawData!AC:AC)</f>
        <v>0</v>
      </c>
      <c r="Z126">
        <f>SUMIF(RawData!$C:$C,$A126,RawData!AD:AD)</f>
        <v>0</v>
      </c>
      <c r="AA126">
        <f>SUMIF(RawData!$C:$C,$A126,RawData!AE:AE)</f>
        <v>0</v>
      </c>
      <c r="AB126">
        <f>SUMIF(RawData!$C:$C,$A126,RawData!AF:AF)</f>
        <v>0</v>
      </c>
      <c r="AC126">
        <f>SUMIF(RawData!$C:$C,$A126,RawData!AG:AG)</f>
        <v>0</v>
      </c>
      <c r="AD126">
        <f>SUMIF(RawData!$C:$C,$A126,RawData!AH:AH)</f>
        <v>0</v>
      </c>
      <c r="AE126">
        <f>SUMIF(RawData!$C:$C,$A126,RawData!AI:AI)</f>
        <v>0</v>
      </c>
      <c r="AF126">
        <f>SUMIF(RawData!$C:$C,$A126,RawData!AJ:AJ)</f>
        <v>0</v>
      </c>
      <c r="AG126">
        <f>SUMIF(RawData!$C:$C,$A126,RawData!AK:AK)</f>
        <v>0</v>
      </c>
      <c r="AH126">
        <f>SUMIF(RawData!$C:$C,$A126,RawData!AL:AL)</f>
        <v>0</v>
      </c>
      <c r="AI126">
        <f>SUMIF(RawData!$C:$C,$A126,RawData!AM:AM)</f>
        <v>0</v>
      </c>
      <c r="AJ126">
        <f>SUMIF(RawData!$C:$C,$A126,RawData!AN:AN)</f>
        <v>0</v>
      </c>
      <c r="AK126">
        <f>SUMIF(RawData!$C:$C,$A126,RawData!AO:AO)</f>
        <v>0</v>
      </c>
      <c r="AL126">
        <f>SUMIF(RawData!$C:$C,$A126,RawData!AP:AP)</f>
        <v>0</v>
      </c>
      <c r="AM126">
        <f>SUMIF(RawData!$C:$C,$A126,RawData!AQ:AQ)</f>
        <v>0</v>
      </c>
      <c r="AN126">
        <f>SUMIF(RawData!$C:$C,$A126,RawData!AR:AR)</f>
        <v>0</v>
      </c>
      <c r="AO126">
        <f>SUMIF(RawData!$C:$C,$A126,RawData!AS:AS)</f>
        <v>0</v>
      </c>
      <c r="AP126">
        <f>SUMIF(RawData!$C:$C,$A126,RawData!AT:AT)</f>
        <v>0</v>
      </c>
      <c r="AQ126">
        <f>SUMIF(RawData!$C:$C,$A126,RawData!AU:AU)</f>
        <v>0</v>
      </c>
      <c r="AR126">
        <f>SUMIF(RawData!$C:$C,$A126,RawData!AV:AV)</f>
        <v>0</v>
      </c>
      <c r="AS126">
        <f>SUMIF(RawData!$C:$C,$A126,RawData!AW:AW)</f>
        <v>0</v>
      </c>
      <c r="AT126">
        <f>SUMIF(RawData!$C:$C,$A126,RawData!AX:AX)</f>
        <v>1</v>
      </c>
      <c r="AU126">
        <f>SUMIF(RawData!$C:$C,$A126,RawData!AY:AY)</f>
        <v>1</v>
      </c>
      <c r="AV126">
        <f>SUMIF(RawData!$C:$C,$A126,RawData!AZ:AZ)</f>
        <v>1</v>
      </c>
      <c r="AW126">
        <f>SUMIF(RawData!$C:$C,$A126,RawData!BA:BA)</f>
        <v>1</v>
      </c>
      <c r="AX126">
        <f>SUMIF(RawData!$C:$C,$A126,RawData!BB:BB)</f>
        <v>1</v>
      </c>
      <c r="AY126">
        <f>SUMIF(RawData!$C:$C,$A126,RawData!BC:BC)</f>
        <v>1</v>
      </c>
      <c r="AZ126">
        <f>SUMIF(RawData!$C:$C,$A126,RawData!BD:BD)</f>
        <v>1</v>
      </c>
      <c r="BA126">
        <f>SUMIF(RawData!$C:$C,$A126,RawData!BE:BE)</f>
        <v>1</v>
      </c>
      <c r="BB126">
        <f>SUMIF(RawData!$C:$C,$A126,RawData!BF:BF)</f>
        <v>1</v>
      </c>
      <c r="BC126">
        <f>SUMIF(RawData!$C:$C,$A126,RawData!BG:BG)</f>
        <v>1</v>
      </c>
      <c r="BD126">
        <f>SUMIF(RawData!$C:$C,$A126,RawData!BH:BH)</f>
        <v>0</v>
      </c>
      <c r="BE126">
        <f>SUMIF(RawData!$C:$C,$A126,RawData!BI:BI)</f>
        <v>0</v>
      </c>
      <c r="BF126">
        <f>SUMIF(RawData!$C:$C,$A126,RawData!BJ:BJ)</f>
        <v>0</v>
      </c>
      <c r="BG126">
        <f>SUMIF(RawData!$C:$C,$A126,RawData!BK:BK)</f>
        <v>0</v>
      </c>
      <c r="BH126">
        <f>SUMIF(RawData!$C:$C,$A126,RawData!BL:BL)</f>
        <v>0</v>
      </c>
      <c r="BI126">
        <f>SUMIF(RawData!$C:$C,$A126,RawData!BM:BM)</f>
        <v>0</v>
      </c>
      <c r="BJ126">
        <f>SUMIF(RawData!$C:$C,$A126,RawData!BN:BN)</f>
        <v>0</v>
      </c>
      <c r="BK126">
        <f>SUMIF(RawData!$C:$C,$A126,RawData!BO:BO)</f>
        <v>0</v>
      </c>
      <c r="BL126">
        <f>SUMIF(RawData!$C:$C,$A126,RawData!BP:BP)</f>
        <v>0</v>
      </c>
      <c r="BM126">
        <f>SUMIF(RawData!$C:$C,$A126,RawData!BQ:BQ)</f>
        <v>0</v>
      </c>
      <c r="BN126">
        <f>SUMIF(RawData!$C:$C,$A126,RawData!BR:BR)</f>
        <v>0</v>
      </c>
      <c r="BO126">
        <f>SUMIF(RawData!$C:$C,$A126,RawData!BS:BS)</f>
        <v>0</v>
      </c>
      <c r="BP126">
        <f>SUMIF(RawData!$C:$C,$A126,RawData!BT:BT)</f>
        <v>0</v>
      </c>
      <c r="BQ126">
        <f>SUMIF(RawData!$C:$C,$A126,RawData!BU:BU)</f>
        <v>0</v>
      </c>
      <c r="BR126">
        <f>SUMIF(RawData!$C:$C,$A126,RawData!BV:BV)</f>
        <v>0</v>
      </c>
      <c r="BS126">
        <f>SUMIF(RawData!$C:$C,$A126,RawData!BW:BW)</f>
        <v>0</v>
      </c>
      <c r="BT126">
        <f>SUMIF(RawData!$C:$C,$A126,RawData!BX:BX)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G451"/>
  <sheetViews>
    <sheetView topLeftCell="A391" workbookViewId="0">
      <selection activeCell="BD408" sqref="BD408"/>
    </sheetView>
  </sheetViews>
  <sheetFormatPr defaultRowHeight="14.4" x14ac:dyDescent="0.3"/>
  <sheetData>
    <row r="1" spans="1:59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s="20">
        <v>43832</v>
      </c>
      <c r="Q1" s="20">
        <v>43863</v>
      </c>
      <c r="R1" s="20">
        <v>43892</v>
      </c>
      <c r="S1" s="20">
        <v>43923</v>
      </c>
      <c r="T1" s="20">
        <v>43953</v>
      </c>
      <c r="U1" s="20">
        <v>43984</v>
      </c>
      <c r="V1" s="20">
        <v>44014</v>
      </c>
      <c r="W1" s="20">
        <v>44045</v>
      </c>
      <c r="X1" s="20">
        <v>44076</v>
      </c>
      <c r="Y1" s="20">
        <v>44106</v>
      </c>
      <c r="Z1" s="20">
        <v>44137</v>
      </c>
      <c r="AA1" s="20">
        <v>44167</v>
      </c>
      <c r="AB1" t="s">
        <v>14</v>
      </c>
      <c r="AC1" t="s">
        <v>15</v>
      </c>
      <c r="AD1" t="s">
        <v>16</v>
      </c>
      <c r="AE1" t="s">
        <v>17</v>
      </c>
      <c r="AF1" t="s">
        <v>18</v>
      </c>
      <c r="AG1" t="s">
        <v>19</v>
      </c>
      <c r="AH1" t="s">
        <v>20</v>
      </c>
      <c r="AI1" t="s">
        <v>21</v>
      </c>
      <c r="AJ1" t="s">
        <v>22</v>
      </c>
      <c r="AK1" t="s">
        <v>23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s="20">
        <v>43833</v>
      </c>
      <c r="AT1" s="20">
        <v>43864</v>
      </c>
      <c r="AU1" s="20">
        <v>43893</v>
      </c>
      <c r="AV1" s="20">
        <v>43924</v>
      </c>
      <c r="AW1" s="20">
        <v>43954</v>
      </c>
      <c r="AX1" s="20">
        <v>43985</v>
      </c>
      <c r="AY1" s="20">
        <v>44015</v>
      </c>
      <c r="AZ1" s="20">
        <v>44046</v>
      </c>
      <c r="BA1" s="20">
        <v>44077</v>
      </c>
      <c r="BB1" s="20">
        <v>44107</v>
      </c>
      <c r="BC1" s="20">
        <v>44138</v>
      </c>
      <c r="BD1" s="20">
        <v>44168</v>
      </c>
      <c r="BE1" t="s">
        <v>364</v>
      </c>
      <c r="BF1" t="s">
        <v>461</v>
      </c>
      <c r="BG1" t="s">
        <v>492</v>
      </c>
    </row>
    <row r="2" spans="1:59" x14ac:dyDescent="0.3">
      <c r="A2" s="2"/>
      <c r="C2" t="s">
        <v>62</v>
      </c>
      <c r="D2">
        <v>15</v>
      </c>
      <c r="E2">
        <v>101</v>
      </c>
      <c r="F2">
        <v>2</v>
      </c>
      <c r="G2">
        <v>3</v>
      </c>
      <c r="H2">
        <v>5</v>
      </c>
      <c r="I2">
        <v>7</v>
      </c>
      <c r="J2">
        <v>8</v>
      </c>
      <c r="K2">
        <v>8</v>
      </c>
      <c r="L2">
        <v>14</v>
      </c>
      <c r="M2">
        <v>14</v>
      </c>
      <c r="N2">
        <v>14</v>
      </c>
      <c r="O2">
        <v>19</v>
      </c>
      <c r="P2">
        <v>19</v>
      </c>
      <c r="Q2">
        <v>19</v>
      </c>
      <c r="R2">
        <v>19</v>
      </c>
      <c r="S2">
        <v>25</v>
      </c>
      <c r="T2">
        <v>25</v>
      </c>
      <c r="U2">
        <v>25</v>
      </c>
      <c r="V2">
        <v>25</v>
      </c>
      <c r="W2">
        <v>32</v>
      </c>
      <c r="X2">
        <v>32</v>
      </c>
      <c r="Y2">
        <v>32</v>
      </c>
      <c r="Z2">
        <v>33</v>
      </c>
      <c r="AA2">
        <v>33</v>
      </c>
      <c r="AB2">
        <v>33</v>
      </c>
      <c r="AC2">
        <v>33</v>
      </c>
      <c r="AD2">
        <v>33</v>
      </c>
      <c r="AE2">
        <v>34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37</v>
      </c>
      <c r="AO2">
        <v>40</v>
      </c>
      <c r="AP2">
        <v>40</v>
      </c>
      <c r="AQ2">
        <v>41</v>
      </c>
      <c r="AR2">
        <v>42</v>
      </c>
      <c r="AS2">
        <v>42</v>
      </c>
      <c r="AT2">
        <v>43</v>
      </c>
      <c r="AU2">
        <v>43</v>
      </c>
      <c r="AV2">
        <v>43</v>
      </c>
      <c r="AW2">
        <v>47</v>
      </c>
      <c r="AX2">
        <v>48</v>
      </c>
      <c r="AY2">
        <v>50</v>
      </c>
      <c r="AZ2">
        <v>50</v>
      </c>
      <c r="BA2">
        <v>50</v>
      </c>
      <c r="BB2">
        <v>53</v>
      </c>
      <c r="BC2">
        <v>59</v>
      </c>
      <c r="BD2">
        <v>70</v>
      </c>
      <c r="BE2">
        <v>75</v>
      </c>
      <c r="BF2">
        <v>82</v>
      </c>
      <c r="BG2">
        <v>114</v>
      </c>
    </row>
    <row r="3" spans="1:59" x14ac:dyDescent="0.3">
      <c r="A3" s="2"/>
      <c r="C3" t="s">
        <v>63</v>
      </c>
      <c r="D3">
        <v>36</v>
      </c>
      <c r="E3">
        <v>138</v>
      </c>
      <c r="F3">
        <v>2</v>
      </c>
      <c r="G3">
        <v>1</v>
      </c>
      <c r="H3">
        <v>2</v>
      </c>
      <c r="I3">
        <v>2</v>
      </c>
      <c r="J3">
        <v>4</v>
      </c>
      <c r="K3">
        <v>4</v>
      </c>
      <c r="L3">
        <v>7</v>
      </c>
      <c r="M3">
        <v>7</v>
      </c>
      <c r="N3">
        <v>11</v>
      </c>
      <c r="O3">
        <v>15</v>
      </c>
      <c r="P3">
        <v>20</v>
      </c>
      <c r="Q3">
        <v>20</v>
      </c>
      <c r="R3">
        <v>20</v>
      </c>
      <c r="S3">
        <v>22</v>
      </c>
      <c r="T3">
        <v>22</v>
      </c>
      <c r="U3">
        <v>45</v>
      </c>
      <c r="V3">
        <v>25</v>
      </c>
      <c r="W3">
        <v>25</v>
      </c>
      <c r="X3">
        <v>26</v>
      </c>
      <c r="Y3">
        <v>26</v>
      </c>
      <c r="Z3">
        <v>26</v>
      </c>
      <c r="AA3">
        <v>28</v>
      </c>
      <c r="AB3">
        <v>28</v>
      </c>
      <c r="AC3">
        <v>29</v>
      </c>
      <c r="AD3">
        <v>43</v>
      </c>
      <c r="AE3">
        <v>59</v>
      </c>
      <c r="AF3">
        <v>66</v>
      </c>
      <c r="AG3">
        <v>74</v>
      </c>
      <c r="AH3">
        <v>84</v>
      </c>
      <c r="AI3">
        <v>94</v>
      </c>
      <c r="AJ3">
        <v>105</v>
      </c>
      <c r="AK3">
        <v>122</v>
      </c>
      <c r="AL3">
        <v>147</v>
      </c>
      <c r="AM3">
        <v>159</v>
      </c>
      <c r="AN3">
        <v>170</v>
      </c>
      <c r="AO3">
        <v>189</v>
      </c>
      <c r="AP3">
        <v>214</v>
      </c>
      <c r="AQ3">
        <v>228</v>
      </c>
      <c r="AR3">
        <v>241</v>
      </c>
      <c r="AS3">
        <v>256</v>
      </c>
      <c r="AT3">
        <v>274</v>
      </c>
      <c r="AU3">
        <v>293</v>
      </c>
      <c r="AV3">
        <v>331</v>
      </c>
      <c r="AW3">
        <v>360</v>
      </c>
      <c r="AX3">
        <v>420</v>
      </c>
      <c r="AY3">
        <v>461</v>
      </c>
      <c r="AZ3">
        <v>502</v>
      </c>
      <c r="BA3">
        <v>511</v>
      </c>
      <c r="BB3">
        <v>581</v>
      </c>
      <c r="BC3">
        <v>639</v>
      </c>
      <c r="BD3">
        <v>639</v>
      </c>
      <c r="BE3">
        <v>701</v>
      </c>
      <c r="BF3">
        <v>773</v>
      </c>
      <c r="BG3">
        <v>839</v>
      </c>
    </row>
    <row r="4" spans="1:59" x14ac:dyDescent="0.3">
      <c r="A4" s="2"/>
      <c r="C4" t="s">
        <v>67</v>
      </c>
      <c r="D4">
        <v>1.2833000000000001</v>
      </c>
      <c r="E4">
        <v>103.83329999999999</v>
      </c>
      <c r="F4">
        <v>0</v>
      </c>
      <c r="G4">
        <v>1</v>
      </c>
      <c r="H4">
        <v>3</v>
      </c>
      <c r="I4">
        <v>3</v>
      </c>
      <c r="J4">
        <v>4</v>
      </c>
      <c r="K4">
        <v>5</v>
      </c>
      <c r="L4">
        <v>7</v>
      </c>
      <c r="M4">
        <v>7</v>
      </c>
      <c r="N4">
        <v>10</v>
      </c>
      <c r="O4">
        <v>13</v>
      </c>
      <c r="P4">
        <v>16</v>
      </c>
      <c r="Q4">
        <v>18</v>
      </c>
      <c r="R4">
        <v>18</v>
      </c>
      <c r="S4">
        <v>24</v>
      </c>
      <c r="T4">
        <v>28</v>
      </c>
      <c r="U4">
        <v>28</v>
      </c>
      <c r="V4">
        <v>30</v>
      </c>
      <c r="W4">
        <v>33</v>
      </c>
      <c r="X4">
        <v>40</v>
      </c>
      <c r="Y4">
        <v>45</v>
      </c>
      <c r="Z4">
        <v>47</v>
      </c>
      <c r="AA4">
        <v>50</v>
      </c>
      <c r="AB4">
        <v>58</v>
      </c>
      <c r="AC4">
        <v>67</v>
      </c>
      <c r="AD4">
        <v>72</v>
      </c>
      <c r="AE4">
        <v>75</v>
      </c>
      <c r="AF4">
        <v>77</v>
      </c>
      <c r="AG4">
        <v>81</v>
      </c>
      <c r="AH4">
        <v>84</v>
      </c>
      <c r="AI4">
        <v>84</v>
      </c>
      <c r="AJ4">
        <v>85</v>
      </c>
      <c r="AK4">
        <v>85</v>
      </c>
      <c r="AL4">
        <v>89</v>
      </c>
      <c r="AM4">
        <v>89</v>
      </c>
      <c r="AN4">
        <v>91</v>
      </c>
      <c r="AO4">
        <v>93</v>
      </c>
      <c r="AP4">
        <v>93</v>
      </c>
      <c r="AQ4">
        <v>93</v>
      </c>
      <c r="AR4">
        <v>102</v>
      </c>
      <c r="AS4">
        <v>106</v>
      </c>
      <c r="AT4">
        <v>108</v>
      </c>
      <c r="AU4">
        <v>110</v>
      </c>
      <c r="AV4">
        <v>110</v>
      </c>
      <c r="AW4">
        <v>117</v>
      </c>
      <c r="AX4">
        <v>130</v>
      </c>
      <c r="AY4">
        <v>138</v>
      </c>
      <c r="AZ4">
        <v>150</v>
      </c>
      <c r="BA4">
        <v>150</v>
      </c>
      <c r="BB4">
        <v>160</v>
      </c>
      <c r="BC4">
        <v>178</v>
      </c>
      <c r="BD4">
        <v>178</v>
      </c>
      <c r="BE4">
        <v>200</v>
      </c>
      <c r="BF4">
        <v>212</v>
      </c>
      <c r="BG4">
        <v>226</v>
      </c>
    </row>
    <row r="5" spans="1:59" x14ac:dyDescent="0.3">
      <c r="A5" s="2"/>
      <c r="C5" t="s">
        <v>69</v>
      </c>
      <c r="D5">
        <v>28.166699999999999</v>
      </c>
      <c r="E5">
        <v>84.25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</row>
    <row r="6" spans="1:59" x14ac:dyDescent="0.3">
      <c r="A6" s="2"/>
      <c r="C6" t="s">
        <v>70</v>
      </c>
      <c r="D6">
        <v>2.5</v>
      </c>
      <c r="E6">
        <v>112.5</v>
      </c>
      <c r="F6">
        <v>0</v>
      </c>
      <c r="G6">
        <v>0</v>
      </c>
      <c r="H6">
        <v>0</v>
      </c>
      <c r="I6">
        <v>3</v>
      </c>
      <c r="J6">
        <v>4</v>
      </c>
      <c r="K6">
        <v>4</v>
      </c>
      <c r="L6">
        <v>4</v>
      </c>
      <c r="M6">
        <v>7</v>
      </c>
      <c r="N6">
        <v>8</v>
      </c>
      <c r="O6">
        <v>8</v>
      </c>
      <c r="P6">
        <v>8</v>
      </c>
      <c r="Q6">
        <v>8</v>
      </c>
      <c r="R6">
        <v>8</v>
      </c>
      <c r="S6">
        <v>10</v>
      </c>
      <c r="T6">
        <v>12</v>
      </c>
      <c r="U6">
        <v>12</v>
      </c>
      <c r="V6">
        <v>12</v>
      </c>
      <c r="W6">
        <v>16</v>
      </c>
      <c r="X6">
        <v>16</v>
      </c>
      <c r="Y6">
        <v>18</v>
      </c>
      <c r="Z6">
        <v>18</v>
      </c>
      <c r="AA6">
        <v>18</v>
      </c>
      <c r="AB6">
        <v>19</v>
      </c>
      <c r="AC6">
        <v>19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22</v>
      </c>
      <c r="AP6">
        <v>23</v>
      </c>
      <c r="AQ6">
        <v>23</v>
      </c>
      <c r="AR6">
        <v>25</v>
      </c>
      <c r="AS6">
        <v>29</v>
      </c>
      <c r="AT6">
        <v>29</v>
      </c>
      <c r="AU6">
        <v>36</v>
      </c>
      <c r="AV6">
        <v>50</v>
      </c>
      <c r="AW6">
        <v>50</v>
      </c>
      <c r="AX6">
        <v>83</v>
      </c>
      <c r="AY6">
        <v>93</v>
      </c>
      <c r="AZ6">
        <v>99</v>
      </c>
      <c r="BA6">
        <v>117</v>
      </c>
      <c r="BB6">
        <v>129</v>
      </c>
      <c r="BC6">
        <v>149</v>
      </c>
      <c r="BD6">
        <v>149</v>
      </c>
      <c r="BE6">
        <v>197</v>
      </c>
      <c r="BF6">
        <v>238</v>
      </c>
      <c r="BG6">
        <v>428</v>
      </c>
    </row>
    <row r="7" spans="1:59" x14ac:dyDescent="0.3">
      <c r="A7" s="2"/>
      <c r="B7" t="s">
        <v>71</v>
      </c>
      <c r="C7" t="s">
        <v>72</v>
      </c>
      <c r="D7">
        <v>49.282699999999998</v>
      </c>
      <c r="E7">
        <v>-123.1207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2</v>
      </c>
      <c r="U7">
        <v>2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4</v>
      </c>
      <c r="AF7">
        <v>5</v>
      </c>
      <c r="AG7">
        <v>5</v>
      </c>
      <c r="AH7">
        <v>5</v>
      </c>
      <c r="AI7">
        <v>5</v>
      </c>
      <c r="AJ7">
        <v>6</v>
      </c>
      <c r="AK7">
        <v>6</v>
      </c>
      <c r="AL7">
        <v>6</v>
      </c>
      <c r="AM7">
        <v>6</v>
      </c>
      <c r="AN7">
        <v>7</v>
      </c>
      <c r="AO7">
        <v>7</v>
      </c>
      <c r="AP7">
        <v>7</v>
      </c>
      <c r="AQ7">
        <v>7</v>
      </c>
      <c r="AR7">
        <v>8</v>
      </c>
      <c r="AS7">
        <v>8</v>
      </c>
      <c r="AT7">
        <v>8</v>
      </c>
      <c r="AU7">
        <v>9</v>
      </c>
      <c r="AV7">
        <v>12</v>
      </c>
      <c r="AW7">
        <v>13</v>
      </c>
      <c r="AX7">
        <v>21</v>
      </c>
      <c r="AY7">
        <v>21</v>
      </c>
      <c r="AZ7">
        <v>27</v>
      </c>
      <c r="BA7">
        <v>32</v>
      </c>
      <c r="BB7">
        <v>32</v>
      </c>
      <c r="BC7">
        <v>39</v>
      </c>
      <c r="BD7">
        <v>46</v>
      </c>
      <c r="BE7">
        <v>64</v>
      </c>
      <c r="BF7">
        <v>64</v>
      </c>
      <c r="BG7">
        <v>73</v>
      </c>
    </row>
    <row r="8" spans="1:59" x14ac:dyDescent="0.3">
      <c r="A8" s="2"/>
      <c r="B8" t="s">
        <v>74</v>
      </c>
      <c r="C8" t="s">
        <v>75</v>
      </c>
      <c r="D8">
        <v>-33.8688</v>
      </c>
      <c r="E8">
        <v>151.20930000000001</v>
      </c>
      <c r="F8">
        <v>0</v>
      </c>
      <c r="G8">
        <v>0</v>
      </c>
      <c r="H8">
        <v>0</v>
      </c>
      <c r="I8">
        <v>0</v>
      </c>
      <c r="J8">
        <v>3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6</v>
      </c>
      <c r="AT8">
        <v>6</v>
      </c>
      <c r="AU8">
        <v>13</v>
      </c>
      <c r="AV8">
        <v>22</v>
      </c>
      <c r="AW8">
        <v>22</v>
      </c>
      <c r="AX8">
        <v>26</v>
      </c>
      <c r="AY8">
        <v>28</v>
      </c>
      <c r="AZ8">
        <v>38</v>
      </c>
      <c r="BA8">
        <v>48</v>
      </c>
      <c r="BB8">
        <v>55</v>
      </c>
      <c r="BC8">
        <v>65</v>
      </c>
      <c r="BD8">
        <v>65</v>
      </c>
      <c r="BE8">
        <v>92</v>
      </c>
      <c r="BF8">
        <v>112</v>
      </c>
      <c r="BG8">
        <v>134</v>
      </c>
    </row>
    <row r="9" spans="1:59" x14ac:dyDescent="0.3">
      <c r="A9" s="2"/>
      <c r="B9" t="s">
        <v>76</v>
      </c>
      <c r="C9" t="s">
        <v>75</v>
      </c>
      <c r="D9">
        <v>-37.813600000000001</v>
      </c>
      <c r="E9">
        <v>144.9631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1</v>
      </c>
      <c r="M9">
        <v>1</v>
      </c>
      <c r="N9">
        <v>2</v>
      </c>
      <c r="O9">
        <v>3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7</v>
      </c>
      <c r="AS9">
        <v>7</v>
      </c>
      <c r="AT9">
        <v>9</v>
      </c>
      <c r="AU9">
        <v>9</v>
      </c>
      <c r="AV9">
        <v>10</v>
      </c>
      <c r="AW9">
        <v>10</v>
      </c>
      <c r="AX9">
        <v>10</v>
      </c>
      <c r="AY9">
        <v>11</v>
      </c>
      <c r="AZ9">
        <v>11</v>
      </c>
      <c r="BA9">
        <v>15</v>
      </c>
      <c r="BB9">
        <v>18</v>
      </c>
      <c r="BC9">
        <v>21</v>
      </c>
      <c r="BD9">
        <v>21</v>
      </c>
      <c r="BE9">
        <v>36</v>
      </c>
      <c r="BF9">
        <v>49</v>
      </c>
      <c r="BG9">
        <v>57</v>
      </c>
    </row>
    <row r="10" spans="1:59" x14ac:dyDescent="0.3">
      <c r="A10" s="2"/>
      <c r="B10" t="s">
        <v>77</v>
      </c>
      <c r="C10" t="s">
        <v>75</v>
      </c>
      <c r="D10">
        <v>-28.0167</v>
      </c>
      <c r="E10">
        <v>153.4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3</v>
      </c>
      <c r="O10">
        <v>2</v>
      </c>
      <c r="P10">
        <v>3</v>
      </c>
      <c r="Q10">
        <v>2</v>
      </c>
      <c r="R10">
        <v>2</v>
      </c>
      <c r="S10">
        <v>3</v>
      </c>
      <c r="T10">
        <v>3</v>
      </c>
      <c r="U10">
        <v>4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5</v>
      </c>
      <c r="AR10">
        <v>9</v>
      </c>
      <c r="AS10">
        <v>9</v>
      </c>
      <c r="AT10">
        <v>9</v>
      </c>
      <c r="AU10">
        <v>11</v>
      </c>
      <c r="AV10">
        <v>11</v>
      </c>
      <c r="AW10">
        <v>13</v>
      </c>
      <c r="AX10">
        <v>13</v>
      </c>
      <c r="AY10">
        <v>13</v>
      </c>
      <c r="AZ10">
        <v>15</v>
      </c>
      <c r="BA10">
        <v>15</v>
      </c>
      <c r="BB10">
        <v>18</v>
      </c>
      <c r="BC10">
        <v>20</v>
      </c>
      <c r="BD10">
        <v>20</v>
      </c>
      <c r="BE10">
        <v>35</v>
      </c>
      <c r="BF10">
        <v>46</v>
      </c>
      <c r="BG10">
        <v>61</v>
      </c>
    </row>
    <row r="11" spans="1:59" x14ac:dyDescent="0.3">
      <c r="A11" s="2"/>
      <c r="C11" t="s">
        <v>78</v>
      </c>
      <c r="D11">
        <v>11.55</v>
      </c>
      <c r="E11">
        <v>104.91670000000001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2</v>
      </c>
      <c r="BA11">
        <v>2</v>
      </c>
      <c r="BB11">
        <v>2</v>
      </c>
      <c r="BC11">
        <v>3</v>
      </c>
      <c r="BD11">
        <v>3</v>
      </c>
      <c r="BE11">
        <v>5</v>
      </c>
      <c r="BF11">
        <v>7</v>
      </c>
      <c r="BG11">
        <v>7</v>
      </c>
    </row>
    <row r="12" spans="1:59" x14ac:dyDescent="0.3">
      <c r="A12" s="2"/>
      <c r="C12" t="s">
        <v>79</v>
      </c>
      <c r="D12">
        <v>7</v>
      </c>
      <c r="E12">
        <v>81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2</v>
      </c>
      <c r="BD12">
        <v>2</v>
      </c>
      <c r="BE12">
        <v>6</v>
      </c>
      <c r="BF12">
        <v>10</v>
      </c>
      <c r="BG12">
        <v>18</v>
      </c>
    </row>
    <row r="13" spans="1:59" x14ac:dyDescent="0.3">
      <c r="A13" s="2"/>
      <c r="C13" t="s">
        <v>80</v>
      </c>
      <c r="D13">
        <v>51</v>
      </c>
      <c r="E13">
        <v>9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4</v>
      </c>
      <c r="M13">
        <v>4</v>
      </c>
      <c r="N13">
        <v>4</v>
      </c>
      <c r="O13">
        <v>5</v>
      </c>
      <c r="P13">
        <v>8</v>
      </c>
      <c r="Q13">
        <v>10</v>
      </c>
      <c r="R13">
        <v>12</v>
      </c>
      <c r="S13">
        <v>12</v>
      </c>
      <c r="T13">
        <v>12</v>
      </c>
      <c r="U13">
        <v>12</v>
      </c>
      <c r="V13">
        <v>13</v>
      </c>
      <c r="W13">
        <v>13</v>
      </c>
      <c r="X13">
        <v>14</v>
      </c>
      <c r="Y13">
        <v>14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16</v>
      </c>
      <c r="AN13">
        <v>17</v>
      </c>
      <c r="AO13">
        <v>27</v>
      </c>
      <c r="AP13">
        <v>46</v>
      </c>
      <c r="AQ13">
        <v>48</v>
      </c>
      <c r="AR13">
        <v>79</v>
      </c>
      <c r="AS13">
        <v>130</v>
      </c>
      <c r="AT13">
        <v>159</v>
      </c>
      <c r="AU13">
        <v>196</v>
      </c>
      <c r="AV13">
        <v>262</v>
      </c>
      <c r="AW13">
        <v>482</v>
      </c>
      <c r="AX13">
        <v>670</v>
      </c>
      <c r="AY13">
        <v>799</v>
      </c>
      <c r="AZ13">
        <v>1040</v>
      </c>
      <c r="BA13">
        <v>1176</v>
      </c>
      <c r="BB13">
        <v>1457</v>
      </c>
      <c r="BC13">
        <v>1908</v>
      </c>
      <c r="BD13">
        <v>2078</v>
      </c>
      <c r="BE13">
        <v>3675</v>
      </c>
      <c r="BF13">
        <v>4585</v>
      </c>
      <c r="BG13">
        <v>5795</v>
      </c>
    </row>
    <row r="14" spans="1:59" x14ac:dyDescent="0.3">
      <c r="A14" s="2"/>
      <c r="C14" t="s">
        <v>81</v>
      </c>
      <c r="D14">
        <v>64</v>
      </c>
      <c r="E14">
        <v>26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2</v>
      </c>
      <c r="AP14">
        <v>2</v>
      </c>
      <c r="AQ14">
        <v>2</v>
      </c>
      <c r="AR14">
        <v>3</v>
      </c>
      <c r="AS14">
        <v>6</v>
      </c>
      <c r="AT14">
        <v>6</v>
      </c>
      <c r="AU14">
        <v>6</v>
      </c>
      <c r="AV14">
        <v>6</v>
      </c>
      <c r="AW14">
        <v>12</v>
      </c>
      <c r="AX14">
        <v>15</v>
      </c>
      <c r="AY14">
        <v>15</v>
      </c>
      <c r="AZ14">
        <v>23</v>
      </c>
      <c r="BA14">
        <v>30</v>
      </c>
      <c r="BB14">
        <v>40</v>
      </c>
      <c r="BC14">
        <v>59</v>
      </c>
      <c r="BD14">
        <v>59</v>
      </c>
      <c r="BE14">
        <v>155</v>
      </c>
      <c r="BF14">
        <v>225</v>
      </c>
      <c r="BG14">
        <v>244</v>
      </c>
    </row>
    <row r="15" spans="1:59" x14ac:dyDescent="0.3">
      <c r="A15" s="2"/>
      <c r="C15" t="s">
        <v>82</v>
      </c>
      <c r="D15">
        <v>24</v>
      </c>
      <c r="E15">
        <v>54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4</v>
      </c>
      <c r="O15">
        <v>4</v>
      </c>
      <c r="P15">
        <v>4</v>
      </c>
      <c r="Q15">
        <v>5</v>
      </c>
      <c r="R15">
        <v>5</v>
      </c>
      <c r="S15">
        <v>5</v>
      </c>
      <c r="T15">
        <v>5</v>
      </c>
      <c r="U15">
        <v>5</v>
      </c>
      <c r="V15">
        <v>5</v>
      </c>
      <c r="W15">
        <v>7</v>
      </c>
      <c r="X15">
        <v>7</v>
      </c>
      <c r="Y15">
        <v>8</v>
      </c>
      <c r="Z15">
        <v>8</v>
      </c>
      <c r="AA15">
        <v>8</v>
      </c>
      <c r="AB15">
        <v>8</v>
      </c>
      <c r="AC15">
        <v>8</v>
      </c>
      <c r="AD15">
        <v>8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9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13</v>
      </c>
      <c r="AQ15">
        <v>19</v>
      </c>
      <c r="AR15">
        <v>21</v>
      </c>
      <c r="AS15">
        <v>21</v>
      </c>
      <c r="AT15">
        <v>21</v>
      </c>
      <c r="AU15">
        <v>27</v>
      </c>
      <c r="AV15">
        <v>27</v>
      </c>
      <c r="AW15">
        <v>29</v>
      </c>
      <c r="AX15">
        <v>29</v>
      </c>
      <c r="AY15">
        <v>45</v>
      </c>
      <c r="AZ15">
        <v>45</v>
      </c>
      <c r="BA15">
        <v>45</v>
      </c>
      <c r="BB15">
        <v>74</v>
      </c>
      <c r="BC15">
        <v>74</v>
      </c>
      <c r="BD15">
        <v>85</v>
      </c>
      <c r="BE15">
        <v>85</v>
      </c>
      <c r="BF15">
        <v>85</v>
      </c>
      <c r="BG15">
        <v>98</v>
      </c>
    </row>
    <row r="16" spans="1:59" x14ac:dyDescent="0.3">
      <c r="A16" s="2"/>
      <c r="C16" t="s">
        <v>83</v>
      </c>
      <c r="D16">
        <v>13</v>
      </c>
      <c r="E16">
        <v>122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2</v>
      </c>
      <c r="R16">
        <v>2</v>
      </c>
      <c r="S16">
        <v>2</v>
      </c>
      <c r="T16">
        <v>2</v>
      </c>
      <c r="U16">
        <v>2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5</v>
      </c>
      <c r="AY16">
        <v>6</v>
      </c>
      <c r="AZ16">
        <v>10</v>
      </c>
      <c r="BA16">
        <v>20</v>
      </c>
      <c r="BB16">
        <v>33</v>
      </c>
      <c r="BC16">
        <v>49</v>
      </c>
      <c r="BD16">
        <v>52</v>
      </c>
      <c r="BE16">
        <v>64</v>
      </c>
      <c r="BF16">
        <v>111</v>
      </c>
      <c r="BG16">
        <v>140</v>
      </c>
    </row>
    <row r="17" spans="1:59" x14ac:dyDescent="0.3">
      <c r="A17" s="2"/>
      <c r="C17" t="s">
        <v>84</v>
      </c>
      <c r="D17">
        <v>21</v>
      </c>
      <c r="E17">
        <v>78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2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5</v>
      </c>
      <c r="AU17">
        <v>5</v>
      </c>
      <c r="AV17">
        <v>28</v>
      </c>
      <c r="AW17">
        <v>30</v>
      </c>
      <c r="AX17">
        <v>31</v>
      </c>
      <c r="AY17">
        <v>34</v>
      </c>
      <c r="AZ17">
        <v>39</v>
      </c>
      <c r="BA17">
        <v>43</v>
      </c>
      <c r="BB17">
        <v>56</v>
      </c>
      <c r="BC17">
        <v>62</v>
      </c>
      <c r="BD17">
        <v>73</v>
      </c>
      <c r="BE17">
        <v>82</v>
      </c>
      <c r="BF17">
        <v>102</v>
      </c>
      <c r="BG17">
        <v>113</v>
      </c>
    </row>
    <row r="18" spans="1:59" x14ac:dyDescent="0.3">
      <c r="A18" s="2"/>
      <c r="C18" t="s">
        <v>85</v>
      </c>
      <c r="D18">
        <v>43</v>
      </c>
      <c r="E18">
        <v>12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20</v>
      </c>
      <c r="AK18">
        <v>62</v>
      </c>
      <c r="AL18">
        <v>155</v>
      </c>
      <c r="AM18">
        <v>229</v>
      </c>
      <c r="AN18">
        <v>322</v>
      </c>
      <c r="AO18">
        <v>453</v>
      </c>
      <c r="AP18">
        <v>655</v>
      </c>
      <c r="AQ18">
        <v>888</v>
      </c>
      <c r="AR18">
        <v>1128</v>
      </c>
      <c r="AS18">
        <v>1694</v>
      </c>
      <c r="AT18">
        <v>2036</v>
      </c>
      <c r="AU18">
        <v>2502</v>
      </c>
      <c r="AV18">
        <v>3089</v>
      </c>
      <c r="AW18">
        <v>3858</v>
      </c>
      <c r="AX18">
        <v>4636</v>
      </c>
      <c r="AY18">
        <v>5883</v>
      </c>
      <c r="AZ18">
        <v>7375</v>
      </c>
      <c r="BA18">
        <v>9172</v>
      </c>
      <c r="BB18">
        <v>10149</v>
      </c>
      <c r="BC18">
        <v>12462</v>
      </c>
      <c r="BD18">
        <v>12462</v>
      </c>
      <c r="BE18">
        <v>17660</v>
      </c>
      <c r="BF18">
        <v>21157</v>
      </c>
      <c r="BG18">
        <v>24747</v>
      </c>
    </row>
    <row r="19" spans="1:59" x14ac:dyDescent="0.3">
      <c r="A19" s="2"/>
      <c r="C19" t="s">
        <v>86</v>
      </c>
      <c r="D19">
        <v>63</v>
      </c>
      <c r="E19">
        <v>16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2</v>
      </c>
      <c r="AP19">
        <v>7</v>
      </c>
      <c r="AQ19">
        <v>7</v>
      </c>
      <c r="AR19">
        <v>12</v>
      </c>
      <c r="AS19">
        <v>14</v>
      </c>
      <c r="AT19">
        <v>15</v>
      </c>
      <c r="AU19">
        <v>21</v>
      </c>
      <c r="AV19">
        <v>35</v>
      </c>
      <c r="AW19">
        <v>94</v>
      </c>
      <c r="AX19">
        <v>101</v>
      </c>
      <c r="AY19">
        <v>161</v>
      </c>
      <c r="AZ19">
        <v>203</v>
      </c>
      <c r="BA19">
        <v>248</v>
      </c>
      <c r="BB19">
        <v>355</v>
      </c>
      <c r="BC19">
        <v>500</v>
      </c>
      <c r="BD19">
        <v>599</v>
      </c>
      <c r="BE19">
        <v>814</v>
      </c>
      <c r="BF19">
        <v>961</v>
      </c>
      <c r="BG19">
        <v>1022</v>
      </c>
    </row>
    <row r="20" spans="1:59" x14ac:dyDescent="0.3">
      <c r="A20" s="2"/>
      <c r="C20" t="s">
        <v>87</v>
      </c>
      <c r="D20">
        <v>40</v>
      </c>
      <c r="E20">
        <v>-4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6</v>
      </c>
      <c r="AO20">
        <v>13</v>
      </c>
      <c r="AP20">
        <v>15</v>
      </c>
      <c r="AQ20">
        <v>32</v>
      </c>
      <c r="AR20">
        <v>45</v>
      </c>
      <c r="AS20">
        <v>84</v>
      </c>
      <c r="AT20">
        <v>120</v>
      </c>
      <c r="AU20">
        <v>165</v>
      </c>
      <c r="AV20">
        <v>222</v>
      </c>
      <c r="AW20">
        <v>259</v>
      </c>
      <c r="AX20">
        <v>400</v>
      </c>
      <c r="AY20">
        <v>500</v>
      </c>
      <c r="AZ20">
        <v>673</v>
      </c>
      <c r="BA20">
        <v>1073</v>
      </c>
      <c r="BB20">
        <v>1695</v>
      </c>
      <c r="BC20">
        <v>2277</v>
      </c>
      <c r="BD20">
        <v>2277</v>
      </c>
      <c r="BE20">
        <v>5232</v>
      </c>
      <c r="BF20">
        <v>6391</v>
      </c>
      <c r="BG20">
        <v>7798</v>
      </c>
    </row>
    <row r="21" spans="1:59" x14ac:dyDescent="0.3">
      <c r="A21" s="2"/>
      <c r="B21" t="s">
        <v>88</v>
      </c>
      <c r="C21" t="s">
        <v>75</v>
      </c>
      <c r="D21">
        <v>-34.9285</v>
      </c>
      <c r="E21">
        <v>138.60069999999999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3</v>
      </c>
      <c r="AS21">
        <v>3</v>
      </c>
      <c r="AT21">
        <v>3</v>
      </c>
      <c r="AU21">
        <v>3</v>
      </c>
      <c r="AV21">
        <v>5</v>
      </c>
      <c r="AW21">
        <v>5</v>
      </c>
      <c r="AX21">
        <v>7</v>
      </c>
      <c r="AY21">
        <v>7</v>
      </c>
      <c r="AZ21">
        <v>7</v>
      </c>
      <c r="BA21">
        <v>7</v>
      </c>
      <c r="BB21">
        <v>7</v>
      </c>
      <c r="BC21">
        <v>9</v>
      </c>
      <c r="BD21">
        <v>9</v>
      </c>
      <c r="BE21">
        <v>16</v>
      </c>
      <c r="BF21">
        <v>19</v>
      </c>
      <c r="BG21">
        <v>20</v>
      </c>
    </row>
    <row r="22" spans="1:59" x14ac:dyDescent="0.3">
      <c r="A22" s="2"/>
      <c r="C22" t="s">
        <v>90</v>
      </c>
      <c r="D22">
        <v>50.833300000000001</v>
      </c>
      <c r="E22">
        <v>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2</v>
      </c>
      <c r="AT22">
        <v>8</v>
      </c>
      <c r="AU22">
        <v>13</v>
      </c>
      <c r="AV22">
        <v>23</v>
      </c>
      <c r="AW22">
        <v>50</v>
      </c>
      <c r="AX22">
        <v>109</v>
      </c>
      <c r="AY22">
        <v>169</v>
      </c>
      <c r="AZ22">
        <v>200</v>
      </c>
      <c r="BA22">
        <v>239</v>
      </c>
      <c r="BB22">
        <v>267</v>
      </c>
      <c r="BC22">
        <v>314</v>
      </c>
      <c r="BD22">
        <v>314</v>
      </c>
      <c r="BE22">
        <v>559</v>
      </c>
      <c r="BF22">
        <v>689</v>
      </c>
      <c r="BG22">
        <v>886</v>
      </c>
    </row>
    <row r="23" spans="1:59" x14ac:dyDescent="0.3">
      <c r="A23" s="2"/>
      <c r="C23" t="s">
        <v>92</v>
      </c>
      <c r="D23">
        <v>26</v>
      </c>
      <c r="E23">
        <v>30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2</v>
      </c>
      <c r="AT23">
        <v>2</v>
      </c>
      <c r="AU23">
        <v>2</v>
      </c>
      <c r="AV23">
        <v>2</v>
      </c>
      <c r="AW23">
        <v>3</v>
      </c>
      <c r="AX23">
        <v>15</v>
      </c>
      <c r="AY23">
        <v>15</v>
      </c>
      <c r="AZ23">
        <v>49</v>
      </c>
      <c r="BA23">
        <v>55</v>
      </c>
      <c r="BB23">
        <v>59</v>
      </c>
      <c r="BC23">
        <v>60</v>
      </c>
      <c r="BD23">
        <v>67</v>
      </c>
      <c r="BE23">
        <v>80</v>
      </c>
      <c r="BF23">
        <v>109</v>
      </c>
      <c r="BG23">
        <v>110</v>
      </c>
    </row>
    <row r="24" spans="1:59" x14ac:dyDescent="0.3">
      <c r="A24" s="2"/>
      <c r="B24" t="s">
        <v>93</v>
      </c>
      <c r="C24" t="s">
        <v>75</v>
      </c>
      <c r="D24">
        <v>35.4437</v>
      </c>
      <c r="E24">
        <v>139.63800000000001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4</v>
      </c>
      <c r="AK24">
        <v>7</v>
      </c>
      <c r="AL24">
        <v>7</v>
      </c>
      <c r="AM24">
        <v>7</v>
      </c>
      <c r="AN24">
        <v>7</v>
      </c>
      <c r="AO24">
        <v>7</v>
      </c>
      <c r="AP24">
        <v>8</v>
      </c>
      <c r="AQ24">
        <v>8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  <row r="25" spans="1:59" x14ac:dyDescent="0.3">
      <c r="A25" s="2"/>
      <c r="C25" t="s">
        <v>94</v>
      </c>
      <c r="D25">
        <v>33.854700000000001</v>
      </c>
      <c r="E25">
        <v>35.862299999999998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2</v>
      </c>
      <c r="AP25">
        <v>2</v>
      </c>
      <c r="AQ25">
        <v>2</v>
      </c>
      <c r="AR25">
        <v>4</v>
      </c>
      <c r="AS25">
        <v>10</v>
      </c>
      <c r="AT25">
        <v>13</v>
      </c>
      <c r="AU25">
        <v>13</v>
      </c>
      <c r="AV25">
        <v>13</v>
      </c>
      <c r="AW25">
        <v>16</v>
      </c>
      <c r="AX25">
        <v>22</v>
      </c>
      <c r="AY25">
        <v>22</v>
      </c>
      <c r="AZ25">
        <v>32</v>
      </c>
      <c r="BA25">
        <v>32</v>
      </c>
      <c r="BB25">
        <v>41</v>
      </c>
      <c r="BC25">
        <v>61</v>
      </c>
      <c r="BD25">
        <v>61</v>
      </c>
      <c r="BE25">
        <v>77</v>
      </c>
      <c r="BF25">
        <v>93</v>
      </c>
      <c r="BG25">
        <v>110</v>
      </c>
    </row>
    <row r="26" spans="1:59" x14ac:dyDescent="0.3">
      <c r="A26" s="2"/>
      <c r="C26" t="s">
        <v>97</v>
      </c>
      <c r="D26">
        <v>33</v>
      </c>
      <c r="E26">
        <v>44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1</v>
      </c>
      <c r="AN26">
        <v>1</v>
      </c>
      <c r="AO26">
        <v>5</v>
      </c>
      <c r="AP26">
        <v>7</v>
      </c>
      <c r="AQ26">
        <v>7</v>
      </c>
      <c r="AR26">
        <v>13</v>
      </c>
      <c r="AS26">
        <v>19</v>
      </c>
      <c r="AT26">
        <v>26</v>
      </c>
      <c r="AU26">
        <v>32</v>
      </c>
      <c r="AV26">
        <v>35</v>
      </c>
      <c r="AW26">
        <v>35</v>
      </c>
      <c r="AX26">
        <v>40</v>
      </c>
      <c r="AY26">
        <v>54</v>
      </c>
      <c r="AZ26">
        <v>60</v>
      </c>
      <c r="BA26">
        <v>60</v>
      </c>
      <c r="BB26">
        <v>71</v>
      </c>
      <c r="BC26">
        <v>71</v>
      </c>
      <c r="BD26">
        <v>71</v>
      </c>
      <c r="BE26">
        <v>101</v>
      </c>
      <c r="BF26">
        <v>110</v>
      </c>
      <c r="BG26">
        <v>116</v>
      </c>
    </row>
    <row r="27" spans="1:59" x14ac:dyDescent="0.3">
      <c r="A27" s="2"/>
      <c r="C27" t="s">
        <v>98</v>
      </c>
      <c r="D27">
        <v>21</v>
      </c>
      <c r="E27">
        <v>57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2</v>
      </c>
      <c r="AN27">
        <v>2</v>
      </c>
      <c r="AO27">
        <v>4</v>
      </c>
      <c r="AP27">
        <v>4</v>
      </c>
      <c r="AQ27">
        <v>4</v>
      </c>
      <c r="AR27">
        <v>6</v>
      </c>
      <c r="AS27">
        <v>6</v>
      </c>
      <c r="AT27">
        <v>6</v>
      </c>
      <c r="AU27">
        <v>12</v>
      </c>
      <c r="AV27">
        <v>15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18</v>
      </c>
      <c r="BC27">
        <v>18</v>
      </c>
      <c r="BD27">
        <v>18</v>
      </c>
      <c r="BE27">
        <v>19</v>
      </c>
      <c r="BF27">
        <v>19</v>
      </c>
      <c r="BG27">
        <v>22</v>
      </c>
    </row>
    <row r="28" spans="1:59" x14ac:dyDescent="0.3">
      <c r="A28" s="2"/>
      <c r="C28" t="s">
        <v>99</v>
      </c>
      <c r="D28">
        <v>33</v>
      </c>
      <c r="E28">
        <v>65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4</v>
      </c>
      <c r="BA28">
        <v>4</v>
      </c>
      <c r="BB28">
        <v>5</v>
      </c>
      <c r="BC28">
        <v>7</v>
      </c>
      <c r="BD28">
        <v>7</v>
      </c>
      <c r="BE28">
        <v>7</v>
      </c>
      <c r="BF28">
        <v>11</v>
      </c>
      <c r="BG28">
        <v>16</v>
      </c>
    </row>
    <row r="29" spans="1:59" x14ac:dyDescent="0.3">
      <c r="A29" s="2"/>
      <c r="C29" t="s">
        <v>100</v>
      </c>
      <c r="D29">
        <v>26.0275</v>
      </c>
      <c r="E29">
        <v>50.55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1</v>
      </c>
      <c r="AN29">
        <v>23</v>
      </c>
      <c r="AO29">
        <v>33</v>
      </c>
      <c r="AP29">
        <v>33</v>
      </c>
      <c r="AQ29">
        <v>36</v>
      </c>
      <c r="AR29">
        <v>41</v>
      </c>
      <c r="AS29">
        <v>47</v>
      </c>
      <c r="AT29">
        <v>49</v>
      </c>
      <c r="AU29">
        <v>49</v>
      </c>
      <c r="AV29">
        <v>52</v>
      </c>
      <c r="AW29">
        <v>55</v>
      </c>
      <c r="AX29">
        <v>60</v>
      </c>
      <c r="AY29">
        <v>85</v>
      </c>
      <c r="AZ29">
        <v>85</v>
      </c>
      <c r="BA29">
        <v>95</v>
      </c>
      <c r="BB29">
        <v>110</v>
      </c>
      <c r="BC29">
        <v>195</v>
      </c>
      <c r="BD29">
        <v>195</v>
      </c>
      <c r="BE29">
        <v>189</v>
      </c>
      <c r="BF29">
        <v>210</v>
      </c>
      <c r="BG29">
        <v>214</v>
      </c>
    </row>
    <row r="30" spans="1:59" x14ac:dyDescent="0.3">
      <c r="A30" s="2"/>
      <c r="C30" t="s">
        <v>101</v>
      </c>
      <c r="D30">
        <v>29.5</v>
      </c>
      <c r="E30">
        <v>47.75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1</v>
      </c>
      <c r="AN30">
        <v>11</v>
      </c>
      <c r="AO30">
        <v>26</v>
      </c>
      <c r="AP30">
        <v>43</v>
      </c>
      <c r="AQ30">
        <v>45</v>
      </c>
      <c r="AR30">
        <v>45</v>
      </c>
      <c r="AS30">
        <v>45</v>
      </c>
      <c r="AT30">
        <v>56</v>
      </c>
      <c r="AU30">
        <v>56</v>
      </c>
      <c r="AV30">
        <v>56</v>
      </c>
      <c r="AW30">
        <v>58</v>
      </c>
      <c r="AX30">
        <v>58</v>
      </c>
      <c r="AY30">
        <v>61</v>
      </c>
      <c r="AZ30">
        <v>64</v>
      </c>
      <c r="BA30">
        <v>64</v>
      </c>
      <c r="BB30">
        <v>69</v>
      </c>
      <c r="BC30">
        <v>72</v>
      </c>
      <c r="BD30">
        <v>80</v>
      </c>
      <c r="BE30">
        <v>80</v>
      </c>
      <c r="BF30">
        <v>104</v>
      </c>
      <c r="BG30">
        <v>112</v>
      </c>
    </row>
    <row r="31" spans="1:59" x14ac:dyDescent="0.3">
      <c r="A31" s="2"/>
      <c r="C31" t="s">
        <v>102</v>
      </c>
      <c r="D31">
        <v>28.033899999999999</v>
      </c>
      <c r="E31">
        <v>1.6596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3</v>
      </c>
      <c r="AU31">
        <v>5</v>
      </c>
      <c r="AV31">
        <v>12</v>
      </c>
      <c r="AW31">
        <v>12</v>
      </c>
      <c r="AX31">
        <v>17</v>
      </c>
      <c r="AY31">
        <v>17</v>
      </c>
      <c r="AZ31">
        <v>19</v>
      </c>
      <c r="BA31">
        <v>20</v>
      </c>
      <c r="BB31">
        <v>20</v>
      </c>
      <c r="BC31">
        <v>20</v>
      </c>
      <c r="BD31">
        <v>24</v>
      </c>
      <c r="BE31">
        <v>26</v>
      </c>
      <c r="BF31">
        <v>37</v>
      </c>
      <c r="BG31">
        <v>48</v>
      </c>
    </row>
    <row r="32" spans="1:59" x14ac:dyDescent="0.3">
      <c r="A32" s="2"/>
      <c r="C32" t="s">
        <v>103</v>
      </c>
      <c r="D32">
        <v>45.1</v>
      </c>
      <c r="E32">
        <v>15.2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</v>
      </c>
      <c r="AO32">
        <v>3</v>
      </c>
      <c r="AP32">
        <v>3</v>
      </c>
      <c r="AQ32">
        <v>5</v>
      </c>
      <c r="AR32">
        <v>6</v>
      </c>
      <c r="AS32">
        <v>7</v>
      </c>
      <c r="AT32">
        <v>7</v>
      </c>
      <c r="AU32">
        <v>9</v>
      </c>
      <c r="AV32">
        <v>10</v>
      </c>
      <c r="AW32">
        <v>10</v>
      </c>
      <c r="AX32">
        <v>11</v>
      </c>
      <c r="AY32">
        <v>12</v>
      </c>
      <c r="AZ32">
        <v>12</v>
      </c>
      <c r="BA32">
        <v>12</v>
      </c>
      <c r="BB32">
        <v>14</v>
      </c>
      <c r="BC32">
        <v>19</v>
      </c>
      <c r="BD32">
        <v>19</v>
      </c>
      <c r="BE32">
        <v>32</v>
      </c>
      <c r="BF32">
        <v>38</v>
      </c>
      <c r="BG32">
        <v>49</v>
      </c>
    </row>
    <row r="33" spans="1:59" x14ac:dyDescent="0.3">
      <c r="A33" s="2"/>
      <c r="C33" t="s">
        <v>104</v>
      </c>
      <c r="D33">
        <v>46.818199999999997</v>
      </c>
      <c r="E33">
        <v>8.2274999999999991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1</v>
      </c>
      <c r="AO33">
        <v>1</v>
      </c>
      <c r="AP33">
        <v>8</v>
      </c>
      <c r="AQ33">
        <v>8</v>
      </c>
      <c r="AR33">
        <v>18</v>
      </c>
      <c r="AS33">
        <v>27</v>
      </c>
      <c r="AT33">
        <v>42</v>
      </c>
      <c r="AU33">
        <v>56</v>
      </c>
      <c r="AV33">
        <v>90</v>
      </c>
      <c r="AW33">
        <v>114</v>
      </c>
      <c r="AX33">
        <v>214</v>
      </c>
      <c r="AY33">
        <v>268</v>
      </c>
      <c r="AZ33">
        <v>337</v>
      </c>
      <c r="BA33">
        <v>374</v>
      </c>
      <c r="BB33">
        <v>491</v>
      </c>
      <c r="BC33">
        <v>652</v>
      </c>
      <c r="BD33">
        <v>652</v>
      </c>
      <c r="BE33">
        <v>1139</v>
      </c>
      <c r="BF33">
        <v>1359</v>
      </c>
      <c r="BG33">
        <v>2200</v>
      </c>
    </row>
    <row r="34" spans="1:59" x14ac:dyDescent="0.3">
      <c r="A34" s="2"/>
      <c r="C34" t="s">
        <v>105</v>
      </c>
      <c r="D34">
        <v>47.516199999999998</v>
      </c>
      <c r="E34">
        <v>14.5501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2</v>
      </c>
      <c r="AO34">
        <v>2</v>
      </c>
      <c r="AP34">
        <v>3</v>
      </c>
      <c r="AQ34">
        <v>3</v>
      </c>
      <c r="AR34">
        <v>9</v>
      </c>
      <c r="AS34">
        <v>14</v>
      </c>
      <c r="AT34">
        <v>18</v>
      </c>
      <c r="AU34">
        <v>21</v>
      </c>
      <c r="AV34">
        <v>29</v>
      </c>
      <c r="AW34">
        <v>41</v>
      </c>
      <c r="AX34">
        <v>55</v>
      </c>
      <c r="AY34">
        <v>79</v>
      </c>
      <c r="AZ34">
        <v>104</v>
      </c>
      <c r="BA34">
        <v>131</v>
      </c>
      <c r="BB34">
        <v>182</v>
      </c>
      <c r="BC34">
        <v>246</v>
      </c>
      <c r="BD34">
        <v>302</v>
      </c>
      <c r="BE34">
        <v>504</v>
      </c>
      <c r="BF34">
        <v>655</v>
      </c>
      <c r="BG34">
        <v>860</v>
      </c>
    </row>
    <row r="35" spans="1:59" x14ac:dyDescent="0.3">
      <c r="A35" s="2"/>
      <c r="C35" t="s">
        <v>106</v>
      </c>
      <c r="D35">
        <v>31</v>
      </c>
      <c r="E35">
        <v>35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2</v>
      </c>
      <c r="AP35">
        <v>3</v>
      </c>
      <c r="AQ35">
        <v>4</v>
      </c>
      <c r="AR35">
        <v>7</v>
      </c>
      <c r="AS35">
        <v>10</v>
      </c>
      <c r="AT35">
        <v>10</v>
      </c>
      <c r="AU35">
        <v>12</v>
      </c>
      <c r="AV35">
        <v>15</v>
      </c>
      <c r="AW35">
        <v>20</v>
      </c>
      <c r="AX35">
        <v>37</v>
      </c>
      <c r="AY35">
        <v>43</v>
      </c>
      <c r="AZ35">
        <v>61</v>
      </c>
      <c r="BA35">
        <v>61</v>
      </c>
      <c r="BB35">
        <v>83</v>
      </c>
      <c r="BC35">
        <v>109</v>
      </c>
      <c r="BD35">
        <v>131</v>
      </c>
      <c r="BE35">
        <v>161</v>
      </c>
      <c r="BF35">
        <v>193</v>
      </c>
      <c r="BG35">
        <v>251</v>
      </c>
    </row>
    <row r="36" spans="1:59" x14ac:dyDescent="0.3">
      <c r="A36" s="2"/>
      <c r="C36" t="s">
        <v>107</v>
      </c>
      <c r="D36">
        <v>30.375299999999999</v>
      </c>
      <c r="E36">
        <v>69.345100000000002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2</v>
      </c>
      <c r="AP36">
        <v>2</v>
      </c>
      <c r="AQ36">
        <v>2</v>
      </c>
      <c r="AR36">
        <v>4</v>
      </c>
      <c r="AS36">
        <v>4</v>
      </c>
      <c r="AT36">
        <v>4</v>
      </c>
      <c r="AU36">
        <v>5</v>
      </c>
      <c r="AV36">
        <v>5</v>
      </c>
      <c r="AW36">
        <v>5</v>
      </c>
      <c r="AX36">
        <v>6</v>
      </c>
      <c r="AY36">
        <v>6</v>
      </c>
      <c r="AZ36">
        <v>6</v>
      </c>
      <c r="BA36">
        <v>6</v>
      </c>
      <c r="BB36">
        <v>16</v>
      </c>
      <c r="BC36">
        <v>19</v>
      </c>
      <c r="BD36">
        <v>20</v>
      </c>
      <c r="BE36">
        <v>28</v>
      </c>
      <c r="BF36">
        <v>31</v>
      </c>
      <c r="BG36">
        <v>53</v>
      </c>
    </row>
    <row r="37" spans="1:59" x14ac:dyDescent="0.3">
      <c r="A37" s="2"/>
      <c r="C37" t="s">
        <v>108</v>
      </c>
      <c r="D37">
        <v>-14.234999999999999</v>
      </c>
      <c r="E37">
        <v>-51.9253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>
        <v>2</v>
      </c>
      <c r="AS37">
        <v>2</v>
      </c>
      <c r="AT37">
        <v>2</v>
      </c>
      <c r="AU37">
        <v>2</v>
      </c>
      <c r="AV37">
        <v>4</v>
      </c>
      <c r="AW37">
        <v>4</v>
      </c>
      <c r="AX37">
        <v>13</v>
      </c>
      <c r="AY37">
        <v>13</v>
      </c>
      <c r="AZ37">
        <v>20</v>
      </c>
      <c r="BA37">
        <v>25</v>
      </c>
      <c r="BB37">
        <v>31</v>
      </c>
      <c r="BC37">
        <v>38</v>
      </c>
      <c r="BD37">
        <v>52</v>
      </c>
      <c r="BE37">
        <v>151</v>
      </c>
      <c r="BF37">
        <v>151</v>
      </c>
      <c r="BG37">
        <v>162</v>
      </c>
    </row>
    <row r="38" spans="1:59" x14ac:dyDescent="0.3">
      <c r="A38" s="2"/>
      <c r="C38" t="s">
        <v>109</v>
      </c>
      <c r="D38">
        <v>42.315399999999997</v>
      </c>
      <c r="E38">
        <v>43.356900000000003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>
        <v>1</v>
      </c>
      <c r="AS38">
        <v>3</v>
      </c>
      <c r="AT38">
        <v>3</v>
      </c>
      <c r="AU38">
        <v>3</v>
      </c>
      <c r="AV38">
        <v>3</v>
      </c>
      <c r="AW38">
        <v>4</v>
      </c>
      <c r="AX38">
        <v>4</v>
      </c>
      <c r="AY38">
        <v>4</v>
      </c>
      <c r="AZ38">
        <v>13</v>
      </c>
      <c r="BA38">
        <v>15</v>
      </c>
      <c r="BB38">
        <v>15</v>
      </c>
      <c r="BC38">
        <v>24</v>
      </c>
      <c r="BD38">
        <v>24</v>
      </c>
      <c r="BE38">
        <v>25</v>
      </c>
      <c r="BF38">
        <v>30</v>
      </c>
      <c r="BG38">
        <v>33</v>
      </c>
    </row>
    <row r="39" spans="1:59" x14ac:dyDescent="0.3">
      <c r="A39" s="2"/>
      <c r="C39" t="s">
        <v>110</v>
      </c>
      <c r="D39">
        <v>39.074199999999998</v>
      </c>
      <c r="E39">
        <v>21.824300000000001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1</v>
      </c>
      <c r="AP39">
        <v>3</v>
      </c>
      <c r="AQ39">
        <v>4</v>
      </c>
      <c r="AR39">
        <v>4</v>
      </c>
      <c r="AS39">
        <v>7</v>
      </c>
      <c r="AT39">
        <v>7</v>
      </c>
      <c r="AU39">
        <v>7</v>
      </c>
      <c r="AV39">
        <v>9</v>
      </c>
      <c r="AW39">
        <v>31</v>
      </c>
      <c r="AX39">
        <v>45</v>
      </c>
      <c r="AY39">
        <v>46</v>
      </c>
      <c r="AZ39">
        <v>73</v>
      </c>
      <c r="BA39">
        <v>73</v>
      </c>
      <c r="BB39">
        <v>89</v>
      </c>
      <c r="BC39">
        <v>99</v>
      </c>
      <c r="BD39">
        <v>99</v>
      </c>
      <c r="BE39">
        <v>190</v>
      </c>
      <c r="BF39">
        <v>228</v>
      </c>
      <c r="BG39">
        <v>331</v>
      </c>
    </row>
    <row r="40" spans="1:59" x14ac:dyDescent="0.3">
      <c r="A40" s="2"/>
      <c r="C40" t="s">
        <v>111</v>
      </c>
      <c r="D40">
        <v>41.608600000000003</v>
      </c>
      <c r="E40">
        <v>21.7453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3</v>
      </c>
      <c r="AY40">
        <v>3</v>
      </c>
      <c r="AZ40">
        <v>3</v>
      </c>
      <c r="BA40">
        <v>3</v>
      </c>
      <c r="BB40">
        <v>7</v>
      </c>
      <c r="BC40">
        <v>7</v>
      </c>
      <c r="BD40">
        <v>7</v>
      </c>
      <c r="BE40">
        <v>14</v>
      </c>
      <c r="BF40">
        <v>14</v>
      </c>
      <c r="BG40">
        <v>14</v>
      </c>
    </row>
    <row r="41" spans="1:59" x14ac:dyDescent="0.3">
      <c r="A41" s="2"/>
      <c r="C41" t="s">
        <v>112</v>
      </c>
      <c r="D41">
        <v>60.472000000000001</v>
      </c>
      <c r="E41">
        <v>8.4688999999999997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6</v>
      </c>
      <c r="AR41">
        <v>15</v>
      </c>
      <c r="AS41">
        <v>19</v>
      </c>
      <c r="AT41">
        <v>25</v>
      </c>
      <c r="AU41">
        <v>32</v>
      </c>
      <c r="AV41">
        <v>56</v>
      </c>
      <c r="AW41">
        <v>87</v>
      </c>
      <c r="AX41">
        <v>108</v>
      </c>
      <c r="AY41">
        <v>147</v>
      </c>
      <c r="AZ41">
        <v>176</v>
      </c>
      <c r="BA41">
        <v>205</v>
      </c>
      <c r="BB41">
        <v>400</v>
      </c>
      <c r="BC41">
        <v>598</v>
      </c>
      <c r="BD41">
        <v>702</v>
      </c>
      <c r="BE41">
        <v>996</v>
      </c>
      <c r="BF41">
        <v>1090</v>
      </c>
      <c r="BG41">
        <v>1221</v>
      </c>
    </row>
    <row r="42" spans="1:59" x14ac:dyDescent="0.3">
      <c r="A42" s="2"/>
      <c r="C42" t="s">
        <v>113</v>
      </c>
      <c r="D42">
        <v>45.943199999999997</v>
      </c>
      <c r="E42">
        <v>24.966799999999999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9</v>
      </c>
      <c r="AZ42">
        <v>15</v>
      </c>
      <c r="BA42">
        <v>15</v>
      </c>
      <c r="BB42">
        <v>25</v>
      </c>
      <c r="BC42">
        <v>45</v>
      </c>
      <c r="BD42">
        <v>49</v>
      </c>
      <c r="BE42">
        <v>89</v>
      </c>
      <c r="BF42">
        <v>123</v>
      </c>
      <c r="BG42">
        <v>131</v>
      </c>
    </row>
    <row r="43" spans="1:59" x14ac:dyDescent="0.3">
      <c r="A43" s="2"/>
      <c r="C43" t="s">
        <v>115</v>
      </c>
      <c r="D43">
        <v>58.595300000000002</v>
      </c>
      <c r="E43">
        <v>25.0136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2</v>
      </c>
      <c r="AV43">
        <v>2</v>
      </c>
      <c r="AW43">
        <v>3</v>
      </c>
      <c r="AX43">
        <v>10</v>
      </c>
      <c r="AY43">
        <v>10</v>
      </c>
      <c r="AZ43">
        <v>10</v>
      </c>
      <c r="BA43">
        <v>10</v>
      </c>
      <c r="BB43">
        <v>12</v>
      </c>
      <c r="BC43">
        <v>16</v>
      </c>
      <c r="BD43">
        <v>16</v>
      </c>
      <c r="BE43">
        <v>79</v>
      </c>
      <c r="BF43">
        <v>115</v>
      </c>
      <c r="BG43">
        <v>171</v>
      </c>
    </row>
    <row r="44" spans="1:59" x14ac:dyDescent="0.3">
      <c r="A44" s="2"/>
      <c r="C44" t="s">
        <v>116</v>
      </c>
      <c r="D44">
        <v>52.132599999999996</v>
      </c>
      <c r="E44">
        <v>5.2912999999999997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6</v>
      </c>
      <c r="AS44">
        <v>10</v>
      </c>
      <c r="AT44">
        <v>18</v>
      </c>
      <c r="AU44">
        <v>24</v>
      </c>
      <c r="AV44">
        <v>38</v>
      </c>
      <c r="AW44">
        <v>82</v>
      </c>
      <c r="AX44">
        <v>128</v>
      </c>
      <c r="AY44">
        <v>188</v>
      </c>
      <c r="AZ44">
        <v>265</v>
      </c>
      <c r="BA44">
        <v>321</v>
      </c>
      <c r="BB44">
        <v>382</v>
      </c>
      <c r="BC44">
        <v>503</v>
      </c>
      <c r="BD44">
        <v>503</v>
      </c>
      <c r="BE44">
        <v>804</v>
      </c>
      <c r="BF44">
        <v>959</v>
      </c>
      <c r="BG44">
        <v>1135</v>
      </c>
    </row>
    <row r="45" spans="1:59" x14ac:dyDescent="0.3">
      <c r="A45" s="2"/>
      <c r="C45" t="s">
        <v>117</v>
      </c>
      <c r="D45">
        <v>43.942399999999999</v>
      </c>
      <c r="E45">
        <v>12.457800000000001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8</v>
      </c>
      <c r="AU45">
        <v>10</v>
      </c>
      <c r="AV45">
        <v>16</v>
      </c>
      <c r="AW45">
        <v>21</v>
      </c>
      <c r="AX45">
        <v>21</v>
      </c>
      <c r="AY45">
        <v>23</v>
      </c>
      <c r="AZ45">
        <v>36</v>
      </c>
      <c r="BA45">
        <v>36</v>
      </c>
      <c r="BB45">
        <v>51</v>
      </c>
      <c r="BC45">
        <v>62</v>
      </c>
      <c r="BD45">
        <v>69</v>
      </c>
      <c r="BE45">
        <v>80</v>
      </c>
      <c r="BF45">
        <v>80</v>
      </c>
      <c r="BG45">
        <v>101</v>
      </c>
    </row>
    <row r="46" spans="1:59" x14ac:dyDescent="0.3">
      <c r="A46" s="2"/>
      <c r="C46" t="s">
        <v>118</v>
      </c>
      <c r="D46">
        <v>53.709800000000001</v>
      </c>
      <c r="E46">
        <v>27.953399999999998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6</v>
      </c>
      <c r="AW46">
        <v>6</v>
      </c>
      <c r="AX46">
        <v>6</v>
      </c>
      <c r="AY46">
        <v>6</v>
      </c>
      <c r="AZ46">
        <v>6</v>
      </c>
      <c r="BA46">
        <v>6</v>
      </c>
      <c r="BB46">
        <v>9</v>
      </c>
      <c r="BC46">
        <v>9</v>
      </c>
      <c r="BD46">
        <v>12</v>
      </c>
      <c r="BE46">
        <v>27</v>
      </c>
      <c r="BF46">
        <v>27</v>
      </c>
      <c r="BG46">
        <v>27</v>
      </c>
    </row>
    <row r="47" spans="1:59" x14ac:dyDescent="0.3">
      <c r="A47" s="2"/>
      <c r="C47" t="s">
        <v>119</v>
      </c>
      <c r="D47">
        <v>64.963099999999997</v>
      </c>
      <c r="E47">
        <v>-19.020800000000001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</v>
      </c>
      <c r="AR47">
        <v>1</v>
      </c>
      <c r="AS47">
        <v>3</v>
      </c>
      <c r="AT47">
        <v>6</v>
      </c>
      <c r="AU47">
        <v>11</v>
      </c>
      <c r="AV47">
        <v>26</v>
      </c>
      <c r="AW47">
        <v>34</v>
      </c>
      <c r="AX47">
        <v>43</v>
      </c>
      <c r="AY47">
        <v>50</v>
      </c>
      <c r="AZ47">
        <v>50</v>
      </c>
      <c r="BA47">
        <v>58</v>
      </c>
      <c r="BB47">
        <v>69</v>
      </c>
      <c r="BC47">
        <v>85</v>
      </c>
      <c r="BD47">
        <v>103</v>
      </c>
      <c r="BE47">
        <v>134</v>
      </c>
      <c r="BF47">
        <v>156</v>
      </c>
      <c r="BG47">
        <v>171</v>
      </c>
    </row>
    <row r="48" spans="1:59" x14ac:dyDescent="0.3">
      <c r="A48" s="2"/>
      <c r="C48" t="s">
        <v>120</v>
      </c>
      <c r="D48">
        <v>55.169400000000003</v>
      </c>
      <c r="E48">
        <v>23.8813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3</v>
      </c>
      <c r="BE48">
        <v>6</v>
      </c>
      <c r="BF48">
        <v>8</v>
      </c>
      <c r="BG48">
        <v>12</v>
      </c>
    </row>
    <row r="49" spans="1:59" x14ac:dyDescent="0.3">
      <c r="A49" s="2"/>
      <c r="C49" t="s">
        <v>121</v>
      </c>
      <c r="D49">
        <v>23.634499999999999</v>
      </c>
      <c r="E49">
        <v>-102.5528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1</v>
      </c>
      <c r="AR49">
        <v>4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6</v>
      </c>
      <c r="AY49">
        <v>6</v>
      </c>
      <c r="AZ49">
        <v>7</v>
      </c>
      <c r="BA49">
        <v>7</v>
      </c>
      <c r="BB49">
        <v>7</v>
      </c>
      <c r="BC49">
        <v>8</v>
      </c>
      <c r="BD49">
        <v>12</v>
      </c>
      <c r="BE49">
        <v>12</v>
      </c>
      <c r="BF49">
        <v>26</v>
      </c>
      <c r="BG49">
        <v>41</v>
      </c>
    </row>
    <row r="50" spans="1:59" x14ac:dyDescent="0.3">
      <c r="A50" s="2"/>
      <c r="C50" t="s">
        <v>122</v>
      </c>
      <c r="D50">
        <v>-40.900599999999997</v>
      </c>
      <c r="E50">
        <v>174.886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3</v>
      </c>
      <c r="AW50">
        <v>3</v>
      </c>
      <c r="AX50">
        <v>4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6</v>
      </c>
      <c r="BG50">
        <v>8</v>
      </c>
    </row>
    <row r="51" spans="1:59" x14ac:dyDescent="0.3">
      <c r="A51" s="2"/>
      <c r="C51" t="s">
        <v>123</v>
      </c>
      <c r="D51">
        <v>9.0820000000000007</v>
      </c>
      <c r="E51">
        <v>8.6753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</row>
    <row r="52" spans="1:59" x14ac:dyDescent="0.3">
      <c r="A52" s="2"/>
      <c r="B52" t="s">
        <v>124</v>
      </c>
      <c r="C52" t="s">
        <v>75</v>
      </c>
      <c r="D52">
        <v>-31.950500000000002</v>
      </c>
      <c r="E52">
        <v>115.8605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3</v>
      </c>
      <c r="AX52">
        <v>3</v>
      </c>
      <c r="AY52">
        <v>3</v>
      </c>
      <c r="AZ52">
        <v>3</v>
      </c>
      <c r="BA52">
        <v>4</v>
      </c>
      <c r="BB52">
        <v>6</v>
      </c>
      <c r="BC52">
        <v>9</v>
      </c>
      <c r="BD52">
        <v>9</v>
      </c>
      <c r="BE52">
        <v>14</v>
      </c>
      <c r="BF52">
        <v>17</v>
      </c>
      <c r="BG52">
        <v>17</v>
      </c>
    </row>
    <row r="53" spans="1:59" x14ac:dyDescent="0.3">
      <c r="A53" s="2"/>
      <c r="C53" t="s">
        <v>125</v>
      </c>
      <c r="D53">
        <v>53.142400000000002</v>
      </c>
      <c r="E53">
        <v>-7.6920999999999999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</v>
      </c>
      <c r="AS53">
        <v>1</v>
      </c>
      <c r="AT53">
        <v>1</v>
      </c>
      <c r="AU53">
        <v>2</v>
      </c>
      <c r="AV53">
        <v>6</v>
      </c>
      <c r="AW53">
        <v>6</v>
      </c>
      <c r="AX53">
        <v>18</v>
      </c>
      <c r="AY53">
        <v>18</v>
      </c>
      <c r="AZ53">
        <v>19</v>
      </c>
      <c r="BA53">
        <v>21</v>
      </c>
      <c r="BB53">
        <v>34</v>
      </c>
      <c r="BC53">
        <v>43</v>
      </c>
      <c r="BD53">
        <v>43</v>
      </c>
      <c r="BE53">
        <v>90</v>
      </c>
      <c r="BF53">
        <v>129</v>
      </c>
      <c r="BG53">
        <v>129</v>
      </c>
    </row>
    <row r="54" spans="1:59" x14ac:dyDescent="0.3">
      <c r="A54" s="2"/>
      <c r="C54" t="s">
        <v>126</v>
      </c>
      <c r="D54">
        <v>49.815300000000001</v>
      </c>
      <c r="E54">
        <v>6.1295999999999999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2</v>
      </c>
      <c r="AY54">
        <v>2</v>
      </c>
      <c r="AZ54">
        <v>3</v>
      </c>
      <c r="BA54">
        <v>3</v>
      </c>
      <c r="BB54">
        <v>5</v>
      </c>
      <c r="BC54">
        <v>7</v>
      </c>
      <c r="BD54">
        <v>19</v>
      </c>
      <c r="BE54">
        <v>34</v>
      </c>
      <c r="BF54">
        <v>51</v>
      </c>
      <c r="BG54">
        <v>59</v>
      </c>
    </row>
    <row r="55" spans="1:59" x14ac:dyDescent="0.3">
      <c r="A55" s="2"/>
      <c r="C55" t="s">
        <v>127</v>
      </c>
      <c r="D55">
        <v>43.7333</v>
      </c>
      <c r="E55">
        <v>7.4166999999999996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2</v>
      </c>
      <c r="BE55">
        <v>2</v>
      </c>
      <c r="BF55">
        <v>2</v>
      </c>
      <c r="BG55">
        <v>2</v>
      </c>
    </row>
    <row r="56" spans="1:59" x14ac:dyDescent="0.3">
      <c r="A56" s="2"/>
      <c r="C56" t="s">
        <v>128</v>
      </c>
      <c r="D56">
        <v>25.354800000000001</v>
      </c>
      <c r="E56">
        <v>51.183900000000001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1</v>
      </c>
      <c r="AS56">
        <v>3</v>
      </c>
      <c r="AT56">
        <v>3</v>
      </c>
      <c r="AU56">
        <v>7</v>
      </c>
      <c r="AV56">
        <v>8</v>
      </c>
      <c r="AW56">
        <v>8</v>
      </c>
      <c r="AX56">
        <v>8</v>
      </c>
      <c r="AY56">
        <v>8</v>
      </c>
      <c r="AZ56">
        <v>15</v>
      </c>
      <c r="BA56">
        <v>18</v>
      </c>
      <c r="BB56">
        <v>24</v>
      </c>
      <c r="BC56">
        <v>262</v>
      </c>
      <c r="BD56">
        <v>262</v>
      </c>
      <c r="BE56">
        <v>320</v>
      </c>
      <c r="BF56">
        <v>337</v>
      </c>
      <c r="BG56">
        <v>401</v>
      </c>
    </row>
    <row r="57" spans="1:59" x14ac:dyDescent="0.3">
      <c r="A57" s="2"/>
      <c r="C57" t="s">
        <v>130</v>
      </c>
      <c r="D57">
        <v>-1.8311999999999999</v>
      </c>
      <c r="E57">
        <v>-78.183400000000006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6</v>
      </c>
      <c r="AT57">
        <v>6</v>
      </c>
      <c r="AU57">
        <v>7</v>
      </c>
      <c r="AV57">
        <v>10</v>
      </c>
      <c r="AW57">
        <v>13</v>
      </c>
      <c r="AX57">
        <v>13</v>
      </c>
      <c r="AY57">
        <v>13</v>
      </c>
      <c r="AZ57">
        <v>14</v>
      </c>
      <c r="BA57">
        <v>15</v>
      </c>
      <c r="BB57">
        <v>15</v>
      </c>
      <c r="BC57">
        <v>17</v>
      </c>
      <c r="BD57">
        <v>17</v>
      </c>
      <c r="BE57">
        <v>17</v>
      </c>
      <c r="BF57">
        <v>28</v>
      </c>
      <c r="BG57">
        <v>28</v>
      </c>
    </row>
    <row r="58" spans="1:59" x14ac:dyDescent="0.3">
      <c r="A58" s="2"/>
      <c r="C58" t="s">
        <v>131</v>
      </c>
      <c r="D58">
        <v>40.143099999999997</v>
      </c>
      <c r="E58">
        <v>47.576900000000002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3</v>
      </c>
      <c r="AT58">
        <v>3</v>
      </c>
      <c r="AU58">
        <v>3</v>
      </c>
      <c r="AV58">
        <v>3</v>
      </c>
      <c r="AW58">
        <v>6</v>
      </c>
      <c r="AX58">
        <v>6</v>
      </c>
      <c r="AY58">
        <v>9</v>
      </c>
      <c r="AZ58">
        <v>9</v>
      </c>
      <c r="BA58">
        <v>9</v>
      </c>
      <c r="BB58">
        <v>11</v>
      </c>
      <c r="BC58">
        <v>11</v>
      </c>
      <c r="BD58">
        <v>11</v>
      </c>
      <c r="BE58">
        <v>15</v>
      </c>
      <c r="BF58">
        <v>15</v>
      </c>
      <c r="BG58">
        <v>23</v>
      </c>
    </row>
    <row r="59" spans="1:59" x14ac:dyDescent="0.3">
      <c r="A59" s="2"/>
      <c r="C59" t="s">
        <v>132</v>
      </c>
      <c r="D59">
        <v>40.069099999999999</v>
      </c>
      <c r="E59">
        <v>45.038200000000003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4</v>
      </c>
      <c r="BE59">
        <v>8</v>
      </c>
      <c r="BF59">
        <v>18</v>
      </c>
      <c r="BG59">
        <v>26</v>
      </c>
    </row>
    <row r="60" spans="1:59" x14ac:dyDescent="0.3">
      <c r="A60" s="2"/>
      <c r="C60" t="s">
        <v>133</v>
      </c>
      <c r="D60">
        <v>18.735700000000001</v>
      </c>
      <c r="E60">
        <v>-70.162700000000001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2</v>
      </c>
      <c r="AY60">
        <v>2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11</v>
      </c>
      <c r="BG60">
        <v>11</v>
      </c>
    </row>
    <row r="61" spans="1:59" x14ac:dyDescent="0.3">
      <c r="A61" s="2"/>
      <c r="C61" t="s">
        <v>134</v>
      </c>
      <c r="D61">
        <v>-0.7893</v>
      </c>
      <c r="E61">
        <v>113.9213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2</v>
      </c>
      <c r="AU61">
        <v>2</v>
      </c>
      <c r="AV61">
        <v>2</v>
      </c>
      <c r="AW61">
        <v>2</v>
      </c>
      <c r="AX61">
        <v>4</v>
      </c>
      <c r="AY61">
        <v>4</v>
      </c>
      <c r="AZ61">
        <v>6</v>
      </c>
      <c r="BA61">
        <v>19</v>
      </c>
      <c r="BB61">
        <v>27</v>
      </c>
      <c r="BC61">
        <v>34</v>
      </c>
      <c r="BD61">
        <v>34</v>
      </c>
      <c r="BE61">
        <v>69</v>
      </c>
      <c r="BF61">
        <v>96</v>
      </c>
      <c r="BG61">
        <v>117</v>
      </c>
    </row>
    <row r="62" spans="1:59" x14ac:dyDescent="0.3">
      <c r="A62" s="2"/>
      <c r="C62" t="s">
        <v>135</v>
      </c>
      <c r="D62">
        <v>39.399900000000002</v>
      </c>
      <c r="E62">
        <v>-8.2245000000000008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2</v>
      </c>
      <c r="AU62">
        <v>2</v>
      </c>
      <c r="AV62">
        <v>5</v>
      </c>
      <c r="AW62">
        <v>8</v>
      </c>
      <c r="AX62">
        <v>13</v>
      </c>
      <c r="AY62">
        <v>20</v>
      </c>
      <c r="AZ62">
        <v>30</v>
      </c>
      <c r="BA62">
        <v>30</v>
      </c>
      <c r="BB62">
        <v>41</v>
      </c>
      <c r="BC62">
        <v>59</v>
      </c>
      <c r="BD62">
        <v>59</v>
      </c>
      <c r="BE62">
        <v>112</v>
      </c>
      <c r="BF62">
        <v>169</v>
      </c>
      <c r="BG62">
        <v>245</v>
      </c>
    </row>
    <row r="63" spans="1:59" x14ac:dyDescent="0.3">
      <c r="A63" s="2"/>
      <c r="C63" t="s">
        <v>136</v>
      </c>
      <c r="D63">
        <v>42.506300000000003</v>
      </c>
      <c r="E63">
        <v>1.5218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</row>
    <row r="64" spans="1:59" x14ac:dyDescent="0.3">
      <c r="A64" s="2"/>
      <c r="B64" t="s">
        <v>137</v>
      </c>
      <c r="C64" t="s">
        <v>75</v>
      </c>
      <c r="D64">
        <v>-41.454500000000003</v>
      </c>
      <c r="E64">
        <v>145.97069999999999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2</v>
      </c>
      <c r="BA64">
        <v>2</v>
      </c>
      <c r="BB64">
        <v>2</v>
      </c>
      <c r="BC64">
        <v>3</v>
      </c>
      <c r="BD64">
        <v>3</v>
      </c>
      <c r="BE64">
        <v>5</v>
      </c>
      <c r="BF64">
        <v>5</v>
      </c>
      <c r="BG64">
        <v>6</v>
      </c>
    </row>
    <row r="65" spans="1:59" x14ac:dyDescent="0.3">
      <c r="A65" s="2"/>
      <c r="C65" t="s">
        <v>138</v>
      </c>
      <c r="D65">
        <v>56.879600000000003</v>
      </c>
      <c r="E65">
        <v>24.603200000000001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2</v>
      </c>
      <c r="BA65">
        <v>6</v>
      </c>
      <c r="BB65">
        <v>8</v>
      </c>
      <c r="BC65">
        <v>10</v>
      </c>
      <c r="BD65">
        <v>10</v>
      </c>
      <c r="BE65">
        <v>17</v>
      </c>
      <c r="BF65">
        <v>26</v>
      </c>
      <c r="BG65">
        <v>30</v>
      </c>
    </row>
    <row r="66" spans="1:59" x14ac:dyDescent="0.3">
      <c r="A66" s="2"/>
      <c r="C66" t="s">
        <v>139</v>
      </c>
      <c r="D66">
        <v>31.791699999999999</v>
      </c>
      <c r="E66">
        <v>-7.0926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3</v>
      </c>
      <c r="BC66">
        <v>5</v>
      </c>
      <c r="BD66">
        <v>6</v>
      </c>
      <c r="BE66">
        <v>7</v>
      </c>
      <c r="BF66">
        <v>17</v>
      </c>
      <c r="BG66">
        <v>28</v>
      </c>
    </row>
    <row r="67" spans="1:59" x14ac:dyDescent="0.3">
      <c r="A67" s="2"/>
      <c r="C67" t="s">
        <v>140</v>
      </c>
      <c r="D67">
        <v>24</v>
      </c>
      <c r="E67">
        <v>45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1</v>
      </c>
      <c r="AU67">
        <v>1</v>
      </c>
      <c r="AV67">
        <v>1</v>
      </c>
      <c r="AW67">
        <v>5</v>
      </c>
      <c r="AX67">
        <v>5</v>
      </c>
      <c r="AY67">
        <v>5</v>
      </c>
      <c r="AZ67">
        <v>11</v>
      </c>
      <c r="BA67">
        <v>15</v>
      </c>
      <c r="BB67">
        <v>20</v>
      </c>
      <c r="BC67">
        <v>21</v>
      </c>
      <c r="BD67">
        <v>45</v>
      </c>
      <c r="BE67">
        <v>86</v>
      </c>
      <c r="BF67">
        <v>103</v>
      </c>
      <c r="BG67">
        <v>103</v>
      </c>
    </row>
    <row r="68" spans="1:59" x14ac:dyDescent="0.3">
      <c r="A68" s="2"/>
      <c r="C68" t="s">
        <v>141</v>
      </c>
      <c r="D68">
        <v>14.497400000000001</v>
      </c>
      <c r="E68">
        <v>-14.452400000000001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2</v>
      </c>
      <c r="AV68">
        <v>4</v>
      </c>
      <c r="AW68">
        <v>4</v>
      </c>
      <c r="AX68">
        <v>4</v>
      </c>
      <c r="AY68">
        <v>4</v>
      </c>
      <c r="AZ68">
        <v>4</v>
      </c>
      <c r="BA68">
        <v>4</v>
      </c>
      <c r="BB68">
        <v>4</v>
      </c>
      <c r="BC68">
        <v>4</v>
      </c>
      <c r="BD68">
        <v>4</v>
      </c>
      <c r="BE68">
        <v>10</v>
      </c>
      <c r="BF68">
        <v>10</v>
      </c>
      <c r="BG68">
        <v>24</v>
      </c>
    </row>
    <row r="69" spans="1:59" x14ac:dyDescent="0.3">
      <c r="A69" s="2"/>
      <c r="C69" t="s">
        <v>150</v>
      </c>
      <c r="D69">
        <v>-38.4161</v>
      </c>
      <c r="E69">
        <v>-63.616700000000002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1</v>
      </c>
      <c r="AV69">
        <v>1</v>
      </c>
      <c r="AW69">
        <v>1</v>
      </c>
      <c r="AX69">
        <v>2</v>
      </c>
      <c r="AY69">
        <v>8</v>
      </c>
      <c r="AZ69">
        <v>12</v>
      </c>
      <c r="BA69">
        <v>12</v>
      </c>
      <c r="BB69">
        <v>17</v>
      </c>
      <c r="BC69">
        <v>19</v>
      </c>
      <c r="BD69">
        <v>19</v>
      </c>
      <c r="BE69">
        <v>31</v>
      </c>
      <c r="BF69">
        <v>34</v>
      </c>
      <c r="BG69">
        <v>45</v>
      </c>
    </row>
    <row r="70" spans="1:59" x14ac:dyDescent="0.3">
      <c r="A70" s="2"/>
      <c r="C70" t="s">
        <v>151</v>
      </c>
      <c r="D70">
        <v>-35.6751</v>
      </c>
      <c r="E70">
        <v>-71.543000000000006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1</v>
      </c>
      <c r="AV70">
        <v>1</v>
      </c>
      <c r="AW70">
        <v>4</v>
      </c>
      <c r="AX70">
        <v>4</v>
      </c>
      <c r="AY70">
        <v>4</v>
      </c>
      <c r="AZ70">
        <v>8</v>
      </c>
      <c r="BA70">
        <v>8</v>
      </c>
      <c r="BB70">
        <v>13</v>
      </c>
      <c r="BC70">
        <v>23</v>
      </c>
      <c r="BD70">
        <v>23</v>
      </c>
      <c r="BE70">
        <v>43</v>
      </c>
      <c r="BF70">
        <v>61</v>
      </c>
      <c r="BG70">
        <v>74</v>
      </c>
    </row>
    <row r="71" spans="1:59" x14ac:dyDescent="0.3">
      <c r="A71" s="2"/>
      <c r="C71" t="s">
        <v>152</v>
      </c>
      <c r="D71">
        <v>31.24</v>
      </c>
      <c r="E71">
        <v>36.51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8</v>
      </c>
    </row>
    <row r="72" spans="1:59" x14ac:dyDescent="0.3">
      <c r="A72" s="2"/>
      <c r="C72" t="s">
        <v>156</v>
      </c>
      <c r="D72">
        <v>48.379399999999997</v>
      </c>
      <c r="E72">
        <v>31.165600000000001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3</v>
      </c>
      <c r="BF72">
        <v>3</v>
      </c>
      <c r="BG72">
        <v>3</v>
      </c>
    </row>
    <row r="73" spans="1:59" x14ac:dyDescent="0.3">
      <c r="A73" s="2"/>
      <c r="C73" t="s">
        <v>159</v>
      </c>
      <c r="D73">
        <v>47.162500000000001</v>
      </c>
      <c r="E73">
        <v>19.503299999999999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2</v>
      </c>
      <c r="AW73">
        <v>2</v>
      </c>
      <c r="AX73">
        <v>2</v>
      </c>
      <c r="AY73">
        <v>4</v>
      </c>
      <c r="AZ73">
        <v>7</v>
      </c>
      <c r="BA73">
        <v>9</v>
      </c>
      <c r="BB73">
        <v>9</v>
      </c>
      <c r="BC73">
        <v>13</v>
      </c>
      <c r="BD73">
        <v>13</v>
      </c>
      <c r="BE73">
        <v>19</v>
      </c>
      <c r="BF73">
        <v>30</v>
      </c>
      <c r="BG73">
        <v>32</v>
      </c>
    </row>
    <row r="74" spans="1:59" x14ac:dyDescent="0.3">
      <c r="A74" s="2"/>
      <c r="B74" t="s">
        <v>160</v>
      </c>
      <c r="C74" t="s">
        <v>75</v>
      </c>
      <c r="D74">
        <v>-12.4634</v>
      </c>
      <c r="E74">
        <v>130.84559999999999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</v>
      </c>
      <c r="AW74">
        <v>1</v>
      </c>
      <c r="AX74">
        <v>0</v>
      </c>
      <c r="AY74">
        <v>0</v>
      </c>
      <c r="AZ74">
        <v>0</v>
      </c>
      <c r="BA74">
        <v>0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</row>
    <row r="75" spans="1:59" x14ac:dyDescent="0.3">
      <c r="A75" s="2"/>
      <c r="C75" t="s">
        <v>163</v>
      </c>
      <c r="D75">
        <v>47.14</v>
      </c>
      <c r="E75">
        <v>9.5500000000000007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4</v>
      </c>
      <c r="BG75">
        <v>4</v>
      </c>
    </row>
    <row r="76" spans="1:59" x14ac:dyDescent="0.3">
      <c r="A76" s="2"/>
      <c r="C76" t="s">
        <v>164</v>
      </c>
      <c r="D76">
        <v>51.919400000000003</v>
      </c>
      <c r="E76">
        <v>19.145099999999999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1</v>
      </c>
      <c r="AW76">
        <v>1</v>
      </c>
      <c r="AX76">
        <v>5</v>
      </c>
      <c r="AY76">
        <v>5</v>
      </c>
      <c r="AZ76">
        <v>11</v>
      </c>
      <c r="BA76">
        <v>16</v>
      </c>
      <c r="BB76">
        <v>22</v>
      </c>
      <c r="BC76">
        <v>31</v>
      </c>
      <c r="BD76">
        <v>49</v>
      </c>
      <c r="BE76">
        <v>68</v>
      </c>
      <c r="BF76">
        <v>103</v>
      </c>
      <c r="BG76">
        <v>119</v>
      </c>
    </row>
    <row r="77" spans="1:59" x14ac:dyDescent="0.3">
      <c r="A77" s="2"/>
      <c r="C77" t="s">
        <v>165</v>
      </c>
      <c r="D77">
        <v>34</v>
      </c>
      <c r="E77">
        <v>9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1</v>
      </c>
      <c r="AW77">
        <v>1</v>
      </c>
      <c r="AX77">
        <v>1</v>
      </c>
      <c r="AY77">
        <v>1</v>
      </c>
      <c r="AZ77">
        <v>2</v>
      </c>
      <c r="BA77">
        <v>2</v>
      </c>
      <c r="BB77">
        <v>5</v>
      </c>
      <c r="BC77">
        <v>7</v>
      </c>
      <c r="BD77">
        <v>7</v>
      </c>
      <c r="BE77">
        <v>16</v>
      </c>
      <c r="BF77">
        <v>18</v>
      </c>
      <c r="BG77">
        <v>18</v>
      </c>
    </row>
    <row r="78" spans="1:59" x14ac:dyDescent="0.3">
      <c r="A78" s="2"/>
      <c r="C78" t="s">
        <v>167</v>
      </c>
      <c r="D78">
        <v>43.915900000000001</v>
      </c>
      <c r="E78">
        <v>17.679099999999998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2</v>
      </c>
      <c r="AX78">
        <v>2</v>
      </c>
      <c r="AY78">
        <v>3</v>
      </c>
      <c r="AZ78">
        <v>3</v>
      </c>
      <c r="BA78">
        <v>3</v>
      </c>
      <c r="BB78">
        <v>5</v>
      </c>
      <c r="BC78">
        <v>7</v>
      </c>
      <c r="BD78">
        <v>11</v>
      </c>
      <c r="BE78">
        <v>13</v>
      </c>
      <c r="BF78">
        <v>18</v>
      </c>
      <c r="BG78">
        <v>24</v>
      </c>
    </row>
    <row r="79" spans="1:59" x14ac:dyDescent="0.3">
      <c r="A79" s="2"/>
      <c r="C79" t="s">
        <v>168</v>
      </c>
      <c r="D79">
        <v>46.151200000000003</v>
      </c>
      <c r="E79">
        <v>14.9955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2</v>
      </c>
      <c r="AX79">
        <v>7</v>
      </c>
      <c r="AY79">
        <v>7</v>
      </c>
      <c r="AZ79">
        <v>16</v>
      </c>
      <c r="BA79">
        <v>16</v>
      </c>
      <c r="BB79">
        <v>31</v>
      </c>
      <c r="BC79">
        <v>57</v>
      </c>
      <c r="BD79">
        <v>89</v>
      </c>
      <c r="BE79">
        <v>141</v>
      </c>
      <c r="BF79">
        <v>181</v>
      </c>
      <c r="BG79">
        <v>219</v>
      </c>
    </row>
    <row r="80" spans="1:59" x14ac:dyDescent="0.3">
      <c r="A80" s="2"/>
      <c r="C80" t="s">
        <v>172</v>
      </c>
      <c r="D80">
        <v>-30.5595</v>
      </c>
      <c r="E80">
        <v>22.9375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3</v>
      </c>
      <c r="BA80">
        <v>3</v>
      </c>
      <c r="BB80">
        <v>7</v>
      </c>
      <c r="BC80">
        <v>13</v>
      </c>
      <c r="BD80">
        <v>17</v>
      </c>
      <c r="BE80">
        <v>24</v>
      </c>
      <c r="BF80">
        <v>38</v>
      </c>
      <c r="BG80">
        <v>51</v>
      </c>
    </row>
    <row r="81" spans="1:59" x14ac:dyDescent="0.3">
      <c r="A81" s="2"/>
      <c r="C81" t="s">
        <v>183</v>
      </c>
      <c r="D81">
        <v>27.514199999999999</v>
      </c>
      <c r="E81">
        <v>90.433599999999998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</row>
    <row r="82" spans="1:59" x14ac:dyDescent="0.3">
      <c r="A82" s="2"/>
      <c r="C82" t="s">
        <v>184</v>
      </c>
      <c r="D82">
        <v>3.8479999999999999</v>
      </c>
      <c r="E82">
        <v>11.5021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1</v>
      </c>
      <c r="AY82">
        <v>1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</row>
    <row r="83" spans="1:59" x14ac:dyDescent="0.3">
      <c r="A83" s="2"/>
      <c r="C83" t="s">
        <v>185</v>
      </c>
      <c r="D83">
        <v>4.5709</v>
      </c>
      <c r="E83">
        <v>-74.297300000000007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1</v>
      </c>
      <c r="AY83">
        <v>1</v>
      </c>
      <c r="AZ83">
        <v>1</v>
      </c>
      <c r="BA83">
        <v>1</v>
      </c>
      <c r="BB83">
        <v>3</v>
      </c>
      <c r="BC83">
        <v>9</v>
      </c>
      <c r="BD83">
        <v>9</v>
      </c>
      <c r="BE83">
        <v>13</v>
      </c>
      <c r="BF83">
        <v>22</v>
      </c>
      <c r="BG83">
        <v>34</v>
      </c>
    </row>
    <row r="84" spans="1:59" x14ac:dyDescent="0.3">
      <c r="A84" s="2"/>
      <c r="C84" t="s">
        <v>186</v>
      </c>
      <c r="D84">
        <v>9.7489000000000008</v>
      </c>
      <c r="E84">
        <v>-83.753399999999999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1</v>
      </c>
      <c r="AY84">
        <v>1</v>
      </c>
      <c r="AZ84">
        <v>5</v>
      </c>
      <c r="BA84">
        <v>9</v>
      </c>
      <c r="BB84">
        <v>9</v>
      </c>
      <c r="BC84">
        <v>13</v>
      </c>
      <c r="BD84">
        <v>22</v>
      </c>
      <c r="BE84">
        <v>23</v>
      </c>
      <c r="BF84">
        <v>26</v>
      </c>
      <c r="BG84">
        <v>27</v>
      </c>
    </row>
    <row r="85" spans="1:59" x14ac:dyDescent="0.3">
      <c r="A85" s="2"/>
      <c r="C85" t="s">
        <v>187</v>
      </c>
      <c r="D85">
        <v>-9.19</v>
      </c>
      <c r="E85">
        <v>-75.015199999999993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1</v>
      </c>
      <c r="AY85">
        <v>1</v>
      </c>
      <c r="AZ85">
        <v>6</v>
      </c>
      <c r="BA85">
        <v>7</v>
      </c>
      <c r="BB85">
        <v>11</v>
      </c>
      <c r="BC85">
        <v>11</v>
      </c>
      <c r="BD85">
        <v>15</v>
      </c>
      <c r="BE85">
        <v>28</v>
      </c>
      <c r="BF85">
        <v>38</v>
      </c>
      <c r="BG85">
        <v>43</v>
      </c>
    </row>
    <row r="86" spans="1:59" x14ac:dyDescent="0.3">
      <c r="A86" s="2"/>
      <c r="C86" t="s">
        <v>188</v>
      </c>
      <c r="D86">
        <v>44.016500000000001</v>
      </c>
      <c r="E86">
        <v>21.0059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1</v>
      </c>
      <c r="AY86">
        <v>1</v>
      </c>
      <c r="AZ86">
        <v>1</v>
      </c>
      <c r="BA86">
        <v>1</v>
      </c>
      <c r="BB86">
        <v>5</v>
      </c>
      <c r="BC86">
        <v>12</v>
      </c>
      <c r="BD86">
        <v>19</v>
      </c>
      <c r="BE86">
        <v>35</v>
      </c>
      <c r="BF86">
        <v>46</v>
      </c>
      <c r="BG86">
        <v>48</v>
      </c>
    </row>
    <row r="87" spans="1:59" x14ac:dyDescent="0.3">
      <c r="A87" s="2"/>
      <c r="C87" t="s">
        <v>189</v>
      </c>
      <c r="D87">
        <v>48.668999999999997</v>
      </c>
      <c r="E87">
        <v>19.699000000000002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1</v>
      </c>
      <c r="AY87">
        <v>1</v>
      </c>
      <c r="AZ87">
        <v>3</v>
      </c>
      <c r="BA87">
        <v>3</v>
      </c>
      <c r="BB87">
        <v>7</v>
      </c>
      <c r="BC87">
        <v>10</v>
      </c>
      <c r="BD87">
        <v>16</v>
      </c>
      <c r="BE87">
        <v>32</v>
      </c>
      <c r="BF87">
        <v>44</v>
      </c>
      <c r="BG87">
        <v>54</v>
      </c>
    </row>
    <row r="88" spans="1:59" x14ac:dyDescent="0.3">
      <c r="A88" s="2"/>
      <c r="C88" t="s">
        <v>190</v>
      </c>
      <c r="D88">
        <v>8.6195000000000004</v>
      </c>
      <c r="E88">
        <v>0.82479999999999998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</row>
    <row r="89" spans="1:59" x14ac:dyDescent="0.3">
      <c r="A89" s="2"/>
      <c r="C89" t="s">
        <v>204</v>
      </c>
      <c r="D89">
        <v>35.9375</v>
      </c>
      <c r="E89">
        <v>14.375400000000001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3</v>
      </c>
      <c r="AZ89">
        <v>3</v>
      </c>
      <c r="BA89">
        <v>3</v>
      </c>
      <c r="BB89">
        <v>5</v>
      </c>
      <c r="BC89">
        <v>6</v>
      </c>
      <c r="BD89">
        <v>6</v>
      </c>
      <c r="BE89">
        <v>12</v>
      </c>
      <c r="BF89">
        <v>18</v>
      </c>
      <c r="BG89">
        <v>21</v>
      </c>
    </row>
    <row r="90" spans="1:59" x14ac:dyDescent="0.3">
      <c r="A90" s="2"/>
      <c r="C90" t="s">
        <v>207</v>
      </c>
      <c r="D90">
        <v>14.641500000000001</v>
      </c>
      <c r="E90">
        <v>-61.0242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2</v>
      </c>
      <c r="AZ90">
        <v>2</v>
      </c>
      <c r="BA90">
        <v>2</v>
      </c>
      <c r="BB90">
        <v>2</v>
      </c>
      <c r="BC90">
        <v>3</v>
      </c>
      <c r="BD90">
        <v>3</v>
      </c>
      <c r="BE90">
        <v>3</v>
      </c>
      <c r="BF90">
        <v>9</v>
      </c>
      <c r="BG90">
        <v>9</v>
      </c>
    </row>
    <row r="91" spans="1:59" x14ac:dyDescent="0.3">
      <c r="A91" s="2"/>
      <c r="C91" t="s">
        <v>226</v>
      </c>
      <c r="D91">
        <v>42.733899999999998</v>
      </c>
      <c r="E91">
        <v>25.485800000000001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4</v>
      </c>
      <c r="BA91">
        <v>4</v>
      </c>
      <c r="BB91">
        <v>4</v>
      </c>
      <c r="BC91">
        <v>7</v>
      </c>
      <c r="BD91">
        <v>7</v>
      </c>
      <c r="BE91">
        <v>23</v>
      </c>
      <c r="BF91">
        <v>41</v>
      </c>
      <c r="BG91">
        <v>51</v>
      </c>
    </row>
    <row r="92" spans="1:59" x14ac:dyDescent="0.3">
      <c r="A92" s="2"/>
      <c r="C92" t="s">
        <v>227</v>
      </c>
      <c r="D92">
        <v>3.2027999999999999</v>
      </c>
      <c r="E92">
        <v>73.220699999999994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4</v>
      </c>
      <c r="BA92">
        <v>4</v>
      </c>
      <c r="BB92">
        <v>6</v>
      </c>
      <c r="BC92">
        <v>8</v>
      </c>
      <c r="BD92">
        <v>8</v>
      </c>
      <c r="BE92">
        <v>9</v>
      </c>
      <c r="BF92">
        <v>10</v>
      </c>
      <c r="BG92">
        <v>13</v>
      </c>
    </row>
    <row r="93" spans="1:59" x14ac:dyDescent="0.3">
      <c r="A93" s="2"/>
      <c r="C93" t="s">
        <v>229</v>
      </c>
      <c r="D93">
        <v>23.684999999999999</v>
      </c>
      <c r="E93">
        <v>90.356300000000005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3</v>
      </c>
      <c r="BA93">
        <v>3</v>
      </c>
      <c r="BB93">
        <v>3</v>
      </c>
      <c r="BC93">
        <v>3</v>
      </c>
      <c r="BD93">
        <v>3</v>
      </c>
      <c r="BE93">
        <v>3</v>
      </c>
      <c r="BF93">
        <v>3</v>
      </c>
      <c r="BG93">
        <v>5</v>
      </c>
    </row>
    <row r="94" spans="1:59" x14ac:dyDescent="0.3">
      <c r="A94" s="2"/>
      <c r="C94" t="s">
        <v>233</v>
      </c>
      <c r="D94">
        <v>-23.442499999999999</v>
      </c>
      <c r="E94">
        <v>-58.443800000000003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1</v>
      </c>
      <c r="BA94">
        <v>1</v>
      </c>
      <c r="BB94">
        <v>1</v>
      </c>
      <c r="BC94">
        <v>5</v>
      </c>
      <c r="BD94">
        <v>5</v>
      </c>
      <c r="BE94">
        <v>6</v>
      </c>
      <c r="BF94">
        <v>6</v>
      </c>
      <c r="BG94">
        <v>6</v>
      </c>
    </row>
    <row r="95" spans="1:59" x14ac:dyDescent="0.3">
      <c r="A95" s="2"/>
      <c r="B95" t="s">
        <v>253</v>
      </c>
      <c r="C95" t="s">
        <v>72</v>
      </c>
      <c r="D95">
        <v>51.253799999999998</v>
      </c>
      <c r="E95">
        <v>-85.3232</v>
      </c>
      <c r="F95">
        <v>0</v>
      </c>
      <c r="G95">
        <v>0</v>
      </c>
      <c r="H95">
        <v>0</v>
      </c>
      <c r="I95">
        <v>0</v>
      </c>
      <c r="J95">
        <v>1</v>
      </c>
      <c r="K95">
        <v>1</v>
      </c>
      <c r="L95">
        <v>1</v>
      </c>
      <c r="M95">
        <v>1</v>
      </c>
      <c r="N95">
        <v>1</v>
      </c>
      <c r="O95">
        <v>3</v>
      </c>
      <c r="P95">
        <v>3</v>
      </c>
      <c r="Q95">
        <v>3</v>
      </c>
      <c r="R95">
        <v>3</v>
      </c>
      <c r="S95">
        <v>3</v>
      </c>
      <c r="T95">
        <v>3</v>
      </c>
      <c r="U95">
        <v>3</v>
      </c>
      <c r="V95">
        <v>3</v>
      </c>
      <c r="W95">
        <v>3</v>
      </c>
      <c r="X95">
        <v>3</v>
      </c>
      <c r="Y95">
        <v>3</v>
      </c>
      <c r="Z95">
        <v>3</v>
      </c>
      <c r="AA95">
        <v>3</v>
      </c>
      <c r="AB95">
        <v>3</v>
      </c>
      <c r="AC95">
        <v>3</v>
      </c>
      <c r="AD95">
        <v>3</v>
      </c>
      <c r="AE95">
        <v>3</v>
      </c>
      <c r="AF95">
        <v>3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4</v>
      </c>
      <c r="AN95">
        <v>4</v>
      </c>
      <c r="AO95">
        <v>4</v>
      </c>
      <c r="AP95">
        <v>6</v>
      </c>
      <c r="AQ95">
        <v>6</v>
      </c>
      <c r="AR95">
        <v>11</v>
      </c>
      <c r="AS95">
        <v>15</v>
      </c>
      <c r="AT95">
        <v>18</v>
      </c>
      <c r="AU95">
        <v>20</v>
      </c>
      <c r="AV95">
        <v>20</v>
      </c>
      <c r="AW95">
        <v>22</v>
      </c>
      <c r="AX95">
        <v>25</v>
      </c>
      <c r="AY95">
        <v>28</v>
      </c>
      <c r="AZ95">
        <v>29</v>
      </c>
      <c r="BA95">
        <v>34</v>
      </c>
      <c r="BB95">
        <v>36</v>
      </c>
      <c r="BC95">
        <v>41</v>
      </c>
      <c r="BD95">
        <v>42</v>
      </c>
      <c r="BE95">
        <v>74</v>
      </c>
      <c r="BF95">
        <v>79</v>
      </c>
      <c r="BG95">
        <v>104</v>
      </c>
    </row>
    <row r="96" spans="1:59" x14ac:dyDescent="0.3">
      <c r="A96" s="2"/>
      <c r="B96" t="s">
        <v>254</v>
      </c>
      <c r="C96" t="s">
        <v>72</v>
      </c>
      <c r="D96">
        <v>53.933300000000003</v>
      </c>
      <c r="E96">
        <v>-116.5765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1</v>
      </c>
      <c r="AY96">
        <v>2</v>
      </c>
      <c r="AZ96">
        <v>4</v>
      </c>
      <c r="BA96">
        <v>7</v>
      </c>
      <c r="BB96">
        <v>7</v>
      </c>
      <c r="BC96">
        <v>19</v>
      </c>
      <c r="BD96">
        <v>19</v>
      </c>
      <c r="BE96">
        <v>29</v>
      </c>
      <c r="BF96">
        <v>29</v>
      </c>
      <c r="BG96">
        <v>39</v>
      </c>
    </row>
    <row r="97" spans="1:59" x14ac:dyDescent="0.3">
      <c r="A97" s="2"/>
      <c r="B97" t="s">
        <v>255</v>
      </c>
      <c r="C97" t="s">
        <v>72</v>
      </c>
      <c r="D97">
        <v>52.939900000000002</v>
      </c>
      <c r="E97">
        <v>-73.549099999999996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2</v>
      </c>
      <c r="AX97">
        <v>2</v>
      </c>
      <c r="AY97">
        <v>3</v>
      </c>
      <c r="AZ97">
        <v>4</v>
      </c>
      <c r="BA97">
        <v>4</v>
      </c>
      <c r="BB97">
        <v>4</v>
      </c>
      <c r="BC97">
        <v>8</v>
      </c>
      <c r="BD97">
        <v>9</v>
      </c>
      <c r="BE97">
        <v>17</v>
      </c>
      <c r="BF97">
        <v>17</v>
      </c>
      <c r="BG97">
        <v>24</v>
      </c>
    </row>
    <row r="98" spans="1:59" x14ac:dyDescent="0.3">
      <c r="A98" s="2"/>
      <c r="C98" t="s">
        <v>257</v>
      </c>
      <c r="D98">
        <v>41.153300000000002</v>
      </c>
      <c r="E98">
        <v>20.168299999999999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2</v>
      </c>
      <c r="BB98">
        <v>10</v>
      </c>
      <c r="BC98">
        <v>12</v>
      </c>
      <c r="BD98">
        <v>23</v>
      </c>
      <c r="BE98">
        <v>33</v>
      </c>
      <c r="BF98">
        <v>38</v>
      </c>
      <c r="BG98">
        <v>42</v>
      </c>
    </row>
    <row r="99" spans="1:59" x14ac:dyDescent="0.3">
      <c r="A99" s="2"/>
      <c r="C99" t="s">
        <v>258</v>
      </c>
      <c r="D99">
        <v>35.126399999999997</v>
      </c>
      <c r="E99">
        <v>33.429900000000004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2</v>
      </c>
      <c r="BB99">
        <v>3</v>
      </c>
      <c r="BC99">
        <v>6</v>
      </c>
      <c r="BD99">
        <v>6</v>
      </c>
      <c r="BE99">
        <v>14</v>
      </c>
      <c r="BF99">
        <v>26</v>
      </c>
      <c r="BG99">
        <v>26</v>
      </c>
    </row>
    <row r="100" spans="1:59" x14ac:dyDescent="0.3">
      <c r="A100" s="2"/>
      <c r="C100" t="s">
        <v>260</v>
      </c>
      <c r="D100">
        <v>4.5353000000000003</v>
      </c>
      <c r="E100">
        <v>114.7277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11</v>
      </c>
      <c r="BD100">
        <v>11</v>
      </c>
      <c r="BE100">
        <v>37</v>
      </c>
      <c r="BF100">
        <v>40</v>
      </c>
      <c r="BG100">
        <v>50</v>
      </c>
    </row>
    <row r="101" spans="1:59" x14ac:dyDescent="0.3">
      <c r="A101" s="2"/>
      <c r="B101" t="s">
        <v>270</v>
      </c>
      <c r="C101" t="s">
        <v>65</v>
      </c>
      <c r="D101">
        <v>47.4009</v>
      </c>
      <c r="E101">
        <v>-121.4905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267</v>
      </c>
      <c r="BC101">
        <v>366</v>
      </c>
      <c r="BD101">
        <v>442</v>
      </c>
      <c r="BE101">
        <v>568</v>
      </c>
      <c r="BF101">
        <v>572</v>
      </c>
      <c r="BG101">
        <v>643</v>
      </c>
    </row>
    <row r="102" spans="1:59" x14ac:dyDescent="0.3">
      <c r="A102" s="2"/>
      <c r="B102" t="s">
        <v>271</v>
      </c>
      <c r="C102" t="s">
        <v>65</v>
      </c>
      <c r="D102">
        <v>42.165700000000001</v>
      </c>
      <c r="E102">
        <v>-74.948099999999997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173</v>
      </c>
      <c r="BC102">
        <v>220</v>
      </c>
      <c r="BD102">
        <v>328</v>
      </c>
      <c r="BE102">
        <v>421</v>
      </c>
      <c r="BF102">
        <v>525</v>
      </c>
      <c r="BG102">
        <v>732</v>
      </c>
    </row>
    <row r="103" spans="1:59" x14ac:dyDescent="0.3">
      <c r="A103" s="2"/>
      <c r="B103" t="s">
        <v>272</v>
      </c>
      <c r="C103" t="s">
        <v>65</v>
      </c>
      <c r="D103">
        <v>36.116199999999999</v>
      </c>
      <c r="E103">
        <v>-119.6816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144</v>
      </c>
      <c r="BC103">
        <v>177</v>
      </c>
      <c r="BD103">
        <v>221</v>
      </c>
      <c r="BE103">
        <v>282</v>
      </c>
      <c r="BF103">
        <v>340</v>
      </c>
      <c r="BG103">
        <v>426</v>
      </c>
    </row>
    <row r="104" spans="1:59" x14ac:dyDescent="0.3">
      <c r="A104" s="2"/>
      <c r="B104" t="s">
        <v>274</v>
      </c>
      <c r="C104" t="s">
        <v>65</v>
      </c>
      <c r="D104">
        <v>42.230200000000004</v>
      </c>
      <c r="E104">
        <v>-71.530100000000004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92</v>
      </c>
      <c r="BC104">
        <v>95</v>
      </c>
      <c r="BD104">
        <v>108</v>
      </c>
      <c r="BE104">
        <v>123</v>
      </c>
      <c r="BF104">
        <v>138</v>
      </c>
      <c r="BG104">
        <v>164</v>
      </c>
    </row>
    <row r="105" spans="1:59" x14ac:dyDescent="0.3">
      <c r="A105" s="2"/>
      <c r="B105" t="s">
        <v>275</v>
      </c>
      <c r="C105" t="s">
        <v>65</v>
      </c>
      <c r="D105">
        <v>35.4437</v>
      </c>
      <c r="E105">
        <v>139.63800000000001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36</v>
      </c>
      <c r="AN105">
        <v>36</v>
      </c>
      <c r="AO105">
        <v>42</v>
      </c>
      <c r="AP105">
        <v>42</v>
      </c>
      <c r="AQ105">
        <v>44</v>
      </c>
      <c r="AR105">
        <v>44</v>
      </c>
      <c r="AS105">
        <v>44</v>
      </c>
      <c r="AT105">
        <v>45</v>
      </c>
      <c r="AU105">
        <v>45</v>
      </c>
      <c r="AV105">
        <v>45</v>
      </c>
      <c r="AW105">
        <v>45</v>
      </c>
      <c r="AX105">
        <v>45</v>
      </c>
      <c r="AY105">
        <v>45</v>
      </c>
      <c r="AZ105">
        <v>45</v>
      </c>
      <c r="BA105">
        <v>45</v>
      </c>
      <c r="BB105">
        <v>46</v>
      </c>
      <c r="BC105">
        <v>46</v>
      </c>
      <c r="BD105">
        <v>46</v>
      </c>
      <c r="BE105">
        <v>46</v>
      </c>
      <c r="BF105">
        <v>46</v>
      </c>
      <c r="BG105">
        <v>46</v>
      </c>
    </row>
    <row r="106" spans="1:59" x14ac:dyDescent="0.3">
      <c r="A106" s="2"/>
      <c r="B106" t="s">
        <v>276</v>
      </c>
      <c r="C106" t="s">
        <v>65</v>
      </c>
      <c r="D106">
        <v>37.648899999999998</v>
      </c>
      <c r="E106">
        <v>-122.66549999999999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21</v>
      </c>
      <c r="AZ106">
        <v>21</v>
      </c>
      <c r="BA106">
        <v>21</v>
      </c>
      <c r="BB106">
        <v>21</v>
      </c>
      <c r="BC106">
        <v>21</v>
      </c>
      <c r="BD106">
        <v>21</v>
      </c>
      <c r="BE106">
        <v>21</v>
      </c>
      <c r="BF106">
        <v>21</v>
      </c>
      <c r="BG106">
        <v>21</v>
      </c>
    </row>
    <row r="107" spans="1:59" x14ac:dyDescent="0.3">
      <c r="A107" s="2"/>
      <c r="B107" t="s">
        <v>109</v>
      </c>
      <c r="C107" t="s">
        <v>65</v>
      </c>
      <c r="D107">
        <v>33.040599999999998</v>
      </c>
      <c r="E107">
        <v>-83.643100000000004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17</v>
      </c>
      <c r="BC107">
        <v>23</v>
      </c>
      <c r="BD107">
        <v>31</v>
      </c>
      <c r="BE107">
        <v>42</v>
      </c>
      <c r="BF107">
        <v>66</v>
      </c>
      <c r="BG107">
        <v>99</v>
      </c>
    </row>
    <row r="108" spans="1:59" x14ac:dyDescent="0.3">
      <c r="A108" s="2"/>
      <c r="B108" t="s">
        <v>277</v>
      </c>
      <c r="C108" t="s">
        <v>65</v>
      </c>
      <c r="D108">
        <v>39.059800000000003</v>
      </c>
      <c r="E108">
        <v>-105.3111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15</v>
      </c>
      <c r="BC108">
        <v>34</v>
      </c>
      <c r="BD108">
        <v>45</v>
      </c>
      <c r="BE108">
        <v>49</v>
      </c>
      <c r="BF108">
        <v>101</v>
      </c>
      <c r="BG108">
        <v>131</v>
      </c>
    </row>
    <row r="109" spans="1:59" x14ac:dyDescent="0.3">
      <c r="A109" s="2"/>
      <c r="B109" t="s">
        <v>278</v>
      </c>
      <c r="C109" t="s">
        <v>65</v>
      </c>
      <c r="D109">
        <v>27.766300000000001</v>
      </c>
      <c r="E109">
        <v>-81.686800000000005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15</v>
      </c>
      <c r="BC109">
        <v>28</v>
      </c>
      <c r="BD109">
        <v>35</v>
      </c>
      <c r="BE109">
        <v>50</v>
      </c>
      <c r="BF109">
        <v>76</v>
      </c>
      <c r="BG109">
        <v>115</v>
      </c>
    </row>
    <row r="110" spans="1:59" x14ac:dyDescent="0.3">
      <c r="A110" s="2"/>
      <c r="B110" t="s">
        <v>279</v>
      </c>
      <c r="C110" t="s">
        <v>65</v>
      </c>
      <c r="D110">
        <v>40.298900000000003</v>
      </c>
      <c r="E110">
        <v>-74.521000000000001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15</v>
      </c>
      <c r="BC110">
        <v>23</v>
      </c>
      <c r="BD110">
        <v>29</v>
      </c>
      <c r="BE110">
        <v>29</v>
      </c>
      <c r="BF110">
        <v>69</v>
      </c>
      <c r="BG110">
        <v>98</v>
      </c>
    </row>
    <row r="111" spans="1:59" x14ac:dyDescent="0.3">
      <c r="A111" s="2"/>
      <c r="B111" t="s">
        <v>280</v>
      </c>
      <c r="C111" t="s">
        <v>65</v>
      </c>
      <c r="D111">
        <v>44.572000000000003</v>
      </c>
      <c r="E111">
        <v>-122.07089999999999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15</v>
      </c>
      <c r="BC111">
        <v>19</v>
      </c>
      <c r="BD111">
        <v>24</v>
      </c>
      <c r="BE111">
        <v>30</v>
      </c>
      <c r="BF111">
        <v>32</v>
      </c>
      <c r="BG111">
        <v>36</v>
      </c>
    </row>
    <row r="112" spans="1:59" x14ac:dyDescent="0.3">
      <c r="A112" s="2"/>
      <c r="B112" t="s">
        <v>281</v>
      </c>
      <c r="C112" t="s">
        <v>65</v>
      </c>
      <c r="D112">
        <v>31.054500000000001</v>
      </c>
      <c r="E112">
        <v>-97.563500000000005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13</v>
      </c>
      <c r="BC112">
        <v>21</v>
      </c>
      <c r="BD112">
        <v>27</v>
      </c>
      <c r="BE112">
        <v>43</v>
      </c>
      <c r="BF112">
        <v>57</v>
      </c>
      <c r="BG112">
        <v>72</v>
      </c>
    </row>
    <row r="113" spans="1:59" x14ac:dyDescent="0.3">
      <c r="A113" s="2"/>
      <c r="B113" t="s">
        <v>282</v>
      </c>
      <c r="C113" t="s">
        <v>65</v>
      </c>
      <c r="D113">
        <v>40.349499999999999</v>
      </c>
      <c r="E113">
        <v>-88.986099999999993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12</v>
      </c>
      <c r="BC113">
        <v>25</v>
      </c>
      <c r="BD113">
        <v>32</v>
      </c>
      <c r="BE113">
        <v>46</v>
      </c>
      <c r="BF113">
        <v>64</v>
      </c>
      <c r="BG113">
        <v>93</v>
      </c>
    </row>
    <row r="114" spans="1:59" x14ac:dyDescent="0.3">
      <c r="A114" s="2"/>
      <c r="B114" t="s">
        <v>283</v>
      </c>
      <c r="C114" t="s">
        <v>65</v>
      </c>
      <c r="D114">
        <v>40.590800000000002</v>
      </c>
      <c r="E114">
        <v>-77.209800000000001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12</v>
      </c>
      <c r="BC114">
        <v>16</v>
      </c>
      <c r="BD114">
        <v>22</v>
      </c>
      <c r="BE114">
        <v>41</v>
      </c>
      <c r="BF114">
        <v>47</v>
      </c>
      <c r="BG114">
        <v>66</v>
      </c>
    </row>
    <row r="115" spans="1:59" x14ac:dyDescent="0.3">
      <c r="A115" s="2"/>
      <c r="B115" t="s">
        <v>285</v>
      </c>
      <c r="C115" t="s">
        <v>65</v>
      </c>
      <c r="D115">
        <v>42.011499999999998</v>
      </c>
      <c r="E115">
        <v>-93.210499999999996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8</v>
      </c>
      <c r="BC115">
        <v>13</v>
      </c>
      <c r="BD115">
        <v>16</v>
      </c>
      <c r="BE115">
        <v>17</v>
      </c>
      <c r="BF115">
        <v>17</v>
      </c>
      <c r="BG115">
        <v>18</v>
      </c>
    </row>
    <row r="116" spans="1:59" x14ac:dyDescent="0.3">
      <c r="A116" s="2"/>
      <c r="B116" t="s">
        <v>286</v>
      </c>
      <c r="C116" t="s">
        <v>65</v>
      </c>
      <c r="D116">
        <v>39.063899999999997</v>
      </c>
      <c r="E116">
        <v>-76.802099999999996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8</v>
      </c>
      <c r="BC116">
        <v>9</v>
      </c>
      <c r="BD116">
        <v>12</v>
      </c>
      <c r="BE116">
        <v>18</v>
      </c>
      <c r="BF116">
        <v>26</v>
      </c>
      <c r="BG116">
        <v>32</v>
      </c>
    </row>
    <row r="117" spans="1:59" x14ac:dyDescent="0.3">
      <c r="A117" s="2"/>
      <c r="B117" t="s">
        <v>287</v>
      </c>
      <c r="C117" t="s">
        <v>65</v>
      </c>
      <c r="D117">
        <v>35.630099999999999</v>
      </c>
      <c r="E117">
        <v>-79.806399999999996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7</v>
      </c>
      <c r="BC117">
        <v>7</v>
      </c>
      <c r="BD117">
        <v>15</v>
      </c>
      <c r="BE117">
        <v>17</v>
      </c>
      <c r="BF117">
        <v>24</v>
      </c>
      <c r="BG117">
        <v>33</v>
      </c>
    </row>
    <row r="118" spans="1:59" x14ac:dyDescent="0.3">
      <c r="A118" s="2"/>
      <c r="B118" t="s">
        <v>288</v>
      </c>
      <c r="C118" t="s">
        <v>65</v>
      </c>
      <c r="D118">
        <v>33.856900000000003</v>
      </c>
      <c r="E118">
        <v>-80.944999999999993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7</v>
      </c>
      <c r="BC118">
        <v>10</v>
      </c>
      <c r="BD118">
        <v>12</v>
      </c>
      <c r="BE118">
        <v>13</v>
      </c>
      <c r="BF118">
        <v>19</v>
      </c>
      <c r="BG118">
        <v>28</v>
      </c>
    </row>
    <row r="119" spans="1:59" x14ac:dyDescent="0.3">
      <c r="A119" s="2"/>
      <c r="B119" t="s">
        <v>289</v>
      </c>
      <c r="C119" t="s">
        <v>65</v>
      </c>
      <c r="D119">
        <v>35.747799999999998</v>
      </c>
      <c r="E119">
        <v>-86.692300000000003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7</v>
      </c>
      <c r="BC119">
        <v>9</v>
      </c>
      <c r="BD119">
        <v>18</v>
      </c>
      <c r="BE119">
        <v>26</v>
      </c>
      <c r="BF119">
        <v>32</v>
      </c>
      <c r="BG119">
        <v>39</v>
      </c>
    </row>
    <row r="120" spans="1:59" x14ac:dyDescent="0.3">
      <c r="A120" s="2"/>
      <c r="B120" t="s">
        <v>290</v>
      </c>
      <c r="C120" t="s">
        <v>65</v>
      </c>
      <c r="D120">
        <v>37.769300000000001</v>
      </c>
      <c r="E120">
        <v>-78.17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7</v>
      </c>
      <c r="BC120">
        <v>9</v>
      </c>
      <c r="BD120">
        <v>17</v>
      </c>
      <c r="BE120">
        <v>30</v>
      </c>
      <c r="BF120">
        <v>41</v>
      </c>
      <c r="BG120">
        <v>45</v>
      </c>
    </row>
    <row r="121" spans="1:59" x14ac:dyDescent="0.3">
      <c r="A121" s="2"/>
      <c r="B121" t="s">
        <v>291</v>
      </c>
      <c r="C121" t="s">
        <v>65</v>
      </c>
      <c r="D121">
        <v>33.729799999999997</v>
      </c>
      <c r="E121">
        <v>-111.4312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6</v>
      </c>
      <c r="BC121">
        <v>9</v>
      </c>
      <c r="BD121">
        <v>9</v>
      </c>
      <c r="BE121">
        <v>9</v>
      </c>
      <c r="BF121">
        <v>12</v>
      </c>
      <c r="BG121">
        <v>13</v>
      </c>
    </row>
    <row r="122" spans="1:59" x14ac:dyDescent="0.3">
      <c r="A122" s="2"/>
      <c r="B122" t="s">
        <v>292</v>
      </c>
      <c r="C122" t="s">
        <v>65</v>
      </c>
      <c r="D122">
        <v>39.849400000000003</v>
      </c>
      <c r="E122">
        <v>-86.258300000000006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6</v>
      </c>
      <c r="BC122">
        <v>11</v>
      </c>
      <c r="BD122">
        <v>13</v>
      </c>
      <c r="BE122">
        <v>13</v>
      </c>
      <c r="BF122">
        <v>16</v>
      </c>
      <c r="BG122">
        <v>20</v>
      </c>
    </row>
    <row r="123" spans="1:59" x14ac:dyDescent="0.3">
      <c r="A123" s="2"/>
      <c r="B123" t="s">
        <v>293</v>
      </c>
      <c r="C123" t="s">
        <v>65</v>
      </c>
      <c r="D123">
        <v>37.668100000000003</v>
      </c>
      <c r="E123">
        <v>-84.670100000000005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6</v>
      </c>
      <c r="BC123">
        <v>8</v>
      </c>
      <c r="BD123">
        <v>10</v>
      </c>
      <c r="BE123">
        <v>14</v>
      </c>
      <c r="BF123">
        <v>14</v>
      </c>
      <c r="BG123">
        <v>20</v>
      </c>
    </row>
    <row r="124" spans="1:59" x14ac:dyDescent="0.3">
      <c r="A124" s="2"/>
      <c r="B124" t="s">
        <v>294</v>
      </c>
      <c r="C124" t="s">
        <v>65</v>
      </c>
      <c r="D124">
        <v>38.897399999999998</v>
      </c>
      <c r="E124">
        <v>-77.026799999999994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5</v>
      </c>
      <c r="BC124">
        <v>10</v>
      </c>
      <c r="BD124">
        <v>10</v>
      </c>
      <c r="BE124">
        <v>10</v>
      </c>
      <c r="BF124">
        <v>10</v>
      </c>
      <c r="BG124">
        <v>16</v>
      </c>
    </row>
    <row r="125" spans="1:59" x14ac:dyDescent="0.3">
      <c r="A125" s="2"/>
      <c r="B125" t="s">
        <v>295</v>
      </c>
      <c r="C125" t="s">
        <v>65</v>
      </c>
      <c r="D125">
        <v>38.313499999999998</v>
      </c>
      <c r="E125">
        <v>-117.05540000000001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4</v>
      </c>
      <c r="BC125">
        <v>7</v>
      </c>
      <c r="BD125">
        <v>14</v>
      </c>
      <c r="BE125">
        <v>17</v>
      </c>
      <c r="BF125">
        <v>21</v>
      </c>
      <c r="BG125">
        <v>24</v>
      </c>
    </row>
    <row r="126" spans="1:59" x14ac:dyDescent="0.3">
      <c r="A126" s="2"/>
      <c r="B126" t="s">
        <v>296</v>
      </c>
      <c r="C126" t="s">
        <v>65</v>
      </c>
      <c r="D126">
        <v>43.452500000000001</v>
      </c>
      <c r="E126">
        <v>-71.563900000000004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4</v>
      </c>
      <c r="BC126">
        <v>5</v>
      </c>
      <c r="BD126">
        <v>6</v>
      </c>
      <c r="BE126">
        <v>6</v>
      </c>
      <c r="BF126">
        <v>7</v>
      </c>
      <c r="BG126">
        <v>13</v>
      </c>
    </row>
    <row r="127" spans="1:59" x14ac:dyDescent="0.3">
      <c r="A127" s="2"/>
      <c r="B127" t="s">
        <v>297</v>
      </c>
      <c r="C127" t="s">
        <v>65</v>
      </c>
      <c r="D127">
        <v>45.694499999999998</v>
      </c>
      <c r="E127">
        <v>-93.900199999999998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3</v>
      </c>
      <c r="BC127">
        <v>5</v>
      </c>
      <c r="BD127">
        <v>9</v>
      </c>
      <c r="BE127">
        <v>14</v>
      </c>
      <c r="BF127">
        <v>21</v>
      </c>
      <c r="BG127">
        <v>35</v>
      </c>
    </row>
    <row r="128" spans="1:59" x14ac:dyDescent="0.3">
      <c r="A128" s="2"/>
      <c r="B128" t="s">
        <v>298</v>
      </c>
      <c r="C128" t="s">
        <v>65</v>
      </c>
      <c r="D128">
        <v>41.125399999999999</v>
      </c>
      <c r="E128">
        <v>-98.268100000000004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3</v>
      </c>
      <c r="BC128">
        <v>5</v>
      </c>
      <c r="BD128">
        <v>10</v>
      </c>
      <c r="BE128">
        <v>13</v>
      </c>
      <c r="BF128">
        <v>14</v>
      </c>
      <c r="BG128">
        <v>17</v>
      </c>
    </row>
    <row r="129" spans="1:59" x14ac:dyDescent="0.3">
      <c r="A129" s="2"/>
      <c r="B129" t="s">
        <v>299</v>
      </c>
      <c r="C129" t="s">
        <v>65</v>
      </c>
      <c r="D129">
        <v>40.388800000000003</v>
      </c>
      <c r="E129">
        <v>-82.764899999999997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3</v>
      </c>
      <c r="BC129">
        <v>4</v>
      </c>
      <c r="BD129">
        <v>5</v>
      </c>
      <c r="BE129">
        <v>13</v>
      </c>
      <c r="BF129">
        <v>26</v>
      </c>
      <c r="BG129">
        <v>37</v>
      </c>
    </row>
    <row r="130" spans="1:59" x14ac:dyDescent="0.3">
      <c r="A130" s="2"/>
      <c r="B130" t="s">
        <v>300</v>
      </c>
      <c r="C130" t="s">
        <v>65</v>
      </c>
      <c r="D130">
        <v>41.680900000000001</v>
      </c>
      <c r="E130">
        <v>-71.511799999999994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3</v>
      </c>
      <c r="BC130">
        <v>5</v>
      </c>
      <c r="BD130">
        <v>5</v>
      </c>
      <c r="BE130">
        <v>14</v>
      </c>
      <c r="BF130">
        <v>20</v>
      </c>
      <c r="BG130">
        <v>20</v>
      </c>
    </row>
    <row r="131" spans="1:59" x14ac:dyDescent="0.3">
      <c r="A131" s="2"/>
      <c r="B131" t="s">
        <v>301</v>
      </c>
      <c r="C131" t="s">
        <v>65</v>
      </c>
      <c r="D131">
        <v>44.268500000000003</v>
      </c>
      <c r="E131">
        <v>-89.616500000000002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3</v>
      </c>
      <c r="BC131">
        <v>6</v>
      </c>
      <c r="BD131">
        <v>8</v>
      </c>
      <c r="BE131">
        <v>19</v>
      </c>
      <c r="BF131">
        <v>27</v>
      </c>
      <c r="BG131">
        <v>32</v>
      </c>
    </row>
    <row r="132" spans="1:59" x14ac:dyDescent="0.3">
      <c r="A132" s="2"/>
      <c r="B132" t="s">
        <v>302</v>
      </c>
      <c r="C132" t="s">
        <v>65</v>
      </c>
      <c r="D132">
        <v>41.597799999999999</v>
      </c>
      <c r="E132">
        <v>-72.755399999999995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2</v>
      </c>
      <c r="BC132">
        <v>3</v>
      </c>
      <c r="BD132">
        <v>5</v>
      </c>
      <c r="BE132">
        <v>11</v>
      </c>
      <c r="BF132">
        <v>22</v>
      </c>
      <c r="BG132">
        <v>24</v>
      </c>
    </row>
    <row r="133" spans="1:59" x14ac:dyDescent="0.3">
      <c r="A133" s="2"/>
      <c r="B133" t="s">
        <v>303</v>
      </c>
      <c r="C133" t="s">
        <v>65</v>
      </c>
      <c r="D133">
        <v>21.0943</v>
      </c>
      <c r="E133">
        <v>-157.4983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2</v>
      </c>
      <c r="BC133">
        <v>2</v>
      </c>
      <c r="BD133">
        <v>2</v>
      </c>
      <c r="BE133">
        <v>2</v>
      </c>
      <c r="BF133">
        <v>4</v>
      </c>
      <c r="BG133">
        <v>6</v>
      </c>
    </row>
    <row r="134" spans="1:59" x14ac:dyDescent="0.3">
      <c r="A134" s="2"/>
      <c r="B134" t="s">
        <v>304</v>
      </c>
      <c r="C134" t="s">
        <v>65</v>
      </c>
      <c r="D134">
        <v>35.565300000000001</v>
      </c>
      <c r="E134">
        <v>-96.928899999999999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2</v>
      </c>
      <c r="BC134">
        <v>2</v>
      </c>
      <c r="BD134">
        <v>2</v>
      </c>
      <c r="BE134">
        <v>2</v>
      </c>
      <c r="BF134">
        <v>4</v>
      </c>
      <c r="BG134">
        <v>7</v>
      </c>
    </row>
    <row r="135" spans="1:59" x14ac:dyDescent="0.3">
      <c r="A135" s="2"/>
      <c r="B135" t="s">
        <v>305</v>
      </c>
      <c r="C135" t="s">
        <v>65</v>
      </c>
      <c r="D135">
        <v>40.15</v>
      </c>
      <c r="E135">
        <v>-111.86239999999999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2</v>
      </c>
      <c r="BC135">
        <v>3</v>
      </c>
      <c r="BD135">
        <v>5</v>
      </c>
      <c r="BE135">
        <v>9</v>
      </c>
      <c r="BF135">
        <v>10</v>
      </c>
      <c r="BG135">
        <v>28</v>
      </c>
    </row>
    <row r="136" spans="1:59" x14ac:dyDescent="0.3">
      <c r="A136" s="2"/>
      <c r="C136" t="s">
        <v>306</v>
      </c>
      <c r="D136">
        <v>12.238300000000001</v>
      </c>
      <c r="E136">
        <v>-1.5616000000000001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2</v>
      </c>
      <c r="BD136">
        <v>2</v>
      </c>
      <c r="BE136">
        <v>2</v>
      </c>
      <c r="BF136">
        <v>2</v>
      </c>
      <c r="BG136">
        <v>3</v>
      </c>
    </row>
    <row r="137" spans="1:59" x14ac:dyDescent="0.3">
      <c r="A137" s="2"/>
      <c r="C137" t="s">
        <v>308</v>
      </c>
      <c r="D137">
        <v>41.902900000000002</v>
      </c>
      <c r="E137">
        <v>12.4534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</row>
    <row r="138" spans="1:59" x14ac:dyDescent="0.3">
      <c r="A138" s="2"/>
      <c r="C138" t="s">
        <v>309</v>
      </c>
      <c r="D138">
        <v>46.862499999999997</v>
      </c>
      <c r="E138">
        <v>103.8467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</row>
    <row r="139" spans="1:59" x14ac:dyDescent="0.3">
      <c r="A139" s="2"/>
      <c r="C139" t="s">
        <v>310</v>
      </c>
      <c r="D139">
        <v>8.5380000000000003</v>
      </c>
      <c r="E139">
        <v>-80.7821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</v>
      </c>
      <c r="BC139">
        <v>8</v>
      </c>
      <c r="BD139">
        <v>11</v>
      </c>
      <c r="BE139">
        <v>27</v>
      </c>
      <c r="BF139">
        <v>36</v>
      </c>
      <c r="BG139">
        <v>43</v>
      </c>
    </row>
    <row r="140" spans="1:59" x14ac:dyDescent="0.3">
      <c r="A140" s="2"/>
      <c r="B140" t="s">
        <v>311</v>
      </c>
      <c r="C140" t="s">
        <v>65</v>
      </c>
      <c r="D140">
        <v>38.526600000000002</v>
      </c>
      <c r="E140">
        <v>-96.726500000000001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1</v>
      </c>
      <c r="BD140">
        <v>1</v>
      </c>
      <c r="BE140">
        <v>5</v>
      </c>
      <c r="BF140">
        <v>8</v>
      </c>
      <c r="BG140">
        <v>8</v>
      </c>
    </row>
    <row r="141" spans="1:59" x14ac:dyDescent="0.3">
      <c r="A141" s="2"/>
      <c r="B141" t="s">
        <v>312</v>
      </c>
      <c r="C141" t="s">
        <v>65</v>
      </c>
      <c r="D141">
        <v>31.169499999999999</v>
      </c>
      <c r="E141">
        <v>-91.867800000000003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</v>
      </c>
      <c r="BC141">
        <v>6</v>
      </c>
      <c r="BD141">
        <v>19</v>
      </c>
      <c r="BE141">
        <v>36</v>
      </c>
      <c r="BF141">
        <v>77</v>
      </c>
      <c r="BG141">
        <v>91</v>
      </c>
    </row>
    <row r="142" spans="1:59" x14ac:dyDescent="0.3">
      <c r="A142" s="2"/>
      <c r="B142" t="s">
        <v>313</v>
      </c>
      <c r="C142" t="s">
        <v>65</v>
      </c>
      <c r="D142">
        <v>38.456099999999999</v>
      </c>
      <c r="E142">
        <v>-92.288399999999996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1</v>
      </c>
      <c r="BC142">
        <v>1</v>
      </c>
      <c r="BD142">
        <v>1</v>
      </c>
      <c r="BE142">
        <v>2</v>
      </c>
      <c r="BF142">
        <v>4</v>
      </c>
      <c r="BG142">
        <v>5</v>
      </c>
    </row>
    <row r="143" spans="1:59" x14ac:dyDescent="0.3">
      <c r="A143" s="2"/>
      <c r="B143" t="s">
        <v>314</v>
      </c>
      <c r="C143" t="s">
        <v>65</v>
      </c>
      <c r="D143">
        <v>44.045900000000003</v>
      </c>
      <c r="E143">
        <v>-72.710700000000003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1</v>
      </c>
      <c r="BC143">
        <v>1</v>
      </c>
      <c r="BD143">
        <v>2</v>
      </c>
      <c r="BE143">
        <v>2</v>
      </c>
      <c r="BF143">
        <v>5</v>
      </c>
      <c r="BG143">
        <v>8</v>
      </c>
    </row>
    <row r="144" spans="1:59" x14ac:dyDescent="0.3">
      <c r="A144" s="2"/>
      <c r="B144" t="s">
        <v>315</v>
      </c>
      <c r="C144" t="s">
        <v>65</v>
      </c>
      <c r="D144">
        <v>61.370699999999999</v>
      </c>
      <c r="E144">
        <v>-152.40440000000001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1</v>
      </c>
      <c r="BF144">
        <v>1</v>
      </c>
      <c r="BG144">
        <v>1</v>
      </c>
    </row>
    <row r="145" spans="1:59" x14ac:dyDescent="0.3">
      <c r="A145" s="2"/>
      <c r="B145" t="s">
        <v>316</v>
      </c>
      <c r="C145" t="s">
        <v>65</v>
      </c>
      <c r="D145">
        <v>34.969700000000003</v>
      </c>
      <c r="E145">
        <v>-92.373099999999994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1</v>
      </c>
      <c r="BD145">
        <v>6</v>
      </c>
      <c r="BE145">
        <v>6</v>
      </c>
      <c r="BF145">
        <v>12</v>
      </c>
      <c r="BG145">
        <v>16</v>
      </c>
    </row>
    <row r="146" spans="1:59" x14ac:dyDescent="0.3">
      <c r="A146" s="2"/>
      <c r="B146" t="s">
        <v>317</v>
      </c>
      <c r="C146" t="s">
        <v>65</v>
      </c>
      <c r="D146">
        <v>39.3185</v>
      </c>
      <c r="E146">
        <v>-75.507099999999994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1</v>
      </c>
      <c r="BD146">
        <v>1</v>
      </c>
      <c r="BE146">
        <v>4</v>
      </c>
      <c r="BF146">
        <v>6</v>
      </c>
      <c r="BG146">
        <v>7</v>
      </c>
    </row>
    <row r="147" spans="1:59" x14ac:dyDescent="0.3">
      <c r="A147" s="2"/>
      <c r="B147" t="s">
        <v>318</v>
      </c>
      <c r="C147" t="s">
        <v>65</v>
      </c>
      <c r="D147">
        <v>44.240499999999997</v>
      </c>
      <c r="E147">
        <v>-114.47880000000001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1</v>
      </c>
      <c r="BF147">
        <v>2</v>
      </c>
      <c r="BG147">
        <v>5</v>
      </c>
    </row>
    <row r="148" spans="1:59" x14ac:dyDescent="0.3">
      <c r="A148" s="2"/>
      <c r="B148" t="s">
        <v>319</v>
      </c>
      <c r="C148" t="s">
        <v>65</v>
      </c>
      <c r="D148">
        <v>44.693899999999999</v>
      </c>
      <c r="E148">
        <v>-69.381900000000002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1</v>
      </c>
      <c r="BF148">
        <v>3</v>
      </c>
      <c r="BG148">
        <v>12</v>
      </c>
    </row>
    <row r="149" spans="1:59" x14ac:dyDescent="0.3">
      <c r="A149" s="2"/>
      <c r="B149" t="s">
        <v>320</v>
      </c>
      <c r="C149" t="s">
        <v>65</v>
      </c>
      <c r="D149">
        <v>43.326599999999999</v>
      </c>
      <c r="E149">
        <v>-84.536100000000005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2</v>
      </c>
      <c r="BD149">
        <v>2</v>
      </c>
      <c r="BE149">
        <v>16</v>
      </c>
      <c r="BF149">
        <v>25</v>
      </c>
      <c r="BG149">
        <v>33</v>
      </c>
    </row>
    <row r="150" spans="1:59" x14ac:dyDescent="0.3">
      <c r="A150" s="2"/>
      <c r="B150" t="s">
        <v>321</v>
      </c>
      <c r="C150" t="s">
        <v>65</v>
      </c>
      <c r="D150">
        <v>32.741599999999998</v>
      </c>
      <c r="E150">
        <v>-89.678700000000006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1</v>
      </c>
      <c r="BE150">
        <v>1</v>
      </c>
      <c r="BF150">
        <v>6</v>
      </c>
      <c r="BG150">
        <v>10</v>
      </c>
    </row>
    <row r="151" spans="1:59" x14ac:dyDescent="0.3">
      <c r="A151" s="2"/>
      <c r="B151" t="s">
        <v>322</v>
      </c>
      <c r="C151" t="s">
        <v>65</v>
      </c>
      <c r="D151">
        <v>46.921900000000001</v>
      </c>
      <c r="E151">
        <v>-110.45440000000001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1</v>
      </c>
      <c r="BD151">
        <v>1</v>
      </c>
      <c r="BE151">
        <v>1</v>
      </c>
      <c r="BF151">
        <v>5</v>
      </c>
      <c r="BG151">
        <v>7</v>
      </c>
    </row>
    <row r="152" spans="1:59" x14ac:dyDescent="0.3">
      <c r="A152" s="2"/>
      <c r="B152" t="s">
        <v>323</v>
      </c>
      <c r="C152" t="s">
        <v>65</v>
      </c>
      <c r="D152">
        <v>34.840499999999999</v>
      </c>
      <c r="E152">
        <v>-106.24850000000001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3</v>
      </c>
      <c r="BD152">
        <v>5</v>
      </c>
      <c r="BE152">
        <v>10</v>
      </c>
      <c r="BF152">
        <v>10</v>
      </c>
      <c r="BG152">
        <v>13</v>
      </c>
    </row>
    <row r="153" spans="1:59" x14ac:dyDescent="0.3">
      <c r="A153" s="2"/>
      <c r="B153" t="s">
        <v>324</v>
      </c>
      <c r="C153" t="s">
        <v>65</v>
      </c>
      <c r="D153">
        <v>47.5289</v>
      </c>
      <c r="E153">
        <v>-99.784000000000006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1</v>
      </c>
      <c r="BE153">
        <v>1</v>
      </c>
      <c r="BF153">
        <v>1</v>
      </c>
      <c r="BG153">
        <v>1</v>
      </c>
    </row>
    <row r="154" spans="1:59" x14ac:dyDescent="0.3">
      <c r="A154" s="2"/>
      <c r="B154" t="s">
        <v>325</v>
      </c>
      <c r="C154" t="s">
        <v>65</v>
      </c>
      <c r="D154">
        <v>44.299799999999998</v>
      </c>
      <c r="E154">
        <v>-99.438800000000001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8</v>
      </c>
      <c r="BD154">
        <v>8</v>
      </c>
      <c r="BE154">
        <v>8</v>
      </c>
      <c r="BF154">
        <v>9</v>
      </c>
      <c r="BG154">
        <v>9</v>
      </c>
    </row>
    <row r="155" spans="1:59" x14ac:dyDescent="0.3">
      <c r="A155" s="2"/>
      <c r="B155" t="s">
        <v>326</v>
      </c>
      <c r="C155" t="s">
        <v>65</v>
      </c>
      <c r="D155">
        <v>38.491199999999999</v>
      </c>
      <c r="E155">
        <v>-80.954499999999996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</row>
    <row r="156" spans="1:59" x14ac:dyDescent="0.3">
      <c r="A156" s="2"/>
      <c r="B156" t="s">
        <v>327</v>
      </c>
      <c r="C156" t="s">
        <v>65</v>
      </c>
      <c r="D156">
        <v>42.756</v>
      </c>
      <c r="E156">
        <v>-107.30249999999999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1</v>
      </c>
      <c r="BE156">
        <v>1</v>
      </c>
      <c r="BF156">
        <v>2</v>
      </c>
      <c r="BG156">
        <v>3</v>
      </c>
    </row>
    <row r="157" spans="1:59" x14ac:dyDescent="0.3">
      <c r="A157" s="2"/>
      <c r="B157" t="s">
        <v>43</v>
      </c>
      <c r="C157" t="s">
        <v>365</v>
      </c>
      <c r="D157">
        <v>30.9756</v>
      </c>
      <c r="E157">
        <v>112.27070000000001</v>
      </c>
      <c r="F157">
        <v>444</v>
      </c>
      <c r="G157">
        <v>444</v>
      </c>
      <c r="H157">
        <v>549</v>
      </c>
      <c r="I157">
        <v>761</v>
      </c>
      <c r="J157">
        <v>1058</v>
      </c>
      <c r="K157">
        <v>1423</v>
      </c>
      <c r="L157">
        <v>3554</v>
      </c>
      <c r="M157">
        <v>3554</v>
      </c>
      <c r="N157">
        <v>4903</v>
      </c>
      <c r="O157">
        <v>5806</v>
      </c>
      <c r="P157">
        <v>7153</v>
      </c>
      <c r="Q157">
        <v>11177</v>
      </c>
      <c r="R157">
        <v>13522</v>
      </c>
      <c r="S157">
        <v>16678</v>
      </c>
      <c r="T157">
        <v>19665</v>
      </c>
      <c r="U157">
        <v>22112</v>
      </c>
      <c r="V157">
        <v>24953</v>
      </c>
      <c r="W157">
        <v>27100</v>
      </c>
      <c r="X157">
        <v>29631</v>
      </c>
      <c r="Y157">
        <v>31728</v>
      </c>
      <c r="Z157">
        <v>33366</v>
      </c>
      <c r="AA157">
        <v>33366</v>
      </c>
      <c r="AB157">
        <v>48206</v>
      </c>
      <c r="AC157">
        <v>54406</v>
      </c>
      <c r="AD157">
        <v>56249</v>
      </c>
      <c r="AE157">
        <v>58182</v>
      </c>
      <c r="AF157">
        <v>59989</v>
      </c>
      <c r="AG157">
        <v>61682</v>
      </c>
      <c r="AH157">
        <v>62031</v>
      </c>
      <c r="AI157">
        <v>62442</v>
      </c>
      <c r="AJ157">
        <v>62662</v>
      </c>
      <c r="AK157">
        <v>64084</v>
      </c>
      <c r="AL157">
        <v>64084</v>
      </c>
      <c r="AM157">
        <v>64287</v>
      </c>
      <c r="AN157">
        <v>64786</v>
      </c>
      <c r="AO157">
        <v>65187</v>
      </c>
      <c r="AP157">
        <v>65596</v>
      </c>
      <c r="AQ157">
        <v>65914</v>
      </c>
      <c r="AR157">
        <v>66337</v>
      </c>
      <c r="AS157">
        <v>66907</v>
      </c>
      <c r="AT157">
        <v>67103</v>
      </c>
      <c r="AU157">
        <v>67217</v>
      </c>
      <c r="AV157">
        <v>67332</v>
      </c>
      <c r="AW157">
        <v>67466</v>
      </c>
      <c r="AX157">
        <v>67592</v>
      </c>
      <c r="AY157">
        <v>67666</v>
      </c>
      <c r="AZ157">
        <v>67707</v>
      </c>
      <c r="BA157">
        <v>67743</v>
      </c>
      <c r="BB157">
        <v>67760</v>
      </c>
      <c r="BC157">
        <v>67773</v>
      </c>
      <c r="BD157">
        <v>67781</v>
      </c>
      <c r="BE157">
        <v>67786</v>
      </c>
      <c r="BF157">
        <v>67790</v>
      </c>
      <c r="BG157">
        <v>67794</v>
      </c>
    </row>
    <row r="158" spans="1:59" x14ac:dyDescent="0.3">
      <c r="A158" s="2"/>
      <c r="C158" t="s">
        <v>366</v>
      </c>
      <c r="D158">
        <v>32</v>
      </c>
      <c r="E158">
        <v>53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2</v>
      </c>
      <c r="AI158">
        <v>5</v>
      </c>
      <c r="AJ158">
        <v>18</v>
      </c>
      <c r="AK158">
        <v>28</v>
      </c>
      <c r="AL158">
        <v>43</v>
      </c>
      <c r="AM158">
        <v>61</v>
      </c>
      <c r="AN158">
        <v>95</v>
      </c>
      <c r="AO158">
        <v>139</v>
      </c>
      <c r="AP158">
        <v>245</v>
      </c>
      <c r="AQ158">
        <v>388</v>
      </c>
      <c r="AR158">
        <v>593</v>
      </c>
      <c r="AS158">
        <v>978</v>
      </c>
      <c r="AT158">
        <v>1501</v>
      </c>
      <c r="AU158">
        <v>2336</v>
      </c>
      <c r="AV158">
        <v>2922</v>
      </c>
      <c r="AW158">
        <v>3513</v>
      </c>
      <c r="AX158">
        <v>4747</v>
      </c>
      <c r="AY158">
        <v>5823</v>
      </c>
      <c r="AZ158">
        <v>6566</v>
      </c>
      <c r="BA158">
        <v>7161</v>
      </c>
      <c r="BB158">
        <v>8042</v>
      </c>
      <c r="BC158">
        <v>9000</v>
      </c>
      <c r="BD158">
        <v>10075</v>
      </c>
      <c r="BE158">
        <v>11364</v>
      </c>
      <c r="BF158">
        <v>12729</v>
      </c>
      <c r="BG158">
        <v>13938</v>
      </c>
    </row>
    <row r="159" spans="1:59" x14ac:dyDescent="0.3">
      <c r="A159" s="2"/>
      <c r="C159" t="s">
        <v>367</v>
      </c>
      <c r="D159">
        <v>36</v>
      </c>
      <c r="E159">
        <v>128</v>
      </c>
      <c r="F159">
        <v>1</v>
      </c>
      <c r="G159">
        <v>1</v>
      </c>
      <c r="H159">
        <v>2</v>
      </c>
      <c r="I159">
        <v>2</v>
      </c>
      <c r="J159">
        <v>3</v>
      </c>
      <c r="K159">
        <v>4</v>
      </c>
      <c r="L159">
        <v>4</v>
      </c>
      <c r="M159">
        <v>4</v>
      </c>
      <c r="N159">
        <v>4</v>
      </c>
      <c r="O159">
        <v>11</v>
      </c>
      <c r="P159">
        <v>12</v>
      </c>
      <c r="Q159">
        <v>15</v>
      </c>
      <c r="R159">
        <v>15</v>
      </c>
      <c r="S159">
        <v>16</v>
      </c>
      <c r="T159">
        <v>19</v>
      </c>
      <c r="U159">
        <v>23</v>
      </c>
      <c r="V159">
        <v>24</v>
      </c>
      <c r="W159">
        <v>24</v>
      </c>
      <c r="X159">
        <v>25</v>
      </c>
      <c r="Y159">
        <v>27</v>
      </c>
      <c r="Z159">
        <v>28</v>
      </c>
      <c r="AA159">
        <v>28</v>
      </c>
      <c r="AB159">
        <v>28</v>
      </c>
      <c r="AC159">
        <v>28</v>
      </c>
      <c r="AD159">
        <v>28</v>
      </c>
      <c r="AE159">
        <v>29</v>
      </c>
      <c r="AF159">
        <v>30</v>
      </c>
      <c r="AG159">
        <v>31</v>
      </c>
      <c r="AH159">
        <v>31</v>
      </c>
      <c r="AI159">
        <v>104</v>
      </c>
      <c r="AJ159">
        <v>204</v>
      </c>
      <c r="AK159">
        <v>433</v>
      </c>
      <c r="AL159">
        <v>602</v>
      </c>
      <c r="AM159">
        <v>833</v>
      </c>
      <c r="AN159">
        <v>977</v>
      </c>
      <c r="AO159">
        <v>1261</v>
      </c>
      <c r="AP159">
        <v>1766</v>
      </c>
      <c r="AQ159">
        <v>2337</v>
      </c>
      <c r="AR159">
        <v>3150</v>
      </c>
      <c r="AS159">
        <v>3736</v>
      </c>
      <c r="AT159">
        <v>4335</v>
      </c>
      <c r="AU159">
        <v>5186</v>
      </c>
      <c r="AV159">
        <v>5621</v>
      </c>
      <c r="AW159">
        <v>6088</v>
      </c>
      <c r="AX159">
        <v>6593</v>
      </c>
      <c r="AY159">
        <v>7041</v>
      </c>
      <c r="AZ159">
        <v>7314</v>
      </c>
      <c r="BA159">
        <v>7478</v>
      </c>
      <c r="BB159">
        <v>7513</v>
      </c>
      <c r="BC159">
        <v>7755</v>
      </c>
      <c r="BD159">
        <v>7869</v>
      </c>
      <c r="BE159">
        <v>7979</v>
      </c>
      <c r="BF159">
        <v>8086</v>
      </c>
      <c r="BG159">
        <v>8162</v>
      </c>
    </row>
    <row r="160" spans="1:59" x14ac:dyDescent="0.3">
      <c r="A160" s="2"/>
      <c r="B160" t="s">
        <v>68</v>
      </c>
      <c r="C160" t="s">
        <v>68</v>
      </c>
      <c r="D160">
        <v>46.227600000000002</v>
      </c>
      <c r="E160">
        <v>2.2136999999999998</v>
      </c>
      <c r="F160">
        <v>0</v>
      </c>
      <c r="G160">
        <v>0</v>
      </c>
      <c r="H160">
        <v>2</v>
      </c>
      <c r="I160">
        <v>3</v>
      </c>
      <c r="J160">
        <v>3</v>
      </c>
      <c r="K160">
        <v>3</v>
      </c>
      <c r="L160">
        <v>4</v>
      </c>
      <c r="M160">
        <v>5</v>
      </c>
      <c r="N160">
        <v>5</v>
      </c>
      <c r="O160">
        <v>5</v>
      </c>
      <c r="P160">
        <v>6</v>
      </c>
      <c r="Q160">
        <v>6</v>
      </c>
      <c r="R160">
        <v>6</v>
      </c>
      <c r="S160">
        <v>6</v>
      </c>
      <c r="T160">
        <v>6</v>
      </c>
      <c r="U160">
        <v>6</v>
      </c>
      <c r="V160">
        <v>6</v>
      </c>
      <c r="W160">
        <v>11</v>
      </c>
      <c r="X160">
        <v>11</v>
      </c>
      <c r="Y160">
        <v>11</v>
      </c>
      <c r="Z160">
        <v>11</v>
      </c>
      <c r="AA160">
        <v>11</v>
      </c>
      <c r="AB160">
        <v>11</v>
      </c>
      <c r="AC160">
        <v>11</v>
      </c>
      <c r="AD160">
        <v>12</v>
      </c>
      <c r="AE160">
        <v>12</v>
      </c>
      <c r="AF160">
        <v>12</v>
      </c>
      <c r="AG160">
        <v>12</v>
      </c>
      <c r="AH160">
        <v>12</v>
      </c>
      <c r="AI160">
        <v>12</v>
      </c>
      <c r="AJ160">
        <v>12</v>
      </c>
      <c r="AK160">
        <v>12</v>
      </c>
      <c r="AL160">
        <v>12</v>
      </c>
      <c r="AM160">
        <v>12</v>
      </c>
      <c r="AN160">
        <v>14</v>
      </c>
      <c r="AO160">
        <v>18</v>
      </c>
      <c r="AP160">
        <v>38</v>
      </c>
      <c r="AQ160">
        <v>57</v>
      </c>
      <c r="AR160">
        <v>100</v>
      </c>
      <c r="AS160">
        <v>130</v>
      </c>
      <c r="AT160">
        <v>191</v>
      </c>
      <c r="AU160">
        <v>204</v>
      </c>
      <c r="AV160">
        <v>285</v>
      </c>
      <c r="AW160">
        <v>377</v>
      </c>
      <c r="AX160">
        <v>653</v>
      </c>
      <c r="AY160">
        <v>949</v>
      </c>
      <c r="AZ160">
        <v>1126</v>
      </c>
      <c r="BA160">
        <v>1209</v>
      </c>
      <c r="BB160">
        <v>1784</v>
      </c>
      <c r="BC160">
        <v>2281</v>
      </c>
      <c r="BD160">
        <v>2281</v>
      </c>
      <c r="BE160">
        <v>3661</v>
      </c>
      <c r="BF160">
        <v>4469</v>
      </c>
      <c r="BG160">
        <v>4499</v>
      </c>
    </row>
    <row r="161" spans="1:59" x14ac:dyDescent="0.3">
      <c r="A161" s="2"/>
      <c r="B161" t="s">
        <v>36</v>
      </c>
      <c r="C161" t="s">
        <v>365</v>
      </c>
      <c r="D161">
        <v>23.341699999999999</v>
      </c>
      <c r="E161">
        <v>113.42440000000001</v>
      </c>
      <c r="F161">
        <v>26</v>
      </c>
      <c r="G161">
        <v>32</v>
      </c>
      <c r="H161">
        <v>53</v>
      </c>
      <c r="I161">
        <v>78</v>
      </c>
      <c r="J161">
        <v>111</v>
      </c>
      <c r="K161">
        <v>151</v>
      </c>
      <c r="L161">
        <v>207</v>
      </c>
      <c r="M161">
        <v>277</v>
      </c>
      <c r="N161">
        <v>354</v>
      </c>
      <c r="O161">
        <v>436</v>
      </c>
      <c r="P161">
        <v>535</v>
      </c>
      <c r="Q161">
        <v>632</v>
      </c>
      <c r="R161">
        <v>725</v>
      </c>
      <c r="S161">
        <v>813</v>
      </c>
      <c r="T161">
        <v>895</v>
      </c>
      <c r="U161">
        <v>970</v>
      </c>
      <c r="V161">
        <v>1034</v>
      </c>
      <c r="W161">
        <v>1095</v>
      </c>
      <c r="X161">
        <v>1131</v>
      </c>
      <c r="Y161">
        <v>1159</v>
      </c>
      <c r="Z161">
        <v>1177</v>
      </c>
      <c r="AA161">
        <v>1219</v>
      </c>
      <c r="AB161">
        <v>1241</v>
      </c>
      <c r="AC161">
        <v>1261</v>
      </c>
      <c r="AD161">
        <v>1294</v>
      </c>
      <c r="AE161">
        <v>1316</v>
      </c>
      <c r="AF161">
        <v>1322</v>
      </c>
      <c r="AG161">
        <v>1328</v>
      </c>
      <c r="AH161">
        <v>1331</v>
      </c>
      <c r="AI161">
        <v>1332</v>
      </c>
      <c r="AJ161">
        <v>1333</v>
      </c>
      <c r="AK161">
        <v>1339</v>
      </c>
      <c r="AL161">
        <v>1342</v>
      </c>
      <c r="AM161">
        <v>1345</v>
      </c>
      <c r="AN161">
        <v>1347</v>
      </c>
      <c r="AO161">
        <v>1347</v>
      </c>
      <c r="AP161">
        <v>1347</v>
      </c>
      <c r="AQ161">
        <v>1348</v>
      </c>
      <c r="AR161">
        <v>1349</v>
      </c>
      <c r="AS161">
        <v>1349</v>
      </c>
      <c r="AT161">
        <v>1350</v>
      </c>
      <c r="AU161">
        <v>1350</v>
      </c>
      <c r="AV161">
        <v>1350</v>
      </c>
      <c r="AW161">
        <v>1351</v>
      </c>
      <c r="AX161">
        <v>1352</v>
      </c>
      <c r="AY161">
        <v>1352</v>
      </c>
      <c r="AZ161">
        <v>1352</v>
      </c>
      <c r="BA161">
        <v>1352</v>
      </c>
      <c r="BB161">
        <v>1353</v>
      </c>
      <c r="BC161">
        <v>1356</v>
      </c>
      <c r="BD161">
        <v>1356</v>
      </c>
      <c r="BE161">
        <v>1356</v>
      </c>
      <c r="BF161">
        <v>1356</v>
      </c>
      <c r="BG161">
        <v>1360</v>
      </c>
    </row>
    <row r="162" spans="1:59" x14ac:dyDescent="0.3">
      <c r="A162" s="2"/>
      <c r="B162" t="s">
        <v>42</v>
      </c>
      <c r="C162" t="s">
        <v>365</v>
      </c>
      <c r="D162">
        <v>33.881999999999998</v>
      </c>
      <c r="E162">
        <v>113.614</v>
      </c>
      <c r="F162">
        <v>5</v>
      </c>
      <c r="G162">
        <v>5</v>
      </c>
      <c r="H162">
        <v>9</v>
      </c>
      <c r="I162">
        <v>32</v>
      </c>
      <c r="J162">
        <v>83</v>
      </c>
      <c r="K162">
        <v>128</v>
      </c>
      <c r="L162">
        <v>168</v>
      </c>
      <c r="M162">
        <v>206</v>
      </c>
      <c r="N162">
        <v>278</v>
      </c>
      <c r="O162">
        <v>352</v>
      </c>
      <c r="P162">
        <v>422</v>
      </c>
      <c r="Q162">
        <v>493</v>
      </c>
      <c r="R162">
        <v>566</v>
      </c>
      <c r="S162">
        <v>675</v>
      </c>
      <c r="T162">
        <v>764</v>
      </c>
      <c r="U162">
        <v>851</v>
      </c>
      <c r="V162">
        <v>914</v>
      </c>
      <c r="W162">
        <v>981</v>
      </c>
      <c r="X162">
        <v>1033</v>
      </c>
      <c r="Y162">
        <v>1073</v>
      </c>
      <c r="Z162">
        <v>1105</v>
      </c>
      <c r="AA162">
        <v>1135</v>
      </c>
      <c r="AB162">
        <v>1169</v>
      </c>
      <c r="AC162">
        <v>1184</v>
      </c>
      <c r="AD162">
        <v>1212</v>
      </c>
      <c r="AE162">
        <v>1231</v>
      </c>
      <c r="AF162">
        <v>1246</v>
      </c>
      <c r="AG162">
        <v>1257</v>
      </c>
      <c r="AH162">
        <v>1262</v>
      </c>
      <c r="AI162">
        <v>1265</v>
      </c>
      <c r="AJ162">
        <v>1267</v>
      </c>
      <c r="AK162">
        <v>1270</v>
      </c>
      <c r="AL162">
        <v>1271</v>
      </c>
      <c r="AM162">
        <v>1271</v>
      </c>
      <c r="AN162">
        <v>1271</v>
      </c>
      <c r="AO162">
        <v>1271</v>
      </c>
      <c r="AP162">
        <v>1272</v>
      </c>
      <c r="AQ162">
        <v>1272</v>
      </c>
      <c r="AR162">
        <v>1272</v>
      </c>
      <c r="AS162">
        <v>1272</v>
      </c>
      <c r="AT162">
        <v>1272</v>
      </c>
      <c r="AU162">
        <v>1272</v>
      </c>
      <c r="AV162">
        <v>1272</v>
      </c>
      <c r="AW162">
        <v>1272</v>
      </c>
      <c r="AX162">
        <v>1272</v>
      </c>
      <c r="AY162">
        <v>1272</v>
      </c>
      <c r="AZ162">
        <v>1272</v>
      </c>
      <c r="BA162">
        <v>1272</v>
      </c>
      <c r="BB162">
        <v>1272</v>
      </c>
      <c r="BC162">
        <v>1273</v>
      </c>
      <c r="BD162">
        <v>1273</v>
      </c>
      <c r="BE162">
        <v>1273</v>
      </c>
      <c r="BF162">
        <v>1273</v>
      </c>
      <c r="BG162">
        <v>1273</v>
      </c>
    </row>
    <row r="163" spans="1:59" x14ac:dyDescent="0.3">
      <c r="A163" s="2"/>
      <c r="B163" t="s">
        <v>61</v>
      </c>
      <c r="C163" t="s">
        <v>365</v>
      </c>
      <c r="D163">
        <v>29.183199999999999</v>
      </c>
      <c r="E163">
        <v>120.0934</v>
      </c>
      <c r="F163">
        <v>10</v>
      </c>
      <c r="G163">
        <v>27</v>
      </c>
      <c r="H163">
        <v>43</v>
      </c>
      <c r="I163">
        <v>62</v>
      </c>
      <c r="J163">
        <v>104</v>
      </c>
      <c r="K163">
        <v>128</v>
      </c>
      <c r="L163">
        <v>173</v>
      </c>
      <c r="M163">
        <v>296</v>
      </c>
      <c r="N163">
        <v>428</v>
      </c>
      <c r="O163">
        <v>538</v>
      </c>
      <c r="P163">
        <v>599</v>
      </c>
      <c r="Q163">
        <v>661</v>
      </c>
      <c r="R163">
        <v>724</v>
      </c>
      <c r="S163">
        <v>829</v>
      </c>
      <c r="T163">
        <v>895</v>
      </c>
      <c r="U163">
        <v>954</v>
      </c>
      <c r="V163">
        <v>1006</v>
      </c>
      <c r="W163">
        <v>1048</v>
      </c>
      <c r="X163">
        <v>1075</v>
      </c>
      <c r="Y163">
        <v>1092</v>
      </c>
      <c r="Z163">
        <v>1117</v>
      </c>
      <c r="AA163">
        <v>1131</v>
      </c>
      <c r="AB163">
        <v>1145</v>
      </c>
      <c r="AC163">
        <v>1155</v>
      </c>
      <c r="AD163">
        <v>1162</v>
      </c>
      <c r="AE163">
        <v>1167</v>
      </c>
      <c r="AF163">
        <v>1171</v>
      </c>
      <c r="AG163">
        <v>1172</v>
      </c>
      <c r="AH163">
        <v>1174</v>
      </c>
      <c r="AI163">
        <v>1175</v>
      </c>
      <c r="AJ163">
        <v>1203</v>
      </c>
      <c r="AK163">
        <v>1205</v>
      </c>
      <c r="AL163">
        <v>1205</v>
      </c>
      <c r="AM163">
        <v>1205</v>
      </c>
      <c r="AN163">
        <v>1205</v>
      </c>
      <c r="AO163">
        <v>1205</v>
      </c>
      <c r="AP163">
        <v>1205</v>
      </c>
      <c r="AQ163">
        <v>1205</v>
      </c>
      <c r="AR163">
        <v>1205</v>
      </c>
      <c r="AS163">
        <v>1205</v>
      </c>
      <c r="AT163">
        <v>1206</v>
      </c>
      <c r="AU163">
        <v>1213</v>
      </c>
      <c r="AV163">
        <v>1213</v>
      </c>
      <c r="AW163">
        <v>1215</v>
      </c>
      <c r="AX163">
        <v>1215</v>
      </c>
      <c r="AY163">
        <v>1215</v>
      </c>
      <c r="AZ163">
        <v>1215</v>
      </c>
      <c r="BA163">
        <v>1215</v>
      </c>
      <c r="BB163">
        <v>1215</v>
      </c>
      <c r="BC163">
        <v>1215</v>
      </c>
      <c r="BD163">
        <v>1215</v>
      </c>
      <c r="BE163">
        <v>1215</v>
      </c>
      <c r="BF163">
        <v>1227</v>
      </c>
      <c r="BG163">
        <v>1231</v>
      </c>
    </row>
    <row r="164" spans="1:59" x14ac:dyDescent="0.3">
      <c r="A164" s="2"/>
      <c r="B164" t="s">
        <v>44</v>
      </c>
      <c r="C164" t="s">
        <v>365</v>
      </c>
      <c r="D164">
        <v>27.610399999999998</v>
      </c>
      <c r="E164">
        <v>111.7088</v>
      </c>
      <c r="F164">
        <v>4</v>
      </c>
      <c r="G164">
        <v>9</v>
      </c>
      <c r="H164">
        <v>24</v>
      </c>
      <c r="I164">
        <v>43</v>
      </c>
      <c r="J164">
        <v>69</v>
      </c>
      <c r="K164">
        <v>100</v>
      </c>
      <c r="L164">
        <v>143</v>
      </c>
      <c r="M164">
        <v>221</v>
      </c>
      <c r="N164">
        <v>277</v>
      </c>
      <c r="O164">
        <v>332</v>
      </c>
      <c r="P164">
        <v>389</v>
      </c>
      <c r="Q164">
        <v>463</v>
      </c>
      <c r="R164">
        <v>521</v>
      </c>
      <c r="S164">
        <v>593</v>
      </c>
      <c r="T164">
        <v>661</v>
      </c>
      <c r="U164">
        <v>711</v>
      </c>
      <c r="V164">
        <v>772</v>
      </c>
      <c r="W164">
        <v>803</v>
      </c>
      <c r="X164">
        <v>838</v>
      </c>
      <c r="Y164">
        <v>879</v>
      </c>
      <c r="Z164">
        <v>912</v>
      </c>
      <c r="AA164">
        <v>946</v>
      </c>
      <c r="AB164">
        <v>968</v>
      </c>
      <c r="AC164">
        <v>988</v>
      </c>
      <c r="AD164">
        <v>1001</v>
      </c>
      <c r="AE164">
        <v>1004</v>
      </c>
      <c r="AF164">
        <v>1006</v>
      </c>
      <c r="AG164">
        <v>1007</v>
      </c>
      <c r="AH164">
        <v>1008</v>
      </c>
      <c r="AI164">
        <v>1010</v>
      </c>
      <c r="AJ164">
        <v>1011</v>
      </c>
      <c r="AK164">
        <v>1013</v>
      </c>
      <c r="AL164">
        <v>1016</v>
      </c>
      <c r="AM164">
        <v>1016</v>
      </c>
      <c r="AN164">
        <v>1016</v>
      </c>
      <c r="AO164">
        <v>1016</v>
      </c>
      <c r="AP164">
        <v>1017</v>
      </c>
      <c r="AQ164">
        <v>1017</v>
      </c>
      <c r="AR164">
        <v>1018</v>
      </c>
      <c r="AS164">
        <v>1018</v>
      </c>
      <c r="AT164">
        <v>1018</v>
      </c>
      <c r="AU164">
        <v>1018</v>
      </c>
      <c r="AV164">
        <v>1018</v>
      </c>
      <c r="AW164">
        <v>1018</v>
      </c>
      <c r="AX164">
        <v>1018</v>
      </c>
      <c r="AY164">
        <v>1018</v>
      </c>
      <c r="AZ164">
        <v>1018</v>
      </c>
      <c r="BA164">
        <v>1018</v>
      </c>
      <c r="BB164">
        <v>1018</v>
      </c>
      <c r="BC164">
        <v>1018</v>
      </c>
      <c r="BD164">
        <v>1018</v>
      </c>
      <c r="BE164">
        <v>1018</v>
      </c>
      <c r="BF164">
        <v>1018</v>
      </c>
      <c r="BG164">
        <v>1018</v>
      </c>
    </row>
    <row r="165" spans="1:59" x14ac:dyDescent="0.3">
      <c r="A165" s="2"/>
      <c r="B165" t="s">
        <v>31</v>
      </c>
      <c r="C165" t="s">
        <v>365</v>
      </c>
      <c r="D165">
        <v>31.825700000000001</v>
      </c>
      <c r="E165">
        <v>117.2264</v>
      </c>
      <c r="F165">
        <v>1</v>
      </c>
      <c r="G165">
        <v>9</v>
      </c>
      <c r="H165">
        <v>15</v>
      </c>
      <c r="I165">
        <v>39</v>
      </c>
      <c r="J165">
        <v>60</v>
      </c>
      <c r="K165">
        <v>70</v>
      </c>
      <c r="L165">
        <v>106</v>
      </c>
      <c r="M165">
        <v>152</v>
      </c>
      <c r="N165">
        <v>200</v>
      </c>
      <c r="O165">
        <v>237</v>
      </c>
      <c r="P165">
        <v>297</v>
      </c>
      <c r="Q165">
        <v>340</v>
      </c>
      <c r="R165">
        <v>408</v>
      </c>
      <c r="S165">
        <v>480</v>
      </c>
      <c r="T165">
        <v>530</v>
      </c>
      <c r="U165">
        <v>591</v>
      </c>
      <c r="V165">
        <v>665</v>
      </c>
      <c r="W165">
        <v>733</v>
      </c>
      <c r="X165">
        <v>779</v>
      </c>
      <c r="Y165">
        <v>830</v>
      </c>
      <c r="Z165">
        <v>860</v>
      </c>
      <c r="AA165">
        <v>889</v>
      </c>
      <c r="AB165">
        <v>910</v>
      </c>
      <c r="AC165">
        <v>934</v>
      </c>
      <c r="AD165">
        <v>950</v>
      </c>
      <c r="AE165">
        <v>962</v>
      </c>
      <c r="AF165">
        <v>973</v>
      </c>
      <c r="AG165">
        <v>982</v>
      </c>
      <c r="AH165">
        <v>986</v>
      </c>
      <c r="AI165">
        <v>987</v>
      </c>
      <c r="AJ165">
        <v>988</v>
      </c>
      <c r="AK165">
        <v>989</v>
      </c>
      <c r="AL165">
        <v>989</v>
      </c>
      <c r="AM165">
        <v>989</v>
      </c>
      <c r="AN165">
        <v>989</v>
      </c>
      <c r="AO165">
        <v>989</v>
      </c>
      <c r="AP165">
        <v>989</v>
      </c>
      <c r="AQ165">
        <v>990</v>
      </c>
      <c r="AR165">
        <v>990</v>
      </c>
      <c r="AS165">
        <v>990</v>
      </c>
      <c r="AT165">
        <v>990</v>
      </c>
      <c r="AU165">
        <v>990</v>
      </c>
      <c r="AV165">
        <v>990</v>
      </c>
      <c r="AW165">
        <v>990</v>
      </c>
      <c r="AX165">
        <v>990</v>
      </c>
      <c r="AY165">
        <v>990</v>
      </c>
      <c r="AZ165">
        <v>990</v>
      </c>
      <c r="BA165">
        <v>990</v>
      </c>
      <c r="BB165">
        <v>990</v>
      </c>
      <c r="BC165">
        <v>990</v>
      </c>
      <c r="BD165">
        <v>990</v>
      </c>
      <c r="BE165">
        <v>990</v>
      </c>
      <c r="BF165">
        <v>990</v>
      </c>
      <c r="BG165">
        <v>990</v>
      </c>
    </row>
    <row r="166" spans="1:59" x14ac:dyDescent="0.3">
      <c r="A166" s="2"/>
      <c r="B166" t="s">
        <v>47</v>
      </c>
      <c r="C166" t="s">
        <v>365</v>
      </c>
      <c r="D166">
        <v>27.614000000000001</v>
      </c>
      <c r="E166">
        <v>115.7221</v>
      </c>
      <c r="F166">
        <v>2</v>
      </c>
      <c r="G166">
        <v>7</v>
      </c>
      <c r="H166">
        <v>18</v>
      </c>
      <c r="I166">
        <v>18</v>
      </c>
      <c r="J166">
        <v>36</v>
      </c>
      <c r="K166">
        <v>72</v>
      </c>
      <c r="L166">
        <v>109</v>
      </c>
      <c r="M166">
        <v>109</v>
      </c>
      <c r="N166">
        <v>162</v>
      </c>
      <c r="O166">
        <v>240</v>
      </c>
      <c r="P166">
        <v>286</v>
      </c>
      <c r="Q166">
        <v>333</v>
      </c>
      <c r="R166">
        <v>391</v>
      </c>
      <c r="S166">
        <v>476</v>
      </c>
      <c r="T166">
        <v>548</v>
      </c>
      <c r="U166">
        <v>600</v>
      </c>
      <c r="V166">
        <v>661</v>
      </c>
      <c r="W166">
        <v>698</v>
      </c>
      <c r="X166">
        <v>740</v>
      </c>
      <c r="Y166">
        <v>771</v>
      </c>
      <c r="Z166">
        <v>804</v>
      </c>
      <c r="AA166">
        <v>844</v>
      </c>
      <c r="AB166">
        <v>872</v>
      </c>
      <c r="AC166">
        <v>900</v>
      </c>
      <c r="AD166">
        <v>913</v>
      </c>
      <c r="AE166">
        <v>925</v>
      </c>
      <c r="AF166">
        <v>930</v>
      </c>
      <c r="AG166">
        <v>933</v>
      </c>
      <c r="AH166">
        <v>934</v>
      </c>
      <c r="AI166">
        <v>934</v>
      </c>
      <c r="AJ166">
        <v>934</v>
      </c>
      <c r="AK166">
        <v>934</v>
      </c>
      <c r="AL166">
        <v>934</v>
      </c>
      <c r="AM166">
        <v>934</v>
      </c>
      <c r="AN166">
        <v>934</v>
      </c>
      <c r="AO166">
        <v>934</v>
      </c>
      <c r="AP166">
        <v>934</v>
      </c>
      <c r="AQ166">
        <v>935</v>
      </c>
      <c r="AR166">
        <v>935</v>
      </c>
      <c r="AS166">
        <v>935</v>
      </c>
      <c r="AT166">
        <v>935</v>
      </c>
      <c r="AU166">
        <v>935</v>
      </c>
      <c r="AV166">
        <v>935</v>
      </c>
      <c r="AW166">
        <v>935</v>
      </c>
      <c r="AX166">
        <v>935</v>
      </c>
      <c r="AY166">
        <v>935</v>
      </c>
      <c r="AZ166">
        <v>935</v>
      </c>
      <c r="BA166">
        <v>935</v>
      </c>
      <c r="BB166">
        <v>935</v>
      </c>
      <c r="BC166">
        <v>935</v>
      </c>
      <c r="BD166">
        <v>935</v>
      </c>
      <c r="BE166">
        <v>935</v>
      </c>
      <c r="BF166">
        <v>935</v>
      </c>
      <c r="BG166">
        <v>935</v>
      </c>
    </row>
    <row r="167" spans="1:59" x14ac:dyDescent="0.3">
      <c r="A167" s="2"/>
      <c r="B167" t="s">
        <v>53</v>
      </c>
      <c r="C167" t="s">
        <v>365</v>
      </c>
      <c r="D167">
        <v>36.342700000000001</v>
      </c>
      <c r="E167">
        <v>118.1498</v>
      </c>
      <c r="F167">
        <v>2</v>
      </c>
      <c r="G167">
        <v>6</v>
      </c>
      <c r="H167">
        <v>15</v>
      </c>
      <c r="I167">
        <v>27</v>
      </c>
      <c r="J167">
        <v>46</v>
      </c>
      <c r="K167">
        <v>75</v>
      </c>
      <c r="L167">
        <v>95</v>
      </c>
      <c r="M167">
        <v>130</v>
      </c>
      <c r="N167">
        <v>158</v>
      </c>
      <c r="O167">
        <v>184</v>
      </c>
      <c r="P167">
        <v>206</v>
      </c>
      <c r="Q167">
        <v>230</v>
      </c>
      <c r="R167">
        <v>259</v>
      </c>
      <c r="S167">
        <v>275</v>
      </c>
      <c r="T167">
        <v>307</v>
      </c>
      <c r="U167">
        <v>347</v>
      </c>
      <c r="V167">
        <v>386</v>
      </c>
      <c r="W167">
        <v>416</v>
      </c>
      <c r="X167">
        <v>444</v>
      </c>
      <c r="Y167">
        <v>466</v>
      </c>
      <c r="Z167">
        <v>487</v>
      </c>
      <c r="AA167">
        <v>497</v>
      </c>
      <c r="AB167">
        <v>509</v>
      </c>
      <c r="AC167">
        <v>523</v>
      </c>
      <c r="AD167">
        <v>532</v>
      </c>
      <c r="AE167">
        <v>537</v>
      </c>
      <c r="AF167">
        <v>541</v>
      </c>
      <c r="AG167">
        <v>543</v>
      </c>
      <c r="AH167">
        <v>544</v>
      </c>
      <c r="AI167">
        <v>546</v>
      </c>
      <c r="AJ167">
        <v>749</v>
      </c>
      <c r="AK167">
        <v>750</v>
      </c>
      <c r="AL167">
        <v>754</v>
      </c>
      <c r="AM167">
        <v>755</v>
      </c>
      <c r="AN167">
        <v>756</v>
      </c>
      <c r="AO167">
        <v>756</v>
      </c>
      <c r="AP167">
        <v>756</v>
      </c>
      <c r="AQ167">
        <v>756</v>
      </c>
      <c r="AR167">
        <v>756</v>
      </c>
      <c r="AS167">
        <v>758</v>
      </c>
      <c r="AT167">
        <v>758</v>
      </c>
      <c r="AU167">
        <v>758</v>
      </c>
      <c r="AV167">
        <v>758</v>
      </c>
      <c r="AW167">
        <v>758</v>
      </c>
      <c r="AX167">
        <v>758</v>
      </c>
      <c r="AY167">
        <v>758</v>
      </c>
      <c r="AZ167">
        <v>758</v>
      </c>
      <c r="BA167">
        <v>758</v>
      </c>
      <c r="BB167">
        <v>758</v>
      </c>
      <c r="BC167">
        <v>760</v>
      </c>
      <c r="BD167">
        <v>760</v>
      </c>
      <c r="BE167">
        <v>760</v>
      </c>
      <c r="BF167">
        <v>760</v>
      </c>
      <c r="BG167">
        <v>760</v>
      </c>
    </row>
    <row r="168" spans="1:59" x14ac:dyDescent="0.3">
      <c r="A168" s="2"/>
      <c r="B168" t="s">
        <v>275</v>
      </c>
      <c r="C168" t="s">
        <v>368</v>
      </c>
      <c r="D168">
        <v>35.4437</v>
      </c>
      <c r="E168">
        <v>139.63800000000001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61</v>
      </c>
      <c r="W168">
        <v>61</v>
      </c>
      <c r="X168">
        <v>64</v>
      </c>
      <c r="Y168">
        <v>135</v>
      </c>
      <c r="Z168">
        <v>135</v>
      </c>
      <c r="AA168">
        <v>175</v>
      </c>
      <c r="AB168">
        <v>175</v>
      </c>
      <c r="AC168">
        <v>218</v>
      </c>
      <c r="AD168">
        <v>285</v>
      </c>
      <c r="AE168">
        <v>355</v>
      </c>
      <c r="AF168">
        <v>454</v>
      </c>
      <c r="AG168">
        <v>542</v>
      </c>
      <c r="AH168">
        <v>621</v>
      </c>
      <c r="AI168">
        <v>634</v>
      </c>
      <c r="AJ168">
        <v>634</v>
      </c>
      <c r="AK168">
        <v>634</v>
      </c>
      <c r="AL168">
        <v>691</v>
      </c>
      <c r="AM168">
        <v>691</v>
      </c>
      <c r="AN168">
        <v>691</v>
      </c>
      <c r="AO168">
        <v>705</v>
      </c>
      <c r="AP168">
        <v>705</v>
      </c>
      <c r="AQ168">
        <v>705</v>
      </c>
      <c r="AR168">
        <v>705</v>
      </c>
      <c r="AS168">
        <v>705</v>
      </c>
      <c r="AT168">
        <v>705</v>
      </c>
      <c r="AU168">
        <v>706</v>
      </c>
      <c r="AV168">
        <v>706</v>
      </c>
      <c r="AW168">
        <v>706</v>
      </c>
      <c r="AX168">
        <v>696</v>
      </c>
      <c r="AY168">
        <v>696</v>
      </c>
      <c r="AZ168">
        <v>696</v>
      </c>
      <c r="BA168">
        <v>696</v>
      </c>
      <c r="BB168">
        <v>696</v>
      </c>
      <c r="BC168">
        <v>696</v>
      </c>
      <c r="BD168">
        <v>696</v>
      </c>
      <c r="BE168">
        <v>696</v>
      </c>
      <c r="BF168">
        <v>696</v>
      </c>
      <c r="BG168">
        <v>696</v>
      </c>
    </row>
    <row r="169" spans="1:59" x14ac:dyDescent="0.3">
      <c r="A169" s="2"/>
      <c r="B169" t="s">
        <v>46</v>
      </c>
      <c r="C169" t="s">
        <v>365</v>
      </c>
      <c r="D169">
        <v>32.9711</v>
      </c>
      <c r="E169">
        <v>119.455</v>
      </c>
      <c r="F169">
        <v>1</v>
      </c>
      <c r="G169">
        <v>5</v>
      </c>
      <c r="H169">
        <v>9</v>
      </c>
      <c r="I169">
        <v>18</v>
      </c>
      <c r="J169">
        <v>33</v>
      </c>
      <c r="K169">
        <v>47</v>
      </c>
      <c r="L169">
        <v>70</v>
      </c>
      <c r="M169">
        <v>99</v>
      </c>
      <c r="N169">
        <v>129</v>
      </c>
      <c r="O169">
        <v>168</v>
      </c>
      <c r="P169">
        <v>202</v>
      </c>
      <c r="Q169">
        <v>236</v>
      </c>
      <c r="R169">
        <v>271</v>
      </c>
      <c r="S169">
        <v>308</v>
      </c>
      <c r="T169">
        <v>341</v>
      </c>
      <c r="U169">
        <v>373</v>
      </c>
      <c r="V169">
        <v>408</v>
      </c>
      <c r="W169">
        <v>439</v>
      </c>
      <c r="X169">
        <v>468</v>
      </c>
      <c r="Y169">
        <v>492</v>
      </c>
      <c r="Z169">
        <v>515</v>
      </c>
      <c r="AA169">
        <v>543</v>
      </c>
      <c r="AB169">
        <v>570</v>
      </c>
      <c r="AC169">
        <v>593</v>
      </c>
      <c r="AD169">
        <v>604</v>
      </c>
      <c r="AE169">
        <v>617</v>
      </c>
      <c r="AF169">
        <v>626</v>
      </c>
      <c r="AG169">
        <v>629</v>
      </c>
      <c r="AH169">
        <v>631</v>
      </c>
      <c r="AI169">
        <v>631</v>
      </c>
      <c r="AJ169">
        <v>631</v>
      </c>
      <c r="AK169">
        <v>631</v>
      </c>
      <c r="AL169">
        <v>631</v>
      </c>
      <c r="AM169">
        <v>631</v>
      </c>
      <c r="AN169">
        <v>631</v>
      </c>
      <c r="AO169">
        <v>631</v>
      </c>
      <c r="AP169">
        <v>631</v>
      </c>
      <c r="AQ169">
        <v>631</v>
      </c>
      <c r="AR169">
        <v>631</v>
      </c>
      <c r="AS169">
        <v>631</v>
      </c>
      <c r="AT169">
        <v>631</v>
      </c>
      <c r="AU169">
        <v>631</v>
      </c>
      <c r="AV169">
        <v>631</v>
      </c>
      <c r="AW169">
        <v>631</v>
      </c>
      <c r="AX169">
        <v>631</v>
      </c>
      <c r="AY169">
        <v>631</v>
      </c>
      <c r="AZ169">
        <v>631</v>
      </c>
      <c r="BA169">
        <v>631</v>
      </c>
      <c r="BB169">
        <v>631</v>
      </c>
      <c r="BC169">
        <v>631</v>
      </c>
      <c r="BD169">
        <v>631</v>
      </c>
      <c r="BE169">
        <v>631</v>
      </c>
      <c r="BF169">
        <v>631</v>
      </c>
      <c r="BG169">
        <v>631</v>
      </c>
    </row>
    <row r="170" spans="1:59" x14ac:dyDescent="0.3">
      <c r="A170" s="2"/>
      <c r="B170" t="s">
        <v>33</v>
      </c>
      <c r="C170" t="s">
        <v>365</v>
      </c>
      <c r="D170">
        <v>30.057200000000002</v>
      </c>
      <c r="E170">
        <v>107.874</v>
      </c>
      <c r="F170">
        <v>6</v>
      </c>
      <c r="G170">
        <v>9</v>
      </c>
      <c r="H170">
        <v>27</v>
      </c>
      <c r="I170">
        <v>57</v>
      </c>
      <c r="J170">
        <v>75</v>
      </c>
      <c r="K170">
        <v>110</v>
      </c>
      <c r="L170">
        <v>132</v>
      </c>
      <c r="M170">
        <v>147</v>
      </c>
      <c r="N170">
        <v>182</v>
      </c>
      <c r="O170">
        <v>211</v>
      </c>
      <c r="P170">
        <v>247</v>
      </c>
      <c r="Q170">
        <v>300</v>
      </c>
      <c r="R170">
        <v>337</v>
      </c>
      <c r="S170">
        <v>366</v>
      </c>
      <c r="T170">
        <v>389</v>
      </c>
      <c r="U170">
        <v>411</v>
      </c>
      <c r="V170">
        <v>426</v>
      </c>
      <c r="W170">
        <v>428</v>
      </c>
      <c r="X170">
        <v>468</v>
      </c>
      <c r="Y170">
        <v>486</v>
      </c>
      <c r="Z170">
        <v>505</v>
      </c>
      <c r="AA170">
        <v>518</v>
      </c>
      <c r="AB170">
        <v>529</v>
      </c>
      <c r="AC170">
        <v>537</v>
      </c>
      <c r="AD170">
        <v>544</v>
      </c>
      <c r="AE170">
        <v>551</v>
      </c>
      <c r="AF170">
        <v>553</v>
      </c>
      <c r="AG170">
        <v>555</v>
      </c>
      <c r="AH170">
        <v>560</v>
      </c>
      <c r="AI170">
        <v>567</v>
      </c>
      <c r="AJ170">
        <v>572</v>
      </c>
      <c r="AK170">
        <v>573</v>
      </c>
      <c r="AL170">
        <v>575</v>
      </c>
      <c r="AM170">
        <v>576</v>
      </c>
      <c r="AN170">
        <v>576</v>
      </c>
      <c r="AO170">
        <v>576</v>
      </c>
      <c r="AP170">
        <v>576</v>
      </c>
      <c r="AQ170">
        <v>576</v>
      </c>
      <c r="AR170">
        <v>576</v>
      </c>
      <c r="AS170">
        <v>576</v>
      </c>
      <c r="AT170">
        <v>576</v>
      </c>
      <c r="AU170">
        <v>576</v>
      </c>
      <c r="AV170">
        <v>576</v>
      </c>
      <c r="AW170">
        <v>576</v>
      </c>
      <c r="AX170">
        <v>576</v>
      </c>
      <c r="AY170">
        <v>576</v>
      </c>
      <c r="AZ170">
        <v>576</v>
      </c>
      <c r="BA170">
        <v>576</v>
      </c>
      <c r="BB170">
        <v>576</v>
      </c>
      <c r="BC170">
        <v>576</v>
      </c>
      <c r="BD170">
        <v>576</v>
      </c>
      <c r="BE170">
        <v>576</v>
      </c>
      <c r="BF170">
        <v>576</v>
      </c>
      <c r="BG170">
        <v>576</v>
      </c>
    </row>
    <row r="171" spans="1:59" x14ac:dyDescent="0.3">
      <c r="A171" s="2"/>
      <c r="B171" t="s">
        <v>56</v>
      </c>
      <c r="C171" t="s">
        <v>365</v>
      </c>
      <c r="D171">
        <v>30.617100000000001</v>
      </c>
      <c r="E171">
        <v>102.7103</v>
      </c>
      <c r="F171">
        <v>5</v>
      </c>
      <c r="G171">
        <v>8</v>
      </c>
      <c r="H171">
        <v>15</v>
      </c>
      <c r="I171">
        <v>28</v>
      </c>
      <c r="J171">
        <v>44</v>
      </c>
      <c r="K171">
        <v>69</v>
      </c>
      <c r="L171">
        <v>90</v>
      </c>
      <c r="M171">
        <v>108</v>
      </c>
      <c r="N171">
        <v>142</v>
      </c>
      <c r="O171">
        <v>177</v>
      </c>
      <c r="P171">
        <v>207</v>
      </c>
      <c r="Q171">
        <v>231</v>
      </c>
      <c r="R171">
        <v>254</v>
      </c>
      <c r="S171">
        <v>282</v>
      </c>
      <c r="T171">
        <v>301</v>
      </c>
      <c r="U171">
        <v>321</v>
      </c>
      <c r="V171">
        <v>344</v>
      </c>
      <c r="W171">
        <v>364</v>
      </c>
      <c r="X171">
        <v>386</v>
      </c>
      <c r="Y171">
        <v>405</v>
      </c>
      <c r="Z171">
        <v>417</v>
      </c>
      <c r="AA171">
        <v>436</v>
      </c>
      <c r="AB171">
        <v>451</v>
      </c>
      <c r="AC171">
        <v>463</v>
      </c>
      <c r="AD171">
        <v>470</v>
      </c>
      <c r="AE171">
        <v>481</v>
      </c>
      <c r="AF171">
        <v>495</v>
      </c>
      <c r="AG171">
        <v>508</v>
      </c>
      <c r="AH171">
        <v>514</v>
      </c>
      <c r="AI171">
        <v>520</v>
      </c>
      <c r="AJ171">
        <v>525</v>
      </c>
      <c r="AK171">
        <v>526</v>
      </c>
      <c r="AL171">
        <v>526</v>
      </c>
      <c r="AM171">
        <v>527</v>
      </c>
      <c r="AN171">
        <v>529</v>
      </c>
      <c r="AO171">
        <v>531</v>
      </c>
      <c r="AP171">
        <v>534</v>
      </c>
      <c r="AQ171">
        <v>538</v>
      </c>
      <c r="AR171">
        <v>538</v>
      </c>
      <c r="AS171">
        <v>538</v>
      </c>
      <c r="AT171">
        <v>538</v>
      </c>
      <c r="AU171">
        <v>538</v>
      </c>
      <c r="AV171">
        <v>538</v>
      </c>
      <c r="AW171">
        <v>539</v>
      </c>
      <c r="AX171">
        <v>539</v>
      </c>
      <c r="AY171">
        <v>539</v>
      </c>
      <c r="AZ171">
        <v>539</v>
      </c>
      <c r="BA171">
        <v>539</v>
      </c>
      <c r="BB171">
        <v>539</v>
      </c>
      <c r="BC171">
        <v>539</v>
      </c>
      <c r="BD171">
        <v>539</v>
      </c>
      <c r="BE171">
        <v>539</v>
      </c>
      <c r="BF171">
        <v>539</v>
      </c>
      <c r="BG171">
        <v>539</v>
      </c>
    </row>
    <row r="172" spans="1:59" x14ac:dyDescent="0.3">
      <c r="A172" s="2"/>
      <c r="B172" t="s">
        <v>41</v>
      </c>
      <c r="C172" t="s">
        <v>365</v>
      </c>
      <c r="D172">
        <v>47.862000000000002</v>
      </c>
      <c r="E172">
        <v>127.7615</v>
      </c>
      <c r="F172">
        <v>0</v>
      </c>
      <c r="G172">
        <v>2</v>
      </c>
      <c r="H172">
        <v>4</v>
      </c>
      <c r="I172">
        <v>9</v>
      </c>
      <c r="J172">
        <v>15</v>
      </c>
      <c r="K172">
        <v>21</v>
      </c>
      <c r="L172">
        <v>33</v>
      </c>
      <c r="M172">
        <v>38</v>
      </c>
      <c r="N172">
        <v>44</v>
      </c>
      <c r="O172">
        <v>59</v>
      </c>
      <c r="P172">
        <v>80</v>
      </c>
      <c r="Q172">
        <v>95</v>
      </c>
      <c r="R172">
        <v>121</v>
      </c>
      <c r="S172">
        <v>155</v>
      </c>
      <c r="T172">
        <v>190</v>
      </c>
      <c r="U172">
        <v>227</v>
      </c>
      <c r="V172">
        <v>277</v>
      </c>
      <c r="W172">
        <v>295</v>
      </c>
      <c r="X172">
        <v>307</v>
      </c>
      <c r="Y172">
        <v>331</v>
      </c>
      <c r="Z172">
        <v>360</v>
      </c>
      <c r="AA172">
        <v>378</v>
      </c>
      <c r="AB172">
        <v>395</v>
      </c>
      <c r="AC172">
        <v>419</v>
      </c>
      <c r="AD172">
        <v>425</v>
      </c>
      <c r="AE172">
        <v>445</v>
      </c>
      <c r="AF172">
        <v>457</v>
      </c>
      <c r="AG172">
        <v>464</v>
      </c>
      <c r="AH172">
        <v>470</v>
      </c>
      <c r="AI172">
        <v>476</v>
      </c>
      <c r="AJ172">
        <v>479</v>
      </c>
      <c r="AK172">
        <v>479</v>
      </c>
      <c r="AL172">
        <v>480</v>
      </c>
      <c r="AM172">
        <v>480</v>
      </c>
      <c r="AN172">
        <v>480</v>
      </c>
      <c r="AO172">
        <v>480</v>
      </c>
      <c r="AP172">
        <v>480</v>
      </c>
      <c r="AQ172">
        <v>480</v>
      </c>
      <c r="AR172">
        <v>480</v>
      </c>
      <c r="AS172">
        <v>480</v>
      </c>
      <c r="AT172">
        <v>480</v>
      </c>
      <c r="AU172">
        <v>480</v>
      </c>
      <c r="AV172">
        <v>480</v>
      </c>
      <c r="AW172">
        <v>481</v>
      </c>
      <c r="AX172">
        <v>481</v>
      </c>
      <c r="AY172">
        <v>481</v>
      </c>
      <c r="AZ172">
        <v>481</v>
      </c>
      <c r="BA172">
        <v>481</v>
      </c>
      <c r="BB172">
        <v>481</v>
      </c>
      <c r="BC172">
        <v>482</v>
      </c>
      <c r="BD172">
        <v>482</v>
      </c>
      <c r="BE172">
        <v>482</v>
      </c>
      <c r="BF172">
        <v>482</v>
      </c>
      <c r="BG172">
        <v>482</v>
      </c>
    </row>
    <row r="173" spans="1:59" x14ac:dyDescent="0.3">
      <c r="A173" s="2"/>
      <c r="B173" t="s">
        <v>114</v>
      </c>
      <c r="C173" t="s">
        <v>114</v>
      </c>
      <c r="D173">
        <v>56.2639</v>
      </c>
      <c r="E173">
        <v>9.5017999999999994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1</v>
      </c>
      <c r="AQ173">
        <v>1</v>
      </c>
      <c r="AR173">
        <v>3</v>
      </c>
      <c r="AS173">
        <v>4</v>
      </c>
      <c r="AT173">
        <v>4</v>
      </c>
      <c r="AU173">
        <v>6</v>
      </c>
      <c r="AV173">
        <v>10</v>
      </c>
      <c r="AW173">
        <v>10</v>
      </c>
      <c r="AX173">
        <v>23</v>
      </c>
      <c r="AY173">
        <v>23</v>
      </c>
      <c r="AZ173">
        <v>35</v>
      </c>
      <c r="BA173">
        <v>90</v>
      </c>
      <c r="BB173">
        <v>262</v>
      </c>
      <c r="BC173">
        <v>442</v>
      </c>
      <c r="BD173">
        <v>615</v>
      </c>
      <c r="BE173">
        <v>801</v>
      </c>
      <c r="BF173">
        <v>827</v>
      </c>
      <c r="BG173">
        <v>864</v>
      </c>
    </row>
    <row r="174" spans="1:59" x14ac:dyDescent="0.3">
      <c r="A174" s="2"/>
      <c r="B174" t="s">
        <v>32</v>
      </c>
      <c r="C174" t="s">
        <v>365</v>
      </c>
      <c r="D174">
        <v>40.182400000000001</v>
      </c>
      <c r="E174">
        <v>116.41419999999999</v>
      </c>
      <c r="F174">
        <v>14</v>
      </c>
      <c r="G174">
        <v>22</v>
      </c>
      <c r="H174">
        <v>36</v>
      </c>
      <c r="I174">
        <v>41</v>
      </c>
      <c r="J174">
        <v>68</v>
      </c>
      <c r="K174">
        <v>80</v>
      </c>
      <c r="L174">
        <v>91</v>
      </c>
      <c r="M174">
        <v>111</v>
      </c>
      <c r="N174">
        <v>114</v>
      </c>
      <c r="O174">
        <v>139</v>
      </c>
      <c r="P174">
        <v>168</v>
      </c>
      <c r="Q174">
        <v>191</v>
      </c>
      <c r="R174">
        <v>212</v>
      </c>
      <c r="S174">
        <v>228</v>
      </c>
      <c r="T174">
        <v>253</v>
      </c>
      <c r="U174">
        <v>274</v>
      </c>
      <c r="V174">
        <v>297</v>
      </c>
      <c r="W174">
        <v>315</v>
      </c>
      <c r="X174">
        <v>326</v>
      </c>
      <c r="Y174">
        <v>337</v>
      </c>
      <c r="Z174">
        <v>342</v>
      </c>
      <c r="AA174">
        <v>352</v>
      </c>
      <c r="AB174">
        <v>366</v>
      </c>
      <c r="AC174">
        <v>372</v>
      </c>
      <c r="AD174">
        <v>375</v>
      </c>
      <c r="AE174">
        <v>380</v>
      </c>
      <c r="AF174">
        <v>381</v>
      </c>
      <c r="AG174">
        <v>387</v>
      </c>
      <c r="AH174">
        <v>393</v>
      </c>
      <c r="AI174">
        <v>395</v>
      </c>
      <c r="AJ174">
        <v>396</v>
      </c>
      <c r="AK174">
        <v>399</v>
      </c>
      <c r="AL174">
        <v>399</v>
      </c>
      <c r="AM174">
        <v>399</v>
      </c>
      <c r="AN174">
        <v>400</v>
      </c>
      <c r="AO174">
        <v>400</v>
      </c>
      <c r="AP174">
        <v>410</v>
      </c>
      <c r="AQ174">
        <v>410</v>
      </c>
      <c r="AR174">
        <v>411</v>
      </c>
      <c r="AS174">
        <v>413</v>
      </c>
      <c r="AT174">
        <v>414</v>
      </c>
      <c r="AU174">
        <v>414</v>
      </c>
      <c r="AV174">
        <v>418</v>
      </c>
      <c r="AW174">
        <v>418</v>
      </c>
      <c r="AX174">
        <v>422</v>
      </c>
      <c r="AY174">
        <v>426</v>
      </c>
      <c r="AZ174">
        <v>428</v>
      </c>
      <c r="BA174">
        <v>428</v>
      </c>
      <c r="BB174">
        <v>429</v>
      </c>
      <c r="BC174">
        <v>435</v>
      </c>
      <c r="BD174">
        <v>435</v>
      </c>
      <c r="BE174">
        <v>436</v>
      </c>
      <c r="BF174">
        <v>437</v>
      </c>
      <c r="BG174">
        <v>442</v>
      </c>
    </row>
    <row r="175" spans="1:59" x14ac:dyDescent="0.3">
      <c r="A175" s="2"/>
      <c r="B175" t="s">
        <v>54</v>
      </c>
      <c r="C175" t="s">
        <v>365</v>
      </c>
      <c r="D175">
        <v>31.202000000000002</v>
      </c>
      <c r="E175">
        <v>121.4491</v>
      </c>
      <c r="F175">
        <v>9</v>
      </c>
      <c r="G175">
        <v>16</v>
      </c>
      <c r="H175">
        <v>20</v>
      </c>
      <c r="I175">
        <v>33</v>
      </c>
      <c r="J175">
        <v>40</v>
      </c>
      <c r="K175">
        <v>53</v>
      </c>
      <c r="L175">
        <v>66</v>
      </c>
      <c r="M175">
        <v>96</v>
      </c>
      <c r="N175">
        <v>112</v>
      </c>
      <c r="O175">
        <v>135</v>
      </c>
      <c r="P175">
        <v>169</v>
      </c>
      <c r="Q175">
        <v>182</v>
      </c>
      <c r="R175">
        <v>203</v>
      </c>
      <c r="S175">
        <v>219</v>
      </c>
      <c r="T175">
        <v>243</v>
      </c>
      <c r="U175">
        <v>257</v>
      </c>
      <c r="V175">
        <v>277</v>
      </c>
      <c r="W175">
        <v>286</v>
      </c>
      <c r="X175">
        <v>293</v>
      </c>
      <c r="Y175">
        <v>299</v>
      </c>
      <c r="Z175">
        <v>303</v>
      </c>
      <c r="AA175">
        <v>311</v>
      </c>
      <c r="AB175">
        <v>315</v>
      </c>
      <c r="AC175">
        <v>318</v>
      </c>
      <c r="AD175">
        <v>326</v>
      </c>
      <c r="AE175">
        <v>328</v>
      </c>
      <c r="AF175">
        <v>333</v>
      </c>
      <c r="AG175">
        <v>333</v>
      </c>
      <c r="AH175">
        <v>333</v>
      </c>
      <c r="AI175">
        <v>334</v>
      </c>
      <c r="AJ175">
        <v>334</v>
      </c>
      <c r="AK175">
        <v>335</v>
      </c>
      <c r="AL175">
        <v>335</v>
      </c>
      <c r="AM175">
        <v>335</v>
      </c>
      <c r="AN175">
        <v>336</v>
      </c>
      <c r="AO175">
        <v>337</v>
      </c>
      <c r="AP175">
        <v>337</v>
      </c>
      <c r="AQ175">
        <v>337</v>
      </c>
      <c r="AR175">
        <v>337</v>
      </c>
      <c r="AS175">
        <v>337</v>
      </c>
      <c r="AT175">
        <v>337</v>
      </c>
      <c r="AU175">
        <v>338</v>
      </c>
      <c r="AV175">
        <v>338</v>
      </c>
      <c r="AW175">
        <v>339</v>
      </c>
      <c r="AX175">
        <v>342</v>
      </c>
      <c r="AY175">
        <v>342</v>
      </c>
      <c r="AZ175">
        <v>342</v>
      </c>
      <c r="BA175">
        <v>342</v>
      </c>
      <c r="BB175">
        <v>344</v>
      </c>
      <c r="BC175">
        <v>344</v>
      </c>
      <c r="BD175">
        <v>344</v>
      </c>
      <c r="BE175">
        <v>346</v>
      </c>
      <c r="BF175">
        <v>353</v>
      </c>
      <c r="BG175">
        <v>353</v>
      </c>
    </row>
    <row r="176" spans="1:59" x14ac:dyDescent="0.3">
      <c r="A176" s="2"/>
      <c r="B176" t="s">
        <v>40</v>
      </c>
      <c r="C176" t="s">
        <v>365</v>
      </c>
      <c r="D176">
        <v>39.548999999999999</v>
      </c>
      <c r="E176">
        <v>116.1306</v>
      </c>
      <c r="F176">
        <v>1</v>
      </c>
      <c r="G176">
        <v>1</v>
      </c>
      <c r="H176">
        <v>2</v>
      </c>
      <c r="I176">
        <v>8</v>
      </c>
      <c r="J176">
        <v>13</v>
      </c>
      <c r="K176">
        <v>18</v>
      </c>
      <c r="L176">
        <v>33</v>
      </c>
      <c r="M176">
        <v>48</v>
      </c>
      <c r="N176">
        <v>65</v>
      </c>
      <c r="O176">
        <v>82</v>
      </c>
      <c r="P176">
        <v>96</v>
      </c>
      <c r="Q176">
        <v>104</v>
      </c>
      <c r="R176">
        <v>113</v>
      </c>
      <c r="S176">
        <v>126</v>
      </c>
      <c r="T176">
        <v>135</v>
      </c>
      <c r="U176">
        <v>157</v>
      </c>
      <c r="V176">
        <v>172</v>
      </c>
      <c r="W176">
        <v>195</v>
      </c>
      <c r="X176">
        <v>206</v>
      </c>
      <c r="Y176">
        <v>218</v>
      </c>
      <c r="Z176">
        <v>239</v>
      </c>
      <c r="AA176">
        <v>251</v>
      </c>
      <c r="AB176">
        <v>265</v>
      </c>
      <c r="AC176">
        <v>283</v>
      </c>
      <c r="AD176">
        <v>291</v>
      </c>
      <c r="AE176">
        <v>300</v>
      </c>
      <c r="AF176">
        <v>301</v>
      </c>
      <c r="AG176">
        <v>306</v>
      </c>
      <c r="AH176">
        <v>306</v>
      </c>
      <c r="AI176">
        <v>307</v>
      </c>
      <c r="AJ176">
        <v>308</v>
      </c>
      <c r="AK176">
        <v>309</v>
      </c>
      <c r="AL176">
        <v>311</v>
      </c>
      <c r="AM176">
        <v>311</v>
      </c>
      <c r="AN176">
        <v>311</v>
      </c>
      <c r="AO176">
        <v>312</v>
      </c>
      <c r="AP176">
        <v>317</v>
      </c>
      <c r="AQ176">
        <v>318</v>
      </c>
      <c r="AR176">
        <v>318</v>
      </c>
      <c r="AS176">
        <v>318</v>
      </c>
      <c r="AT176">
        <v>318</v>
      </c>
      <c r="AU176">
        <v>318</v>
      </c>
      <c r="AV176">
        <v>318</v>
      </c>
      <c r="AW176">
        <v>318</v>
      </c>
      <c r="AX176">
        <v>318</v>
      </c>
      <c r="AY176">
        <v>318</v>
      </c>
      <c r="AZ176">
        <v>318</v>
      </c>
      <c r="BA176">
        <v>318</v>
      </c>
      <c r="BB176">
        <v>318</v>
      </c>
      <c r="BC176">
        <v>318</v>
      </c>
      <c r="BD176">
        <v>318</v>
      </c>
      <c r="BE176">
        <v>318</v>
      </c>
      <c r="BF176">
        <v>318</v>
      </c>
      <c r="BG176">
        <v>318</v>
      </c>
    </row>
    <row r="177" spans="1:59" x14ac:dyDescent="0.3">
      <c r="A177" s="2"/>
      <c r="B177" t="s">
        <v>34</v>
      </c>
      <c r="C177" t="s">
        <v>365</v>
      </c>
      <c r="D177">
        <v>26.078900000000001</v>
      </c>
      <c r="E177">
        <v>117.98739999999999</v>
      </c>
      <c r="F177">
        <v>1</v>
      </c>
      <c r="G177">
        <v>5</v>
      </c>
      <c r="H177">
        <v>10</v>
      </c>
      <c r="I177">
        <v>18</v>
      </c>
      <c r="J177">
        <v>35</v>
      </c>
      <c r="K177">
        <v>59</v>
      </c>
      <c r="L177">
        <v>80</v>
      </c>
      <c r="M177">
        <v>84</v>
      </c>
      <c r="N177">
        <v>101</v>
      </c>
      <c r="O177">
        <v>120</v>
      </c>
      <c r="P177">
        <v>144</v>
      </c>
      <c r="Q177">
        <v>159</v>
      </c>
      <c r="R177">
        <v>179</v>
      </c>
      <c r="S177">
        <v>194</v>
      </c>
      <c r="T177">
        <v>205</v>
      </c>
      <c r="U177">
        <v>215</v>
      </c>
      <c r="V177">
        <v>224</v>
      </c>
      <c r="W177">
        <v>239</v>
      </c>
      <c r="X177">
        <v>250</v>
      </c>
      <c r="Y177">
        <v>261</v>
      </c>
      <c r="Z177">
        <v>267</v>
      </c>
      <c r="AA177">
        <v>272</v>
      </c>
      <c r="AB177">
        <v>279</v>
      </c>
      <c r="AC177">
        <v>281</v>
      </c>
      <c r="AD177">
        <v>285</v>
      </c>
      <c r="AE177">
        <v>287</v>
      </c>
      <c r="AF177">
        <v>290</v>
      </c>
      <c r="AG177">
        <v>292</v>
      </c>
      <c r="AH177">
        <v>293</v>
      </c>
      <c r="AI177">
        <v>293</v>
      </c>
      <c r="AJ177">
        <v>293</v>
      </c>
      <c r="AK177">
        <v>293</v>
      </c>
      <c r="AL177">
        <v>293</v>
      </c>
      <c r="AM177">
        <v>293</v>
      </c>
      <c r="AN177">
        <v>294</v>
      </c>
      <c r="AO177">
        <v>294</v>
      </c>
      <c r="AP177">
        <v>296</v>
      </c>
      <c r="AQ177">
        <v>296</v>
      </c>
      <c r="AR177">
        <v>296</v>
      </c>
      <c r="AS177">
        <v>296</v>
      </c>
      <c r="AT177">
        <v>296</v>
      </c>
      <c r="AU177">
        <v>296</v>
      </c>
      <c r="AV177">
        <v>296</v>
      </c>
      <c r="AW177">
        <v>296</v>
      </c>
      <c r="AX177">
        <v>296</v>
      </c>
      <c r="AY177">
        <v>296</v>
      </c>
      <c r="AZ177">
        <v>296</v>
      </c>
      <c r="BA177">
        <v>296</v>
      </c>
      <c r="BB177">
        <v>296</v>
      </c>
      <c r="BC177">
        <v>296</v>
      </c>
      <c r="BD177">
        <v>296</v>
      </c>
      <c r="BE177">
        <v>296</v>
      </c>
      <c r="BF177">
        <v>296</v>
      </c>
      <c r="BG177">
        <v>296</v>
      </c>
    </row>
    <row r="178" spans="1:59" x14ac:dyDescent="0.3">
      <c r="A178" s="2"/>
      <c r="B178" t="s">
        <v>37</v>
      </c>
      <c r="C178" t="s">
        <v>365</v>
      </c>
      <c r="D178">
        <v>23.829799999999999</v>
      </c>
      <c r="E178">
        <v>108.7881</v>
      </c>
      <c r="F178">
        <v>2</v>
      </c>
      <c r="G178">
        <v>5</v>
      </c>
      <c r="H178">
        <v>23</v>
      </c>
      <c r="I178">
        <v>23</v>
      </c>
      <c r="J178">
        <v>36</v>
      </c>
      <c r="K178">
        <v>46</v>
      </c>
      <c r="L178">
        <v>51</v>
      </c>
      <c r="M178">
        <v>58</v>
      </c>
      <c r="N178">
        <v>78</v>
      </c>
      <c r="O178">
        <v>87</v>
      </c>
      <c r="P178">
        <v>100</v>
      </c>
      <c r="Q178">
        <v>111</v>
      </c>
      <c r="R178">
        <v>127</v>
      </c>
      <c r="S178">
        <v>139</v>
      </c>
      <c r="T178">
        <v>150</v>
      </c>
      <c r="U178">
        <v>168</v>
      </c>
      <c r="V178">
        <v>172</v>
      </c>
      <c r="W178">
        <v>183</v>
      </c>
      <c r="X178">
        <v>195</v>
      </c>
      <c r="Y178">
        <v>210</v>
      </c>
      <c r="Z178">
        <v>215</v>
      </c>
      <c r="AA178">
        <v>222</v>
      </c>
      <c r="AB178">
        <v>222</v>
      </c>
      <c r="AC178">
        <v>226</v>
      </c>
      <c r="AD178">
        <v>235</v>
      </c>
      <c r="AE178">
        <v>237</v>
      </c>
      <c r="AF178">
        <v>238</v>
      </c>
      <c r="AG178">
        <v>242</v>
      </c>
      <c r="AH178">
        <v>244</v>
      </c>
      <c r="AI178">
        <v>245</v>
      </c>
      <c r="AJ178">
        <v>246</v>
      </c>
      <c r="AK178">
        <v>249</v>
      </c>
      <c r="AL178">
        <v>249</v>
      </c>
      <c r="AM178">
        <v>251</v>
      </c>
      <c r="AN178">
        <v>252</v>
      </c>
      <c r="AO178">
        <v>252</v>
      </c>
      <c r="AP178">
        <v>252</v>
      </c>
      <c r="AQ178">
        <v>252</v>
      </c>
      <c r="AR178">
        <v>252</v>
      </c>
      <c r="AS178">
        <v>252</v>
      </c>
      <c r="AT178">
        <v>252</v>
      </c>
      <c r="AU178">
        <v>252</v>
      </c>
      <c r="AV178">
        <v>252</v>
      </c>
      <c r="AW178">
        <v>252</v>
      </c>
      <c r="AX178">
        <v>252</v>
      </c>
      <c r="AY178">
        <v>252</v>
      </c>
      <c r="AZ178">
        <v>252</v>
      </c>
      <c r="BA178">
        <v>252</v>
      </c>
      <c r="BB178">
        <v>252</v>
      </c>
      <c r="BC178">
        <v>252</v>
      </c>
      <c r="BD178">
        <v>252</v>
      </c>
      <c r="BE178">
        <v>252</v>
      </c>
      <c r="BF178">
        <v>252</v>
      </c>
      <c r="BG178">
        <v>252</v>
      </c>
    </row>
    <row r="179" spans="1:59" x14ac:dyDescent="0.3">
      <c r="A179" s="2"/>
      <c r="B179" t="s">
        <v>52</v>
      </c>
      <c r="C179" t="s">
        <v>365</v>
      </c>
      <c r="D179">
        <v>35.191699999999997</v>
      </c>
      <c r="E179">
        <v>108.87009999999999</v>
      </c>
      <c r="F179">
        <v>0</v>
      </c>
      <c r="G179">
        <v>3</v>
      </c>
      <c r="H179">
        <v>5</v>
      </c>
      <c r="I179">
        <v>15</v>
      </c>
      <c r="J179">
        <v>22</v>
      </c>
      <c r="K179">
        <v>35</v>
      </c>
      <c r="L179">
        <v>46</v>
      </c>
      <c r="M179">
        <v>56</v>
      </c>
      <c r="N179">
        <v>63</v>
      </c>
      <c r="O179">
        <v>87</v>
      </c>
      <c r="P179">
        <v>101</v>
      </c>
      <c r="Q179">
        <v>116</v>
      </c>
      <c r="R179">
        <v>128</v>
      </c>
      <c r="S179">
        <v>142</v>
      </c>
      <c r="T179">
        <v>165</v>
      </c>
      <c r="U179">
        <v>173</v>
      </c>
      <c r="V179">
        <v>184</v>
      </c>
      <c r="W179">
        <v>195</v>
      </c>
      <c r="X179">
        <v>208</v>
      </c>
      <c r="Y179">
        <v>213</v>
      </c>
      <c r="Z179">
        <v>219</v>
      </c>
      <c r="AA179">
        <v>225</v>
      </c>
      <c r="AB179">
        <v>229</v>
      </c>
      <c r="AC179">
        <v>230</v>
      </c>
      <c r="AD179">
        <v>232</v>
      </c>
      <c r="AE179">
        <v>236</v>
      </c>
      <c r="AF179">
        <v>240</v>
      </c>
      <c r="AG179">
        <v>240</v>
      </c>
      <c r="AH179">
        <v>242</v>
      </c>
      <c r="AI179">
        <v>245</v>
      </c>
      <c r="AJ179">
        <v>245</v>
      </c>
      <c r="AK179">
        <v>245</v>
      </c>
      <c r="AL179">
        <v>245</v>
      </c>
      <c r="AM179">
        <v>245</v>
      </c>
      <c r="AN179">
        <v>245</v>
      </c>
      <c r="AO179">
        <v>245</v>
      </c>
      <c r="AP179">
        <v>245</v>
      </c>
      <c r="AQ179">
        <v>245</v>
      </c>
      <c r="AR179">
        <v>245</v>
      </c>
      <c r="AS179">
        <v>245</v>
      </c>
      <c r="AT179">
        <v>245</v>
      </c>
      <c r="AU179">
        <v>245</v>
      </c>
      <c r="AV179">
        <v>245</v>
      </c>
      <c r="AW179">
        <v>245</v>
      </c>
      <c r="AX179">
        <v>245</v>
      </c>
      <c r="AY179">
        <v>245</v>
      </c>
      <c r="AZ179">
        <v>245</v>
      </c>
      <c r="BA179">
        <v>245</v>
      </c>
      <c r="BB179">
        <v>245</v>
      </c>
      <c r="BC179">
        <v>245</v>
      </c>
      <c r="BD179">
        <v>245</v>
      </c>
      <c r="BE179">
        <v>245</v>
      </c>
      <c r="BF179">
        <v>245</v>
      </c>
      <c r="BG179">
        <v>245</v>
      </c>
    </row>
    <row r="180" spans="1:59" x14ac:dyDescent="0.3">
      <c r="A180" s="2"/>
      <c r="B180" t="s">
        <v>60</v>
      </c>
      <c r="C180" t="s">
        <v>365</v>
      </c>
      <c r="D180">
        <v>24.974</v>
      </c>
      <c r="E180">
        <v>101.48699999999999</v>
      </c>
      <c r="F180">
        <v>1</v>
      </c>
      <c r="G180">
        <v>2</v>
      </c>
      <c r="H180">
        <v>5</v>
      </c>
      <c r="I180">
        <v>11</v>
      </c>
      <c r="J180">
        <v>16</v>
      </c>
      <c r="K180">
        <v>26</v>
      </c>
      <c r="L180">
        <v>44</v>
      </c>
      <c r="M180">
        <v>55</v>
      </c>
      <c r="N180">
        <v>70</v>
      </c>
      <c r="O180">
        <v>83</v>
      </c>
      <c r="P180">
        <v>93</v>
      </c>
      <c r="Q180">
        <v>105</v>
      </c>
      <c r="R180">
        <v>117</v>
      </c>
      <c r="S180">
        <v>122</v>
      </c>
      <c r="T180">
        <v>128</v>
      </c>
      <c r="U180">
        <v>133</v>
      </c>
      <c r="V180">
        <v>138</v>
      </c>
      <c r="W180">
        <v>138</v>
      </c>
      <c r="X180">
        <v>141</v>
      </c>
      <c r="Y180">
        <v>149</v>
      </c>
      <c r="Z180">
        <v>153</v>
      </c>
      <c r="AA180">
        <v>154</v>
      </c>
      <c r="AB180">
        <v>156</v>
      </c>
      <c r="AC180">
        <v>162</v>
      </c>
      <c r="AD180">
        <v>168</v>
      </c>
      <c r="AE180">
        <v>171</v>
      </c>
      <c r="AF180">
        <v>171</v>
      </c>
      <c r="AG180">
        <v>172</v>
      </c>
      <c r="AH180">
        <v>172</v>
      </c>
      <c r="AI180">
        <v>174</v>
      </c>
      <c r="AJ180">
        <v>174</v>
      </c>
      <c r="AK180">
        <v>174</v>
      </c>
      <c r="AL180">
        <v>174</v>
      </c>
      <c r="AM180">
        <v>174</v>
      </c>
      <c r="AN180">
        <v>174</v>
      </c>
      <c r="AO180">
        <v>174</v>
      </c>
      <c r="AP180">
        <v>174</v>
      </c>
      <c r="AQ180">
        <v>174</v>
      </c>
      <c r="AR180">
        <v>174</v>
      </c>
      <c r="AS180">
        <v>174</v>
      </c>
      <c r="AT180">
        <v>174</v>
      </c>
      <c r="AU180">
        <v>174</v>
      </c>
      <c r="AV180">
        <v>174</v>
      </c>
      <c r="AW180">
        <v>174</v>
      </c>
      <c r="AX180">
        <v>174</v>
      </c>
      <c r="AY180">
        <v>174</v>
      </c>
      <c r="AZ180">
        <v>174</v>
      </c>
      <c r="BA180">
        <v>174</v>
      </c>
      <c r="BB180">
        <v>174</v>
      </c>
      <c r="BC180">
        <v>174</v>
      </c>
      <c r="BD180">
        <v>174</v>
      </c>
      <c r="BE180">
        <v>174</v>
      </c>
      <c r="BF180">
        <v>174</v>
      </c>
      <c r="BG180">
        <v>174</v>
      </c>
    </row>
    <row r="181" spans="1:59" x14ac:dyDescent="0.3">
      <c r="A181" s="2"/>
      <c r="B181" t="s">
        <v>39</v>
      </c>
      <c r="C181" t="s">
        <v>365</v>
      </c>
      <c r="D181">
        <v>19.195900000000002</v>
      </c>
      <c r="E181">
        <v>109.7453</v>
      </c>
      <c r="F181">
        <v>4</v>
      </c>
      <c r="G181">
        <v>5</v>
      </c>
      <c r="H181">
        <v>8</v>
      </c>
      <c r="I181">
        <v>19</v>
      </c>
      <c r="J181">
        <v>22</v>
      </c>
      <c r="K181">
        <v>33</v>
      </c>
      <c r="L181">
        <v>40</v>
      </c>
      <c r="M181">
        <v>43</v>
      </c>
      <c r="N181">
        <v>46</v>
      </c>
      <c r="O181">
        <v>52</v>
      </c>
      <c r="P181">
        <v>62</v>
      </c>
      <c r="Q181">
        <v>64</v>
      </c>
      <c r="R181">
        <v>72</v>
      </c>
      <c r="S181">
        <v>80</v>
      </c>
      <c r="T181">
        <v>99</v>
      </c>
      <c r="U181">
        <v>106</v>
      </c>
      <c r="V181">
        <v>117</v>
      </c>
      <c r="W181">
        <v>124</v>
      </c>
      <c r="X181">
        <v>131</v>
      </c>
      <c r="Y181">
        <v>138</v>
      </c>
      <c r="Z181">
        <v>144</v>
      </c>
      <c r="AA181">
        <v>157</v>
      </c>
      <c r="AB181">
        <v>157</v>
      </c>
      <c r="AC181">
        <v>159</v>
      </c>
      <c r="AD181">
        <v>162</v>
      </c>
      <c r="AE181">
        <v>162</v>
      </c>
      <c r="AF181">
        <v>163</v>
      </c>
      <c r="AG181">
        <v>163</v>
      </c>
      <c r="AH181">
        <v>168</v>
      </c>
      <c r="AI181">
        <v>168</v>
      </c>
      <c r="AJ181">
        <v>168</v>
      </c>
      <c r="AK181">
        <v>168</v>
      </c>
      <c r="AL181">
        <v>168</v>
      </c>
      <c r="AM181">
        <v>168</v>
      </c>
      <c r="AN181">
        <v>168</v>
      </c>
      <c r="AO181">
        <v>168</v>
      </c>
      <c r="AP181">
        <v>168</v>
      </c>
      <c r="AQ181">
        <v>168</v>
      </c>
      <c r="AR181">
        <v>168</v>
      </c>
      <c r="AS181">
        <v>168</v>
      </c>
      <c r="AT181">
        <v>168</v>
      </c>
      <c r="AU181">
        <v>168</v>
      </c>
      <c r="AV181">
        <v>168</v>
      </c>
      <c r="AW181">
        <v>168</v>
      </c>
      <c r="AX181">
        <v>168</v>
      </c>
      <c r="AY181">
        <v>168</v>
      </c>
      <c r="AZ181">
        <v>168</v>
      </c>
      <c r="BA181">
        <v>168</v>
      </c>
      <c r="BB181">
        <v>168</v>
      </c>
      <c r="BC181">
        <v>168</v>
      </c>
      <c r="BD181">
        <v>168</v>
      </c>
      <c r="BE181">
        <v>168</v>
      </c>
      <c r="BF181">
        <v>168</v>
      </c>
      <c r="BG181">
        <v>168</v>
      </c>
    </row>
    <row r="182" spans="1:59" x14ac:dyDescent="0.3">
      <c r="A182" s="2"/>
      <c r="B182" t="s">
        <v>38</v>
      </c>
      <c r="C182" t="s">
        <v>365</v>
      </c>
      <c r="D182">
        <v>26.8154</v>
      </c>
      <c r="E182">
        <v>106.87479999999999</v>
      </c>
      <c r="F182">
        <v>1</v>
      </c>
      <c r="G182">
        <v>3</v>
      </c>
      <c r="H182">
        <v>3</v>
      </c>
      <c r="I182">
        <v>4</v>
      </c>
      <c r="J182">
        <v>5</v>
      </c>
      <c r="K182">
        <v>7</v>
      </c>
      <c r="L182">
        <v>9</v>
      </c>
      <c r="M182">
        <v>9</v>
      </c>
      <c r="N182">
        <v>12</v>
      </c>
      <c r="O182">
        <v>29</v>
      </c>
      <c r="P182">
        <v>29</v>
      </c>
      <c r="Q182">
        <v>38</v>
      </c>
      <c r="R182">
        <v>46</v>
      </c>
      <c r="S182">
        <v>58</v>
      </c>
      <c r="T182">
        <v>64</v>
      </c>
      <c r="U182">
        <v>71</v>
      </c>
      <c r="V182">
        <v>81</v>
      </c>
      <c r="W182">
        <v>89</v>
      </c>
      <c r="X182">
        <v>99</v>
      </c>
      <c r="Y182">
        <v>109</v>
      </c>
      <c r="Z182">
        <v>127</v>
      </c>
      <c r="AA182">
        <v>133</v>
      </c>
      <c r="AB182">
        <v>135</v>
      </c>
      <c r="AC182">
        <v>140</v>
      </c>
      <c r="AD182">
        <v>143</v>
      </c>
      <c r="AE182">
        <v>144</v>
      </c>
      <c r="AF182">
        <v>146</v>
      </c>
      <c r="AG182">
        <v>146</v>
      </c>
      <c r="AH182">
        <v>146</v>
      </c>
      <c r="AI182">
        <v>146</v>
      </c>
      <c r="AJ182">
        <v>146</v>
      </c>
      <c r="AK182">
        <v>146</v>
      </c>
      <c r="AL182">
        <v>146</v>
      </c>
      <c r="AM182">
        <v>146</v>
      </c>
      <c r="AN182">
        <v>146</v>
      </c>
      <c r="AO182">
        <v>146</v>
      </c>
      <c r="AP182">
        <v>146</v>
      </c>
      <c r="AQ182">
        <v>146</v>
      </c>
      <c r="AR182">
        <v>146</v>
      </c>
      <c r="AS182">
        <v>146</v>
      </c>
      <c r="AT182">
        <v>146</v>
      </c>
      <c r="AU182">
        <v>146</v>
      </c>
      <c r="AV182">
        <v>146</v>
      </c>
      <c r="AW182">
        <v>146</v>
      </c>
      <c r="AX182">
        <v>146</v>
      </c>
      <c r="AY182">
        <v>146</v>
      </c>
      <c r="AZ182">
        <v>146</v>
      </c>
      <c r="BA182">
        <v>146</v>
      </c>
      <c r="BB182">
        <v>146</v>
      </c>
      <c r="BC182">
        <v>146</v>
      </c>
      <c r="BD182">
        <v>146</v>
      </c>
      <c r="BE182">
        <v>146</v>
      </c>
      <c r="BF182">
        <v>146</v>
      </c>
      <c r="BG182">
        <v>146</v>
      </c>
    </row>
    <row r="183" spans="1:59" x14ac:dyDescent="0.3">
      <c r="A183" s="2"/>
      <c r="B183" t="s">
        <v>57</v>
      </c>
      <c r="C183" t="s">
        <v>365</v>
      </c>
      <c r="D183">
        <v>39.305399999999999</v>
      </c>
      <c r="E183">
        <v>117.32299999999999</v>
      </c>
      <c r="F183">
        <v>4</v>
      </c>
      <c r="G183">
        <v>4</v>
      </c>
      <c r="H183">
        <v>8</v>
      </c>
      <c r="I183">
        <v>10</v>
      </c>
      <c r="J183">
        <v>14</v>
      </c>
      <c r="K183">
        <v>23</v>
      </c>
      <c r="L183">
        <v>24</v>
      </c>
      <c r="M183">
        <v>27</v>
      </c>
      <c r="N183">
        <v>31</v>
      </c>
      <c r="O183">
        <v>32</v>
      </c>
      <c r="P183">
        <v>41</v>
      </c>
      <c r="Q183">
        <v>48</v>
      </c>
      <c r="R183">
        <v>60</v>
      </c>
      <c r="S183">
        <v>67</v>
      </c>
      <c r="T183">
        <v>69</v>
      </c>
      <c r="U183">
        <v>79</v>
      </c>
      <c r="V183">
        <v>81</v>
      </c>
      <c r="W183">
        <v>88</v>
      </c>
      <c r="X183">
        <v>91</v>
      </c>
      <c r="Y183">
        <v>95</v>
      </c>
      <c r="Z183">
        <v>106</v>
      </c>
      <c r="AA183">
        <v>112</v>
      </c>
      <c r="AB183">
        <v>119</v>
      </c>
      <c r="AC183">
        <v>120</v>
      </c>
      <c r="AD183">
        <v>122</v>
      </c>
      <c r="AE183">
        <v>124</v>
      </c>
      <c r="AF183">
        <v>125</v>
      </c>
      <c r="AG183">
        <v>128</v>
      </c>
      <c r="AH183">
        <v>130</v>
      </c>
      <c r="AI183">
        <v>131</v>
      </c>
      <c r="AJ183">
        <v>132</v>
      </c>
      <c r="AK183">
        <v>135</v>
      </c>
      <c r="AL183">
        <v>135</v>
      </c>
      <c r="AM183">
        <v>135</v>
      </c>
      <c r="AN183">
        <v>135</v>
      </c>
      <c r="AO183">
        <v>135</v>
      </c>
      <c r="AP183">
        <v>136</v>
      </c>
      <c r="AQ183">
        <v>136</v>
      </c>
      <c r="AR183">
        <v>136</v>
      </c>
      <c r="AS183">
        <v>136</v>
      </c>
      <c r="AT183">
        <v>136</v>
      </c>
      <c r="AU183">
        <v>136</v>
      </c>
      <c r="AV183">
        <v>136</v>
      </c>
      <c r="AW183">
        <v>136</v>
      </c>
      <c r="AX183">
        <v>136</v>
      </c>
      <c r="AY183">
        <v>136</v>
      </c>
      <c r="AZ183">
        <v>136</v>
      </c>
      <c r="BA183">
        <v>136</v>
      </c>
      <c r="BB183">
        <v>136</v>
      </c>
      <c r="BC183">
        <v>136</v>
      </c>
      <c r="BD183">
        <v>136</v>
      </c>
      <c r="BE183">
        <v>136</v>
      </c>
      <c r="BF183">
        <v>136</v>
      </c>
      <c r="BG183">
        <v>136</v>
      </c>
    </row>
    <row r="184" spans="1:59" x14ac:dyDescent="0.3">
      <c r="A184" s="2"/>
      <c r="B184" t="s">
        <v>55</v>
      </c>
      <c r="C184" t="s">
        <v>365</v>
      </c>
      <c r="D184">
        <v>37.5777</v>
      </c>
      <c r="E184">
        <v>112.29219999999999</v>
      </c>
      <c r="F184">
        <v>1</v>
      </c>
      <c r="G184">
        <v>1</v>
      </c>
      <c r="H184">
        <v>1</v>
      </c>
      <c r="I184">
        <v>6</v>
      </c>
      <c r="J184">
        <v>9</v>
      </c>
      <c r="K184">
        <v>13</v>
      </c>
      <c r="L184">
        <v>27</v>
      </c>
      <c r="M184">
        <v>27</v>
      </c>
      <c r="N184">
        <v>35</v>
      </c>
      <c r="O184">
        <v>39</v>
      </c>
      <c r="P184">
        <v>47</v>
      </c>
      <c r="Q184">
        <v>66</v>
      </c>
      <c r="R184">
        <v>74</v>
      </c>
      <c r="S184">
        <v>81</v>
      </c>
      <c r="T184">
        <v>81</v>
      </c>
      <c r="U184">
        <v>96</v>
      </c>
      <c r="V184">
        <v>104</v>
      </c>
      <c r="W184">
        <v>115</v>
      </c>
      <c r="X184">
        <v>119</v>
      </c>
      <c r="Y184">
        <v>119</v>
      </c>
      <c r="Z184">
        <v>124</v>
      </c>
      <c r="AA184">
        <v>126</v>
      </c>
      <c r="AB184">
        <v>126</v>
      </c>
      <c r="AC184">
        <v>127</v>
      </c>
      <c r="AD184">
        <v>128</v>
      </c>
      <c r="AE184">
        <v>129</v>
      </c>
      <c r="AF184">
        <v>130</v>
      </c>
      <c r="AG184">
        <v>131</v>
      </c>
      <c r="AH184">
        <v>131</v>
      </c>
      <c r="AI184">
        <v>132</v>
      </c>
      <c r="AJ184">
        <v>132</v>
      </c>
      <c r="AK184">
        <v>132</v>
      </c>
      <c r="AL184">
        <v>132</v>
      </c>
      <c r="AM184">
        <v>133</v>
      </c>
      <c r="AN184">
        <v>133</v>
      </c>
      <c r="AO184">
        <v>133</v>
      </c>
      <c r="AP184">
        <v>133</v>
      </c>
      <c r="AQ184">
        <v>133</v>
      </c>
      <c r="AR184">
        <v>133</v>
      </c>
      <c r="AS184">
        <v>133</v>
      </c>
      <c r="AT184">
        <v>133</v>
      </c>
      <c r="AU184">
        <v>133</v>
      </c>
      <c r="AV184">
        <v>133</v>
      </c>
      <c r="AW184">
        <v>133</v>
      </c>
      <c r="AX184">
        <v>133</v>
      </c>
      <c r="AY184">
        <v>133</v>
      </c>
      <c r="AZ184">
        <v>133</v>
      </c>
      <c r="BA184">
        <v>133</v>
      </c>
      <c r="BB184">
        <v>133</v>
      </c>
      <c r="BC184">
        <v>133</v>
      </c>
      <c r="BD184">
        <v>133</v>
      </c>
      <c r="BE184">
        <v>133</v>
      </c>
      <c r="BF184">
        <v>133</v>
      </c>
      <c r="BG184">
        <v>133</v>
      </c>
    </row>
    <row r="185" spans="1:59" x14ac:dyDescent="0.3">
      <c r="A185" s="2"/>
      <c r="B185" t="s">
        <v>35</v>
      </c>
      <c r="C185" t="s">
        <v>365</v>
      </c>
      <c r="D185">
        <v>37.809899999999999</v>
      </c>
      <c r="E185">
        <v>101.0583</v>
      </c>
      <c r="F185">
        <v>0</v>
      </c>
      <c r="G185">
        <v>2</v>
      </c>
      <c r="H185">
        <v>2</v>
      </c>
      <c r="I185">
        <v>4</v>
      </c>
      <c r="J185">
        <v>7</v>
      </c>
      <c r="K185">
        <v>14</v>
      </c>
      <c r="L185">
        <v>19</v>
      </c>
      <c r="M185">
        <v>24</v>
      </c>
      <c r="N185">
        <v>26</v>
      </c>
      <c r="O185">
        <v>29</v>
      </c>
      <c r="P185">
        <v>40</v>
      </c>
      <c r="Q185">
        <v>51</v>
      </c>
      <c r="R185">
        <v>55</v>
      </c>
      <c r="S185">
        <v>57</v>
      </c>
      <c r="T185">
        <v>62</v>
      </c>
      <c r="U185">
        <v>62</v>
      </c>
      <c r="V185">
        <v>67</v>
      </c>
      <c r="W185">
        <v>79</v>
      </c>
      <c r="X185">
        <v>83</v>
      </c>
      <c r="Y185">
        <v>83</v>
      </c>
      <c r="Z185">
        <v>86</v>
      </c>
      <c r="AA185">
        <v>87</v>
      </c>
      <c r="AB185">
        <v>90</v>
      </c>
      <c r="AC185">
        <v>90</v>
      </c>
      <c r="AD185">
        <v>90</v>
      </c>
      <c r="AE185">
        <v>90</v>
      </c>
      <c r="AF185">
        <v>91</v>
      </c>
      <c r="AG185">
        <v>91</v>
      </c>
      <c r="AH185">
        <v>91</v>
      </c>
      <c r="AI185">
        <v>91</v>
      </c>
      <c r="AJ185">
        <v>91</v>
      </c>
      <c r="AK185">
        <v>91</v>
      </c>
      <c r="AL185">
        <v>91</v>
      </c>
      <c r="AM185">
        <v>91</v>
      </c>
      <c r="AN185">
        <v>91</v>
      </c>
      <c r="AO185">
        <v>91</v>
      </c>
      <c r="AP185">
        <v>91</v>
      </c>
      <c r="AQ185">
        <v>91</v>
      </c>
      <c r="AR185">
        <v>91</v>
      </c>
      <c r="AS185">
        <v>91</v>
      </c>
      <c r="AT185">
        <v>91</v>
      </c>
      <c r="AU185">
        <v>91</v>
      </c>
      <c r="AV185">
        <v>91</v>
      </c>
      <c r="AW185">
        <v>102</v>
      </c>
      <c r="AX185">
        <v>119</v>
      </c>
      <c r="AY185">
        <v>120</v>
      </c>
      <c r="AZ185">
        <v>124</v>
      </c>
      <c r="BA185">
        <v>124</v>
      </c>
      <c r="BB185">
        <v>125</v>
      </c>
      <c r="BC185">
        <v>127</v>
      </c>
      <c r="BD185">
        <v>127</v>
      </c>
      <c r="BE185">
        <v>127</v>
      </c>
      <c r="BF185">
        <v>129</v>
      </c>
      <c r="BG185">
        <v>133</v>
      </c>
    </row>
    <row r="186" spans="1:59" x14ac:dyDescent="0.3">
      <c r="A186" s="2"/>
      <c r="B186" t="s">
        <v>273</v>
      </c>
      <c r="C186" t="s">
        <v>365</v>
      </c>
      <c r="D186">
        <v>22.3</v>
      </c>
      <c r="E186">
        <v>114.2</v>
      </c>
      <c r="F186">
        <v>0</v>
      </c>
      <c r="G186">
        <v>2</v>
      </c>
      <c r="H186">
        <v>2</v>
      </c>
      <c r="I186">
        <v>5</v>
      </c>
      <c r="J186">
        <v>8</v>
      </c>
      <c r="K186">
        <v>8</v>
      </c>
      <c r="L186">
        <v>8</v>
      </c>
      <c r="M186">
        <v>10</v>
      </c>
      <c r="N186">
        <v>10</v>
      </c>
      <c r="O186">
        <v>12</v>
      </c>
      <c r="P186">
        <v>13</v>
      </c>
      <c r="Q186">
        <v>15</v>
      </c>
      <c r="R186">
        <v>15</v>
      </c>
      <c r="S186">
        <v>17</v>
      </c>
      <c r="T186">
        <v>21</v>
      </c>
      <c r="U186">
        <v>24</v>
      </c>
      <c r="V186">
        <v>25</v>
      </c>
      <c r="W186">
        <v>26</v>
      </c>
      <c r="X186">
        <v>29</v>
      </c>
      <c r="Y186">
        <v>38</v>
      </c>
      <c r="Z186">
        <v>49</v>
      </c>
      <c r="AA186">
        <v>50</v>
      </c>
      <c r="AB186">
        <v>53</v>
      </c>
      <c r="AC186">
        <v>56</v>
      </c>
      <c r="AD186">
        <v>56</v>
      </c>
      <c r="AE186">
        <v>57</v>
      </c>
      <c r="AF186">
        <v>60</v>
      </c>
      <c r="AG186">
        <v>62</v>
      </c>
      <c r="AH186">
        <v>63</v>
      </c>
      <c r="AI186">
        <v>68</v>
      </c>
      <c r="AJ186">
        <v>68</v>
      </c>
      <c r="AK186">
        <v>69</v>
      </c>
      <c r="AL186">
        <v>74</v>
      </c>
      <c r="AM186">
        <v>79</v>
      </c>
      <c r="AN186">
        <v>84</v>
      </c>
      <c r="AO186">
        <v>91</v>
      </c>
      <c r="AP186">
        <v>92</v>
      </c>
      <c r="AQ186">
        <v>94</v>
      </c>
      <c r="AR186">
        <v>95</v>
      </c>
      <c r="AS186">
        <v>96</v>
      </c>
      <c r="AT186">
        <v>100</v>
      </c>
      <c r="AU186">
        <v>100</v>
      </c>
      <c r="AV186">
        <v>105</v>
      </c>
      <c r="AW186">
        <v>105</v>
      </c>
      <c r="AX186">
        <v>107</v>
      </c>
      <c r="AY186">
        <v>108</v>
      </c>
      <c r="AZ186">
        <v>114</v>
      </c>
      <c r="BA186">
        <v>115</v>
      </c>
      <c r="BB186">
        <v>120</v>
      </c>
      <c r="BC186">
        <v>126</v>
      </c>
      <c r="BD186">
        <v>129</v>
      </c>
      <c r="BE186">
        <v>134</v>
      </c>
      <c r="BF186">
        <v>140</v>
      </c>
      <c r="BG186">
        <v>145</v>
      </c>
    </row>
    <row r="187" spans="1:59" x14ac:dyDescent="0.3">
      <c r="A187" s="2"/>
      <c r="B187" t="s">
        <v>49</v>
      </c>
      <c r="C187" t="s">
        <v>365</v>
      </c>
      <c r="D187">
        <v>41.2956</v>
      </c>
      <c r="E187">
        <v>122.60850000000001</v>
      </c>
      <c r="F187">
        <v>2</v>
      </c>
      <c r="G187">
        <v>3</v>
      </c>
      <c r="H187">
        <v>4</v>
      </c>
      <c r="I187">
        <v>17</v>
      </c>
      <c r="J187">
        <v>21</v>
      </c>
      <c r="K187">
        <v>27</v>
      </c>
      <c r="L187">
        <v>34</v>
      </c>
      <c r="M187">
        <v>39</v>
      </c>
      <c r="N187">
        <v>41</v>
      </c>
      <c r="O187">
        <v>48</v>
      </c>
      <c r="P187">
        <v>64</v>
      </c>
      <c r="Q187">
        <v>70</v>
      </c>
      <c r="R187">
        <v>74</v>
      </c>
      <c r="S187">
        <v>81</v>
      </c>
      <c r="T187">
        <v>89</v>
      </c>
      <c r="U187">
        <v>94</v>
      </c>
      <c r="V187">
        <v>99</v>
      </c>
      <c r="W187">
        <v>105</v>
      </c>
      <c r="X187">
        <v>107</v>
      </c>
      <c r="Y187">
        <v>108</v>
      </c>
      <c r="Z187">
        <v>111</v>
      </c>
      <c r="AA187">
        <v>116</v>
      </c>
      <c r="AB187">
        <v>117</v>
      </c>
      <c r="AC187">
        <v>119</v>
      </c>
      <c r="AD187">
        <v>119</v>
      </c>
      <c r="AE187">
        <v>121</v>
      </c>
      <c r="AF187">
        <v>121</v>
      </c>
      <c r="AG187">
        <v>121</v>
      </c>
      <c r="AH187">
        <v>121</v>
      </c>
      <c r="AI187">
        <v>121</v>
      </c>
      <c r="AJ187">
        <v>121</v>
      </c>
      <c r="AK187">
        <v>121</v>
      </c>
      <c r="AL187">
        <v>121</v>
      </c>
      <c r="AM187">
        <v>121</v>
      </c>
      <c r="AN187">
        <v>121</v>
      </c>
      <c r="AO187">
        <v>121</v>
      </c>
      <c r="AP187">
        <v>121</v>
      </c>
      <c r="AQ187">
        <v>121</v>
      </c>
      <c r="AR187">
        <v>121</v>
      </c>
      <c r="AS187">
        <v>122</v>
      </c>
      <c r="AT187">
        <v>122</v>
      </c>
      <c r="AU187">
        <v>125</v>
      </c>
      <c r="AV187">
        <v>125</v>
      </c>
      <c r="AW187">
        <v>125</v>
      </c>
      <c r="AX187">
        <v>125</v>
      </c>
      <c r="AY187">
        <v>125</v>
      </c>
      <c r="AZ187">
        <v>125</v>
      </c>
      <c r="BA187">
        <v>125</v>
      </c>
      <c r="BB187">
        <v>125</v>
      </c>
      <c r="BC187">
        <v>125</v>
      </c>
      <c r="BD187">
        <v>125</v>
      </c>
      <c r="BE187">
        <v>125</v>
      </c>
      <c r="BF187">
        <v>125</v>
      </c>
      <c r="BG187">
        <v>125</v>
      </c>
    </row>
    <row r="188" spans="1:59" x14ac:dyDescent="0.3">
      <c r="A188" s="2"/>
      <c r="B188" t="s">
        <v>48</v>
      </c>
      <c r="C188" t="s">
        <v>365</v>
      </c>
      <c r="D188">
        <v>43.6661</v>
      </c>
      <c r="E188">
        <v>126.1923</v>
      </c>
      <c r="F188">
        <v>0</v>
      </c>
      <c r="G188">
        <v>1</v>
      </c>
      <c r="H188">
        <v>3</v>
      </c>
      <c r="I188">
        <v>4</v>
      </c>
      <c r="J188">
        <v>4</v>
      </c>
      <c r="K188">
        <v>6</v>
      </c>
      <c r="L188">
        <v>8</v>
      </c>
      <c r="M188">
        <v>9</v>
      </c>
      <c r="N188">
        <v>14</v>
      </c>
      <c r="O188">
        <v>14</v>
      </c>
      <c r="P188">
        <v>17</v>
      </c>
      <c r="Q188">
        <v>23</v>
      </c>
      <c r="R188">
        <v>31</v>
      </c>
      <c r="S188">
        <v>42</v>
      </c>
      <c r="T188">
        <v>54</v>
      </c>
      <c r="U188">
        <v>59</v>
      </c>
      <c r="V188">
        <v>65</v>
      </c>
      <c r="W188">
        <v>69</v>
      </c>
      <c r="X188">
        <v>78</v>
      </c>
      <c r="Y188">
        <v>80</v>
      </c>
      <c r="Z188">
        <v>81</v>
      </c>
      <c r="AA188">
        <v>83</v>
      </c>
      <c r="AB188">
        <v>84</v>
      </c>
      <c r="AC188">
        <v>86</v>
      </c>
      <c r="AD188">
        <v>88</v>
      </c>
      <c r="AE188">
        <v>89</v>
      </c>
      <c r="AF188">
        <v>89</v>
      </c>
      <c r="AG188">
        <v>89</v>
      </c>
      <c r="AH188">
        <v>90</v>
      </c>
      <c r="AI188">
        <v>91</v>
      </c>
      <c r="AJ188">
        <v>91</v>
      </c>
      <c r="AK188">
        <v>91</v>
      </c>
      <c r="AL188">
        <v>91</v>
      </c>
      <c r="AM188">
        <v>93</v>
      </c>
      <c r="AN188">
        <v>93</v>
      </c>
      <c r="AO188">
        <v>93</v>
      </c>
      <c r="AP188">
        <v>93</v>
      </c>
      <c r="AQ188">
        <v>93</v>
      </c>
      <c r="AR188">
        <v>93</v>
      </c>
      <c r="AS188">
        <v>93</v>
      </c>
      <c r="AT188">
        <v>93</v>
      </c>
      <c r="AU188">
        <v>93</v>
      </c>
      <c r="AV188">
        <v>93</v>
      </c>
      <c r="AW188">
        <v>93</v>
      </c>
      <c r="AX188">
        <v>93</v>
      </c>
      <c r="AY188">
        <v>93</v>
      </c>
      <c r="AZ188">
        <v>93</v>
      </c>
      <c r="BA188">
        <v>93</v>
      </c>
      <c r="BB188">
        <v>93</v>
      </c>
      <c r="BC188">
        <v>93</v>
      </c>
      <c r="BD188">
        <v>93</v>
      </c>
      <c r="BE188">
        <v>93</v>
      </c>
      <c r="BF188">
        <v>93</v>
      </c>
      <c r="BG188">
        <v>93</v>
      </c>
    </row>
    <row r="189" spans="1:59" x14ac:dyDescent="0.3">
      <c r="A189" s="2"/>
      <c r="C189" t="s">
        <v>369</v>
      </c>
      <c r="D189">
        <v>49.817500000000003</v>
      </c>
      <c r="E189">
        <v>15.473000000000001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3</v>
      </c>
      <c r="AT189">
        <v>3</v>
      </c>
      <c r="AU189">
        <v>5</v>
      </c>
      <c r="AV189">
        <v>8</v>
      </c>
      <c r="AW189">
        <v>12</v>
      </c>
      <c r="AX189">
        <v>18</v>
      </c>
      <c r="AY189">
        <v>19</v>
      </c>
      <c r="AZ189">
        <v>31</v>
      </c>
      <c r="BA189">
        <v>31</v>
      </c>
      <c r="BB189">
        <v>41</v>
      </c>
      <c r="BC189">
        <v>91</v>
      </c>
      <c r="BD189">
        <v>94</v>
      </c>
      <c r="BE189">
        <v>141</v>
      </c>
      <c r="BF189">
        <v>189</v>
      </c>
      <c r="BG189">
        <v>253</v>
      </c>
    </row>
    <row r="190" spans="1:59" x14ac:dyDescent="0.3">
      <c r="A190" s="2"/>
      <c r="B190" t="s">
        <v>59</v>
      </c>
      <c r="C190" t="s">
        <v>365</v>
      </c>
      <c r="D190">
        <v>41.112900000000003</v>
      </c>
      <c r="E190">
        <v>85.240099999999998</v>
      </c>
      <c r="F190">
        <v>0</v>
      </c>
      <c r="G190">
        <v>2</v>
      </c>
      <c r="H190">
        <v>2</v>
      </c>
      <c r="I190">
        <v>3</v>
      </c>
      <c r="J190">
        <v>4</v>
      </c>
      <c r="K190">
        <v>5</v>
      </c>
      <c r="L190">
        <v>10</v>
      </c>
      <c r="M190">
        <v>13</v>
      </c>
      <c r="N190">
        <v>14</v>
      </c>
      <c r="O190">
        <v>17</v>
      </c>
      <c r="P190">
        <v>18</v>
      </c>
      <c r="Q190">
        <v>21</v>
      </c>
      <c r="R190">
        <v>24</v>
      </c>
      <c r="S190">
        <v>29</v>
      </c>
      <c r="T190">
        <v>32</v>
      </c>
      <c r="U190">
        <v>36</v>
      </c>
      <c r="V190">
        <v>39</v>
      </c>
      <c r="W190">
        <v>42</v>
      </c>
      <c r="X190">
        <v>45</v>
      </c>
      <c r="Y190">
        <v>49</v>
      </c>
      <c r="Z190">
        <v>55</v>
      </c>
      <c r="AA190">
        <v>59</v>
      </c>
      <c r="AB190">
        <v>63</v>
      </c>
      <c r="AC190">
        <v>65</v>
      </c>
      <c r="AD190">
        <v>70</v>
      </c>
      <c r="AE190">
        <v>71</v>
      </c>
      <c r="AF190">
        <v>75</v>
      </c>
      <c r="AG190">
        <v>76</v>
      </c>
      <c r="AH190">
        <v>76</v>
      </c>
      <c r="AI190">
        <v>76</v>
      </c>
      <c r="AJ190">
        <v>76</v>
      </c>
      <c r="AK190">
        <v>76</v>
      </c>
      <c r="AL190">
        <v>76</v>
      </c>
      <c r="AM190">
        <v>76</v>
      </c>
      <c r="AN190">
        <v>76</v>
      </c>
      <c r="AO190">
        <v>76</v>
      </c>
      <c r="AP190">
        <v>76</v>
      </c>
      <c r="AQ190">
        <v>76</v>
      </c>
      <c r="AR190">
        <v>76</v>
      </c>
      <c r="AS190">
        <v>76</v>
      </c>
      <c r="AT190">
        <v>76</v>
      </c>
      <c r="AU190">
        <v>76</v>
      </c>
      <c r="AV190">
        <v>76</v>
      </c>
      <c r="AW190">
        <v>76</v>
      </c>
      <c r="AX190">
        <v>76</v>
      </c>
      <c r="AY190">
        <v>76</v>
      </c>
      <c r="AZ190">
        <v>76</v>
      </c>
      <c r="BA190">
        <v>76</v>
      </c>
      <c r="BB190">
        <v>76</v>
      </c>
      <c r="BC190">
        <v>76</v>
      </c>
      <c r="BD190">
        <v>76</v>
      </c>
      <c r="BE190">
        <v>76</v>
      </c>
      <c r="BF190">
        <v>76</v>
      </c>
      <c r="BG190">
        <v>76</v>
      </c>
    </row>
    <row r="191" spans="1:59" x14ac:dyDescent="0.3">
      <c r="A191" s="2"/>
      <c r="B191" t="s">
        <v>45</v>
      </c>
      <c r="C191" t="s">
        <v>365</v>
      </c>
      <c r="D191">
        <v>44.093499999999999</v>
      </c>
      <c r="E191">
        <v>113.9448</v>
      </c>
      <c r="F191">
        <v>0</v>
      </c>
      <c r="G191">
        <v>0</v>
      </c>
      <c r="H191">
        <v>1</v>
      </c>
      <c r="I191">
        <v>7</v>
      </c>
      <c r="J191">
        <v>7</v>
      </c>
      <c r="K191">
        <v>11</v>
      </c>
      <c r="L191">
        <v>15</v>
      </c>
      <c r="M191">
        <v>16</v>
      </c>
      <c r="N191">
        <v>19</v>
      </c>
      <c r="O191">
        <v>20</v>
      </c>
      <c r="P191">
        <v>23</v>
      </c>
      <c r="Q191">
        <v>27</v>
      </c>
      <c r="R191">
        <v>34</v>
      </c>
      <c r="S191">
        <v>35</v>
      </c>
      <c r="T191">
        <v>42</v>
      </c>
      <c r="U191">
        <v>46</v>
      </c>
      <c r="V191">
        <v>50</v>
      </c>
      <c r="W191">
        <v>52</v>
      </c>
      <c r="X191">
        <v>54</v>
      </c>
      <c r="Y191">
        <v>58</v>
      </c>
      <c r="Z191">
        <v>58</v>
      </c>
      <c r="AA191">
        <v>60</v>
      </c>
      <c r="AB191">
        <v>61</v>
      </c>
      <c r="AC191">
        <v>65</v>
      </c>
      <c r="AD191">
        <v>68</v>
      </c>
      <c r="AE191">
        <v>70</v>
      </c>
      <c r="AF191">
        <v>72</v>
      </c>
      <c r="AG191">
        <v>73</v>
      </c>
      <c r="AH191">
        <v>75</v>
      </c>
      <c r="AI191">
        <v>75</v>
      </c>
      <c r="AJ191">
        <v>75</v>
      </c>
      <c r="AK191">
        <v>75</v>
      </c>
      <c r="AL191">
        <v>75</v>
      </c>
      <c r="AM191">
        <v>75</v>
      </c>
      <c r="AN191">
        <v>75</v>
      </c>
      <c r="AO191">
        <v>75</v>
      </c>
      <c r="AP191">
        <v>75</v>
      </c>
      <c r="AQ191">
        <v>75</v>
      </c>
      <c r="AR191">
        <v>75</v>
      </c>
      <c r="AS191">
        <v>75</v>
      </c>
      <c r="AT191">
        <v>75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</row>
    <row r="192" spans="1:59" x14ac:dyDescent="0.3">
      <c r="A192" s="2"/>
      <c r="B192" t="s">
        <v>50</v>
      </c>
      <c r="C192" t="s">
        <v>365</v>
      </c>
      <c r="D192">
        <v>37.269199999999998</v>
      </c>
      <c r="E192">
        <v>106.16549999999999</v>
      </c>
      <c r="F192">
        <v>1</v>
      </c>
      <c r="G192">
        <v>1</v>
      </c>
      <c r="H192">
        <v>2</v>
      </c>
      <c r="I192">
        <v>3</v>
      </c>
      <c r="J192">
        <v>4</v>
      </c>
      <c r="K192">
        <v>7</v>
      </c>
      <c r="L192">
        <v>11</v>
      </c>
      <c r="M192">
        <v>12</v>
      </c>
      <c r="N192">
        <v>17</v>
      </c>
      <c r="O192">
        <v>21</v>
      </c>
      <c r="P192">
        <v>26</v>
      </c>
      <c r="Q192">
        <v>28</v>
      </c>
      <c r="R192">
        <v>31</v>
      </c>
      <c r="S192">
        <v>34</v>
      </c>
      <c r="T192">
        <v>34</v>
      </c>
      <c r="U192">
        <v>40</v>
      </c>
      <c r="V192">
        <v>43</v>
      </c>
      <c r="W192">
        <v>45</v>
      </c>
      <c r="X192">
        <v>45</v>
      </c>
      <c r="Y192">
        <v>49</v>
      </c>
      <c r="Z192">
        <v>53</v>
      </c>
      <c r="AA192">
        <v>58</v>
      </c>
      <c r="AB192">
        <v>64</v>
      </c>
      <c r="AC192">
        <v>67</v>
      </c>
      <c r="AD192">
        <v>70</v>
      </c>
      <c r="AE192">
        <v>70</v>
      </c>
      <c r="AF192">
        <v>70</v>
      </c>
      <c r="AG192">
        <v>70</v>
      </c>
      <c r="AH192">
        <v>71</v>
      </c>
      <c r="AI192">
        <v>71</v>
      </c>
      <c r="AJ192">
        <v>71</v>
      </c>
      <c r="AK192">
        <v>71</v>
      </c>
      <c r="AL192">
        <v>71</v>
      </c>
      <c r="AM192">
        <v>71</v>
      </c>
      <c r="AN192">
        <v>71</v>
      </c>
      <c r="AO192">
        <v>71</v>
      </c>
      <c r="AP192">
        <v>72</v>
      </c>
      <c r="AQ192">
        <v>72</v>
      </c>
      <c r="AR192">
        <v>73</v>
      </c>
      <c r="AS192">
        <v>73</v>
      </c>
      <c r="AT192">
        <v>74</v>
      </c>
      <c r="AU192">
        <v>74</v>
      </c>
      <c r="AV192">
        <v>75</v>
      </c>
      <c r="AW192">
        <v>75</v>
      </c>
      <c r="AX192">
        <v>75</v>
      </c>
      <c r="AY192">
        <v>75</v>
      </c>
      <c r="AZ192">
        <v>75</v>
      </c>
      <c r="BA192">
        <v>75</v>
      </c>
      <c r="BB192">
        <v>75</v>
      </c>
      <c r="BC192">
        <v>75</v>
      </c>
      <c r="BD192">
        <v>75</v>
      </c>
      <c r="BE192">
        <v>75</v>
      </c>
      <c r="BF192">
        <v>75</v>
      </c>
      <c r="BG192">
        <v>75</v>
      </c>
    </row>
    <row r="193" spans="1:59" x14ac:dyDescent="0.3">
      <c r="A193" s="2"/>
      <c r="C193" t="s">
        <v>370</v>
      </c>
      <c r="D193">
        <v>23.7</v>
      </c>
      <c r="E193">
        <v>121</v>
      </c>
      <c r="F193">
        <v>1</v>
      </c>
      <c r="G193">
        <v>1</v>
      </c>
      <c r="H193">
        <v>3</v>
      </c>
      <c r="I193">
        <v>3</v>
      </c>
      <c r="J193">
        <v>4</v>
      </c>
      <c r="K193">
        <v>5</v>
      </c>
      <c r="L193">
        <v>8</v>
      </c>
      <c r="M193">
        <v>8</v>
      </c>
      <c r="N193">
        <v>9</v>
      </c>
      <c r="O193">
        <v>10</v>
      </c>
      <c r="P193">
        <v>10</v>
      </c>
      <c r="Q193">
        <v>10</v>
      </c>
      <c r="R193">
        <v>10</v>
      </c>
      <c r="S193">
        <v>11</v>
      </c>
      <c r="T193">
        <v>11</v>
      </c>
      <c r="U193">
        <v>16</v>
      </c>
      <c r="V193">
        <v>16</v>
      </c>
      <c r="W193">
        <v>17</v>
      </c>
      <c r="X193">
        <v>18</v>
      </c>
      <c r="Y193">
        <v>18</v>
      </c>
      <c r="Z193">
        <v>18</v>
      </c>
      <c r="AA193">
        <v>18</v>
      </c>
      <c r="AB193">
        <v>18</v>
      </c>
      <c r="AC193">
        <v>18</v>
      </c>
      <c r="AD193">
        <v>18</v>
      </c>
      <c r="AE193">
        <v>20</v>
      </c>
      <c r="AF193">
        <v>22</v>
      </c>
      <c r="AG193">
        <v>22</v>
      </c>
      <c r="AH193">
        <v>23</v>
      </c>
      <c r="AI193">
        <v>24</v>
      </c>
      <c r="AJ193">
        <v>26</v>
      </c>
      <c r="AK193">
        <v>26</v>
      </c>
      <c r="AL193">
        <v>28</v>
      </c>
      <c r="AM193">
        <v>30</v>
      </c>
      <c r="AN193">
        <v>31</v>
      </c>
      <c r="AO193">
        <v>32</v>
      </c>
      <c r="AP193">
        <v>32</v>
      </c>
      <c r="AQ193">
        <v>34</v>
      </c>
      <c r="AR193">
        <v>39</v>
      </c>
      <c r="AS193">
        <v>40</v>
      </c>
      <c r="AT193">
        <v>41</v>
      </c>
      <c r="AU193">
        <v>42</v>
      </c>
      <c r="AV193">
        <v>42</v>
      </c>
      <c r="AW193">
        <v>44</v>
      </c>
      <c r="AX193">
        <v>45</v>
      </c>
      <c r="AY193">
        <v>45</v>
      </c>
      <c r="AZ193">
        <v>45</v>
      </c>
      <c r="BA193">
        <v>45</v>
      </c>
      <c r="BB193">
        <v>47</v>
      </c>
      <c r="BC193">
        <v>48</v>
      </c>
      <c r="BD193">
        <v>49</v>
      </c>
      <c r="BE193">
        <v>50</v>
      </c>
      <c r="BF193">
        <v>53</v>
      </c>
      <c r="BG193">
        <v>59</v>
      </c>
    </row>
    <row r="194" spans="1:59" x14ac:dyDescent="0.3">
      <c r="A194" s="2"/>
      <c r="C194" t="s">
        <v>371</v>
      </c>
      <c r="D194">
        <v>16</v>
      </c>
      <c r="E194">
        <v>108</v>
      </c>
      <c r="F194">
        <v>0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6</v>
      </c>
      <c r="Q194">
        <v>6</v>
      </c>
      <c r="R194">
        <v>8</v>
      </c>
      <c r="S194">
        <v>8</v>
      </c>
      <c r="T194">
        <v>8</v>
      </c>
      <c r="U194">
        <v>10</v>
      </c>
      <c r="V194">
        <v>10</v>
      </c>
      <c r="W194">
        <v>13</v>
      </c>
      <c r="X194">
        <v>13</v>
      </c>
      <c r="Y194">
        <v>14</v>
      </c>
      <c r="Z194">
        <v>15</v>
      </c>
      <c r="AA194">
        <v>15</v>
      </c>
      <c r="AB194">
        <v>16</v>
      </c>
      <c r="AC194">
        <v>16</v>
      </c>
      <c r="AD194">
        <v>16</v>
      </c>
      <c r="AE194">
        <v>16</v>
      </c>
      <c r="AF194">
        <v>16</v>
      </c>
      <c r="AG194">
        <v>16</v>
      </c>
      <c r="AH194">
        <v>16</v>
      </c>
      <c r="AI194">
        <v>16</v>
      </c>
      <c r="AJ194">
        <v>16</v>
      </c>
      <c r="AK194">
        <v>16</v>
      </c>
      <c r="AL194">
        <v>16</v>
      </c>
      <c r="AM194">
        <v>16</v>
      </c>
      <c r="AN194">
        <v>16</v>
      </c>
      <c r="AO194">
        <v>16</v>
      </c>
      <c r="AP194">
        <v>16</v>
      </c>
      <c r="AQ194">
        <v>16</v>
      </c>
      <c r="AR194">
        <v>16</v>
      </c>
      <c r="AS194">
        <v>16</v>
      </c>
      <c r="AT194">
        <v>16</v>
      </c>
      <c r="AU194">
        <v>16</v>
      </c>
      <c r="AV194">
        <v>16</v>
      </c>
      <c r="AW194">
        <v>16</v>
      </c>
      <c r="AX194">
        <v>16</v>
      </c>
      <c r="AY194">
        <v>18</v>
      </c>
      <c r="AZ194">
        <v>30</v>
      </c>
      <c r="BA194">
        <v>30</v>
      </c>
      <c r="BB194">
        <v>31</v>
      </c>
      <c r="BC194">
        <v>38</v>
      </c>
      <c r="BD194">
        <v>39</v>
      </c>
      <c r="BE194">
        <v>47</v>
      </c>
      <c r="BF194">
        <v>53</v>
      </c>
      <c r="BG194">
        <v>56</v>
      </c>
    </row>
    <row r="195" spans="1:59" x14ac:dyDescent="0.3">
      <c r="A195" s="2"/>
      <c r="C195" t="s">
        <v>372</v>
      </c>
      <c r="D195">
        <v>60</v>
      </c>
      <c r="E195">
        <v>90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3</v>
      </c>
      <c r="AU195">
        <v>3</v>
      </c>
      <c r="AV195">
        <v>3</v>
      </c>
      <c r="AW195">
        <v>4</v>
      </c>
      <c r="AX195">
        <v>13</v>
      </c>
      <c r="AY195">
        <v>13</v>
      </c>
      <c r="AZ195">
        <v>17</v>
      </c>
      <c r="BA195">
        <v>17</v>
      </c>
      <c r="BB195">
        <v>20</v>
      </c>
      <c r="BC195">
        <v>20</v>
      </c>
      <c r="BD195">
        <v>28</v>
      </c>
      <c r="BE195">
        <v>45</v>
      </c>
      <c r="BF195">
        <v>59</v>
      </c>
      <c r="BG195">
        <v>63</v>
      </c>
    </row>
    <row r="196" spans="1:59" x14ac:dyDescent="0.3">
      <c r="A196" s="2"/>
      <c r="B196" t="s">
        <v>51</v>
      </c>
      <c r="C196" t="s">
        <v>365</v>
      </c>
      <c r="D196">
        <v>35.745199999999997</v>
      </c>
      <c r="E196">
        <v>95.995599999999996</v>
      </c>
      <c r="F196">
        <v>0</v>
      </c>
      <c r="G196">
        <v>0</v>
      </c>
      <c r="H196">
        <v>0</v>
      </c>
      <c r="I196">
        <v>1</v>
      </c>
      <c r="J196">
        <v>1</v>
      </c>
      <c r="K196">
        <v>6</v>
      </c>
      <c r="L196">
        <v>6</v>
      </c>
      <c r="M196">
        <v>6</v>
      </c>
      <c r="N196">
        <v>8</v>
      </c>
      <c r="O196">
        <v>8</v>
      </c>
      <c r="P196">
        <v>9</v>
      </c>
      <c r="Q196">
        <v>11</v>
      </c>
      <c r="R196">
        <v>13</v>
      </c>
      <c r="S196">
        <v>15</v>
      </c>
      <c r="T196">
        <v>17</v>
      </c>
      <c r="U196">
        <v>18</v>
      </c>
      <c r="V196">
        <v>18</v>
      </c>
      <c r="W196">
        <v>18</v>
      </c>
      <c r="X196">
        <v>18</v>
      </c>
      <c r="Y196">
        <v>18</v>
      </c>
      <c r="Z196">
        <v>18</v>
      </c>
      <c r="AA196">
        <v>18</v>
      </c>
      <c r="AB196">
        <v>18</v>
      </c>
      <c r="AC196">
        <v>18</v>
      </c>
      <c r="AD196">
        <v>18</v>
      </c>
      <c r="AE196">
        <v>18</v>
      </c>
      <c r="AF196">
        <v>18</v>
      </c>
      <c r="AG196">
        <v>18</v>
      </c>
      <c r="AH196">
        <v>18</v>
      </c>
      <c r="AI196">
        <v>18</v>
      </c>
      <c r="AJ196">
        <v>18</v>
      </c>
      <c r="AK196">
        <v>18</v>
      </c>
      <c r="AL196">
        <v>18</v>
      </c>
      <c r="AM196">
        <v>18</v>
      </c>
      <c r="AN196">
        <v>18</v>
      </c>
      <c r="AO196">
        <v>18</v>
      </c>
      <c r="AP196">
        <v>18</v>
      </c>
      <c r="AQ196">
        <v>18</v>
      </c>
      <c r="AR196">
        <v>18</v>
      </c>
      <c r="AS196">
        <v>18</v>
      </c>
      <c r="AT196">
        <v>18</v>
      </c>
      <c r="AU196">
        <v>18</v>
      </c>
      <c r="AV196">
        <v>18</v>
      </c>
      <c r="AW196">
        <v>18</v>
      </c>
      <c r="AX196">
        <v>18</v>
      </c>
      <c r="AY196">
        <v>18</v>
      </c>
      <c r="AZ196">
        <v>18</v>
      </c>
      <c r="BA196">
        <v>18</v>
      </c>
      <c r="BB196">
        <v>18</v>
      </c>
      <c r="BC196">
        <v>18</v>
      </c>
      <c r="BD196">
        <v>18</v>
      </c>
      <c r="BE196">
        <v>18</v>
      </c>
      <c r="BF196">
        <v>18</v>
      </c>
      <c r="BG196">
        <v>18</v>
      </c>
    </row>
    <row r="197" spans="1:59" x14ac:dyDescent="0.3">
      <c r="A197" s="2"/>
      <c r="B197" t="s">
        <v>284</v>
      </c>
      <c r="C197" t="s">
        <v>365</v>
      </c>
      <c r="D197">
        <v>22.166699999999999</v>
      </c>
      <c r="E197">
        <v>113.55</v>
      </c>
      <c r="F197">
        <v>1</v>
      </c>
      <c r="G197">
        <v>2</v>
      </c>
      <c r="H197">
        <v>2</v>
      </c>
      <c r="I197">
        <v>2</v>
      </c>
      <c r="J197">
        <v>5</v>
      </c>
      <c r="K197">
        <v>6</v>
      </c>
      <c r="L197">
        <v>7</v>
      </c>
      <c r="M197">
        <v>7</v>
      </c>
      <c r="N197">
        <v>7</v>
      </c>
      <c r="O197">
        <v>7</v>
      </c>
      <c r="P197">
        <v>7</v>
      </c>
      <c r="Q197">
        <v>8</v>
      </c>
      <c r="R197">
        <v>8</v>
      </c>
      <c r="S197">
        <v>10</v>
      </c>
      <c r="T197">
        <v>10</v>
      </c>
      <c r="U197">
        <v>10</v>
      </c>
      <c r="V197">
        <v>10</v>
      </c>
      <c r="W197">
        <v>10</v>
      </c>
      <c r="X197">
        <v>10</v>
      </c>
      <c r="Y197">
        <v>10</v>
      </c>
      <c r="Z197">
        <v>10</v>
      </c>
      <c r="AA197">
        <v>10</v>
      </c>
      <c r="AB197">
        <v>10</v>
      </c>
      <c r="AC197">
        <v>10</v>
      </c>
      <c r="AD197">
        <v>10</v>
      </c>
      <c r="AE197">
        <v>10</v>
      </c>
      <c r="AF197">
        <v>10</v>
      </c>
      <c r="AG197">
        <v>10</v>
      </c>
      <c r="AH197">
        <v>10</v>
      </c>
      <c r="AI197">
        <v>10</v>
      </c>
      <c r="AJ197">
        <v>10</v>
      </c>
      <c r="AK197">
        <v>10</v>
      </c>
      <c r="AL197">
        <v>10</v>
      </c>
      <c r="AM197">
        <v>10</v>
      </c>
      <c r="AN197">
        <v>10</v>
      </c>
      <c r="AO197">
        <v>10</v>
      </c>
      <c r="AP197">
        <v>10</v>
      </c>
      <c r="AQ197">
        <v>10</v>
      </c>
      <c r="AR197">
        <v>10</v>
      </c>
      <c r="AS197">
        <v>10</v>
      </c>
      <c r="AT197">
        <v>10</v>
      </c>
      <c r="AU197">
        <v>10</v>
      </c>
      <c r="AV197">
        <v>10</v>
      </c>
      <c r="AW197">
        <v>10</v>
      </c>
      <c r="AX197">
        <v>10</v>
      </c>
      <c r="AY197">
        <v>10</v>
      </c>
      <c r="AZ197">
        <v>10</v>
      </c>
      <c r="BA197">
        <v>10</v>
      </c>
      <c r="BB197">
        <v>10</v>
      </c>
      <c r="BC197">
        <v>10</v>
      </c>
      <c r="BD197">
        <v>10</v>
      </c>
      <c r="BE197">
        <v>10</v>
      </c>
      <c r="BF197">
        <v>10</v>
      </c>
      <c r="BG197">
        <v>10</v>
      </c>
    </row>
    <row r="198" spans="1:59" x14ac:dyDescent="0.3">
      <c r="A198" s="2"/>
      <c r="C198" t="s">
        <v>373</v>
      </c>
      <c r="D198">
        <v>47.4116</v>
      </c>
      <c r="E198">
        <v>28.369900000000001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1</v>
      </c>
      <c r="BA198">
        <v>1</v>
      </c>
      <c r="BB198">
        <v>3</v>
      </c>
      <c r="BC198">
        <v>3</v>
      </c>
      <c r="BD198">
        <v>3</v>
      </c>
      <c r="BE198">
        <v>6</v>
      </c>
      <c r="BF198">
        <v>12</v>
      </c>
      <c r="BG198">
        <v>23</v>
      </c>
    </row>
    <row r="199" spans="1:59" x14ac:dyDescent="0.3">
      <c r="A199" s="2"/>
      <c r="C199" t="s">
        <v>374</v>
      </c>
      <c r="D199">
        <v>-16.290199999999999</v>
      </c>
      <c r="E199">
        <v>-63.588700000000003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2</v>
      </c>
      <c r="BD199">
        <v>2</v>
      </c>
      <c r="BE199">
        <v>3</v>
      </c>
      <c r="BF199">
        <v>10</v>
      </c>
      <c r="BG199">
        <v>10</v>
      </c>
    </row>
    <row r="200" spans="1:59" x14ac:dyDescent="0.3">
      <c r="A200" s="2"/>
      <c r="B200" t="s">
        <v>161</v>
      </c>
      <c r="C200" t="s">
        <v>114</v>
      </c>
      <c r="D200">
        <v>61.892600000000002</v>
      </c>
      <c r="E200">
        <v>-6.9118000000000004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1</v>
      </c>
      <c r="AW200">
        <v>1</v>
      </c>
      <c r="AX200">
        <v>1</v>
      </c>
      <c r="AY200">
        <v>1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3</v>
      </c>
      <c r="BF200">
        <v>9</v>
      </c>
      <c r="BG200">
        <v>11</v>
      </c>
    </row>
    <row r="201" spans="1:59" x14ac:dyDescent="0.3">
      <c r="A201" s="2"/>
      <c r="B201" t="s">
        <v>375</v>
      </c>
      <c r="C201" t="s">
        <v>68</v>
      </c>
      <c r="D201">
        <v>18.070799999999998</v>
      </c>
      <c r="E201">
        <v>-63.0501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2</v>
      </c>
      <c r="BB201">
        <v>2</v>
      </c>
      <c r="BC201">
        <v>2</v>
      </c>
      <c r="BD201">
        <v>2</v>
      </c>
      <c r="BE201">
        <v>2</v>
      </c>
      <c r="BF201">
        <v>2</v>
      </c>
      <c r="BG201">
        <v>2</v>
      </c>
    </row>
    <row r="202" spans="1:59" x14ac:dyDescent="0.3">
      <c r="A202" s="2"/>
      <c r="C202" t="s">
        <v>376</v>
      </c>
      <c r="D202">
        <v>15.2</v>
      </c>
      <c r="E202">
        <v>-86.241900000000001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2</v>
      </c>
      <c r="BD202">
        <v>2</v>
      </c>
      <c r="BE202">
        <v>2</v>
      </c>
      <c r="BF202">
        <v>2</v>
      </c>
      <c r="BG202">
        <v>3</v>
      </c>
    </row>
    <row r="203" spans="1:59" x14ac:dyDescent="0.3">
      <c r="A203" s="2"/>
      <c r="B203" t="s">
        <v>307</v>
      </c>
      <c r="C203" t="s">
        <v>377</v>
      </c>
      <c r="D203">
        <v>49.372300000000003</v>
      </c>
      <c r="E203">
        <v>-2.3643999999999998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2</v>
      </c>
      <c r="BD203">
        <v>2</v>
      </c>
      <c r="BE203">
        <v>2</v>
      </c>
      <c r="BF203">
        <v>2</v>
      </c>
      <c r="BG203">
        <v>3</v>
      </c>
    </row>
    <row r="204" spans="1:59" x14ac:dyDescent="0.3">
      <c r="A204" s="2"/>
      <c r="B204" t="s">
        <v>378</v>
      </c>
      <c r="C204" t="s">
        <v>72</v>
      </c>
      <c r="D204">
        <v>46.565300000000001</v>
      </c>
      <c r="E204">
        <v>-66.4619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1</v>
      </c>
      <c r="BD204">
        <v>1</v>
      </c>
      <c r="BE204">
        <v>1</v>
      </c>
      <c r="BF204">
        <v>1</v>
      </c>
      <c r="BG204">
        <v>2</v>
      </c>
    </row>
    <row r="205" spans="1:59" x14ac:dyDescent="0.3">
      <c r="A205" s="2"/>
      <c r="B205" t="s">
        <v>58</v>
      </c>
      <c r="C205" t="s">
        <v>365</v>
      </c>
      <c r="D205">
        <v>31.692699999999999</v>
      </c>
      <c r="E205">
        <v>88.092399999999998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1</v>
      </c>
      <c r="AL205">
        <v>1</v>
      </c>
      <c r="AM205">
        <v>1</v>
      </c>
      <c r="AN205">
        <v>1</v>
      </c>
      <c r="AO205">
        <v>1</v>
      </c>
      <c r="AP205">
        <v>1</v>
      </c>
      <c r="AQ205">
        <v>1</v>
      </c>
      <c r="AR205">
        <v>1</v>
      </c>
      <c r="AS205">
        <v>1</v>
      </c>
      <c r="AT205">
        <v>1</v>
      </c>
      <c r="AU205">
        <v>1</v>
      </c>
      <c r="AV205">
        <v>1</v>
      </c>
      <c r="AW205">
        <v>1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</row>
    <row r="206" spans="1:59" x14ac:dyDescent="0.3">
      <c r="A206" s="2"/>
      <c r="C206" t="s">
        <v>379</v>
      </c>
      <c r="D206">
        <v>-4.0382999999999996</v>
      </c>
      <c r="E206">
        <v>21.758700000000001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2</v>
      </c>
      <c r="BF206">
        <v>2</v>
      </c>
      <c r="BG206">
        <v>2</v>
      </c>
    </row>
    <row r="207" spans="1:59" x14ac:dyDescent="0.3">
      <c r="A207" s="2"/>
      <c r="C207" t="s">
        <v>380</v>
      </c>
      <c r="D207">
        <v>7.54</v>
      </c>
      <c r="E207">
        <v>-5.5471000000000004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1</v>
      </c>
      <c r="BD207">
        <v>1</v>
      </c>
      <c r="BE207">
        <v>1</v>
      </c>
      <c r="BF207">
        <v>1</v>
      </c>
      <c r="BG207">
        <v>1</v>
      </c>
    </row>
    <row r="208" spans="1:59" x14ac:dyDescent="0.3">
      <c r="A208" s="2"/>
      <c r="B208" t="s">
        <v>157</v>
      </c>
      <c r="C208" t="s">
        <v>68</v>
      </c>
      <c r="D208">
        <v>17.899999999999999</v>
      </c>
      <c r="E208">
        <v>-62.833300000000001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3</v>
      </c>
      <c r="AW208">
        <v>3</v>
      </c>
      <c r="AX208">
        <v>3</v>
      </c>
      <c r="AY208">
        <v>3</v>
      </c>
      <c r="AZ208">
        <v>3</v>
      </c>
      <c r="BA208">
        <v>1</v>
      </c>
      <c r="BB208">
        <v>1</v>
      </c>
      <c r="BC208">
        <v>1</v>
      </c>
      <c r="BD208">
        <v>1</v>
      </c>
      <c r="BE208">
        <v>1</v>
      </c>
      <c r="BF208">
        <v>1</v>
      </c>
      <c r="BG208">
        <v>1</v>
      </c>
    </row>
    <row r="209" spans="1:59" x14ac:dyDescent="0.3">
      <c r="A209" s="2"/>
      <c r="C209" t="s">
        <v>381</v>
      </c>
      <c r="D209">
        <v>18.1096</v>
      </c>
      <c r="E209">
        <v>-77.297499999999999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1</v>
      </c>
      <c r="BD209">
        <v>2</v>
      </c>
      <c r="BE209">
        <v>8</v>
      </c>
      <c r="BF209">
        <v>8</v>
      </c>
      <c r="BG209">
        <v>10</v>
      </c>
    </row>
    <row r="210" spans="1:59" x14ac:dyDescent="0.3">
      <c r="A210" s="2"/>
      <c r="C210" t="s">
        <v>382</v>
      </c>
      <c r="D210">
        <v>-21.115100000000002</v>
      </c>
      <c r="E210">
        <v>55.5364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1</v>
      </c>
      <c r="BD210">
        <v>1</v>
      </c>
      <c r="BE210">
        <v>5</v>
      </c>
      <c r="BF210">
        <v>6</v>
      </c>
      <c r="BG210">
        <v>7</v>
      </c>
    </row>
    <row r="211" spans="1:59" x14ac:dyDescent="0.3">
      <c r="A211" s="2"/>
      <c r="C211" t="s">
        <v>383</v>
      </c>
      <c r="D211">
        <v>38.963700000000003</v>
      </c>
      <c r="E211">
        <v>35.243299999999998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1</v>
      </c>
      <c r="BD211">
        <v>1</v>
      </c>
      <c r="BE211">
        <v>5</v>
      </c>
      <c r="BF211">
        <v>5</v>
      </c>
      <c r="BG211">
        <v>6</v>
      </c>
    </row>
    <row r="212" spans="1:59" x14ac:dyDescent="0.3">
      <c r="A212" s="2"/>
      <c r="B212" t="s">
        <v>162</v>
      </c>
      <c r="C212" t="s">
        <v>377</v>
      </c>
      <c r="D212">
        <v>36.140799999999999</v>
      </c>
      <c r="E212">
        <v>-5.3536000000000001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</row>
    <row r="213" spans="1:59" x14ac:dyDescent="0.3">
      <c r="A213" s="2"/>
      <c r="B213" t="s">
        <v>328</v>
      </c>
      <c r="C213" t="s">
        <v>65</v>
      </c>
      <c r="D213">
        <v>47.6477</v>
      </c>
      <c r="E213">
        <v>-122.6413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</row>
    <row r="214" spans="1:59" x14ac:dyDescent="0.3">
      <c r="A214" s="2"/>
      <c r="B214" t="s">
        <v>329</v>
      </c>
      <c r="C214" t="s">
        <v>65</v>
      </c>
      <c r="D214">
        <v>38.310499999999998</v>
      </c>
      <c r="E214">
        <v>-121.90179999999999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</row>
    <row r="215" spans="1:59" x14ac:dyDescent="0.3">
      <c r="A215" s="2"/>
      <c r="B215" t="s">
        <v>330</v>
      </c>
      <c r="C215" t="s">
        <v>65</v>
      </c>
      <c r="D215">
        <v>37.045400000000001</v>
      </c>
      <c r="E215">
        <v>-121.958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</row>
    <row r="216" spans="1:59" x14ac:dyDescent="0.3">
      <c r="A216" s="2"/>
      <c r="B216" t="s">
        <v>331</v>
      </c>
      <c r="C216" t="s">
        <v>65</v>
      </c>
      <c r="D216">
        <v>38.502499999999998</v>
      </c>
      <c r="E216">
        <v>-122.2654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</row>
    <row r="217" spans="1:59" x14ac:dyDescent="0.3">
      <c r="A217" s="2"/>
      <c r="B217" t="s">
        <v>332</v>
      </c>
      <c r="C217" t="s">
        <v>65</v>
      </c>
      <c r="D217">
        <v>34.3705</v>
      </c>
      <c r="E217">
        <v>-119.1391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</row>
    <row r="218" spans="1:59" x14ac:dyDescent="0.3">
      <c r="A218" s="2"/>
      <c r="B218" t="s">
        <v>333</v>
      </c>
      <c r="C218" t="s">
        <v>65</v>
      </c>
      <c r="D218">
        <v>42.409700000000001</v>
      </c>
      <c r="E218">
        <v>-71.857100000000003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</row>
    <row r="219" spans="1:59" x14ac:dyDescent="0.3">
      <c r="A219" s="2"/>
      <c r="B219" t="s">
        <v>334</v>
      </c>
      <c r="C219" t="s">
        <v>65</v>
      </c>
      <c r="D219">
        <v>33.9191</v>
      </c>
      <c r="E219">
        <v>-84.0167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</row>
    <row r="220" spans="1:59" x14ac:dyDescent="0.3">
      <c r="A220" s="2"/>
      <c r="B220" t="s">
        <v>335</v>
      </c>
      <c r="C220" t="s">
        <v>65</v>
      </c>
      <c r="D220">
        <v>33.7956</v>
      </c>
      <c r="E220">
        <v>-84.227900000000005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</row>
    <row r="221" spans="1:59" x14ac:dyDescent="0.3">
      <c r="A221" s="2"/>
      <c r="B221" t="s">
        <v>336</v>
      </c>
      <c r="C221" t="s">
        <v>65</v>
      </c>
      <c r="D221">
        <v>37.545499999999997</v>
      </c>
      <c r="E221">
        <v>-82.777900000000002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</row>
    <row r="222" spans="1:59" x14ac:dyDescent="0.3">
      <c r="A222" s="2"/>
      <c r="B222" t="s">
        <v>337</v>
      </c>
      <c r="C222" t="s">
        <v>65</v>
      </c>
      <c r="D222">
        <v>33.450200000000002</v>
      </c>
      <c r="E222">
        <v>-84.4803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</row>
    <row r="223" spans="1:59" x14ac:dyDescent="0.3">
      <c r="A223" s="2"/>
      <c r="B223" t="s">
        <v>338</v>
      </c>
      <c r="C223" t="s">
        <v>65</v>
      </c>
      <c r="D223">
        <v>32.4893</v>
      </c>
      <c r="E223">
        <v>-94.852099999999993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</row>
    <row r="224" spans="1:59" x14ac:dyDescent="0.3">
      <c r="A224" s="2"/>
      <c r="B224" t="s">
        <v>339</v>
      </c>
      <c r="C224" t="s">
        <v>65</v>
      </c>
      <c r="D224">
        <v>40.258899999999997</v>
      </c>
      <c r="E224">
        <v>-74.123999999999995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</row>
    <row r="225" spans="1:59" x14ac:dyDescent="0.3">
      <c r="A225" s="2"/>
      <c r="B225" t="s">
        <v>340</v>
      </c>
      <c r="C225" t="s">
        <v>65</v>
      </c>
      <c r="D225">
        <v>40.071199999999997</v>
      </c>
      <c r="E225">
        <v>-74.864900000000006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</row>
    <row r="226" spans="1:59" x14ac:dyDescent="0.3">
      <c r="A226" s="2"/>
      <c r="B226" t="s">
        <v>341</v>
      </c>
      <c r="C226" t="s">
        <v>65</v>
      </c>
      <c r="D226">
        <v>39.925899999999999</v>
      </c>
      <c r="E226">
        <v>-75.119600000000005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</row>
    <row r="227" spans="1:59" x14ac:dyDescent="0.3">
      <c r="A227" s="2"/>
      <c r="B227" t="s">
        <v>342</v>
      </c>
      <c r="C227" t="s">
        <v>65</v>
      </c>
      <c r="D227">
        <v>40.8568</v>
      </c>
      <c r="E227">
        <v>-74.128500000000003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</row>
    <row r="228" spans="1:59" x14ac:dyDescent="0.3">
      <c r="A228" s="2"/>
      <c r="B228" t="s">
        <v>343</v>
      </c>
      <c r="C228" t="s">
        <v>65</v>
      </c>
      <c r="D228">
        <v>40.697600000000001</v>
      </c>
      <c r="E228">
        <v>-74.263199999999998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</row>
    <row r="229" spans="1:59" x14ac:dyDescent="0.3">
      <c r="A229" s="2"/>
      <c r="B229" t="s">
        <v>344</v>
      </c>
      <c r="C229" t="s">
        <v>65</v>
      </c>
      <c r="D229">
        <v>39.655299999999997</v>
      </c>
      <c r="E229">
        <v>-106.8287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</row>
    <row r="230" spans="1:59" x14ac:dyDescent="0.3">
      <c r="A230" s="2"/>
      <c r="B230" t="s">
        <v>345</v>
      </c>
      <c r="C230" t="s">
        <v>65</v>
      </c>
      <c r="D230">
        <v>40.695599999999999</v>
      </c>
      <c r="E230">
        <v>-105.5943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</row>
    <row r="231" spans="1:59" x14ac:dyDescent="0.3">
      <c r="A231" s="2"/>
      <c r="B231" t="s">
        <v>346</v>
      </c>
      <c r="C231" t="s">
        <v>65</v>
      </c>
      <c r="D231">
        <v>39.6203</v>
      </c>
      <c r="E231">
        <v>-104.3326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</row>
    <row r="232" spans="1:59" x14ac:dyDescent="0.3">
      <c r="A232" s="2"/>
      <c r="B232" t="s">
        <v>347</v>
      </c>
      <c r="C232" t="s">
        <v>65</v>
      </c>
      <c r="D232">
        <v>38.5458</v>
      </c>
      <c r="E232">
        <v>-106.92529999999999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</row>
    <row r="233" spans="1:59" x14ac:dyDescent="0.3">
      <c r="A233" s="2"/>
      <c r="B233" t="s">
        <v>348</v>
      </c>
      <c r="C233" t="s">
        <v>65</v>
      </c>
      <c r="D233">
        <v>41.987900000000003</v>
      </c>
      <c r="E233">
        <v>-88.401600000000002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</row>
    <row r="234" spans="1:59" x14ac:dyDescent="0.3">
      <c r="A234" s="2"/>
      <c r="B234" t="s">
        <v>349</v>
      </c>
      <c r="C234" t="s">
        <v>65</v>
      </c>
      <c r="D234">
        <v>41.0458</v>
      </c>
      <c r="E234">
        <v>-75.247900000000001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</row>
    <row r="235" spans="1:59" x14ac:dyDescent="0.3">
      <c r="A235" s="2"/>
      <c r="B235" t="s">
        <v>350</v>
      </c>
      <c r="C235" t="s">
        <v>65</v>
      </c>
      <c r="D235">
        <v>39.952599999999997</v>
      </c>
      <c r="E235">
        <v>-75.165199999999999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</row>
    <row r="236" spans="1:59" x14ac:dyDescent="0.3">
      <c r="A236" s="2"/>
      <c r="B236" t="s">
        <v>351</v>
      </c>
      <c r="C236" t="s">
        <v>65</v>
      </c>
      <c r="D236">
        <v>36.8508</v>
      </c>
      <c r="E236">
        <v>-76.285899999999998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</row>
    <row r="237" spans="1:59" x14ac:dyDescent="0.3">
      <c r="A237" s="2"/>
      <c r="B237" t="s">
        <v>352</v>
      </c>
      <c r="C237" t="s">
        <v>65</v>
      </c>
      <c r="D237">
        <v>38.881599999999999</v>
      </c>
      <c r="E237">
        <v>-77.090999999999994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</row>
    <row r="238" spans="1:59" x14ac:dyDescent="0.3">
      <c r="A238" s="2"/>
      <c r="B238" t="s">
        <v>353</v>
      </c>
      <c r="C238" t="s">
        <v>65</v>
      </c>
      <c r="D238">
        <v>38.2042</v>
      </c>
      <c r="E238">
        <v>-77.607799999999997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</row>
    <row r="239" spans="1:59" x14ac:dyDescent="0.3">
      <c r="A239" s="2"/>
      <c r="B239" t="s">
        <v>354</v>
      </c>
      <c r="C239" t="s">
        <v>65</v>
      </c>
      <c r="D239">
        <v>39.076799999999999</v>
      </c>
      <c r="E239">
        <v>-77.653599999999997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</row>
    <row r="240" spans="1:59" x14ac:dyDescent="0.3">
      <c r="A240" s="2"/>
      <c r="B240" t="s">
        <v>384</v>
      </c>
      <c r="C240" t="s">
        <v>65</v>
      </c>
      <c r="D240">
        <v>38.7849</v>
      </c>
      <c r="E240">
        <v>-76.872100000000003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</row>
    <row r="241" spans="1:59" x14ac:dyDescent="0.3">
      <c r="A241" s="2"/>
      <c r="B241" t="s">
        <v>355</v>
      </c>
      <c r="C241" t="s">
        <v>65</v>
      </c>
      <c r="D241">
        <v>41.391199999999998</v>
      </c>
      <c r="E241">
        <v>-95.477800000000002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</row>
    <row r="242" spans="1:59" x14ac:dyDescent="0.3">
      <c r="A242" s="2"/>
      <c r="B242" t="s">
        <v>385</v>
      </c>
      <c r="C242" t="s">
        <v>65</v>
      </c>
      <c r="D242">
        <v>34.246499999999997</v>
      </c>
      <c r="E242">
        <v>-80.606999999999999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</row>
    <row r="243" spans="1:59" x14ac:dyDescent="0.3">
      <c r="A243" s="2"/>
      <c r="B243" t="s">
        <v>356</v>
      </c>
      <c r="C243" t="s">
        <v>65</v>
      </c>
      <c r="D243">
        <v>32.057499999999997</v>
      </c>
      <c r="E243">
        <v>-111.6661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</row>
    <row r="244" spans="1:59" x14ac:dyDescent="0.3">
      <c r="A244" s="2"/>
      <c r="B244" t="s">
        <v>357</v>
      </c>
      <c r="C244" t="s">
        <v>65</v>
      </c>
      <c r="D244">
        <v>41.427700000000002</v>
      </c>
      <c r="E244">
        <v>-85.355000000000004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</row>
    <row r="245" spans="1:59" x14ac:dyDescent="0.3">
      <c r="A245" s="2"/>
      <c r="B245" t="s">
        <v>358</v>
      </c>
      <c r="C245" t="s">
        <v>65</v>
      </c>
      <c r="D245">
        <v>39.852200000000003</v>
      </c>
      <c r="E245">
        <v>-77.286500000000004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</row>
    <row r="246" spans="1:59" x14ac:dyDescent="0.3">
      <c r="A246" s="2"/>
      <c r="B246" t="s">
        <v>359</v>
      </c>
      <c r="C246" t="s">
        <v>65</v>
      </c>
      <c r="D246">
        <v>40.010599999999997</v>
      </c>
      <c r="E246">
        <v>-86.499700000000004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</row>
    <row r="247" spans="1:59" x14ac:dyDescent="0.3">
      <c r="A247" s="2"/>
      <c r="B247" t="s">
        <v>360</v>
      </c>
      <c r="C247" t="s">
        <v>65</v>
      </c>
      <c r="D247">
        <v>43.018599999999999</v>
      </c>
      <c r="E247">
        <v>-89.549800000000005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</row>
    <row r="248" spans="1:59" x14ac:dyDescent="0.3">
      <c r="A248" s="2"/>
      <c r="B248" t="s">
        <v>361</v>
      </c>
      <c r="C248" t="s">
        <v>65</v>
      </c>
      <c r="D248">
        <v>44.750900000000001</v>
      </c>
      <c r="E248">
        <v>-92.381399999999999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</row>
    <row r="249" spans="1:59" x14ac:dyDescent="0.3">
      <c r="A249" s="2"/>
      <c r="B249" t="s">
        <v>362</v>
      </c>
      <c r="C249" t="s">
        <v>65</v>
      </c>
      <c r="D249">
        <v>41.433900000000001</v>
      </c>
      <c r="E249">
        <v>-81.675799999999995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</row>
    <row r="250" spans="1:59" x14ac:dyDescent="0.3">
      <c r="A250" s="2"/>
      <c r="B250" t="s">
        <v>363</v>
      </c>
      <c r="C250" t="s">
        <v>65</v>
      </c>
      <c r="D250">
        <v>41.260300000000001</v>
      </c>
      <c r="E250">
        <v>-111.9522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</row>
    <row r="251" spans="1:59" x14ac:dyDescent="0.3">
      <c r="A251" s="2"/>
      <c r="B251" t="s">
        <v>261</v>
      </c>
      <c r="C251" t="s">
        <v>65</v>
      </c>
      <c r="D251">
        <v>43.027900000000002</v>
      </c>
      <c r="E251">
        <v>-73.135000000000005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1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</row>
    <row r="252" spans="1:59" x14ac:dyDescent="0.3">
      <c r="A252" s="2"/>
      <c r="B252" t="s">
        <v>262</v>
      </c>
      <c r="C252" t="s">
        <v>65</v>
      </c>
      <c r="D252">
        <v>44.825400000000002</v>
      </c>
      <c r="E252">
        <v>-93.784199999999998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1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</row>
    <row r="253" spans="1:59" x14ac:dyDescent="0.3">
      <c r="A253" s="2"/>
      <c r="B253" t="s">
        <v>263</v>
      </c>
      <c r="C253" t="s">
        <v>65</v>
      </c>
      <c r="D253">
        <v>26.894600000000001</v>
      </c>
      <c r="E253">
        <v>-81.909800000000004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1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</row>
    <row r="254" spans="1:59" x14ac:dyDescent="0.3">
      <c r="A254" s="2"/>
      <c r="B254" t="s">
        <v>264</v>
      </c>
      <c r="C254" t="s">
        <v>65</v>
      </c>
      <c r="D254">
        <v>34.2515</v>
      </c>
      <c r="E254">
        <v>-84.4803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1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</row>
    <row r="255" spans="1:59" x14ac:dyDescent="0.3">
      <c r="A255" s="2"/>
      <c r="B255" t="s">
        <v>265</v>
      </c>
      <c r="C255" t="s">
        <v>65</v>
      </c>
      <c r="D255">
        <v>33.179499999999997</v>
      </c>
      <c r="E255">
        <v>-96.492999999999995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1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</row>
    <row r="256" spans="1:59" x14ac:dyDescent="0.3">
      <c r="A256" s="2"/>
      <c r="B256" t="s">
        <v>266</v>
      </c>
      <c r="C256" t="s">
        <v>65</v>
      </c>
      <c r="D256">
        <v>38.193800000000003</v>
      </c>
      <c r="E256">
        <v>-85.643500000000003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1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</row>
    <row r="257" spans="1:59" x14ac:dyDescent="0.3">
      <c r="A257" s="2"/>
      <c r="B257" t="s">
        <v>267</v>
      </c>
      <c r="C257" t="s">
        <v>65</v>
      </c>
      <c r="D257">
        <v>29.649899999999999</v>
      </c>
      <c r="E257">
        <v>-90.112099999999998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1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</row>
    <row r="258" spans="1:59" x14ac:dyDescent="0.3">
      <c r="A258" s="2"/>
      <c r="B258" t="s">
        <v>268</v>
      </c>
      <c r="C258" t="s">
        <v>65</v>
      </c>
      <c r="D258">
        <v>40.790900000000001</v>
      </c>
      <c r="E258">
        <v>-121.84739999999999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</row>
    <row r="259" spans="1:59" x14ac:dyDescent="0.3">
      <c r="A259" s="2"/>
      <c r="B259" t="s">
        <v>269</v>
      </c>
      <c r="C259" t="s">
        <v>65</v>
      </c>
      <c r="D259">
        <v>34.860599999999998</v>
      </c>
      <c r="E259">
        <v>-81.953500000000005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1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</row>
    <row r="260" spans="1:59" x14ac:dyDescent="0.3">
      <c r="A260" s="2"/>
      <c r="B260" t="s">
        <v>259</v>
      </c>
      <c r="C260" t="s">
        <v>65</v>
      </c>
      <c r="D260">
        <v>38.433300000000003</v>
      </c>
      <c r="E260">
        <v>-84.354200000000006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2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</row>
    <row r="261" spans="1:59" x14ac:dyDescent="0.3">
      <c r="A261" s="2"/>
      <c r="B261" t="s">
        <v>256</v>
      </c>
      <c r="C261" t="s">
        <v>65</v>
      </c>
      <c r="D261">
        <v>41.669899999999998</v>
      </c>
      <c r="E261">
        <v>-91.598399999999998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3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</row>
    <row r="262" spans="1:59" x14ac:dyDescent="0.3">
      <c r="A262" s="2"/>
      <c r="B262" t="s">
        <v>234</v>
      </c>
      <c r="C262" t="s">
        <v>65</v>
      </c>
      <c r="D262">
        <v>42.311799999999998</v>
      </c>
      <c r="E262">
        <v>-73.182199999999995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1</v>
      </c>
      <c r="BA262">
        <v>1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</row>
    <row r="263" spans="1:59" x14ac:dyDescent="0.3">
      <c r="A263" s="2"/>
      <c r="B263" t="s">
        <v>235</v>
      </c>
      <c r="C263" t="s">
        <v>65</v>
      </c>
      <c r="D263">
        <v>36.134300000000003</v>
      </c>
      <c r="E263">
        <v>-86.822000000000003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1</v>
      </c>
      <c r="BA263">
        <v>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</row>
    <row r="264" spans="1:59" x14ac:dyDescent="0.3">
      <c r="A264" s="2"/>
      <c r="B264" t="s">
        <v>236</v>
      </c>
      <c r="C264" t="s">
        <v>65</v>
      </c>
      <c r="D264">
        <v>43.126100000000001</v>
      </c>
      <c r="E264">
        <v>-123.2492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1</v>
      </c>
      <c r="BA264">
        <v>1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</row>
    <row r="265" spans="1:59" x14ac:dyDescent="0.3">
      <c r="A265" s="2"/>
      <c r="B265" t="s">
        <v>237</v>
      </c>
      <c r="C265" t="s">
        <v>65</v>
      </c>
      <c r="D265">
        <v>36.985900000000001</v>
      </c>
      <c r="E265">
        <v>-119.2321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1</v>
      </c>
      <c r="BA265">
        <v>1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</row>
    <row r="266" spans="1:59" x14ac:dyDescent="0.3">
      <c r="A266" s="2"/>
      <c r="B266" t="s">
        <v>238</v>
      </c>
      <c r="C266" t="s">
        <v>65</v>
      </c>
      <c r="D266">
        <v>39.5839</v>
      </c>
      <c r="E266">
        <v>-76.363699999999994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1</v>
      </c>
      <c r="BA266">
        <v>1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</row>
    <row r="267" spans="1:59" x14ac:dyDescent="0.3">
      <c r="A267" s="2"/>
      <c r="B267" t="s">
        <v>239</v>
      </c>
      <c r="C267" t="s">
        <v>65</v>
      </c>
      <c r="D267">
        <v>39.8065</v>
      </c>
      <c r="E267">
        <v>-86.540099999999995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1</v>
      </c>
      <c r="BA267">
        <v>2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</row>
    <row r="268" spans="1:59" x14ac:dyDescent="0.3">
      <c r="A268" s="2"/>
      <c r="B268" t="s">
        <v>240</v>
      </c>
      <c r="C268" t="s">
        <v>65</v>
      </c>
      <c r="D268">
        <v>40.7453</v>
      </c>
      <c r="E268">
        <v>-74.0535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1</v>
      </c>
      <c r="BA268">
        <v>1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</row>
    <row r="269" spans="1:59" x14ac:dyDescent="0.3">
      <c r="A269" s="2"/>
      <c r="B269" t="s">
        <v>241</v>
      </c>
      <c r="C269" t="s">
        <v>65</v>
      </c>
      <c r="D269">
        <v>38.845399999999998</v>
      </c>
      <c r="E269">
        <v>-94.852099999999993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1</v>
      </c>
      <c r="BA269">
        <v>1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</row>
    <row r="270" spans="1:59" x14ac:dyDescent="0.3">
      <c r="A270" s="2"/>
      <c r="B270" t="s">
        <v>242</v>
      </c>
      <c r="C270" t="s">
        <v>65</v>
      </c>
      <c r="D270">
        <v>47.174999999999997</v>
      </c>
      <c r="E270">
        <v>-120.9319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1</v>
      </c>
      <c r="BA270">
        <v>1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</row>
    <row r="271" spans="1:59" x14ac:dyDescent="0.3">
      <c r="A271" s="2"/>
      <c r="B271" t="s">
        <v>243</v>
      </c>
      <c r="C271" t="s">
        <v>65</v>
      </c>
      <c r="D271">
        <v>27.479900000000001</v>
      </c>
      <c r="E271">
        <v>-82.345200000000006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</v>
      </c>
      <c r="BA271">
        <v>2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</row>
    <row r="272" spans="1:59" x14ac:dyDescent="0.3">
      <c r="A272" s="2"/>
      <c r="B272" t="s">
        <v>244</v>
      </c>
      <c r="C272" t="s">
        <v>65</v>
      </c>
      <c r="D272">
        <v>44.8446</v>
      </c>
      <c r="E272">
        <v>-122.59269999999999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1</v>
      </c>
      <c r="BA272">
        <v>1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</row>
    <row r="273" spans="1:59" x14ac:dyDescent="0.3">
      <c r="A273" s="2"/>
      <c r="B273" t="s">
        <v>245</v>
      </c>
      <c r="C273" t="s">
        <v>65</v>
      </c>
      <c r="D273">
        <v>30.577300000000001</v>
      </c>
      <c r="E273">
        <v>-86.661100000000005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1</v>
      </c>
      <c r="BA273">
        <v>1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</row>
    <row r="274" spans="1:59" x14ac:dyDescent="0.3">
      <c r="A274" s="2"/>
      <c r="B274" t="s">
        <v>246</v>
      </c>
      <c r="C274" t="s">
        <v>65</v>
      </c>
      <c r="D274">
        <v>34.013199999999998</v>
      </c>
      <c r="E274">
        <v>-85.147900000000007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1</v>
      </c>
      <c r="AY274">
        <v>1</v>
      </c>
      <c r="AZ274">
        <v>1</v>
      </c>
      <c r="BA274">
        <v>1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</row>
    <row r="275" spans="1:59" x14ac:dyDescent="0.3">
      <c r="A275" s="2"/>
      <c r="B275" t="s">
        <v>247</v>
      </c>
      <c r="C275" t="s">
        <v>65</v>
      </c>
      <c r="D275">
        <v>33.953299999999999</v>
      </c>
      <c r="E275">
        <v>-117.3961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</v>
      </c>
      <c r="BA275">
        <v>1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</row>
    <row r="276" spans="1:59" x14ac:dyDescent="0.3">
      <c r="A276" s="2"/>
      <c r="B276" t="s">
        <v>248</v>
      </c>
      <c r="C276" t="s">
        <v>65</v>
      </c>
      <c r="D276">
        <v>35.126899999999999</v>
      </c>
      <c r="E276">
        <v>-89.925299999999993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</v>
      </c>
      <c r="BA276">
        <v>1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</row>
    <row r="277" spans="1:59" x14ac:dyDescent="0.3">
      <c r="A277" s="2"/>
      <c r="B277" t="s">
        <v>249</v>
      </c>
      <c r="C277" t="s">
        <v>65</v>
      </c>
      <c r="D277">
        <v>38.610300000000002</v>
      </c>
      <c r="E277">
        <v>-90.412499999999994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1</v>
      </c>
      <c r="BA277">
        <v>1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</row>
    <row r="278" spans="1:59" x14ac:dyDescent="0.3">
      <c r="A278" s="2"/>
      <c r="B278" t="s">
        <v>250</v>
      </c>
      <c r="C278" t="s">
        <v>65</v>
      </c>
      <c r="D278">
        <v>40.984900000000003</v>
      </c>
      <c r="E278">
        <v>-72.615099999999998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1</v>
      </c>
      <c r="BA278">
        <v>1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</row>
    <row r="279" spans="1:59" x14ac:dyDescent="0.3">
      <c r="A279" s="2"/>
      <c r="B279" t="s">
        <v>251</v>
      </c>
      <c r="C279" t="s">
        <v>65</v>
      </c>
      <c r="D279">
        <v>41.858600000000003</v>
      </c>
      <c r="E279">
        <v>-74.311800000000005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1</v>
      </c>
      <c r="BA279">
        <v>1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</row>
    <row r="280" spans="1:59" x14ac:dyDescent="0.3">
      <c r="A280" s="2"/>
      <c r="B280" t="s">
        <v>252</v>
      </c>
      <c r="C280" t="s">
        <v>65</v>
      </c>
      <c r="D280">
        <v>29.027999999999999</v>
      </c>
      <c r="E280">
        <v>-81.075500000000005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1</v>
      </c>
      <c r="BA280">
        <v>1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</row>
    <row r="281" spans="1:59" x14ac:dyDescent="0.3">
      <c r="A281" s="2"/>
      <c r="B281" t="s">
        <v>230</v>
      </c>
      <c r="C281" t="s">
        <v>65</v>
      </c>
      <c r="D281">
        <v>38.908499999999997</v>
      </c>
      <c r="E281">
        <v>-77.240499999999997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2</v>
      </c>
      <c r="BA281">
        <v>2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</row>
    <row r="282" spans="1:59" x14ac:dyDescent="0.3">
      <c r="A282" s="2"/>
      <c r="B282" t="s">
        <v>231</v>
      </c>
      <c r="C282" t="s">
        <v>65</v>
      </c>
      <c r="D282">
        <v>42.993099999999998</v>
      </c>
      <c r="E282">
        <v>-71.049800000000005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1</v>
      </c>
      <c r="BA282">
        <v>1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</row>
    <row r="283" spans="1:59" x14ac:dyDescent="0.3">
      <c r="A283" s="2"/>
      <c r="B283" t="s">
        <v>232</v>
      </c>
      <c r="C283" t="s">
        <v>65</v>
      </c>
      <c r="D283">
        <v>38.907200000000003</v>
      </c>
      <c r="E283">
        <v>-77.036900000000003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2</v>
      </c>
      <c r="BA283">
        <v>2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</row>
    <row r="284" spans="1:59" x14ac:dyDescent="0.3">
      <c r="A284" s="2"/>
      <c r="B284" t="s">
        <v>228</v>
      </c>
      <c r="C284" t="s">
        <v>65</v>
      </c>
      <c r="D284">
        <v>40.228999999999999</v>
      </c>
      <c r="E284">
        <v>-75.387900000000002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4</v>
      </c>
      <c r="BA284">
        <v>5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</row>
    <row r="285" spans="1:59" x14ac:dyDescent="0.3">
      <c r="A285" s="2"/>
      <c r="B285" t="s">
        <v>208</v>
      </c>
      <c r="C285" t="s">
        <v>65</v>
      </c>
      <c r="D285">
        <v>37.601700000000001</v>
      </c>
      <c r="E285">
        <v>-121.7195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1</v>
      </c>
      <c r="AV285">
        <v>1</v>
      </c>
      <c r="AW285">
        <v>1</v>
      </c>
      <c r="AX285">
        <v>1</v>
      </c>
      <c r="AY285">
        <v>2</v>
      </c>
      <c r="AZ285">
        <v>2</v>
      </c>
      <c r="BA285">
        <v>2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</row>
    <row r="286" spans="1:59" x14ac:dyDescent="0.3">
      <c r="A286" s="2"/>
      <c r="B286" t="s">
        <v>209</v>
      </c>
      <c r="C286" t="s">
        <v>65</v>
      </c>
      <c r="D286">
        <v>26.190100000000001</v>
      </c>
      <c r="E286">
        <v>-80.365899999999996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2</v>
      </c>
      <c r="AZ286">
        <v>2</v>
      </c>
      <c r="BA286">
        <v>3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</row>
    <row r="287" spans="1:59" x14ac:dyDescent="0.3">
      <c r="A287" s="2"/>
      <c r="B287" t="s">
        <v>210</v>
      </c>
      <c r="C287" t="s">
        <v>65</v>
      </c>
      <c r="D287">
        <v>26.663</v>
      </c>
      <c r="E287">
        <v>-81.953500000000005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2</v>
      </c>
      <c r="AZ287">
        <v>2</v>
      </c>
      <c r="BA287">
        <v>2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</row>
    <row r="288" spans="1:59" x14ac:dyDescent="0.3">
      <c r="A288" s="2"/>
      <c r="B288" t="s">
        <v>211</v>
      </c>
      <c r="C288" t="s">
        <v>65</v>
      </c>
      <c r="D288">
        <v>32.816200000000002</v>
      </c>
      <c r="E288">
        <v>-111.28449999999999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2</v>
      </c>
      <c r="AZ288">
        <v>2</v>
      </c>
      <c r="BA288">
        <v>2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</row>
    <row r="289" spans="1:59" x14ac:dyDescent="0.3">
      <c r="A289" s="2"/>
      <c r="B289" t="s">
        <v>212</v>
      </c>
      <c r="C289" t="s">
        <v>65</v>
      </c>
      <c r="D289">
        <v>41.148899999999998</v>
      </c>
      <c r="E289">
        <v>-73.983000000000004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2</v>
      </c>
      <c r="AZ289">
        <v>2</v>
      </c>
      <c r="BA289">
        <v>4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</row>
    <row r="290" spans="1:59" x14ac:dyDescent="0.3">
      <c r="A290" s="2"/>
      <c r="B290" t="s">
        <v>213</v>
      </c>
      <c r="C290" t="s">
        <v>65</v>
      </c>
      <c r="D290">
        <v>43.032400000000003</v>
      </c>
      <c r="E290">
        <v>-73.936000000000007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2</v>
      </c>
      <c r="AZ290">
        <v>2</v>
      </c>
      <c r="BA290">
        <v>2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</row>
    <row r="291" spans="1:59" x14ac:dyDescent="0.3">
      <c r="A291" s="2"/>
      <c r="B291" t="s">
        <v>214</v>
      </c>
      <c r="C291" t="s">
        <v>65</v>
      </c>
      <c r="D291">
        <v>32.795699999999997</v>
      </c>
      <c r="E291">
        <v>-79.784800000000004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1</v>
      </c>
      <c r="AZ291">
        <v>1</v>
      </c>
      <c r="BA291">
        <v>1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</row>
    <row r="292" spans="1:59" x14ac:dyDescent="0.3">
      <c r="A292" s="2"/>
      <c r="B292" t="s">
        <v>215</v>
      </c>
      <c r="C292" t="s">
        <v>65</v>
      </c>
      <c r="D292">
        <v>45.746600000000001</v>
      </c>
      <c r="E292">
        <v>-122.5194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1</v>
      </c>
      <c r="AZ292">
        <v>1</v>
      </c>
      <c r="BA292">
        <v>1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</row>
    <row r="293" spans="1:59" x14ac:dyDescent="0.3">
      <c r="A293" s="2"/>
      <c r="B293" t="s">
        <v>216</v>
      </c>
      <c r="C293" t="s">
        <v>65</v>
      </c>
      <c r="D293">
        <v>33.899900000000002</v>
      </c>
      <c r="E293">
        <v>-84.564099999999996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1</v>
      </c>
      <c r="AZ293">
        <v>1</v>
      </c>
      <c r="BA293">
        <v>3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</row>
    <row r="294" spans="1:59" x14ac:dyDescent="0.3">
      <c r="A294" s="2"/>
      <c r="B294" t="s">
        <v>217</v>
      </c>
      <c r="C294" t="s">
        <v>65</v>
      </c>
      <c r="D294">
        <v>40.962899999999998</v>
      </c>
      <c r="E294">
        <v>-112.09529999999999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</v>
      </c>
      <c r="AZ294">
        <v>1</v>
      </c>
      <c r="BA294">
        <v>1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</row>
    <row r="295" spans="1:59" x14ac:dyDescent="0.3">
      <c r="A295" s="2"/>
      <c r="B295" t="s">
        <v>218</v>
      </c>
      <c r="C295" t="s">
        <v>65</v>
      </c>
      <c r="D295">
        <v>38.910800000000002</v>
      </c>
      <c r="E295">
        <v>-104.4723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1</v>
      </c>
      <c r="AZ295">
        <v>1</v>
      </c>
      <c r="BA295">
        <v>1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</row>
    <row r="296" spans="1:59" x14ac:dyDescent="0.3">
      <c r="A296" s="2"/>
      <c r="B296" t="s">
        <v>219</v>
      </c>
      <c r="C296" t="s">
        <v>65</v>
      </c>
      <c r="D296">
        <v>21.306999999999999</v>
      </c>
      <c r="E296">
        <v>-157.85839999999999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1</v>
      </c>
      <c r="AZ296">
        <v>1</v>
      </c>
      <c r="BA296">
        <v>1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</row>
    <row r="297" spans="1:59" x14ac:dyDescent="0.3">
      <c r="A297" s="2"/>
      <c r="B297" t="s">
        <v>462</v>
      </c>
      <c r="C297" t="s">
        <v>65</v>
      </c>
      <c r="D297">
        <v>42.334499999999998</v>
      </c>
      <c r="E297">
        <v>-122.7647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</v>
      </c>
      <c r="AZ297">
        <v>2</v>
      </c>
      <c r="BA297">
        <v>2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</row>
    <row r="298" spans="1:59" x14ac:dyDescent="0.3">
      <c r="A298" s="2"/>
      <c r="B298" t="s">
        <v>220</v>
      </c>
      <c r="C298" t="s">
        <v>65</v>
      </c>
      <c r="D298">
        <v>47.7425</v>
      </c>
      <c r="E298">
        <v>-123.304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1</v>
      </c>
      <c r="AZ298">
        <v>1</v>
      </c>
      <c r="BA298">
        <v>1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</row>
    <row r="299" spans="1:59" x14ac:dyDescent="0.3">
      <c r="A299" s="2"/>
      <c r="B299" t="s">
        <v>221</v>
      </c>
      <c r="C299" t="s">
        <v>65</v>
      </c>
      <c r="D299">
        <v>34.367199999999997</v>
      </c>
      <c r="E299">
        <v>-80.588300000000004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1</v>
      </c>
      <c r="AZ299">
        <v>1</v>
      </c>
      <c r="BA299">
        <v>1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</row>
    <row r="300" spans="1:59" x14ac:dyDescent="0.3">
      <c r="A300" s="2"/>
      <c r="B300" t="s">
        <v>222</v>
      </c>
      <c r="C300" t="s">
        <v>65</v>
      </c>
      <c r="D300">
        <v>42.695300000000003</v>
      </c>
      <c r="E300">
        <v>-121.6142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1</v>
      </c>
      <c r="AZ300">
        <v>1</v>
      </c>
      <c r="BA300">
        <v>1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</row>
    <row r="301" spans="1:59" x14ac:dyDescent="0.3">
      <c r="A301" s="2"/>
      <c r="B301" t="s">
        <v>223</v>
      </c>
      <c r="C301" t="s">
        <v>65</v>
      </c>
      <c r="D301">
        <v>37.251899999999999</v>
      </c>
      <c r="E301">
        <v>-119.69629999999999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1</v>
      </c>
      <c r="AZ301">
        <v>1</v>
      </c>
      <c r="BA301">
        <v>1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</row>
    <row r="302" spans="1:59" x14ac:dyDescent="0.3">
      <c r="A302" s="2"/>
      <c r="B302" t="s">
        <v>224</v>
      </c>
      <c r="C302" t="s">
        <v>65</v>
      </c>
      <c r="D302">
        <v>47.067599999999999</v>
      </c>
      <c r="E302">
        <v>-122.12949999999999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</v>
      </c>
      <c r="AZ302">
        <v>4</v>
      </c>
      <c r="BA302">
        <v>4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</row>
    <row r="303" spans="1:59" x14ac:dyDescent="0.3">
      <c r="A303" s="2"/>
      <c r="B303" t="s">
        <v>225</v>
      </c>
      <c r="C303" t="s">
        <v>65</v>
      </c>
      <c r="D303">
        <v>36.159300000000002</v>
      </c>
      <c r="E303">
        <v>-95.941000000000003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1</v>
      </c>
      <c r="AZ303">
        <v>1</v>
      </c>
      <c r="BA303">
        <v>1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</row>
    <row r="304" spans="1:59" x14ac:dyDescent="0.3">
      <c r="A304" s="2"/>
      <c r="B304" t="s">
        <v>205</v>
      </c>
      <c r="C304" t="s">
        <v>65</v>
      </c>
      <c r="D304">
        <v>39.258699999999997</v>
      </c>
      <c r="E304">
        <v>-104.9389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3</v>
      </c>
      <c r="AZ304">
        <v>3</v>
      </c>
      <c r="BA304">
        <v>3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</row>
    <row r="305" spans="1:59" x14ac:dyDescent="0.3">
      <c r="A305" s="2"/>
      <c r="B305" t="s">
        <v>206</v>
      </c>
      <c r="C305" t="s">
        <v>65</v>
      </c>
      <c r="D305">
        <v>41.888199999999998</v>
      </c>
      <c r="E305">
        <v>-71.477400000000003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1</v>
      </c>
      <c r="AT305">
        <v>2</v>
      </c>
      <c r="AU305">
        <v>2</v>
      </c>
      <c r="AV305">
        <v>2</v>
      </c>
      <c r="AW305">
        <v>2</v>
      </c>
      <c r="AX305">
        <v>2</v>
      </c>
      <c r="AY305">
        <v>3</v>
      </c>
      <c r="AZ305">
        <v>3</v>
      </c>
      <c r="BA305">
        <v>3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</row>
    <row r="306" spans="1:59" x14ac:dyDescent="0.3">
      <c r="A306" s="2"/>
      <c r="B306" t="s">
        <v>191</v>
      </c>
      <c r="C306" t="s">
        <v>65</v>
      </c>
      <c r="D306">
        <v>35.7211</v>
      </c>
      <c r="E306">
        <v>-79.178100000000001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1</v>
      </c>
      <c r="AY306">
        <v>1</v>
      </c>
      <c r="AZ306">
        <v>1</v>
      </c>
      <c r="BA306">
        <v>1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</row>
    <row r="307" spans="1:59" x14ac:dyDescent="0.3">
      <c r="A307" s="2"/>
      <c r="B307" t="s">
        <v>192</v>
      </c>
      <c r="C307" t="s">
        <v>65</v>
      </c>
      <c r="D307">
        <v>39.907800000000002</v>
      </c>
      <c r="E307">
        <v>-75.387900000000002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1</v>
      </c>
      <c r="AY307">
        <v>1</v>
      </c>
      <c r="AZ307">
        <v>1</v>
      </c>
      <c r="BA307">
        <v>1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</row>
    <row r="308" spans="1:59" x14ac:dyDescent="0.3">
      <c r="A308" s="2"/>
      <c r="B308" t="s">
        <v>193</v>
      </c>
      <c r="C308" t="s">
        <v>65</v>
      </c>
      <c r="D308">
        <v>41.314799999999998</v>
      </c>
      <c r="E308">
        <v>-96.195099999999996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</v>
      </c>
      <c r="AY308">
        <v>1</v>
      </c>
      <c r="AZ308">
        <v>1</v>
      </c>
      <c r="BA308">
        <v>3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</row>
    <row r="309" spans="1:59" x14ac:dyDescent="0.3">
      <c r="A309" s="2"/>
      <c r="B309" t="s">
        <v>194</v>
      </c>
      <c r="C309" t="s">
        <v>65</v>
      </c>
      <c r="D309">
        <v>38.060600000000001</v>
      </c>
      <c r="E309">
        <v>-84.4803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1</v>
      </c>
      <c r="AY309">
        <v>1</v>
      </c>
      <c r="AZ309">
        <v>1</v>
      </c>
      <c r="BA309">
        <v>1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</row>
    <row r="310" spans="1:59" x14ac:dyDescent="0.3">
      <c r="A310" s="2"/>
      <c r="B310" t="s">
        <v>195</v>
      </c>
      <c r="C310" t="s">
        <v>65</v>
      </c>
      <c r="D310">
        <v>39.836199999999998</v>
      </c>
      <c r="E310">
        <v>-86.175200000000004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1</v>
      </c>
      <c r="AY310">
        <v>1</v>
      </c>
      <c r="AZ310">
        <v>1</v>
      </c>
      <c r="BA310">
        <v>1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</row>
    <row r="311" spans="1:59" x14ac:dyDescent="0.3">
      <c r="A311" s="2"/>
      <c r="B311" t="s">
        <v>196</v>
      </c>
      <c r="C311" t="s">
        <v>65</v>
      </c>
      <c r="D311">
        <v>42.467199999999998</v>
      </c>
      <c r="E311">
        <v>-71.287400000000005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1</v>
      </c>
      <c r="AY311">
        <v>1</v>
      </c>
      <c r="AZ311">
        <v>7</v>
      </c>
      <c r="BA311">
        <v>7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</row>
    <row r="312" spans="1:59" x14ac:dyDescent="0.3">
      <c r="A312" s="2"/>
      <c r="B312" t="s">
        <v>197</v>
      </c>
      <c r="C312" t="s">
        <v>65</v>
      </c>
      <c r="D312">
        <v>40.654600000000002</v>
      </c>
      <c r="E312">
        <v>-73.559399999999997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4</v>
      </c>
      <c r="AZ312">
        <v>5</v>
      </c>
      <c r="BA312">
        <v>17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</row>
    <row r="313" spans="1:59" x14ac:dyDescent="0.3">
      <c r="A313" s="2"/>
      <c r="B313" t="s">
        <v>198</v>
      </c>
      <c r="C313" t="s">
        <v>65</v>
      </c>
      <c r="D313">
        <v>44.996400000000001</v>
      </c>
      <c r="E313">
        <v>-93.061599999999999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</v>
      </c>
      <c r="AY313">
        <v>1</v>
      </c>
      <c r="AZ313">
        <v>1</v>
      </c>
      <c r="BA313">
        <v>1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</row>
    <row r="314" spans="1:59" x14ac:dyDescent="0.3">
      <c r="A314" s="2"/>
      <c r="B314" t="s">
        <v>199</v>
      </c>
      <c r="C314" t="s">
        <v>65</v>
      </c>
      <c r="D314">
        <v>40.5608</v>
      </c>
      <c r="E314">
        <v>-119.6035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1</v>
      </c>
      <c r="AY314">
        <v>1</v>
      </c>
      <c r="AZ314">
        <v>2</v>
      </c>
      <c r="BA314">
        <v>2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</row>
    <row r="315" spans="1:59" x14ac:dyDescent="0.3">
      <c r="A315" s="2"/>
      <c r="B315" t="s">
        <v>200</v>
      </c>
      <c r="C315" t="s">
        <v>65</v>
      </c>
      <c r="D315">
        <v>41.673900000000003</v>
      </c>
      <c r="E315">
        <v>-75.247900000000001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</v>
      </c>
      <c r="AY315">
        <v>1</v>
      </c>
      <c r="AZ315">
        <v>1</v>
      </c>
      <c r="BA315">
        <v>1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</row>
    <row r="316" spans="1:59" x14ac:dyDescent="0.3">
      <c r="A316" s="2"/>
      <c r="B316" t="s">
        <v>201</v>
      </c>
      <c r="C316" t="s">
        <v>65</v>
      </c>
      <c r="D316">
        <v>38.764600000000002</v>
      </c>
      <c r="E316">
        <v>-121.90179999999999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1</v>
      </c>
      <c r="AY316">
        <v>1</v>
      </c>
      <c r="AZ316">
        <v>1</v>
      </c>
      <c r="BA316">
        <v>1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</row>
    <row r="317" spans="1:59" x14ac:dyDescent="0.3">
      <c r="A317" s="2"/>
      <c r="B317" t="s">
        <v>202</v>
      </c>
      <c r="C317" t="s">
        <v>65</v>
      </c>
      <c r="D317">
        <v>37.354100000000003</v>
      </c>
      <c r="E317">
        <v>-121.9552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1</v>
      </c>
      <c r="R317">
        <v>2</v>
      </c>
      <c r="S317">
        <v>2</v>
      </c>
      <c r="T317">
        <v>2</v>
      </c>
      <c r="U317">
        <v>2</v>
      </c>
      <c r="V317">
        <v>2</v>
      </c>
      <c r="W317">
        <v>2</v>
      </c>
      <c r="X317">
        <v>2</v>
      </c>
      <c r="Y317">
        <v>2</v>
      </c>
      <c r="Z317">
        <v>2</v>
      </c>
      <c r="AA317">
        <v>2</v>
      </c>
      <c r="AB317">
        <v>2</v>
      </c>
      <c r="AC317">
        <v>2</v>
      </c>
      <c r="AD317">
        <v>2</v>
      </c>
      <c r="AE317">
        <v>2</v>
      </c>
      <c r="AF317">
        <v>2</v>
      </c>
      <c r="AG317">
        <v>2</v>
      </c>
      <c r="AH317">
        <v>2</v>
      </c>
      <c r="AI317">
        <v>2</v>
      </c>
      <c r="AJ317">
        <v>2</v>
      </c>
      <c r="AK317">
        <v>2</v>
      </c>
      <c r="AL317">
        <v>2</v>
      </c>
      <c r="AM317">
        <v>2</v>
      </c>
      <c r="AN317">
        <v>2</v>
      </c>
      <c r="AO317">
        <v>2</v>
      </c>
      <c r="AP317">
        <v>2</v>
      </c>
      <c r="AQ317">
        <v>2</v>
      </c>
      <c r="AR317">
        <v>3</v>
      </c>
      <c r="AS317">
        <v>3</v>
      </c>
      <c r="AT317">
        <v>9</v>
      </c>
      <c r="AU317">
        <v>11</v>
      </c>
      <c r="AV317">
        <v>11</v>
      </c>
      <c r="AW317">
        <v>20</v>
      </c>
      <c r="AX317">
        <v>20</v>
      </c>
      <c r="AY317">
        <v>32</v>
      </c>
      <c r="AZ317">
        <v>38</v>
      </c>
      <c r="BA317">
        <v>38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</row>
    <row r="318" spans="1:59" x14ac:dyDescent="0.3">
      <c r="A318" s="2"/>
      <c r="B318" t="s">
        <v>173</v>
      </c>
      <c r="C318" t="s">
        <v>65</v>
      </c>
      <c r="D318">
        <v>36.079599999999999</v>
      </c>
      <c r="E318">
        <v>-115.09399999999999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1</v>
      </c>
      <c r="AX318">
        <v>1</v>
      </c>
      <c r="AY318">
        <v>1</v>
      </c>
      <c r="AZ318">
        <v>2</v>
      </c>
      <c r="BA318">
        <v>2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</row>
    <row r="319" spans="1:59" x14ac:dyDescent="0.3">
      <c r="A319" s="2"/>
      <c r="B319" t="s">
        <v>174</v>
      </c>
      <c r="C319" t="s">
        <v>65</v>
      </c>
      <c r="D319">
        <v>29.569299999999998</v>
      </c>
      <c r="E319">
        <v>-95.814300000000003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1</v>
      </c>
      <c r="AX319">
        <v>1</v>
      </c>
      <c r="AY319">
        <v>3</v>
      </c>
      <c r="AZ319">
        <v>6</v>
      </c>
      <c r="BA319">
        <v>6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</row>
    <row r="320" spans="1:59" x14ac:dyDescent="0.3">
      <c r="A320" s="2"/>
      <c r="B320" t="s">
        <v>175</v>
      </c>
      <c r="C320" t="s">
        <v>65</v>
      </c>
      <c r="D320">
        <v>47.198099999999997</v>
      </c>
      <c r="E320">
        <v>-119.3732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1</v>
      </c>
      <c r="AX320">
        <v>1</v>
      </c>
      <c r="AY320">
        <v>1</v>
      </c>
      <c r="AZ320">
        <v>1</v>
      </c>
      <c r="BA320">
        <v>1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</row>
    <row r="321" spans="1:59" x14ac:dyDescent="0.3">
      <c r="A321" s="2"/>
      <c r="B321" t="s">
        <v>176</v>
      </c>
      <c r="C321" t="s">
        <v>65</v>
      </c>
      <c r="D321">
        <v>30.768999999999998</v>
      </c>
      <c r="E321">
        <v>-86.982399999999998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1</v>
      </c>
      <c r="AX321">
        <v>1</v>
      </c>
      <c r="AY321">
        <v>1</v>
      </c>
      <c r="AZ321">
        <v>1</v>
      </c>
      <c r="BA321">
        <v>1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</row>
    <row r="322" spans="1:59" x14ac:dyDescent="0.3">
      <c r="A322" s="2"/>
      <c r="B322" t="s">
        <v>177</v>
      </c>
      <c r="C322" t="s">
        <v>65</v>
      </c>
      <c r="D322">
        <v>35.917900000000003</v>
      </c>
      <c r="E322">
        <v>-86.862200000000001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1</v>
      </c>
      <c r="AX322">
        <v>1</v>
      </c>
      <c r="AY322">
        <v>1</v>
      </c>
      <c r="AZ322">
        <v>1</v>
      </c>
      <c r="BA322">
        <v>1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</row>
    <row r="323" spans="1:59" x14ac:dyDescent="0.3">
      <c r="A323" s="2"/>
      <c r="B323" t="s">
        <v>178</v>
      </c>
      <c r="C323" t="s">
        <v>65</v>
      </c>
      <c r="D323">
        <v>40.712800000000001</v>
      </c>
      <c r="E323">
        <v>-74.006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1</v>
      </c>
      <c r="AU323">
        <v>1</v>
      </c>
      <c r="AV323">
        <v>1</v>
      </c>
      <c r="AW323">
        <v>4</v>
      </c>
      <c r="AX323">
        <v>11</v>
      </c>
      <c r="AY323">
        <v>11</v>
      </c>
      <c r="AZ323">
        <v>12</v>
      </c>
      <c r="BA323">
        <v>19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</row>
    <row r="324" spans="1:59" x14ac:dyDescent="0.3">
      <c r="A324" s="2"/>
      <c r="B324" t="s">
        <v>179</v>
      </c>
      <c r="C324" t="s">
        <v>65</v>
      </c>
      <c r="D324">
        <v>39.154699999999998</v>
      </c>
      <c r="E324">
        <v>-77.240499999999997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3</v>
      </c>
      <c r="AY324">
        <v>3</v>
      </c>
      <c r="AZ324">
        <v>4</v>
      </c>
      <c r="BA324">
        <v>4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</row>
    <row r="325" spans="1:59" x14ac:dyDescent="0.3">
      <c r="A325" s="2"/>
      <c r="B325" t="s">
        <v>180</v>
      </c>
      <c r="C325" t="s">
        <v>65</v>
      </c>
      <c r="D325">
        <v>42.360100000000003</v>
      </c>
      <c r="E325">
        <v>-71.058899999999994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</v>
      </c>
      <c r="R325">
        <v>1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1</v>
      </c>
      <c r="AO325">
        <v>1</v>
      </c>
      <c r="AP325">
        <v>1</v>
      </c>
      <c r="AQ325">
        <v>1</v>
      </c>
      <c r="AR325">
        <v>1</v>
      </c>
      <c r="AS325">
        <v>1</v>
      </c>
      <c r="AT325">
        <v>1</v>
      </c>
      <c r="AU325">
        <v>1</v>
      </c>
      <c r="AV325">
        <v>1</v>
      </c>
      <c r="AW325">
        <v>1</v>
      </c>
      <c r="AX325">
        <v>3</v>
      </c>
      <c r="AY325">
        <v>3</v>
      </c>
      <c r="AZ325">
        <v>8</v>
      </c>
      <c r="BA325">
        <v>8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</row>
    <row r="326" spans="1:59" x14ac:dyDescent="0.3">
      <c r="A326" s="2"/>
      <c r="B326" t="s">
        <v>181</v>
      </c>
      <c r="C326" t="s">
        <v>65</v>
      </c>
      <c r="D326">
        <v>39.739199999999997</v>
      </c>
      <c r="E326">
        <v>-104.9903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2</v>
      </c>
      <c r="AY326">
        <v>2</v>
      </c>
      <c r="AZ326">
        <v>2</v>
      </c>
      <c r="BA326">
        <v>2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</row>
    <row r="327" spans="1:59" x14ac:dyDescent="0.3">
      <c r="A327" s="2"/>
      <c r="B327" t="s">
        <v>182</v>
      </c>
      <c r="C327" t="s">
        <v>65</v>
      </c>
      <c r="D327">
        <v>39.591200000000001</v>
      </c>
      <c r="E327">
        <v>-106.06399999999999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1</v>
      </c>
      <c r="AY327">
        <v>1</v>
      </c>
      <c r="AZ327">
        <v>1</v>
      </c>
      <c r="BA327">
        <v>1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</row>
    <row r="328" spans="1:59" x14ac:dyDescent="0.3">
      <c r="A328" s="2"/>
      <c r="B328" t="s">
        <v>169</v>
      </c>
      <c r="C328" t="s">
        <v>65</v>
      </c>
      <c r="D328">
        <v>40.926299999999998</v>
      </c>
      <c r="E328">
        <v>-74.076999999999998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2</v>
      </c>
      <c r="AX328">
        <v>2</v>
      </c>
      <c r="AY328">
        <v>4</v>
      </c>
      <c r="AZ328">
        <v>4</v>
      </c>
      <c r="BA328">
        <v>4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</row>
    <row r="329" spans="1:59" x14ac:dyDescent="0.3">
      <c r="A329" s="2"/>
      <c r="B329" t="s">
        <v>170</v>
      </c>
      <c r="C329" t="s">
        <v>65</v>
      </c>
      <c r="D329">
        <v>29.775200000000002</v>
      </c>
      <c r="E329">
        <v>-95.310299999999998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2</v>
      </c>
      <c r="AX329">
        <v>3</v>
      </c>
      <c r="AY329">
        <v>5</v>
      </c>
      <c r="AZ329">
        <v>5</v>
      </c>
      <c r="BA329">
        <v>6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</row>
    <row r="330" spans="1:59" x14ac:dyDescent="0.3">
      <c r="A330" s="2"/>
      <c r="B330" t="s">
        <v>171</v>
      </c>
      <c r="C330" t="s">
        <v>65</v>
      </c>
      <c r="D330">
        <v>37.774900000000002</v>
      </c>
      <c r="E330">
        <v>-122.4194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2</v>
      </c>
      <c r="AX330">
        <v>2</v>
      </c>
      <c r="AY330">
        <v>9</v>
      </c>
      <c r="AZ330">
        <v>9</v>
      </c>
      <c r="BA330">
        <v>9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</row>
    <row r="331" spans="1:59" x14ac:dyDescent="0.3">
      <c r="A331" s="2"/>
      <c r="B331" t="s">
        <v>166</v>
      </c>
      <c r="C331" t="s">
        <v>65</v>
      </c>
      <c r="D331">
        <v>37.853400000000001</v>
      </c>
      <c r="E331">
        <v>-121.90179999999999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1</v>
      </c>
      <c r="AW331">
        <v>1</v>
      </c>
      <c r="AX331">
        <v>3</v>
      </c>
      <c r="AY331">
        <v>3</v>
      </c>
      <c r="AZ331">
        <v>9</v>
      </c>
      <c r="BA331">
        <v>9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</row>
    <row r="332" spans="1:59" x14ac:dyDescent="0.3">
      <c r="A332" s="2"/>
      <c r="B332" t="s">
        <v>158</v>
      </c>
      <c r="C332" t="s">
        <v>65</v>
      </c>
      <c r="D332">
        <v>33.7879</v>
      </c>
      <c r="E332">
        <v>-117.8531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3</v>
      </c>
      <c r="AW332">
        <v>3</v>
      </c>
      <c r="AX332">
        <v>3</v>
      </c>
      <c r="AY332">
        <v>3</v>
      </c>
      <c r="AZ332">
        <v>3</v>
      </c>
      <c r="BA332">
        <v>4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</row>
    <row r="333" spans="1:59" x14ac:dyDescent="0.3">
      <c r="A333" s="2"/>
      <c r="B333" t="s">
        <v>153</v>
      </c>
      <c r="C333" t="s">
        <v>65</v>
      </c>
      <c r="D333">
        <v>42.176699999999997</v>
      </c>
      <c r="E333">
        <v>-71.144900000000007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1</v>
      </c>
      <c r="AV333">
        <v>1</v>
      </c>
      <c r="AW333">
        <v>1</v>
      </c>
      <c r="AX333">
        <v>2</v>
      </c>
      <c r="AY333">
        <v>2</v>
      </c>
      <c r="AZ333">
        <v>6</v>
      </c>
      <c r="BA333">
        <v>6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</row>
    <row r="334" spans="1:59" x14ac:dyDescent="0.3">
      <c r="A334" s="2"/>
      <c r="B334" t="s">
        <v>154</v>
      </c>
      <c r="C334" t="s">
        <v>65</v>
      </c>
      <c r="D334">
        <v>33.291800000000002</v>
      </c>
      <c r="E334">
        <v>-112.42910000000001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>
        <v>1</v>
      </c>
      <c r="AH334">
        <v>1</v>
      </c>
      <c r="AI334">
        <v>1</v>
      </c>
      <c r="AJ334">
        <v>1</v>
      </c>
      <c r="AK334">
        <v>1</v>
      </c>
      <c r="AL334">
        <v>1</v>
      </c>
      <c r="AM334">
        <v>1</v>
      </c>
      <c r="AN334">
        <v>1</v>
      </c>
      <c r="AO334">
        <v>1</v>
      </c>
      <c r="AP334">
        <v>1</v>
      </c>
      <c r="AQ334">
        <v>1</v>
      </c>
      <c r="AR334">
        <v>1</v>
      </c>
      <c r="AS334">
        <v>1</v>
      </c>
      <c r="AT334">
        <v>1</v>
      </c>
      <c r="AU334">
        <v>1</v>
      </c>
      <c r="AV334">
        <v>1</v>
      </c>
      <c r="AW334">
        <v>1</v>
      </c>
      <c r="AX334">
        <v>2</v>
      </c>
      <c r="AY334">
        <v>2</v>
      </c>
      <c r="AZ334">
        <v>2</v>
      </c>
      <c r="BA334">
        <v>2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</row>
    <row r="335" spans="1:59" x14ac:dyDescent="0.3">
      <c r="A335" s="2"/>
      <c r="B335" t="s">
        <v>155</v>
      </c>
      <c r="C335" t="s">
        <v>65</v>
      </c>
      <c r="D335">
        <v>35.803199999999997</v>
      </c>
      <c r="E335">
        <v>-78.566100000000006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1</v>
      </c>
      <c r="AV335">
        <v>1</v>
      </c>
      <c r="AW335">
        <v>1</v>
      </c>
      <c r="AX335">
        <v>1</v>
      </c>
      <c r="AY335">
        <v>1</v>
      </c>
      <c r="AZ335">
        <v>1</v>
      </c>
      <c r="BA335">
        <v>1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</row>
    <row r="336" spans="1:59" x14ac:dyDescent="0.3">
      <c r="A336" s="2"/>
      <c r="B336" t="s">
        <v>386</v>
      </c>
      <c r="C336" t="s">
        <v>65</v>
      </c>
      <c r="D336">
        <v>41.122</v>
      </c>
      <c r="E336">
        <v>-73.794899999999998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1</v>
      </c>
      <c r="AV336">
        <v>10</v>
      </c>
      <c r="AW336">
        <v>18</v>
      </c>
      <c r="AX336">
        <v>19</v>
      </c>
      <c r="AY336">
        <v>57</v>
      </c>
      <c r="AZ336">
        <v>83</v>
      </c>
      <c r="BA336">
        <v>98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</row>
    <row r="337" spans="1:59" x14ac:dyDescent="0.3">
      <c r="A337" s="2"/>
      <c r="B337" t="s">
        <v>142</v>
      </c>
      <c r="C337" t="s">
        <v>65</v>
      </c>
      <c r="D337">
        <v>43.908799999999999</v>
      </c>
      <c r="E337">
        <v>-71.825999999999993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2</v>
      </c>
      <c r="AV337">
        <v>2</v>
      </c>
      <c r="AW337">
        <v>2</v>
      </c>
      <c r="AX337">
        <v>2</v>
      </c>
      <c r="AY337">
        <v>2</v>
      </c>
      <c r="AZ337">
        <v>3</v>
      </c>
      <c r="BA337">
        <v>3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</row>
    <row r="338" spans="1:59" x14ac:dyDescent="0.3">
      <c r="A338" s="2"/>
      <c r="B338" t="s">
        <v>143</v>
      </c>
      <c r="C338" t="s">
        <v>65</v>
      </c>
      <c r="D338">
        <v>27.990400000000001</v>
      </c>
      <c r="E338">
        <v>-82.3018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2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</row>
    <row r="339" spans="1:59" x14ac:dyDescent="0.3">
      <c r="A339" s="2"/>
      <c r="B339" t="s">
        <v>144</v>
      </c>
      <c r="C339" t="s">
        <v>65</v>
      </c>
      <c r="D339">
        <v>39.0916</v>
      </c>
      <c r="E339">
        <v>-120.8039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1</v>
      </c>
      <c r="AV339">
        <v>2</v>
      </c>
      <c r="AW339">
        <v>2</v>
      </c>
      <c r="AX339">
        <v>5</v>
      </c>
      <c r="AY339">
        <v>5</v>
      </c>
      <c r="AZ339">
        <v>5</v>
      </c>
      <c r="BA339">
        <v>7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</row>
    <row r="340" spans="1:59" x14ac:dyDescent="0.3">
      <c r="A340" s="2"/>
      <c r="B340" t="s">
        <v>145</v>
      </c>
      <c r="C340" t="s">
        <v>65</v>
      </c>
      <c r="D340">
        <v>37.563000000000002</v>
      </c>
      <c r="E340">
        <v>-122.32550000000001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2</v>
      </c>
      <c r="AV340">
        <v>2</v>
      </c>
      <c r="AW340">
        <v>2</v>
      </c>
      <c r="AX340">
        <v>2</v>
      </c>
      <c r="AY340">
        <v>2</v>
      </c>
      <c r="AZ340">
        <v>2</v>
      </c>
      <c r="BA340">
        <v>2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</row>
    <row r="341" spans="1:59" x14ac:dyDescent="0.3">
      <c r="A341" s="2"/>
      <c r="B341" t="s">
        <v>146</v>
      </c>
      <c r="C341" t="s">
        <v>65</v>
      </c>
      <c r="D341">
        <v>38.578000000000003</v>
      </c>
      <c r="E341">
        <v>-122.9888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1</v>
      </c>
      <c r="AX341">
        <v>1</v>
      </c>
      <c r="AY341">
        <v>1</v>
      </c>
      <c r="AZ341">
        <v>1</v>
      </c>
      <c r="BA341">
        <v>3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</row>
    <row r="342" spans="1:59" x14ac:dyDescent="0.3">
      <c r="A342" s="2"/>
      <c r="B342" t="s">
        <v>147</v>
      </c>
      <c r="C342" t="s">
        <v>65</v>
      </c>
      <c r="D342">
        <v>45.774999999999999</v>
      </c>
      <c r="E342">
        <v>-118.7606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1</v>
      </c>
      <c r="AU342">
        <v>1</v>
      </c>
      <c r="AV342">
        <v>1</v>
      </c>
      <c r="AW342">
        <v>1</v>
      </c>
      <c r="AX342">
        <v>1</v>
      </c>
      <c r="AY342">
        <v>1</v>
      </c>
      <c r="AZ342">
        <v>1</v>
      </c>
      <c r="BA342">
        <v>1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</row>
    <row r="343" spans="1:59" x14ac:dyDescent="0.3">
      <c r="A343" s="2"/>
      <c r="B343" t="s">
        <v>148</v>
      </c>
      <c r="C343" t="s">
        <v>65</v>
      </c>
      <c r="D343">
        <v>33.803400000000003</v>
      </c>
      <c r="E343">
        <v>-84.396299999999997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2</v>
      </c>
      <c r="AV343">
        <v>2</v>
      </c>
      <c r="AW343">
        <v>2</v>
      </c>
      <c r="AX343">
        <v>2</v>
      </c>
      <c r="AY343">
        <v>3</v>
      </c>
      <c r="AZ343">
        <v>3</v>
      </c>
      <c r="BA343">
        <v>5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</row>
    <row r="344" spans="1:59" x14ac:dyDescent="0.3">
      <c r="A344" s="2"/>
      <c r="B344" t="s">
        <v>149</v>
      </c>
      <c r="C344" t="s">
        <v>65</v>
      </c>
      <c r="D344">
        <v>45.546999999999997</v>
      </c>
      <c r="E344">
        <v>-123.1386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1</v>
      </c>
      <c r="AS344">
        <v>1</v>
      </c>
      <c r="AT344">
        <v>2</v>
      </c>
      <c r="AU344">
        <v>2</v>
      </c>
      <c r="AV344">
        <v>2</v>
      </c>
      <c r="AW344">
        <v>2</v>
      </c>
      <c r="AX344">
        <v>2</v>
      </c>
      <c r="AY344">
        <v>3</v>
      </c>
      <c r="AZ344">
        <v>8</v>
      </c>
      <c r="BA344">
        <v>8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</row>
    <row r="345" spans="1:59" x14ac:dyDescent="0.3">
      <c r="A345" s="2"/>
      <c r="B345" t="s">
        <v>129</v>
      </c>
      <c r="C345" t="s">
        <v>65</v>
      </c>
      <c r="D345">
        <v>48.033000000000001</v>
      </c>
      <c r="E345">
        <v>-121.8339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1</v>
      </c>
      <c r="AS345">
        <v>2</v>
      </c>
      <c r="AT345">
        <v>4</v>
      </c>
      <c r="AU345">
        <v>6</v>
      </c>
      <c r="AV345">
        <v>8</v>
      </c>
      <c r="AW345">
        <v>18</v>
      </c>
      <c r="AX345">
        <v>19</v>
      </c>
      <c r="AY345">
        <v>27</v>
      </c>
      <c r="AZ345">
        <v>31</v>
      </c>
      <c r="BA345">
        <v>31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</row>
    <row r="346" spans="1:59" x14ac:dyDescent="0.3">
      <c r="A346" s="2"/>
      <c r="B346" t="s">
        <v>95</v>
      </c>
      <c r="C346" t="s">
        <v>65</v>
      </c>
      <c r="D346">
        <v>40.744999999999997</v>
      </c>
      <c r="E346">
        <v>-123.8695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1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</row>
    <row r="347" spans="1:59" x14ac:dyDescent="0.3">
      <c r="A347" s="2"/>
      <c r="B347" t="s">
        <v>96</v>
      </c>
      <c r="C347" t="s">
        <v>65</v>
      </c>
      <c r="D347">
        <v>38.474699999999999</v>
      </c>
      <c r="E347">
        <v>-121.35420000000001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1</v>
      </c>
      <c r="AK347">
        <v>1</v>
      </c>
      <c r="AL347">
        <v>1</v>
      </c>
      <c r="AM347">
        <v>1</v>
      </c>
      <c r="AN347">
        <v>1</v>
      </c>
      <c r="AO347">
        <v>1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2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</row>
    <row r="348" spans="1:59" x14ac:dyDescent="0.3">
      <c r="A348" s="2"/>
      <c r="B348" t="s">
        <v>91</v>
      </c>
      <c r="C348" t="s">
        <v>65</v>
      </c>
      <c r="D348">
        <v>32.715699999999998</v>
      </c>
      <c r="E348">
        <v>-117.1611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1</v>
      </c>
      <c r="AA348">
        <v>1</v>
      </c>
      <c r="AB348">
        <v>2</v>
      </c>
      <c r="AC348">
        <v>2</v>
      </c>
      <c r="AD348">
        <v>2</v>
      </c>
      <c r="AE348">
        <v>2</v>
      </c>
      <c r="AF348">
        <v>2</v>
      </c>
      <c r="AG348">
        <v>2</v>
      </c>
      <c r="AH348">
        <v>2</v>
      </c>
      <c r="AI348">
        <v>2</v>
      </c>
      <c r="AJ348">
        <v>2</v>
      </c>
      <c r="AK348">
        <v>2</v>
      </c>
      <c r="AL348">
        <v>2</v>
      </c>
      <c r="AM348">
        <v>2</v>
      </c>
      <c r="AN348">
        <v>2</v>
      </c>
      <c r="AO348">
        <v>2</v>
      </c>
      <c r="AP348">
        <v>2</v>
      </c>
      <c r="AQ348">
        <v>2</v>
      </c>
      <c r="AR348">
        <v>2</v>
      </c>
      <c r="AS348">
        <v>2</v>
      </c>
      <c r="AT348">
        <v>2</v>
      </c>
      <c r="AU348">
        <v>2</v>
      </c>
      <c r="AV348">
        <v>2</v>
      </c>
      <c r="AW348">
        <v>3</v>
      </c>
      <c r="AX348">
        <v>3</v>
      </c>
      <c r="AY348">
        <v>3</v>
      </c>
      <c r="AZ348">
        <v>3</v>
      </c>
      <c r="BA348">
        <v>3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</row>
    <row r="349" spans="1:59" x14ac:dyDescent="0.3">
      <c r="A349" s="2"/>
      <c r="B349" t="s">
        <v>89</v>
      </c>
      <c r="C349" t="s">
        <v>65</v>
      </c>
      <c r="D349">
        <v>36.576099999999997</v>
      </c>
      <c r="E349">
        <v>-120.9876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2</v>
      </c>
      <c r="S349">
        <v>2</v>
      </c>
      <c r="T349">
        <v>2</v>
      </c>
      <c r="U349">
        <v>2</v>
      </c>
      <c r="V349">
        <v>2</v>
      </c>
      <c r="W349">
        <v>2</v>
      </c>
      <c r="X349">
        <v>2</v>
      </c>
      <c r="Y349">
        <v>2</v>
      </c>
      <c r="Z349">
        <v>2</v>
      </c>
      <c r="AA349">
        <v>2</v>
      </c>
      <c r="AB349">
        <v>2</v>
      </c>
      <c r="AC349">
        <v>2</v>
      </c>
      <c r="AD349">
        <v>2</v>
      </c>
      <c r="AE349">
        <v>2</v>
      </c>
      <c r="AF349">
        <v>2</v>
      </c>
      <c r="AG349">
        <v>2</v>
      </c>
      <c r="AH349">
        <v>2</v>
      </c>
      <c r="AI349">
        <v>2</v>
      </c>
      <c r="AJ349">
        <v>2</v>
      </c>
      <c r="AK349">
        <v>2</v>
      </c>
      <c r="AL349">
        <v>2</v>
      </c>
      <c r="AM349">
        <v>2</v>
      </c>
      <c r="AN349">
        <v>2</v>
      </c>
      <c r="AO349">
        <v>2</v>
      </c>
      <c r="AP349">
        <v>2</v>
      </c>
      <c r="AQ349">
        <v>2</v>
      </c>
      <c r="AR349">
        <v>2</v>
      </c>
      <c r="AS349">
        <v>2</v>
      </c>
      <c r="AT349">
        <v>2</v>
      </c>
      <c r="AU349">
        <v>2</v>
      </c>
      <c r="AV349">
        <v>2</v>
      </c>
      <c r="AW349">
        <v>2</v>
      </c>
      <c r="AX349">
        <v>2</v>
      </c>
      <c r="AY349">
        <v>2</v>
      </c>
      <c r="AZ349">
        <v>2</v>
      </c>
      <c r="BA349">
        <v>2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</row>
    <row r="350" spans="1:59" x14ac:dyDescent="0.3">
      <c r="A350" s="2"/>
      <c r="B350" t="s">
        <v>73</v>
      </c>
      <c r="C350" t="s">
        <v>65</v>
      </c>
      <c r="D350">
        <v>34.052199999999999</v>
      </c>
      <c r="E350">
        <v>-118.2437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1</v>
      </c>
      <c r="AO350">
        <v>1</v>
      </c>
      <c r="AP350">
        <v>1</v>
      </c>
      <c r="AQ350">
        <v>1</v>
      </c>
      <c r="AR350">
        <v>1</v>
      </c>
      <c r="AS350">
        <v>1</v>
      </c>
      <c r="AT350">
        <v>1</v>
      </c>
      <c r="AU350">
        <v>1</v>
      </c>
      <c r="AV350">
        <v>7</v>
      </c>
      <c r="AW350">
        <v>11</v>
      </c>
      <c r="AX350">
        <v>13</v>
      </c>
      <c r="AY350">
        <v>14</v>
      </c>
      <c r="AZ350">
        <v>14</v>
      </c>
      <c r="BA350">
        <v>14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</row>
    <row r="351" spans="1:59" x14ac:dyDescent="0.3">
      <c r="A351" s="2"/>
      <c r="B351" t="s">
        <v>64</v>
      </c>
      <c r="C351" t="s">
        <v>65</v>
      </c>
      <c r="D351">
        <v>47.606200000000001</v>
      </c>
      <c r="E351">
        <v>-122.3321</v>
      </c>
      <c r="F351">
        <v>1</v>
      </c>
      <c r="G351">
        <v>1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>
        <v>1</v>
      </c>
      <c r="AH351">
        <v>1</v>
      </c>
      <c r="AI351">
        <v>1</v>
      </c>
      <c r="AJ351">
        <v>1</v>
      </c>
      <c r="AK351">
        <v>1</v>
      </c>
      <c r="AL351">
        <v>1</v>
      </c>
      <c r="AM351">
        <v>1</v>
      </c>
      <c r="AN351">
        <v>1</v>
      </c>
      <c r="AO351">
        <v>1</v>
      </c>
      <c r="AP351">
        <v>1</v>
      </c>
      <c r="AQ351">
        <v>1</v>
      </c>
      <c r="AR351">
        <v>6</v>
      </c>
      <c r="AS351">
        <v>9</v>
      </c>
      <c r="AT351">
        <v>14</v>
      </c>
      <c r="AU351">
        <v>21</v>
      </c>
      <c r="AV351">
        <v>31</v>
      </c>
      <c r="AW351">
        <v>51</v>
      </c>
      <c r="AX351">
        <v>58</v>
      </c>
      <c r="AY351">
        <v>71</v>
      </c>
      <c r="AZ351">
        <v>83</v>
      </c>
      <c r="BA351">
        <v>83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</row>
    <row r="352" spans="1:59" x14ac:dyDescent="0.3">
      <c r="A352" s="2"/>
      <c r="B352" t="s">
        <v>66</v>
      </c>
      <c r="C352" t="s">
        <v>65</v>
      </c>
      <c r="D352">
        <v>41.737699999999997</v>
      </c>
      <c r="E352">
        <v>-87.697599999999994</v>
      </c>
      <c r="F352">
        <v>0</v>
      </c>
      <c r="G352">
        <v>0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2</v>
      </c>
      <c r="P352">
        <v>2</v>
      </c>
      <c r="Q352">
        <v>2</v>
      </c>
      <c r="R352">
        <v>2</v>
      </c>
      <c r="S352">
        <v>2</v>
      </c>
      <c r="T352">
        <v>2</v>
      </c>
      <c r="U352">
        <v>2</v>
      </c>
      <c r="V352">
        <v>2</v>
      </c>
      <c r="W352">
        <v>2</v>
      </c>
      <c r="X352">
        <v>2</v>
      </c>
      <c r="Y352">
        <v>2</v>
      </c>
      <c r="Z352">
        <v>2</v>
      </c>
      <c r="AA352">
        <v>2</v>
      </c>
      <c r="AB352">
        <v>2</v>
      </c>
      <c r="AC352">
        <v>2</v>
      </c>
      <c r="AD352">
        <v>2</v>
      </c>
      <c r="AE352">
        <v>2</v>
      </c>
      <c r="AF352">
        <v>2</v>
      </c>
      <c r="AG352">
        <v>2</v>
      </c>
      <c r="AH352">
        <v>2</v>
      </c>
      <c r="AI352">
        <v>2</v>
      </c>
      <c r="AJ352">
        <v>2</v>
      </c>
      <c r="AK352">
        <v>2</v>
      </c>
      <c r="AL352">
        <v>2</v>
      </c>
      <c r="AM352">
        <v>2</v>
      </c>
      <c r="AN352">
        <v>2</v>
      </c>
      <c r="AO352">
        <v>2</v>
      </c>
      <c r="AP352">
        <v>2</v>
      </c>
      <c r="AQ352">
        <v>2</v>
      </c>
      <c r="AR352">
        <v>2</v>
      </c>
      <c r="AS352">
        <v>3</v>
      </c>
      <c r="AT352">
        <v>4</v>
      </c>
      <c r="AU352">
        <v>4</v>
      </c>
      <c r="AV352">
        <v>4</v>
      </c>
      <c r="AW352">
        <v>5</v>
      </c>
      <c r="AX352">
        <v>5</v>
      </c>
      <c r="AY352">
        <v>6</v>
      </c>
      <c r="AZ352">
        <v>7</v>
      </c>
      <c r="BA352">
        <v>7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</row>
    <row r="353" spans="1:59" x14ac:dyDescent="0.3">
      <c r="A353" s="2"/>
      <c r="B353" t="s">
        <v>387</v>
      </c>
      <c r="C353" t="s">
        <v>65</v>
      </c>
      <c r="D353">
        <v>48.424199999999999</v>
      </c>
      <c r="E353">
        <v>-121.7114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</row>
    <row r="354" spans="1:59" x14ac:dyDescent="0.3">
      <c r="A354" s="2"/>
      <c r="B354" t="s">
        <v>388</v>
      </c>
      <c r="C354" t="s">
        <v>65</v>
      </c>
      <c r="D354">
        <v>46.864600000000003</v>
      </c>
      <c r="E354">
        <v>-122.7696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</row>
    <row r="355" spans="1:59" x14ac:dyDescent="0.3">
      <c r="A355" s="2"/>
      <c r="B355" t="s">
        <v>389</v>
      </c>
      <c r="C355" t="s">
        <v>65</v>
      </c>
      <c r="D355">
        <v>48.197600000000001</v>
      </c>
      <c r="E355">
        <v>-122.5795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</row>
    <row r="356" spans="1:59" x14ac:dyDescent="0.3">
      <c r="A356" s="2"/>
      <c r="B356" t="s">
        <v>390</v>
      </c>
      <c r="C356" t="s">
        <v>65</v>
      </c>
      <c r="D356">
        <v>48.878700000000002</v>
      </c>
      <c r="E356">
        <v>-121.97190000000001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</row>
    <row r="357" spans="1:59" x14ac:dyDescent="0.3">
      <c r="A357" s="2"/>
      <c r="B357" t="s">
        <v>391</v>
      </c>
      <c r="C357" t="s">
        <v>65</v>
      </c>
      <c r="D357">
        <v>38.083399999999997</v>
      </c>
      <c r="E357">
        <v>-122.7633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</row>
    <row r="358" spans="1:59" x14ac:dyDescent="0.3">
      <c r="A358" s="2"/>
      <c r="B358" t="s">
        <v>392</v>
      </c>
      <c r="C358" t="s">
        <v>65</v>
      </c>
      <c r="D358">
        <v>38.195999999999998</v>
      </c>
      <c r="E358">
        <v>-120.68049999999999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</row>
    <row r="359" spans="1:59" x14ac:dyDescent="0.3">
      <c r="A359" s="2"/>
      <c r="B359" t="s">
        <v>393</v>
      </c>
      <c r="C359" t="s">
        <v>65</v>
      </c>
      <c r="D359">
        <v>37.509099999999997</v>
      </c>
      <c r="E359">
        <v>-120.9876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</row>
    <row r="360" spans="1:59" x14ac:dyDescent="0.3">
      <c r="A360" s="2"/>
      <c r="B360" t="s">
        <v>394</v>
      </c>
      <c r="C360" t="s">
        <v>65</v>
      </c>
      <c r="D360">
        <v>36.6066</v>
      </c>
      <c r="E360">
        <v>-120.18899999999999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</row>
    <row r="361" spans="1:59" x14ac:dyDescent="0.3">
      <c r="A361" s="2"/>
      <c r="B361" t="s">
        <v>395</v>
      </c>
      <c r="C361" t="s">
        <v>65</v>
      </c>
      <c r="D361">
        <v>42.631999999999998</v>
      </c>
      <c r="E361">
        <v>-70.782899999999998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</row>
    <row r="362" spans="1:59" x14ac:dyDescent="0.3">
      <c r="A362" s="2"/>
      <c r="B362" t="s">
        <v>396</v>
      </c>
      <c r="C362" t="s">
        <v>65</v>
      </c>
      <c r="D362">
        <v>30.791699999999999</v>
      </c>
      <c r="E362">
        <v>-82.084299999999999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</row>
    <row r="363" spans="1:59" x14ac:dyDescent="0.3">
      <c r="A363" s="2"/>
      <c r="B363" t="s">
        <v>397</v>
      </c>
      <c r="C363" t="s">
        <v>65</v>
      </c>
      <c r="D363">
        <v>26.07</v>
      </c>
      <c r="E363">
        <v>-81.427899999999994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</row>
    <row r="364" spans="1:59" x14ac:dyDescent="0.3">
      <c r="A364" s="2"/>
      <c r="B364" t="s">
        <v>398</v>
      </c>
      <c r="C364" t="s">
        <v>65</v>
      </c>
      <c r="D364">
        <v>27.8764</v>
      </c>
      <c r="E364">
        <v>-82.777900000000002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</row>
    <row r="365" spans="1:59" x14ac:dyDescent="0.3">
      <c r="A365" s="2"/>
      <c r="B365" t="s">
        <v>399</v>
      </c>
      <c r="C365" t="s">
        <v>65</v>
      </c>
      <c r="D365">
        <v>29.793800000000001</v>
      </c>
      <c r="E365">
        <v>-82.494399999999999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</row>
    <row r="366" spans="1:59" x14ac:dyDescent="0.3">
      <c r="A366" s="2"/>
      <c r="B366" t="s">
        <v>400</v>
      </c>
      <c r="C366" t="s">
        <v>65</v>
      </c>
      <c r="D366">
        <v>30.592700000000001</v>
      </c>
      <c r="E366">
        <v>-81.822400000000002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</row>
    <row r="367" spans="1:59" x14ac:dyDescent="0.3">
      <c r="A367" s="2"/>
      <c r="B367" t="s">
        <v>401</v>
      </c>
      <c r="C367" t="s">
        <v>65</v>
      </c>
      <c r="D367">
        <v>28.3232</v>
      </c>
      <c r="E367">
        <v>-82.431899999999999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</row>
    <row r="368" spans="1:59" x14ac:dyDescent="0.3">
      <c r="A368" s="2"/>
      <c r="B368" t="s">
        <v>402</v>
      </c>
      <c r="C368" t="s">
        <v>65</v>
      </c>
      <c r="D368">
        <v>32.776699999999998</v>
      </c>
      <c r="E368">
        <v>-96.796999999999997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</row>
    <row r="369" spans="1:59" x14ac:dyDescent="0.3">
      <c r="A369" s="2"/>
      <c r="B369" t="s">
        <v>403</v>
      </c>
      <c r="C369" t="s">
        <v>65</v>
      </c>
      <c r="D369">
        <v>32.773200000000003</v>
      </c>
      <c r="E369">
        <v>-97.351699999999994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</row>
    <row r="370" spans="1:59" x14ac:dyDescent="0.3">
      <c r="A370" s="2"/>
      <c r="B370" t="s">
        <v>404</v>
      </c>
      <c r="C370" t="s">
        <v>65</v>
      </c>
      <c r="D370">
        <v>30.388300000000001</v>
      </c>
      <c r="E370">
        <v>-95.696299999999994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</row>
    <row r="371" spans="1:59" x14ac:dyDescent="0.3">
      <c r="A371" s="2"/>
      <c r="B371" t="s">
        <v>405</v>
      </c>
      <c r="C371" t="s">
        <v>65</v>
      </c>
      <c r="D371">
        <v>40.572600000000001</v>
      </c>
      <c r="E371">
        <v>-74.492699999999999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</row>
    <row r="372" spans="1:59" x14ac:dyDescent="0.3">
      <c r="A372" s="2"/>
      <c r="B372" t="s">
        <v>406</v>
      </c>
      <c r="C372" t="s">
        <v>65</v>
      </c>
      <c r="D372">
        <v>39.58</v>
      </c>
      <c r="E372">
        <v>-105.2663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</row>
    <row r="373" spans="1:59" x14ac:dyDescent="0.3">
      <c r="A373" s="2"/>
      <c r="B373" t="s">
        <v>407</v>
      </c>
      <c r="C373" t="s">
        <v>65</v>
      </c>
      <c r="D373">
        <v>45.514600000000002</v>
      </c>
      <c r="E373">
        <v>-122.58629999999999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</row>
    <row r="374" spans="1:59" x14ac:dyDescent="0.3">
      <c r="A374" s="2"/>
      <c r="B374" t="s">
        <v>408</v>
      </c>
      <c r="C374" t="s">
        <v>65</v>
      </c>
      <c r="D374">
        <v>44.926699999999997</v>
      </c>
      <c r="E374">
        <v>-123.4919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</row>
    <row r="375" spans="1:59" x14ac:dyDescent="0.3">
      <c r="A375" s="2"/>
      <c r="B375" t="s">
        <v>409</v>
      </c>
      <c r="C375" t="s">
        <v>65</v>
      </c>
      <c r="D375">
        <v>43.832500000000003</v>
      </c>
      <c r="E375">
        <v>-121.2617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</row>
    <row r="376" spans="1:59" x14ac:dyDescent="0.3">
      <c r="A376" s="2"/>
      <c r="B376" t="s">
        <v>410</v>
      </c>
      <c r="C376" t="s">
        <v>65</v>
      </c>
      <c r="D376">
        <v>42.333399999999997</v>
      </c>
      <c r="E376">
        <v>-88.266800000000003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</row>
    <row r="377" spans="1:59" x14ac:dyDescent="0.3">
      <c r="A377" s="2"/>
      <c r="B377" t="s">
        <v>411</v>
      </c>
      <c r="C377" t="s">
        <v>65</v>
      </c>
      <c r="D377">
        <v>42.368899999999996</v>
      </c>
      <c r="E377">
        <v>-87.827200000000005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</row>
    <row r="378" spans="1:59" x14ac:dyDescent="0.3">
      <c r="A378" s="2"/>
      <c r="B378" t="s">
        <v>412</v>
      </c>
      <c r="C378" t="s">
        <v>65</v>
      </c>
      <c r="D378">
        <v>40.410800000000002</v>
      </c>
      <c r="E378">
        <v>-75.247900000000001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</row>
    <row r="379" spans="1:59" x14ac:dyDescent="0.3">
      <c r="A379" s="2"/>
      <c r="B379" t="s">
        <v>413</v>
      </c>
      <c r="C379" t="s">
        <v>65</v>
      </c>
      <c r="D379">
        <v>37.777200000000001</v>
      </c>
      <c r="E379">
        <v>-77.516099999999994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</row>
    <row r="380" spans="1:59" x14ac:dyDescent="0.3">
      <c r="A380" s="2"/>
      <c r="B380" t="s">
        <v>414</v>
      </c>
      <c r="C380" t="s">
        <v>65</v>
      </c>
      <c r="D380">
        <v>34.725299999999997</v>
      </c>
      <c r="E380">
        <v>-80.677099999999996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</row>
    <row r="381" spans="1:59" x14ac:dyDescent="0.3">
      <c r="A381" s="2"/>
      <c r="B381" t="s">
        <v>415</v>
      </c>
      <c r="C381" t="s">
        <v>65</v>
      </c>
      <c r="D381">
        <v>36.493299999999998</v>
      </c>
      <c r="E381">
        <v>-82.345200000000006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</row>
    <row r="382" spans="1:59" x14ac:dyDescent="0.3">
      <c r="A382" s="2"/>
      <c r="B382" t="s">
        <v>416</v>
      </c>
      <c r="C382" t="s">
        <v>65</v>
      </c>
      <c r="D382">
        <v>39.463799999999999</v>
      </c>
      <c r="E382">
        <v>-86.134500000000003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</row>
    <row r="383" spans="1:59" x14ac:dyDescent="0.3">
      <c r="A383" s="2"/>
      <c r="B383" t="s">
        <v>417</v>
      </c>
      <c r="C383" t="s">
        <v>65</v>
      </c>
      <c r="D383">
        <v>40.448300000000003</v>
      </c>
      <c r="E383">
        <v>-86.134500000000003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</row>
    <row r="384" spans="1:59" x14ac:dyDescent="0.3">
      <c r="A384" s="2"/>
      <c r="B384" t="s">
        <v>418</v>
      </c>
      <c r="C384" t="s">
        <v>65</v>
      </c>
      <c r="D384">
        <v>41.622799999999998</v>
      </c>
      <c r="E384">
        <v>-86.337699999999998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</row>
    <row r="385" spans="1:59" x14ac:dyDescent="0.3">
      <c r="A385" s="2"/>
      <c r="B385" t="s">
        <v>419</v>
      </c>
      <c r="C385" t="s">
        <v>65</v>
      </c>
      <c r="D385">
        <v>42.671199999999999</v>
      </c>
      <c r="E385">
        <v>-97.872200000000007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</row>
    <row r="386" spans="1:59" x14ac:dyDescent="0.3">
      <c r="A386" s="2"/>
      <c r="B386" t="s">
        <v>420</v>
      </c>
      <c r="C386" t="s">
        <v>65</v>
      </c>
      <c r="D386">
        <v>40.868499999999997</v>
      </c>
      <c r="E386">
        <v>-81.251900000000006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</row>
    <row r="387" spans="1:59" x14ac:dyDescent="0.3">
      <c r="A387" s="2"/>
      <c r="B387" t="s">
        <v>421</v>
      </c>
      <c r="C387" t="s">
        <v>65</v>
      </c>
      <c r="D387">
        <v>45.329300000000003</v>
      </c>
      <c r="E387">
        <v>-93.219700000000003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</row>
    <row r="388" spans="1:59" x14ac:dyDescent="0.3">
      <c r="A388" s="2"/>
      <c r="B388" t="s">
        <v>422</v>
      </c>
      <c r="C388" t="s">
        <v>65</v>
      </c>
      <c r="D388">
        <v>43.995199999999997</v>
      </c>
      <c r="E388">
        <v>-92.381399999999999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</row>
    <row r="389" spans="1:59" x14ac:dyDescent="0.3">
      <c r="A389" s="2"/>
      <c r="B389" t="s">
        <v>423</v>
      </c>
      <c r="C389" t="s">
        <v>65</v>
      </c>
      <c r="D389">
        <v>40.829799999999999</v>
      </c>
      <c r="E389">
        <v>-110.9984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</row>
    <row r="390" spans="1:59" x14ac:dyDescent="0.3">
      <c r="A390" s="2"/>
      <c r="B390" t="s">
        <v>424</v>
      </c>
      <c r="C390" t="s">
        <v>65</v>
      </c>
      <c r="D390">
        <v>41.256</v>
      </c>
      <c r="E390">
        <v>-73.370900000000006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</row>
    <row r="391" spans="1:59" x14ac:dyDescent="0.3">
      <c r="A391" s="2"/>
      <c r="B391" t="s">
        <v>425</v>
      </c>
      <c r="C391" t="s">
        <v>65</v>
      </c>
      <c r="D391">
        <v>41.7866</v>
      </c>
      <c r="E391">
        <v>-73.276499999999999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</row>
    <row r="392" spans="1:59" x14ac:dyDescent="0.3">
      <c r="A392" s="2"/>
      <c r="B392" t="s">
        <v>426</v>
      </c>
      <c r="C392" t="s">
        <v>65</v>
      </c>
      <c r="D392">
        <v>29.9511</v>
      </c>
      <c r="E392">
        <v>-90.0715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</row>
    <row r="393" spans="1:59" x14ac:dyDescent="0.3">
      <c r="A393" s="2"/>
      <c r="B393" t="s">
        <v>427</v>
      </c>
      <c r="C393" t="s">
        <v>65</v>
      </c>
      <c r="D393">
        <v>43.890099999999997</v>
      </c>
      <c r="E393">
        <v>-102.2548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</row>
    <row r="394" spans="1:59" x14ac:dyDescent="0.3">
      <c r="A394" s="2"/>
      <c r="B394" t="s">
        <v>428</v>
      </c>
      <c r="C394" t="s">
        <v>65</v>
      </c>
      <c r="D394">
        <v>44.479700000000001</v>
      </c>
      <c r="E394">
        <v>-98.221299999999999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</row>
    <row r="395" spans="1:59" x14ac:dyDescent="0.3">
      <c r="A395" s="2"/>
      <c r="B395" t="s">
        <v>429</v>
      </c>
      <c r="C395" t="s">
        <v>65</v>
      </c>
      <c r="D395">
        <v>43.098500000000001</v>
      </c>
      <c r="E395">
        <v>-98.396500000000003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</row>
    <row r="396" spans="1:59" x14ac:dyDescent="0.3">
      <c r="A396" s="2"/>
      <c r="B396" t="s">
        <v>430</v>
      </c>
      <c r="C396" t="s">
        <v>65</v>
      </c>
      <c r="D396">
        <v>43.724200000000003</v>
      </c>
      <c r="E396">
        <v>-98.221299999999999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</row>
    <row r="397" spans="1:59" x14ac:dyDescent="0.3">
      <c r="A397" s="2"/>
      <c r="B397" t="s">
        <v>431</v>
      </c>
      <c r="C397" t="s">
        <v>65</v>
      </c>
      <c r="D397">
        <v>43.663200000000003</v>
      </c>
      <c r="E397">
        <v>-96.835099999999997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</row>
    <row r="398" spans="1:59" x14ac:dyDescent="0.3">
      <c r="A398" s="2"/>
      <c r="B398" t="s">
        <v>432</v>
      </c>
      <c r="C398" t="s">
        <v>65</v>
      </c>
      <c r="D398">
        <v>42.981499999999997</v>
      </c>
      <c r="E398">
        <v>-97.872200000000007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</row>
    <row r="399" spans="1:59" x14ac:dyDescent="0.3">
      <c r="A399" s="2"/>
      <c r="B399" t="s">
        <v>433</v>
      </c>
      <c r="C399" t="s">
        <v>65</v>
      </c>
      <c r="D399">
        <v>33.883699999999997</v>
      </c>
      <c r="E399">
        <v>-106.7235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</row>
    <row r="400" spans="1:59" x14ac:dyDescent="0.3">
      <c r="A400" s="2"/>
      <c r="B400" t="s">
        <v>434</v>
      </c>
      <c r="C400" t="s">
        <v>65</v>
      </c>
      <c r="D400">
        <v>35.017800000000001</v>
      </c>
      <c r="E400">
        <v>-106.62909999999999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</row>
    <row r="401" spans="1:59" x14ac:dyDescent="0.3">
      <c r="A401" s="2"/>
      <c r="B401" t="s">
        <v>435</v>
      </c>
      <c r="C401" t="s">
        <v>65</v>
      </c>
      <c r="D401">
        <v>42.592199999999998</v>
      </c>
      <c r="E401">
        <v>-83.336200000000005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</row>
    <row r="402" spans="1:59" x14ac:dyDescent="0.3">
      <c r="A402" s="2"/>
      <c r="B402" t="s">
        <v>436</v>
      </c>
      <c r="C402" t="s">
        <v>65</v>
      </c>
      <c r="D402">
        <v>42.2791</v>
      </c>
      <c r="E402">
        <v>-83.336200000000005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</row>
    <row r="403" spans="1:59" x14ac:dyDescent="0.3">
      <c r="A403" s="2"/>
      <c r="B403" t="s">
        <v>437</v>
      </c>
      <c r="C403" t="s">
        <v>65</v>
      </c>
      <c r="D403">
        <v>39.539299999999997</v>
      </c>
      <c r="E403">
        <v>-75.667400000000001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</row>
    <row r="404" spans="1:59" x14ac:dyDescent="0.3">
      <c r="A404" s="2"/>
      <c r="C404" t="s">
        <v>438</v>
      </c>
      <c r="D404">
        <v>22</v>
      </c>
      <c r="E404">
        <v>-80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3</v>
      </c>
      <c r="BE404">
        <v>4</v>
      </c>
      <c r="BF404">
        <v>4</v>
      </c>
      <c r="BG404">
        <v>4</v>
      </c>
    </row>
    <row r="405" spans="1:59" x14ac:dyDescent="0.3">
      <c r="A405" s="2"/>
      <c r="C405" t="s">
        <v>439</v>
      </c>
      <c r="D405">
        <v>5</v>
      </c>
      <c r="E405">
        <v>-58.75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1</v>
      </c>
      <c r="BE405">
        <v>1</v>
      </c>
      <c r="BF405">
        <v>1</v>
      </c>
      <c r="BG405">
        <v>4</v>
      </c>
    </row>
    <row r="406" spans="1:59" x14ac:dyDescent="0.3">
      <c r="A406" s="2"/>
      <c r="B406" t="s">
        <v>440</v>
      </c>
      <c r="C406" t="s">
        <v>75</v>
      </c>
      <c r="D406">
        <v>-35.473500000000001</v>
      </c>
      <c r="E406">
        <v>149.01240000000001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1</v>
      </c>
      <c r="BF406">
        <v>1</v>
      </c>
      <c r="BG406">
        <v>1</v>
      </c>
    </row>
    <row r="407" spans="1:59" x14ac:dyDescent="0.3">
      <c r="A407" s="2"/>
      <c r="B407" t="s">
        <v>377</v>
      </c>
      <c r="C407" t="s">
        <v>377</v>
      </c>
      <c r="D407">
        <v>55.378100000000003</v>
      </c>
      <c r="E407">
        <v>-3.4359999999999999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</v>
      </c>
      <c r="P407">
        <v>2</v>
      </c>
      <c r="Q407">
        <v>2</v>
      </c>
      <c r="R407">
        <v>2</v>
      </c>
      <c r="S407">
        <v>2</v>
      </c>
      <c r="T407">
        <v>2</v>
      </c>
      <c r="U407">
        <v>2</v>
      </c>
      <c r="V407">
        <v>3</v>
      </c>
      <c r="W407">
        <v>3</v>
      </c>
      <c r="X407">
        <v>3</v>
      </c>
      <c r="Y407">
        <v>8</v>
      </c>
      <c r="Z407">
        <v>8</v>
      </c>
      <c r="AA407">
        <v>9</v>
      </c>
      <c r="AB407">
        <v>9</v>
      </c>
      <c r="AC407">
        <v>9</v>
      </c>
      <c r="AD407">
        <v>9</v>
      </c>
      <c r="AE407">
        <v>9</v>
      </c>
      <c r="AF407">
        <v>9</v>
      </c>
      <c r="AG407">
        <v>9</v>
      </c>
      <c r="AH407">
        <v>9</v>
      </c>
      <c r="AI407">
        <v>9</v>
      </c>
      <c r="AJ407">
        <v>9</v>
      </c>
      <c r="AK407">
        <v>9</v>
      </c>
      <c r="AL407">
        <v>9</v>
      </c>
      <c r="AM407">
        <v>13</v>
      </c>
      <c r="AN407">
        <v>13</v>
      </c>
      <c r="AO407">
        <v>13</v>
      </c>
      <c r="AP407">
        <v>15</v>
      </c>
      <c r="AQ407">
        <v>20</v>
      </c>
      <c r="AR407">
        <v>23</v>
      </c>
      <c r="AS407">
        <v>36</v>
      </c>
      <c r="AT407">
        <v>40</v>
      </c>
      <c r="AU407">
        <v>51</v>
      </c>
      <c r="AV407">
        <v>85</v>
      </c>
      <c r="AW407">
        <v>115</v>
      </c>
      <c r="AX407">
        <v>163</v>
      </c>
      <c r="AY407">
        <v>206</v>
      </c>
      <c r="AZ407">
        <v>273</v>
      </c>
      <c r="BA407">
        <v>321</v>
      </c>
      <c r="BB407">
        <v>382</v>
      </c>
      <c r="BC407">
        <v>456</v>
      </c>
      <c r="BD407">
        <v>590</v>
      </c>
      <c r="BE407">
        <v>798</v>
      </c>
      <c r="BF407">
        <v>1140</v>
      </c>
      <c r="BG407">
        <v>1391</v>
      </c>
    </row>
    <row r="408" spans="1:59" x14ac:dyDescent="0.3">
      <c r="A408" s="2"/>
      <c r="C408" t="s">
        <v>441</v>
      </c>
      <c r="D408">
        <v>48.019599999999997</v>
      </c>
      <c r="E408">
        <v>66.923699999999997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4</v>
      </c>
      <c r="BF408">
        <v>6</v>
      </c>
      <c r="BG408">
        <v>9</v>
      </c>
    </row>
    <row r="409" spans="1:59" x14ac:dyDescent="0.3">
      <c r="A409" s="2"/>
      <c r="B409" t="s">
        <v>442</v>
      </c>
      <c r="C409" t="s">
        <v>68</v>
      </c>
      <c r="D409">
        <v>-17.6797</v>
      </c>
      <c r="E409">
        <v>149.4068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3</v>
      </c>
      <c r="BF409">
        <v>3</v>
      </c>
      <c r="BG409">
        <v>3</v>
      </c>
    </row>
    <row r="410" spans="1:59" x14ac:dyDescent="0.3">
      <c r="A410" s="2"/>
      <c r="C410" t="s">
        <v>443</v>
      </c>
      <c r="D410">
        <v>19.313300000000002</v>
      </c>
      <c r="E410">
        <v>-81.254599999999996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1</v>
      </c>
      <c r="BF410">
        <v>1</v>
      </c>
      <c r="BG410">
        <v>1</v>
      </c>
    </row>
    <row r="411" spans="1:59" x14ac:dyDescent="0.3">
      <c r="A411" s="2"/>
      <c r="C411" t="s">
        <v>444</v>
      </c>
      <c r="D411">
        <v>16.265000000000001</v>
      </c>
      <c r="E411">
        <v>-61.551000000000002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1</v>
      </c>
      <c r="BF411">
        <v>1</v>
      </c>
      <c r="BG411">
        <v>3</v>
      </c>
    </row>
    <row r="412" spans="1:59" x14ac:dyDescent="0.3">
      <c r="A412" s="2"/>
      <c r="B412" t="s">
        <v>445</v>
      </c>
      <c r="C412" t="s">
        <v>72</v>
      </c>
      <c r="D412">
        <v>53.760899999999999</v>
      </c>
      <c r="E412">
        <v>-98.813900000000004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4</v>
      </c>
      <c r="BF412">
        <v>4</v>
      </c>
      <c r="BG412">
        <v>4</v>
      </c>
    </row>
    <row r="413" spans="1:59" x14ac:dyDescent="0.3">
      <c r="A413" s="2"/>
      <c r="B413" t="s">
        <v>446</v>
      </c>
      <c r="C413" t="s">
        <v>72</v>
      </c>
      <c r="D413">
        <v>52.939900000000002</v>
      </c>
      <c r="E413">
        <v>-106.4509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2</v>
      </c>
      <c r="BF413">
        <v>2</v>
      </c>
      <c r="BG413">
        <v>2</v>
      </c>
    </row>
    <row r="414" spans="1:59" x14ac:dyDescent="0.3">
      <c r="A414" s="2"/>
      <c r="C414" t="s">
        <v>447</v>
      </c>
      <c r="D414">
        <v>9.1449999999999996</v>
      </c>
      <c r="E414">
        <v>40.489699999999999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1</v>
      </c>
      <c r="BF414">
        <v>1</v>
      </c>
      <c r="BG414">
        <v>1</v>
      </c>
    </row>
    <row r="415" spans="1:59" x14ac:dyDescent="0.3">
      <c r="A415" s="2"/>
      <c r="C415" t="s">
        <v>448</v>
      </c>
      <c r="D415">
        <v>12.8628</v>
      </c>
      <c r="E415">
        <v>30.217600000000001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1</v>
      </c>
      <c r="BF415">
        <v>1</v>
      </c>
      <c r="BG415">
        <v>1</v>
      </c>
    </row>
    <row r="416" spans="1:59" x14ac:dyDescent="0.3">
      <c r="A416" s="2"/>
      <c r="C416" t="s">
        <v>449</v>
      </c>
      <c r="D416">
        <v>9.9456000000000007</v>
      </c>
      <c r="E416">
        <v>-9.6966000000000001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1</v>
      </c>
      <c r="BF416">
        <v>1</v>
      </c>
      <c r="BG416">
        <v>1</v>
      </c>
    </row>
    <row r="417" spans="1:59" x14ac:dyDescent="0.3">
      <c r="A417" s="2"/>
      <c r="C417" t="s">
        <v>450</v>
      </c>
      <c r="D417">
        <v>12.521100000000001</v>
      </c>
      <c r="E417">
        <v>-69.968299999999999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2</v>
      </c>
      <c r="BF417">
        <v>2</v>
      </c>
      <c r="BG417">
        <v>2</v>
      </c>
    </row>
    <row r="418" spans="1:59" x14ac:dyDescent="0.3">
      <c r="A418" s="2"/>
      <c r="B418" t="s">
        <v>276</v>
      </c>
      <c r="C418" t="s">
        <v>72</v>
      </c>
      <c r="D418">
        <v>37.648899999999998</v>
      </c>
      <c r="E418">
        <v>-122.66549999999999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2</v>
      </c>
      <c r="BF418">
        <v>2</v>
      </c>
      <c r="BG418">
        <v>2</v>
      </c>
    </row>
    <row r="419" spans="1:59" x14ac:dyDescent="0.3">
      <c r="A419" s="2"/>
      <c r="C419" t="s">
        <v>451</v>
      </c>
      <c r="D419">
        <v>-2.3599999999999999E-2</v>
      </c>
      <c r="E419">
        <v>37.906199999999998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1</v>
      </c>
      <c r="BF419">
        <v>1</v>
      </c>
      <c r="BG419">
        <v>3</v>
      </c>
    </row>
    <row r="420" spans="1:59" x14ac:dyDescent="0.3">
      <c r="A420" s="2"/>
      <c r="C420" t="s">
        <v>452</v>
      </c>
      <c r="D420">
        <v>17.0608</v>
      </c>
      <c r="E420">
        <v>-61.796399999999998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1</v>
      </c>
      <c r="BF420">
        <v>1</v>
      </c>
      <c r="BG420">
        <v>1</v>
      </c>
    </row>
    <row r="421" spans="1:59" x14ac:dyDescent="0.3">
      <c r="A421" s="2"/>
      <c r="B421" t="s">
        <v>453</v>
      </c>
      <c r="C421" t="s">
        <v>65</v>
      </c>
      <c r="D421">
        <v>32.318199999999997</v>
      </c>
      <c r="E421">
        <v>-86.902299999999997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5</v>
      </c>
      <c r="BF421">
        <v>6</v>
      </c>
      <c r="BG421">
        <v>12</v>
      </c>
    </row>
    <row r="422" spans="1:59" x14ac:dyDescent="0.3">
      <c r="A422" s="2"/>
      <c r="C422" t="s">
        <v>463</v>
      </c>
      <c r="D422">
        <v>-32.522799999999997</v>
      </c>
      <c r="E422">
        <v>-55.765799999999999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4</v>
      </c>
      <c r="BG422">
        <v>4</v>
      </c>
    </row>
    <row r="423" spans="1:59" x14ac:dyDescent="0.3">
      <c r="C423" t="s">
        <v>464</v>
      </c>
      <c r="D423">
        <v>7.9465000000000003</v>
      </c>
      <c r="E423">
        <v>-1.0232000000000001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3</v>
      </c>
      <c r="BG423">
        <v>6</v>
      </c>
    </row>
    <row r="424" spans="1:59" x14ac:dyDescent="0.3">
      <c r="B424" t="s">
        <v>465</v>
      </c>
      <c r="C424" t="s">
        <v>65</v>
      </c>
      <c r="D424">
        <v>18.220800000000001</v>
      </c>
      <c r="E424">
        <v>-66.590100000000007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3</v>
      </c>
      <c r="BG424">
        <v>5</v>
      </c>
    </row>
    <row r="425" spans="1:59" x14ac:dyDescent="0.3">
      <c r="C425" t="s">
        <v>466</v>
      </c>
      <c r="D425">
        <v>49.19</v>
      </c>
      <c r="E425">
        <v>-2.11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2</v>
      </c>
      <c r="BG425">
        <v>2</v>
      </c>
    </row>
    <row r="426" spans="1:59" x14ac:dyDescent="0.3">
      <c r="C426" t="s">
        <v>467</v>
      </c>
      <c r="D426">
        <v>-22.957599999999999</v>
      </c>
      <c r="E426">
        <v>18.490400000000001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2</v>
      </c>
      <c r="BG426">
        <v>2</v>
      </c>
    </row>
    <row r="427" spans="1:59" x14ac:dyDescent="0.3">
      <c r="C427" t="s">
        <v>468</v>
      </c>
      <c r="D427">
        <v>-4.6795999999999998</v>
      </c>
      <c r="E427">
        <v>55.491999999999997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2</v>
      </c>
      <c r="BG427">
        <v>2</v>
      </c>
    </row>
    <row r="428" spans="1:59" x14ac:dyDescent="0.3">
      <c r="C428" t="s">
        <v>469</v>
      </c>
      <c r="D428">
        <v>10.691800000000001</v>
      </c>
      <c r="E428">
        <v>-61.222499999999997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2</v>
      </c>
      <c r="BG428">
        <v>2</v>
      </c>
    </row>
    <row r="429" spans="1:59" x14ac:dyDescent="0.3">
      <c r="C429" t="s">
        <v>470</v>
      </c>
      <c r="D429">
        <v>6.4238</v>
      </c>
      <c r="E429">
        <v>-66.589699999999993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2</v>
      </c>
      <c r="BG429">
        <v>10</v>
      </c>
    </row>
    <row r="430" spans="1:59" x14ac:dyDescent="0.3">
      <c r="C430" t="s">
        <v>471</v>
      </c>
      <c r="D430">
        <v>12.169600000000001</v>
      </c>
      <c r="E430">
        <v>-68.989999999999995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1</v>
      </c>
      <c r="BG430">
        <v>1</v>
      </c>
    </row>
    <row r="431" spans="1:59" x14ac:dyDescent="0.3">
      <c r="C431" t="s">
        <v>472</v>
      </c>
      <c r="D431">
        <v>-26.522500000000001</v>
      </c>
      <c r="E431">
        <v>31.465900000000001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1</v>
      </c>
      <c r="BG431">
        <v>1</v>
      </c>
    </row>
    <row r="432" spans="1:59" x14ac:dyDescent="0.3">
      <c r="C432" t="s">
        <v>473</v>
      </c>
      <c r="D432">
        <v>-0.80369999999999997</v>
      </c>
      <c r="E432">
        <v>11.609400000000001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1</v>
      </c>
      <c r="BG432">
        <v>1</v>
      </c>
    </row>
    <row r="433" spans="2:59" x14ac:dyDescent="0.3">
      <c r="C433" t="s">
        <v>474</v>
      </c>
      <c r="D433">
        <v>15.7835</v>
      </c>
      <c r="E433">
        <v>-90.230800000000002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1</v>
      </c>
      <c r="BG433">
        <v>1</v>
      </c>
    </row>
    <row r="434" spans="2:59" x14ac:dyDescent="0.3">
      <c r="C434" t="s">
        <v>475</v>
      </c>
      <c r="D434">
        <v>49.45</v>
      </c>
      <c r="E434">
        <v>-2.58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1</v>
      </c>
      <c r="BG434">
        <v>1</v>
      </c>
    </row>
    <row r="435" spans="2:59" x14ac:dyDescent="0.3">
      <c r="C435" t="s">
        <v>476</v>
      </c>
      <c r="D435">
        <v>21.007899999999999</v>
      </c>
      <c r="E435">
        <v>10.940799999999999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</row>
    <row r="436" spans="2:59" x14ac:dyDescent="0.3">
      <c r="C436" t="s">
        <v>477</v>
      </c>
      <c r="D436">
        <v>-1.9402999999999999</v>
      </c>
      <c r="E436">
        <v>29.873899999999999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</row>
    <row r="437" spans="2:59" x14ac:dyDescent="0.3">
      <c r="C437" t="s">
        <v>478</v>
      </c>
      <c r="D437">
        <v>13.9094</v>
      </c>
      <c r="E437">
        <v>-60.978900000000003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2</v>
      </c>
    </row>
    <row r="438" spans="2:59" x14ac:dyDescent="0.3">
      <c r="C438" t="s">
        <v>479</v>
      </c>
      <c r="D438">
        <v>12.984299999999999</v>
      </c>
      <c r="E438">
        <v>-61.287199999999999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</row>
    <row r="439" spans="2:59" x14ac:dyDescent="0.3">
      <c r="C439" t="s">
        <v>480</v>
      </c>
      <c r="D439">
        <v>3.9192999999999998</v>
      </c>
      <c r="E439">
        <v>-56.027799999999999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</row>
    <row r="440" spans="2:59" x14ac:dyDescent="0.3">
      <c r="B440" t="s">
        <v>481</v>
      </c>
      <c r="C440" t="s">
        <v>65</v>
      </c>
      <c r="D440">
        <v>18.335799999999999</v>
      </c>
      <c r="E440">
        <v>-64.896299999999997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</row>
    <row r="441" spans="2:59" x14ac:dyDescent="0.3">
      <c r="C441" t="s">
        <v>493</v>
      </c>
      <c r="D441">
        <v>31.952200000000001</v>
      </c>
      <c r="E441">
        <v>35.233199999999997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</row>
    <row r="442" spans="2:59" x14ac:dyDescent="0.3">
      <c r="B442" t="s">
        <v>203</v>
      </c>
      <c r="C442" t="s">
        <v>68</v>
      </c>
      <c r="D442">
        <v>3.9339</v>
      </c>
      <c r="E442">
        <v>-53.125799999999998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5</v>
      </c>
      <c r="AZ442">
        <v>5</v>
      </c>
      <c r="BA442">
        <v>5</v>
      </c>
      <c r="BB442">
        <v>5</v>
      </c>
      <c r="BC442">
        <v>5</v>
      </c>
      <c r="BD442">
        <v>5</v>
      </c>
      <c r="BE442">
        <v>5</v>
      </c>
      <c r="BF442">
        <v>5</v>
      </c>
      <c r="BG442">
        <v>7</v>
      </c>
    </row>
    <row r="443" spans="2:59" x14ac:dyDescent="0.3">
      <c r="B443" t="s">
        <v>494</v>
      </c>
      <c r="C443" t="s">
        <v>65</v>
      </c>
      <c r="D443">
        <v>13.4443</v>
      </c>
      <c r="E443">
        <v>144.7937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3</v>
      </c>
    </row>
    <row r="444" spans="2:59" x14ac:dyDescent="0.3">
      <c r="C444" t="s">
        <v>495</v>
      </c>
      <c r="D444">
        <v>42.602600000000002</v>
      </c>
      <c r="E444">
        <v>20.902999999999999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2</v>
      </c>
    </row>
    <row r="445" spans="2:59" x14ac:dyDescent="0.3">
      <c r="B445" t="s">
        <v>496</v>
      </c>
      <c r="C445" t="s">
        <v>72</v>
      </c>
      <c r="D445">
        <v>53.1355</v>
      </c>
      <c r="E445">
        <v>-57.660400000000003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</row>
    <row r="446" spans="2:59" x14ac:dyDescent="0.3">
      <c r="B446" t="s">
        <v>497</v>
      </c>
      <c r="C446" t="s">
        <v>72</v>
      </c>
      <c r="D446">
        <v>46.5107</v>
      </c>
      <c r="E446">
        <v>-63.416800000000002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</row>
    <row r="447" spans="2:59" x14ac:dyDescent="0.3">
      <c r="C447" t="s">
        <v>498</v>
      </c>
      <c r="D447">
        <v>6.6111000000000004</v>
      </c>
      <c r="E447">
        <v>20.939399999999999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</row>
    <row r="448" spans="2:59" x14ac:dyDescent="0.3">
      <c r="C448" t="s">
        <v>499</v>
      </c>
      <c r="D448">
        <v>-4.0382999999999996</v>
      </c>
      <c r="E448">
        <v>21.758700000000001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</row>
    <row r="449" spans="2:59" x14ac:dyDescent="0.3">
      <c r="C449" t="s">
        <v>500</v>
      </c>
      <c r="D449">
        <v>1.5</v>
      </c>
      <c r="E449">
        <v>10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</row>
    <row r="450" spans="2:59" x14ac:dyDescent="0.3">
      <c r="B450" t="s">
        <v>501</v>
      </c>
      <c r="C450" t="s">
        <v>68</v>
      </c>
      <c r="D450">
        <v>-12.827500000000001</v>
      </c>
      <c r="E450">
        <v>45.166200000000003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</row>
    <row r="451" spans="2:59" x14ac:dyDescent="0.3">
      <c r="C451" t="s">
        <v>502</v>
      </c>
      <c r="D451">
        <v>41.377499999999998</v>
      </c>
      <c r="E451">
        <v>64.585300000000004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Projections</vt:lpstr>
      <vt:lpstr>Current</vt:lpstr>
      <vt:lpstr>DaysSince100</vt:lpstr>
      <vt:lpstr>CumulativeAll</vt:lpstr>
      <vt:lpstr>RawData</vt:lpstr>
      <vt:lpstr>xMax</vt:lpstr>
      <vt:lpstr>xMax2</vt:lpstr>
      <vt:lpstr>xMin</vt:lpstr>
      <vt:lpstr>xMin2</vt:lpstr>
      <vt:lpstr>yMax</vt:lpstr>
      <vt:lpstr>yMax2</vt:lpstr>
      <vt:lpstr>yMin</vt:lpstr>
      <vt:lpstr>yMin2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2020-03-16T21:05:37Z</dcterms:modified>
</cp:coreProperties>
</file>