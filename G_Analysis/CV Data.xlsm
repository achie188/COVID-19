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G_Analysis\"/>
    </mc:Choice>
  </mc:AlternateContent>
  <xr:revisionPtr revIDLastSave="0" documentId="13_ncr:1_{B4BA6AA5-30D3-48F5-9D1F-C9F2FA5E5FFF}" xr6:coauthVersionLast="45" xr6:coauthVersionMax="45" xr10:uidLastSave="{00000000-0000-0000-0000-000000000000}"/>
  <bookViews>
    <workbookView xWindow="-108" yWindow="-108" windowWidth="23256" windowHeight="13176" activeTab="1" xr2:uid="{00000000-000D-0000-FFFF-FFFF00000000}"/>
  </bookViews>
  <sheets>
    <sheet name="Projections" sheetId="15" r:id="rId1"/>
    <sheet name="Projections Data" sheetId="13" r:id="rId2"/>
    <sheet name="Current" sheetId="12" r:id="rId3"/>
    <sheet name="DaysSince100" sheetId="8" r:id="rId4"/>
    <sheet name="100thDay" sheetId="14" r:id="rId5"/>
    <sheet name="CumulativeAll" sheetId="3" r:id="rId6"/>
    <sheet name="RawData" sheetId="2" r:id="rId7"/>
  </sheets>
  <definedNames>
    <definedName name="_xlnm._FilterDatabase" localSheetId="5" hidden="1">CumulativeAll!$A$1:$BA$1</definedName>
    <definedName name="_xlnm._FilterDatabase" localSheetId="3" hidden="1">DaysSince100!$B$1:$CU$1</definedName>
    <definedName name="_xlnm._FilterDatabase" localSheetId="1" hidden="1">'Projections Data'!$H$28:$O$28</definedName>
    <definedName name="xMax">Current!$S$8</definedName>
    <definedName name="xMax2">'Projections Data'!$C$24</definedName>
    <definedName name="xMax3">'Projections Data'!$D$24</definedName>
    <definedName name="xMin">Current!$S$7</definedName>
    <definedName name="xMin2">'Projections Data'!$C$23</definedName>
    <definedName name="xMin3">'Projections Data'!$D$23</definedName>
    <definedName name="yMax">Current!$S$5</definedName>
    <definedName name="yMax2">'Projections Data'!$C$21</definedName>
    <definedName name="yMax3">'Projections Data'!$D$21</definedName>
    <definedName name="yMin">Current!$S$4</definedName>
    <definedName name="yMin2">'Projections Data'!$C$20</definedName>
    <definedName name="yMin3">'Projections Data'!$D$20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4" l="1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29" i="13"/>
  <c r="N59" i="13"/>
  <c r="O59" i="13" s="1"/>
  <c r="N60" i="13"/>
  <c r="O60" i="13" s="1"/>
  <c r="K59" i="13"/>
  <c r="N58" i="13"/>
  <c r="O58" i="13" s="1"/>
  <c r="N57" i="13" l="1"/>
  <c r="O57" i="13" s="1"/>
  <c r="N30" i="13" l="1"/>
  <c r="O30" i="13" s="1"/>
  <c r="N31" i="13"/>
  <c r="O31" i="13" s="1"/>
  <c r="N32" i="13"/>
  <c r="O32" i="13" s="1"/>
  <c r="N33" i="13"/>
  <c r="O33" i="13" s="1"/>
  <c r="N34" i="13"/>
  <c r="O34" i="13" s="1"/>
  <c r="N35" i="13"/>
  <c r="O35" i="13" s="1"/>
  <c r="N36" i="13"/>
  <c r="O36" i="13" s="1"/>
  <c r="N37" i="13"/>
  <c r="O37" i="13" s="1"/>
  <c r="N38" i="13"/>
  <c r="O38" i="13" s="1"/>
  <c r="N39" i="13"/>
  <c r="N40" i="13"/>
  <c r="O40" i="13" s="1"/>
  <c r="N41" i="13"/>
  <c r="O41" i="13" s="1"/>
  <c r="N42" i="13"/>
  <c r="O42" i="13" s="1"/>
  <c r="N43" i="13"/>
  <c r="O43" i="13" s="1"/>
  <c r="N44" i="13"/>
  <c r="O44" i="13" s="1"/>
  <c r="N45" i="13"/>
  <c r="O45" i="13" s="1"/>
  <c r="N46" i="13"/>
  <c r="O46" i="13" s="1"/>
  <c r="N47" i="13"/>
  <c r="O47" i="13" s="1"/>
  <c r="N48" i="13"/>
  <c r="O48" i="13" s="1"/>
  <c r="N49" i="13"/>
  <c r="O49" i="13" s="1"/>
  <c r="N50" i="13"/>
  <c r="O50" i="13" s="1"/>
  <c r="N51" i="13"/>
  <c r="O51" i="13" s="1"/>
  <c r="N52" i="13"/>
  <c r="O52" i="13" s="1"/>
  <c r="N53" i="13"/>
  <c r="O53" i="13" s="1"/>
  <c r="N54" i="13"/>
  <c r="O54" i="13" s="1"/>
  <c r="N55" i="13"/>
  <c r="O55" i="13" s="1"/>
  <c r="N29" i="13"/>
  <c r="O29" i="13" s="1"/>
  <c r="D5" i="8"/>
  <c r="D6" i="8"/>
  <c r="D9" i="8"/>
  <c r="D11" i="8"/>
  <c r="D10" i="8"/>
  <c r="D12" i="8"/>
  <c r="D13" i="8"/>
  <c r="D7" i="8"/>
  <c r="D14" i="8"/>
  <c r="D16" i="8"/>
  <c r="D17" i="8"/>
  <c r="D20" i="8"/>
  <c r="D15" i="8"/>
  <c r="D8" i="8"/>
  <c r="D21" i="8"/>
  <c r="D22" i="8"/>
  <c r="D18" i="8"/>
  <c r="D19" i="8"/>
  <c r="D24" i="8"/>
  <c r="D26" i="8"/>
  <c r="D33" i="8"/>
  <c r="D23" i="8"/>
  <c r="D25" i="8"/>
  <c r="D27" i="8"/>
  <c r="D34" i="8"/>
  <c r="D31" i="8"/>
  <c r="D30" i="8"/>
  <c r="D36" i="8"/>
  <c r="D29" i="8"/>
  <c r="D32" i="8"/>
  <c r="D37" i="8"/>
  <c r="D28" i="8"/>
  <c r="D47" i="8"/>
  <c r="D39" i="8"/>
  <c r="D40" i="8"/>
  <c r="D50" i="8"/>
  <c r="D49" i="8"/>
  <c r="D42" i="8"/>
  <c r="D48" i="8"/>
  <c r="D52" i="8"/>
  <c r="D35" i="8"/>
  <c r="D51" i="8"/>
  <c r="D43" i="8"/>
  <c r="D46" i="8"/>
  <c r="D38" i="8"/>
  <c r="D44" i="8"/>
  <c r="D41" i="8"/>
  <c r="D45" i="8"/>
  <c r="E45" i="8"/>
  <c r="D53" i="8"/>
  <c r="E53" i="8"/>
  <c r="F53" i="8"/>
  <c r="G53" i="8"/>
  <c r="D54" i="8"/>
  <c r="E54" i="8"/>
  <c r="F54" i="8"/>
  <c r="G54" i="8"/>
  <c r="D55" i="8"/>
  <c r="E55" i="8"/>
  <c r="F55" i="8"/>
  <c r="G55" i="8"/>
  <c r="D56" i="8"/>
  <c r="E56" i="8"/>
  <c r="F56" i="8"/>
  <c r="G56" i="8"/>
  <c r="D57" i="8"/>
  <c r="E57" i="8"/>
  <c r="F57" i="8"/>
  <c r="G57" i="8"/>
  <c r="D58" i="8"/>
  <c r="E58" i="8"/>
  <c r="F58" i="8"/>
  <c r="G58" i="8"/>
  <c r="D59" i="8"/>
  <c r="E59" i="8"/>
  <c r="F59" i="8"/>
  <c r="G59" i="8"/>
  <c r="D60" i="8"/>
  <c r="E60" i="8"/>
  <c r="F60" i="8"/>
  <c r="G60" i="8"/>
  <c r="D61" i="8"/>
  <c r="E61" i="8"/>
  <c r="F61" i="8"/>
  <c r="G61" i="8"/>
  <c r="D62" i="8"/>
  <c r="E62" i="8"/>
  <c r="F62" i="8"/>
  <c r="G62" i="8"/>
  <c r="D63" i="8"/>
  <c r="E63" i="8"/>
  <c r="F63" i="8"/>
  <c r="G63" i="8"/>
  <c r="D64" i="8"/>
  <c r="E64" i="8"/>
  <c r="F64" i="8"/>
  <c r="G64" i="8"/>
  <c r="D65" i="8"/>
  <c r="E65" i="8"/>
  <c r="F65" i="8"/>
  <c r="G65" i="8"/>
  <c r="D66" i="8"/>
  <c r="E66" i="8"/>
  <c r="F66" i="8"/>
  <c r="G66" i="8"/>
  <c r="D67" i="8"/>
  <c r="E67" i="8"/>
  <c r="F67" i="8"/>
  <c r="G67" i="8"/>
  <c r="D68" i="8"/>
  <c r="E68" i="8"/>
  <c r="F68" i="8"/>
  <c r="G68" i="8"/>
  <c r="D69" i="8"/>
  <c r="E69" i="8"/>
  <c r="F69" i="8"/>
  <c r="G69" i="8"/>
  <c r="D70" i="8"/>
  <c r="E70" i="8"/>
  <c r="F70" i="8"/>
  <c r="G70" i="8"/>
  <c r="D71" i="8"/>
  <c r="E71" i="8"/>
  <c r="F71" i="8"/>
  <c r="G71" i="8"/>
  <c r="D72" i="8"/>
  <c r="E72" i="8"/>
  <c r="F72" i="8"/>
  <c r="G72" i="8"/>
  <c r="D73" i="8"/>
  <c r="E73" i="8"/>
  <c r="F73" i="8"/>
  <c r="G73" i="8"/>
  <c r="D74" i="8"/>
  <c r="E74" i="8"/>
  <c r="F74" i="8"/>
  <c r="G74" i="8"/>
  <c r="D75" i="8"/>
  <c r="E75" i="8"/>
  <c r="F75" i="8"/>
  <c r="G75" i="8"/>
  <c r="D76" i="8"/>
  <c r="E76" i="8"/>
  <c r="F76" i="8"/>
  <c r="G76" i="8"/>
  <c r="D77" i="8"/>
  <c r="E77" i="8"/>
  <c r="F77" i="8"/>
  <c r="G77" i="8"/>
  <c r="D78" i="8"/>
  <c r="E78" i="8"/>
  <c r="F78" i="8"/>
  <c r="G78" i="8"/>
  <c r="D79" i="8"/>
  <c r="E79" i="8"/>
  <c r="F79" i="8"/>
  <c r="G79" i="8"/>
  <c r="D80" i="8"/>
  <c r="E80" i="8"/>
  <c r="F80" i="8"/>
  <c r="G80" i="8"/>
  <c r="D81" i="8"/>
  <c r="E81" i="8"/>
  <c r="F81" i="8"/>
  <c r="G81" i="8"/>
  <c r="D82" i="8"/>
  <c r="E82" i="8"/>
  <c r="F82" i="8"/>
  <c r="G82" i="8"/>
  <c r="D83" i="8"/>
  <c r="E83" i="8"/>
  <c r="F83" i="8"/>
  <c r="G83" i="8"/>
  <c r="D84" i="8"/>
  <c r="E84" i="8"/>
  <c r="F84" i="8"/>
  <c r="G84" i="8"/>
  <c r="D85" i="8"/>
  <c r="E85" i="8"/>
  <c r="F85" i="8"/>
  <c r="G85" i="8"/>
  <c r="D86" i="8"/>
  <c r="E86" i="8"/>
  <c r="F86" i="8"/>
  <c r="G86" i="8"/>
  <c r="D87" i="8"/>
  <c r="E87" i="8"/>
  <c r="F87" i="8"/>
  <c r="G87" i="8"/>
  <c r="D88" i="8"/>
  <c r="E88" i="8"/>
  <c r="F88" i="8"/>
  <c r="G88" i="8"/>
  <c r="D89" i="8"/>
  <c r="E89" i="8"/>
  <c r="F89" i="8"/>
  <c r="G89" i="8"/>
  <c r="D90" i="8"/>
  <c r="E90" i="8"/>
  <c r="F90" i="8"/>
  <c r="G90" i="8"/>
  <c r="D91" i="8"/>
  <c r="E91" i="8"/>
  <c r="F91" i="8"/>
  <c r="G91" i="8"/>
  <c r="D92" i="8"/>
  <c r="E92" i="8"/>
  <c r="F92" i="8"/>
  <c r="G92" i="8"/>
  <c r="D93" i="8"/>
  <c r="E93" i="8"/>
  <c r="F93" i="8"/>
  <c r="G93" i="8"/>
  <c r="D94" i="8"/>
  <c r="E94" i="8"/>
  <c r="F94" i="8"/>
  <c r="G94" i="8"/>
  <c r="D95" i="8"/>
  <c r="E95" i="8"/>
  <c r="F95" i="8"/>
  <c r="G95" i="8"/>
  <c r="D96" i="8"/>
  <c r="E96" i="8"/>
  <c r="F96" i="8"/>
  <c r="G96" i="8"/>
  <c r="D97" i="8"/>
  <c r="E97" i="8"/>
  <c r="F97" i="8"/>
  <c r="G97" i="8"/>
  <c r="D98" i="8"/>
  <c r="E98" i="8"/>
  <c r="F98" i="8"/>
  <c r="G98" i="8"/>
  <c r="D99" i="8"/>
  <c r="E99" i="8"/>
  <c r="F99" i="8"/>
  <c r="G99" i="8"/>
  <c r="D100" i="8"/>
  <c r="E100" i="8"/>
  <c r="F100" i="8"/>
  <c r="G100" i="8"/>
  <c r="D101" i="8"/>
  <c r="E101" i="8"/>
  <c r="F101" i="8"/>
  <c r="G101" i="8"/>
  <c r="D102" i="8"/>
  <c r="E102" i="8"/>
  <c r="F102" i="8"/>
  <c r="G102" i="8"/>
  <c r="D103" i="8"/>
  <c r="E103" i="8"/>
  <c r="F103" i="8"/>
  <c r="G103" i="8"/>
  <c r="D104" i="8"/>
  <c r="E104" i="8"/>
  <c r="F104" i="8"/>
  <c r="G104" i="8"/>
  <c r="D105" i="8"/>
  <c r="E105" i="8"/>
  <c r="F105" i="8"/>
  <c r="G105" i="8"/>
  <c r="D106" i="8"/>
  <c r="E106" i="8"/>
  <c r="F106" i="8"/>
  <c r="G106" i="8"/>
  <c r="D107" i="8"/>
  <c r="E107" i="8"/>
  <c r="F107" i="8"/>
  <c r="G107" i="8"/>
  <c r="D108" i="8"/>
  <c r="E108" i="8"/>
  <c r="F108" i="8"/>
  <c r="G108" i="8"/>
  <c r="D109" i="8"/>
  <c r="E109" i="8"/>
  <c r="F109" i="8"/>
  <c r="G109" i="8"/>
  <c r="D110" i="8"/>
  <c r="E110" i="8"/>
  <c r="F110" i="8"/>
  <c r="G110" i="8"/>
  <c r="D111" i="8"/>
  <c r="E111" i="8"/>
  <c r="F111" i="8"/>
  <c r="G111" i="8"/>
  <c r="D112" i="8"/>
  <c r="E112" i="8"/>
  <c r="F112" i="8"/>
  <c r="G112" i="8"/>
  <c r="D113" i="8"/>
  <c r="E113" i="8"/>
  <c r="F113" i="8"/>
  <c r="G113" i="8"/>
  <c r="D114" i="8"/>
  <c r="E114" i="8"/>
  <c r="F114" i="8"/>
  <c r="G114" i="8"/>
  <c r="D115" i="8"/>
  <c r="E115" i="8"/>
  <c r="F115" i="8"/>
  <c r="G115" i="8"/>
  <c r="D116" i="8"/>
  <c r="E116" i="8"/>
  <c r="F116" i="8"/>
  <c r="G116" i="8"/>
  <c r="D117" i="8"/>
  <c r="E117" i="8"/>
  <c r="F117" i="8"/>
  <c r="G117" i="8"/>
  <c r="D118" i="8"/>
  <c r="E118" i="8"/>
  <c r="F118" i="8"/>
  <c r="G118" i="8"/>
  <c r="D119" i="8"/>
  <c r="E119" i="8"/>
  <c r="F119" i="8"/>
  <c r="G119" i="8"/>
  <c r="D120" i="8"/>
  <c r="E120" i="8"/>
  <c r="F120" i="8"/>
  <c r="G120" i="8"/>
  <c r="D121" i="8"/>
  <c r="E121" i="8"/>
  <c r="F121" i="8"/>
  <c r="G121" i="8"/>
  <c r="D122" i="8"/>
  <c r="E122" i="8"/>
  <c r="F122" i="8"/>
  <c r="G122" i="8"/>
  <c r="D123" i="8"/>
  <c r="E123" i="8"/>
  <c r="F123" i="8"/>
  <c r="G123" i="8"/>
  <c r="B10" i="8" a="1"/>
  <c r="B10" i="8" s="1"/>
  <c r="C10" i="8"/>
  <c r="B12" i="8" a="1"/>
  <c r="B12" i="8" s="1"/>
  <c r="C12" i="8"/>
  <c r="B13" i="8" a="1"/>
  <c r="B13" i="8" s="1"/>
  <c r="C13" i="8"/>
  <c r="B7" i="8" a="1"/>
  <c r="B7" i="8" s="1"/>
  <c r="C7" i="8"/>
  <c r="B14" i="8" a="1"/>
  <c r="B14" i="8" s="1"/>
  <c r="C14" i="8"/>
  <c r="B16" i="8" a="1"/>
  <c r="B16" i="8" s="1"/>
  <c r="C16" i="8"/>
  <c r="B17" i="8" a="1"/>
  <c r="B17" i="8" s="1"/>
  <c r="C17" i="8"/>
  <c r="B20" i="8" a="1"/>
  <c r="B20" i="8" s="1"/>
  <c r="C20" i="8"/>
  <c r="B15" i="8" a="1"/>
  <c r="B15" i="8" s="1"/>
  <c r="C15" i="8"/>
  <c r="B8" i="8" a="1"/>
  <c r="B8" i="8" s="1"/>
  <c r="C8" i="8"/>
  <c r="B21" i="8" a="1"/>
  <c r="B21" i="8" s="1"/>
  <c r="C21" i="8"/>
  <c r="B22" i="8" a="1"/>
  <c r="B22" i="8" s="1"/>
  <c r="C22" i="8"/>
  <c r="B18" i="8" a="1"/>
  <c r="B18" i="8" s="1"/>
  <c r="C18" i="8"/>
  <c r="B19" i="8" a="1"/>
  <c r="B19" i="8" s="1"/>
  <c r="C19" i="8"/>
  <c r="B24" i="8" a="1"/>
  <c r="B24" i="8" s="1"/>
  <c r="C24" i="8"/>
  <c r="B26" i="8" a="1"/>
  <c r="B26" i="8" s="1"/>
  <c r="C26" i="8"/>
  <c r="B33" i="8" a="1"/>
  <c r="B33" i="8" s="1"/>
  <c r="C33" i="8"/>
  <c r="B23" i="8" a="1"/>
  <c r="B23" i="8" s="1"/>
  <c r="C23" i="8"/>
  <c r="B25" i="8" a="1"/>
  <c r="B25" i="8" s="1"/>
  <c r="C25" i="8"/>
  <c r="B27" i="8" a="1"/>
  <c r="B27" i="8" s="1"/>
  <c r="C27" i="8"/>
  <c r="B34" i="8" a="1"/>
  <c r="B34" i="8" s="1"/>
  <c r="C34" i="8"/>
  <c r="B31" i="8" a="1"/>
  <c r="B31" i="8" s="1"/>
  <c r="C31" i="8"/>
  <c r="B30" i="8" a="1"/>
  <c r="B30" i="8" s="1"/>
  <c r="C30" i="8"/>
  <c r="B36" i="8" a="1"/>
  <c r="B36" i="8" s="1"/>
  <c r="C36" i="8"/>
  <c r="B29" i="8" a="1"/>
  <c r="B29" i="8" s="1"/>
  <c r="C29" i="8"/>
  <c r="B32" i="8" a="1"/>
  <c r="B32" i="8" s="1"/>
  <c r="C32" i="8"/>
  <c r="B37" i="8" a="1"/>
  <c r="B37" i="8" s="1"/>
  <c r="C37" i="8"/>
  <c r="B28" i="8" a="1"/>
  <c r="B28" i="8" s="1"/>
  <c r="C28" i="8"/>
  <c r="B47" i="8" a="1"/>
  <c r="B47" i="8" s="1"/>
  <c r="C47" i="8"/>
  <c r="B39" i="8" a="1"/>
  <c r="B39" i="8" s="1"/>
  <c r="C39" i="8"/>
  <c r="B40" i="8" a="1"/>
  <c r="B40" i="8" s="1"/>
  <c r="C40" i="8"/>
  <c r="B50" i="8" a="1"/>
  <c r="B50" i="8" s="1"/>
  <c r="C50" i="8"/>
  <c r="B49" i="8" a="1"/>
  <c r="B49" i="8"/>
  <c r="C49" i="8"/>
  <c r="B42" i="8" a="1"/>
  <c r="B42" i="8" s="1"/>
  <c r="C42" i="8"/>
  <c r="B48" i="8" a="1"/>
  <c r="B48" i="8" s="1"/>
  <c r="C48" i="8"/>
  <c r="B52" i="8" a="1"/>
  <c r="B52" i="8" s="1"/>
  <c r="C52" i="8"/>
  <c r="B35" i="8" a="1"/>
  <c r="B35" i="8" s="1"/>
  <c r="C35" i="8"/>
  <c r="B51" i="8" a="1"/>
  <c r="B51" i="8" s="1"/>
  <c r="C51" i="8"/>
  <c r="B43" i="8" a="1"/>
  <c r="B43" i="8" s="1"/>
  <c r="C43" i="8"/>
  <c r="B46" i="8" a="1"/>
  <c r="B46" i="8" s="1"/>
  <c r="C46" i="8"/>
  <c r="B38" i="8" a="1"/>
  <c r="B38" i="8" s="1"/>
  <c r="C38" i="8"/>
  <c r="B44" i="8" a="1"/>
  <c r="B44" i="8" s="1"/>
  <c r="C44" i="8"/>
  <c r="B41" i="8" a="1"/>
  <c r="B41" i="8" s="1"/>
  <c r="C41" i="8"/>
  <c r="B45" i="8" a="1"/>
  <c r="B45" i="8" s="1"/>
  <c r="C45" i="8"/>
  <c r="O39" i="13"/>
  <c r="B2" i="13"/>
  <c r="C29" i="15"/>
  <c r="D3" i="14"/>
  <c r="E3" i="14" s="1"/>
  <c r="D4" i="14"/>
  <c r="E4" i="14" s="1"/>
  <c r="D5" i="14"/>
  <c r="E5" i="14" s="1"/>
  <c r="J59" i="13" s="1"/>
  <c r="L59" i="13" s="1"/>
  <c r="D6" i="14"/>
  <c r="E6" i="14" s="1"/>
  <c r="D7" i="14"/>
  <c r="E7" i="14" s="1"/>
  <c r="D8" i="14"/>
  <c r="E8" i="14" s="1"/>
  <c r="D9" i="14"/>
  <c r="E9" i="14" s="1"/>
  <c r="D10" i="14"/>
  <c r="E10" i="14" s="1"/>
  <c r="D11" i="14"/>
  <c r="E11" i="14" s="1"/>
  <c r="D12" i="14"/>
  <c r="E12" i="14" s="1"/>
  <c r="D13" i="14"/>
  <c r="E13" i="14" s="1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D38" i="14"/>
  <c r="E38" i="14" s="1"/>
  <c r="J60" i="13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E44" i="14" s="1"/>
  <c r="D45" i="14"/>
  <c r="E45" i="14" s="1"/>
  <c r="D46" i="14"/>
  <c r="E46" i="14" s="1"/>
  <c r="D47" i="14"/>
  <c r="E47" i="14" s="1"/>
  <c r="D48" i="14"/>
  <c r="E48" i="14" s="1"/>
  <c r="D49" i="14"/>
  <c r="E49" i="14" s="1"/>
  <c r="D50" i="14"/>
  <c r="E50" i="14" s="1"/>
  <c r="D51" i="14"/>
  <c r="E51" i="14" s="1"/>
  <c r="D52" i="14"/>
  <c r="E52" i="14" s="1"/>
  <c r="D53" i="14"/>
  <c r="E53" i="14" s="1"/>
  <c r="D54" i="14"/>
  <c r="E54" i="14" s="1"/>
  <c r="D55" i="14"/>
  <c r="E55" i="14" s="1"/>
  <c r="D56" i="14"/>
  <c r="E56" i="14" s="1"/>
  <c r="D57" i="14"/>
  <c r="E57" i="14" s="1"/>
  <c r="D58" i="14"/>
  <c r="E58" i="14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C126" i="14"/>
  <c r="D126" i="14" s="1"/>
  <c r="B27" i="13" l="1"/>
  <c r="G5" i="13"/>
  <c r="C12" i="13"/>
  <c r="AN17" i="13" s="1"/>
  <c r="J58" i="13"/>
  <c r="G3" i="13"/>
  <c r="J57" i="13"/>
  <c r="C15" i="13"/>
  <c r="C17" i="13" s="1"/>
  <c r="B28" i="13"/>
  <c r="G23" i="13" l="1"/>
  <c r="C23" i="13"/>
  <c r="G9" i="13"/>
  <c r="G10" i="13" s="1"/>
  <c r="G19" i="13" s="1"/>
  <c r="HG17" i="13"/>
  <c r="HO17" i="13"/>
  <c r="HW17" i="13"/>
  <c r="IE17" i="13"/>
  <c r="IM17" i="13"/>
  <c r="FN17" i="13"/>
  <c r="FV17" i="13"/>
  <c r="GD17" i="13"/>
  <c r="GL17" i="13"/>
  <c r="GT17" i="13"/>
  <c r="HB17" i="13"/>
  <c r="DJ17" i="13"/>
  <c r="DR17" i="13"/>
  <c r="DZ17" i="13"/>
  <c r="EH17" i="13"/>
  <c r="EP17" i="13"/>
  <c r="EX17" i="13"/>
  <c r="FF17" i="13"/>
  <c r="HF17" i="13"/>
  <c r="FU17" i="13"/>
  <c r="DI17" i="13"/>
  <c r="EO17" i="13"/>
  <c r="HH17" i="13"/>
  <c r="HP17" i="13"/>
  <c r="HX17" i="13"/>
  <c r="IF17" i="13"/>
  <c r="IN17" i="13"/>
  <c r="FO17" i="13"/>
  <c r="FW17" i="13"/>
  <c r="GE17" i="13"/>
  <c r="GM17" i="13"/>
  <c r="GU17" i="13"/>
  <c r="DK17" i="13"/>
  <c r="DS17" i="13"/>
  <c r="EA17" i="13"/>
  <c r="EI17" i="13"/>
  <c r="EQ17" i="13"/>
  <c r="EY17" i="13"/>
  <c r="FG17" i="13"/>
  <c r="HM17" i="13"/>
  <c r="DX17" i="13"/>
  <c r="HV17" i="13"/>
  <c r="GK17" i="13"/>
  <c r="DY17" i="13"/>
  <c r="HI17" i="13"/>
  <c r="HQ17" i="13"/>
  <c r="HY17" i="13"/>
  <c r="IG17" i="13"/>
  <c r="FP17" i="13"/>
  <c r="FX17" i="13"/>
  <c r="GF17" i="13"/>
  <c r="GN17" i="13"/>
  <c r="GV17" i="13"/>
  <c r="DD17" i="13"/>
  <c r="DL17" i="13"/>
  <c r="DT17" i="13"/>
  <c r="EB17" i="13"/>
  <c r="EJ17" i="13"/>
  <c r="ER17" i="13"/>
  <c r="EZ17" i="13"/>
  <c r="FH17" i="13"/>
  <c r="HE17" i="13"/>
  <c r="GB17" i="13"/>
  <c r="EF17" i="13"/>
  <c r="FM17" i="13"/>
  <c r="EW17" i="13"/>
  <c r="HJ17" i="13"/>
  <c r="HR17" i="13"/>
  <c r="HZ17" i="13"/>
  <c r="IH17" i="13"/>
  <c r="FQ17" i="13"/>
  <c r="FY17" i="13"/>
  <c r="GG17" i="13"/>
  <c r="GO17" i="13"/>
  <c r="GW17" i="13"/>
  <c r="DE17" i="13"/>
  <c r="DM17" i="13"/>
  <c r="DU17" i="13"/>
  <c r="EC17" i="13"/>
  <c r="EK17" i="13"/>
  <c r="ES17" i="13"/>
  <c r="FA17" i="13"/>
  <c r="FI17" i="13"/>
  <c r="IK17" i="13"/>
  <c r="GZ17" i="13"/>
  <c r="FD17" i="13"/>
  <c r="GC17" i="13"/>
  <c r="HC17" i="13"/>
  <c r="HK17" i="13"/>
  <c r="HS17" i="13"/>
  <c r="IA17" i="13"/>
  <c r="II17" i="13"/>
  <c r="FJ17" i="13"/>
  <c r="FR17" i="13"/>
  <c r="FZ17" i="13"/>
  <c r="GH17" i="13"/>
  <c r="GP17" i="13"/>
  <c r="GX17" i="13"/>
  <c r="DF17" i="13"/>
  <c r="DN17" i="13"/>
  <c r="DV17" i="13"/>
  <c r="ED17" i="13"/>
  <c r="EL17" i="13"/>
  <c r="ET17" i="13"/>
  <c r="FB17" i="13"/>
  <c r="HU17" i="13"/>
  <c r="FT17" i="13"/>
  <c r="DH17" i="13"/>
  <c r="EN17" i="13"/>
  <c r="HN17" i="13"/>
  <c r="IL17" i="13"/>
  <c r="HA17" i="13"/>
  <c r="EG17" i="13"/>
  <c r="HD17" i="13"/>
  <c r="HL17" i="13"/>
  <c r="HT17" i="13"/>
  <c r="IB17" i="13"/>
  <c r="IJ17" i="13"/>
  <c r="FK17" i="13"/>
  <c r="FS17" i="13"/>
  <c r="GA17" i="13"/>
  <c r="GI17" i="13"/>
  <c r="GQ17" i="13"/>
  <c r="GY17" i="13"/>
  <c r="DG17" i="13"/>
  <c r="DO17" i="13"/>
  <c r="DW17" i="13"/>
  <c r="EE17" i="13"/>
  <c r="EM17" i="13"/>
  <c r="EU17" i="13"/>
  <c r="FC17" i="13"/>
  <c r="IC17" i="13"/>
  <c r="FL17" i="13"/>
  <c r="GJ17" i="13"/>
  <c r="GR17" i="13"/>
  <c r="DP17" i="13"/>
  <c r="EV17" i="13"/>
  <c r="ID17" i="13"/>
  <c r="GS17" i="13"/>
  <c r="DQ17" i="13"/>
  <c r="FE17" i="13"/>
  <c r="G15" i="13"/>
  <c r="G16" i="13" s="1"/>
  <c r="G22" i="13" s="1"/>
  <c r="G13" i="13"/>
  <c r="G14" i="13" s="1"/>
  <c r="G21" i="13" s="1"/>
  <c r="G11" i="13"/>
  <c r="G12" i="13" s="1"/>
  <c r="G20" i="13" s="1"/>
  <c r="CN17" i="13"/>
  <c r="CV17" i="13"/>
  <c r="BP17" i="13"/>
  <c r="BX17" i="13"/>
  <c r="CF17" i="13"/>
  <c r="CM17" i="13"/>
  <c r="CO17" i="13"/>
  <c r="CW17" i="13"/>
  <c r="BQ17" i="13"/>
  <c r="BY17" i="13"/>
  <c r="CG17" i="13"/>
  <c r="CE17" i="13"/>
  <c r="CP17" i="13"/>
  <c r="CX17" i="13"/>
  <c r="BR17" i="13"/>
  <c r="BZ17" i="13"/>
  <c r="CH17" i="13"/>
  <c r="CQ17" i="13"/>
  <c r="CY17" i="13"/>
  <c r="BS17" i="13"/>
  <c r="CA17" i="13"/>
  <c r="CI17" i="13"/>
  <c r="BW17" i="13"/>
  <c r="DB17" i="13"/>
  <c r="CR17" i="13"/>
  <c r="CZ17" i="13"/>
  <c r="BT17" i="13"/>
  <c r="CB17" i="13"/>
  <c r="CJ17" i="13"/>
  <c r="CU17" i="13"/>
  <c r="DC17" i="13"/>
  <c r="CS17" i="13"/>
  <c r="DA17" i="13"/>
  <c r="BU17" i="13"/>
  <c r="CC17" i="13"/>
  <c r="CK17" i="13"/>
  <c r="CT17" i="13"/>
  <c r="BV17" i="13"/>
  <c r="CD17" i="13"/>
  <c r="CL17" i="13"/>
  <c r="BM17" i="13"/>
  <c r="BN17" i="13"/>
  <c r="BO17" i="13"/>
  <c r="H3" i="13"/>
  <c r="H23" i="13" s="1"/>
  <c r="D23" i="13"/>
  <c r="H4" i="13"/>
  <c r="F1" i="8"/>
  <c r="C3" i="8"/>
  <c r="C4" i="8"/>
  <c r="C9" i="8"/>
  <c r="C5" i="8"/>
  <c r="C6" i="8"/>
  <c r="C11" i="8"/>
  <c r="C2" i="8"/>
  <c r="AY15" i="3"/>
  <c r="BB3" i="3"/>
  <c r="BC3" i="3"/>
  <c r="BD3" i="3"/>
  <c r="BE3" i="3"/>
  <c r="F3" i="14" s="1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F4" i="14" s="1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F5" i="14" s="1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F6" i="14" s="1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F7" i="14" s="1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F8" i="14" s="1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F9" i="14" s="1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F10" i="14" s="1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F11" i="14" s="1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F12" i="14" s="1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F13" i="14" s="1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F14" i="14" s="1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F15" i="14" s="1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F16" i="14" s="1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F17" i="14" s="1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F18" i="14" s="1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F19" i="14" s="1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F20" i="14" s="1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F21" i="14" s="1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F22" i="14" s="1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F23" i="14" s="1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F24" i="14" s="1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F25" i="14" s="1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F26" i="14" s="1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F27" i="14" s="1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F28" i="14" s="1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F29" i="14" s="1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F30" i="14" s="1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F31" i="14" s="1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F32" i="14" s="1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F33" i="14" s="1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F34" i="14" s="1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F35" i="14" s="1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F36" i="14" s="1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F37" i="14" s="1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F38" i="14" s="1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F39" i="14" s="1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F40" i="14" s="1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F41" i="14" s="1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F42" i="14" s="1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F43" i="14" s="1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F44" i="14" s="1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F45" i="14" s="1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F46" i="14" s="1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F47" i="14" s="1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F48" i="14" s="1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F49" i="14" s="1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F50" i="14" s="1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F51" i="14" s="1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F52" i="14" s="1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F53" i="14" s="1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F54" i="14" s="1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F55" i="14" s="1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F56" i="14" s="1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F57" i="14" s="1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F58" i="14" s="1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F59" i="14" s="1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F60" i="14" s="1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F61" i="14" s="1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F62" i="14" s="1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F63" i="14" s="1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F64" i="14" s="1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F65" i="14" s="1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F66" i="14" s="1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F67" i="14" s="1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F68" i="14" s="1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F69" i="14" s="1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F70" i="14" s="1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F71" i="14" s="1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F72" i="14" s="1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F73" i="14" s="1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F74" i="14" s="1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F75" i="14" s="1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F76" i="14" s="1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F77" i="14" s="1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F78" i="14" s="1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F79" i="14" s="1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F80" i="14" s="1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F81" i="14" s="1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F82" i="14" s="1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F83" i="14" s="1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F84" i="14" s="1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F85" i="14" s="1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F86" i="14" s="1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F87" i="14" s="1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F88" i="14" s="1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F89" i="14" s="1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F90" i="14" s="1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F91" i="14" s="1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F92" i="14" s="1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F93" i="14" s="1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F94" i="14" s="1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F95" i="14" s="1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F96" i="14" s="1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F97" i="14" s="1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F98" i="14" s="1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F99" i="14" s="1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F100" i="14" s="1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F101" i="14" s="1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F102" i="14" s="1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F103" i="14" s="1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F104" i="14" s="1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F105" i="14" s="1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F106" i="14" s="1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F107" i="14" s="1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F108" i="14" s="1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F109" i="14" s="1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F110" i="14" s="1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F111" i="14" s="1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F112" i="14" s="1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F113" i="14" s="1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F114" i="14" s="1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F115" i="14" s="1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F116" i="14" s="1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F117" i="14" s="1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F118" i="14" s="1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F119" i="14" s="1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F120" i="14" s="1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F121" i="14" s="1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F122" i="14" s="1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F123" i="14" s="1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F124" i="14" s="1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F125" i="14" s="1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E126" i="14" s="1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F2" i="14" s="1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H5" i="13" l="1"/>
  <c r="H9" i="13" s="1"/>
  <c r="H10" i="13" s="1"/>
  <c r="H19" i="13" s="1"/>
  <c r="F24" i="8"/>
  <c r="F25" i="8"/>
  <c r="F30" i="8"/>
  <c r="F29" i="8"/>
  <c r="F37" i="8"/>
  <c r="F47" i="8"/>
  <c r="F40" i="8"/>
  <c r="F49" i="8"/>
  <c r="F48" i="8"/>
  <c r="F35" i="8"/>
  <c r="F43" i="8"/>
  <c r="F38" i="8"/>
  <c r="F41" i="8"/>
  <c r="F27" i="8"/>
  <c r="F31" i="8"/>
  <c r="F36" i="8"/>
  <c r="F32" i="8"/>
  <c r="F28" i="8"/>
  <c r="F39" i="8"/>
  <c r="F50" i="8"/>
  <c r="F42" i="8"/>
  <c r="F52" i="8"/>
  <c r="F51" i="8"/>
  <c r="F46" i="8"/>
  <c r="F44" i="8"/>
  <c r="F45" i="8"/>
  <c r="G45" i="8" s="1"/>
  <c r="K54" i="13"/>
  <c r="J51" i="13"/>
  <c r="J29" i="13"/>
  <c r="J43" i="13"/>
  <c r="J37" i="13"/>
  <c r="J45" i="13"/>
  <c r="J55" i="13"/>
  <c r="J35" i="13"/>
  <c r="K55" i="13"/>
  <c r="J52" i="13"/>
  <c r="J32" i="13"/>
  <c r="J46" i="13"/>
  <c r="J54" i="13"/>
  <c r="K52" i="13"/>
  <c r="J31" i="13"/>
  <c r="J33" i="13"/>
  <c r="J47" i="13"/>
  <c r="J44" i="13"/>
  <c r="J41" i="13"/>
  <c r="J53" i="13"/>
  <c r="J48" i="13"/>
  <c r="J40" i="13"/>
  <c r="J49" i="13"/>
  <c r="K53" i="13"/>
  <c r="J50" i="13"/>
  <c r="J38" i="13"/>
  <c r="J36" i="13"/>
  <c r="J39" i="13"/>
  <c r="K50" i="13"/>
  <c r="J34" i="13"/>
  <c r="J30" i="13"/>
  <c r="J42" i="13"/>
  <c r="J56" i="13"/>
  <c r="I3" i="13"/>
  <c r="I23" i="13" s="1"/>
  <c r="C4" i="13"/>
  <c r="C11" i="15" s="1"/>
  <c r="I4" i="13"/>
  <c r="J2" i="8"/>
  <c r="J3" i="8"/>
  <c r="J4" i="8"/>
  <c r="R21" i="12"/>
  <c r="R22" i="12" s="1"/>
  <c r="R23" i="12" s="1"/>
  <c r="R24" i="12" s="1"/>
  <c r="R25" i="12" s="1"/>
  <c r="R26" i="12" s="1"/>
  <c r="R27" i="12" s="1"/>
  <c r="R28" i="12" s="1"/>
  <c r="R29" i="12" s="1"/>
  <c r="B6" i="8" a="1"/>
  <c r="B6" i="8" s="1"/>
  <c r="B5" i="8" a="1"/>
  <c r="B5" i="8" s="1"/>
  <c r="B11" i="8" a="1"/>
  <c r="B11" i="8" s="1"/>
  <c r="B9" i="8" a="1"/>
  <c r="B9" i="8" s="1"/>
  <c r="L50" i="13" l="1"/>
  <c r="L53" i="13"/>
  <c r="L52" i="13"/>
  <c r="L55" i="13"/>
  <c r="H15" i="13"/>
  <c r="H16" i="13" s="1"/>
  <c r="H22" i="13" s="1"/>
  <c r="H11" i="13"/>
  <c r="H12" i="13" s="1"/>
  <c r="H20" i="13" s="1"/>
  <c r="H13" i="13"/>
  <c r="H14" i="13" s="1"/>
  <c r="H21" i="13" s="1"/>
  <c r="I5" i="13"/>
  <c r="I9" i="13" s="1"/>
  <c r="I10" i="13" s="1"/>
  <c r="I19" i="13" s="1"/>
  <c r="L54" i="13"/>
  <c r="D4" i="8"/>
  <c r="J3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J1" i="8"/>
  <c r="E41" i="8" s="1"/>
  <c r="G41" i="8" s="1"/>
  <c r="K56" i="13" s="1"/>
  <c r="L56" i="13" s="1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J23" i="13" l="1"/>
  <c r="J5" i="13"/>
  <c r="I11" i="13"/>
  <c r="I12" i="13" s="1"/>
  <c r="I20" i="13" s="1"/>
  <c r="I15" i="13"/>
  <c r="I16" i="13" s="1"/>
  <c r="I22" i="13" s="1"/>
  <c r="I13" i="13"/>
  <c r="I14" i="13" s="1"/>
  <c r="I21" i="13" s="1"/>
  <c r="E43" i="8"/>
  <c r="G43" i="8" s="1"/>
  <c r="E52" i="8"/>
  <c r="G52" i="8" s="1"/>
  <c r="E51" i="8"/>
  <c r="G51" i="8" s="1"/>
  <c r="E46" i="8"/>
  <c r="G46" i="8" s="1"/>
  <c r="E44" i="8"/>
  <c r="G44" i="8" s="1"/>
  <c r="F34" i="8"/>
  <c r="F26" i="8"/>
  <c r="F20" i="8"/>
  <c r="D3" i="8"/>
  <c r="K3" i="13"/>
  <c r="K23" i="13" s="1"/>
  <c r="K1" i="8"/>
  <c r="E38" i="8" s="1"/>
  <c r="G38" i="8" s="1"/>
  <c r="K4" i="13"/>
  <c r="D2" i="8"/>
  <c r="J9" i="13" l="1"/>
  <c r="J10" i="13" s="1"/>
  <c r="J19" i="13" s="1"/>
  <c r="J13" i="13"/>
  <c r="J14" i="13" s="1"/>
  <c r="J21" i="13" s="1"/>
  <c r="J15" i="13"/>
  <c r="J16" i="13" s="1"/>
  <c r="J22" i="13" s="1"/>
  <c r="J11" i="13"/>
  <c r="J12" i="13" s="1"/>
  <c r="J20" i="13" s="1"/>
  <c r="K5" i="13"/>
  <c r="K9" i="13" s="1"/>
  <c r="K10" i="13" s="1"/>
  <c r="K19" i="13" s="1"/>
  <c r="F23" i="8"/>
  <c r="E35" i="8"/>
  <c r="G35" i="8" s="1"/>
  <c r="K45" i="13" s="1"/>
  <c r="L45" i="13" s="1"/>
  <c r="E40" i="8"/>
  <c r="G40" i="8" s="1"/>
  <c r="E50" i="8"/>
  <c r="G50" i="8" s="1"/>
  <c r="E47" i="8"/>
  <c r="G47" i="8" s="1"/>
  <c r="E48" i="8"/>
  <c r="G48" i="8" s="1"/>
  <c r="E49" i="8"/>
  <c r="G49" i="8" s="1"/>
  <c r="K60" i="13" s="1"/>
  <c r="L60" i="13" s="1"/>
  <c r="E42" i="8"/>
  <c r="G42" i="8" s="1"/>
  <c r="E39" i="8"/>
  <c r="G39" i="8" s="1"/>
  <c r="K49" i="13" s="1"/>
  <c r="L49" i="13" s="1"/>
  <c r="L3" i="13"/>
  <c r="K48" i="13"/>
  <c r="L48" i="13" s="1"/>
  <c r="L1" i="8"/>
  <c r="E36" i="8" s="1"/>
  <c r="G36" i="8" s="1"/>
  <c r="L4" i="13"/>
  <c r="L23" i="13" l="1"/>
  <c r="K11" i="13"/>
  <c r="K12" i="13" s="1"/>
  <c r="K20" i="13" s="1"/>
  <c r="K15" i="13"/>
  <c r="K16" i="13" s="1"/>
  <c r="K22" i="13" s="1"/>
  <c r="K13" i="13"/>
  <c r="K14" i="13" s="1"/>
  <c r="K21" i="13" s="1"/>
  <c r="L5" i="13"/>
  <c r="L9" i="13" s="1"/>
  <c r="L10" i="13" s="1"/>
  <c r="L19" i="13" s="1"/>
  <c r="F19" i="8"/>
  <c r="E29" i="8"/>
  <c r="G29" i="8" s="1"/>
  <c r="E28" i="8"/>
  <c r="G28" i="8" s="1"/>
  <c r="K39" i="13" s="1"/>
  <c r="L39" i="13" s="1"/>
  <c r="E30" i="8"/>
  <c r="G30" i="8" s="1"/>
  <c r="E32" i="8"/>
  <c r="G32" i="8" s="1"/>
  <c r="E27" i="8"/>
  <c r="G27" i="8" s="1"/>
  <c r="K47" i="13" s="1"/>
  <c r="L47" i="13" s="1"/>
  <c r="M3" i="13"/>
  <c r="M23" i="13" s="1"/>
  <c r="M1" i="8"/>
  <c r="M4" i="13"/>
  <c r="L11" i="13" l="1"/>
  <c r="L12" i="13" s="1"/>
  <c r="L20" i="13" s="1"/>
  <c r="L15" i="13"/>
  <c r="L16" i="13" s="1"/>
  <c r="L22" i="13" s="1"/>
  <c r="L13" i="13"/>
  <c r="L14" i="13" s="1"/>
  <c r="L21" i="13" s="1"/>
  <c r="M5" i="13"/>
  <c r="M9" i="13" s="1"/>
  <c r="M10" i="13" s="1"/>
  <c r="M19" i="13" s="1"/>
  <c r="N3" i="13"/>
  <c r="F16" i="8"/>
  <c r="E31" i="8"/>
  <c r="G31" i="8" s="1"/>
  <c r="F15" i="8"/>
  <c r="E37" i="8"/>
  <c r="G37" i="8" s="1"/>
  <c r="K32" i="13" s="1"/>
  <c r="L32" i="13" s="1"/>
  <c r="N1" i="8"/>
  <c r="N4" i="13"/>
  <c r="N23" i="13" l="1"/>
  <c r="N5" i="13"/>
  <c r="N9" i="13" s="1"/>
  <c r="N10" i="13" s="1"/>
  <c r="N19" i="13" s="1"/>
  <c r="M11" i="13"/>
  <c r="M12" i="13" s="1"/>
  <c r="M20" i="13" s="1"/>
  <c r="M15" i="13"/>
  <c r="M16" i="13" s="1"/>
  <c r="M22" i="13" s="1"/>
  <c r="M13" i="13"/>
  <c r="M14" i="13" s="1"/>
  <c r="M21" i="13" s="1"/>
  <c r="O3" i="13"/>
  <c r="O23" i="13" s="1"/>
  <c r="E25" i="8"/>
  <c r="G25" i="8" s="1"/>
  <c r="F17" i="8"/>
  <c r="E24" i="8"/>
  <c r="G24" i="8" s="1"/>
  <c r="F18" i="8"/>
  <c r="K46" i="13"/>
  <c r="L46" i="13" s="1"/>
  <c r="O1" i="8"/>
  <c r="O4" i="13"/>
  <c r="P3" i="13" l="1"/>
  <c r="P23" i="13" s="1"/>
  <c r="O5" i="13"/>
  <c r="O9" i="13" s="1"/>
  <c r="O10" i="13" s="1"/>
  <c r="O19" i="13" s="1"/>
  <c r="N11" i="13"/>
  <c r="N12" i="13" s="1"/>
  <c r="N20" i="13" s="1"/>
  <c r="N13" i="13"/>
  <c r="N14" i="13" s="1"/>
  <c r="N21" i="13" s="1"/>
  <c r="N15" i="13"/>
  <c r="N16" i="13" s="1"/>
  <c r="N22" i="13" s="1"/>
  <c r="E20" i="8"/>
  <c r="G20" i="8" s="1"/>
  <c r="E26" i="8"/>
  <c r="G26" i="8" s="1"/>
  <c r="E34" i="8"/>
  <c r="G34" i="8" s="1"/>
  <c r="K43" i="13"/>
  <c r="L43" i="13" s="1"/>
  <c r="P1" i="8"/>
  <c r="P4" i="13"/>
  <c r="Q3" i="13" l="1"/>
  <c r="Q23" i="13" s="1"/>
  <c r="O15" i="13"/>
  <c r="O16" i="13" s="1"/>
  <c r="O22" i="13" s="1"/>
  <c r="O13" i="13"/>
  <c r="O14" i="13" s="1"/>
  <c r="O21" i="13" s="1"/>
  <c r="O11" i="13"/>
  <c r="O12" i="13" s="1"/>
  <c r="O20" i="13" s="1"/>
  <c r="P5" i="13"/>
  <c r="Q1" i="8"/>
  <c r="Q4" i="13"/>
  <c r="R3" i="13" l="1"/>
  <c r="R23" i="13" s="1"/>
  <c r="P9" i="13"/>
  <c r="P10" i="13" s="1"/>
  <c r="P19" i="13" s="1"/>
  <c r="P13" i="13"/>
  <c r="P14" i="13" s="1"/>
  <c r="P21" i="13" s="1"/>
  <c r="P11" i="13"/>
  <c r="P12" i="13" s="1"/>
  <c r="P20" i="13" s="1"/>
  <c r="Q5" i="13"/>
  <c r="Q9" i="13" s="1"/>
  <c r="P15" i="13"/>
  <c r="P16" i="13" s="1"/>
  <c r="P22" i="13" s="1"/>
  <c r="R1" i="8"/>
  <c r="R4" i="13"/>
  <c r="Q10" i="13" l="1"/>
  <c r="Q19" i="13" s="1"/>
  <c r="S3" i="13"/>
  <c r="S23" i="13" s="1"/>
  <c r="Q11" i="13"/>
  <c r="Q15" i="13"/>
  <c r="Q13" i="13"/>
  <c r="R5" i="13"/>
  <c r="R9" i="13" s="1"/>
  <c r="S1" i="8"/>
  <c r="S4" i="13"/>
  <c r="S5" i="13" s="1"/>
  <c r="Q12" i="13" l="1"/>
  <c r="Q20" i="13" s="1"/>
  <c r="Q16" i="13"/>
  <c r="Q22" i="13" s="1"/>
  <c r="R10" i="13"/>
  <c r="R19" i="13" s="1"/>
  <c r="Q14" i="13"/>
  <c r="Q21" i="13" s="1"/>
  <c r="T3" i="13"/>
  <c r="T23" i="13" s="1"/>
  <c r="S9" i="13"/>
  <c r="R15" i="13"/>
  <c r="R16" i="13" s="1"/>
  <c r="R11" i="13"/>
  <c r="R12" i="13" s="1"/>
  <c r="R13" i="13"/>
  <c r="R14" i="13" s="1"/>
  <c r="T1" i="8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E2" i="8"/>
  <c r="T4" i="13"/>
  <c r="T5" i="13" s="1"/>
  <c r="S10" i="13" l="1"/>
  <c r="S19" i="13" s="1"/>
  <c r="T9" i="13"/>
  <c r="U3" i="13"/>
  <c r="U23" i="13" s="1"/>
  <c r="S13" i="13"/>
  <c r="S14" i="13" s="1"/>
  <c r="R21" i="13"/>
  <c r="S11" i="13"/>
  <c r="S12" i="13" s="1"/>
  <c r="R20" i="13"/>
  <c r="S15" i="13"/>
  <c r="S16" i="13" s="1"/>
  <c r="R22" i="13"/>
  <c r="F4" i="8"/>
  <c r="E11" i="8"/>
  <c r="F12" i="8"/>
  <c r="F11" i="8"/>
  <c r="F33" i="8"/>
  <c r="F14" i="8"/>
  <c r="F8" i="8"/>
  <c r="F21" i="8"/>
  <c r="E21" i="8"/>
  <c r="E16" i="8"/>
  <c r="G16" i="8" s="1"/>
  <c r="K33" i="13" s="1"/>
  <c r="L33" i="13" s="1"/>
  <c r="F9" i="8"/>
  <c r="E19" i="8"/>
  <c r="G19" i="8" s="1"/>
  <c r="F22" i="8"/>
  <c r="F6" i="8"/>
  <c r="E3" i="8"/>
  <c r="F5" i="8"/>
  <c r="E33" i="8"/>
  <c r="F10" i="8"/>
  <c r="E13" i="8"/>
  <c r="F13" i="8"/>
  <c r="E18" i="8"/>
  <c r="G18" i="8" s="1"/>
  <c r="E14" i="8"/>
  <c r="F7" i="8"/>
  <c r="E15" i="8"/>
  <c r="G15" i="8" s="1"/>
  <c r="E10" i="8"/>
  <c r="E4" i="8"/>
  <c r="E6" i="8"/>
  <c r="F3" i="8"/>
  <c r="E5" i="8"/>
  <c r="E23" i="8"/>
  <c r="G23" i="8" s="1"/>
  <c r="E9" i="8"/>
  <c r="E7" i="8"/>
  <c r="E12" i="8"/>
  <c r="E22" i="8"/>
  <c r="E17" i="8"/>
  <c r="G17" i="8" s="1"/>
  <c r="E8" i="8"/>
  <c r="K51" i="13"/>
  <c r="L51" i="13" s="1"/>
  <c r="G2" i="8"/>
  <c r="K36" i="13"/>
  <c r="L36" i="13" s="1"/>
  <c r="U4" i="13"/>
  <c r="U5" i="13" s="1"/>
  <c r="T10" i="13" l="1"/>
  <c r="T19" i="13" s="1"/>
  <c r="U9" i="13"/>
  <c r="V3" i="13"/>
  <c r="V23" i="13" s="1"/>
  <c r="T11" i="13"/>
  <c r="S20" i="13"/>
  <c r="T15" i="13"/>
  <c r="T16" i="13" s="1"/>
  <c r="S22" i="13"/>
  <c r="T13" i="13"/>
  <c r="S21" i="13"/>
  <c r="G9" i="8"/>
  <c r="G12" i="8"/>
  <c r="K41" i="13" s="1"/>
  <c r="L41" i="13" s="1"/>
  <c r="G14" i="8"/>
  <c r="K30" i="13" s="1"/>
  <c r="L30" i="13" s="1"/>
  <c r="G4" i="8"/>
  <c r="G7" i="8"/>
  <c r="K44" i="13" s="1"/>
  <c r="L44" i="13" s="1"/>
  <c r="G8" i="8"/>
  <c r="K42" i="13" s="1"/>
  <c r="L42" i="13" s="1"/>
  <c r="G10" i="8"/>
  <c r="K29" i="13" s="1"/>
  <c r="L29" i="13" s="1"/>
  <c r="G5" i="8"/>
  <c r="G6" i="8"/>
  <c r="K31" i="13" s="1"/>
  <c r="L31" i="13" s="1"/>
  <c r="G22" i="8"/>
  <c r="G21" i="8"/>
  <c r="K57" i="13" s="1"/>
  <c r="L57" i="13" s="1"/>
  <c r="G33" i="8"/>
  <c r="G3" i="8"/>
  <c r="G13" i="8"/>
  <c r="K38" i="13" s="1"/>
  <c r="L38" i="13" s="1"/>
  <c r="G11" i="8"/>
  <c r="K35" i="13"/>
  <c r="L35" i="13" s="1"/>
  <c r="K40" i="13"/>
  <c r="L40" i="13" s="1"/>
  <c r="K34" i="13"/>
  <c r="L34" i="13" s="1"/>
  <c r="K37" i="13"/>
  <c r="L37" i="13" s="1"/>
  <c r="V4" i="13"/>
  <c r="V5" i="13" s="1"/>
  <c r="V9" i="13" s="1"/>
  <c r="K58" i="13" l="1"/>
  <c r="L58" i="13" s="1"/>
  <c r="B126" i="14"/>
  <c r="V10" i="13"/>
  <c r="V19" i="13" s="1"/>
  <c r="T12" i="13"/>
  <c r="T20" i="13" s="1"/>
  <c r="U10" i="13"/>
  <c r="U19" i="13" s="1"/>
  <c r="T14" i="13"/>
  <c r="T21" i="13" s="1"/>
  <c r="W3" i="13"/>
  <c r="W23" i="13" s="1"/>
  <c r="U11" i="13"/>
  <c r="U13" i="13"/>
  <c r="U15" i="13"/>
  <c r="U16" i="13" s="1"/>
  <c r="T22" i="13"/>
  <c r="C8" i="13"/>
  <c r="F18" i="13" s="1"/>
  <c r="W4" i="13"/>
  <c r="W5" i="13" s="1"/>
  <c r="W9" i="13" s="1"/>
  <c r="W10" i="13" l="1"/>
  <c r="W19" i="13" s="1"/>
  <c r="U14" i="13"/>
  <c r="U21" i="13" s="1"/>
  <c r="U12" i="13"/>
  <c r="U20" i="13" s="1"/>
  <c r="V11" i="13"/>
  <c r="X3" i="13"/>
  <c r="X23" i="13" s="1"/>
  <c r="F6" i="13"/>
  <c r="G6" i="13" s="1"/>
  <c r="V13" i="13"/>
  <c r="V15" i="13"/>
  <c r="V16" i="13" s="1"/>
  <c r="U22" i="13"/>
  <c r="C17" i="15"/>
  <c r="C10" i="13"/>
  <c r="C15" i="15" s="1"/>
  <c r="D21" i="13"/>
  <c r="BI17" i="13"/>
  <c r="AC17" i="13"/>
  <c r="BB17" i="13"/>
  <c r="V17" i="13"/>
  <c r="AS17" i="13"/>
  <c r="M17" i="13"/>
  <c r="C27" i="15"/>
  <c r="BA17" i="13"/>
  <c r="U17" i="13"/>
  <c r="AT17" i="13"/>
  <c r="N17" i="13"/>
  <c r="AL17" i="13"/>
  <c r="AK17" i="13"/>
  <c r="BJ17" i="13"/>
  <c r="AD17" i="13"/>
  <c r="G17" i="13"/>
  <c r="H17" i="13"/>
  <c r="I17" i="13"/>
  <c r="S17" i="13"/>
  <c r="Z17" i="13"/>
  <c r="AJ17" i="13"/>
  <c r="O17" i="13"/>
  <c r="P17" i="13"/>
  <c r="Q17" i="13"/>
  <c r="AA17" i="13"/>
  <c r="AH17" i="13"/>
  <c r="AR17" i="13"/>
  <c r="W17" i="13"/>
  <c r="X17" i="13"/>
  <c r="Y17" i="13"/>
  <c r="AI17" i="13"/>
  <c r="AP17" i="13"/>
  <c r="AZ17" i="13"/>
  <c r="AB17" i="13"/>
  <c r="AE17" i="13"/>
  <c r="AF17" i="13"/>
  <c r="AG17" i="13"/>
  <c r="AQ17" i="13"/>
  <c r="AX17" i="13"/>
  <c r="BH17" i="13"/>
  <c r="K17" i="13"/>
  <c r="AM17" i="13"/>
  <c r="AO17" i="13"/>
  <c r="AY17" i="13"/>
  <c r="BF17" i="13"/>
  <c r="R17" i="13"/>
  <c r="AU17" i="13"/>
  <c r="AV17" i="13"/>
  <c r="AW17" i="13"/>
  <c r="BG17" i="13"/>
  <c r="L17" i="13"/>
  <c r="BL17" i="13"/>
  <c r="BC17" i="13"/>
  <c r="BD17" i="13"/>
  <c r="BE17" i="13"/>
  <c r="J17" i="13"/>
  <c r="T17" i="13"/>
  <c r="BK17" i="13"/>
  <c r="X4" i="13"/>
  <c r="X5" i="13" s="1"/>
  <c r="X9" i="13" s="1"/>
  <c r="G7" i="13" l="1"/>
  <c r="H6" i="13"/>
  <c r="W11" i="13"/>
  <c r="V12" i="13"/>
  <c r="V20" i="13" s="1"/>
  <c r="X10" i="13"/>
  <c r="X19" i="13" s="1"/>
  <c r="W13" i="13"/>
  <c r="V14" i="13"/>
  <c r="V21" i="13" s="1"/>
  <c r="Y3" i="13"/>
  <c r="Y23" i="13" s="1"/>
  <c r="W15" i="13"/>
  <c r="W16" i="13" s="1"/>
  <c r="V22" i="13"/>
  <c r="Y4" i="13"/>
  <c r="Y5" i="13" s="1"/>
  <c r="Y9" i="13" s="1"/>
  <c r="H7" i="13" l="1"/>
  <c r="I6" i="13"/>
  <c r="G8" i="13"/>
  <c r="G18" i="13"/>
  <c r="G24" i="13" s="1"/>
  <c r="W12" i="13"/>
  <c r="W20" i="13" s="1"/>
  <c r="W14" i="13"/>
  <c r="W21" i="13" s="1"/>
  <c r="X13" i="13"/>
  <c r="Y13" i="13" s="1"/>
  <c r="Y10" i="13"/>
  <c r="Y19" i="13" s="1"/>
  <c r="X11" i="13"/>
  <c r="Z3" i="13"/>
  <c r="Z23" i="13" s="1"/>
  <c r="X15" i="13"/>
  <c r="X16" i="13" s="1"/>
  <c r="W22" i="13"/>
  <c r="Z4" i="13"/>
  <c r="Z5" i="13" s="1"/>
  <c r="Z9" i="13" s="1"/>
  <c r="H18" i="13" l="1"/>
  <c r="H24" i="13" s="1"/>
  <c r="H8" i="13"/>
  <c r="I7" i="13"/>
  <c r="J6" i="13"/>
  <c r="Y14" i="13"/>
  <c r="Y21" i="13" s="1"/>
  <c r="X12" i="13"/>
  <c r="X20" i="13" s="1"/>
  <c r="X14" i="13"/>
  <c r="X21" i="13" s="1"/>
  <c r="Z10" i="13"/>
  <c r="Z19" i="13" s="1"/>
  <c r="Y11" i="13"/>
  <c r="AA3" i="13"/>
  <c r="AA23" i="13" s="1"/>
  <c r="Y15" i="13"/>
  <c r="Y16" i="13" s="1"/>
  <c r="X22" i="13"/>
  <c r="Z13" i="13"/>
  <c r="AA4" i="13"/>
  <c r="AA5" i="13" s="1"/>
  <c r="AA9" i="13" s="1"/>
  <c r="I18" i="13" l="1"/>
  <c r="I24" i="13" s="1"/>
  <c r="I8" i="13"/>
  <c r="J7" i="13"/>
  <c r="K6" i="13"/>
  <c r="Y12" i="13"/>
  <c r="Y20" i="13" s="1"/>
  <c r="Z11" i="13"/>
  <c r="AA11" i="13" s="1"/>
  <c r="AA10" i="13"/>
  <c r="AA19" i="13" s="1"/>
  <c r="Z14" i="13"/>
  <c r="Z21" i="13" s="1"/>
  <c r="AB3" i="13"/>
  <c r="AB23" i="13" s="1"/>
  <c r="AA13" i="13"/>
  <c r="Z15" i="13"/>
  <c r="Z16" i="13" s="1"/>
  <c r="Y22" i="13"/>
  <c r="AB4" i="13"/>
  <c r="AB5" i="13" s="1"/>
  <c r="AB9" i="13" s="1"/>
  <c r="J18" i="13" l="1"/>
  <c r="J24" i="13" s="1"/>
  <c r="J8" i="13"/>
  <c r="K7" i="13"/>
  <c r="L6" i="13"/>
  <c r="AA12" i="13"/>
  <c r="AA20" i="13" s="1"/>
  <c r="AA14" i="13"/>
  <c r="AA21" i="13" s="1"/>
  <c r="Z12" i="13"/>
  <c r="Z20" i="13" s="1"/>
  <c r="AB10" i="13"/>
  <c r="AB19" i="13" s="1"/>
  <c r="AC3" i="13"/>
  <c r="AC23" i="13" s="1"/>
  <c r="AA15" i="13"/>
  <c r="AA16" i="13" s="1"/>
  <c r="Z22" i="13"/>
  <c r="AB11" i="13"/>
  <c r="AB12" i="13" s="1"/>
  <c r="AB13" i="13"/>
  <c r="AC4" i="13"/>
  <c r="AC5" i="13" s="1"/>
  <c r="AC9" i="13" s="1"/>
  <c r="AC10" i="13" s="1"/>
  <c r="K18" i="13" l="1"/>
  <c r="K24" i="13" s="1"/>
  <c r="K8" i="13"/>
  <c r="L7" i="13"/>
  <c r="M6" i="13"/>
  <c r="AB14" i="13"/>
  <c r="AB21" i="13" s="1"/>
  <c r="AD3" i="13"/>
  <c r="AD23" i="13" s="1"/>
  <c r="AC19" i="13"/>
  <c r="AC13" i="13"/>
  <c r="AB20" i="13"/>
  <c r="AB15" i="13"/>
  <c r="AB16" i="13" s="1"/>
  <c r="AA22" i="13"/>
  <c r="AC11" i="13"/>
  <c r="AD4" i="13"/>
  <c r="AD5" i="13" s="1"/>
  <c r="L18" i="13" l="1"/>
  <c r="L24" i="13" s="1"/>
  <c r="L8" i="13"/>
  <c r="M7" i="13"/>
  <c r="N6" i="13"/>
  <c r="AC14" i="13"/>
  <c r="AC21" i="13" s="1"/>
  <c r="AC12" i="13"/>
  <c r="AC20" i="13" s="1"/>
  <c r="AE3" i="13"/>
  <c r="AE23" i="13" s="1"/>
  <c r="AD9" i="13"/>
  <c r="AC15" i="13"/>
  <c r="AC16" i="13" s="1"/>
  <c r="AB22" i="13"/>
  <c r="AD11" i="13"/>
  <c r="AD13" i="13"/>
  <c r="AE4" i="13"/>
  <c r="AE5" i="13" s="1"/>
  <c r="M18" i="13" l="1"/>
  <c r="M24" i="13" s="1"/>
  <c r="M8" i="13"/>
  <c r="N7" i="13"/>
  <c r="O6" i="13"/>
  <c r="AD14" i="13"/>
  <c r="AD21" i="13" s="1"/>
  <c r="AD12" i="13"/>
  <c r="AD20" i="13" s="1"/>
  <c r="AD10" i="13"/>
  <c r="AD19" i="13" s="1"/>
  <c r="AF3" i="13"/>
  <c r="AF23" i="13" s="1"/>
  <c r="AE9" i="13"/>
  <c r="AE11" i="13"/>
  <c r="AE13" i="13"/>
  <c r="AD15" i="13"/>
  <c r="AD16" i="13" s="1"/>
  <c r="AC22" i="13"/>
  <c r="AF4" i="13"/>
  <c r="AF5" i="13" s="1"/>
  <c r="N18" i="13" l="1"/>
  <c r="N24" i="13" s="1"/>
  <c r="N8" i="13"/>
  <c r="O7" i="13"/>
  <c r="P6" i="13"/>
  <c r="AE14" i="13"/>
  <c r="AE21" i="13" s="1"/>
  <c r="AE12" i="13"/>
  <c r="AE20" i="13" s="1"/>
  <c r="AE10" i="13"/>
  <c r="AE19" i="13" s="1"/>
  <c r="AG3" i="13"/>
  <c r="AG23" i="13" s="1"/>
  <c r="AF9" i="13"/>
  <c r="AE15" i="13"/>
  <c r="AE16" i="13" s="1"/>
  <c r="AD22" i="13"/>
  <c r="AF13" i="13"/>
  <c r="AF11" i="13"/>
  <c r="AG4" i="13"/>
  <c r="AG5" i="13" s="1"/>
  <c r="O18" i="13" l="1"/>
  <c r="O24" i="13" s="1"/>
  <c r="O8" i="13"/>
  <c r="P7" i="13"/>
  <c r="Q6" i="13"/>
  <c r="AF10" i="13"/>
  <c r="AF19" i="13" s="1"/>
  <c r="AF14" i="13"/>
  <c r="AF21" i="13" s="1"/>
  <c r="AF12" i="13"/>
  <c r="AF20" i="13" s="1"/>
  <c r="AH3" i="13"/>
  <c r="AH23" i="13" s="1"/>
  <c r="AG9" i="13"/>
  <c r="AG11" i="13"/>
  <c r="AG13" i="13"/>
  <c r="AF15" i="13"/>
  <c r="AF16" i="13" s="1"/>
  <c r="AE22" i="13"/>
  <c r="AH4" i="13"/>
  <c r="AH5" i="13" s="1"/>
  <c r="P18" i="13" l="1"/>
  <c r="P24" i="13" s="1"/>
  <c r="P8" i="13"/>
  <c r="Q7" i="13"/>
  <c r="R6" i="13"/>
  <c r="AG12" i="13"/>
  <c r="AG20" i="13" s="1"/>
  <c r="AG14" i="13"/>
  <c r="AG21" i="13" s="1"/>
  <c r="AG10" i="13"/>
  <c r="AG19" i="13" s="1"/>
  <c r="AI3" i="13"/>
  <c r="AI23" i="13" s="1"/>
  <c r="AH9" i="13"/>
  <c r="AG15" i="13"/>
  <c r="AG16" i="13" s="1"/>
  <c r="AF22" i="13"/>
  <c r="AH13" i="13"/>
  <c r="AH11" i="13"/>
  <c r="AI4" i="13"/>
  <c r="AI5" i="13" s="1"/>
  <c r="Q18" i="13" l="1"/>
  <c r="Q24" i="13" s="1"/>
  <c r="Q8" i="13"/>
  <c r="R7" i="13"/>
  <c r="S6" i="13"/>
  <c r="AH12" i="13"/>
  <c r="AH20" i="13" s="1"/>
  <c r="AH14" i="13"/>
  <c r="AH21" i="13" s="1"/>
  <c r="AH10" i="13"/>
  <c r="AH19" i="13" s="1"/>
  <c r="AJ3" i="13"/>
  <c r="AJ23" i="13" s="1"/>
  <c r="AI9" i="13"/>
  <c r="AH15" i="13"/>
  <c r="AH16" i="13" s="1"/>
  <c r="AG22" i="13"/>
  <c r="AI11" i="13"/>
  <c r="AI13" i="13"/>
  <c r="AJ4" i="13"/>
  <c r="AJ5" i="13" s="1"/>
  <c r="R18" i="13" l="1"/>
  <c r="R24" i="13" s="1"/>
  <c r="R8" i="13"/>
  <c r="T6" i="13"/>
  <c r="S7" i="13"/>
  <c r="AI12" i="13"/>
  <c r="AI20" i="13" s="1"/>
  <c r="AI14" i="13"/>
  <c r="AI21" i="13" s="1"/>
  <c r="AI10" i="13"/>
  <c r="AI19" i="13" s="1"/>
  <c r="AK3" i="13"/>
  <c r="AJ9" i="13"/>
  <c r="AJ13" i="13"/>
  <c r="AJ11" i="13"/>
  <c r="AI15" i="13"/>
  <c r="AI16" i="13" s="1"/>
  <c r="AH22" i="13"/>
  <c r="AK4" i="13"/>
  <c r="AK5" i="13" s="1"/>
  <c r="S18" i="13" l="1"/>
  <c r="S24" i="13" s="1"/>
  <c r="S8" i="13"/>
  <c r="T7" i="13"/>
  <c r="T18" i="13" s="1"/>
  <c r="U6" i="13"/>
  <c r="AJ10" i="13"/>
  <c r="AJ19" i="13" s="1"/>
  <c r="AJ12" i="13"/>
  <c r="AJ20" i="13" s="1"/>
  <c r="AJ14" i="13"/>
  <c r="AJ21" i="13" s="1"/>
  <c r="AK23" i="13"/>
  <c r="AL3" i="13"/>
  <c r="AL23" i="13" s="1"/>
  <c r="AK9" i="13"/>
  <c r="AJ15" i="13"/>
  <c r="AJ16" i="13" s="1"/>
  <c r="AI22" i="13"/>
  <c r="AK11" i="13"/>
  <c r="AK13" i="13"/>
  <c r="AL4" i="13"/>
  <c r="AL5" i="13" s="1"/>
  <c r="T24" i="13" l="1"/>
  <c r="T8" i="13"/>
  <c r="V6" i="13"/>
  <c r="U7" i="13"/>
  <c r="AK12" i="13"/>
  <c r="AK20" i="13" s="1"/>
  <c r="AK14" i="13"/>
  <c r="AK21" i="13" s="1"/>
  <c r="AK10" i="13"/>
  <c r="AK19" i="13" s="1"/>
  <c r="AM3" i="13"/>
  <c r="AM23" i="13" s="1"/>
  <c r="AL9" i="13"/>
  <c r="AL13" i="13"/>
  <c r="AL11" i="13"/>
  <c r="AK15" i="13"/>
  <c r="AK16" i="13" s="1"/>
  <c r="AJ22" i="13"/>
  <c r="AM4" i="13"/>
  <c r="AM5" i="13" s="1"/>
  <c r="U18" i="13" l="1"/>
  <c r="U24" i="13" s="1"/>
  <c r="U8" i="13"/>
  <c r="V7" i="13"/>
  <c r="V18" i="13" s="1"/>
  <c r="W6" i="13"/>
  <c r="AL14" i="13"/>
  <c r="AL21" i="13" s="1"/>
  <c r="AL10" i="13"/>
  <c r="AL19" i="13" s="1"/>
  <c r="AL12" i="13"/>
  <c r="AL20" i="13" s="1"/>
  <c r="AN3" i="13"/>
  <c r="AN23" i="13" s="1"/>
  <c r="AM9" i="13"/>
  <c r="AL15" i="13"/>
  <c r="AL16" i="13" s="1"/>
  <c r="AK22" i="13"/>
  <c r="AM11" i="13"/>
  <c r="AM13" i="13"/>
  <c r="AN4" i="13"/>
  <c r="AN5" i="13" s="1"/>
  <c r="V24" i="13" l="1"/>
  <c r="V8" i="13"/>
  <c r="X6" i="13"/>
  <c r="W7" i="13"/>
  <c r="AM14" i="13"/>
  <c r="AM21" i="13" s="1"/>
  <c r="AM12" i="13"/>
  <c r="AM20" i="13" s="1"/>
  <c r="AM10" i="13"/>
  <c r="AM19" i="13" s="1"/>
  <c r="AO3" i="13"/>
  <c r="AO23" i="13" s="1"/>
  <c r="AN9" i="13"/>
  <c r="AN13" i="13"/>
  <c r="AN11" i="13"/>
  <c r="AM15" i="13"/>
  <c r="AM16" i="13" s="1"/>
  <c r="AL22" i="13"/>
  <c r="AO4" i="13"/>
  <c r="AO5" i="13" s="1"/>
  <c r="W18" i="13" l="1"/>
  <c r="W24" i="13" s="1"/>
  <c r="W8" i="13"/>
  <c r="X7" i="13"/>
  <c r="Y6" i="13"/>
  <c r="AN12" i="13"/>
  <c r="AN20" i="13" s="1"/>
  <c r="AN10" i="13"/>
  <c r="AN19" i="13" s="1"/>
  <c r="AN14" i="13"/>
  <c r="AN21" i="13" s="1"/>
  <c r="AP3" i="13"/>
  <c r="AP23" i="13" s="1"/>
  <c r="AO9" i="13"/>
  <c r="AN15" i="13"/>
  <c r="AN16" i="13" s="1"/>
  <c r="AM22" i="13"/>
  <c r="AO11" i="13"/>
  <c r="AO13" i="13"/>
  <c r="AO14" i="13" s="1"/>
  <c r="AP4" i="13"/>
  <c r="AP5" i="13" s="1"/>
  <c r="X18" i="13" l="1"/>
  <c r="X24" i="13" s="1"/>
  <c r="X8" i="13"/>
  <c r="Z6" i="13"/>
  <c r="Y7" i="13"/>
  <c r="AO12" i="13"/>
  <c r="AO20" i="13" s="1"/>
  <c r="AO10" i="13"/>
  <c r="AO19" i="13" s="1"/>
  <c r="AQ3" i="13"/>
  <c r="AQ23" i="13" s="1"/>
  <c r="AP9" i="13"/>
  <c r="AP13" i="13"/>
  <c r="AP11" i="13"/>
  <c r="AO21" i="13"/>
  <c r="AO15" i="13"/>
  <c r="AO16" i="13" s="1"/>
  <c r="AN22" i="13"/>
  <c r="AQ4" i="13"/>
  <c r="AQ5" i="13" s="1"/>
  <c r="Y18" i="13" l="1"/>
  <c r="Y24" i="13" s="1"/>
  <c r="Y8" i="13"/>
  <c r="AA6" i="13"/>
  <c r="Z7" i="13"/>
  <c r="AP12" i="13"/>
  <c r="AP20" i="13" s="1"/>
  <c r="AP14" i="13"/>
  <c r="AP21" i="13" s="1"/>
  <c r="AP10" i="13"/>
  <c r="AP19" i="13" s="1"/>
  <c r="AR3" i="13"/>
  <c r="AR23" i="13" s="1"/>
  <c r="AQ9" i="13"/>
  <c r="AP15" i="13"/>
  <c r="AP16" i="13" s="1"/>
  <c r="AO22" i="13"/>
  <c r="AQ11" i="13"/>
  <c r="AQ13" i="13"/>
  <c r="AQ14" i="13" s="1"/>
  <c r="AR4" i="13"/>
  <c r="AR5" i="13" s="1"/>
  <c r="Z18" i="13" l="1"/>
  <c r="Z24" i="13" s="1"/>
  <c r="Z8" i="13"/>
  <c r="AB6" i="13"/>
  <c r="AA7" i="13"/>
  <c r="AQ10" i="13"/>
  <c r="AQ19" i="13" s="1"/>
  <c r="AQ12" i="13"/>
  <c r="AQ20" i="13" s="1"/>
  <c r="AS3" i="13"/>
  <c r="AS23" i="13" s="1"/>
  <c r="AR9" i="13"/>
  <c r="AR13" i="13"/>
  <c r="AQ21" i="13"/>
  <c r="AR11" i="13"/>
  <c r="AQ15" i="13"/>
  <c r="AQ16" i="13" s="1"/>
  <c r="AP22" i="13"/>
  <c r="AS4" i="13"/>
  <c r="AS5" i="13" s="1"/>
  <c r="AA18" i="13" l="1"/>
  <c r="AA24" i="13" s="1"/>
  <c r="AA8" i="13"/>
  <c r="AB7" i="13"/>
  <c r="AC6" i="13"/>
  <c r="AR14" i="13"/>
  <c r="AR21" i="13" s="1"/>
  <c r="AR12" i="13"/>
  <c r="AR20" i="13" s="1"/>
  <c r="AR10" i="13"/>
  <c r="AR19" i="13" s="1"/>
  <c r="AT3" i="13"/>
  <c r="AT23" i="13" s="1"/>
  <c r="AS9" i="13"/>
  <c r="AS10" i="13" s="1"/>
  <c r="AS11" i="13"/>
  <c r="AR15" i="13"/>
  <c r="AR16" i="13" s="1"/>
  <c r="AQ22" i="13"/>
  <c r="AS13" i="13"/>
  <c r="AS14" i="13" s="1"/>
  <c r="AT4" i="13"/>
  <c r="AT5" i="13" s="1"/>
  <c r="AB18" i="13" l="1"/>
  <c r="AB24" i="13" s="1"/>
  <c r="AB8" i="13"/>
  <c r="AD6" i="13"/>
  <c r="AC7" i="13"/>
  <c r="AS12" i="13"/>
  <c r="AS20" i="13" s="1"/>
  <c r="AS19" i="13"/>
  <c r="AU3" i="13"/>
  <c r="AU23" i="13" s="1"/>
  <c r="AT9" i="13"/>
  <c r="AT13" i="13"/>
  <c r="AS15" i="13"/>
  <c r="AS16" i="13" s="1"/>
  <c r="AR22" i="13"/>
  <c r="AS21" i="13"/>
  <c r="AT11" i="13"/>
  <c r="AU4" i="13"/>
  <c r="AU5" i="13" s="1"/>
  <c r="AC18" i="13" l="1"/>
  <c r="AC24" i="13" s="1"/>
  <c r="AC8" i="13"/>
  <c r="AD7" i="13"/>
  <c r="AE6" i="13"/>
  <c r="AT10" i="13"/>
  <c r="AT19" i="13" s="1"/>
  <c r="AT12" i="13"/>
  <c r="AT20" i="13" s="1"/>
  <c r="AT14" i="13"/>
  <c r="AT21" i="13" s="1"/>
  <c r="AV3" i="13"/>
  <c r="AV23" i="13" s="1"/>
  <c r="AU9" i="13"/>
  <c r="AU11" i="13"/>
  <c r="AT15" i="13"/>
  <c r="AT16" i="13" s="1"/>
  <c r="AS22" i="13"/>
  <c r="AU13" i="13"/>
  <c r="AV4" i="13"/>
  <c r="AV5" i="13" s="1"/>
  <c r="AD18" i="13" l="1"/>
  <c r="AD24" i="13" s="1"/>
  <c r="AD8" i="13"/>
  <c r="AF6" i="13"/>
  <c r="AE7" i="13"/>
  <c r="AU14" i="13"/>
  <c r="AU21" i="13" s="1"/>
  <c r="AU12" i="13"/>
  <c r="AU20" i="13" s="1"/>
  <c r="AU10" i="13"/>
  <c r="AU19" i="13" s="1"/>
  <c r="AW3" i="13"/>
  <c r="AW23" i="13" s="1"/>
  <c r="AV9" i="13"/>
  <c r="AV13" i="13"/>
  <c r="AU15" i="13"/>
  <c r="AU16" i="13" s="1"/>
  <c r="AT22" i="13"/>
  <c r="AV11" i="13"/>
  <c r="AW4" i="13"/>
  <c r="AW5" i="13" s="1"/>
  <c r="AE18" i="13" l="1"/>
  <c r="AE24" i="13" s="1"/>
  <c r="AE8" i="13"/>
  <c r="AF7" i="13"/>
  <c r="AG6" i="13"/>
  <c r="AV12" i="13"/>
  <c r="AV20" i="13" s="1"/>
  <c r="AV14" i="13"/>
  <c r="AV21" i="13" s="1"/>
  <c r="AV10" i="13"/>
  <c r="AV19" i="13" s="1"/>
  <c r="AX3" i="13"/>
  <c r="AX23" i="13" s="1"/>
  <c r="AW9" i="13"/>
  <c r="AW11" i="13"/>
  <c r="AV15" i="13"/>
  <c r="AV16" i="13" s="1"/>
  <c r="AU22" i="13"/>
  <c r="AW13" i="13"/>
  <c r="AX4" i="13"/>
  <c r="AX5" i="13" s="1"/>
  <c r="AF18" i="13" l="1"/>
  <c r="AF24" i="13" s="1"/>
  <c r="AF8" i="13"/>
  <c r="AG7" i="13"/>
  <c r="AH6" i="13"/>
  <c r="AW14" i="13"/>
  <c r="AW21" i="13" s="1"/>
  <c r="AW12" i="13"/>
  <c r="AW20" i="13" s="1"/>
  <c r="AW10" i="13"/>
  <c r="AW19" i="13" s="1"/>
  <c r="AY3" i="13"/>
  <c r="AY23" i="13" s="1"/>
  <c r="AX9" i="13"/>
  <c r="AX13" i="13"/>
  <c r="AW15" i="13"/>
  <c r="AW16" i="13" s="1"/>
  <c r="AV22" i="13"/>
  <c r="AX11" i="13"/>
  <c r="AY4" i="13"/>
  <c r="AY5" i="13" s="1"/>
  <c r="AG18" i="13" l="1"/>
  <c r="AG24" i="13" s="1"/>
  <c r="AG8" i="13"/>
  <c r="AI6" i="13"/>
  <c r="AH7" i="13"/>
  <c r="AX14" i="13"/>
  <c r="AX21" i="13" s="1"/>
  <c r="AX10" i="13"/>
  <c r="AX19" i="13" s="1"/>
  <c r="AX12" i="13"/>
  <c r="AX20" i="13" s="1"/>
  <c r="AZ3" i="13"/>
  <c r="AZ23" i="13" s="1"/>
  <c r="AY9" i="13"/>
  <c r="AY11" i="13"/>
  <c r="AX15" i="13"/>
  <c r="AX16" i="13" s="1"/>
  <c r="AW22" i="13"/>
  <c r="AY13" i="13"/>
  <c r="AY14" i="13" s="1"/>
  <c r="AZ4" i="13"/>
  <c r="AZ5" i="13" s="1"/>
  <c r="AH18" i="13" l="1"/>
  <c r="AH24" i="13" s="1"/>
  <c r="AH8" i="13"/>
  <c r="AI7" i="13"/>
  <c r="AJ6" i="13"/>
  <c r="AY10" i="13"/>
  <c r="AY19" i="13" s="1"/>
  <c r="AY12" i="13"/>
  <c r="AY20" i="13" s="1"/>
  <c r="BA3" i="13"/>
  <c r="BA23" i="13" s="1"/>
  <c r="AZ9" i="13"/>
  <c r="AZ13" i="13"/>
  <c r="AY21" i="13"/>
  <c r="AY15" i="13"/>
  <c r="AY16" i="13" s="1"/>
  <c r="AX22" i="13"/>
  <c r="AZ11" i="13"/>
  <c r="BA4" i="13"/>
  <c r="BA5" i="13" s="1"/>
  <c r="AI18" i="13" l="1"/>
  <c r="AI24" i="13" s="1"/>
  <c r="AI8" i="13"/>
  <c r="AJ7" i="13"/>
  <c r="AK6" i="13"/>
  <c r="AZ14" i="13"/>
  <c r="AZ21" i="13" s="1"/>
  <c r="AZ12" i="13"/>
  <c r="AZ20" i="13" s="1"/>
  <c r="AZ10" i="13"/>
  <c r="AZ19" i="13" s="1"/>
  <c r="BB3" i="13"/>
  <c r="BB23" i="13" s="1"/>
  <c r="BA9" i="13"/>
  <c r="BA11" i="13"/>
  <c r="AZ15" i="13"/>
  <c r="AZ16" i="13" s="1"/>
  <c r="AY22" i="13"/>
  <c r="BA13" i="13"/>
  <c r="BA14" i="13" s="1"/>
  <c r="BB4" i="13"/>
  <c r="BB5" i="13" s="1"/>
  <c r="AJ18" i="13" l="1"/>
  <c r="AJ24" i="13" s="1"/>
  <c r="AJ8" i="13"/>
  <c r="AK7" i="13"/>
  <c r="AL6" i="13"/>
  <c r="BA10" i="13"/>
  <c r="BA19" i="13" s="1"/>
  <c r="BA12" i="13"/>
  <c r="BA20" i="13" s="1"/>
  <c r="BC3" i="13"/>
  <c r="BC23" i="13" s="1"/>
  <c r="BB9" i="13"/>
  <c r="BB13" i="13"/>
  <c r="BA21" i="13"/>
  <c r="BA15" i="13"/>
  <c r="BA16" i="13" s="1"/>
  <c r="AZ22" i="13"/>
  <c r="BB11" i="13"/>
  <c r="BC4" i="13"/>
  <c r="BC5" i="13" s="1"/>
  <c r="AK18" i="13" l="1"/>
  <c r="AK24" i="13" s="1"/>
  <c r="AK8" i="13"/>
  <c r="AL7" i="13"/>
  <c r="AM6" i="13"/>
  <c r="BB10" i="13"/>
  <c r="BB19" i="13" s="1"/>
  <c r="BB12" i="13"/>
  <c r="BB20" i="13" s="1"/>
  <c r="BB14" i="13"/>
  <c r="BB21" i="13" s="1"/>
  <c r="BD3" i="13"/>
  <c r="BD23" i="13" s="1"/>
  <c r="BC9" i="13"/>
  <c r="BC10" i="13" s="1"/>
  <c r="BC11" i="13"/>
  <c r="BB15" i="13"/>
  <c r="BB16" i="13" s="1"/>
  <c r="BA22" i="13"/>
  <c r="BC13" i="13"/>
  <c r="BD4" i="13"/>
  <c r="BD5" i="13" s="1"/>
  <c r="AL18" i="13" l="1"/>
  <c r="AL24" i="13" s="1"/>
  <c r="AL8" i="13"/>
  <c r="AN6" i="13"/>
  <c r="AM7" i="13"/>
  <c r="BC14" i="13"/>
  <c r="BC21" i="13" s="1"/>
  <c r="BC12" i="13"/>
  <c r="BC20" i="13" s="1"/>
  <c r="BC19" i="13"/>
  <c r="BD9" i="13"/>
  <c r="BE3" i="13"/>
  <c r="BE23" i="13" s="1"/>
  <c r="BD13" i="13"/>
  <c r="BC15" i="13"/>
  <c r="BC16" i="13" s="1"/>
  <c r="BB22" i="13"/>
  <c r="BD11" i="13"/>
  <c r="BE4" i="13"/>
  <c r="BE5" i="13" s="1"/>
  <c r="AM18" i="13" l="1"/>
  <c r="AM24" i="13" s="1"/>
  <c r="AM8" i="13"/>
  <c r="AN7" i="13"/>
  <c r="AO6" i="13"/>
  <c r="BD12" i="13"/>
  <c r="BD20" i="13" s="1"/>
  <c r="BD14" i="13"/>
  <c r="BD21" i="13" s="1"/>
  <c r="BD10" i="13"/>
  <c r="BD19" i="13" s="1"/>
  <c r="BF3" i="13"/>
  <c r="BF23" i="13" s="1"/>
  <c r="BE9" i="13"/>
  <c r="BE11" i="13"/>
  <c r="BD15" i="13"/>
  <c r="BD16" i="13" s="1"/>
  <c r="BC22" i="13"/>
  <c r="BE13" i="13"/>
  <c r="BE14" i="13" s="1"/>
  <c r="BF4" i="13"/>
  <c r="BF5" i="13" s="1"/>
  <c r="AN18" i="13" l="1"/>
  <c r="AN24" i="13" s="1"/>
  <c r="AN8" i="13"/>
  <c r="AO7" i="13"/>
  <c r="AP6" i="13"/>
  <c r="BE12" i="13"/>
  <c r="BE20" i="13" s="1"/>
  <c r="BE10" i="13"/>
  <c r="BE19" i="13" s="1"/>
  <c r="BG3" i="13"/>
  <c r="BG23" i="13" s="1"/>
  <c r="BF9" i="13"/>
  <c r="BF13" i="13"/>
  <c r="BE15" i="13"/>
  <c r="BE16" i="13" s="1"/>
  <c r="BD22" i="13"/>
  <c r="BE21" i="13"/>
  <c r="BF11" i="13"/>
  <c r="BG4" i="13"/>
  <c r="BG5" i="13" s="1"/>
  <c r="AO18" i="13" l="1"/>
  <c r="AO24" i="13" s="1"/>
  <c r="AO8" i="13"/>
  <c r="AP7" i="13"/>
  <c r="AQ6" i="13"/>
  <c r="BF14" i="13"/>
  <c r="BF21" i="13" s="1"/>
  <c r="BF12" i="13"/>
  <c r="BF20" i="13" s="1"/>
  <c r="BF10" i="13"/>
  <c r="BF19" i="13" s="1"/>
  <c r="BH3" i="13"/>
  <c r="BH23" i="13" s="1"/>
  <c r="BG9" i="13"/>
  <c r="BG11" i="13"/>
  <c r="BF15" i="13"/>
  <c r="BF16" i="13" s="1"/>
  <c r="BE22" i="13"/>
  <c r="BG13" i="13"/>
  <c r="BH4" i="13"/>
  <c r="BH5" i="13" s="1"/>
  <c r="AP18" i="13" l="1"/>
  <c r="AP24" i="13" s="1"/>
  <c r="AP8" i="13"/>
  <c r="AQ7" i="13"/>
  <c r="AR6" i="13"/>
  <c r="BG10" i="13"/>
  <c r="BG19" i="13" s="1"/>
  <c r="BG14" i="13"/>
  <c r="BG21" i="13" s="1"/>
  <c r="BG12" i="13"/>
  <c r="BG20" i="13" s="1"/>
  <c r="BI3" i="13"/>
  <c r="BI23" i="13" s="1"/>
  <c r="BH9" i="13"/>
  <c r="BH13" i="13"/>
  <c r="BG15" i="13"/>
  <c r="BG16" i="13" s="1"/>
  <c r="BF22" i="13"/>
  <c r="BH11" i="13"/>
  <c r="BI4" i="13"/>
  <c r="BI5" i="13" s="1"/>
  <c r="AQ18" i="13" l="1"/>
  <c r="AQ24" i="13" s="1"/>
  <c r="AQ8" i="13"/>
  <c r="AR7" i="13"/>
  <c r="AS6" i="13"/>
  <c r="BH14" i="13"/>
  <c r="BH21" i="13" s="1"/>
  <c r="BH10" i="13"/>
  <c r="BH19" i="13" s="1"/>
  <c r="BH12" i="13"/>
  <c r="BH20" i="13" s="1"/>
  <c r="BJ3" i="13"/>
  <c r="BJ23" i="13" s="1"/>
  <c r="BI9" i="13"/>
  <c r="BI11" i="13"/>
  <c r="BH15" i="13"/>
  <c r="BH16" i="13" s="1"/>
  <c r="BG22" i="13"/>
  <c r="BI13" i="13"/>
  <c r="BI14" i="13" s="1"/>
  <c r="BJ4" i="13"/>
  <c r="BJ5" i="13" s="1"/>
  <c r="AR18" i="13" l="1"/>
  <c r="AR24" i="13" s="1"/>
  <c r="AR8" i="13"/>
  <c r="AS7" i="13"/>
  <c r="AT6" i="13"/>
  <c r="BI12" i="13"/>
  <c r="BI20" i="13" s="1"/>
  <c r="BI10" i="13"/>
  <c r="BI19" i="13" s="1"/>
  <c r="BK3" i="13"/>
  <c r="BK23" i="13" s="1"/>
  <c r="BJ9" i="13"/>
  <c r="BJ13" i="13"/>
  <c r="BI15" i="13"/>
  <c r="BI16" i="13" s="1"/>
  <c r="BH22" i="13"/>
  <c r="BI21" i="13"/>
  <c r="BJ11" i="13"/>
  <c r="BK4" i="13"/>
  <c r="BK5" i="13" s="1"/>
  <c r="AS18" i="13" l="1"/>
  <c r="AS24" i="13" s="1"/>
  <c r="AS8" i="13"/>
  <c r="AT7" i="13"/>
  <c r="AU6" i="13"/>
  <c r="BJ12" i="13"/>
  <c r="BJ20" i="13" s="1"/>
  <c r="BJ14" i="13"/>
  <c r="BJ21" i="13" s="1"/>
  <c r="BJ10" i="13"/>
  <c r="BJ19" i="13" s="1"/>
  <c r="BL3" i="13"/>
  <c r="BK9" i="13"/>
  <c r="BJ15" i="13"/>
  <c r="BJ16" i="13" s="1"/>
  <c r="BI22" i="13"/>
  <c r="BK11" i="13"/>
  <c r="BK12" i="13" s="1"/>
  <c r="BK13" i="13"/>
  <c r="BK14" i="13" s="1"/>
  <c r="BL4" i="13"/>
  <c r="BL5" i="13" s="1"/>
  <c r="AT18" i="13" l="1"/>
  <c r="AT24" i="13" s="1"/>
  <c r="AT8" i="13"/>
  <c r="AU7" i="13"/>
  <c r="AV6" i="13"/>
  <c r="BK10" i="13"/>
  <c r="BK19" i="13" s="1"/>
  <c r="BL23" i="13"/>
  <c r="BM3" i="13"/>
  <c r="BM23" i="13" s="1"/>
  <c r="BL9" i="13"/>
  <c r="BL13" i="13"/>
  <c r="BL14" i="13" s="1"/>
  <c r="BL11" i="13"/>
  <c r="BL12" i="13" s="1"/>
  <c r="BK20" i="13"/>
  <c r="BK21" i="13"/>
  <c r="BK15" i="13"/>
  <c r="BK16" i="13" s="1"/>
  <c r="BJ22" i="13"/>
  <c r="BM4" i="13"/>
  <c r="BM5" i="13" s="1"/>
  <c r="AU18" i="13" l="1"/>
  <c r="AU24" i="13" s="1"/>
  <c r="AU8" i="13"/>
  <c r="AV7" i="13"/>
  <c r="AW6" i="13"/>
  <c r="BL10" i="13"/>
  <c r="BL19" i="13" s="1"/>
  <c r="BN3" i="13"/>
  <c r="BN23" i="13" s="1"/>
  <c r="BM9" i="13"/>
  <c r="BL15" i="13"/>
  <c r="BK22" i="13"/>
  <c r="BM11" i="13"/>
  <c r="BM12" i="13" s="1"/>
  <c r="BM13" i="13"/>
  <c r="BM14" i="13" s="1"/>
  <c r="BL21" i="13"/>
  <c r="BL20" i="13"/>
  <c r="BN4" i="13"/>
  <c r="BN5" i="13" s="1"/>
  <c r="AV18" i="13" l="1"/>
  <c r="AV24" i="13" s="1"/>
  <c r="AV8" i="13"/>
  <c r="AX6" i="13"/>
  <c r="AW7" i="13"/>
  <c r="BM15" i="13"/>
  <c r="BM16" i="13" s="1"/>
  <c r="BL16" i="13"/>
  <c r="BL22" i="13" s="1"/>
  <c r="BM10" i="13"/>
  <c r="BM19" i="13" s="1"/>
  <c r="BO3" i="13"/>
  <c r="BO23" i="13" s="1"/>
  <c r="BN8" i="13"/>
  <c r="BN9" i="13"/>
  <c r="BN13" i="13"/>
  <c r="BN14" i="13" s="1"/>
  <c r="BN11" i="13"/>
  <c r="BN12" i="13" s="1"/>
  <c r="BO4" i="13"/>
  <c r="BM20" i="13"/>
  <c r="AW18" i="13" l="1"/>
  <c r="AW24" i="13" s="1"/>
  <c r="AW8" i="13"/>
  <c r="AX7" i="13"/>
  <c r="AY6" i="13"/>
  <c r="BN15" i="13"/>
  <c r="BN16" i="13" s="1"/>
  <c r="BN10" i="13"/>
  <c r="BN19" i="13" s="1"/>
  <c r="BP3" i="13"/>
  <c r="BP23" i="13" s="1"/>
  <c r="BP4" i="13"/>
  <c r="BO5" i="13"/>
  <c r="BM22" i="13"/>
  <c r="BN21" i="13"/>
  <c r="BM21" i="13"/>
  <c r="C5" i="13"/>
  <c r="AX18" i="13" l="1"/>
  <c r="AX24" i="13" s="1"/>
  <c r="AX8" i="13"/>
  <c r="AZ6" i="13"/>
  <c r="AY7" i="13"/>
  <c r="BQ3" i="13"/>
  <c r="BQ23" i="13" s="1"/>
  <c r="BO8" i="13"/>
  <c r="BO9" i="13"/>
  <c r="BO13" i="13"/>
  <c r="BO14" i="13" s="1"/>
  <c r="BO11" i="13"/>
  <c r="BO15" i="13"/>
  <c r="BO16" i="13" s="1"/>
  <c r="BQ4" i="13"/>
  <c r="BP5" i="13"/>
  <c r="BN22" i="13"/>
  <c r="BN20" i="13"/>
  <c r="C13" i="15"/>
  <c r="AY18" i="13" l="1"/>
  <c r="AY24" i="13" s="1"/>
  <c r="AY8" i="13"/>
  <c r="AZ7" i="13"/>
  <c r="BA6" i="13"/>
  <c r="BO12" i="13"/>
  <c r="BO20" i="13" s="1"/>
  <c r="BO10" i="13"/>
  <c r="BO19" i="13" s="1"/>
  <c r="BR3" i="13"/>
  <c r="BR23" i="13" s="1"/>
  <c r="BP8" i="13"/>
  <c r="BP9" i="13"/>
  <c r="BR4" i="13"/>
  <c r="BQ5" i="13"/>
  <c r="BP15" i="13"/>
  <c r="BO22" i="13"/>
  <c r="BP11" i="13"/>
  <c r="BP13" i="13"/>
  <c r="BO21" i="13"/>
  <c r="AZ18" i="13" l="1"/>
  <c r="AZ24" i="13" s="1"/>
  <c r="AZ8" i="13"/>
  <c r="BB6" i="13"/>
  <c r="BA7" i="13"/>
  <c r="BP10" i="13"/>
  <c r="BP19" i="13" s="1"/>
  <c r="BP12" i="13"/>
  <c r="BP20" i="13" s="1"/>
  <c r="BQ9" i="13"/>
  <c r="BP14" i="13"/>
  <c r="BP21" i="13" s="1"/>
  <c r="BP16" i="13"/>
  <c r="BP22" i="13" s="1"/>
  <c r="BS3" i="13"/>
  <c r="BS23" i="13" s="1"/>
  <c r="BQ8" i="13"/>
  <c r="BQ11" i="13"/>
  <c r="BQ15" i="13"/>
  <c r="BQ13" i="13"/>
  <c r="BR5" i="13"/>
  <c r="BS4" i="13"/>
  <c r="BR9" i="13" l="1"/>
  <c r="BR10" i="13" s="1"/>
  <c r="BR19" i="13" s="1"/>
  <c r="BA18" i="13"/>
  <c r="BA24" i="13" s="1"/>
  <c r="BA8" i="13"/>
  <c r="BC6" i="13"/>
  <c r="BB7" i="13"/>
  <c r="BQ16" i="13"/>
  <c r="BQ22" i="13" s="1"/>
  <c r="BQ10" i="13"/>
  <c r="BQ19" i="13" s="1"/>
  <c r="BQ12" i="13"/>
  <c r="BQ20" i="13" s="1"/>
  <c r="BQ14" i="13"/>
  <c r="BQ21" i="13" s="1"/>
  <c r="BT3" i="13"/>
  <c r="BT23" i="13" s="1"/>
  <c r="BR8" i="13"/>
  <c r="BR11" i="13"/>
  <c r="BR15" i="13"/>
  <c r="BR13" i="13"/>
  <c r="BS5" i="13"/>
  <c r="BS9" i="13" s="1"/>
  <c r="BT4" i="13"/>
  <c r="BB18" i="13" l="1"/>
  <c r="BB24" i="13" s="1"/>
  <c r="BB8" i="13"/>
  <c r="BC7" i="13"/>
  <c r="BD6" i="13"/>
  <c r="BS10" i="13"/>
  <c r="BS19" i="13" s="1"/>
  <c r="BR14" i="13"/>
  <c r="BR21" i="13" s="1"/>
  <c r="BR12" i="13"/>
  <c r="BR20" i="13" s="1"/>
  <c r="BR16" i="13"/>
  <c r="BR22" i="13" s="1"/>
  <c r="BU3" i="13"/>
  <c r="BU23" i="13" s="1"/>
  <c r="BT5" i="13"/>
  <c r="BT9" i="13" s="1"/>
  <c r="BU4" i="13"/>
  <c r="BS8" i="13"/>
  <c r="BS15" i="13"/>
  <c r="BS11" i="13"/>
  <c r="BS13" i="13"/>
  <c r="BC18" i="13" l="1"/>
  <c r="BC24" i="13" s="1"/>
  <c r="BC8" i="13"/>
  <c r="BD7" i="13"/>
  <c r="BE6" i="13"/>
  <c r="BS16" i="13"/>
  <c r="BS22" i="13" s="1"/>
  <c r="BS12" i="13"/>
  <c r="BS20" i="13" s="1"/>
  <c r="BT10" i="13"/>
  <c r="BT19" i="13" s="1"/>
  <c r="BS14" i="13"/>
  <c r="BS21" i="13" s="1"/>
  <c r="BV3" i="13"/>
  <c r="BV23" i="13" s="1"/>
  <c r="BU5" i="13"/>
  <c r="BU9" i="13" s="1"/>
  <c r="BV4" i="13"/>
  <c r="BT8" i="13"/>
  <c r="BT11" i="13"/>
  <c r="BT15" i="13"/>
  <c r="BT13" i="13"/>
  <c r="BD18" i="13" l="1"/>
  <c r="BD24" i="13" s="1"/>
  <c r="BD8" i="13"/>
  <c r="BE7" i="13"/>
  <c r="BF6" i="13"/>
  <c r="BT12" i="13"/>
  <c r="BT20" i="13" s="1"/>
  <c r="BU10" i="13"/>
  <c r="BU19" i="13" s="1"/>
  <c r="BT14" i="13"/>
  <c r="BT21" i="13" s="1"/>
  <c r="BT16" i="13"/>
  <c r="BT22" i="13" s="1"/>
  <c r="BW3" i="13"/>
  <c r="BW23" i="13" s="1"/>
  <c r="BV5" i="13"/>
  <c r="BV9" i="13" s="1"/>
  <c r="BW4" i="13"/>
  <c r="BU8" i="13"/>
  <c r="BU11" i="13"/>
  <c r="BU15" i="13"/>
  <c r="BU13" i="13"/>
  <c r="BE18" i="13" l="1"/>
  <c r="BE24" i="13" s="1"/>
  <c r="BE8" i="13"/>
  <c r="BF7" i="13"/>
  <c r="BG6" i="13"/>
  <c r="BU14" i="13"/>
  <c r="BU21" i="13" s="1"/>
  <c r="BU16" i="13"/>
  <c r="BU22" i="13" s="1"/>
  <c r="BV10" i="13"/>
  <c r="BV19" i="13" s="1"/>
  <c r="BU12" i="13"/>
  <c r="BU20" i="13" s="1"/>
  <c r="BX3" i="13"/>
  <c r="BX23" i="13" s="1"/>
  <c r="BW5" i="13"/>
  <c r="BW9" i="13" s="1"/>
  <c r="BX4" i="13"/>
  <c r="BV8" i="13"/>
  <c r="BV11" i="13"/>
  <c r="BV13" i="13"/>
  <c r="BV15" i="13"/>
  <c r="BF18" i="13" l="1"/>
  <c r="BF24" i="13" s="1"/>
  <c r="BF8" i="13"/>
  <c r="BG7" i="13"/>
  <c r="BH6" i="13"/>
  <c r="BV16" i="13"/>
  <c r="BV22" i="13" s="1"/>
  <c r="BW10" i="13"/>
  <c r="BW19" i="13" s="1"/>
  <c r="BV14" i="13"/>
  <c r="BV21" i="13" s="1"/>
  <c r="BV12" i="13"/>
  <c r="BV20" i="13" s="1"/>
  <c r="BY3" i="13"/>
  <c r="BY23" i="13" s="1"/>
  <c r="BX5" i="13"/>
  <c r="BY4" i="13"/>
  <c r="BW8" i="13"/>
  <c r="BW11" i="13"/>
  <c r="BW13" i="13"/>
  <c r="BW15" i="13"/>
  <c r="BG18" i="13" l="1"/>
  <c r="BG24" i="13" s="1"/>
  <c r="BG8" i="13"/>
  <c r="BI6" i="13"/>
  <c r="BH7" i="13"/>
  <c r="BW14" i="13"/>
  <c r="BW21" i="13" s="1"/>
  <c r="BW12" i="13"/>
  <c r="BW20" i="13" s="1"/>
  <c r="BW16" i="13"/>
  <c r="BW22" i="13" s="1"/>
  <c r="BZ3" i="13"/>
  <c r="BZ23" i="13" s="1"/>
  <c r="BX9" i="13"/>
  <c r="BY5" i="13"/>
  <c r="BZ4" i="13"/>
  <c r="BX8" i="13"/>
  <c r="BX11" i="13"/>
  <c r="BX13" i="13"/>
  <c r="BX15" i="13"/>
  <c r="BH18" i="13" l="1"/>
  <c r="BH24" i="13" s="1"/>
  <c r="BH8" i="13"/>
  <c r="BI7" i="13"/>
  <c r="BJ6" i="13"/>
  <c r="BX12" i="13"/>
  <c r="BX20" i="13" s="1"/>
  <c r="BX14" i="13"/>
  <c r="BX21" i="13" s="1"/>
  <c r="BX10" i="13"/>
  <c r="BX19" i="13" s="1"/>
  <c r="BX16" i="13"/>
  <c r="BX22" i="13" s="1"/>
  <c r="CA3" i="13"/>
  <c r="CA23" i="13" s="1"/>
  <c r="BY9" i="13"/>
  <c r="BZ5" i="13"/>
  <c r="CA4" i="13"/>
  <c r="BY8" i="13"/>
  <c r="BY11" i="13"/>
  <c r="BY13" i="13"/>
  <c r="BY15" i="13"/>
  <c r="BI18" i="13" l="1"/>
  <c r="BI24" i="13" s="1"/>
  <c r="BI8" i="13"/>
  <c r="BJ7" i="13"/>
  <c r="BK6" i="13"/>
  <c r="BY14" i="13"/>
  <c r="BY21" i="13" s="1"/>
  <c r="BY10" i="13"/>
  <c r="BY19" i="13" s="1"/>
  <c r="BY12" i="13"/>
  <c r="BY20" i="13" s="1"/>
  <c r="BY16" i="13"/>
  <c r="BY22" i="13" s="1"/>
  <c r="BZ9" i="13"/>
  <c r="CB3" i="13"/>
  <c r="CB23" i="13" s="1"/>
  <c r="CA5" i="13"/>
  <c r="CB4" i="13"/>
  <c r="BZ8" i="13"/>
  <c r="BZ11" i="13"/>
  <c r="BZ13" i="13"/>
  <c r="BZ15" i="13"/>
  <c r="BJ18" i="13" l="1"/>
  <c r="BJ24" i="13" s="1"/>
  <c r="BJ8" i="13"/>
  <c r="C31" i="15"/>
  <c r="BK7" i="13"/>
  <c r="BL6" i="13"/>
  <c r="BZ16" i="13"/>
  <c r="BZ22" i="13" s="1"/>
  <c r="BZ10" i="13"/>
  <c r="BZ19" i="13" s="1"/>
  <c r="BZ14" i="13"/>
  <c r="BZ21" i="13" s="1"/>
  <c r="BZ12" i="13"/>
  <c r="BZ20" i="13" s="1"/>
  <c r="CA9" i="13"/>
  <c r="CC3" i="13"/>
  <c r="CC23" i="13" s="1"/>
  <c r="CB5" i="13"/>
  <c r="CC4" i="13"/>
  <c r="CA8" i="13"/>
  <c r="CA13" i="13"/>
  <c r="CA15" i="13"/>
  <c r="CA11" i="13"/>
  <c r="BK18" i="13" l="1"/>
  <c r="BK24" i="13" s="1"/>
  <c r="BK8" i="13"/>
  <c r="BM6" i="13"/>
  <c r="BL7" i="13"/>
  <c r="CA10" i="13"/>
  <c r="CA19" i="13" s="1"/>
  <c r="CA14" i="13"/>
  <c r="CA21" i="13" s="1"/>
  <c r="CA12" i="13"/>
  <c r="CA20" i="13" s="1"/>
  <c r="CA16" i="13"/>
  <c r="CA22" i="13" s="1"/>
  <c r="CB9" i="13"/>
  <c r="CD3" i="13"/>
  <c r="CD23" i="13" s="1"/>
  <c r="CC5" i="13"/>
  <c r="CD4" i="13"/>
  <c r="CB8" i="13"/>
  <c r="CB11" i="13"/>
  <c r="CB15" i="13"/>
  <c r="CB13" i="13"/>
  <c r="BL18" i="13" l="1"/>
  <c r="BL24" i="13" s="1"/>
  <c r="BL8" i="13"/>
  <c r="CC9" i="13"/>
  <c r="CC10" i="13" s="1"/>
  <c r="CC19" i="13" s="1"/>
  <c r="BN6" i="13"/>
  <c r="BM7" i="13"/>
  <c r="CB10" i="13"/>
  <c r="CB19" i="13" s="1"/>
  <c r="CB16" i="13"/>
  <c r="CB22" i="13" s="1"/>
  <c r="CB14" i="13"/>
  <c r="CB21" i="13" s="1"/>
  <c r="CB12" i="13"/>
  <c r="CB20" i="13" s="1"/>
  <c r="CE3" i="13"/>
  <c r="CE23" i="13" s="1"/>
  <c r="CD5" i="13"/>
  <c r="CD9" i="13" s="1"/>
  <c r="CE4" i="13"/>
  <c r="CC8" i="13"/>
  <c r="CC13" i="13"/>
  <c r="CC15" i="13"/>
  <c r="CC11" i="13"/>
  <c r="BM18" i="13" l="1"/>
  <c r="BM24" i="13" s="1"/>
  <c r="BM8" i="13"/>
  <c r="BN7" i="13"/>
  <c r="BN18" i="13" s="1"/>
  <c r="BO6" i="13"/>
  <c r="CD10" i="13"/>
  <c r="CD19" i="13" s="1"/>
  <c r="CC16" i="13"/>
  <c r="CC22" i="13" s="1"/>
  <c r="CC12" i="13"/>
  <c r="CC20" i="13" s="1"/>
  <c r="CC14" i="13"/>
  <c r="CC21" i="13" s="1"/>
  <c r="CF3" i="13"/>
  <c r="CF23" i="13" s="1"/>
  <c r="CE5" i="13"/>
  <c r="CE9" i="13" s="1"/>
  <c r="CF4" i="13"/>
  <c r="CD8" i="13"/>
  <c r="CD13" i="13"/>
  <c r="CD15" i="13"/>
  <c r="CD11" i="13"/>
  <c r="BN24" i="13" l="1"/>
  <c r="BO7" i="13"/>
  <c r="BO18" i="13" s="1"/>
  <c r="BO24" i="13" s="1"/>
  <c r="BP6" i="13"/>
  <c r="CE10" i="13"/>
  <c r="CE19" i="13" s="1"/>
  <c r="CD14" i="13"/>
  <c r="CD21" i="13" s="1"/>
  <c r="CD12" i="13"/>
  <c r="CD20" i="13" s="1"/>
  <c r="CD16" i="13"/>
  <c r="CD22" i="13" s="1"/>
  <c r="CG3" i="13"/>
  <c r="CG23" i="13" s="1"/>
  <c r="CE8" i="13"/>
  <c r="CE11" i="13"/>
  <c r="CE13" i="13"/>
  <c r="CE15" i="13"/>
  <c r="CF5" i="13"/>
  <c r="CF9" i="13" s="1"/>
  <c r="CG4" i="13"/>
  <c r="BP7" i="13" l="1"/>
  <c r="BP18" i="13" s="1"/>
  <c r="BP24" i="13" s="1"/>
  <c r="BQ6" i="13"/>
  <c r="CE12" i="13"/>
  <c r="CE20" i="13" s="1"/>
  <c r="CE16" i="13"/>
  <c r="CE22" i="13" s="1"/>
  <c r="CE14" i="13"/>
  <c r="CE21" i="13" s="1"/>
  <c r="CF10" i="13"/>
  <c r="CF19" i="13" s="1"/>
  <c r="CH3" i="13"/>
  <c r="CH23" i="13" s="1"/>
  <c r="CF8" i="13"/>
  <c r="CF15" i="13"/>
  <c r="CF11" i="13"/>
  <c r="CF13" i="13"/>
  <c r="CG5" i="13"/>
  <c r="CG9" i="13" s="1"/>
  <c r="CG10" i="13" s="1"/>
  <c r="CG19" i="13" s="1"/>
  <c r="CH4" i="13"/>
  <c r="BQ7" i="13" l="1"/>
  <c r="BQ18" i="13" s="1"/>
  <c r="BQ24" i="13" s="1"/>
  <c r="BR6" i="13"/>
  <c r="CF12" i="13"/>
  <c r="CF20" i="13" s="1"/>
  <c r="CF16" i="13"/>
  <c r="CF22" i="13" s="1"/>
  <c r="CF14" i="13"/>
  <c r="CF21" i="13" s="1"/>
  <c r="CI3" i="13"/>
  <c r="CI23" i="13" s="1"/>
  <c r="CG8" i="13"/>
  <c r="CG11" i="13"/>
  <c r="CG13" i="13"/>
  <c r="CG15" i="13"/>
  <c r="CH5" i="13"/>
  <c r="CH9" i="13" s="1"/>
  <c r="CI4" i="13"/>
  <c r="BR7" i="13" l="1"/>
  <c r="BR18" i="13" s="1"/>
  <c r="BR24" i="13" s="1"/>
  <c r="BS6" i="13"/>
  <c r="CH10" i="13"/>
  <c r="CH19" i="13" s="1"/>
  <c r="CG14" i="13"/>
  <c r="CG21" i="13" s="1"/>
  <c r="CG16" i="13"/>
  <c r="CG22" i="13" s="1"/>
  <c r="CG12" i="13"/>
  <c r="CG20" i="13" s="1"/>
  <c r="CJ3" i="13"/>
  <c r="CJ23" i="13" s="1"/>
  <c r="CH8" i="13"/>
  <c r="CH15" i="13"/>
  <c r="CH11" i="13"/>
  <c r="CH13" i="13"/>
  <c r="CI5" i="13"/>
  <c r="CI9" i="13" s="1"/>
  <c r="CJ4" i="13"/>
  <c r="BS7" i="13" l="1"/>
  <c r="BS18" i="13" s="1"/>
  <c r="BS24" i="13" s="1"/>
  <c r="BT6" i="13"/>
  <c r="CH12" i="13"/>
  <c r="CH20" i="13" s="1"/>
  <c r="CH16" i="13"/>
  <c r="CH22" i="13" s="1"/>
  <c r="CH14" i="13"/>
  <c r="CH21" i="13" s="1"/>
  <c r="CI10" i="13"/>
  <c r="CI19" i="13" s="1"/>
  <c r="CK3" i="13"/>
  <c r="CK23" i="13" s="1"/>
  <c r="CI8" i="13"/>
  <c r="CI15" i="13"/>
  <c r="CI11" i="13"/>
  <c r="CI13" i="13"/>
  <c r="CJ5" i="13"/>
  <c r="CJ9" i="13" s="1"/>
  <c r="CK4" i="13"/>
  <c r="BT7" i="13" l="1"/>
  <c r="BT18" i="13" s="1"/>
  <c r="BT24" i="13" s="1"/>
  <c r="BU6" i="13"/>
  <c r="CI12" i="13"/>
  <c r="CI20" i="13" s="1"/>
  <c r="CI14" i="13"/>
  <c r="CI21" i="13" s="1"/>
  <c r="CJ10" i="13"/>
  <c r="CJ19" i="13" s="1"/>
  <c r="CI16" i="13"/>
  <c r="CI22" i="13" s="1"/>
  <c r="CL3" i="13"/>
  <c r="CL23" i="13" s="1"/>
  <c r="CK5" i="13"/>
  <c r="CK9" i="13" s="1"/>
  <c r="CL4" i="13"/>
  <c r="CJ8" i="13"/>
  <c r="CJ15" i="13"/>
  <c r="CJ13" i="13"/>
  <c r="CJ11" i="13"/>
  <c r="BU7" i="13" l="1"/>
  <c r="BU18" i="13" s="1"/>
  <c r="BU24" i="13" s="1"/>
  <c r="BV6" i="13"/>
  <c r="CK10" i="13"/>
  <c r="CK19" i="13" s="1"/>
  <c r="CJ16" i="13"/>
  <c r="CJ22" i="13" s="1"/>
  <c r="CJ12" i="13"/>
  <c r="CJ20" i="13" s="1"/>
  <c r="CJ14" i="13"/>
  <c r="CJ21" i="13" s="1"/>
  <c r="CM3" i="13"/>
  <c r="CM23" i="13" s="1"/>
  <c r="CL5" i="13"/>
  <c r="CM4" i="13"/>
  <c r="CK8" i="13"/>
  <c r="CK15" i="13"/>
  <c r="CK13" i="13"/>
  <c r="CK11" i="13"/>
  <c r="BV7" i="13" l="1"/>
  <c r="BV18" i="13" s="1"/>
  <c r="BV24" i="13" s="1"/>
  <c r="BW6" i="13"/>
  <c r="CK14" i="13"/>
  <c r="CK21" i="13" s="1"/>
  <c r="CK12" i="13"/>
  <c r="CK20" i="13" s="1"/>
  <c r="CK16" i="13"/>
  <c r="CK22" i="13" s="1"/>
  <c r="CN3" i="13"/>
  <c r="CN23" i="13" s="1"/>
  <c r="CL9" i="13"/>
  <c r="CN4" i="13"/>
  <c r="CM5" i="13"/>
  <c r="CL8" i="13"/>
  <c r="CL11" i="13"/>
  <c r="CL15" i="13"/>
  <c r="CL13" i="13"/>
  <c r="BX6" i="13" l="1"/>
  <c r="BW7" i="13"/>
  <c r="BW18" i="13" s="1"/>
  <c r="BW24" i="13" s="1"/>
  <c r="CL12" i="13"/>
  <c r="CL20" i="13" s="1"/>
  <c r="CL10" i="13"/>
  <c r="CL19" i="13" s="1"/>
  <c r="CL14" i="13"/>
  <c r="CL21" i="13" s="1"/>
  <c r="CL16" i="13"/>
  <c r="CL22" i="13" s="1"/>
  <c r="CM9" i="13"/>
  <c r="CO3" i="13"/>
  <c r="CO23" i="13" s="1"/>
  <c r="CM8" i="13"/>
  <c r="CM13" i="13"/>
  <c r="CM15" i="13"/>
  <c r="CM11" i="13"/>
  <c r="CO4" i="13"/>
  <c r="CN5" i="13"/>
  <c r="BX7" i="13" l="1"/>
  <c r="BX18" i="13" s="1"/>
  <c r="BX24" i="13" s="1"/>
  <c r="BY6" i="13"/>
  <c r="CM14" i="13"/>
  <c r="CM21" i="13" s="1"/>
  <c r="CM10" i="13"/>
  <c r="CM19" i="13" s="1"/>
  <c r="CM12" i="13"/>
  <c r="CM20" i="13" s="1"/>
  <c r="CM16" i="13"/>
  <c r="CM22" i="13" s="1"/>
  <c r="CP3" i="13"/>
  <c r="CP23" i="13" s="1"/>
  <c r="CN9" i="13"/>
  <c r="CP4" i="13"/>
  <c r="CO5" i="13"/>
  <c r="CN8" i="13"/>
  <c r="CN13" i="13"/>
  <c r="CN11" i="13"/>
  <c r="CN15" i="13"/>
  <c r="BY7" i="13" l="1"/>
  <c r="BY18" i="13" s="1"/>
  <c r="BY24" i="13" s="1"/>
  <c r="BZ6" i="13"/>
  <c r="CN10" i="13"/>
  <c r="CN19" i="13" s="1"/>
  <c r="CN16" i="13"/>
  <c r="CN22" i="13" s="1"/>
  <c r="CN12" i="13"/>
  <c r="CN20" i="13" s="1"/>
  <c r="CN14" i="13"/>
  <c r="CN21" i="13" s="1"/>
  <c r="CO9" i="13"/>
  <c r="CQ3" i="13"/>
  <c r="CQ23" i="13" s="1"/>
  <c r="CO8" i="13"/>
  <c r="CO13" i="13"/>
  <c r="CO11" i="13"/>
  <c r="CO15" i="13"/>
  <c r="CP5" i="13"/>
  <c r="CQ4" i="13"/>
  <c r="BZ7" i="13" l="1"/>
  <c r="BZ18" i="13" s="1"/>
  <c r="BZ24" i="13" s="1"/>
  <c r="CA6" i="13"/>
  <c r="CO12" i="13"/>
  <c r="CO20" i="13" s="1"/>
  <c r="CO14" i="13"/>
  <c r="CO21" i="13" s="1"/>
  <c r="CO10" i="13"/>
  <c r="CO19" i="13" s="1"/>
  <c r="CO16" i="13"/>
  <c r="CO22" i="13" s="1"/>
  <c r="CP9" i="13"/>
  <c r="CR3" i="13"/>
  <c r="CR23" i="13" s="1"/>
  <c r="CQ5" i="13"/>
  <c r="CR4" i="13"/>
  <c r="CP8" i="13"/>
  <c r="CP13" i="13"/>
  <c r="CP11" i="13"/>
  <c r="CP15" i="13"/>
  <c r="CA7" i="13" l="1"/>
  <c r="CA18" i="13" s="1"/>
  <c r="CA24" i="13" s="1"/>
  <c r="CB6" i="13"/>
  <c r="CP10" i="13"/>
  <c r="CP19" i="13" s="1"/>
  <c r="CP12" i="13"/>
  <c r="CP20" i="13" s="1"/>
  <c r="CP16" i="13"/>
  <c r="CP22" i="13" s="1"/>
  <c r="CP14" i="13"/>
  <c r="CP21" i="13" s="1"/>
  <c r="CS3" i="13"/>
  <c r="CS23" i="13" s="1"/>
  <c r="CQ9" i="13"/>
  <c r="CR5" i="13"/>
  <c r="CS4" i="13"/>
  <c r="CQ8" i="13"/>
  <c r="CQ13" i="13"/>
  <c r="CQ11" i="13"/>
  <c r="CQ15" i="13"/>
  <c r="CC6" i="13" l="1"/>
  <c r="CB7" i="13"/>
  <c r="CB18" i="13" s="1"/>
  <c r="CB24" i="13" s="1"/>
  <c r="CQ16" i="13"/>
  <c r="CQ22" i="13" s="1"/>
  <c r="CQ10" i="13"/>
  <c r="CQ19" i="13" s="1"/>
  <c r="CQ14" i="13"/>
  <c r="CQ21" i="13" s="1"/>
  <c r="CQ12" i="13"/>
  <c r="CQ20" i="13" s="1"/>
  <c r="CT3" i="13"/>
  <c r="CT23" i="13" s="1"/>
  <c r="CR9" i="13"/>
  <c r="CS5" i="13"/>
  <c r="CT4" i="13"/>
  <c r="CR8" i="13"/>
  <c r="CR13" i="13"/>
  <c r="CR11" i="13"/>
  <c r="CR15" i="13"/>
  <c r="CC7" i="13" l="1"/>
  <c r="CC18" i="13" s="1"/>
  <c r="CC24" i="13" s="1"/>
  <c r="CD6" i="13"/>
  <c r="CR10" i="13"/>
  <c r="CR19" i="13" s="1"/>
  <c r="CR12" i="13"/>
  <c r="CR20" i="13" s="1"/>
  <c r="CR14" i="13"/>
  <c r="CR21" i="13" s="1"/>
  <c r="CR16" i="13"/>
  <c r="CR22" i="13" s="1"/>
  <c r="CU3" i="13"/>
  <c r="CU23" i="13" s="1"/>
  <c r="CS9" i="13"/>
  <c r="CT5" i="13"/>
  <c r="CU4" i="13"/>
  <c r="CU5" i="13" s="1"/>
  <c r="CS8" i="13"/>
  <c r="CS11" i="13"/>
  <c r="CS13" i="13"/>
  <c r="CS15" i="13"/>
  <c r="CE6" i="13" l="1"/>
  <c r="CD7" i="13"/>
  <c r="CD18" i="13" s="1"/>
  <c r="CD24" i="13" s="1"/>
  <c r="CS10" i="13"/>
  <c r="CS19" i="13" s="1"/>
  <c r="CS14" i="13"/>
  <c r="CS21" i="13" s="1"/>
  <c r="CS16" i="13"/>
  <c r="CS22" i="13" s="1"/>
  <c r="CS12" i="13"/>
  <c r="CS20" i="13" s="1"/>
  <c r="CV3" i="13"/>
  <c r="CV23" i="13" s="1"/>
  <c r="CT9" i="13"/>
  <c r="CV4" i="13"/>
  <c r="CV5" i="13" s="1"/>
  <c r="CT8" i="13"/>
  <c r="CT11" i="13"/>
  <c r="CT13" i="13"/>
  <c r="CT15" i="13"/>
  <c r="CE7" i="13" l="1"/>
  <c r="CE18" i="13" s="1"/>
  <c r="CE24" i="13" s="1"/>
  <c r="CF6" i="13"/>
  <c r="CT12" i="13"/>
  <c r="CT20" i="13" s="1"/>
  <c r="CT10" i="13"/>
  <c r="CT19" i="13" s="1"/>
  <c r="CT16" i="13"/>
  <c r="CT22" i="13" s="1"/>
  <c r="CT14" i="13"/>
  <c r="CT21" i="13" s="1"/>
  <c r="CW3" i="13"/>
  <c r="CW23" i="13" s="1"/>
  <c r="CU9" i="13"/>
  <c r="CU10" i="13" s="1"/>
  <c r="CW4" i="13"/>
  <c r="CW5" i="13" s="1"/>
  <c r="CU8" i="13"/>
  <c r="CU11" i="13"/>
  <c r="CU13" i="13"/>
  <c r="CU15" i="13"/>
  <c r="CG6" i="13" l="1"/>
  <c r="CF7" i="13"/>
  <c r="CF18" i="13" s="1"/>
  <c r="CF24" i="13" s="1"/>
  <c r="CU12" i="13"/>
  <c r="CU20" i="13" s="1"/>
  <c r="CU14" i="13"/>
  <c r="CU21" i="13" s="1"/>
  <c r="CU16" i="13"/>
  <c r="CU22" i="13" s="1"/>
  <c r="CX3" i="13"/>
  <c r="CX23" i="13" s="1"/>
  <c r="CU19" i="13"/>
  <c r="CV9" i="13"/>
  <c r="CV10" i="13" s="1"/>
  <c r="CX4" i="13"/>
  <c r="CX5" i="13" s="1"/>
  <c r="CV8" i="13"/>
  <c r="CV11" i="13"/>
  <c r="CV13" i="13"/>
  <c r="CV15" i="13"/>
  <c r="CH6" i="13" l="1"/>
  <c r="CG7" i="13"/>
  <c r="CG18" i="13" s="1"/>
  <c r="CG24" i="13" s="1"/>
  <c r="CV12" i="13"/>
  <c r="CV20" i="13" s="1"/>
  <c r="CV16" i="13"/>
  <c r="CV22" i="13" s="1"/>
  <c r="CV14" i="13"/>
  <c r="CV21" i="13" s="1"/>
  <c r="CY3" i="13"/>
  <c r="CY23" i="13" s="1"/>
  <c r="CW9" i="13"/>
  <c r="CW10" i="13" s="1"/>
  <c r="CV19" i="13"/>
  <c r="CY4" i="13"/>
  <c r="CY5" i="13" s="1"/>
  <c r="CW8" i="13"/>
  <c r="CW13" i="13"/>
  <c r="CW11" i="13"/>
  <c r="CW15" i="13"/>
  <c r="CH7" i="13" l="1"/>
  <c r="CH18" i="13" s="1"/>
  <c r="CH24" i="13" s="1"/>
  <c r="CI6" i="13"/>
  <c r="CW12" i="13"/>
  <c r="CW20" i="13" s="1"/>
  <c r="CW14" i="13"/>
  <c r="CW21" i="13" s="1"/>
  <c r="CW16" i="13"/>
  <c r="CW22" i="13" s="1"/>
  <c r="CZ3" i="13"/>
  <c r="CZ23" i="13" s="1"/>
  <c r="CX9" i="13"/>
  <c r="CX10" i="13" s="1"/>
  <c r="CW19" i="13"/>
  <c r="CZ4" i="13"/>
  <c r="CZ5" i="13" s="1"/>
  <c r="CX8" i="13"/>
  <c r="CX11" i="13"/>
  <c r="CX13" i="13"/>
  <c r="CX15" i="13"/>
  <c r="CJ6" i="13" l="1"/>
  <c r="CI7" i="13"/>
  <c r="CI18" i="13" s="1"/>
  <c r="CI24" i="13" s="1"/>
  <c r="CX12" i="13"/>
  <c r="CX20" i="13" s="1"/>
  <c r="CX16" i="13"/>
  <c r="CX22" i="13" s="1"/>
  <c r="CX14" i="13"/>
  <c r="CX21" i="13" s="1"/>
  <c r="DA3" i="13"/>
  <c r="DA23" i="13" s="1"/>
  <c r="CY9" i="13"/>
  <c r="CY10" i="13" s="1"/>
  <c r="CX19" i="13"/>
  <c r="DA4" i="13"/>
  <c r="DA5" i="13" s="1"/>
  <c r="CY8" i="13"/>
  <c r="CY11" i="13"/>
  <c r="CY13" i="13"/>
  <c r="CY15" i="13"/>
  <c r="CJ7" i="13" l="1"/>
  <c r="CJ18" i="13" s="1"/>
  <c r="CJ24" i="13" s="1"/>
  <c r="CK6" i="13"/>
  <c r="CY16" i="13"/>
  <c r="CY22" i="13" s="1"/>
  <c r="CY12" i="13"/>
  <c r="CY20" i="13" s="1"/>
  <c r="CY14" i="13"/>
  <c r="CY21" i="13" s="1"/>
  <c r="DB3" i="13"/>
  <c r="DB23" i="13" s="1"/>
  <c r="CZ9" i="13"/>
  <c r="CZ10" i="13" s="1"/>
  <c r="CY19" i="13"/>
  <c r="DB4" i="13"/>
  <c r="DB5" i="13" s="1"/>
  <c r="CZ8" i="13"/>
  <c r="CZ11" i="13"/>
  <c r="CZ13" i="13"/>
  <c r="CZ15" i="13"/>
  <c r="CK7" i="13" l="1"/>
  <c r="CK18" i="13" s="1"/>
  <c r="CK24" i="13" s="1"/>
  <c r="CL6" i="13"/>
  <c r="CZ12" i="13"/>
  <c r="CZ20" i="13" s="1"/>
  <c r="CZ14" i="13"/>
  <c r="CZ21" i="13" s="1"/>
  <c r="CZ16" i="13"/>
  <c r="CZ22" i="13" s="1"/>
  <c r="DC3" i="13"/>
  <c r="DC23" i="13" s="1"/>
  <c r="CZ19" i="13"/>
  <c r="DA9" i="13"/>
  <c r="DA10" i="13" s="1"/>
  <c r="DC4" i="13"/>
  <c r="DA8" i="13"/>
  <c r="DA13" i="13"/>
  <c r="DA11" i="13"/>
  <c r="DA15" i="13"/>
  <c r="CM6" i="13" l="1"/>
  <c r="CL7" i="13"/>
  <c r="CL18" i="13" s="1"/>
  <c r="CL24" i="13" s="1"/>
  <c r="DA12" i="13"/>
  <c r="DA20" i="13" s="1"/>
  <c r="DA14" i="13"/>
  <c r="DA21" i="13" s="1"/>
  <c r="DA16" i="13"/>
  <c r="DA22" i="13" s="1"/>
  <c r="DD3" i="13"/>
  <c r="DD23" i="13" s="1"/>
  <c r="DD4" i="13"/>
  <c r="DC5" i="13"/>
  <c r="DC8" i="13" s="1"/>
  <c r="DA19" i="13"/>
  <c r="DB9" i="13"/>
  <c r="DB10" i="13" s="1"/>
  <c r="DB8" i="13"/>
  <c r="DB11" i="13"/>
  <c r="DB13" i="13"/>
  <c r="DB15" i="13"/>
  <c r="CM7" i="13" l="1"/>
  <c r="CM18" i="13" s="1"/>
  <c r="CM24" i="13" s="1"/>
  <c r="CN6" i="13"/>
  <c r="DB12" i="13"/>
  <c r="DB20" i="13" s="1"/>
  <c r="DB16" i="13"/>
  <c r="DB22" i="13" s="1"/>
  <c r="DB14" i="13"/>
  <c r="DB21" i="13" s="1"/>
  <c r="DE3" i="13"/>
  <c r="DE23" i="13" s="1"/>
  <c r="DD5" i="13"/>
  <c r="DD8" i="13" s="1"/>
  <c r="DE4" i="13"/>
  <c r="DB19" i="13"/>
  <c r="DC9" i="13"/>
  <c r="DC10" i="13" s="1"/>
  <c r="DC11" i="13"/>
  <c r="DC12" i="13" s="1"/>
  <c r="DC15" i="13"/>
  <c r="DC16" i="13" s="1"/>
  <c r="DC13" i="13"/>
  <c r="DC14" i="13" s="1"/>
  <c r="CN7" i="13" l="1"/>
  <c r="CN18" i="13" s="1"/>
  <c r="CN24" i="13" s="1"/>
  <c r="CO6" i="13"/>
  <c r="DF3" i="13"/>
  <c r="DF23" i="13" s="1"/>
  <c r="DE5" i="13"/>
  <c r="DE8" i="13" s="1"/>
  <c r="DF4" i="13"/>
  <c r="DC19" i="13"/>
  <c r="DD9" i="13"/>
  <c r="DD10" i="13" s="1"/>
  <c r="DC21" i="13"/>
  <c r="DD13" i="13"/>
  <c r="DD14" i="13" s="1"/>
  <c r="DC22" i="13"/>
  <c r="DD15" i="13"/>
  <c r="DD16" i="13" s="1"/>
  <c r="DC20" i="13"/>
  <c r="DD11" i="13"/>
  <c r="DD12" i="13" s="1"/>
  <c r="CO7" i="13" l="1"/>
  <c r="CO18" i="13" s="1"/>
  <c r="CO24" i="13" s="1"/>
  <c r="CP6" i="13"/>
  <c r="DG3" i="13"/>
  <c r="DG23" i="13" s="1"/>
  <c r="DF5" i="13"/>
  <c r="DF8" i="13" s="1"/>
  <c r="DG4" i="13"/>
  <c r="DD19" i="13"/>
  <c r="DE9" i="13"/>
  <c r="DE10" i="13" s="1"/>
  <c r="DD22" i="13"/>
  <c r="DE15" i="13"/>
  <c r="DE16" i="13" s="1"/>
  <c r="DD20" i="13"/>
  <c r="DE11" i="13"/>
  <c r="DE12" i="13" s="1"/>
  <c r="DD21" i="13"/>
  <c r="DE13" i="13"/>
  <c r="DE14" i="13" s="1"/>
  <c r="CQ6" i="13" l="1"/>
  <c r="CP7" i="13"/>
  <c r="CP18" i="13" s="1"/>
  <c r="CP24" i="13" s="1"/>
  <c r="DH3" i="13"/>
  <c r="DH23" i="13" s="1"/>
  <c r="DG5" i="13"/>
  <c r="DG8" i="13" s="1"/>
  <c r="DH4" i="13"/>
  <c r="DE19" i="13"/>
  <c r="DF9" i="13"/>
  <c r="DF10" i="13" s="1"/>
  <c r="DE21" i="13"/>
  <c r="DF13" i="13"/>
  <c r="DF14" i="13" s="1"/>
  <c r="DE20" i="13"/>
  <c r="DF11" i="13"/>
  <c r="DF12" i="13" s="1"/>
  <c r="DE22" i="13"/>
  <c r="DF15" i="13"/>
  <c r="DF16" i="13" s="1"/>
  <c r="CQ7" i="13" l="1"/>
  <c r="CQ18" i="13" s="1"/>
  <c r="CQ24" i="13" s="1"/>
  <c r="CR6" i="13"/>
  <c r="DI3" i="13"/>
  <c r="DI23" i="13" s="1"/>
  <c r="DH5" i="13"/>
  <c r="DH8" i="13" s="1"/>
  <c r="DI4" i="13"/>
  <c r="DF19" i="13"/>
  <c r="DG9" i="13"/>
  <c r="DG10" i="13" s="1"/>
  <c r="DF22" i="13"/>
  <c r="DG15" i="13"/>
  <c r="DG16" i="13" s="1"/>
  <c r="DF20" i="13"/>
  <c r="DG11" i="13"/>
  <c r="DG12" i="13" s="1"/>
  <c r="DF21" i="13"/>
  <c r="DG13" i="13"/>
  <c r="DG14" i="13" s="1"/>
  <c r="CR7" i="13" l="1"/>
  <c r="CR18" i="13" s="1"/>
  <c r="CR24" i="13" s="1"/>
  <c r="CS6" i="13"/>
  <c r="DJ3" i="13"/>
  <c r="DJ23" i="13" s="1"/>
  <c r="DI5" i="13"/>
  <c r="DI8" i="13" s="1"/>
  <c r="DJ4" i="13"/>
  <c r="DG19" i="13"/>
  <c r="DH9" i="13"/>
  <c r="DH10" i="13" s="1"/>
  <c r="DG20" i="13"/>
  <c r="DH11" i="13"/>
  <c r="DH12" i="13" s="1"/>
  <c r="DG22" i="13"/>
  <c r="DH15" i="13"/>
  <c r="DH16" i="13" s="1"/>
  <c r="DG21" i="13"/>
  <c r="DH13" i="13"/>
  <c r="DH14" i="13" s="1"/>
  <c r="CS7" i="13" l="1"/>
  <c r="CS18" i="13" s="1"/>
  <c r="CS24" i="13" s="1"/>
  <c r="CT6" i="13"/>
  <c r="DK3" i="13"/>
  <c r="DK23" i="13" s="1"/>
  <c r="DJ5" i="13"/>
  <c r="DJ8" i="13" s="1"/>
  <c r="DK4" i="13"/>
  <c r="DH19" i="13"/>
  <c r="DI9" i="13"/>
  <c r="DI10" i="13" s="1"/>
  <c r="DH21" i="13"/>
  <c r="DI13" i="13"/>
  <c r="DI14" i="13" s="1"/>
  <c r="DH22" i="13"/>
  <c r="DI15" i="13"/>
  <c r="DI16" i="13" s="1"/>
  <c r="DH20" i="13"/>
  <c r="DI11" i="13"/>
  <c r="DI12" i="13" s="1"/>
  <c r="CU6" i="13" l="1"/>
  <c r="CT7" i="13"/>
  <c r="CT18" i="13" s="1"/>
  <c r="CT24" i="13" s="1"/>
  <c r="DL3" i="13"/>
  <c r="DL23" i="13" s="1"/>
  <c r="DK5" i="13"/>
  <c r="DK8" i="13" s="1"/>
  <c r="DL4" i="13"/>
  <c r="DI19" i="13"/>
  <c r="DJ9" i="13"/>
  <c r="DJ10" i="13" s="1"/>
  <c r="DI22" i="13"/>
  <c r="DJ15" i="13"/>
  <c r="DJ16" i="13" s="1"/>
  <c r="DI20" i="13"/>
  <c r="DJ11" i="13"/>
  <c r="DJ12" i="13" s="1"/>
  <c r="DI21" i="13"/>
  <c r="DJ13" i="13"/>
  <c r="DJ14" i="13" s="1"/>
  <c r="CU7" i="13" l="1"/>
  <c r="CU18" i="13" s="1"/>
  <c r="CU24" i="13" s="1"/>
  <c r="CV6" i="13"/>
  <c r="DM3" i="13"/>
  <c r="DM23" i="13" s="1"/>
  <c r="DL5" i="13"/>
  <c r="DL8" i="13" s="1"/>
  <c r="DM4" i="13"/>
  <c r="DJ19" i="13"/>
  <c r="DK9" i="13"/>
  <c r="DK10" i="13" s="1"/>
  <c r="DJ20" i="13"/>
  <c r="DK11" i="13"/>
  <c r="DK12" i="13" s="1"/>
  <c r="DJ22" i="13"/>
  <c r="DK15" i="13"/>
  <c r="DK16" i="13" s="1"/>
  <c r="DJ21" i="13"/>
  <c r="DK13" i="13"/>
  <c r="DK14" i="13" s="1"/>
  <c r="CW6" i="13" l="1"/>
  <c r="CV7" i="13"/>
  <c r="CV18" i="13" s="1"/>
  <c r="CV24" i="13" s="1"/>
  <c r="DN3" i="13"/>
  <c r="DN23" i="13" s="1"/>
  <c r="DM5" i="13"/>
  <c r="DM8" i="13" s="1"/>
  <c r="DN4" i="13"/>
  <c r="DK19" i="13"/>
  <c r="DL9" i="13"/>
  <c r="DL10" i="13" s="1"/>
  <c r="DK22" i="13"/>
  <c r="DL15" i="13"/>
  <c r="DL16" i="13" s="1"/>
  <c r="DK20" i="13"/>
  <c r="DL11" i="13"/>
  <c r="DL12" i="13" s="1"/>
  <c r="DK21" i="13"/>
  <c r="DL13" i="13"/>
  <c r="DL14" i="13" s="1"/>
  <c r="CW7" i="13" l="1"/>
  <c r="CW18" i="13" s="1"/>
  <c r="CW24" i="13" s="1"/>
  <c r="CX6" i="13"/>
  <c r="DO3" i="13"/>
  <c r="DO23" i="13" s="1"/>
  <c r="DN5" i="13"/>
  <c r="DN8" i="13" s="1"/>
  <c r="DO4" i="13"/>
  <c r="DL19" i="13"/>
  <c r="DM9" i="13"/>
  <c r="DM10" i="13" s="1"/>
  <c r="DL22" i="13"/>
  <c r="DM15" i="13"/>
  <c r="DM16" i="13" s="1"/>
  <c r="DL21" i="13"/>
  <c r="DM13" i="13"/>
  <c r="DM14" i="13" s="1"/>
  <c r="DL20" i="13"/>
  <c r="DM11" i="13"/>
  <c r="DM12" i="13" s="1"/>
  <c r="CY6" i="13" l="1"/>
  <c r="CX7" i="13"/>
  <c r="CX18" i="13" s="1"/>
  <c r="CX24" i="13" s="1"/>
  <c r="DP3" i="13"/>
  <c r="DP23" i="13" s="1"/>
  <c r="DO5" i="13"/>
  <c r="DO8" i="13" s="1"/>
  <c r="DP4" i="13"/>
  <c r="DM19" i="13"/>
  <c r="DN9" i="13"/>
  <c r="DN10" i="13" s="1"/>
  <c r="DM20" i="13"/>
  <c r="DN11" i="13"/>
  <c r="DN12" i="13" s="1"/>
  <c r="DM21" i="13"/>
  <c r="DN13" i="13"/>
  <c r="DN14" i="13" s="1"/>
  <c r="DM22" i="13"/>
  <c r="DN15" i="13"/>
  <c r="DN16" i="13" s="1"/>
  <c r="CZ6" i="13" l="1"/>
  <c r="CY7" i="13"/>
  <c r="CY18" i="13" s="1"/>
  <c r="CY24" i="13" s="1"/>
  <c r="DQ3" i="13"/>
  <c r="DQ23" i="13" s="1"/>
  <c r="DP5" i="13"/>
  <c r="DP8" i="13" s="1"/>
  <c r="DQ4" i="13"/>
  <c r="DN19" i="13"/>
  <c r="DO9" i="13"/>
  <c r="DO10" i="13" s="1"/>
  <c r="DN21" i="13"/>
  <c r="DO13" i="13"/>
  <c r="DO14" i="13" s="1"/>
  <c r="DN22" i="13"/>
  <c r="DO15" i="13"/>
  <c r="DO16" i="13" s="1"/>
  <c r="DN20" i="13"/>
  <c r="DO11" i="13"/>
  <c r="DO12" i="13" s="1"/>
  <c r="CZ7" i="13" l="1"/>
  <c r="CZ18" i="13" s="1"/>
  <c r="CZ24" i="13" s="1"/>
  <c r="DA6" i="13"/>
  <c r="DR3" i="13"/>
  <c r="DR23" i="13" s="1"/>
  <c r="DQ5" i="13"/>
  <c r="DQ8" i="13" s="1"/>
  <c r="DR4" i="13"/>
  <c r="DO19" i="13"/>
  <c r="DP9" i="13"/>
  <c r="DP10" i="13" s="1"/>
  <c r="DO22" i="13"/>
  <c r="DP15" i="13"/>
  <c r="DP16" i="13" s="1"/>
  <c r="DO20" i="13"/>
  <c r="DP11" i="13"/>
  <c r="DP12" i="13" s="1"/>
  <c r="DO21" i="13"/>
  <c r="DP13" i="13"/>
  <c r="DP14" i="13" s="1"/>
  <c r="DA7" i="13" l="1"/>
  <c r="DA18" i="13" s="1"/>
  <c r="DA24" i="13" s="1"/>
  <c r="DB6" i="13"/>
  <c r="DS3" i="13"/>
  <c r="DS23" i="13" s="1"/>
  <c r="DR5" i="13"/>
  <c r="DR8" i="13" s="1"/>
  <c r="DS4" i="13"/>
  <c r="DP19" i="13"/>
  <c r="DQ9" i="13"/>
  <c r="DQ10" i="13" s="1"/>
  <c r="DP20" i="13"/>
  <c r="DQ11" i="13"/>
  <c r="DQ12" i="13" s="1"/>
  <c r="DP21" i="13"/>
  <c r="DQ13" i="13"/>
  <c r="DQ14" i="13" s="1"/>
  <c r="DP22" i="13"/>
  <c r="DQ15" i="13"/>
  <c r="DQ16" i="13" s="1"/>
  <c r="DB7" i="13" l="1"/>
  <c r="DB18" i="13" s="1"/>
  <c r="DB24" i="13" s="1"/>
  <c r="DC6" i="13"/>
  <c r="DT3" i="13"/>
  <c r="DT23" i="13" s="1"/>
  <c r="DS5" i="13"/>
  <c r="DS8" i="13" s="1"/>
  <c r="DT4" i="13"/>
  <c r="DQ19" i="13"/>
  <c r="DR9" i="13"/>
  <c r="DR10" i="13" s="1"/>
  <c r="DQ21" i="13"/>
  <c r="DR13" i="13"/>
  <c r="DR14" i="13" s="1"/>
  <c r="DQ20" i="13"/>
  <c r="DR11" i="13"/>
  <c r="DR12" i="13" s="1"/>
  <c r="DQ22" i="13"/>
  <c r="DR15" i="13"/>
  <c r="DR16" i="13" s="1"/>
  <c r="DC7" i="13" l="1"/>
  <c r="DC18" i="13" s="1"/>
  <c r="DC24" i="13" s="1"/>
  <c r="DD6" i="13"/>
  <c r="DU3" i="13"/>
  <c r="DU23" i="13" s="1"/>
  <c r="DT5" i="13"/>
  <c r="DT8" i="13" s="1"/>
  <c r="DU4" i="13"/>
  <c r="DR19" i="13"/>
  <c r="DS9" i="13"/>
  <c r="DS10" i="13" s="1"/>
  <c r="DR20" i="13"/>
  <c r="DS11" i="13"/>
  <c r="DS12" i="13" s="1"/>
  <c r="DR21" i="13"/>
  <c r="DS13" i="13"/>
  <c r="DS14" i="13" s="1"/>
  <c r="DR22" i="13"/>
  <c r="DS15" i="13"/>
  <c r="DS16" i="13" s="1"/>
  <c r="DD7" i="13" l="1"/>
  <c r="DD18" i="13" s="1"/>
  <c r="DD24" i="13" s="1"/>
  <c r="DE6" i="13"/>
  <c r="DV3" i="13"/>
  <c r="DV23" i="13" s="1"/>
  <c r="DU5" i="13"/>
  <c r="DU8" i="13" s="1"/>
  <c r="DV4" i="13"/>
  <c r="DS19" i="13"/>
  <c r="DT9" i="13"/>
  <c r="DT10" i="13" s="1"/>
  <c r="DS22" i="13"/>
  <c r="DT15" i="13"/>
  <c r="DT16" i="13" s="1"/>
  <c r="DS21" i="13"/>
  <c r="DT13" i="13"/>
  <c r="DT14" i="13" s="1"/>
  <c r="DS20" i="13"/>
  <c r="DT11" i="13"/>
  <c r="DT12" i="13" s="1"/>
  <c r="DE7" i="13" l="1"/>
  <c r="DE18" i="13" s="1"/>
  <c r="DE24" i="13" s="1"/>
  <c r="DF6" i="13"/>
  <c r="DW3" i="13"/>
  <c r="DW23" i="13" s="1"/>
  <c r="DV5" i="13"/>
  <c r="DV8" i="13" s="1"/>
  <c r="DW4" i="13"/>
  <c r="DT19" i="13"/>
  <c r="DU9" i="13"/>
  <c r="DU10" i="13" s="1"/>
  <c r="DT21" i="13"/>
  <c r="DU13" i="13"/>
  <c r="DU14" i="13" s="1"/>
  <c r="DT22" i="13"/>
  <c r="DU15" i="13"/>
  <c r="DU16" i="13" s="1"/>
  <c r="DT20" i="13"/>
  <c r="DU11" i="13"/>
  <c r="DU12" i="13" s="1"/>
  <c r="DG6" i="13" l="1"/>
  <c r="DF7" i="13"/>
  <c r="DF18" i="13" s="1"/>
  <c r="DF24" i="13" s="1"/>
  <c r="DX3" i="13"/>
  <c r="DX23" i="13" s="1"/>
  <c r="DW5" i="13"/>
  <c r="DW8" i="13" s="1"/>
  <c r="DX4" i="13"/>
  <c r="DU19" i="13"/>
  <c r="DV9" i="13"/>
  <c r="DV10" i="13" s="1"/>
  <c r="DU22" i="13"/>
  <c r="DV15" i="13"/>
  <c r="DV16" i="13" s="1"/>
  <c r="DU21" i="13"/>
  <c r="DV13" i="13"/>
  <c r="DV14" i="13" s="1"/>
  <c r="DU20" i="13"/>
  <c r="DV11" i="13"/>
  <c r="DV12" i="13" s="1"/>
  <c r="DG7" i="13" l="1"/>
  <c r="DG18" i="13" s="1"/>
  <c r="DG24" i="13" s="1"/>
  <c r="DH6" i="13"/>
  <c r="DY3" i="13"/>
  <c r="DY23" i="13" s="1"/>
  <c r="DX5" i="13"/>
  <c r="DX8" i="13" s="1"/>
  <c r="DY4" i="13"/>
  <c r="DV19" i="13"/>
  <c r="DW9" i="13"/>
  <c r="DW10" i="13" s="1"/>
  <c r="DV20" i="13"/>
  <c r="DW11" i="13"/>
  <c r="DW12" i="13" s="1"/>
  <c r="DV21" i="13"/>
  <c r="DW13" i="13"/>
  <c r="DW14" i="13" s="1"/>
  <c r="DV22" i="13"/>
  <c r="DW15" i="13"/>
  <c r="DW16" i="13" s="1"/>
  <c r="DH7" i="13" l="1"/>
  <c r="DH18" i="13" s="1"/>
  <c r="DH24" i="13" s="1"/>
  <c r="DI6" i="13"/>
  <c r="DZ3" i="13"/>
  <c r="DZ23" i="13" s="1"/>
  <c r="DY5" i="13"/>
  <c r="DY8" i="13" s="1"/>
  <c r="DZ4" i="13"/>
  <c r="DW19" i="13"/>
  <c r="DX9" i="13"/>
  <c r="DX10" i="13" s="1"/>
  <c r="DW22" i="13"/>
  <c r="DX15" i="13"/>
  <c r="DX16" i="13" s="1"/>
  <c r="DW21" i="13"/>
  <c r="DX13" i="13"/>
  <c r="DX14" i="13" s="1"/>
  <c r="DW20" i="13"/>
  <c r="DX11" i="13"/>
  <c r="DX12" i="13" s="1"/>
  <c r="DI7" i="13" l="1"/>
  <c r="DI18" i="13" s="1"/>
  <c r="DI24" i="13" s="1"/>
  <c r="DJ6" i="13"/>
  <c r="EA3" i="13"/>
  <c r="EA23" i="13" s="1"/>
  <c r="DZ5" i="13"/>
  <c r="DZ8" i="13" s="1"/>
  <c r="EA4" i="13"/>
  <c r="DX19" i="13"/>
  <c r="DY9" i="13"/>
  <c r="DY10" i="13" s="1"/>
  <c r="DX21" i="13"/>
  <c r="DY13" i="13"/>
  <c r="DY14" i="13" s="1"/>
  <c r="DX20" i="13"/>
  <c r="DY11" i="13"/>
  <c r="DY12" i="13" s="1"/>
  <c r="DX22" i="13"/>
  <c r="DY15" i="13"/>
  <c r="DY16" i="13" s="1"/>
  <c r="DJ7" i="13" l="1"/>
  <c r="DJ18" i="13" s="1"/>
  <c r="DJ24" i="13" s="1"/>
  <c r="DK6" i="13"/>
  <c r="EB3" i="13"/>
  <c r="EB23" i="13" s="1"/>
  <c r="EA5" i="13"/>
  <c r="EA8" i="13" s="1"/>
  <c r="EB4" i="13"/>
  <c r="DY19" i="13"/>
  <c r="DZ9" i="13"/>
  <c r="DZ10" i="13" s="1"/>
  <c r="DY20" i="13"/>
  <c r="DZ11" i="13"/>
  <c r="DZ12" i="13" s="1"/>
  <c r="DY22" i="13"/>
  <c r="DZ15" i="13"/>
  <c r="DZ16" i="13" s="1"/>
  <c r="DY21" i="13"/>
  <c r="DZ13" i="13"/>
  <c r="DZ14" i="13" s="1"/>
  <c r="DK7" i="13" l="1"/>
  <c r="DK18" i="13" s="1"/>
  <c r="DK24" i="13" s="1"/>
  <c r="DL6" i="13"/>
  <c r="EC3" i="13"/>
  <c r="EC23" i="13" s="1"/>
  <c r="EB5" i="13"/>
  <c r="EB8" i="13" s="1"/>
  <c r="EC4" i="13"/>
  <c r="DZ19" i="13"/>
  <c r="EA9" i="13"/>
  <c r="EA10" i="13" s="1"/>
  <c r="DZ20" i="13"/>
  <c r="EA11" i="13"/>
  <c r="EA12" i="13" s="1"/>
  <c r="DZ21" i="13"/>
  <c r="EA13" i="13"/>
  <c r="EA14" i="13" s="1"/>
  <c r="DZ22" i="13"/>
  <c r="EA15" i="13"/>
  <c r="EA16" i="13" s="1"/>
  <c r="DM6" i="13" l="1"/>
  <c r="DL7" i="13"/>
  <c r="DL18" i="13" s="1"/>
  <c r="DL24" i="13" s="1"/>
  <c r="ED3" i="13"/>
  <c r="ED23" i="13" s="1"/>
  <c r="EC5" i="13"/>
  <c r="EC8" i="13" s="1"/>
  <c r="ED4" i="13"/>
  <c r="EA19" i="13"/>
  <c r="EB9" i="13"/>
  <c r="EB10" i="13" s="1"/>
  <c r="EA22" i="13"/>
  <c r="EB15" i="13"/>
  <c r="EB16" i="13" s="1"/>
  <c r="EA21" i="13"/>
  <c r="EB13" i="13"/>
  <c r="EB14" i="13" s="1"/>
  <c r="EA20" i="13"/>
  <c r="EB11" i="13"/>
  <c r="EB12" i="13" s="1"/>
  <c r="DM7" i="13" l="1"/>
  <c r="DM18" i="13" s="1"/>
  <c r="DM24" i="13" s="1"/>
  <c r="DN6" i="13"/>
  <c r="EE3" i="13"/>
  <c r="EE23" i="13" s="1"/>
  <c r="ED5" i="13"/>
  <c r="ED8" i="13" s="1"/>
  <c r="EE4" i="13"/>
  <c r="EB19" i="13"/>
  <c r="EC9" i="13"/>
  <c r="EC10" i="13" s="1"/>
  <c r="EB21" i="13"/>
  <c r="EC13" i="13"/>
  <c r="EC14" i="13" s="1"/>
  <c r="EB20" i="13"/>
  <c r="EC11" i="13"/>
  <c r="EC12" i="13" s="1"/>
  <c r="EB22" i="13"/>
  <c r="EC15" i="13"/>
  <c r="EC16" i="13" s="1"/>
  <c r="DN7" i="13" l="1"/>
  <c r="DN18" i="13" s="1"/>
  <c r="DN24" i="13" s="1"/>
  <c r="DO6" i="13"/>
  <c r="EF3" i="13"/>
  <c r="EF23" i="13" s="1"/>
  <c r="EE5" i="13"/>
  <c r="EE8" i="13" s="1"/>
  <c r="EF4" i="13"/>
  <c r="EC19" i="13"/>
  <c r="ED9" i="13"/>
  <c r="ED10" i="13" s="1"/>
  <c r="EC22" i="13"/>
  <c r="ED15" i="13"/>
  <c r="ED16" i="13" s="1"/>
  <c r="EC21" i="13"/>
  <c r="ED13" i="13"/>
  <c r="ED14" i="13" s="1"/>
  <c r="EC20" i="13"/>
  <c r="ED11" i="13"/>
  <c r="ED12" i="13" s="1"/>
  <c r="DO7" i="13" l="1"/>
  <c r="DO18" i="13" s="1"/>
  <c r="DO24" i="13" s="1"/>
  <c r="DP6" i="13"/>
  <c r="EG3" i="13"/>
  <c r="EG23" i="13" s="1"/>
  <c r="EF5" i="13"/>
  <c r="EF8" i="13" s="1"/>
  <c r="EG4" i="13"/>
  <c r="ED19" i="13"/>
  <c r="EE9" i="13"/>
  <c r="EE10" i="13" s="1"/>
  <c r="ED22" i="13"/>
  <c r="EE15" i="13"/>
  <c r="EE16" i="13" s="1"/>
  <c r="ED20" i="13"/>
  <c r="EE11" i="13"/>
  <c r="EE12" i="13" s="1"/>
  <c r="ED21" i="13"/>
  <c r="EE13" i="13"/>
  <c r="EE14" i="13" s="1"/>
  <c r="DP7" i="13" l="1"/>
  <c r="DP18" i="13" s="1"/>
  <c r="DP24" i="13" s="1"/>
  <c r="DQ6" i="13"/>
  <c r="EH3" i="13"/>
  <c r="EH23" i="13" s="1"/>
  <c r="EG5" i="13"/>
  <c r="EG8" i="13" s="1"/>
  <c r="EH4" i="13"/>
  <c r="EF9" i="13"/>
  <c r="EF10" i="13" s="1"/>
  <c r="EE19" i="13"/>
  <c r="EE20" i="13"/>
  <c r="EF11" i="13"/>
  <c r="EF12" i="13" s="1"/>
  <c r="EE21" i="13"/>
  <c r="EF13" i="13"/>
  <c r="EF14" i="13" s="1"/>
  <c r="EE22" i="13"/>
  <c r="EF15" i="13"/>
  <c r="EF16" i="13" s="1"/>
  <c r="DQ7" i="13" l="1"/>
  <c r="DQ18" i="13" s="1"/>
  <c r="DQ24" i="13" s="1"/>
  <c r="DR6" i="13"/>
  <c r="EI3" i="13"/>
  <c r="EI23" i="13" s="1"/>
  <c r="EH5" i="13"/>
  <c r="EH8" i="13" s="1"/>
  <c r="EI4" i="13"/>
  <c r="EF19" i="13"/>
  <c r="EG9" i="13"/>
  <c r="EG10" i="13" s="1"/>
  <c r="EF22" i="13"/>
  <c r="EG15" i="13"/>
  <c r="EG16" i="13" s="1"/>
  <c r="EF20" i="13"/>
  <c r="EG11" i="13"/>
  <c r="EG12" i="13" s="1"/>
  <c r="EF21" i="13"/>
  <c r="EG13" i="13"/>
  <c r="EG14" i="13" s="1"/>
  <c r="DR7" i="13" l="1"/>
  <c r="DR18" i="13" s="1"/>
  <c r="DR24" i="13" s="1"/>
  <c r="DS6" i="13"/>
  <c r="EJ3" i="13"/>
  <c r="EJ23" i="13" s="1"/>
  <c r="EI5" i="13"/>
  <c r="EI8" i="13" s="1"/>
  <c r="EJ4" i="13"/>
  <c r="EG19" i="13"/>
  <c r="EH9" i="13"/>
  <c r="EH10" i="13" s="1"/>
  <c r="EG22" i="13"/>
  <c r="EH15" i="13"/>
  <c r="EH16" i="13" s="1"/>
  <c r="EG21" i="13"/>
  <c r="EH13" i="13"/>
  <c r="EH14" i="13" s="1"/>
  <c r="EG20" i="13"/>
  <c r="EH11" i="13"/>
  <c r="EH12" i="13" s="1"/>
  <c r="DS7" i="13" l="1"/>
  <c r="DS18" i="13" s="1"/>
  <c r="DS24" i="13" s="1"/>
  <c r="DT6" i="13"/>
  <c r="EK3" i="13"/>
  <c r="EK23" i="13" s="1"/>
  <c r="EJ5" i="13"/>
  <c r="EJ8" i="13" s="1"/>
  <c r="EK4" i="13"/>
  <c r="EH19" i="13"/>
  <c r="EI9" i="13"/>
  <c r="EI10" i="13" s="1"/>
  <c r="EH21" i="13"/>
  <c r="EI13" i="13"/>
  <c r="EI14" i="13" s="1"/>
  <c r="EH22" i="13"/>
  <c r="EI15" i="13"/>
  <c r="EI16" i="13" s="1"/>
  <c r="EH20" i="13"/>
  <c r="EI11" i="13"/>
  <c r="EI12" i="13" s="1"/>
  <c r="DT7" i="13" l="1"/>
  <c r="DT18" i="13" s="1"/>
  <c r="DT24" i="13" s="1"/>
  <c r="DU6" i="13"/>
  <c r="EL3" i="13"/>
  <c r="EL23" i="13" s="1"/>
  <c r="EK5" i="13"/>
  <c r="EK8" i="13" s="1"/>
  <c r="EL4" i="13"/>
  <c r="EI19" i="13"/>
  <c r="EJ9" i="13"/>
  <c r="EJ10" i="13" s="1"/>
  <c r="EI22" i="13"/>
  <c r="EJ15" i="13"/>
  <c r="EJ16" i="13" s="1"/>
  <c r="EI21" i="13"/>
  <c r="EJ13" i="13"/>
  <c r="EJ14" i="13" s="1"/>
  <c r="EI20" i="13"/>
  <c r="EJ11" i="13"/>
  <c r="EJ12" i="13" s="1"/>
  <c r="DU7" i="13" l="1"/>
  <c r="DU18" i="13" s="1"/>
  <c r="DU24" i="13" s="1"/>
  <c r="DV6" i="13"/>
  <c r="EM3" i="13"/>
  <c r="EM23" i="13" s="1"/>
  <c r="EL5" i="13"/>
  <c r="EL8" i="13" s="1"/>
  <c r="EM4" i="13"/>
  <c r="EK9" i="13"/>
  <c r="EK10" i="13" s="1"/>
  <c r="EJ19" i="13"/>
  <c r="EJ20" i="13"/>
  <c r="EK11" i="13"/>
  <c r="EK12" i="13" s="1"/>
  <c r="EJ22" i="13"/>
  <c r="EK15" i="13"/>
  <c r="EK16" i="13" s="1"/>
  <c r="EJ21" i="13"/>
  <c r="EK13" i="13"/>
  <c r="EK14" i="13" s="1"/>
  <c r="DV7" i="13" l="1"/>
  <c r="DV18" i="13" s="1"/>
  <c r="DV24" i="13" s="1"/>
  <c r="DW6" i="13"/>
  <c r="EN3" i="13"/>
  <c r="EN23" i="13" s="1"/>
  <c r="EM5" i="13"/>
  <c r="EM8" i="13" s="1"/>
  <c r="EN4" i="13"/>
  <c r="EL9" i="13"/>
  <c r="EL10" i="13" s="1"/>
  <c r="EK19" i="13"/>
  <c r="EK22" i="13"/>
  <c r="EL15" i="13"/>
  <c r="EL16" i="13" s="1"/>
  <c r="EK20" i="13"/>
  <c r="EL11" i="13"/>
  <c r="EL12" i="13" s="1"/>
  <c r="EK21" i="13"/>
  <c r="EL13" i="13"/>
  <c r="EL14" i="13" s="1"/>
  <c r="DW7" i="13" l="1"/>
  <c r="DW18" i="13" s="1"/>
  <c r="DW24" i="13" s="1"/>
  <c r="DX6" i="13"/>
  <c r="EO3" i="13"/>
  <c r="EO23" i="13" s="1"/>
  <c r="EN5" i="13"/>
  <c r="EN8" i="13" s="1"/>
  <c r="EO4" i="13"/>
  <c r="EM9" i="13"/>
  <c r="EM10" i="13" s="1"/>
  <c r="EL19" i="13"/>
  <c r="EL22" i="13"/>
  <c r="EM15" i="13"/>
  <c r="EM16" i="13" s="1"/>
  <c r="EL20" i="13"/>
  <c r="EM11" i="13"/>
  <c r="EM12" i="13" s="1"/>
  <c r="EL21" i="13"/>
  <c r="EM13" i="13"/>
  <c r="EM14" i="13" s="1"/>
  <c r="DX7" i="13" l="1"/>
  <c r="DX18" i="13" s="1"/>
  <c r="DX24" i="13" s="1"/>
  <c r="DY6" i="13"/>
  <c r="EP3" i="13"/>
  <c r="EP23" i="13" s="1"/>
  <c r="EO5" i="13"/>
  <c r="EO8" i="13" s="1"/>
  <c r="EP4" i="13"/>
  <c r="EM19" i="13"/>
  <c r="EN9" i="13"/>
  <c r="EN10" i="13" s="1"/>
  <c r="EM20" i="13"/>
  <c r="EN11" i="13"/>
  <c r="EN12" i="13" s="1"/>
  <c r="EM22" i="13"/>
  <c r="EN15" i="13"/>
  <c r="EN16" i="13" s="1"/>
  <c r="EM21" i="13"/>
  <c r="EN13" i="13"/>
  <c r="EN14" i="13" s="1"/>
  <c r="DY7" i="13" l="1"/>
  <c r="DY18" i="13" s="1"/>
  <c r="DY24" i="13" s="1"/>
  <c r="DZ6" i="13"/>
  <c r="EQ3" i="13"/>
  <c r="EQ23" i="13" s="1"/>
  <c r="EP5" i="13"/>
  <c r="EP8" i="13" s="1"/>
  <c r="EQ4" i="13"/>
  <c r="EO9" i="13"/>
  <c r="EO10" i="13" s="1"/>
  <c r="EN19" i="13"/>
  <c r="EN21" i="13"/>
  <c r="EO13" i="13"/>
  <c r="EO14" i="13" s="1"/>
  <c r="EN22" i="13"/>
  <c r="EO15" i="13"/>
  <c r="EO16" i="13" s="1"/>
  <c r="EN20" i="13"/>
  <c r="EO11" i="13"/>
  <c r="EO12" i="13" s="1"/>
  <c r="DZ7" i="13" l="1"/>
  <c r="DZ18" i="13" s="1"/>
  <c r="DZ24" i="13" s="1"/>
  <c r="EA6" i="13"/>
  <c r="ER3" i="13"/>
  <c r="ER23" i="13" s="1"/>
  <c r="EQ5" i="13"/>
  <c r="EQ8" i="13" s="1"/>
  <c r="ER4" i="13"/>
  <c r="EO19" i="13"/>
  <c r="EP9" i="13"/>
  <c r="EP10" i="13" s="1"/>
  <c r="EO21" i="13"/>
  <c r="EP13" i="13"/>
  <c r="EP14" i="13" s="1"/>
  <c r="EO20" i="13"/>
  <c r="EP11" i="13"/>
  <c r="EP12" i="13" s="1"/>
  <c r="EO22" i="13"/>
  <c r="EP15" i="13"/>
  <c r="EP16" i="13" s="1"/>
  <c r="EA7" i="13" l="1"/>
  <c r="EA18" i="13" s="1"/>
  <c r="EA24" i="13" s="1"/>
  <c r="EB6" i="13"/>
  <c r="ES3" i="13"/>
  <c r="ES23" i="13" s="1"/>
  <c r="ER5" i="13"/>
  <c r="ER8" i="13" s="1"/>
  <c r="ES4" i="13"/>
  <c r="EQ9" i="13"/>
  <c r="EQ10" i="13" s="1"/>
  <c r="EP19" i="13"/>
  <c r="EP20" i="13"/>
  <c r="EQ11" i="13"/>
  <c r="EQ12" i="13" s="1"/>
  <c r="EP21" i="13"/>
  <c r="EQ13" i="13"/>
  <c r="EQ14" i="13" s="1"/>
  <c r="EP22" i="13"/>
  <c r="EQ15" i="13"/>
  <c r="EQ16" i="13" s="1"/>
  <c r="EB7" i="13" l="1"/>
  <c r="EB18" i="13" s="1"/>
  <c r="EB24" i="13" s="1"/>
  <c r="EC6" i="13"/>
  <c r="ET3" i="13"/>
  <c r="ET23" i="13" s="1"/>
  <c r="ES5" i="13"/>
  <c r="ES8" i="13" s="1"/>
  <c r="ET4" i="13"/>
  <c r="ER9" i="13"/>
  <c r="ER10" i="13" s="1"/>
  <c r="EQ19" i="13"/>
  <c r="EQ20" i="13"/>
  <c r="ER11" i="13"/>
  <c r="ER12" i="13" s="1"/>
  <c r="EQ22" i="13"/>
  <c r="ER15" i="13"/>
  <c r="ER16" i="13" s="1"/>
  <c r="EQ21" i="13"/>
  <c r="ER13" i="13"/>
  <c r="ER14" i="13" s="1"/>
  <c r="EC7" i="13" l="1"/>
  <c r="EC18" i="13" s="1"/>
  <c r="EC24" i="13" s="1"/>
  <c r="ED6" i="13"/>
  <c r="EU3" i="13"/>
  <c r="EU23" i="13" s="1"/>
  <c r="ET5" i="13"/>
  <c r="ET8" i="13" s="1"/>
  <c r="EU4" i="13"/>
  <c r="ER19" i="13"/>
  <c r="ES9" i="13"/>
  <c r="ES10" i="13" s="1"/>
  <c r="ER22" i="13"/>
  <c r="ES15" i="13"/>
  <c r="ES16" i="13" s="1"/>
  <c r="ER20" i="13"/>
  <c r="ES11" i="13"/>
  <c r="ES12" i="13" s="1"/>
  <c r="ER21" i="13"/>
  <c r="ES13" i="13"/>
  <c r="ES14" i="13" s="1"/>
  <c r="ED7" i="13" l="1"/>
  <c r="ED18" i="13" s="1"/>
  <c r="ED24" i="13" s="1"/>
  <c r="EE6" i="13"/>
  <c r="EV3" i="13"/>
  <c r="EV23" i="13" s="1"/>
  <c r="EU5" i="13"/>
  <c r="EU8" i="13" s="1"/>
  <c r="EV4" i="13"/>
  <c r="ET9" i="13"/>
  <c r="ET10" i="13" s="1"/>
  <c r="ES19" i="13"/>
  <c r="ES21" i="13"/>
  <c r="ET13" i="13"/>
  <c r="ET14" i="13" s="1"/>
  <c r="ES22" i="13"/>
  <c r="ET15" i="13"/>
  <c r="ET16" i="13" s="1"/>
  <c r="ES20" i="13"/>
  <c r="ET11" i="13"/>
  <c r="ET12" i="13" s="1"/>
  <c r="EE7" i="13" l="1"/>
  <c r="EE18" i="13" s="1"/>
  <c r="EE24" i="13" s="1"/>
  <c r="EF6" i="13"/>
  <c r="EW3" i="13"/>
  <c r="EW23" i="13" s="1"/>
  <c r="EV5" i="13"/>
  <c r="EV8" i="13" s="1"/>
  <c r="EW4" i="13"/>
  <c r="ET19" i="13"/>
  <c r="EU9" i="13"/>
  <c r="EU10" i="13" s="1"/>
  <c r="ET21" i="13"/>
  <c r="EU13" i="13"/>
  <c r="EU14" i="13" s="1"/>
  <c r="ET22" i="13"/>
  <c r="EU15" i="13"/>
  <c r="EU16" i="13" s="1"/>
  <c r="ET20" i="13"/>
  <c r="EU11" i="13"/>
  <c r="EU12" i="13" s="1"/>
  <c r="EF7" i="13" l="1"/>
  <c r="EF18" i="13" s="1"/>
  <c r="EF24" i="13" s="1"/>
  <c r="EG6" i="13"/>
  <c r="EX3" i="13"/>
  <c r="EX23" i="13" s="1"/>
  <c r="EW5" i="13"/>
  <c r="EW8" i="13" s="1"/>
  <c r="EX4" i="13"/>
  <c r="EU19" i="13"/>
  <c r="EV9" i="13"/>
  <c r="EV10" i="13" s="1"/>
  <c r="EU22" i="13"/>
  <c r="EV15" i="13"/>
  <c r="EV16" i="13" s="1"/>
  <c r="EU20" i="13"/>
  <c r="EV11" i="13"/>
  <c r="EV12" i="13" s="1"/>
  <c r="EU21" i="13"/>
  <c r="EV13" i="13"/>
  <c r="EV14" i="13" s="1"/>
  <c r="EG7" i="13" l="1"/>
  <c r="EG18" i="13" s="1"/>
  <c r="EG24" i="13" s="1"/>
  <c r="EH6" i="13"/>
  <c r="EY3" i="13"/>
  <c r="EY23" i="13" s="1"/>
  <c r="EX5" i="13"/>
  <c r="EX8" i="13" s="1"/>
  <c r="EY4" i="13"/>
  <c r="EV19" i="13"/>
  <c r="EW9" i="13"/>
  <c r="EW10" i="13" s="1"/>
  <c r="EV20" i="13"/>
  <c r="EW11" i="13"/>
  <c r="EW12" i="13" s="1"/>
  <c r="EV22" i="13"/>
  <c r="EW15" i="13"/>
  <c r="EW16" i="13" s="1"/>
  <c r="EV21" i="13"/>
  <c r="EW13" i="13"/>
  <c r="EW14" i="13" s="1"/>
  <c r="EH7" i="13" l="1"/>
  <c r="EH18" i="13" s="1"/>
  <c r="EH24" i="13" s="1"/>
  <c r="EI6" i="13"/>
  <c r="EZ3" i="13"/>
  <c r="EZ23" i="13" s="1"/>
  <c r="EY5" i="13"/>
  <c r="EY8" i="13" s="1"/>
  <c r="EZ4" i="13"/>
  <c r="EW19" i="13"/>
  <c r="EX9" i="13"/>
  <c r="EX10" i="13" s="1"/>
  <c r="EW22" i="13"/>
  <c r="EX15" i="13"/>
  <c r="EX16" i="13" s="1"/>
  <c r="EW21" i="13"/>
  <c r="EX13" i="13"/>
  <c r="EX14" i="13" s="1"/>
  <c r="EW20" i="13"/>
  <c r="EX11" i="13"/>
  <c r="EX12" i="13" s="1"/>
  <c r="EI7" i="13" l="1"/>
  <c r="EI18" i="13" s="1"/>
  <c r="EI24" i="13" s="1"/>
  <c r="EJ6" i="13"/>
  <c r="FA3" i="13"/>
  <c r="FA23" i="13" s="1"/>
  <c r="EZ5" i="13"/>
  <c r="EZ8" i="13" s="1"/>
  <c r="FA4" i="13"/>
  <c r="EY9" i="13"/>
  <c r="EY10" i="13" s="1"/>
  <c r="EX19" i="13"/>
  <c r="EX20" i="13"/>
  <c r="EY11" i="13"/>
  <c r="EY12" i="13" s="1"/>
  <c r="EX21" i="13"/>
  <c r="EY13" i="13"/>
  <c r="EY14" i="13" s="1"/>
  <c r="EX22" i="13"/>
  <c r="EY15" i="13"/>
  <c r="EY16" i="13" s="1"/>
  <c r="EJ7" i="13" l="1"/>
  <c r="EJ18" i="13" s="1"/>
  <c r="EJ24" i="13" s="1"/>
  <c r="EK6" i="13"/>
  <c r="FB3" i="13"/>
  <c r="FB23" i="13" s="1"/>
  <c r="FA5" i="13"/>
  <c r="FA8" i="13" s="1"/>
  <c r="FB4" i="13"/>
  <c r="EZ9" i="13"/>
  <c r="EZ10" i="13" s="1"/>
  <c r="EY19" i="13"/>
  <c r="EY21" i="13"/>
  <c r="EZ13" i="13"/>
  <c r="EZ14" i="13" s="1"/>
  <c r="EY22" i="13"/>
  <c r="EZ15" i="13"/>
  <c r="EZ16" i="13" s="1"/>
  <c r="EY20" i="13"/>
  <c r="EZ11" i="13"/>
  <c r="EZ12" i="13" s="1"/>
  <c r="EK7" i="13" l="1"/>
  <c r="EK18" i="13" s="1"/>
  <c r="EK24" i="13" s="1"/>
  <c r="EL6" i="13"/>
  <c r="FC3" i="13"/>
  <c r="FC23" i="13" s="1"/>
  <c r="FB5" i="13"/>
  <c r="FB8" i="13" s="1"/>
  <c r="FC4" i="13"/>
  <c r="FA9" i="13"/>
  <c r="FA10" i="13" s="1"/>
  <c r="EZ19" i="13"/>
  <c r="EZ20" i="13"/>
  <c r="FA11" i="13"/>
  <c r="FA12" i="13" s="1"/>
  <c r="EZ21" i="13"/>
  <c r="FA13" i="13"/>
  <c r="FA14" i="13" s="1"/>
  <c r="EZ22" i="13"/>
  <c r="FA15" i="13"/>
  <c r="FA16" i="13" s="1"/>
  <c r="EL7" i="13" l="1"/>
  <c r="EL18" i="13" s="1"/>
  <c r="EL24" i="13" s="1"/>
  <c r="EM6" i="13"/>
  <c r="FD3" i="13"/>
  <c r="FD23" i="13" s="1"/>
  <c r="FC5" i="13"/>
  <c r="FC8" i="13" s="1"/>
  <c r="FD4" i="13"/>
  <c r="FA19" i="13"/>
  <c r="FB9" i="13"/>
  <c r="FB10" i="13" s="1"/>
  <c r="FA20" i="13"/>
  <c r="FB11" i="13"/>
  <c r="FB12" i="13" s="1"/>
  <c r="FA22" i="13"/>
  <c r="FB15" i="13"/>
  <c r="FB16" i="13" s="1"/>
  <c r="FA21" i="13"/>
  <c r="FB13" i="13"/>
  <c r="FB14" i="13" s="1"/>
  <c r="EM7" i="13" l="1"/>
  <c r="EM18" i="13" s="1"/>
  <c r="EM24" i="13" s="1"/>
  <c r="EN6" i="13"/>
  <c r="FE3" i="13"/>
  <c r="FE23" i="13" s="1"/>
  <c r="FD5" i="13"/>
  <c r="FD8" i="13" s="1"/>
  <c r="FE4" i="13"/>
  <c r="FB19" i="13"/>
  <c r="FC9" i="13"/>
  <c r="FC10" i="13" s="1"/>
  <c r="FB22" i="13"/>
  <c r="FC15" i="13"/>
  <c r="FC16" i="13" s="1"/>
  <c r="FB21" i="13"/>
  <c r="FC13" i="13"/>
  <c r="FC14" i="13" s="1"/>
  <c r="FB20" i="13"/>
  <c r="FC11" i="13"/>
  <c r="FC12" i="13" s="1"/>
  <c r="EN7" i="13" l="1"/>
  <c r="EN18" i="13" s="1"/>
  <c r="EN24" i="13" s="1"/>
  <c r="EO6" i="13"/>
  <c r="FF3" i="13"/>
  <c r="FE5" i="13"/>
  <c r="FE8" i="13" s="1"/>
  <c r="FF4" i="13"/>
  <c r="FC19" i="13"/>
  <c r="FD9" i="13"/>
  <c r="FD10" i="13" s="1"/>
  <c r="FC22" i="13"/>
  <c r="FD15" i="13"/>
  <c r="FD16" i="13" s="1"/>
  <c r="FC21" i="13"/>
  <c r="FD13" i="13"/>
  <c r="FD14" i="13" s="1"/>
  <c r="FC20" i="13"/>
  <c r="FD11" i="13"/>
  <c r="FD12" i="13" s="1"/>
  <c r="FF23" i="13" l="1"/>
  <c r="EO7" i="13"/>
  <c r="EO18" i="13" s="1"/>
  <c r="EO24" i="13" s="1"/>
  <c r="EP6" i="13"/>
  <c r="FG3" i="13"/>
  <c r="FG23" i="13" s="1"/>
  <c r="FF5" i="13"/>
  <c r="FF8" i="13" s="1"/>
  <c r="FG4" i="13"/>
  <c r="FE9" i="13"/>
  <c r="FE10" i="13" s="1"/>
  <c r="FD19" i="13"/>
  <c r="FD21" i="13"/>
  <c r="FE13" i="13"/>
  <c r="FE14" i="13" s="1"/>
  <c r="FD20" i="13"/>
  <c r="FE11" i="13"/>
  <c r="FE12" i="13" s="1"/>
  <c r="FD22" i="13"/>
  <c r="FE15" i="13"/>
  <c r="FE16" i="13" s="1"/>
  <c r="EP7" i="13" l="1"/>
  <c r="EP18" i="13" s="1"/>
  <c r="EP24" i="13" s="1"/>
  <c r="EQ6" i="13"/>
  <c r="FH3" i="13"/>
  <c r="FH23" i="13" s="1"/>
  <c r="FG5" i="13"/>
  <c r="FG8" i="13" s="1"/>
  <c r="FH4" i="13"/>
  <c r="FF9" i="13"/>
  <c r="FF10" i="13" s="1"/>
  <c r="FE19" i="13"/>
  <c r="FE20" i="13"/>
  <c r="FF11" i="13"/>
  <c r="FF12" i="13" s="1"/>
  <c r="FE22" i="13"/>
  <c r="FF15" i="13"/>
  <c r="FF16" i="13" s="1"/>
  <c r="FE21" i="13"/>
  <c r="FF13" i="13"/>
  <c r="FF14" i="13" s="1"/>
  <c r="EQ7" i="13" l="1"/>
  <c r="EQ18" i="13" s="1"/>
  <c r="EQ24" i="13" s="1"/>
  <c r="ER6" i="13"/>
  <c r="FI3" i="13"/>
  <c r="FI23" i="13" s="1"/>
  <c r="FH5" i="13"/>
  <c r="FH8" i="13" s="1"/>
  <c r="FI4" i="13"/>
  <c r="FF19" i="13"/>
  <c r="FG9" i="13"/>
  <c r="FG10" i="13" s="1"/>
  <c r="FF21" i="13"/>
  <c r="FG13" i="13"/>
  <c r="FG14" i="13" s="1"/>
  <c r="FF20" i="13"/>
  <c r="FG11" i="13"/>
  <c r="FG12" i="13" s="1"/>
  <c r="FF22" i="13"/>
  <c r="FG15" i="13"/>
  <c r="FG16" i="13" s="1"/>
  <c r="ER7" i="13" l="1"/>
  <c r="ER18" i="13" s="1"/>
  <c r="ER24" i="13" s="1"/>
  <c r="ES6" i="13"/>
  <c r="FJ3" i="13"/>
  <c r="FJ23" i="13" s="1"/>
  <c r="FJ4" i="13"/>
  <c r="FI5" i="13"/>
  <c r="FI8" i="13" s="1"/>
  <c r="FG19" i="13"/>
  <c r="FH9" i="13"/>
  <c r="FH10" i="13" s="1"/>
  <c r="FG22" i="13"/>
  <c r="FH15" i="13"/>
  <c r="FH16" i="13" s="1"/>
  <c r="FG20" i="13"/>
  <c r="FH11" i="13"/>
  <c r="FH12" i="13" s="1"/>
  <c r="FG21" i="13"/>
  <c r="FH13" i="13"/>
  <c r="FH14" i="13" s="1"/>
  <c r="ES7" i="13" l="1"/>
  <c r="ES18" i="13" s="1"/>
  <c r="ES24" i="13" s="1"/>
  <c r="ET6" i="13"/>
  <c r="FK3" i="13"/>
  <c r="FK23" i="13" s="1"/>
  <c r="FK4" i="13"/>
  <c r="FJ5" i="13"/>
  <c r="FJ8" i="13" s="1"/>
  <c r="FH19" i="13"/>
  <c r="FI9" i="13"/>
  <c r="FI10" i="13" s="1"/>
  <c r="FH21" i="13"/>
  <c r="FI13" i="13"/>
  <c r="FI14" i="13" s="1"/>
  <c r="FH22" i="13"/>
  <c r="FI15" i="13"/>
  <c r="FI16" i="13" s="1"/>
  <c r="FH20" i="13"/>
  <c r="FI11" i="13"/>
  <c r="FI12" i="13" s="1"/>
  <c r="ET7" i="13" l="1"/>
  <c r="ET18" i="13" s="1"/>
  <c r="ET24" i="13" s="1"/>
  <c r="EU6" i="13"/>
  <c r="FL3" i="13"/>
  <c r="FL23" i="13" s="1"/>
  <c r="FL4" i="13"/>
  <c r="FK5" i="13"/>
  <c r="FK8" i="13" s="1"/>
  <c r="FJ9" i="13"/>
  <c r="FJ10" i="13" s="1"/>
  <c r="FI19" i="13"/>
  <c r="FI21" i="13"/>
  <c r="FJ13" i="13"/>
  <c r="FJ14" i="13" s="1"/>
  <c r="FI20" i="13"/>
  <c r="FJ11" i="13"/>
  <c r="FJ12" i="13" s="1"/>
  <c r="FI22" i="13"/>
  <c r="FJ15" i="13"/>
  <c r="FJ16" i="13" s="1"/>
  <c r="EU7" i="13" l="1"/>
  <c r="EU18" i="13" s="1"/>
  <c r="EU24" i="13" s="1"/>
  <c r="EV6" i="13"/>
  <c r="FM3" i="13"/>
  <c r="FM23" i="13" s="1"/>
  <c r="FL5" i="13"/>
  <c r="FL8" i="13" s="1"/>
  <c r="FM4" i="13"/>
  <c r="FJ19" i="13"/>
  <c r="FK9" i="13"/>
  <c r="FK10" i="13" s="1"/>
  <c r="FJ21" i="13"/>
  <c r="FK13" i="13"/>
  <c r="FK14" i="13" s="1"/>
  <c r="FJ22" i="13"/>
  <c r="FK15" i="13"/>
  <c r="FK16" i="13" s="1"/>
  <c r="FJ20" i="13"/>
  <c r="FK11" i="13"/>
  <c r="FK12" i="13" s="1"/>
  <c r="EV7" i="13" l="1"/>
  <c r="EV18" i="13" s="1"/>
  <c r="EV24" i="13" s="1"/>
  <c r="EW6" i="13"/>
  <c r="FN3" i="13"/>
  <c r="FN23" i="13" s="1"/>
  <c r="FM5" i="13"/>
  <c r="FM8" i="13" s="1"/>
  <c r="FN4" i="13"/>
  <c r="FK19" i="13"/>
  <c r="FL9" i="13"/>
  <c r="FL10" i="13" s="1"/>
  <c r="FK20" i="13"/>
  <c r="FL11" i="13"/>
  <c r="FL12" i="13" s="1"/>
  <c r="FK22" i="13"/>
  <c r="FL15" i="13"/>
  <c r="FL16" i="13" s="1"/>
  <c r="FK21" i="13"/>
  <c r="FL13" i="13"/>
  <c r="FL14" i="13" s="1"/>
  <c r="EW7" i="13" l="1"/>
  <c r="EW18" i="13" s="1"/>
  <c r="EW24" i="13" s="1"/>
  <c r="EX6" i="13"/>
  <c r="FO3" i="13"/>
  <c r="FO23" i="13" s="1"/>
  <c r="FN5" i="13"/>
  <c r="FN8" i="13" s="1"/>
  <c r="FO4" i="13"/>
  <c r="FM9" i="13"/>
  <c r="FM10" i="13" s="1"/>
  <c r="FL19" i="13"/>
  <c r="FL21" i="13"/>
  <c r="FM13" i="13"/>
  <c r="FM14" i="13" s="1"/>
  <c r="FL22" i="13"/>
  <c r="FM15" i="13"/>
  <c r="FM16" i="13" s="1"/>
  <c r="FL20" i="13"/>
  <c r="FM11" i="13"/>
  <c r="FM12" i="13" s="1"/>
  <c r="EX7" i="13" l="1"/>
  <c r="EX18" i="13" s="1"/>
  <c r="EX24" i="13" s="1"/>
  <c r="EY6" i="13"/>
  <c r="FP3" i="13"/>
  <c r="FP23" i="13" s="1"/>
  <c r="FO5" i="13"/>
  <c r="FO8" i="13" s="1"/>
  <c r="FP4" i="13"/>
  <c r="FM19" i="13"/>
  <c r="FN9" i="13"/>
  <c r="FN10" i="13" s="1"/>
  <c r="FM20" i="13"/>
  <c r="FN11" i="13"/>
  <c r="FN12" i="13" s="1"/>
  <c r="FM21" i="13"/>
  <c r="FN13" i="13"/>
  <c r="FN14" i="13" s="1"/>
  <c r="FM22" i="13"/>
  <c r="FN15" i="13"/>
  <c r="FN16" i="13" s="1"/>
  <c r="EY7" i="13" l="1"/>
  <c r="EY18" i="13" s="1"/>
  <c r="EY24" i="13" s="1"/>
  <c r="EZ6" i="13"/>
  <c r="FQ3" i="13"/>
  <c r="FQ23" i="13" s="1"/>
  <c r="FP5" i="13"/>
  <c r="FP8" i="13" s="1"/>
  <c r="FQ4" i="13"/>
  <c r="FN19" i="13"/>
  <c r="FO9" i="13"/>
  <c r="FO10" i="13" s="1"/>
  <c r="FN21" i="13"/>
  <c r="FO13" i="13"/>
  <c r="FO14" i="13" s="1"/>
  <c r="FN22" i="13"/>
  <c r="FO15" i="13"/>
  <c r="FO16" i="13" s="1"/>
  <c r="FN20" i="13"/>
  <c r="FO11" i="13"/>
  <c r="FO12" i="13" s="1"/>
  <c r="EZ7" i="13" l="1"/>
  <c r="EZ18" i="13" s="1"/>
  <c r="EZ24" i="13" s="1"/>
  <c r="FA6" i="13"/>
  <c r="FR3" i="13"/>
  <c r="FR23" i="13" s="1"/>
  <c r="FQ5" i="13"/>
  <c r="FQ8" i="13" s="1"/>
  <c r="FR4" i="13"/>
  <c r="FO19" i="13"/>
  <c r="FP9" i="13"/>
  <c r="FP10" i="13" s="1"/>
  <c r="FO20" i="13"/>
  <c r="FP11" i="13"/>
  <c r="FP12" i="13" s="1"/>
  <c r="FO22" i="13"/>
  <c r="FP15" i="13"/>
  <c r="FP16" i="13" s="1"/>
  <c r="FO21" i="13"/>
  <c r="FP13" i="13"/>
  <c r="FP14" i="13" s="1"/>
  <c r="FA7" i="13" l="1"/>
  <c r="FA18" i="13" s="1"/>
  <c r="FA24" i="13" s="1"/>
  <c r="FB6" i="13"/>
  <c r="FS3" i="13"/>
  <c r="FS23" i="13" s="1"/>
  <c r="FR5" i="13"/>
  <c r="FR8" i="13" s="1"/>
  <c r="FS4" i="13"/>
  <c r="FQ9" i="13"/>
  <c r="FQ10" i="13" s="1"/>
  <c r="FP19" i="13"/>
  <c r="FP22" i="13"/>
  <c r="FQ15" i="13"/>
  <c r="FQ16" i="13" s="1"/>
  <c r="FP20" i="13"/>
  <c r="FQ11" i="13"/>
  <c r="FQ12" i="13" s="1"/>
  <c r="FP21" i="13"/>
  <c r="FQ13" i="13"/>
  <c r="FQ14" i="13" s="1"/>
  <c r="FB7" i="13" l="1"/>
  <c r="FB18" i="13" s="1"/>
  <c r="FB24" i="13" s="1"/>
  <c r="FC6" i="13"/>
  <c r="FT3" i="13"/>
  <c r="FT23" i="13" s="1"/>
  <c r="FS5" i="13"/>
  <c r="FS8" i="13" s="1"/>
  <c r="FT4" i="13"/>
  <c r="FQ19" i="13"/>
  <c r="FR9" i="13"/>
  <c r="FR10" i="13" s="1"/>
  <c r="FQ20" i="13"/>
  <c r="FR11" i="13"/>
  <c r="FR12" i="13" s="1"/>
  <c r="FQ22" i="13"/>
  <c r="FR15" i="13"/>
  <c r="FR16" i="13" s="1"/>
  <c r="FQ21" i="13"/>
  <c r="FR13" i="13"/>
  <c r="FR14" i="13" s="1"/>
  <c r="FC7" i="13" l="1"/>
  <c r="FC18" i="13" s="1"/>
  <c r="FC24" i="13" s="1"/>
  <c r="FD6" i="13"/>
  <c r="FU3" i="13"/>
  <c r="FU23" i="13" s="1"/>
  <c r="FT5" i="13"/>
  <c r="FT8" i="13" s="1"/>
  <c r="FU4" i="13"/>
  <c r="FR19" i="13"/>
  <c r="FS9" i="13"/>
  <c r="FS10" i="13" s="1"/>
  <c r="FR21" i="13"/>
  <c r="FS13" i="13"/>
  <c r="FS14" i="13" s="1"/>
  <c r="FR22" i="13"/>
  <c r="FS15" i="13"/>
  <c r="FS16" i="13" s="1"/>
  <c r="FR20" i="13"/>
  <c r="FS11" i="13"/>
  <c r="FS12" i="13" s="1"/>
  <c r="FD7" i="13" l="1"/>
  <c r="FD18" i="13" s="1"/>
  <c r="FD24" i="13" s="1"/>
  <c r="FE6" i="13"/>
  <c r="FV3" i="13"/>
  <c r="FV23" i="13" s="1"/>
  <c r="FU5" i="13"/>
  <c r="FU8" i="13" s="1"/>
  <c r="FV4" i="13"/>
  <c r="FT9" i="13"/>
  <c r="FT10" i="13" s="1"/>
  <c r="FS19" i="13"/>
  <c r="FS20" i="13"/>
  <c r="FT11" i="13"/>
  <c r="FT12" i="13" s="1"/>
  <c r="FS21" i="13"/>
  <c r="FT13" i="13"/>
  <c r="FT14" i="13" s="1"/>
  <c r="FS22" i="13"/>
  <c r="FT15" i="13"/>
  <c r="FT16" i="13" s="1"/>
  <c r="FE7" i="13" l="1"/>
  <c r="FE18" i="13" s="1"/>
  <c r="FE24" i="13" s="1"/>
  <c r="FF6" i="13"/>
  <c r="FW3" i="13"/>
  <c r="FW23" i="13" s="1"/>
  <c r="FV5" i="13"/>
  <c r="FV8" i="13" s="1"/>
  <c r="FW4" i="13"/>
  <c r="FT19" i="13"/>
  <c r="FU9" i="13"/>
  <c r="FU10" i="13" s="1"/>
  <c r="FT21" i="13"/>
  <c r="FU13" i="13"/>
  <c r="FU14" i="13" s="1"/>
  <c r="FT20" i="13"/>
  <c r="FU11" i="13"/>
  <c r="FU12" i="13" s="1"/>
  <c r="FT22" i="13"/>
  <c r="FU15" i="13"/>
  <c r="FU16" i="13" s="1"/>
  <c r="FF7" i="13" l="1"/>
  <c r="FF18" i="13" s="1"/>
  <c r="FF24" i="13" s="1"/>
  <c r="FG6" i="13"/>
  <c r="FX3" i="13"/>
  <c r="FX23" i="13" s="1"/>
  <c r="FW5" i="13"/>
  <c r="FW8" i="13" s="1"/>
  <c r="FX4" i="13"/>
  <c r="FU19" i="13"/>
  <c r="FV9" i="13"/>
  <c r="FV10" i="13" s="1"/>
  <c r="FU20" i="13"/>
  <c r="FV11" i="13"/>
  <c r="FV12" i="13" s="1"/>
  <c r="FU22" i="13"/>
  <c r="FV15" i="13"/>
  <c r="FV16" i="13" s="1"/>
  <c r="FU21" i="13"/>
  <c r="FV13" i="13"/>
  <c r="FV14" i="13" s="1"/>
  <c r="FG7" i="13" l="1"/>
  <c r="FG18" i="13" s="1"/>
  <c r="FG24" i="13" s="1"/>
  <c r="FH6" i="13"/>
  <c r="FY3" i="13"/>
  <c r="FY23" i="13" s="1"/>
  <c r="FX5" i="13"/>
  <c r="FX8" i="13" s="1"/>
  <c r="FY4" i="13"/>
  <c r="FV19" i="13"/>
  <c r="FW9" i="13"/>
  <c r="FW10" i="13" s="1"/>
  <c r="FV22" i="13"/>
  <c r="FW15" i="13"/>
  <c r="FW16" i="13" s="1"/>
  <c r="FV21" i="13"/>
  <c r="FW13" i="13"/>
  <c r="FW14" i="13" s="1"/>
  <c r="FV20" i="13"/>
  <c r="FW11" i="13"/>
  <c r="FW12" i="13" s="1"/>
  <c r="FH7" i="13" l="1"/>
  <c r="FH18" i="13" s="1"/>
  <c r="FH24" i="13" s="1"/>
  <c r="FI6" i="13"/>
  <c r="FZ3" i="13"/>
  <c r="FZ23" i="13" s="1"/>
  <c r="FY5" i="13"/>
  <c r="FY8" i="13" s="1"/>
  <c r="FZ4" i="13"/>
  <c r="FW19" i="13"/>
  <c r="FX9" i="13"/>
  <c r="FX10" i="13" s="1"/>
  <c r="FW21" i="13"/>
  <c r="FX13" i="13"/>
  <c r="FX14" i="13" s="1"/>
  <c r="FW20" i="13"/>
  <c r="FX11" i="13"/>
  <c r="FX12" i="13" s="1"/>
  <c r="FW22" i="13"/>
  <c r="FX15" i="13"/>
  <c r="FX16" i="13" s="1"/>
  <c r="FI7" i="13" l="1"/>
  <c r="FI18" i="13" s="1"/>
  <c r="FI24" i="13" s="1"/>
  <c r="FJ6" i="13"/>
  <c r="GA3" i="13"/>
  <c r="GA23" i="13" s="1"/>
  <c r="FZ5" i="13"/>
  <c r="FZ8" i="13" s="1"/>
  <c r="GA4" i="13"/>
  <c r="FY9" i="13"/>
  <c r="FY10" i="13" s="1"/>
  <c r="FX19" i="13"/>
  <c r="FX20" i="13"/>
  <c r="FY11" i="13"/>
  <c r="FY12" i="13" s="1"/>
  <c r="FX21" i="13"/>
  <c r="FY13" i="13"/>
  <c r="FY14" i="13" s="1"/>
  <c r="FX22" i="13"/>
  <c r="FY15" i="13"/>
  <c r="FY16" i="13" s="1"/>
  <c r="FJ7" i="13" l="1"/>
  <c r="FJ18" i="13" s="1"/>
  <c r="FJ24" i="13" s="1"/>
  <c r="FK6" i="13"/>
  <c r="GB3" i="13"/>
  <c r="GB23" i="13" s="1"/>
  <c r="GA5" i="13"/>
  <c r="GA8" i="13" s="1"/>
  <c r="GB4" i="13"/>
  <c r="FY19" i="13"/>
  <c r="FZ9" i="13"/>
  <c r="FZ10" i="13" s="1"/>
  <c r="FY21" i="13"/>
  <c r="FZ13" i="13"/>
  <c r="FZ14" i="13" s="1"/>
  <c r="FY20" i="13"/>
  <c r="FZ11" i="13"/>
  <c r="FZ12" i="13" s="1"/>
  <c r="FY22" i="13"/>
  <c r="FZ15" i="13"/>
  <c r="FZ16" i="13" s="1"/>
  <c r="FK7" i="13" l="1"/>
  <c r="FK18" i="13" s="1"/>
  <c r="FK24" i="13" s="1"/>
  <c r="FL6" i="13"/>
  <c r="GC3" i="13"/>
  <c r="GC23" i="13" s="1"/>
  <c r="GB5" i="13"/>
  <c r="GB8" i="13" s="1"/>
  <c r="GC4" i="13"/>
  <c r="FZ19" i="13"/>
  <c r="GA9" i="13"/>
  <c r="GA10" i="13" s="1"/>
  <c r="FZ20" i="13"/>
  <c r="GA11" i="13"/>
  <c r="GA12" i="13" s="1"/>
  <c r="FZ22" i="13"/>
  <c r="GA15" i="13"/>
  <c r="GA16" i="13" s="1"/>
  <c r="FZ21" i="13"/>
  <c r="GA13" i="13"/>
  <c r="GA14" i="13" s="1"/>
  <c r="FL7" i="13" l="1"/>
  <c r="FL18" i="13" s="1"/>
  <c r="FL24" i="13" s="1"/>
  <c r="FM6" i="13"/>
  <c r="GD3" i="13"/>
  <c r="GD23" i="13" s="1"/>
  <c r="GC5" i="13"/>
  <c r="GC8" i="13" s="1"/>
  <c r="GD4" i="13"/>
  <c r="GA19" i="13"/>
  <c r="GB9" i="13"/>
  <c r="GB10" i="13" s="1"/>
  <c r="GA22" i="13"/>
  <c r="GB15" i="13"/>
  <c r="GB16" i="13" s="1"/>
  <c r="GA21" i="13"/>
  <c r="GB13" i="13"/>
  <c r="GB14" i="13" s="1"/>
  <c r="GA20" i="13"/>
  <c r="GB11" i="13"/>
  <c r="GB12" i="13" s="1"/>
  <c r="FM7" i="13" l="1"/>
  <c r="FM18" i="13" s="1"/>
  <c r="FM24" i="13" s="1"/>
  <c r="FN6" i="13"/>
  <c r="GE3" i="13"/>
  <c r="GE23" i="13" s="1"/>
  <c r="GD5" i="13"/>
  <c r="GD8" i="13" s="1"/>
  <c r="GE4" i="13"/>
  <c r="GB19" i="13"/>
  <c r="GC9" i="13"/>
  <c r="GC10" i="13" s="1"/>
  <c r="GB22" i="13"/>
  <c r="GC15" i="13"/>
  <c r="GC16" i="13" s="1"/>
  <c r="GB20" i="13"/>
  <c r="GC11" i="13"/>
  <c r="GC12" i="13" s="1"/>
  <c r="GB21" i="13"/>
  <c r="GC13" i="13"/>
  <c r="GC14" i="13" s="1"/>
  <c r="FN7" i="13" l="1"/>
  <c r="FN18" i="13" s="1"/>
  <c r="FN24" i="13" s="1"/>
  <c r="FO6" i="13"/>
  <c r="GF3" i="13"/>
  <c r="GF23" i="13" s="1"/>
  <c r="GE5" i="13"/>
  <c r="GE8" i="13" s="1"/>
  <c r="GF4" i="13"/>
  <c r="GC19" i="13"/>
  <c r="GD9" i="13"/>
  <c r="GD10" i="13" s="1"/>
  <c r="GC20" i="13"/>
  <c r="GD11" i="13"/>
  <c r="GD12" i="13" s="1"/>
  <c r="GC21" i="13"/>
  <c r="GD13" i="13"/>
  <c r="GD14" i="13" s="1"/>
  <c r="GC22" i="13"/>
  <c r="GD15" i="13"/>
  <c r="GD16" i="13" s="1"/>
  <c r="FO7" i="13" l="1"/>
  <c r="FO18" i="13" s="1"/>
  <c r="FO24" i="13" s="1"/>
  <c r="FP6" i="13"/>
  <c r="GG3" i="13"/>
  <c r="GG23" i="13" s="1"/>
  <c r="GF5" i="13"/>
  <c r="GF8" i="13" s="1"/>
  <c r="GG4" i="13"/>
  <c r="GD19" i="13"/>
  <c r="GE9" i="13"/>
  <c r="GE10" i="13" s="1"/>
  <c r="GD20" i="13"/>
  <c r="GE11" i="13"/>
  <c r="GE12" i="13" s="1"/>
  <c r="GD21" i="13"/>
  <c r="GE13" i="13"/>
  <c r="GE14" i="13" s="1"/>
  <c r="GD22" i="13"/>
  <c r="GE15" i="13"/>
  <c r="GE16" i="13" s="1"/>
  <c r="FQ6" i="13" l="1"/>
  <c r="FP7" i="13"/>
  <c r="FP18" i="13" s="1"/>
  <c r="FP24" i="13" s="1"/>
  <c r="GH3" i="13"/>
  <c r="GH23" i="13" s="1"/>
  <c r="GG5" i="13"/>
  <c r="GG8" i="13" s="1"/>
  <c r="GH4" i="13"/>
  <c r="GF9" i="13"/>
  <c r="GF10" i="13" s="1"/>
  <c r="GE19" i="13"/>
  <c r="GE22" i="13"/>
  <c r="GF15" i="13"/>
  <c r="GF16" i="13" s="1"/>
  <c r="GE20" i="13"/>
  <c r="GF11" i="13"/>
  <c r="GF12" i="13" s="1"/>
  <c r="GE21" i="13"/>
  <c r="GF13" i="13"/>
  <c r="GF14" i="13" s="1"/>
  <c r="FQ7" i="13" l="1"/>
  <c r="FQ18" i="13" s="1"/>
  <c r="FQ24" i="13" s="1"/>
  <c r="FR6" i="13"/>
  <c r="GI3" i="13"/>
  <c r="GI23" i="13" s="1"/>
  <c r="GH5" i="13"/>
  <c r="GH8" i="13" s="1"/>
  <c r="GI4" i="13"/>
  <c r="GF19" i="13"/>
  <c r="GG9" i="13"/>
  <c r="GG10" i="13" s="1"/>
  <c r="GF21" i="13"/>
  <c r="GG13" i="13"/>
  <c r="GG14" i="13" s="1"/>
  <c r="GF22" i="13"/>
  <c r="GG15" i="13"/>
  <c r="GG16" i="13" s="1"/>
  <c r="GF20" i="13"/>
  <c r="GG11" i="13"/>
  <c r="GG12" i="13" s="1"/>
  <c r="FR7" i="13" l="1"/>
  <c r="FR18" i="13" s="1"/>
  <c r="FR24" i="13" s="1"/>
  <c r="FS6" i="13"/>
  <c r="GJ3" i="13"/>
  <c r="GJ23" i="13" s="1"/>
  <c r="GI5" i="13"/>
  <c r="GI8" i="13" s="1"/>
  <c r="GJ4" i="13"/>
  <c r="GH9" i="13"/>
  <c r="GH10" i="13" s="1"/>
  <c r="GG19" i="13"/>
  <c r="GG20" i="13"/>
  <c r="GH11" i="13"/>
  <c r="GH12" i="13" s="1"/>
  <c r="GG22" i="13"/>
  <c r="GH15" i="13"/>
  <c r="GH16" i="13" s="1"/>
  <c r="GG21" i="13"/>
  <c r="GH13" i="13"/>
  <c r="GH14" i="13" s="1"/>
  <c r="FS7" i="13" l="1"/>
  <c r="FS18" i="13" s="1"/>
  <c r="FS24" i="13" s="1"/>
  <c r="FT6" i="13"/>
  <c r="GK3" i="13"/>
  <c r="GK23" i="13" s="1"/>
  <c r="GJ5" i="13"/>
  <c r="GJ8" i="13" s="1"/>
  <c r="GK4" i="13"/>
  <c r="GH19" i="13"/>
  <c r="GI9" i="13"/>
  <c r="GI10" i="13" s="1"/>
  <c r="GH22" i="13"/>
  <c r="GI15" i="13"/>
  <c r="GI16" i="13" s="1"/>
  <c r="GH21" i="13"/>
  <c r="GI13" i="13"/>
  <c r="GI14" i="13" s="1"/>
  <c r="GH20" i="13"/>
  <c r="GI11" i="13"/>
  <c r="GI12" i="13" s="1"/>
  <c r="FT7" i="13" l="1"/>
  <c r="FT18" i="13" s="1"/>
  <c r="FT24" i="13" s="1"/>
  <c r="FU6" i="13"/>
  <c r="GL3" i="13"/>
  <c r="GL23" i="13" s="1"/>
  <c r="GK5" i="13"/>
  <c r="GK8" i="13" s="1"/>
  <c r="GL4" i="13"/>
  <c r="GI19" i="13"/>
  <c r="GJ9" i="13"/>
  <c r="GJ10" i="13" s="1"/>
  <c r="GI20" i="13"/>
  <c r="GJ11" i="13"/>
  <c r="GJ12" i="13" s="1"/>
  <c r="GI21" i="13"/>
  <c r="GJ13" i="13"/>
  <c r="GJ14" i="13" s="1"/>
  <c r="GI22" i="13"/>
  <c r="GJ15" i="13"/>
  <c r="GJ16" i="13" s="1"/>
  <c r="FU7" i="13" l="1"/>
  <c r="FU18" i="13" s="1"/>
  <c r="FU24" i="13" s="1"/>
  <c r="FV6" i="13"/>
  <c r="GM3" i="13"/>
  <c r="GM23" i="13" s="1"/>
  <c r="GL5" i="13"/>
  <c r="GL8" i="13" s="1"/>
  <c r="GM4" i="13"/>
  <c r="GJ19" i="13"/>
  <c r="GK9" i="13"/>
  <c r="GK10" i="13" s="1"/>
  <c r="GJ22" i="13"/>
  <c r="GK15" i="13"/>
  <c r="GK16" i="13" s="1"/>
  <c r="GJ21" i="13"/>
  <c r="GK13" i="13"/>
  <c r="GK14" i="13" s="1"/>
  <c r="GJ20" i="13"/>
  <c r="GK11" i="13"/>
  <c r="GK12" i="13" s="1"/>
  <c r="FV7" i="13" l="1"/>
  <c r="FV18" i="13" s="1"/>
  <c r="FV24" i="13" s="1"/>
  <c r="FW6" i="13"/>
  <c r="GN3" i="13"/>
  <c r="GN23" i="13" s="1"/>
  <c r="GM5" i="13"/>
  <c r="GM8" i="13" s="1"/>
  <c r="GN4" i="13"/>
  <c r="GK19" i="13"/>
  <c r="GL9" i="13"/>
  <c r="GL10" i="13" s="1"/>
  <c r="GK20" i="13"/>
  <c r="GL11" i="13"/>
  <c r="GL12" i="13" s="1"/>
  <c r="GK22" i="13"/>
  <c r="GL15" i="13"/>
  <c r="GL16" i="13" s="1"/>
  <c r="GK21" i="13"/>
  <c r="GL13" i="13"/>
  <c r="GL14" i="13" s="1"/>
  <c r="FW7" i="13" l="1"/>
  <c r="FW18" i="13" s="1"/>
  <c r="FW24" i="13" s="1"/>
  <c r="FX6" i="13"/>
  <c r="GO3" i="13"/>
  <c r="GO23" i="13" s="1"/>
  <c r="GN5" i="13"/>
  <c r="GN8" i="13" s="1"/>
  <c r="GO4" i="13"/>
  <c r="GM9" i="13"/>
  <c r="GM10" i="13" s="1"/>
  <c r="GL19" i="13"/>
  <c r="GL20" i="13"/>
  <c r="GM11" i="13"/>
  <c r="GM12" i="13" s="1"/>
  <c r="GL22" i="13"/>
  <c r="GM15" i="13"/>
  <c r="GM16" i="13" s="1"/>
  <c r="GL21" i="13"/>
  <c r="GM13" i="13"/>
  <c r="GM14" i="13" s="1"/>
  <c r="FX7" i="13" l="1"/>
  <c r="FX18" i="13" s="1"/>
  <c r="FX24" i="13" s="1"/>
  <c r="FY6" i="13"/>
  <c r="GP3" i="13"/>
  <c r="GP23" i="13" s="1"/>
  <c r="GO5" i="13"/>
  <c r="GO8" i="13" s="1"/>
  <c r="GP4" i="13"/>
  <c r="GM19" i="13"/>
  <c r="GN9" i="13"/>
  <c r="GN10" i="13" s="1"/>
  <c r="GM20" i="13"/>
  <c r="GN11" i="13"/>
  <c r="GN12" i="13" s="1"/>
  <c r="GM22" i="13"/>
  <c r="GN15" i="13"/>
  <c r="GN16" i="13" s="1"/>
  <c r="GM21" i="13"/>
  <c r="GN13" i="13"/>
  <c r="GN14" i="13" s="1"/>
  <c r="FY7" i="13" l="1"/>
  <c r="FY18" i="13" s="1"/>
  <c r="FY24" i="13" s="1"/>
  <c r="FZ6" i="13"/>
  <c r="GQ3" i="13"/>
  <c r="GQ23" i="13" s="1"/>
  <c r="GP5" i="13"/>
  <c r="GP8" i="13" s="1"/>
  <c r="GQ4" i="13"/>
  <c r="GN19" i="13"/>
  <c r="GO9" i="13"/>
  <c r="GO10" i="13" s="1"/>
  <c r="GN22" i="13"/>
  <c r="GO15" i="13"/>
  <c r="GO16" i="13" s="1"/>
  <c r="GN21" i="13"/>
  <c r="GO13" i="13"/>
  <c r="GO14" i="13" s="1"/>
  <c r="GN20" i="13"/>
  <c r="GO11" i="13"/>
  <c r="GO12" i="13" s="1"/>
  <c r="FZ7" i="13" l="1"/>
  <c r="FZ18" i="13" s="1"/>
  <c r="FZ24" i="13" s="1"/>
  <c r="GA6" i="13"/>
  <c r="GR3" i="13"/>
  <c r="GR23" i="13" s="1"/>
  <c r="GQ5" i="13"/>
  <c r="GQ8" i="13" s="1"/>
  <c r="GR4" i="13"/>
  <c r="GO19" i="13"/>
  <c r="GP9" i="13"/>
  <c r="GP10" i="13" s="1"/>
  <c r="GO22" i="13"/>
  <c r="GP15" i="13"/>
  <c r="GP16" i="13" s="1"/>
  <c r="GO21" i="13"/>
  <c r="GP13" i="13"/>
  <c r="GP14" i="13" s="1"/>
  <c r="GO20" i="13"/>
  <c r="GP11" i="13"/>
  <c r="GP12" i="13" s="1"/>
  <c r="GA7" i="13" l="1"/>
  <c r="GA18" i="13" s="1"/>
  <c r="GA24" i="13" s="1"/>
  <c r="GB6" i="13"/>
  <c r="GS3" i="13"/>
  <c r="GS23" i="13" s="1"/>
  <c r="GR5" i="13"/>
  <c r="GR8" i="13" s="1"/>
  <c r="GS4" i="13"/>
  <c r="GQ9" i="13"/>
  <c r="GQ10" i="13" s="1"/>
  <c r="GP19" i="13"/>
  <c r="GP21" i="13"/>
  <c r="GQ13" i="13"/>
  <c r="GQ14" i="13" s="1"/>
  <c r="GP20" i="13"/>
  <c r="GQ11" i="13"/>
  <c r="GQ12" i="13" s="1"/>
  <c r="GP22" i="13"/>
  <c r="GQ15" i="13"/>
  <c r="GQ16" i="13" s="1"/>
  <c r="GB7" i="13" l="1"/>
  <c r="GB18" i="13" s="1"/>
  <c r="GB24" i="13" s="1"/>
  <c r="GC6" i="13"/>
  <c r="GT3" i="13"/>
  <c r="GT23" i="13" s="1"/>
  <c r="GS5" i="13"/>
  <c r="GS8" i="13" s="1"/>
  <c r="GT4" i="13"/>
  <c r="GR9" i="13"/>
  <c r="GR10" i="13" s="1"/>
  <c r="GQ19" i="13"/>
  <c r="GQ20" i="13"/>
  <c r="GR11" i="13"/>
  <c r="GR12" i="13" s="1"/>
  <c r="GQ22" i="13"/>
  <c r="GR15" i="13"/>
  <c r="GR16" i="13" s="1"/>
  <c r="GQ21" i="13"/>
  <c r="GR13" i="13"/>
  <c r="GR14" i="13" s="1"/>
  <c r="GC7" i="13" l="1"/>
  <c r="GC18" i="13" s="1"/>
  <c r="GC24" i="13" s="1"/>
  <c r="GD6" i="13"/>
  <c r="GU3" i="13"/>
  <c r="GU23" i="13" s="1"/>
  <c r="GT5" i="13"/>
  <c r="GT8" i="13" s="1"/>
  <c r="GU4" i="13"/>
  <c r="GR19" i="13"/>
  <c r="GS9" i="13"/>
  <c r="GS10" i="13" s="1"/>
  <c r="GR20" i="13"/>
  <c r="GS11" i="13"/>
  <c r="GS12" i="13" s="1"/>
  <c r="GR22" i="13"/>
  <c r="GS15" i="13"/>
  <c r="GS16" i="13" s="1"/>
  <c r="GR21" i="13"/>
  <c r="GS13" i="13"/>
  <c r="GS14" i="13" s="1"/>
  <c r="GD7" i="13" l="1"/>
  <c r="GD18" i="13" s="1"/>
  <c r="GD24" i="13" s="1"/>
  <c r="GE6" i="13"/>
  <c r="GV3" i="13"/>
  <c r="GV23" i="13" s="1"/>
  <c r="GU5" i="13"/>
  <c r="GU8" i="13" s="1"/>
  <c r="GV4" i="13"/>
  <c r="GT9" i="13"/>
  <c r="GT10" i="13" s="1"/>
  <c r="GS19" i="13"/>
  <c r="GS21" i="13"/>
  <c r="GT13" i="13"/>
  <c r="GT14" i="13" s="1"/>
  <c r="GS22" i="13"/>
  <c r="GT15" i="13"/>
  <c r="GT16" i="13" s="1"/>
  <c r="GS20" i="13"/>
  <c r="GT11" i="13"/>
  <c r="GT12" i="13" s="1"/>
  <c r="GE7" i="13" l="1"/>
  <c r="GE18" i="13" s="1"/>
  <c r="GE24" i="13" s="1"/>
  <c r="GF6" i="13"/>
  <c r="GW3" i="13"/>
  <c r="GW23" i="13" s="1"/>
  <c r="GV5" i="13"/>
  <c r="GV8" i="13" s="1"/>
  <c r="GW4" i="13"/>
  <c r="GT19" i="13"/>
  <c r="GU9" i="13"/>
  <c r="GU10" i="13" s="1"/>
  <c r="GT22" i="13"/>
  <c r="GU15" i="13"/>
  <c r="GU16" i="13" s="1"/>
  <c r="GT21" i="13"/>
  <c r="GU13" i="13"/>
  <c r="GU14" i="13" s="1"/>
  <c r="GT20" i="13"/>
  <c r="GU11" i="13"/>
  <c r="GU12" i="13" s="1"/>
  <c r="GF7" i="13" l="1"/>
  <c r="GF18" i="13" s="1"/>
  <c r="GF24" i="13" s="1"/>
  <c r="GG6" i="13"/>
  <c r="GX3" i="13"/>
  <c r="GX23" i="13" s="1"/>
  <c r="GW5" i="13"/>
  <c r="GW8" i="13" s="1"/>
  <c r="GX4" i="13"/>
  <c r="GV9" i="13"/>
  <c r="GV10" i="13" s="1"/>
  <c r="GU19" i="13"/>
  <c r="GU22" i="13"/>
  <c r="GV15" i="13"/>
  <c r="GV16" i="13" s="1"/>
  <c r="GU20" i="13"/>
  <c r="GV11" i="13"/>
  <c r="GV12" i="13" s="1"/>
  <c r="GU21" i="13"/>
  <c r="GV13" i="13"/>
  <c r="GV14" i="13" s="1"/>
  <c r="GG7" i="13" l="1"/>
  <c r="GG18" i="13" s="1"/>
  <c r="GG24" i="13" s="1"/>
  <c r="GH6" i="13"/>
  <c r="GY3" i="13"/>
  <c r="GY23" i="13" s="1"/>
  <c r="GX5" i="13"/>
  <c r="GX8" i="13" s="1"/>
  <c r="GY4" i="13"/>
  <c r="GV19" i="13"/>
  <c r="GW9" i="13"/>
  <c r="GW10" i="13" s="1"/>
  <c r="GV21" i="13"/>
  <c r="GW13" i="13"/>
  <c r="GW14" i="13" s="1"/>
  <c r="GV20" i="13"/>
  <c r="GW11" i="13"/>
  <c r="GW12" i="13" s="1"/>
  <c r="GV22" i="13"/>
  <c r="GW15" i="13"/>
  <c r="GW16" i="13" s="1"/>
  <c r="GH7" i="13" l="1"/>
  <c r="GH18" i="13" s="1"/>
  <c r="GH24" i="13" s="1"/>
  <c r="GI6" i="13"/>
  <c r="GZ3" i="13"/>
  <c r="GZ23" i="13" s="1"/>
  <c r="GY5" i="13"/>
  <c r="GY8" i="13" s="1"/>
  <c r="GZ4" i="13"/>
  <c r="GW19" i="13"/>
  <c r="GX9" i="13"/>
  <c r="GX10" i="13" s="1"/>
  <c r="GW20" i="13"/>
  <c r="GX11" i="13"/>
  <c r="GX12" i="13" s="1"/>
  <c r="GW22" i="13"/>
  <c r="GX15" i="13"/>
  <c r="GX16" i="13" s="1"/>
  <c r="GW21" i="13"/>
  <c r="GX13" i="13"/>
  <c r="GX14" i="13" s="1"/>
  <c r="GI7" i="13" l="1"/>
  <c r="GI18" i="13" s="1"/>
  <c r="GI24" i="13" s="1"/>
  <c r="GJ6" i="13"/>
  <c r="HA3" i="13"/>
  <c r="HA23" i="13" s="1"/>
  <c r="GZ5" i="13"/>
  <c r="GZ8" i="13" s="1"/>
  <c r="HA4" i="13"/>
  <c r="GX19" i="13"/>
  <c r="GY9" i="13"/>
  <c r="GY10" i="13" s="1"/>
  <c r="GX21" i="13"/>
  <c r="GY13" i="13"/>
  <c r="GY14" i="13" s="1"/>
  <c r="GX22" i="13"/>
  <c r="GY15" i="13"/>
  <c r="GY16" i="13" s="1"/>
  <c r="GX20" i="13"/>
  <c r="GY11" i="13"/>
  <c r="GY12" i="13" s="1"/>
  <c r="GJ7" i="13" l="1"/>
  <c r="GJ18" i="13" s="1"/>
  <c r="GJ24" i="13" s="1"/>
  <c r="GK6" i="13"/>
  <c r="HB3" i="13"/>
  <c r="HB23" i="13" s="1"/>
  <c r="HA5" i="13"/>
  <c r="HA8" i="13" s="1"/>
  <c r="HB4" i="13"/>
  <c r="GY19" i="13"/>
  <c r="GZ9" i="13"/>
  <c r="GZ10" i="13" s="1"/>
  <c r="GY22" i="13"/>
  <c r="GZ15" i="13"/>
  <c r="GZ16" i="13" s="1"/>
  <c r="GY20" i="13"/>
  <c r="GZ11" i="13"/>
  <c r="GZ12" i="13" s="1"/>
  <c r="GY21" i="13"/>
  <c r="GZ13" i="13"/>
  <c r="GZ14" i="13" s="1"/>
  <c r="GK7" i="13" l="1"/>
  <c r="GK18" i="13" s="1"/>
  <c r="GK24" i="13" s="1"/>
  <c r="GL6" i="13"/>
  <c r="HC3" i="13"/>
  <c r="HC23" i="13" s="1"/>
  <c r="HC4" i="13"/>
  <c r="HB5" i="13"/>
  <c r="HB8" i="13" s="1"/>
  <c r="GZ19" i="13"/>
  <c r="HA9" i="13"/>
  <c r="HA10" i="13" s="1"/>
  <c r="GZ21" i="13"/>
  <c r="HA13" i="13"/>
  <c r="HA14" i="13" s="1"/>
  <c r="GZ22" i="13"/>
  <c r="HA15" i="13"/>
  <c r="HA16" i="13" s="1"/>
  <c r="GZ20" i="13"/>
  <c r="HA11" i="13"/>
  <c r="HA12" i="13" s="1"/>
  <c r="GL7" i="13" l="1"/>
  <c r="GL18" i="13" s="1"/>
  <c r="GL24" i="13" s="1"/>
  <c r="GM6" i="13"/>
  <c r="HD3" i="13"/>
  <c r="HD23" i="13" s="1"/>
  <c r="HD4" i="13"/>
  <c r="HC5" i="13"/>
  <c r="HC8" i="13" s="1"/>
  <c r="HB9" i="13"/>
  <c r="HB10" i="13" s="1"/>
  <c r="HA19" i="13"/>
  <c r="HA21" i="13"/>
  <c r="HB13" i="13"/>
  <c r="HB14" i="13" s="1"/>
  <c r="HA20" i="13"/>
  <c r="HB11" i="13"/>
  <c r="HB12" i="13" s="1"/>
  <c r="HA22" i="13"/>
  <c r="HB15" i="13"/>
  <c r="HB16" i="13" s="1"/>
  <c r="GM7" i="13" l="1"/>
  <c r="GM18" i="13" s="1"/>
  <c r="GM24" i="13" s="1"/>
  <c r="GN6" i="13"/>
  <c r="HE3" i="13"/>
  <c r="HE23" i="13" s="1"/>
  <c r="HD5" i="13"/>
  <c r="HD8" i="13" s="1"/>
  <c r="HE4" i="13"/>
  <c r="HB19" i="13"/>
  <c r="HC9" i="13"/>
  <c r="HC10" i="13" s="1"/>
  <c r="HB21" i="13"/>
  <c r="HC13" i="13"/>
  <c r="HC14" i="13" s="1"/>
  <c r="HB20" i="13"/>
  <c r="HC11" i="13"/>
  <c r="HC12" i="13" s="1"/>
  <c r="HB22" i="13"/>
  <c r="HC15" i="13"/>
  <c r="HC16" i="13" s="1"/>
  <c r="GN7" i="13" l="1"/>
  <c r="GN18" i="13" s="1"/>
  <c r="GN24" i="13" s="1"/>
  <c r="GO6" i="13"/>
  <c r="HF3" i="13"/>
  <c r="HF23" i="13" s="1"/>
  <c r="HE5" i="13"/>
  <c r="HE8" i="13" s="1"/>
  <c r="HF4" i="13"/>
  <c r="HC19" i="13"/>
  <c r="HD9" i="13"/>
  <c r="HD10" i="13" s="1"/>
  <c r="HC20" i="13"/>
  <c r="HD11" i="13"/>
  <c r="HD12" i="13" s="1"/>
  <c r="HC22" i="13"/>
  <c r="HD15" i="13"/>
  <c r="HD16" i="13" s="1"/>
  <c r="HC21" i="13"/>
  <c r="HD13" i="13"/>
  <c r="HD14" i="13" s="1"/>
  <c r="GO7" i="13" l="1"/>
  <c r="GO18" i="13" s="1"/>
  <c r="GO24" i="13" s="1"/>
  <c r="GP6" i="13"/>
  <c r="HG3" i="13"/>
  <c r="HG23" i="13" s="1"/>
  <c r="HF5" i="13"/>
  <c r="HF8" i="13" s="1"/>
  <c r="HG4" i="13"/>
  <c r="HD19" i="13"/>
  <c r="HE9" i="13"/>
  <c r="HE10" i="13" s="1"/>
  <c r="HD22" i="13"/>
  <c r="HE15" i="13"/>
  <c r="HE16" i="13" s="1"/>
  <c r="HD20" i="13"/>
  <c r="HE11" i="13"/>
  <c r="HE12" i="13" s="1"/>
  <c r="HD21" i="13"/>
  <c r="HE13" i="13"/>
  <c r="HE14" i="13" s="1"/>
  <c r="GP7" i="13" l="1"/>
  <c r="GP18" i="13" s="1"/>
  <c r="GP24" i="13" s="1"/>
  <c r="GQ6" i="13"/>
  <c r="HH3" i="13"/>
  <c r="HH23" i="13" s="1"/>
  <c r="HG5" i="13"/>
  <c r="HG8" i="13" s="1"/>
  <c r="HH4" i="13"/>
  <c r="HE19" i="13"/>
  <c r="HF9" i="13"/>
  <c r="HF10" i="13" s="1"/>
  <c r="HE21" i="13"/>
  <c r="HF13" i="13"/>
  <c r="HF14" i="13" s="1"/>
  <c r="HE20" i="13"/>
  <c r="HF11" i="13"/>
  <c r="HF12" i="13" s="1"/>
  <c r="HE22" i="13"/>
  <c r="HF15" i="13"/>
  <c r="HF16" i="13" s="1"/>
  <c r="GQ7" i="13" l="1"/>
  <c r="GQ18" i="13" s="1"/>
  <c r="GQ24" i="13" s="1"/>
  <c r="GR6" i="13"/>
  <c r="HI3" i="13"/>
  <c r="HI23" i="13" s="1"/>
  <c r="HH5" i="13"/>
  <c r="HH8" i="13" s="1"/>
  <c r="HI4" i="13"/>
  <c r="HF19" i="13"/>
  <c r="HG9" i="13"/>
  <c r="HG10" i="13" s="1"/>
  <c r="HF22" i="13"/>
  <c r="HG15" i="13"/>
  <c r="HG16" i="13" s="1"/>
  <c r="HF20" i="13"/>
  <c r="HG11" i="13"/>
  <c r="HG12" i="13" s="1"/>
  <c r="HF21" i="13"/>
  <c r="HG13" i="13"/>
  <c r="HG14" i="13" s="1"/>
  <c r="GR7" i="13" l="1"/>
  <c r="GR18" i="13" s="1"/>
  <c r="GR24" i="13" s="1"/>
  <c r="GS6" i="13"/>
  <c r="HJ3" i="13"/>
  <c r="HJ23" i="13" s="1"/>
  <c r="HI5" i="13"/>
  <c r="HI8" i="13" s="1"/>
  <c r="HJ4" i="13"/>
  <c r="HG19" i="13"/>
  <c r="HH9" i="13"/>
  <c r="HH10" i="13" s="1"/>
  <c r="HG21" i="13"/>
  <c r="HH13" i="13"/>
  <c r="HH14" i="13" s="1"/>
  <c r="HG20" i="13"/>
  <c r="HH11" i="13"/>
  <c r="HH12" i="13" s="1"/>
  <c r="HG22" i="13"/>
  <c r="HH15" i="13"/>
  <c r="HH16" i="13" s="1"/>
  <c r="GS7" i="13" l="1"/>
  <c r="GS18" i="13" s="1"/>
  <c r="GS24" i="13" s="1"/>
  <c r="GT6" i="13"/>
  <c r="HK3" i="13"/>
  <c r="HK23" i="13" s="1"/>
  <c r="HJ5" i="13"/>
  <c r="HJ8" i="13" s="1"/>
  <c r="HK4" i="13"/>
  <c r="HH19" i="13"/>
  <c r="HI9" i="13"/>
  <c r="HI10" i="13" s="1"/>
  <c r="HH22" i="13"/>
  <c r="HI15" i="13"/>
  <c r="HI16" i="13" s="1"/>
  <c r="HH20" i="13"/>
  <c r="HI11" i="13"/>
  <c r="HI12" i="13" s="1"/>
  <c r="HH21" i="13"/>
  <c r="HI13" i="13"/>
  <c r="HI14" i="13" s="1"/>
  <c r="GT7" i="13" l="1"/>
  <c r="GT18" i="13" s="1"/>
  <c r="GT24" i="13" s="1"/>
  <c r="GU6" i="13"/>
  <c r="HL3" i="13"/>
  <c r="HL23" i="13" s="1"/>
  <c r="HK5" i="13"/>
  <c r="HK8" i="13" s="1"/>
  <c r="HL4" i="13"/>
  <c r="HI19" i="13"/>
  <c r="HJ9" i="13"/>
  <c r="HJ10" i="13" s="1"/>
  <c r="HI22" i="13"/>
  <c r="HJ15" i="13"/>
  <c r="HJ16" i="13" s="1"/>
  <c r="HI20" i="13"/>
  <c r="HJ11" i="13"/>
  <c r="HJ12" i="13" s="1"/>
  <c r="HI21" i="13"/>
  <c r="HJ13" i="13"/>
  <c r="HJ14" i="13" s="1"/>
  <c r="GU7" i="13" l="1"/>
  <c r="GU18" i="13" s="1"/>
  <c r="GU24" i="13" s="1"/>
  <c r="GV6" i="13"/>
  <c r="HM3" i="13"/>
  <c r="HM23" i="13" s="1"/>
  <c r="HL5" i="13"/>
  <c r="HL8" i="13" s="1"/>
  <c r="HM4" i="13"/>
  <c r="HJ19" i="13"/>
  <c r="HK9" i="13"/>
  <c r="HK10" i="13" s="1"/>
  <c r="HJ21" i="13"/>
  <c r="HK13" i="13"/>
  <c r="HK14" i="13" s="1"/>
  <c r="HJ22" i="13"/>
  <c r="HK15" i="13"/>
  <c r="HK16" i="13" s="1"/>
  <c r="HJ20" i="13"/>
  <c r="HK11" i="13"/>
  <c r="HK12" i="13" s="1"/>
  <c r="GV7" i="13" l="1"/>
  <c r="GV18" i="13" s="1"/>
  <c r="GV24" i="13" s="1"/>
  <c r="GW6" i="13"/>
  <c r="HN3" i="13"/>
  <c r="HN23" i="13" s="1"/>
  <c r="HM5" i="13"/>
  <c r="HM8" i="13" s="1"/>
  <c r="HN4" i="13"/>
  <c r="HK19" i="13"/>
  <c r="HL9" i="13"/>
  <c r="HL10" i="13" s="1"/>
  <c r="HK22" i="13"/>
  <c r="HL15" i="13"/>
  <c r="HL16" i="13" s="1"/>
  <c r="HK20" i="13"/>
  <c r="HL11" i="13"/>
  <c r="HL12" i="13" s="1"/>
  <c r="HK21" i="13"/>
  <c r="HL13" i="13"/>
  <c r="HL14" i="13" s="1"/>
  <c r="GW7" i="13" l="1"/>
  <c r="GW18" i="13" s="1"/>
  <c r="GW24" i="13" s="1"/>
  <c r="GX6" i="13"/>
  <c r="HO3" i="13"/>
  <c r="HO23" i="13" s="1"/>
  <c r="HN5" i="13"/>
  <c r="HN8" i="13" s="1"/>
  <c r="HO4" i="13"/>
  <c r="HL19" i="13"/>
  <c r="HM9" i="13"/>
  <c r="HM10" i="13" s="1"/>
  <c r="HL20" i="13"/>
  <c r="HM11" i="13"/>
  <c r="HM12" i="13" s="1"/>
  <c r="HL21" i="13"/>
  <c r="HM13" i="13"/>
  <c r="HM14" i="13" s="1"/>
  <c r="HL22" i="13"/>
  <c r="HM15" i="13"/>
  <c r="HM16" i="13" s="1"/>
  <c r="GY6" i="13" l="1"/>
  <c r="GX7" i="13"/>
  <c r="GX18" i="13" s="1"/>
  <c r="GX24" i="13" s="1"/>
  <c r="HP3" i="13"/>
  <c r="HP23" i="13" s="1"/>
  <c r="HO5" i="13"/>
  <c r="HO8" i="13" s="1"/>
  <c r="HP4" i="13"/>
  <c r="HM19" i="13"/>
  <c r="HN9" i="13"/>
  <c r="HN10" i="13" s="1"/>
  <c r="HM21" i="13"/>
  <c r="HN13" i="13"/>
  <c r="HN14" i="13" s="1"/>
  <c r="HM22" i="13"/>
  <c r="HN15" i="13"/>
  <c r="HN16" i="13" s="1"/>
  <c r="HM20" i="13"/>
  <c r="HN11" i="13"/>
  <c r="HN12" i="13" s="1"/>
  <c r="GY7" i="13" l="1"/>
  <c r="GY18" i="13" s="1"/>
  <c r="GY24" i="13" s="1"/>
  <c r="GZ6" i="13"/>
  <c r="HQ3" i="13"/>
  <c r="HQ23" i="13" s="1"/>
  <c r="HP5" i="13"/>
  <c r="HP8" i="13" s="1"/>
  <c r="HQ4" i="13"/>
  <c r="HN19" i="13"/>
  <c r="HO9" i="13"/>
  <c r="HO10" i="13" s="1"/>
  <c r="HN22" i="13"/>
  <c r="HO15" i="13"/>
  <c r="HO16" i="13" s="1"/>
  <c r="HN21" i="13"/>
  <c r="HO13" i="13"/>
  <c r="HO14" i="13" s="1"/>
  <c r="HN20" i="13"/>
  <c r="HO11" i="13"/>
  <c r="HO12" i="13" s="1"/>
  <c r="GZ7" i="13" l="1"/>
  <c r="GZ18" i="13" s="1"/>
  <c r="GZ24" i="13" s="1"/>
  <c r="HA6" i="13"/>
  <c r="HR3" i="13"/>
  <c r="HR23" i="13" s="1"/>
  <c r="HQ5" i="13"/>
  <c r="HQ8" i="13" s="1"/>
  <c r="HR4" i="13"/>
  <c r="HO19" i="13"/>
  <c r="HP9" i="13"/>
  <c r="HP10" i="13" s="1"/>
  <c r="HO21" i="13"/>
  <c r="HP13" i="13"/>
  <c r="HP14" i="13" s="1"/>
  <c r="HO20" i="13"/>
  <c r="HP11" i="13"/>
  <c r="HP12" i="13" s="1"/>
  <c r="HO22" i="13"/>
  <c r="HP15" i="13"/>
  <c r="HP16" i="13" s="1"/>
  <c r="HA7" i="13" l="1"/>
  <c r="HA18" i="13" s="1"/>
  <c r="HA24" i="13" s="1"/>
  <c r="HB6" i="13"/>
  <c r="HS3" i="13"/>
  <c r="HS23" i="13" s="1"/>
  <c r="HR5" i="13"/>
  <c r="HR8" i="13" s="1"/>
  <c r="HS4" i="13"/>
  <c r="HQ9" i="13"/>
  <c r="HQ10" i="13" s="1"/>
  <c r="HP19" i="13"/>
  <c r="HP21" i="13"/>
  <c r="HQ13" i="13"/>
  <c r="HQ14" i="13" s="1"/>
  <c r="HP20" i="13"/>
  <c r="HQ11" i="13"/>
  <c r="HQ12" i="13" s="1"/>
  <c r="HP22" i="13"/>
  <c r="HQ15" i="13"/>
  <c r="HQ16" i="13" s="1"/>
  <c r="HB7" i="13" l="1"/>
  <c r="HB18" i="13" s="1"/>
  <c r="HB24" i="13" s="1"/>
  <c r="HC6" i="13"/>
  <c r="HT3" i="13"/>
  <c r="HT23" i="13" s="1"/>
  <c r="HS5" i="13"/>
  <c r="HS8" i="13" s="1"/>
  <c r="HT4" i="13"/>
  <c r="HQ19" i="13"/>
  <c r="HR9" i="13"/>
  <c r="HR10" i="13" s="1"/>
  <c r="HQ21" i="13"/>
  <c r="HR13" i="13"/>
  <c r="HR14" i="13" s="1"/>
  <c r="HQ20" i="13"/>
  <c r="HR11" i="13"/>
  <c r="HR12" i="13" s="1"/>
  <c r="HQ22" i="13"/>
  <c r="HR15" i="13"/>
  <c r="HR16" i="13" s="1"/>
  <c r="HC7" i="13" l="1"/>
  <c r="HC18" i="13" s="1"/>
  <c r="HC24" i="13" s="1"/>
  <c r="HD6" i="13"/>
  <c r="HU3" i="13"/>
  <c r="HU23" i="13" s="1"/>
  <c r="HT5" i="13"/>
  <c r="HT8" i="13" s="1"/>
  <c r="HU4" i="13"/>
  <c r="HR19" i="13"/>
  <c r="HS9" i="13"/>
  <c r="HS10" i="13" s="1"/>
  <c r="HR20" i="13"/>
  <c r="HS11" i="13"/>
  <c r="HS12" i="13" s="1"/>
  <c r="HR21" i="13"/>
  <c r="HS13" i="13"/>
  <c r="HS14" i="13" s="1"/>
  <c r="HR22" i="13"/>
  <c r="HS15" i="13"/>
  <c r="HS16" i="13" s="1"/>
  <c r="HD7" i="13" l="1"/>
  <c r="HD18" i="13" s="1"/>
  <c r="HD24" i="13" s="1"/>
  <c r="HE6" i="13"/>
  <c r="HV3" i="13"/>
  <c r="HV23" i="13" s="1"/>
  <c r="HU5" i="13"/>
  <c r="HU8" i="13" s="1"/>
  <c r="HV4" i="13"/>
  <c r="HS19" i="13"/>
  <c r="HT9" i="13"/>
  <c r="HT10" i="13" s="1"/>
  <c r="HS21" i="13"/>
  <c r="HT13" i="13"/>
  <c r="HT14" i="13" s="1"/>
  <c r="HS20" i="13"/>
  <c r="HT11" i="13"/>
  <c r="HT12" i="13" s="1"/>
  <c r="HS22" i="13"/>
  <c r="HT15" i="13"/>
  <c r="HT16" i="13" s="1"/>
  <c r="HF6" i="13" l="1"/>
  <c r="HE7" i="13"/>
  <c r="HE18" i="13" s="1"/>
  <c r="HE24" i="13" s="1"/>
  <c r="HW3" i="13"/>
  <c r="HW23" i="13" s="1"/>
  <c r="HV5" i="13"/>
  <c r="HV8" i="13" s="1"/>
  <c r="HW4" i="13"/>
  <c r="HT19" i="13"/>
  <c r="HU9" i="13"/>
  <c r="HU10" i="13" s="1"/>
  <c r="HT20" i="13"/>
  <c r="HU11" i="13"/>
  <c r="HU12" i="13" s="1"/>
  <c r="HT21" i="13"/>
  <c r="HU13" i="13"/>
  <c r="HU14" i="13" s="1"/>
  <c r="HT22" i="13"/>
  <c r="HU15" i="13"/>
  <c r="HU16" i="13" s="1"/>
  <c r="HF7" i="13" l="1"/>
  <c r="HF18" i="13" s="1"/>
  <c r="HF24" i="13" s="1"/>
  <c r="HG6" i="13"/>
  <c r="HX3" i="13"/>
  <c r="HX23" i="13" s="1"/>
  <c r="HW5" i="13"/>
  <c r="HW8" i="13" s="1"/>
  <c r="HX4" i="13"/>
  <c r="HU19" i="13"/>
  <c r="HV9" i="13"/>
  <c r="HV10" i="13" s="1"/>
  <c r="HU21" i="13"/>
  <c r="HV13" i="13"/>
  <c r="HV14" i="13" s="1"/>
  <c r="HU20" i="13"/>
  <c r="HV11" i="13"/>
  <c r="HV12" i="13" s="1"/>
  <c r="HU22" i="13"/>
  <c r="HV15" i="13"/>
  <c r="HV16" i="13" s="1"/>
  <c r="HG7" i="13" l="1"/>
  <c r="HG18" i="13" s="1"/>
  <c r="HG24" i="13" s="1"/>
  <c r="HH6" i="13"/>
  <c r="HY3" i="13"/>
  <c r="HY23" i="13" s="1"/>
  <c r="HX5" i="13"/>
  <c r="HX8" i="13" s="1"/>
  <c r="HY4" i="13"/>
  <c r="HW9" i="13"/>
  <c r="HW10" i="13" s="1"/>
  <c r="HV19" i="13"/>
  <c r="HV21" i="13"/>
  <c r="HW13" i="13"/>
  <c r="HW14" i="13" s="1"/>
  <c r="HV22" i="13"/>
  <c r="HW15" i="13"/>
  <c r="HW16" i="13" s="1"/>
  <c r="HV20" i="13"/>
  <c r="HW11" i="13"/>
  <c r="HW12" i="13" s="1"/>
  <c r="HI6" i="13" l="1"/>
  <c r="HH7" i="13"/>
  <c r="HH18" i="13" s="1"/>
  <c r="HH24" i="13" s="1"/>
  <c r="HZ3" i="13"/>
  <c r="HZ23" i="13" s="1"/>
  <c r="HY5" i="13"/>
  <c r="HY8" i="13" s="1"/>
  <c r="HZ4" i="13"/>
  <c r="HW19" i="13"/>
  <c r="HX9" i="13"/>
  <c r="HX10" i="13" s="1"/>
  <c r="HW22" i="13"/>
  <c r="HX15" i="13"/>
  <c r="HX16" i="13" s="1"/>
  <c r="HW21" i="13"/>
  <c r="HX13" i="13"/>
  <c r="HX14" i="13" s="1"/>
  <c r="HW20" i="13"/>
  <c r="HX11" i="13"/>
  <c r="HX12" i="13" s="1"/>
  <c r="HI7" i="13" l="1"/>
  <c r="HI18" i="13" s="1"/>
  <c r="HI24" i="13" s="1"/>
  <c r="HJ6" i="13"/>
  <c r="IA3" i="13"/>
  <c r="IA23" i="13" s="1"/>
  <c r="HZ5" i="13"/>
  <c r="HZ8" i="13" s="1"/>
  <c r="IA4" i="13"/>
  <c r="HX19" i="13"/>
  <c r="HY9" i="13"/>
  <c r="HY10" i="13" s="1"/>
  <c r="HX22" i="13"/>
  <c r="HY15" i="13"/>
  <c r="HY16" i="13" s="1"/>
  <c r="HX21" i="13"/>
  <c r="HY13" i="13"/>
  <c r="HY14" i="13" s="1"/>
  <c r="HX20" i="13"/>
  <c r="HY11" i="13"/>
  <c r="HY12" i="13" s="1"/>
  <c r="HJ7" i="13" l="1"/>
  <c r="HJ18" i="13" s="1"/>
  <c r="HJ24" i="13" s="1"/>
  <c r="HK6" i="13"/>
  <c r="IB3" i="13"/>
  <c r="IB23" i="13" s="1"/>
  <c r="IA5" i="13"/>
  <c r="IA8" i="13" s="1"/>
  <c r="IB4" i="13"/>
  <c r="HY19" i="13"/>
  <c r="HZ9" i="13"/>
  <c r="HZ10" i="13" s="1"/>
  <c r="HY21" i="13"/>
  <c r="HZ13" i="13"/>
  <c r="HZ14" i="13" s="1"/>
  <c r="HY20" i="13"/>
  <c r="HZ11" i="13"/>
  <c r="HZ12" i="13" s="1"/>
  <c r="HY22" i="13"/>
  <c r="HZ15" i="13"/>
  <c r="HZ16" i="13" s="1"/>
  <c r="HK7" i="13" l="1"/>
  <c r="HK18" i="13" s="1"/>
  <c r="HK24" i="13" s="1"/>
  <c r="HL6" i="13"/>
  <c r="IC3" i="13"/>
  <c r="IC23" i="13" s="1"/>
  <c r="IB5" i="13"/>
  <c r="IB8" i="13" s="1"/>
  <c r="IC4" i="13"/>
  <c r="HZ19" i="13"/>
  <c r="IA9" i="13"/>
  <c r="IA10" i="13" s="1"/>
  <c r="HZ20" i="13"/>
  <c r="IA11" i="13"/>
  <c r="IA12" i="13" s="1"/>
  <c r="HZ21" i="13"/>
  <c r="IA13" i="13"/>
  <c r="IA14" i="13" s="1"/>
  <c r="HZ22" i="13"/>
  <c r="IA15" i="13"/>
  <c r="IA16" i="13" s="1"/>
  <c r="HM6" i="13" l="1"/>
  <c r="HL7" i="13"/>
  <c r="HL18" i="13" s="1"/>
  <c r="HL24" i="13" s="1"/>
  <c r="ID3" i="13"/>
  <c r="ID23" i="13" s="1"/>
  <c r="IC5" i="13"/>
  <c r="IC8" i="13" s="1"/>
  <c r="ID4" i="13"/>
  <c r="IB9" i="13"/>
  <c r="IB10" i="13" s="1"/>
  <c r="IA19" i="13"/>
  <c r="IA21" i="13"/>
  <c r="IB13" i="13"/>
  <c r="IB14" i="13" s="1"/>
  <c r="IA20" i="13"/>
  <c r="IB11" i="13"/>
  <c r="IB12" i="13" s="1"/>
  <c r="IA22" i="13"/>
  <c r="IB15" i="13"/>
  <c r="IB16" i="13" s="1"/>
  <c r="HM7" i="13" l="1"/>
  <c r="HM18" i="13" s="1"/>
  <c r="HM24" i="13" s="1"/>
  <c r="HN6" i="13"/>
  <c r="IE3" i="13"/>
  <c r="IE23" i="13" s="1"/>
  <c r="ID5" i="13"/>
  <c r="ID8" i="13" s="1"/>
  <c r="IE4" i="13"/>
  <c r="IC9" i="13"/>
  <c r="IC10" i="13" s="1"/>
  <c r="IB19" i="13"/>
  <c r="IB21" i="13"/>
  <c r="IC13" i="13"/>
  <c r="IC14" i="13" s="1"/>
  <c r="IB20" i="13"/>
  <c r="IC11" i="13"/>
  <c r="IC12" i="13" s="1"/>
  <c r="IB22" i="13"/>
  <c r="IC15" i="13"/>
  <c r="IC16" i="13" s="1"/>
  <c r="HN7" i="13" l="1"/>
  <c r="HN18" i="13" s="1"/>
  <c r="HN24" i="13" s="1"/>
  <c r="HO6" i="13"/>
  <c r="IF3" i="13"/>
  <c r="IF23" i="13" s="1"/>
  <c r="IE5" i="13"/>
  <c r="IE8" i="13" s="1"/>
  <c r="IF4" i="13"/>
  <c r="IC19" i="13"/>
  <c r="ID9" i="13"/>
  <c r="ID10" i="13" s="1"/>
  <c r="IC21" i="13"/>
  <c r="ID13" i="13"/>
  <c r="ID14" i="13" s="1"/>
  <c r="IC20" i="13"/>
  <c r="ID11" i="13"/>
  <c r="ID12" i="13" s="1"/>
  <c r="IC22" i="13"/>
  <c r="ID15" i="13"/>
  <c r="ID16" i="13" s="1"/>
  <c r="HO7" i="13" l="1"/>
  <c r="HO18" i="13" s="1"/>
  <c r="HO24" i="13" s="1"/>
  <c r="HP6" i="13"/>
  <c r="IG3" i="13"/>
  <c r="IG23" i="13" s="1"/>
  <c r="IF5" i="13"/>
  <c r="IF8" i="13" s="1"/>
  <c r="IG4" i="13"/>
  <c r="ID19" i="13"/>
  <c r="IE9" i="13"/>
  <c r="IE10" i="13" s="1"/>
  <c r="ID20" i="13"/>
  <c r="IE11" i="13"/>
  <c r="IE12" i="13" s="1"/>
  <c r="ID22" i="13"/>
  <c r="IE15" i="13"/>
  <c r="IE16" i="13" s="1"/>
  <c r="ID21" i="13"/>
  <c r="IE13" i="13"/>
  <c r="IE14" i="13" s="1"/>
  <c r="HP7" i="13" l="1"/>
  <c r="HP18" i="13" s="1"/>
  <c r="HP24" i="13" s="1"/>
  <c r="HQ6" i="13"/>
  <c r="IH3" i="13"/>
  <c r="IH23" i="13" s="1"/>
  <c r="IG5" i="13"/>
  <c r="IG8" i="13" s="1"/>
  <c r="IH4" i="13"/>
  <c r="IF9" i="13"/>
  <c r="IF10" i="13" s="1"/>
  <c r="IE19" i="13"/>
  <c r="IE20" i="13"/>
  <c r="IF11" i="13"/>
  <c r="IF12" i="13" s="1"/>
  <c r="IE22" i="13"/>
  <c r="IF15" i="13"/>
  <c r="IF16" i="13" s="1"/>
  <c r="IE21" i="13"/>
  <c r="IF13" i="13"/>
  <c r="IF14" i="13" s="1"/>
  <c r="HQ7" i="13" l="1"/>
  <c r="HQ18" i="13" s="1"/>
  <c r="HQ24" i="13" s="1"/>
  <c r="HR6" i="13"/>
  <c r="II3" i="13"/>
  <c r="II23" i="13" s="1"/>
  <c r="IH5" i="13"/>
  <c r="IH8" i="13" s="1"/>
  <c r="II4" i="13"/>
  <c r="IF19" i="13"/>
  <c r="IG9" i="13"/>
  <c r="IG10" i="13" s="1"/>
  <c r="IF21" i="13"/>
  <c r="IG13" i="13"/>
  <c r="IG14" i="13" s="1"/>
  <c r="IF22" i="13"/>
  <c r="IG15" i="13"/>
  <c r="IG16" i="13" s="1"/>
  <c r="IF20" i="13"/>
  <c r="IG11" i="13"/>
  <c r="IG12" i="13" s="1"/>
  <c r="HS6" i="13" l="1"/>
  <c r="HR7" i="13"/>
  <c r="HR18" i="13" s="1"/>
  <c r="HR24" i="13" s="1"/>
  <c r="IJ3" i="13"/>
  <c r="IJ23" i="13" s="1"/>
  <c r="II5" i="13"/>
  <c r="II8" i="13" s="1"/>
  <c r="IJ4" i="13"/>
  <c r="IG19" i="13"/>
  <c r="IH9" i="13"/>
  <c r="IH10" i="13" s="1"/>
  <c r="IG22" i="13"/>
  <c r="IH15" i="13"/>
  <c r="IH16" i="13" s="1"/>
  <c r="IG21" i="13"/>
  <c r="IH13" i="13"/>
  <c r="IH14" i="13" s="1"/>
  <c r="IG20" i="13"/>
  <c r="IH11" i="13"/>
  <c r="IH12" i="13" s="1"/>
  <c r="HS7" i="13" l="1"/>
  <c r="HS18" i="13" s="1"/>
  <c r="HS24" i="13" s="1"/>
  <c r="HT6" i="13"/>
  <c r="IK3" i="13"/>
  <c r="IK23" i="13" s="1"/>
  <c r="IJ5" i="13"/>
  <c r="IJ8" i="13" s="1"/>
  <c r="IK4" i="13"/>
  <c r="IH19" i="13"/>
  <c r="II9" i="13"/>
  <c r="II10" i="13" s="1"/>
  <c r="IH22" i="13"/>
  <c r="II15" i="13"/>
  <c r="II16" i="13" s="1"/>
  <c r="IH21" i="13"/>
  <c r="II13" i="13"/>
  <c r="II14" i="13" s="1"/>
  <c r="IH20" i="13"/>
  <c r="II11" i="13"/>
  <c r="II12" i="13" s="1"/>
  <c r="HT7" i="13" l="1"/>
  <c r="HT18" i="13" s="1"/>
  <c r="HT24" i="13" s="1"/>
  <c r="HU6" i="13"/>
  <c r="IL3" i="13"/>
  <c r="IL23" i="13" s="1"/>
  <c r="IK5" i="13"/>
  <c r="IK8" i="13" s="1"/>
  <c r="IL4" i="13"/>
  <c r="II19" i="13"/>
  <c r="IJ9" i="13"/>
  <c r="IJ10" i="13" s="1"/>
  <c r="II21" i="13"/>
  <c r="IJ13" i="13"/>
  <c r="IJ14" i="13" s="1"/>
  <c r="II22" i="13"/>
  <c r="IJ15" i="13"/>
  <c r="IJ16" i="13" s="1"/>
  <c r="II20" i="13"/>
  <c r="IJ11" i="13"/>
  <c r="IJ12" i="13" s="1"/>
  <c r="HV6" i="13" l="1"/>
  <c r="HU7" i="13"/>
  <c r="HU18" i="13" s="1"/>
  <c r="HU24" i="13" s="1"/>
  <c r="IM3" i="13"/>
  <c r="IM23" i="13" s="1"/>
  <c r="IL5" i="13"/>
  <c r="IL8" i="13" s="1"/>
  <c r="IM4" i="13"/>
  <c r="IK9" i="13"/>
  <c r="IK10" i="13" s="1"/>
  <c r="IJ19" i="13"/>
  <c r="IJ21" i="13"/>
  <c r="IK13" i="13"/>
  <c r="IK14" i="13" s="1"/>
  <c r="IJ22" i="13"/>
  <c r="IK15" i="13"/>
  <c r="IK16" i="13" s="1"/>
  <c r="IJ20" i="13"/>
  <c r="IK11" i="13"/>
  <c r="IK12" i="13" s="1"/>
  <c r="HV7" i="13" l="1"/>
  <c r="HV18" i="13" s="1"/>
  <c r="HV24" i="13" s="1"/>
  <c r="HW6" i="13"/>
  <c r="IN3" i="13"/>
  <c r="IN23" i="13" s="1"/>
  <c r="IM5" i="13"/>
  <c r="IM8" i="13" s="1"/>
  <c r="IN4" i="13"/>
  <c r="IN5" i="13" s="1"/>
  <c r="IN8" i="13" s="1"/>
  <c r="IL9" i="13"/>
  <c r="IL10" i="13" s="1"/>
  <c r="IK19" i="13"/>
  <c r="IK22" i="13"/>
  <c r="IL15" i="13"/>
  <c r="IL16" i="13" s="1"/>
  <c r="IK21" i="13"/>
  <c r="IL13" i="13"/>
  <c r="IL14" i="13" s="1"/>
  <c r="IK20" i="13"/>
  <c r="IL11" i="13"/>
  <c r="IL12" i="13" s="1"/>
  <c r="HW7" i="13" l="1"/>
  <c r="HW18" i="13" s="1"/>
  <c r="HW24" i="13" s="1"/>
  <c r="HX6" i="13"/>
  <c r="C24" i="13"/>
  <c r="C21" i="13" s="1"/>
  <c r="IM9" i="13"/>
  <c r="IM10" i="13" s="1"/>
  <c r="IL19" i="13"/>
  <c r="IL21" i="13"/>
  <c r="IM13" i="13"/>
  <c r="IM14" i="13" s="1"/>
  <c r="IL22" i="13"/>
  <c r="IM15" i="13"/>
  <c r="IM16" i="13" s="1"/>
  <c r="IL20" i="13"/>
  <c r="IM11" i="13"/>
  <c r="IM12" i="13" s="1"/>
  <c r="HX7" i="13" l="1"/>
  <c r="HX18" i="13" s="1"/>
  <c r="HX24" i="13" s="1"/>
  <c r="HY6" i="13"/>
  <c r="IN9" i="13"/>
  <c r="IM19" i="13"/>
  <c r="IM21" i="13"/>
  <c r="IN13" i="13"/>
  <c r="IM22" i="13"/>
  <c r="IN15" i="13"/>
  <c r="IM20" i="13"/>
  <c r="IN11" i="13"/>
  <c r="HY7" i="13" l="1"/>
  <c r="HY18" i="13" s="1"/>
  <c r="HY24" i="13" s="1"/>
  <c r="HZ6" i="13"/>
  <c r="IN10" i="13"/>
  <c r="IN19" i="13" s="1"/>
  <c r="IN12" i="13"/>
  <c r="IN20" i="13" s="1"/>
  <c r="IN14" i="13"/>
  <c r="IN21" i="13" s="1"/>
  <c r="IN16" i="13"/>
  <c r="IN22" i="13" s="1"/>
  <c r="HZ7" i="13" l="1"/>
  <c r="HZ18" i="13" s="1"/>
  <c r="HZ24" i="13" s="1"/>
  <c r="IA6" i="13"/>
  <c r="IA7" i="13" l="1"/>
  <c r="IA18" i="13" s="1"/>
  <c r="IA24" i="13" s="1"/>
  <c r="IB6" i="13"/>
  <c r="IB7" i="13" l="1"/>
  <c r="IB18" i="13" s="1"/>
  <c r="IB24" i="13" s="1"/>
  <c r="IC6" i="13"/>
  <c r="IC7" i="13" l="1"/>
  <c r="IC18" i="13" s="1"/>
  <c r="IC24" i="13" s="1"/>
  <c r="ID6" i="13"/>
  <c r="ID7" i="13" l="1"/>
  <c r="ID18" i="13" s="1"/>
  <c r="ID24" i="13" s="1"/>
  <c r="IE6" i="13"/>
  <c r="IE7" i="13" l="1"/>
  <c r="IE18" i="13" s="1"/>
  <c r="IE24" i="13" s="1"/>
  <c r="IF6" i="13"/>
  <c r="IF7" i="13" l="1"/>
  <c r="IF18" i="13" s="1"/>
  <c r="IF24" i="13" s="1"/>
  <c r="IG6" i="13"/>
  <c r="IG7" i="13" l="1"/>
  <c r="IG18" i="13" s="1"/>
  <c r="IG24" i="13" s="1"/>
  <c r="IH6" i="13"/>
  <c r="IH7" i="13" l="1"/>
  <c r="IH18" i="13" s="1"/>
  <c r="IH24" i="13" s="1"/>
  <c r="II6" i="13"/>
  <c r="II7" i="13" l="1"/>
  <c r="II18" i="13" s="1"/>
  <c r="II24" i="13" s="1"/>
  <c r="IJ6" i="13"/>
  <c r="IJ7" i="13" l="1"/>
  <c r="IJ18" i="13" s="1"/>
  <c r="IJ24" i="13" s="1"/>
  <c r="IK6" i="13"/>
  <c r="IL6" i="13" l="1"/>
  <c r="IK7" i="13"/>
  <c r="IK18" i="13" s="1"/>
  <c r="IK24" i="13" s="1"/>
  <c r="IL7" i="13" l="1"/>
  <c r="IL18" i="13" s="1"/>
  <c r="IL24" i="13" s="1"/>
  <c r="IM6" i="13"/>
  <c r="IN6" i="13" l="1"/>
  <c r="IN7" i="13" s="1"/>
  <c r="IN18" i="13" s="1"/>
  <c r="IM7" i="13"/>
  <c r="IM18" i="13" s="1"/>
  <c r="IM24" i="13" s="1"/>
  <c r="IN24" i="13" l="1"/>
  <c r="D24" i="13" l="1"/>
  <c r="C33" i="15" s="1"/>
  <c r="C35" i="15" s="1"/>
</calcChain>
</file>

<file path=xl/sharedStrings.xml><?xml version="1.0" encoding="utf-8"?>
<sst xmlns="http://schemas.openxmlformats.org/spreadsheetml/2006/main" count="1572" uniqueCount="631">
  <si>
    <t>Province/State</t>
  </si>
  <si>
    <t>Country/Region</t>
  </si>
  <si>
    <t>Lat</t>
  </si>
  <si>
    <t>Long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</si>
  <si>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</si>
  <si>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</si>
  <si>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</si>
  <si>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</si>
  <si>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</si>
  <si>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</si>
  <si>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</si>
  <si>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</si>
  <si>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</si>
  <si>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</si>
  <si>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</si>
  <si>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</si>
  <si>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</si>
  <si>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</si>
  <si>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</si>
  <si>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</si>
  <si>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</si>
  <si>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</si>
  <si>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</si>
  <si>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</si>
  <si>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</si>
  <si>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</si>
  <si>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</si>
  <si>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</si>
  <si>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</si>
  <si>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</si>
  <si>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</si>
  <si>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</si>
  <si>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</si>
  <si>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</si>
  <si>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</si>
  <si>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</si>
  <si>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</si>
  <si>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</si>
  <si>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</si>
  <si>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</si>
  <si>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</si>
  <si>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</si>
  <si>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</si>
  <si>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</si>
  <si>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</si>
  <si>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</si>
  <si>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</si>
  <si>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</si>
  <si>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</si>
  <si>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</si>
  <si>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</si>
  <si>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</si>
  <si>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</si>
  <si>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</si>
  <si>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</si>
  <si>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</si>
  <si>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</si>
  <si>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</si>
  <si>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</si>
  <si>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</si>
  <si>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</si>
  <si>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</si>
  <si>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</si>
  <si>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</si>
  <si>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</si>
  <si>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</si>
  <si>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</si>
  <si>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</si>
  <si>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</si>
  <si>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</si>
  <si>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</si>
  <si>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</si>
  <si>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</si>
  <si>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</si>
  <si>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</si>
  <si>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</si>
  <si>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</si>
  <si>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</si>
  <si>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</si>
  <si>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</si>
  <si>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</si>
  <si>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</si>
  <si>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</si>
  <si>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</si>
  <si>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</si>
  <si>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</si>
  <si>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</si>
  <si>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</si>
  <si>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</si>
  <si>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</si>
  <si>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</si>
  <si>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</si>
  <si>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</si>
  <si>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</si>
  <si>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</si>
  <si>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</si>
  <si>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</si>
  <si>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</si>
  <si>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</si>
  <si>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</si>
  <si>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</si>
  <si>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</si>
  <si>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</si>
  <si>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</si>
  <si>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</si>
  <si>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</si>
  <si>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</si>
  <si>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</si>
  <si>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</si>
  <si>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</si>
  <si>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</si>
  <si>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</si>
  <si>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</si>
  <si>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</si>
  <si>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</si>
  <si>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</si>
  <si>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</si>
  <si>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</si>
  <si>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</si>
  <si>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</si>
  <si>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</si>
  <si>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</si>
  <si>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</si>
  <si>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</si>
  <si>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</si>
  <si>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</si>
  <si>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</si>
  <si>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</si>
  <si>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</si>
  <si>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</si>
  <si>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</si>
  <si>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</si>
  <si>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</si>
  <si>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</si>
  <si>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</si>
  <si>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</si>
  <si>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</si>
  <si>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</si>
  <si>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</si>
  <si>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</si>
  <si>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</si>
  <si>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</si>
  <si>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</si>
  <si>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</si>
  <si>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</si>
  <si>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</si>
  <si>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</si>
  <si>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</si>
  <si>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</si>
  <si>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</si>
  <si>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</si>
  <si>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</si>
  <si>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</si>
  <si>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</si>
  <si>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</si>
  <si>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</si>
  <si>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</si>
  <si>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</si>
  <si>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</si>
  <si>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</si>
  <si>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</si>
  <si>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</si>
  <si>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</si>
  <si>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</si>
  <si>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</si>
  <si>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</si>
  <si>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</si>
  <si>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</si>
  <si>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</si>
  <si>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</si>
  <si>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</si>
  <si>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</si>
  <si>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</si>
  <si>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</si>
  <si>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</si>
  <si>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</si>
  <si>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</si>
  <si>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</si>
  <si>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</si>
  <si>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</si>
  <si>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</si>
  <si>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</si>
  <si>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</si>
  <si>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</si>
  <si>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</si>
  <si>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</si>
  <si>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</si>
  <si>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</si>
  <si>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</si>
  <si>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</si>
  <si>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</si>
  <si>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</si>
  <si>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</si>
  <si>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</si>
  <si>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</si>
  <si>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</si>
  <si>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</si>
  <si>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</si>
  <si>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</si>
  <si>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</si>
  <si>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</si>
  <si>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</si>
  <si>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</si>
  <si>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</si>
  <si>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</si>
  <si>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</si>
  <si>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</si>
  <si>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</si>
  <si>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</si>
  <si>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</si>
  <si>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</si>
  <si>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</si>
  <si>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</si>
  <si>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</si>
  <si>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</si>
  <si>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</si>
  <si>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</si>
  <si>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</si>
  <si>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</si>
  <si>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</si>
  <si>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</si>
  <si>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</si>
  <si>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</si>
  <si>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</si>
  <si>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</si>
  <si>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</si>
  <si>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</si>
  <si>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</si>
  <si>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</si>
  <si>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</si>
  <si>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</si>
  <si>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</si>
  <si>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</si>
  <si>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</si>
  <si>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</si>
  <si>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</si>
  <si>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</si>
  <si>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</si>
  <si>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</si>
  <si>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</si>
  <si>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</si>
  <si>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</si>
  <si>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</si>
  <si>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</si>
  <si>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</si>
  <si>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</si>
  <si>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</si>
  <si>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</si>
  <si>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</si>
  <si>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</si>
  <si>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</si>
  <si>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</si>
  <si>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</si>
  <si>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</si>
  <si>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</si>
  <si>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</si>
  <si>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</si>
  <si>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</si>
  <si>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</si>
  <si>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</si>
  <si>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</si>
  <si>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</si>
  <si>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</si>
  <si>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</si>
  <si>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</si>
  <si>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</si>
  <si>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</si>
  <si>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</si>
  <si>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</si>
  <si>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</si>
  <si>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</si>
  <si>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</si>
  <si>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</si>
  <si>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</si>
  <si>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</si>
  <si>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</si>
  <si>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</si>
  <si>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</si>
  <si>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</si>
  <si>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</si>
  <si>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</si>
  <si>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</si>
  <si>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</si>
  <si>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</si>
  <si>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</si>
  <si>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</si>
  <si>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</si>
  <si>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</si>
  <si>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</si>
  <si>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</si>
  <si>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</si>
  <si>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</si>
  <si>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</si>
  <si>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</si>
  <si>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</si>
  <si>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</si>
  <si>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</si>
  <si>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</si>
  <si>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</si>
  <si>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</si>
  <si>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</si>
  <si>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</si>
  <si>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</si>
  <si>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</si>
  <si>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</si>
  <si>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</si>
  <si>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</si>
  <si>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</si>
  <si>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</si>
  <si>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</si>
  <si>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</si>
  <si>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</si>
  <si>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</si>
  <si>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</si>
  <si>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</si>
  <si>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</si>
  <si>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</si>
  <si>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</si>
  <si>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</si>
  <si>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</si>
  <si>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</si>
  <si>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</si>
  <si>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</si>
  <si>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</si>
  <si>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</si>
  <si>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</si>
  <si>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</si>
  <si>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</si>
  <si>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</si>
  <si>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</si>
  <si>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</si>
  <si>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</si>
  <si>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</si>
  <si>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</si>
  <si>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</si>
  <si>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</si>
  <si>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</si>
  <si>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</si>
  <si>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</si>
  <si>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</si>
  <si>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</si>
  <si>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</si>
  <si>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</si>
  <si>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</si>
  <si>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</si>
  <si>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</si>
  <si>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</si>
  <si>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</si>
  <si>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</si>
  <si>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</si>
  <si>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</si>
  <si>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</si>
  <si>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</si>
  <si>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</si>
  <si>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</si>
  <si>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</si>
  <si>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</si>
  <si>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</si>
  <si>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</si>
  <si>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</si>
  <si>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</si>
  <si>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</si>
  <si>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</si>
  <si>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</si>
  <si>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3/13/20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</si>
  <si>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</si>
  <si>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</si>
  <si>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</si>
  <si>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</si>
  <si>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</si>
  <si>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</si>
  <si>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</si>
  <si>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</si>
  <si>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</si>
  <si>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</si>
  <si>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</si>
  <si>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</si>
  <si>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</si>
  <si>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</si>
  <si>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</si>
  <si>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</si>
  <si>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</si>
  <si>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</si>
  <si>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</si>
  <si>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</si>
  <si>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</si>
  <si>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</si>
  <si>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</si>
  <si>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</si>
  <si>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</si>
  <si>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</si>
  <si>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</si>
  <si>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</si>
  <si>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</si>
  <si>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</si>
  <si>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</si>
  <si>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</si>
  <si>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</si>
  <si>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</si>
  <si>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</si>
  <si>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</si>
  <si>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</si>
  <si>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</si>
  <si>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</si>
  <si>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</si>
  <si>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</si>
  <si>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</si>
  <si>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</si>
  <si>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</si>
  <si>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</si>
  <si>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</si>
  <si>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</si>
  <si>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</si>
  <si>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</si>
  <si>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</si>
  <si>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</si>
  <si>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</si>
  <si>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</si>
  <si>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</si>
  <si>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</si>
  <si>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</si>
  <si>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</si>
  <si>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</si>
  <si>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</si>
  <si>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</si>
  <si>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</si>
  <si>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</si>
  <si>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</si>
  <si>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</si>
  <si>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</si>
  <si>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</si>
  <si>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</si>
  <si>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</si>
  <si>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</si>
  <si>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</si>
  <si>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</si>
  <si>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</si>
  <si>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</si>
  <si>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</si>
  <si>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</si>
  <si>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</si>
  <si>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</si>
  <si>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</si>
  <si>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</si>
  <si>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</si>
  <si>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</si>
  <si>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</si>
  <si>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</si>
  <si>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</si>
  <si>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</si>
  <si>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</si>
  <si>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</si>
  <si>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</si>
  <si>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</si>
  <si>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</si>
  <si>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</si>
  <si>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</si>
  <si>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</si>
  <si>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</si>
  <si>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</si>
  <si>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</si>
  <si>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>3/14/20</t>
  </si>
  <si>
    <t xml:space="preserve">Jackson County, OR 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</si>
  <si>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</si>
  <si>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</si>
  <si>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</si>
  <si>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</si>
  <si>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</si>
  <si>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</si>
  <si>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</si>
  <si>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</si>
  <si>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</si>
  <si>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</si>
  <si>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</si>
  <si>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</si>
  <si>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</si>
  <si>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</si>
  <si>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</si>
  <si>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</si>
  <si>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</si>
  <si>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</si>
  <si>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</si>
  <si>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</si>
  <si>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</si>
  <si>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</si>
  <si>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</si>
  <si>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</si>
  <si>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</si>
  <si>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</si>
  <si>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</si>
  <si>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3/15/20</t>
  </si>
  <si>
    <t>occupied Palestinian territory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</si>
  <si>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</si>
  <si>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</si>
  <si>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</si>
  <si>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</si>
  <si>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</si>
  <si>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</si>
  <si>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</si>
  <si>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</si>
  <si>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</si>
  <si>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</si>
  <si>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Critically Ill</t>
  </si>
  <si>
    <t>Critical care estimate</t>
  </si>
  <si>
    <t>3/16/20</t>
  </si>
  <si>
    <t>Nova Scotia</t>
  </si>
  <si>
    <t>Benin</t>
  </si>
  <si>
    <t>Greenland</t>
  </si>
  <si>
    <t>Liberia</t>
  </si>
  <si>
    <t>Republic of the Congo</t>
  </si>
  <si>
    <t>Somalia</t>
  </si>
  <si>
    <t>Tanzania</t>
  </si>
  <si>
    <t>The Bahamas</t>
  </si>
  <si>
    <t>Virgin Islands</t>
  </si>
  <si>
    <t>Today</t>
  </si>
  <si>
    <t>Overload</t>
  </si>
  <si>
    <t>South Korea</t>
  </si>
  <si>
    <t>Per 100k</t>
  </si>
  <si>
    <t>Country</t>
  </si>
  <si>
    <t>Population</t>
  </si>
  <si>
    <t>Beds</t>
  </si>
  <si>
    <t>Czech Republic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</si>
  <si>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</si>
  <si>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</si>
  <si>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</si>
  <si>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</si>
  <si>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</si>
  <si>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</si>
  <si>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</si>
  <si>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</si>
  <si>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</si>
  <si>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</si>
  <si>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</si>
  <si>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</si>
  <si>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</si>
  <si>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</si>
  <si>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</si>
  <si>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</si>
  <si>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</si>
  <si>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</si>
  <si>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</si>
  <si>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</si>
  <si>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</si>
  <si>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</si>
  <si>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</si>
  <si>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</si>
  <si>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</si>
  <si>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</si>
  <si>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</si>
  <si>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</si>
  <si>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</si>
  <si>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</si>
  <si>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</si>
  <si>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</si>
  <si>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</si>
  <si>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</si>
  <si>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</si>
  <si>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</si>
  <si>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</si>
  <si>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</si>
  <si>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</si>
  <si>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</si>
  <si>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</si>
  <si>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</si>
  <si>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</si>
  <si>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</si>
  <si>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</si>
  <si>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</si>
  <si>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</si>
  <si>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</si>
  <si>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</si>
  <si>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</si>
  <si>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</si>
  <si>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</si>
  <si>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</si>
  <si>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</si>
  <si>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</si>
  <si>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</si>
  <si>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</si>
  <si>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</si>
  <si>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</si>
  <si>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</si>
  <si>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</si>
  <si>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</si>
  <si>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</si>
  <si>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</si>
  <si>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</si>
  <si>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</si>
  <si>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</si>
  <si>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</si>
  <si>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</si>
  <si>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</si>
  <si>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</si>
  <si>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</si>
  <si>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</si>
  <si>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</si>
  <si>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</si>
  <si>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</si>
  <si>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</si>
  <si>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</si>
  <si>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</si>
  <si>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</si>
  <si>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</si>
  <si>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</si>
  <si>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</si>
  <si>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</si>
  <si>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</si>
  <si>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</si>
  <si>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100th Day</t>
  </si>
  <si>
    <t>Days since 100</t>
  </si>
  <si>
    <t>Current daily rate of increase</t>
  </si>
  <si>
    <t>Current cases</t>
  </si>
  <si>
    <t>Critical care overload date</t>
  </si>
  <si>
    <t>Days remaining</t>
  </si>
  <si>
    <t>Current Cases</t>
  </si>
  <si>
    <t>Days until overload</t>
  </si>
  <si>
    <t>Daily increase rate</t>
  </si>
  <si>
    <t>Infected</t>
  </si>
  <si>
    <t>Active Cases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</si>
  <si>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</si>
  <si>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</si>
  <si>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</si>
  <si>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</si>
  <si>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</si>
  <si>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</si>
  <si>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</si>
  <si>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</si>
  <si>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</si>
  <si>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>Covid - 19 Projections</t>
  </si>
  <si>
    <t>Those requiring critical care (estimated)</t>
  </si>
  <si>
    <t>Currently in critical care (estimated)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</si>
</sst>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[$-F800]dddd\,\ mmmm\ dd\,\ 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7"/>
      <color rgb="FF24292E"/>
      <name val="Consolas"/>
      <family val="3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vertical="top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6" fillId="0" borderId="0" xfId="1" applyNumberFormat="1" applyFont="1" applyFill="1" applyBorder="1" applyAlignment="1">
      <alignment horizontal="left" vertical="center"/>
    </xf>
    <xf numFmtId="165" fontId="6" fillId="0" borderId="0" xfId="1" applyNumberFormat="1" applyFont="1" applyFill="1" applyBorder="1" applyAlignment="1">
      <alignment horizontal="center" vertical="center"/>
    </xf>
    <xf numFmtId="43" fontId="6" fillId="0" borderId="0" xfId="1" applyFont="1" applyFill="1" applyBorder="1" applyAlignment="1">
      <alignment horizontal="left" vertical="center"/>
    </xf>
    <xf numFmtId="0" fontId="4" fillId="0" borderId="0" xfId="0" applyFont="1" applyFill="1" applyBorder="1"/>
    <xf numFmtId="165" fontId="4" fillId="0" borderId="0" xfId="1" applyNumberFormat="1" applyFont="1" applyFill="1" applyBorder="1"/>
    <xf numFmtId="0" fontId="5" fillId="0" borderId="0" xfId="1" applyNumberFormat="1" applyFont="1" applyFill="1" applyBorder="1" applyAlignment="1">
      <alignment horizontal="left"/>
    </xf>
    <xf numFmtId="43" fontId="4" fillId="0" borderId="0" xfId="1" applyFont="1" applyFill="1" applyBorder="1"/>
    <xf numFmtId="164" fontId="4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8" fillId="0" borderId="0" xfId="0" applyNumberFormat="1" applyFont="1" applyFill="1"/>
    <xf numFmtId="0" fontId="8" fillId="0" borderId="5" xfId="0" applyFont="1" applyFill="1" applyBorder="1" applyAlignment="1">
      <alignment vertical="top"/>
    </xf>
    <xf numFmtId="3" fontId="8" fillId="0" borderId="3" xfId="0" applyNumberFormat="1" applyFont="1" applyFill="1" applyBorder="1" applyAlignment="1">
      <alignment vertical="top"/>
    </xf>
    <xf numFmtId="10" fontId="8" fillId="0" borderId="3" xfId="0" applyNumberFormat="1" applyFont="1" applyFill="1" applyBorder="1" applyAlignment="1">
      <alignment vertical="top" wrapText="1"/>
    </xf>
    <xf numFmtId="3" fontId="8" fillId="0" borderId="3" xfId="0" applyNumberFormat="1" applyFont="1" applyFill="1" applyBorder="1" applyAlignment="1">
      <alignment vertical="top" wrapText="1"/>
    </xf>
    <xf numFmtId="0" fontId="8" fillId="0" borderId="3" xfId="0" applyFont="1" applyFill="1" applyBorder="1" applyAlignment="1">
      <alignment vertical="top" wrapText="1"/>
    </xf>
    <xf numFmtId="9" fontId="8" fillId="0" borderId="3" xfId="0" applyNumberFormat="1" applyFont="1" applyFill="1" applyBorder="1" applyAlignment="1">
      <alignment vertical="top" wrapText="1"/>
    </xf>
    <xf numFmtId="3" fontId="8" fillId="0" borderId="4" xfId="0" applyNumberFormat="1" applyFont="1" applyFill="1" applyBorder="1" applyAlignment="1">
      <alignment vertical="top" wrapText="1"/>
    </xf>
    <xf numFmtId="0" fontId="8" fillId="0" borderId="4" xfId="0" applyFont="1" applyFill="1" applyBorder="1" applyAlignment="1">
      <alignment vertical="top"/>
    </xf>
    <xf numFmtId="0" fontId="8" fillId="0" borderId="6" xfId="0" applyFont="1" applyFill="1" applyBorder="1" applyAlignment="1">
      <alignment vertical="top"/>
    </xf>
    <xf numFmtId="10" fontId="8" fillId="0" borderId="6" xfId="0" applyNumberFormat="1" applyFont="1" applyFill="1" applyBorder="1" applyAlignment="1">
      <alignment vertical="top" wrapText="1"/>
    </xf>
    <xf numFmtId="0" fontId="8" fillId="0" borderId="6" xfId="0" applyFont="1" applyFill="1" applyBorder="1" applyAlignment="1">
      <alignment vertical="top" wrapText="1"/>
    </xf>
    <xf numFmtId="3" fontId="8" fillId="0" borderId="6" xfId="0" applyNumberFormat="1" applyFont="1" applyFill="1" applyBorder="1" applyAlignment="1">
      <alignment vertical="top" wrapText="1"/>
    </xf>
    <xf numFmtId="0" fontId="10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43" fontId="8" fillId="0" borderId="0" xfId="1" applyFont="1" applyFill="1" applyBorder="1" applyAlignment="1">
      <alignment vertical="top"/>
    </xf>
    <xf numFmtId="0" fontId="0" fillId="0" borderId="0" xfId="0" applyNumberFormat="1" applyFont="1" applyFill="1" applyBorder="1"/>
    <xf numFmtId="165" fontId="1" fillId="0" borderId="0" xfId="1" applyNumberFormat="1" applyFont="1" applyFill="1" applyBorder="1"/>
    <xf numFmtId="0" fontId="0" fillId="0" borderId="10" xfId="0" applyNumberFormat="1" applyFont="1" applyFill="1" applyBorder="1" applyAlignment="1"/>
    <xf numFmtId="165" fontId="0" fillId="0" borderId="11" xfId="0" applyNumberFormat="1" applyFont="1" applyFill="1" applyBorder="1"/>
    <xf numFmtId="0" fontId="0" fillId="0" borderId="10" xfId="0" applyFont="1" applyFill="1" applyBorder="1"/>
    <xf numFmtId="0" fontId="0" fillId="0" borderId="12" xfId="0" applyFont="1" applyFill="1" applyBorder="1"/>
    <xf numFmtId="165" fontId="0" fillId="0" borderId="13" xfId="1" applyNumberFormat="1" applyFont="1" applyFill="1" applyBorder="1"/>
    <xf numFmtId="43" fontId="8" fillId="0" borderId="13" xfId="1" applyFont="1" applyFill="1" applyBorder="1" applyAlignment="1">
      <alignment vertical="top"/>
    </xf>
    <xf numFmtId="0" fontId="0" fillId="0" borderId="13" xfId="0" applyFont="1" applyFill="1" applyBorder="1"/>
    <xf numFmtId="165" fontId="0" fillId="0" borderId="14" xfId="0" applyNumberFormat="1" applyFont="1" applyFill="1" applyBorder="1"/>
    <xf numFmtId="0" fontId="7" fillId="4" borderId="16" xfId="0" applyFont="1" applyFill="1" applyBorder="1"/>
    <xf numFmtId="0" fontId="7" fillId="4" borderId="17" xfId="0" applyFont="1" applyFill="1" applyBorder="1"/>
    <xf numFmtId="165" fontId="0" fillId="0" borderId="11" xfId="1" applyNumberFormat="1" applyFont="1" applyFill="1" applyBorder="1"/>
    <xf numFmtId="0" fontId="7" fillId="4" borderId="16" xfId="0" applyFont="1" applyFill="1" applyBorder="1" applyAlignment="1">
      <alignment wrapText="1"/>
    </xf>
    <xf numFmtId="0" fontId="7" fillId="4" borderId="17" xfId="0" applyFont="1" applyFill="1" applyBorder="1" applyAlignment="1">
      <alignment wrapText="1"/>
    </xf>
    <xf numFmtId="0" fontId="7" fillId="4" borderId="15" xfId="0" applyFont="1" applyFill="1" applyBorder="1" applyAlignment="1">
      <alignment vertical="center" wrapText="1"/>
    </xf>
    <xf numFmtId="9" fontId="0" fillId="0" borderId="0" xfId="2" applyFont="1" applyFill="1"/>
    <xf numFmtId="0" fontId="10" fillId="0" borderId="0" xfId="0" applyFont="1" applyAlignment="1">
      <alignment horizontal="right"/>
    </xf>
    <xf numFmtId="0" fontId="10" fillId="6" borderId="7" xfId="0" applyFont="1" applyFill="1" applyBorder="1"/>
    <xf numFmtId="0" fontId="10" fillId="6" borderId="8" xfId="0" applyFont="1" applyFill="1" applyBorder="1"/>
    <xf numFmtId="0" fontId="10" fillId="6" borderId="9" xfId="0" applyFont="1" applyFill="1" applyBorder="1"/>
    <xf numFmtId="0" fontId="10" fillId="6" borderId="10" xfId="0" applyFont="1" applyFill="1" applyBorder="1"/>
    <xf numFmtId="0" fontId="10" fillId="6" borderId="0" xfId="0" applyFont="1" applyFill="1" applyBorder="1"/>
    <xf numFmtId="0" fontId="10" fillId="6" borderId="11" xfId="0" applyFont="1" applyFill="1" applyBorder="1"/>
    <xf numFmtId="0" fontId="10" fillId="6" borderId="12" xfId="0" applyFont="1" applyFill="1" applyBorder="1"/>
    <xf numFmtId="0" fontId="10" fillId="6" borderId="13" xfId="0" applyFont="1" applyFill="1" applyBorder="1"/>
    <xf numFmtId="0" fontId="10" fillId="6" borderId="14" xfId="0" applyFont="1" applyFill="1" applyBorder="1"/>
    <xf numFmtId="0" fontId="9" fillId="0" borderId="0" xfId="0" applyFont="1" applyFill="1" applyBorder="1"/>
    <xf numFmtId="0" fontId="0" fillId="0" borderId="0" xfId="0" applyFont="1" applyFill="1" applyBorder="1"/>
    <xf numFmtId="0" fontId="11" fillId="4" borderId="0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left" vertical="center"/>
    </xf>
    <xf numFmtId="9" fontId="10" fillId="5" borderId="18" xfId="2" applyFont="1" applyFill="1" applyBorder="1" applyAlignment="1">
      <alignment horizontal="right" vertical="center"/>
    </xf>
    <xf numFmtId="165" fontId="10" fillId="5" borderId="18" xfId="1" applyNumberFormat="1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vertical="center"/>
    </xf>
    <xf numFmtId="165" fontId="10" fillId="5" borderId="18" xfId="1" applyNumberFormat="1" applyFont="1" applyFill="1" applyBorder="1" applyAlignment="1">
      <alignment vertical="center"/>
    </xf>
    <xf numFmtId="166" fontId="10" fillId="5" borderId="18" xfId="0" applyNumberFormat="1" applyFont="1" applyFill="1" applyBorder="1" applyAlignment="1">
      <alignment vertical="center"/>
    </xf>
    <xf numFmtId="0" fontId="9" fillId="4" borderId="18" xfId="0" applyFont="1" applyFill="1" applyBorder="1" applyAlignment="1">
      <alignment vertical="center" wrapText="1"/>
    </xf>
    <xf numFmtId="10" fontId="10" fillId="5" borderId="18" xfId="0" applyNumberFormat="1" applyFont="1" applyFill="1" applyBorder="1" applyAlignment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'Projections Data'!$B$27</c:f>
          <c:strCache>
            <c:ptCount val="1"/>
            <c:pt idx="0">
              <c:v>Germany Covid-19 projections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314057156582"/>
          <c:y val="8.9787022345645368E-2"/>
          <c:w val="0.8544465529066485"/>
          <c:h val="0.72674349263305127"/>
        </c:manualLayout>
      </c:layout>
      <c:lineChart>
        <c:grouping val="standard"/>
        <c:varyColors val="0"/>
        <c:ser>
          <c:idx val="5"/>
          <c:order val="0"/>
          <c:tx>
            <c:strRef>
              <c:f>'Projections Data'!$F$9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Data'!$G$10:$KU$10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1778</c:v>
                </c:pt>
                <c:pt idx="11">
                  <c:v>1919</c:v>
                </c:pt>
                <c:pt idx="12">
                  <c:v>3479</c:v>
                </c:pt>
                <c:pt idx="13">
                  <c:v>4323</c:v>
                </c:pt>
                <c:pt idx="14">
                  <c:v>5313</c:v>
                </c:pt>
                <c:pt idx="15">
                  <c:v>6602</c:v>
                </c:pt>
                <c:pt idx="16">
                  <c:v>7200.2000000000007</c:v>
                </c:pt>
                <c:pt idx="17">
                  <c:v>7759.1200000000008</c:v>
                </c:pt>
                <c:pt idx="18">
                  <c:v>8503.0320000000011</c:v>
                </c:pt>
                <c:pt idx="19">
                  <c:v>9189.9352000000017</c:v>
                </c:pt>
                <c:pt idx="20">
                  <c:v>9803.6287200000024</c:v>
                </c:pt>
                <c:pt idx="21">
                  <c:v>10804.791592000003</c:v>
                </c:pt>
                <c:pt idx="22">
                  <c:v>10496.070751200004</c:v>
                </c:pt>
                <c:pt idx="23">
                  <c:v>11003.177826320007</c:v>
                </c:pt>
                <c:pt idx="24">
                  <c:v>11351.995608952009</c:v>
                </c:pt>
                <c:pt idx="25">
                  <c:v>11589.695169847211</c:v>
                </c:pt>
                <c:pt idx="26">
                  <c:v>12748.664686831933</c:v>
                </c:pt>
                <c:pt idx="27">
                  <c:v>14023.531155515129</c:v>
                </c:pt>
                <c:pt idx="28">
                  <c:v>15425.884271066645</c:v>
                </c:pt>
                <c:pt idx="29">
                  <c:v>16968.472698173311</c:v>
                </c:pt>
                <c:pt idx="30">
                  <c:v>18665.319967990647</c:v>
                </c:pt>
                <c:pt idx="31">
                  <c:v>20531.851964789712</c:v>
                </c:pt>
                <c:pt idx="32">
                  <c:v>22585.037161268683</c:v>
                </c:pt>
                <c:pt idx="33">
                  <c:v>24843.540877395553</c:v>
                </c:pt>
                <c:pt idx="34">
                  <c:v>27327.89496513511</c:v>
                </c:pt>
                <c:pt idx="35">
                  <c:v>30060.684461648627</c:v>
                </c:pt>
                <c:pt idx="36">
                  <c:v>33066.75290781349</c:v>
                </c:pt>
                <c:pt idx="37">
                  <c:v>36373.42819859484</c:v>
                </c:pt>
                <c:pt idx="38">
                  <c:v>40010.771018454325</c:v>
                </c:pt>
                <c:pt idx="39">
                  <c:v>44011.848120299765</c:v>
                </c:pt>
                <c:pt idx="40">
                  <c:v>48413.032932329748</c:v>
                </c:pt>
                <c:pt idx="41">
                  <c:v>53254.336225562729</c:v>
                </c:pt>
                <c:pt idx="42">
                  <c:v>58579.769848119009</c:v>
                </c:pt>
                <c:pt idx="43">
                  <c:v>64437.746832930912</c:v>
                </c:pt>
                <c:pt idx="44">
                  <c:v>70881.52151622402</c:v>
                </c:pt>
                <c:pt idx="45">
                  <c:v>77969.673667846422</c:v>
                </c:pt>
                <c:pt idx="46">
                  <c:v>85766.641034631059</c:v>
                </c:pt>
                <c:pt idx="47">
                  <c:v>94343.305138094176</c:v>
                </c:pt>
                <c:pt idx="48">
                  <c:v>103777.63565190361</c:v>
                </c:pt>
                <c:pt idx="49">
                  <c:v>114155.39921709399</c:v>
                </c:pt>
                <c:pt idx="50">
                  <c:v>125570.93913880341</c:v>
                </c:pt>
                <c:pt idx="51">
                  <c:v>138128.03305268375</c:v>
                </c:pt>
                <c:pt idx="52">
                  <c:v>151940.83635795215</c:v>
                </c:pt>
                <c:pt idx="53">
                  <c:v>167134.91999374737</c:v>
                </c:pt>
                <c:pt idx="54">
                  <c:v>183848.41199312214</c:v>
                </c:pt>
                <c:pt idx="55">
                  <c:v>202233.25319243435</c:v>
                </c:pt>
                <c:pt idx="56">
                  <c:v>222456.5785116778</c:v>
                </c:pt>
                <c:pt idx="57">
                  <c:v>244702.23636284561</c:v>
                </c:pt>
                <c:pt idx="58">
                  <c:v>269172.45999913022</c:v>
                </c:pt>
                <c:pt idx="59">
                  <c:v>296089.70599904325</c:v>
                </c:pt>
                <c:pt idx="60">
                  <c:v>325698.67659894755</c:v>
                </c:pt>
                <c:pt idx="61">
                  <c:v>358268.5442588423</c:v>
                </c:pt>
                <c:pt idx="62">
                  <c:v>394095.39868472656</c:v>
                </c:pt>
                <c:pt idx="63">
                  <c:v>433504.93855319923</c:v>
                </c:pt>
                <c:pt idx="64">
                  <c:v>476855.43240851921</c:v>
                </c:pt>
                <c:pt idx="65">
                  <c:v>524540.97564937116</c:v>
                </c:pt>
                <c:pt idx="66">
                  <c:v>576995.07321430836</c:v>
                </c:pt>
                <c:pt idx="67">
                  <c:v>634694.58053573919</c:v>
                </c:pt>
                <c:pt idx="68">
                  <c:v>698164.03858931304</c:v>
                </c:pt>
                <c:pt idx="69">
                  <c:v>767980.44244824431</c:v>
                </c:pt>
                <c:pt idx="70">
                  <c:v>844778.48669306876</c:v>
                </c:pt>
                <c:pt idx="71">
                  <c:v>929256.33536237571</c:v>
                </c:pt>
                <c:pt idx="72">
                  <c:v>1022181.9688986135</c:v>
                </c:pt>
                <c:pt idx="73">
                  <c:v>1124400.165788475</c:v>
                </c:pt>
                <c:pt idx="74">
                  <c:v>1236840.1823673225</c:v>
                </c:pt>
                <c:pt idx="75">
                  <c:v>1360524.2006040551</c:v>
                </c:pt>
                <c:pt idx="76">
                  <c:v>1496576.6206644606</c:v>
                </c:pt>
                <c:pt idx="77">
                  <c:v>1646234.2827309067</c:v>
                </c:pt>
                <c:pt idx="78">
                  <c:v>1810857.7110039976</c:v>
                </c:pt>
                <c:pt idx="79">
                  <c:v>1991943.4821043976</c:v>
                </c:pt>
                <c:pt idx="80">
                  <c:v>2191137.8303148379</c:v>
                </c:pt>
                <c:pt idx="81">
                  <c:v>2410251.6133463215</c:v>
                </c:pt>
                <c:pt idx="82">
                  <c:v>2651276.7746809539</c:v>
                </c:pt>
                <c:pt idx="83">
                  <c:v>2916404.4521490494</c:v>
                </c:pt>
                <c:pt idx="84">
                  <c:v>3208044.8973639552</c:v>
                </c:pt>
                <c:pt idx="85">
                  <c:v>3528849.3871003506</c:v>
                </c:pt>
                <c:pt idx="86">
                  <c:v>3881734.3258103859</c:v>
                </c:pt>
                <c:pt idx="87">
                  <c:v>4269907.758391425</c:v>
                </c:pt>
                <c:pt idx="88">
                  <c:v>4696898.5342305675</c:v>
                </c:pt>
                <c:pt idx="89">
                  <c:v>5166588.3876536246</c:v>
                </c:pt>
                <c:pt idx="90">
                  <c:v>5683247.2264189878</c:v>
                </c:pt>
                <c:pt idx="91">
                  <c:v>6251571.9490608871</c:v>
                </c:pt>
                <c:pt idx="92">
                  <c:v>6876729.1439669766</c:v>
                </c:pt>
                <c:pt idx="93">
                  <c:v>7564402.0583636751</c:v>
                </c:pt>
                <c:pt idx="94">
                  <c:v>8320842.2642000429</c:v>
                </c:pt>
                <c:pt idx="95">
                  <c:v>9152926.4906200469</c:v>
                </c:pt>
                <c:pt idx="96">
                  <c:v>10068219.139682055</c:v>
                </c:pt>
                <c:pt idx="97">
                  <c:v>11075041.05365026</c:v>
                </c:pt>
                <c:pt idx="98">
                  <c:v>12182545.159015287</c:v>
                </c:pt>
                <c:pt idx="99">
                  <c:v>13400799.674916815</c:v>
                </c:pt>
                <c:pt idx="100">
                  <c:v>14740879.642408499</c:v>
                </c:pt>
                <c:pt idx="101">
                  <c:v>16214967.60664935</c:v>
                </c:pt>
                <c:pt idx="102">
                  <c:v>17836464.367314287</c:v>
                </c:pt>
                <c:pt idx="103">
                  <c:v>19620110.804045714</c:v>
                </c:pt>
                <c:pt idx="104">
                  <c:v>19971789.199576728</c:v>
                </c:pt>
                <c:pt idx="105">
                  <c:v>18617610.4395344</c:v>
                </c:pt>
                <c:pt idx="106">
                  <c:v>17128013.803487837</c:v>
                </c:pt>
                <c:pt idx="107">
                  <c:v>15489457.503836621</c:v>
                </c:pt>
                <c:pt idx="108">
                  <c:v>13687045.574220281</c:v>
                </c:pt>
                <c:pt idx="109">
                  <c:v>11704392.451642308</c:v>
                </c:pt>
                <c:pt idx="110">
                  <c:v>9523474.0168065354</c:v>
                </c:pt>
                <c:pt idx="111">
                  <c:v>7124463.7384871878</c:v>
                </c:pt>
                <c:pt idx="112">
                  <c:v>4485552.4323359057</c:v>
                </c:pt>
                <c:pt idx="113">
                  <c:v>1582749.9955694936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'Projections Data'!$F$11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Data'!$G$12:$KU$12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1778</c:v>
                </c:pt>
                <c:pt idx="11">
                  <c:v>1919</c:v>
                </c:pt>
                <c:pt idx="12">
                  <c:v>3479</c:v>
                </c:pt>
                <c:pt idx="13">
                  <c:v>4323</c:v>
                </c:pt>
                <c:pt idx="14">
                  <c:v>5313</c:v>
                </c:pt>
                <c:pt idx="15">
                  <c:v>6602</c:v>
                </c:pt>
                <c:pt idx="16">
                  <c:v>8291</c:v>
                </c:pt>
                <c:pt idx="17">
                  <c:v>10322.5</c:v>
                </c:pt>
                <c:pt idx="18">
                  <c:v>13027.125</c:v>
                </c:pt>
                <c:pt idx="19">
                  <c:v>16296.90625</c:v>
                </c:pt>
                <c:pt idx="20">
                  <c:v>20284.3828125</c:v>
                </c:pt>
                <c:pt idx="21">
                  <c:v>25662.478515625</c:v>
                </c:pt>
                <c:pt idx="22">
                  <c:v>31000.59814453125</c:v>
                </c:pt>
                <c:pt idx="23">
                  <c:v>38759.497680664063</c:v>
                </c:pt>
                <c:pt idx="24">
                  <c:v>48385.622100830078</c:v>
                </c:pt>
                <c:pt idx="25">
                  <c:v>60453.777626037598</c:v>
                </c:pt>
                <c:pt idx="26">
                  <c:v>75567.222032546997</c:v>
                </c:pt>
                <c:pt idx="27">
                  <c:v>94459.027540683746</c:v>
                </c:pt>
                <c:pt idx="28">
                  <c:v>118073.78442585468</c:v>
                </c:pt>
                <c:pt idx="29">
                  <c:v>147592.23053231835</c:v>
                </c:pt>
                <c:pt idx="30">
                  <c:v>184490.28816539794</c:v>
                </c:pt>
                <c:pt idx="31">
                  <c:v>230612.86020674743</c:v>
                </c:pt>
                <c:pt idx="32">
                  <c:v>288266.07525843428</c:v>
                </c:pt>
                <c:pt idx="33">
                  <c:v>360332.59407304286</c:v>
                </c:pt>
                <c:pt idx="34">
                  <c:v>450415.74259130354</c:v>
                </c:pt>
                <c:pt idx="35">
                  <c:v>563019.67823912948</c:v>
                </c:pt>
                <c:pt idx="36">
                  <c:v>703774.59779891185</c:v>
                </c:pt>
                <c:pt idx="37">
                  <c:v>879718.24724863982</c:v>
                </c:pt>
                <c:pt idx="38">
                  <c:v>1099647.8090607999</c:v>
                </c:pt>
                <c:pt idx="39">
                  <c:v>1374559.7613259999</c:v>
                </c:pt>
                <c:pt idx="40">
                  <c:v>1718199.7016574999</c:v>
                </c:pt>
                <c:pt idx="41">
                  <c:v>2147749.6270718747</c:v>
                </c:pt>
                <c:pt idx="42">
                  <c:v>2684687.0338398432</c:v>
                </c:pt>
                <c:pt idx="43">
                  <c:v>3355858.7922998043</c:v>
                </c:pt>
                <c:pt idx="44">
                  <c:v>4194823.4903747551</c:v>
                </c:pt>
                <c:pt idx="45">
                  <c:v>5243529.3629684439</c:v>
                </c:pt>
                <c:pt idx="46">
                  <c:v>6554411.7037105551</c:v>
                </c:pt>
                <c:pt idx="47">
                  <c:v>8193014.6296381932</c:v>
                </c:pt>
                <c:pt idx="48">
                  <c:v>10241268.28704774</c:v>
                </c:pt>
                <c:pt idx="49">
                  <c:v>12801585.358809676</c:v>
                </c:pt>
                <c:pt idx="50">
                  <c:v>16001981.698512096</c:v>
                </c:pt>
                <c:pt idx="51">
                  <c:v>20002477.123140123</c:v>
                </c:pt>
                <c:pt idx="52">
                  <c:v>25003096.403925151</c:v>
                </c:pt>
                <c:pt idx="53">
                  <c:v>29754040.915946491</c:v>
                </c:pt>
                <c:pt idx="54">
                  <c:v>28814156.944933113</c:v>
                </c:pt>
                <c:pt idx="55">
                  <c:v>27639301.981166389</c:v>
                </c:pt>
                <c:pt idx="56">
                  <c:v>26170733.276457988</c:v>
                </c:pt>
                <c:pt idx="57">
                  <c:v>24335022.395572484</c:v>
                </c:pt>
                <c:pt idx="58">
                  <c:v>22040383.794465605</c:v>
                </c:pt>
                <c:pt idx="59">
                  <c:v>19172085.543082006</c:v>
                </c:pt>
                <c:pt idx="60">
                  <c:v>15586712.728852507</c:v>
                </c:pt>
                <c:pt idx="61">
                  <c:v>11104996.711065631</c:v>
                </c:pt>
                <c:pt idx="62">
                  <c:v>5502851.6888320409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'Projections Data'!$F$15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Data'!$G$16:$KU$16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1778</c:v>
                </c:pt>
                <c:pt idx="11">
                  <c:v>1919</c:v>
                </c:pt>
                <c:pt idx="12">
                  <c:v>3479</c:v>
                </c:pt>
                <c:pt idx="13">
                  <c:v>4323</c:v>
                </c:pt>
                <c:pt idx="14">
                  <c:v>5313</c:v>
                </c:pt>
                <c:pt idx="15">
                  <c:v>6602</c:v>
                </c:pt>
                <c:pt idx="16">
                  <c:v>9381.7999999999993</c:v>
                </c:pt>
                <c:pt idx="17">
                  <c:v>13213.119999999999</c:v>
                </c:pt>
                <c:pt idx="18">
                  <c:v>18778.367999999999</c:v>
                </c:pt>
                <c:pt idx="19">
                  <c:v>26479.115199999997</c:v>
                </c:pt>
                <c:pt idx="20">
                  <c:v>37202.561279999994</c:v>
                </c:pt>
                <c:pt idx="21">
                  <c:v>52676.785791999988</c:v>
                </c:pt>
                <c:pt idx="22">
                  <c:v>72981.700108799982</c:v>
                </c:pt>
                <c:pt idx="23">
                  <c:v>102734.38015231997</c:v>
                </c:pt>
                <c:pt idx="24">
                  <c:v>144452.13221324794</c:v>
                </c:pt>
                <c:pt idx="25">
                  <c:v>203073.9850985471</c:v>
                </c:pt>
                <c:pt idx="26">
                  <c:v>284303.57913796592</c:v>
                </c:pt>
                <c:pt idx="27">
                  <c:v>398025.01079315227</c:v>
                </c:pt>
                <c:pt idx="28">
                  <c:v>557235.01511041308</c:v>
                </c:pt>
                <c:pt idx="29">
                  <c:v>780129.02115457831</c:v>
                </c:pt>
                <c:pt idx="30">
                  <c:v>1092180.6296164095</c:v>
                </c:pt>
                <c:pt idx="31">
                  <c:v>1529052.8814629733</c:v>
                </c:pt>
                <c:pt idx="32">
                  <c:v>2140674.0340481624</c:v>
                </c:pt>
                <c:pt idx="33">
                  <c:v>2996943.6476674271</c:v>
                </c:pt>
                <c:pt idx="34">
                  <c:v>4195721.1067343978</c:v>
                </c:pt>
                <c:pt idx="35">
                  <c:v>5874009.5494281566</c:v>
                </c:pt>
                <c:pt idx="36">
                  <c:v>8223613.3691994185</c:v>
                </c:pt>
                <c:pt idx="37">
                  <c:v>11513058.716879185</c:v>
                </c:pt>
                <c:pt idx="38">
                  <c:v>16118282.203630859</c:v>
                </c:pt>
                <c:pt idx="39">
                  <c:v>22565595.085083202</c:v>
                </c:pt>
                <c:pt idx="40">
                  <c:v>31591833.119116478</c:v>
                </c:pt>
                <c:pt idx="41">
                  <c:v>31929769.132745028</c:v>
                </c:pt>
                <c:pt idx="42">
                  <c:v>31296246.065843038</c:v>
                </c:pt>
                <c:pt idx="43">
                  <c:v>30409313.772180252</c:v>
                </c:pt>
                <c:pt idx="44">
                  <c:v>29167608.561052356</c:v>
                </c:pt>
                <c:pt idx="45">
                  <c:v>27429221.265473299</c:v>
                </c:pt>
                <c:pt idx="46">
                  <c:v>24995479.051662616</c:v>
                </c:pt>
                <c:pt idx="47">
                  <c:v>21588239.952327661</c:v>
                </c:pt>
                <c:pt idx="48">
                  <c:v>16818105.213258728</c:v>
                </c:pt>
                <c:pt idx="49">
                  <c:v>10139916.578562222</c:v>
                </c:pt>
                <c:pt idx="50">
                  <c:v>790452.48998711258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'Projections Data'!$F$6</c:f>
              <c:strCache>
                <c:ptCount val="1"/>
                <c:pt idx="0">
                  <c:v>Current Avg (31%)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Data'!$G$7:$KU$7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1778</c:v>
                </c:pt>
                <c:pt idx="11">
                  <c:v>1919</c:v>
                </c:pt>
                <c:pt idx="12">
                  <c:v>3479</c:v>
                </c:pt>
                <c:pt idx="13">
                  <c:v>4323</c:v>
                </c:pt>
                <c:pt idx="14">
                  <c:v>5313</c:v>
                </c:pt>
                <c:pt idx="15">
                  <c:v>6602</c:v>
                </c:pt>
                <c:pt idx="16">
                  <c:v>8704.1803250873654</c:v>
                </c:pt>
                <c:pt idx="17">
                  <c:v>11378.926882718319</c:v>
                </c:pt>
                <c:pt idx="18">
                  <c:v>15053.276899140168</c:v>
                </c:pt>
                <c:pt idx="19">
                  <c:v>19751.710797346499</c:v>
                </c:pt>
                <c:pt idx="20">
                  <c:v>25807.924528301875</c:v>
                </c:pt>
                <c:pt idx="21">
                  <c:v>34141.668408823534</c:v>
                </c:pt>
                <c:pt idx="22">
                  <c:v>43657.513779416979</c:v>
                </c:pt>
                <c:pt idx="23">
                  <c:v>57269.979879741761</c:v>
                </c:pt>
                <c:pt idx="24">
                  <c:v>75038.199642716834</c:v>
                </c:pt>
                <c:pt idx="25">
                  <c:v>98362.278390886378</c:v>
                </c:pt>
                <c:pt idx="26">
                  <c:v>128541.59361042871</c:v>
                </c:pt>
                <c:pt idx="27">
                  <c:v>167980.46525770106</c:v>
                </c:pt>
                <c:pt idx="28">
                  <c:v>219519.89169912081</c:v>
                </c:pt>
                <c:pt idx="29">
                  <c:v>286872.54067112133</c:v>
                </c:pt>
                <c:pt idx="30">
                  <c:v>374890.19311243476</c:v>
                </c:pt>
                <c:pt idx="31">
                  <c:v>489913.24357182253</c:v>
                </c:pt>
                <c:pt idx="32">
                  <c:v>640227.43362369062</c:v>
                </c:pt>
                <c:pt idx="33">
                  <c:v>836660.71930608293</c:v>
                </c:pt>
                <c:pt idx="34">
                  <c:v>1093363.2682182358</c:v>
                </c:pt>
                <c:pt idx="35">
                  <c:v>1428826.7737492793</c:v>
                </c:pt>
                <c:pt idx="36">
                  <c:v>1867216.5132360025</c:v>
                </c:pt>
                <c:pt idx="37">
                  <c:v>2440112.1055091606</c:v>
                </c:pt>
                <c:pt idx="38">
                  <c:v>3188782.3641477115</c:v>
                </c:pt>
                <c:pt idx="39">
                  <c:v>4167158.1166053512</c:v>
                </c:pt>
                <c:pt idx="40">
                  <c:v>5445717.1376859322</c:v>
                </c:pt>
                <c:pt idx="41">
                  <c:v>7116561.05044665</c:v>
                </c:pt>
                <c:pt idx="42">
                  <c:v>9300049.9115632139</c:v>
                </c:pt>
                <c:pt idx="43">
                  <c:v>12153472.406751655</c:v>
                </c:pt>
                <c:pt idx="44">
                  <c:v>15882376.2180053</c:v>
                </c:pt>
                <c:pt idx="45">
                  <c:v>20755374.751180343</c:v>
                </c:pt>
                <c:pt idx="46">
                  <c:v>27123496.833777793</c:v>
                </c:pt>
                <c:pt idx="47">
                  <c:v>30893065.302350421</c:v>
                </c:pt>
                <c:pt idx="48">
                  <c:v>30089045.267254028</c:v>
                </c:pt>
                <c:pt idx="49">
                  <c:v>29038337.431926183</c:v>
                </c:pt>
                <c:pt idx="50">
                  <c:v>27665253.544673331</c:v>
                </c:pt>
                <c:pt idx="51">
                  <c:v>25870882.837572705</c:v>
                </c:pt>
                <c:pt idx="52">
                  <c:v>23525966.94103368</c:v>
                </c:pt>
                <c:pt idx="53">
                  <c:v>20461588.694062524</c:v>
                </c:pt>
                <c:pt idx="54">
                  <c:v>16457004.114133749</c:v>
                </c:pt>
                <c:pt idx="55">
                  <c:v>11223740.996679492</c:v>
                </c:pt>
                <c:pt idx="56">
                  <c:v>4384818.6790506877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0"/>
          <c:order val="4"/>
          <c:tx>
            <c:strRef>
              <c:f>'Projections Data'!$F$5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Data'!$G$8:$KU$8</c:f>
              <c:numCache>
                <c:formatCode>_-* #,##0_-;\-* #,##0_-;_-* "-"??_-;_-@_-</c:formatCode>
                <c:ptCount val="301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1778</c:v>
                </c:pt>
                <c:pt idx="11">
                  <c:v>1919</c:v>
                </c:pt>
                <c:pt idx="12">
                  <c:v>3479</c:v>
                </c:pt>
                <c:pt idx="13">
                  <c:v>4323</c:v>
                </c:pt>
                <c:pt idx="14">
                  <c:v>5313</c:v>
                </c:pt>
                <c:pt idx="15">
                  <c:v>6602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5-4CE9-A73F-2C5A11769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600224"/>
        <c:axId val="1363512368"/>
      </c:lineChart>
      <c:dateAx>
        <c:axId val="1216600224"/>
        <c:scaling>
          <c:orientation val="minMax"/>
          <c:max val="4391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Since 100th infection</a:t>
                </a:r>
              </a:p>
            </c:rich>
          </c:tx>
          <c:layout>
            <c:manualLayout>
              <c:xMode val="edge"/>
              <c:yMode val="edge"/>
              <c:x val="0.39444820090009519"/>
              <c:y val="0.933471660637015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36219.66840882353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178826677136275"/>
          <c:y val="9.6581071241450003E-2"/>
          <c:w val="0.28726682710367574"/>
          <c:h val="0.397340482553819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'Projections Data'!$B$28</c:f>
          <c:strCache>
            <c:ptCount val="1"/>
            <c:pt idx="0">
              <c:v>Germany critically ill based on 4.7% of infected requiring critical care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15975842354885"/>
          <c:y val="9.5081762475412279E-2"/>
          <c:w val="0.8552333486015079"/>
          <c:h val="0.72491520778573504"/>
        </c:manualLayout>
      </c:layout>
      <c:lineChart>
        <c:grouping val="standard"/>
        <c:varyColors val="0"/>
        <c:ser>
          <c:idx val="0"/>
          <c:order val="0"/>
          <c:tx>
            <c:strRef>
              <c:f>'Projections Data'!$F$17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Data'!$G$17:$IN$17</c:f>
              <c:numCache>
                <c:formatCode>_-* #,##0_-;\-* #,##0_-;_-* "-"??_-;_-@_-</c:formatCode>
                <c:ptCount val="242"/>
                <c:pt idx="0">
                  <c:v>24464.911064</c:v>
                </c:pt>
                <c:pt idx="1">
                  <c:v>24464.911064</c:v>
                </c:pt>
                <c:pt idx="2">
                  <c:v>24464.911064</c:v>
                </c:pt>
                <c:pt idx="3">
                  <c:v>24464.911064</c:v>
                </c:pt>
                <c:pt idx="4">
                  <c:v>24464.911064</c:v>
                </c:pt>
                <c:pt idx="5">
                  <c:v>24464.911064</c:v>
                </c:pt>
                <c:pt idx="6">
                  <c:v>24464.911064</c:v>
                </c:pt>
                <c:pt idx="7">
                  <c:v>24464.911064</c:v>
                </c:pt>
                <c:pt idx="8">
                  <c:v>24464.911064</c:v>
                </c:pt>
                <c:pt idx="9">
                  <c:v>24464.911064</c:v>
                </c:pt>
                <c:pt idx="10">
                  <c:v>24464.911064</c:v>
                </c:pt>
                <c:pt idx="11">
                  <c:v>24464.911064</c:v>
                </c:pt>
                <c:pt idx="12">
                  <c:v>24464.911064</c:v>
                </c:pt>
                <c:pt idx="13">
                  <c:v>24464.911064</c:v>
                </c:pt>
                <c:pt idx="14">
                  <c:v>24464.911064</c:v>
                </c:pt>
                <c:pt idx="15">
                  <c:v>24464.911064</c:v>
                </c:pt>
                <c:pt idx="16">
                  <c:v>24464.911064</c:v>
                </c:pt>
                <c:pt idx="17">
                  <c:v>24464.911064</c:v>
                </c:pt>
                <c:pt idx="18">
                  <c:v>24464.911064</c:v>
                </c:pt>
                <c:pt idx="19">
                  <c:v>24464.911064</c:v>
                </c:pt>
                <c:pt idx="20">
                  <c:v>24464.911064</c:v>
                </c:pt>
                <c:pt idx="21">
                  <c:v>24464.911064</c:v>
                </c:pt>
                <c:pt idx="22">
                  <c:v>24464.911064</c:v>
                </c:pt>
                <c:pt idx="23">
                  <c:v>24464.911064</c:v>
                </c:pt>
                <c:pt idx="24">
                  <c:v>24464.911064</c:v>
                </c:pt>
                <c:pt idx="25">
                  <c:v>24464.911064</c:v>
                </c:pt>
                <c:pt idx="26">
                  <c:v>24464.911064</c:v>
                </c:pt>
                <c:pt idx="27">
                  <c:v>24464.911064</c:v>
                </c:pt>
                <c:pt idx="28">
                  <c:v>24464.911064</c:v>
                </c:pt>
                <c:pt idx="29">
                  <c:v>24464.911064</c:v>
                </c:pt>
                <c:pt idx="30">
                  <c:v>24464.911064</c:v>
                </c:pt>
                <c:pt idx="31">
                  <c:v>24464.911064</c:v>
                </c:pt>
                <c:pt idx="32">
                  <c:v>24464.911064</c:v>
                </c:pt>
                <c:pt idx="33">
                  <c:v>24464.911064</c:v>
                </c:pt>
                <c:pt idx="34">
                  <c:v>24464.911064</c:v>
                </c:pt>
                <c:pt idx="35">
                  <c:v>24464.911064</c:v>
                </c:pt>
                <c:pt idx="36">
                  <c:v>24464.911064</c:v>
                </c:pt>
                <c:pt idx="37">
                  <c:v>24464.911064</c:v>
                </c:pt>
                <c:pt idx="38">
                  <c:v>24464.911064</c:v>
                </c:pt>
                <c:pt idx="39">
                  <c:v>24464.911064</c:v>
                </c:pt>
                <c:pt idx="40">
                  <c:v>24464.911064</c:v>
                </c:pt>
                <c:pt idx="41">
                  <c:v>24464.911064</c:v>
                </c:pt>
                <c:pt idx="42">
                  <c:v>24464.911064</c:v>
                </c:pt>
                <c:pt idx="43">
                  <c:v>24464.911064</c:v>
                </c:pt>
                <c:pt idx="44">
                  <c:v>24464.911064</c:v>
                </c:pt>
                <c:pt idx="45">
                  <c:v>24464.911064</c:v>
                </c:pt>
                <c:pt idx="46">
                  <c:v>24464.911064</c:v>
                </c:pt>
                <c:pt idx="47">
                  <c:v>24464.911064</c:v>
                </c:pt>
                <c:pt idx="48">
                  <c:v>24464.911064</c:v>
                </c:pt>
                <c:pt idx="49">
                  <c:v>24464.911064</c:v>
                </c:pt>
                <c:pt idx="50">
                  <c:v>24464.911064</c:v>
                </c:pt>
                <c:pt idx="51">
                  <c:v>24464.911064</c:v>
                </c:pt>
                <c:pt idx="52">
                  <c:v>24464.911064</c:v>
                </c:pt>
                <c:pt idx="53">
                  <c:v>24464.911064</c:v>
                </c:pt>
                <c:pt idx="54">
                  <c:v>24464.911064</c:v>
                </c:pt>
                <c:pt idx="55">
                  <c:v>24464.911064</c:v>
                </c:pt>
                <c:pt idx="56">
                  <c:v>24464.911064</c:v>
                </c:pt>
                <c:pt idx="57">
                  <c:v>24464.911064</c:v>
                </c:pt>
                <c:pt idx="58">
                  <c:v>24464.911064</c:v>
                </c:pt>
                <c:pt idx="59">
                  <c:v>24464.911064</c:v>
                </c:pt>
                <c:pt idx="60">
                  <c:v>24464.911064</c:v>
                </c:pt>
                <c:pt idx="61">
                  <c:v>24464.911064</c:v>
                </c:pt>
                <c:pt idx="62">
                  <c:v>24464.911064</c:v>
                </c:pt>
                <c:pt idx="63">
                  <c:v>24464.911064</c:v>
                </c:pt>
                <c:pt idx="64">
                  <c:v>24464.911064</c:v>
                </c:pt>
                <c:pt idx="65">
                  <c:v>24464.911064</c:v>
                </c:pt>
                <c:pt idx="66">
                  <c:v>24464.911064</c:v>
                </c:pt>
                <c:pt idx="67">
                  <c:v>24464.911064</c:v>
                </c:pt>
                <c:pt idx="68">
                  <c:v>24464.911064</c:v>
                </c:pt>
                <c:pt idx="69">
                  <c:v>24464.911064</c:v>
                </c:pt>
                <c:pt idx="70">
                  <c:v>24464.911064</c:v>
                </c:pt>
                <c:pt idx="71">
                  <c:v>24464.911064</c:v>
                </c:pt>
                <c:pt idx="72">
                  <c:v>24464.911064</c:v>
                </c:pt>
                <c:pt idx="73">
                  <c:v>24464.911064</c:v>
                </c:pt>
                <c:pt idx="74">
                  <c:v>24464.911064</c:v>
                </c:pt>
                <c:pt idx="75">
                  <c:v>24464.911064</c:v>
                </c:pt>
                <c:pt idx="76">
                  <c:v>24464.911064</c:v>
                </c:pt>
                <c:pt idx="77">
                  <c:v>24464.911064</c:v>
                </c:pt>
                <c:pt idx="78">
                  <c:v>24464.911064</c:v>
                </c:pt>
                <c:pt idx="79">
                  <c:v>24464.911064</c:v>
                </c:pt>
                <c:pt idx="80">
                  <c:v>24464.911064</c:v>
                </c:pt>
                <c:pt idx="81">
                  <c:v>24464.911064</c:v>
                </c:pt>
                <c:pt idx="82">
                  <c:v>24464.911064</c:v>
                </c:pt>
                <c:pt idx="83">
                  <c:v>24464.911064</c:v>
                </c:pt>
                <c:pt idx="84">
                  <c:v>24464.911064</c:v>
                </c:pt>
                <c:pt idx="85">
                  <c:v>24464.911064</c:v>
                </c:pt>
                <c:pt idx="86">
                  <c:v>24464.911064</c:v>
                </c:pt>
                <c:pt idx="87">
                  <c:v>24464.911064</c:v>
                </c:pt>
                <c:pt idx="88">
                  <c:v>24464.911064</c:v>
                </c:pt>
                <c:pt idx="89">
                  <c:v>24464.911064</c:v>
                </c:pt>
                <c:pt idx="90">
                  <c:v>24464.911064</c:v>
                </c:pt>
                <c:pt idx="91">
                  <c:v>24464.911064</c:v>
                </c:pt>
                <c:pt idx="92">
                  <c:v>24464.911064</c:v>
                </c:pt>
                <c:pt idx="93">
                  <c:v>24464.911064</c:v>
                </c:pt>
                <c:pt idx="94">
                  <c:v>24464.911064</c:v>
                </c:pt>
                <c:pt idx="95">
                  <c:v>24464.911064</c:v>
                </c:pt>
                <c:pt idx="96">
                  <c:v>24464.911064</c:v>
                </c:pt>
                <c:pt idx="97">
                  <c:v>24464.911064</c:v>
                </c:pt>
                <c:pt idx="98">
                  <c:v>24464.911064</c:v>
                </c:pt>
                <c:pt idx="99">
                  <c:v>24464.911064</c:v>
                </c:pt>
                <c:pt idx="100">
                  <c:v>24464.911064</c:v>
                </c:pt>
                <c:pt idx="101">
                  <c:v>24464.911064</c:v>
                </c:pt>
                <c:pt idx="102">
                  <c:v>24464.911064</c:v>
                </c:pt>
                <c:pt idx="103">
                  <c:v>24464.911064</c:v>
                </c:pt>
                <c:pt idx="104">
                  <c:v>24464.911064</c:v>
                </c:pt>
                <c:pt idx="105">
                  <c:v>24464.911064</c:v>
                </c:pt>
                <c:pt idx="106">
                  <c:v>24464.911064</c:v>
                </c:pt>
                <c:pt idx="107">
                  <c:v>24464.911064</c:v>
                </c:pt>
                <c:pt idx="108">
                  <c:v>24464.911064</c:v>
                </c:pt>
                <c:pt idx="109">
                  <c:v>24464.911064</c:v>
                </c:pt>
                <c:pt idx="110">
                  <c:v>24464.911064</c:v>
                </c:pt>
                <c:pt idx="111">
                  <c:v>24464.911064</c:v>
                </c:pt>
                <c:pt idx="112">
                  <c:v>24464.911064</c:v>
                </c:pt>
                <c:pt idx="113">
                  <c:v>24464.911064</c:v>
                </c:pt>
                <c:pt idx="114">
                  <c:v>24464.911064</c:v>
                </c:pt>
                <c:pt idx="115">
                  <c:v>24464.911064</c:v>
                </c:pt>
                <c:pt idx="116">
                  <c:v>24464.911064</c:v>
                </c:pt>
                <c:pt idx="117">
                  <c:v>24464.911064</c:v>
                </c:pt>
                <c:pt idx="118">
                  <c:v>24464.911064</c:v>
                </c:pt>
                <c:pt idx="119">
                  <c:v>24464.911064</c:v>
                </c:pt>
                <c:pt idx="120">
                  <c:v>24464.911064</c:v>
                </c:pt>
                <c:pt idx="121">
                  <c:v>24464.911064</c:v>
                </c:pt>
                <c:pt idx="122">
                  <c:v>24464.911064</c:v>
                </c:pt>
                <c:pt idx="123">
                  <c:v>24464.911064</c:v>
                </c:pt>
                <c:pt idx="124">
                  <c:v>24464.911064</c:v>
                </c:pt>
                <c:pt idx="125">
                  <c:v>24464.911064</c:v>
                </c:pt>
                <c:pt idx="126">
                  <c:v>24464.911064</c:v>
                </c:pt>
                <c:pt idx="127">
                  <c:v>24464.911064</c:v>
                </c:pt>
                <c:pt idx="128">
                  <c:v>24464.911064</c:v>
                </c:pt>
                <c:pt idx="129">
                  <c:v>24464.911064</c:v>
                </c:pt>
                <c:pt idx="130">
                  <c:v>24464.911064</c:v>
                </c:pt>
                <c:pt idx="131">
                  <c:v>24464.911064</c:v>
                </c:pt>
                <c:pt idx="132">
                  <c:v>24464.911064</c:v>
                </c:pt>
                <c:pt idx="133">
                  <c:v>24464.911064</c:v>
                </c:pt>
                <c:pt idx="134">
                  <c:v>24464.911064</c:v>
                </c:pt>
                <c:pt idx="135">
                  <c:v>24464.911064</c:v>
                </c:pt>
                <c:pt idx="136">
                  <c:v>24464.911064</c:v>
                </c:pt>
                <c:pt idx="137">
                  <c:v>24464.911064</c:v>
                </c:pt>
                <c:pt idx="138">
                  <c:v>24464.911064</c:v>
                </c:pt>
                <c:pt idx="139">
                  <c:v>24464.911064</c:v>
                </c:pt>
                <c:pt idx="140">
                  <c:v>24464.911064</c:v>
                </c:pt>
                <c:pt idx="141">
                  <c:v>24464.911064</c:v>
                </c:pt>
                <c:pt idx="142">
                  <c:v>24464.911064</c:v>
                </c:pt>
                <c:pt idx="143">
                  <c:v>24464.911064</c:v>
                </c:pt>
                <c:pt idx="144">
                  <c:v>24464.911064</c:v>
                </c:pt>
                <c:pt idx="145">
                  <c:v>24464.911064</c:v>
                </c:pt>
                <c:pt idx="146">
                  <c:v>24464.911064</c:v>
                </c:pt>
                <c:pt idx="147">
                  <c:v>24464.911064</c:v>
                </c:pt>
                <c:pt idx="148">
                  <c:v>24464.911064</c:v>
                </c:pt>
                <c:pt idx="149">
                  <c:v>24464.911064</c:v>
                </c:pt>
                <c:pt idx="150">
                  <c:v>24464.911064</c:v>
                </c:pt>
                <c:pt idx="151">
                  <c:v>24464.911064</c:v>
                </c:pt>
                <c:pt idx="152">
                  <c:v>24464.911064</c:v>
                </c:pt>
                <c:pt idx="153">
                  <c:v>24464.911064</c:v>
                </c:pt>
                <c:pt idx="154">
                  <c:v>24464.911064</c:v>
                </c:pt>
                <c:pt idx="155">
                  <c:v>24464.911064</c:v>
                </c:pt>
                <c:pt idx="156">
                  <c:v>24464.911064</c:v>
                </c:pt>
                <c:pt idx="157">
                  <c:v>24464.911064</c:v>
                </c:pt>
                <c:pt idx="158">
                  <c:v>24464.911064</c:v>
                </c:pt>
                <c:pt idx="159">
                  <c:v>24464.911064</c:v>
                </c:pt>
                <c:pt idx="160">
                  <c:v>24464.911064</c:v>
                </c:pt>
                <c:pt idx="161">
                  <c:v>24464.911064</c:v>
                </c:pt>
                <c:pt idx="162">
                  <c:v>24464.911064</c:v>
                </c:pt>
                <c:pt idx="163">
                  <c:v>24464.911064</c:v>
                </c:pt>
                <c:pt idx="164">
                  <c:v>24464.911064</c:v>
                </c:pt>
                <c:pt idx="165">
                  <c:v>24464.911064</c:v>
                </c:pt>
                <c:pt idx="166">
                  <c:v>24464.911064</c:v>
                </c:pt>
                <c:pt idx="167">
                  <c:v>24464.911064</c:v>
                </c:pt>
                <c:pt idx="168">
                  <c:v>24464.911064</c:v>
                </c:pt>
                <c:pt idx="169">
                  <c:v>24464.911064</c:v>
                </c:pt>
                <c:pt idx="170">
                  <c:v>24464.911064</c:v>
                </c:pt>
                <c:pt idx="171">
                  <c:v>24464.911064</c:v>
                </c:pt>
                <c:pt idx="172">
                  <c:v>24464.911064</c:v>
                </c:pt>
                <c:pt idx="173">
                  <c:v>24464.911064</c:v>
                </c:pt>
                <c:pt idx="174">
                  <c:v>24464.911064</c:v>
                </c:pt>
                <c:pt idx="175">
                  <c:v>24464.911064</c:v>
                </c:pt>
                <c:pt idx="176">
                  <c:v>24464.911064</c:v>
                </c:pt>
                <c:pt idx="177">
                  <c:v>24464.911064</c:v>
                </c:pt>
                <c:pt idx="178">
                  <c:v>24464.911064</c:v>
                </c:pt>
                <c:pt idx="179">
                  <c:v>24464.911064</c:v>
                </c:pt>
                <c:pt idx="180">
                  <c:v>24464.911064</c:v>
                </c:pt>
                <c:pt idx="181">
                  <c:v>24464.911064</c:v>
                </c:pt>
                <c:pt idx="182">
                  <c:v>24464.911064</c:v>
                </c:pt>
                <c:pt idx="183">
                  <c:v>24464.911064</c:v>
                </c:pt>
                <c:pt idx="184">
                  <c:v>24464.911064</c:v>
                </c:pt>
                <c:pt idx="185">
                  <c:v>24464.911064</c:v>
                </c:pt>
                <c:pt idx="186">
                  <c:v>24464.911064</c:v>
                </c:pt>
                <c:pt idx="187">
                  <c:v>24464.911064</c:v>
                </c:pt>
                <c:pt idx="188">
                  <c:v>24464.911064</c:v>
                </c:pt>
                <c:pt idx="189">
                  <c:v>24464.911064</c:v>
                </c:pt>
                <c:pt idx="190">
                  <c:v>24464.911064</c:v>
                </c:pt>
                <c:pt idx="191">
                  <c:v>24464.911064</c:v>
                </c:pt>
                <c:pt idx="192">
                  <c:v>24464.911064</c:v>
                </c:pt>
                <c:pt idx="193">
                  <c:v>24464.911064</c:v>
                </c:pt>
                <c:pt idx="194">
                  <c:v>24464.911064</c:v>
                </c:pt>
                <c:pt idx="195">
                  <c:v>24464.911064</c:v>
                </c:pt>
                <c:pt idx="196">
                  <c:v>24464.911064</c:v>
                </c:pt>
                <c:pt idx="197">
                  <c:v>24464.911064</c:v>
                </c:pt>
                <c:pt idx="198">
                  <c:v>24464.911064</c:v>
                </c:pt>
                <c:pt idx="199">
                  <c:v>24464.911064</c:v>
                </c:pt>
                <c:pt idx="200">
                  <c:v>24464.911064</c:v>
                </c:pt>
                <c:pt idx="201">
                  <c:v>24464.911064</c:v>
                </c:pt>
                <c:pt idx="202">
                  <c:v>24464.911064</c:v>
                </c:pt>
                <c:pt idx="203">
                  <c:v>24464.911064</c:v>
                </c:pt>
                <c:pt idx="204">
                  <c:v>24464.911064</c:v>
                </c:pt>
                <c:pt idx="205">
                  <c:v>24464.911064</c:v>
                </c:pt>
                <c:pt idx="206">
                  <c:v>24464.911064</c:v>
                </c:pt>
                <c:pt idx="207">
                  <c:v>24464.911064</c:v>
                </c:pt>
                <c:pt idx="208">
                  <c:v>24464.911064</c:v>
                </c:pt>
                <c:pt idx="209">
                  <c:v>24464.911064</c:v>
                </c:pt>
                <c:pt idx="210">
                  <c:v>24464.911064</c:v>
                </c:pt>
                <c:pt idx="211">
                  <c:v>24464.911064</c:v>
                </c:pt>
                <c:pt idx="212">
                  <c:v>24464.911064</c:v>
                </c:pt>
                <c:pt idx="213">
                  <c:v>24464.911064</c:v>
                </c:pt>
                <c:pt idx="214">
                  <c:v>24464.911064</c:v>
                </c:pt>
                <c:pt idx="215">
                  <c:v>24464.911064</c:v>
                </c:pt>
                <c:pt idx="216">
                  <c:v>24464.911064</c:v>
                </c:pt>
                <c:pt idx="217">
                  <c:v>24464.911064</c:v>
                </c:pt>
                <c:pt idx="218">
                  <c:v>24464.911064</c:v>
                </c:pt>
                <c:pt idx="219">
                  <c:v>24464.911064</c:v>
                </c:pt>
                <c:pt idx="220">
                  <c:v>24464.911064</c:v>
                </c:pt>
                <c:pt idx="221">
                  <c:v>24464.911064</c:v>
                </c:pt>
                <c:pt idx="222">
                  <c:v>24464.911064</c:v>
                </c:pt>
                <c:pt idx="223">
                  <c:v>24464.911064</c:v>
                </c:pt>
                <c:pt idx="224">
                  <c:v>24464.911064</c:v>
                </c:pt>
                <c:pt idx="225">
                  <c:v>24464.911064</c:v>
                </c:pt>
                <c:pt idx="226">
                  <c:v>24464.911064</c:v>
                </c:pt>
                <c:pt idx="227">
                  <c:v>24464.911064</c:v>
                </c:pt>
                <c:pt idx="228">
                  <c:v>24464.911064</c:v>
                </c:pt>
                <c:pt idx="229">
                  <c:v>24464.911064</c:v>
                </c:pt>
                <c:pt idx="230">
                  <c:v>24464.911064</c:v>
                </c:pt>
                <c:pt idx="231">
                  <c:v>24464.911064</c:v>
                </c:pt>
                <c:pt idx="232">
                  <c:v>24464.911064</c:v>
                </c:pt>
                <c:pt idx="233">
                  <c:v>24464.911064</c:v>
                </c:pt>
                <c:pt idx="234">
                  <c:v>24464.911064</c:v>
                </c:pt>
                <c:pt idx="235">
                  <c:v>24464.911064</c:v>
                </c:pt>
                <c:pt idx="236">
                  <c:v>24464.911064</c:v>
                </c:pt>
                <c:pt idx="237">
                  <c:v>24464.911064</c:v>
                </c:pt>
                <c:pt idx="238">
                  <c:v>24464.911064</c:v>
                </c:pt>
                <c:pt idx="239">
                  <c:v>24464.911064</c:v>
                </c:pt>
                <c:pt idx="240">
                  <c:v>24464.911064</c:v>
                </c:pt>
                <c:pt idx="241">
                  <c:v>24464.911064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1"/>
          <c:order val="1"/>
          <c:tx>
            <c:strRef>
              <c:f>'Projections Data'!$F$18</c:f>
              <c:strCache>
                <c:ptCount val="1"/>
                <c:pt idx="0">
                  <c:v>Critically Ill (31% inc)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Data'!$G$18:$IN$18</c:f>
              <c:numCache>
                <c:formatCode>_-* #,##0_-;\-* #,##0_-;_-* "-"??_-;_-@_-</c:formatCode>
                <c:ptCount val="242"/>
                <c:pt idx="0">
                  <c:v>6.11</c:v>
                </c:pt>
                <c:pt idx="1">
                  <c:v>7.4729999999999999</c:v>
                </c:pt>
                <c:pt idx="2">
                  <c:v>9.2119999999999997</c:v>
                </c:pt>
                <c:pt idx="3">
                  <c:v>12.314</c:v>
                </c:pt>
                <c:pt idx="4">
                  <c:v>22.654</c:v>
                </c:pt>
                <c:pt idx="5">
                  <c:v>31.49</c:v>
                </c:pt>
                <c:pt idx="6">
                  <c:v>37.552999999999997</c:v>
                </c:pt>
                <c:pt idx="7">
                  <c:v>48.88</c:v>
                </c:pt>
                <c:pt idx="8">
                  <c:v>55.271999999999998</c:v>
                </c:pt>
                <c:pt idx="9">
                  <c:v>68.478999999999999</c:v>
                </c:pt>
                <c:pt idx="10">
                  <c:v>83.566000000000003</c:v>
                </c:pt>
                <c:pt idx="11">
                  <c:v>90.192999999999998</c:v>
                </c:pt>
                <c:pt idx="12">
                  <c:v>163.51300000000001</c:v>
                </c:pt>
                <c:pt idx="13">
                  <c:v>203.18100000000001</c:v>
                </c:pt>
                <c:pt idx="14">
                  <c:v>249.71100000000001</c:v>
                </c:pt>
                <c:pt idx="15">
                  <c:v>310.29399999999998</c:v>
                </c:pt>
                <c:pt idx="16">
                  <c:v>409.09647527910619</c:v>
                </c:pt>
                <c:pt idx="17">
                  <c:v>534.80956348776101</c:v>
                </c:pt>
                <c:pt idx="18">
                  <c:v>707.50401425958785</c:v>
                </c:pt>
                <c:pt idx="19">
                  <c:v>928.33040747528548</c:v>
                </c:pt>
                <c:pt idx="20">
                  <c:v>1212.9724528301881</c:v>
                </c:pt>
                <c:pt idx="21">
                  <c:v>1604.6584152147061</c:v>
                </c:pt>
                <c:pt idx="22">
                  <c:v>2051.9031476325981</c:v>
                </c:pt>
                <c:pt idx="23">
                  <c:v>2691.6890543478626</c:v>
                </c:pt>
                <c:pt idx="24">
                  <c:v>3526.7953832076914</c:v>
                </c:pt>
                <c:pt idx="25">
                  <c:v>4623.0270843716598</c:v>
                </c:pt>
                <c:pt idx="26">
                  <c:v>6041.4548996901494</c:v>
                </c:pt>
                <c:pt idx="27">
                  <c:v>7895.0818671119496</c:v>
                </c:pt>
                <c:pt idx="28">
                  <c:v>10317.434909858677</c:v>
                </c:pt>
                <c:pt idx="29">
                  <c:v>13483.009411542702</c:v>
                </c:pt>
                <c:pt idx="30">
                  <c:v>17619.839076284436</c:v>
                </c:pt>
                <c:pt idx="31">
                  <c:v>23025.922447875659</c:v>
                </c:pt>
                <c:pt idx="32">
                  <c:v>30090.689380313459</c:v>
                </c:pt>
                <c:pt idx="33">
                  <c:v>39323.053807385899</c:v>
                </c:pt>
                <c:pt idx="34">
                  <c:v>51388.073606257087</c:v>
                </c:pt>
                <c:pt idx="35">
                  <c:v>67154.858366216125</c:v>
                </c:pt>
                <c:pt idx="36">
                  <c:v>87759.176122092118</c:v>
                </c:pt>
                <c:pt idx="37">
                  <c:v>114685.26895893055</c:v>
                </c:pt>
                <c:pt idx="38">
                  <c:v>149872.77111494244</c:v>
                </c:pt>
                <c:pt idx="39">
                  <c:v>195856.43148045152</c:v>
                </c:pt>
                <c:pt idx="40">
                  <c:v>255948.70547123882</c:v>
                </c:pt>
                <c:pt idx="41">
                  <c:v>334478.36937099253</c:v>
                </c:pt>
                <c:pt idx="42">
                  <c:v>437102.34584347106</c:v>
                </c:pt>
                <c:pt idx="43">
                  <c:v>571213.20311732776</c:v>
                </c:pt>
                <c:pt idx="44">
                  <c:v>746471.68224624905</c:v>
                </c:pt>
                <c:pt idx="45">
                  <c:v>975502.61330547614</c:v>
                </c:pt>
                <c:pt idx="46">
                  <c:v>1274804.3511875563</c:v>
                </c:pt>
                <c:pt idx="47">
                  <c:v>1451974.0692104697</c:v>
                </c:pt>
                <c:pt idx="48">
                  <c:v>1414185.1275609394</c:v>
                </c:pt>
                <c:pt idx="49">
                  <c:v>1364801.8593005305</c:v>
                </c:pt>
                <c:pt idx="50">
                  <c:v>1300266.9165996467</c:v>
                </c:pt>
                <c:pt idx="51">
                  <c:v>1215931.4933659171</c:v>
                </c:pt>
                <c:pt idx="52">
                  <c:v>1105720.4462285829</c:v>
                </c:pt>
                <c:pt idx="53">
                  <c:v>961694.66862093855</c:v>
                </c:pt>
                <c:pt idx="54">
                  <c:v>773479.19336428621</c:v>
                </c:pt>
                <c:pt idx="55">
                  <c:v>527515.82684393611</c:v>
                </c:pt>
                <c:pt idx="56">
                  <c:v>206086.47791538233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ser>
          <c:idx val="2"/>
          <c:order val="2"/>
          <c:tx>
            <c:strRef>
              <c:f>'Projections Data'!$F$19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Data'!$G$19:$IN$19</c:f>
              <c:numCache>
                <c:formatCode>_-* #,##0_-;\-* #,##0_-;_-* "-"??_-;_-@_-</c:formatCode>
                <c:ptCount val="242"/>
                <c:pt idx="0">
                  <c:v>6.11</c:v>
                </c:pt>
                <c:pt idx="1">
                  <c:v>7.4729999999999999</c:v>
                </c:pt>
                <c:pt idx="2">
                  <c:v>9.2119999999999997</c:v>
                </c:pt>
                <c:pt idx="3">
                  <c:v>12.314</c:v>
                </c:pt>
                <c:pt idx="4">
                  <c:v>22.654</c:v>
                </c:pt>
                <c:pt idx="5">
                  <c:v>31.49</c:v>
                </c:pt>
                <c:pt idx="6">
                  <c:v>37.552999999999997</c:v>
                </c:pt>
                <c:pt idx="7">
                  <c:v>48.88</c:v>
                </c:pt>
                <c:pt idx="8">
                  <c:v>55.271999999999998</c:v>
                </c:pt>
                <c:pt idx="9">
                  <c:v>68.478999999999999</c:v>
                </c:pt>
                <c:pt idx="10">
                  <c:v>83.566000000000003</c:v>
                </c:pt>
                <c:pt idx="11">
                  <c:v>90.192999999999998</c:v>
                </c:pt>
                <c:pt idx="12">
                  <c:v>163.51300000000001</c:v>
                </c:pt>
                <c:pt idx="13">
                  <c:v>203.18100000000001</c:v>
                </c:pt>
                <c:pt idx="14">
                  <c:v>249.71100000000001</c:v>
                </c:pt>
                <c:pt idx="15">
                  <c:v>310.29399999999998</c:v>
                </c:pt>
                <c:pt idx="16">
                  <c:v>338.40940000000006</c:v>
                </c:pt>
                <c:pt idx="17">
                  <c:v>364.67864000000003</c:v>
                </c:pt>
                <c:pt idx="18">
                  <c:v>399.64250400000003</c:v>
                </c:pt>
                <c:pt idx="19">
                  <c:v>431.92695440000006</c:v>
                </c:pt>
                <c:pt idx="20">
                  <c:v>460.77054984000011</c:v>
                </c:pt>
                <c:pt idx="21">
                  <c:v>507.82520482400014</c:v>
                </c:pt>
                <c:pt idx="22">
                  <c:v>493.31532530640021</c:v>
                </c:pt>
                <c:pt idx="23">
                  <c:v>517.14935783704027</c:v>
                </c:pt>
                <c:pt idx="24">
                  <c:v>533.5437936207444</c:v>
                </c:pt>
                <c:pt idx="25">
                  <c:v>544.71567298281889</c:v>
                </c:pt>
                <c:pt idx="26">
                  <c:v>599.18724028110091</c:v>
                </c:pt>
                <c:pt idx="27">
                  <c:v>659.10596430921112</c:v>
                </c:pt>
                <c:pt idx="28">
                  <c:v>725.01656074013226</c:v>
                </c:pt>
                <c:pt idx="29">
                  <c:v>797.5182168141456</c:v>
                </c:pt>
                <c:pt idx="30">
                  <c:v>877.27003849556036</c:v>
                </c:pt>
                <c:pt idx="31">
                  <c:v>964.99704234511648</c:v>
                </c:pt>
                <c:pt idx="32">
                  <c:v>1061.4967465796281</c:v>
                </c:pt>
                <c:pt idx="33">
                  <c:v>1167.6464212375911</c:v>
                </c:pt>
                <c:pt idx="34">
                  <c:v>1284.4110633613502</c:v>
                </c:pt>
                <c:pt idx="35">
                  <c:v>1412.8521696974856</c:v>
                </c:pt>
                <c:pt idx="36">
                  <c:v>1554.1373866672341</c:v>
                </c:pt>
                <c:pt idx="37">
                  <c:v>1709.5511253339575</c:v>
                </c:pt>
                <c:pt idx="38">
                  <c:v>1880.5062378673533</c:v>
                </c:pt>
                <c:pt idx="39">
                  <c:v>2068.5568616540891</c:v>
                </c:pt>
                <c:pt idx="40">
                  <c:v>2275.4125478194983</c:v>
                </c:pt>
                <c:pt idx="41">
                  <c:v>2502.9538026014484</c:v>
                </c:pt>
                <c:pt idx="42">
                  <c:v>2753.2491828615935</c:v>
                </c:pt>
                <c:pt idx="43">
                  <c:v>3028.574101147753</c:v>
                </c:pt>
                <c:pt idx="44">
                  <c:v>3331.4315112625291</c:v>
                </c:pt>
                <c:pt idx="45">
                  <c:v>3664.5746623887817</c:v>
                </c:pt>
                <c:pt idx="46">
                  <c:v>4031.0321286276599</c:v>
                </c:pt>
                <c:pt idx="47">
                  <c:v>4434.1353414904261</c:v>
                </c:pt>
                <c:pt idx="48">
                  <c:v>4877.5488756394698</c:v>
                </c:pt>
                <c:pt idx="49">
                  <c:v>5365.3037632034175</c:v>
                </c:pt>
                <c:pt idx="50">
                  <c:v>5901.8341395237603</c:v>
                </c:pt>
                <c:pt idx="51">
                  <c:v>6492.0175534761365</c:v>
                </c:pt>
                <c:pt idx="52">
                  <c:v>7141.2193088237509</c:v>
                </c:pt>
                <c:pt idx="53">
                  <c:v>7855.3412397061265</c:v>
                </c:pt>
                <c:pt idx="54">
                  <c:v>8640.8753636767397</c:v>
                </c:pt>
                <c:pt idx="55">
                  <c:v>9504.9629000444147</c:v>
                </c:pt>
                <c:pt idx="56">
                  <c:v>10455.459190048856</c:v>
                </c:pt>
                <c:pt idx="57">
                  <c:v>11501.005109053744</c:v>
                </c:pt>
                <c:pt idx="58">
                  <c:v>12651.10561995912</c:v>
                </c:pt>
                <c:pt idx="59">
                  <c:v>13916.216181955033</c:v>
                </c:pt>
                <c:pt idx="60">
                  <c:v>15307.837800150535</c:v>
                </c:pt>
                <c:pt idx="61">
                  <c:v>16838.621580165589</c:v>
                </c:pt>
                <c:pt idx="62">
                  <c:v>18522.483738182149</c:v>
                </c:pt>
                <c:pt idx="63">
                  <c:v>20374.732112000365</c:v>
                </c:pt>
                <c:pt idx="64">
                  <c:v>22412.205323200404</c:v>
                </c:pt>
                <c:pt idx="65">
                  <c:v>24653.425855520443</c:v>
                </c:pt>
                <c:pt idx="66">
                  <c:v>27118.768441072494</c:v>
                </c:pt>
                <c:pt idx="67">
                  <c:v>29830.645285179744</c:v>
                </c:pt>
                <c:pt idx="68">
                  <c:v>32813.709813697715</c:v>
                </c:pt>
                <c:pt idx="69">
                  <c:v>36095.080795067486</c:v>
                </c:pt>
                <c:pt idx="70">
                  <c:v>39704.588874574234</c:v>
                </c:pt>
                <c:pt idx="71">
                  <c:v>43675.04776203166</c:v>
                </c:pt>
                <c:pt idx="72">
                  <c:v>48042.552538234835</c:v>
                </c:pt>
                <c:pt idx="73">
                  <c:v>52846.807792058324</c:v>
                </c:pt>
                <c:pt idx="74">
                  <c:v>58131.488571264155</c:v>
                </c:pt>
                <c:pt idx="75">
                  <c:v>63944.63742839059</c:v>
                </c:pt>
                <c:pt idx="76">
                  <c:v>70339.101171229646</c:v>
                </c:pt>
                <c:pt idx="77">
                  <c:v>77373.011288352616</c:v>
                </c:pt>
                <c:pt idx="78">
                  <c:v>85110.312417187888</c:v>
                </c:pt>
                <c:pt idx="79">
                  <c:v>93621.343658906684</c:v>
                </c:pt>
                <c:pt idx="80">
                  <c:v>102983.47802479738</c:v>
                </c:pt>
                <c:pt idx="81">
                  <c:v>113281.82582727711</c:v>
                </c:pt>
                <c:pt idx="82">
                  <c:v>124610.00841000484</c:v>
                </c:pt>
                <c:pt idx="83">
                  <c:v>137071.00925100531</c:v>
                </c:pt>
                <c:pt idx="84">
                  <c:v>150778.1101761059</c:v>
                </c:pt>
                <c:pt idx="85">
                  <c:v>165855.92119371647</c:v>
                </c:pt>
                <c:pt idx="86">
                  <c:v>182441.51331308813</c:v>
                </c:pt>
                <c:pt idx="87">
                  <c:v>200685.66464439698</c:v>
                </c:pt>
                <c:pt idx="88">
                  <c:v>220754.23110883668</c:v>
                </c:pt>
                <c:pt idx="89">
                  <c:v>242829.65421972037</c:v>
                </c:pt>
                <c:pt idx="90">
                  <c:v>267112.61964169244</c:v>
                </c:pt>
                <c:pt idx="91">
                  <c:v>293823.88160586171</c:v>
                </c:pt>
                <c:pt idx="92">
                  <c:v>323206.26976644789</c:v>
                </c:pt>
                <c:pt idx="93">
                  <c:v>355526.89674309274</c:v>
                </c:pt>
                <c:pt idx="94">
                  <c:v>391079.58641740202</c:v>
                </c:pt>
                <c:pt idx="95">
                  <c:v>430187.54505914223</c:v>
                </c:pt>
                <c:pt idx="96">
                  <c:v>473206.29956505657</c:v>
                </c:pt>
                <c:pt idx="97">
                  <c:v>520526.92952156224</c:v>
                </c:pt>
                <c:pt idx="98">
                  <c:v>572579.62247371848</c:v>
                </c:pt>
                <c:pt idx="99">
                  <c:v>629837.58472109027</c:v>
                </c:pt>
                <c:pt idx="100">
                  <c:v>692821.34319319949</c:v>
                </c:pt>
                <c:pt idx="101">
                  <c:v>762103.47751251946</c:v>
                </c:pt>
                <c:pt idx="102">
                  <c:v>838313.82526377146</c:v>
                </c:pt>
                <c:pt idx="103">
                  <c:v>922145.20779014856</c:v>
                </c:pt>
                <c:pt idx="104">
                  <c:v>938674.09238010622</c:v>
                </c:pt>
                <c:pt idx="105">
                  <c:v>875027.69065811683</c:v>
                </c:pt>
                <c:pt idx="106">
                  <c:v>805016.64876392833</c:v>
                </c:pt>
                <c:pt idx="107">
                  <c:v>728004.50268032122</c:v>
                </c:pt>
                <c:pt idx="108">
                  <c:v>643291.14198835322</c:v>
                </c:pt>
                <c:pt idx="109">
                  <c:v>550106.44522718852</c:v>
                </c:pt>
                <c:pt idx="110">
                  <c:v>447603.27878990717</c:v>
                </c:pt>
                <c:pt idx="111">
                  <c:v>334849.79570889781</c:v>
                </c:pt>
                <c:pt idx="112">
                  <c:v>210820.96431978757</c:v>
                </c:pt>
                <c:pt idx="113">
                  <c:v>74389.249791766197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3"/>
          <c:tx>
            <c:strRef>
              <c:f>'Projections Data'!$F$20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Data'!$G$20:$IN$20</c:f>
              <c:numCache>
                <c:formatCode>_-* #,##0_-;\-* #,##0_-;_-* "-"??_-;_-@_-</c:formatCode>
                <c:ptCount val="242"/>
                <c:pt idx="0">
                  <c:v>6.11</c:v>
                </c:pt>
                <c:pt idx="1">
                  <c:v>7.4729999999999999</c:v>
                </c:pt>
                <c:pt idx="2">
                  <c:v>9.2119999999999997</c:v>
                </c:pt>
                <c:pt idx="3">
                  <c:v>12.314</c:v>
                </c:pt>
                <c:pt idx="4">
                  <c:v>22.654</c:v>
                </c:pt>
                <c:pt idx="5">
                  <c:v>31.49</c:v>
                </c:pt>
                <c:pt idx="6">
                  <c:v>37.552999999999997</c:v>
                </c:pt>
                <c:pt idx="7">
                  <c:v>48.88</c:v>
                </c:pt>
                <c:pt idx="8">
                  <c:v>55.271999999999998</c:v>
                </c:pt>
                <c:pt idx="9">
                  <c:v>68.478999999999999</c:v>
                </c:pt>
                <c:pt idx="10">
                  <c:v>83.566000000000003</c:v>
                </c:pt>
                <c:pt idx="11">
                  <c:v>90.192999999999998</c:v>
                </c:pt>
                <c:pt idx="12">
                  <c:v>163.51300000000001</c:v>
                </c:pt>
                <c:pt idx="13">
                  <c:v>203.18100000000001</c:v>
                </c:pt>
                <c:pt idx="14">
                  <c:v>249.71100000000001</c:v>
                </c:pt>
                <c:pt idx="15">
                  <c:v>310.29399999999998</c:v>
                </c:pt>
                <c:pt idx="16">
                  <c:v>389.67700000000002</c:v>
                </c:pt>
                <c:pt idx="17">
                  <c:v>485.15750000000003</c:v>
                </c:pt>
                <c:pt idx="18">
                  <c:v>612.27487499999995</c:v>
                </c:pt>
                <c:pt idx="19">
                  <c:v>765.95459374999996</c:v>
                </c:pt>
                <c:pt idx="20">
                  <c:v>953.36599218749996</c:v>
                </c:pt>
                <c:pt idx="21">
                  <c:v>1206.1364902343751</c:v>
                </c:pt>
                <c:pt idx="22">
                  <c:v>1457.0281127929688</c:v>
                </c:pt>
                <c:pt idx="23">
                  <c:v>1821.696390991211</c:v>
                </c:pt>
                <c:pt idx="24">
                  <c:v>2274.1242387390139</c:v>
                </c:pt>
                <c:pt idx="25">
                  <c:v>2841.327548423767</c:v>
                </c:pt>
                <c:pt idx="26">
                  <c:v>3551.6594355297088</c:v>
                </c:pt>
                <c:pt idx="27">
                  <c:v>4439.5742944121357</c:v>
                </c:pt>
                <c:pt idx="28">
                  <c:v>5549.4678680151701</c:v>
                </c:pt>
                <c:pt idx="29">
                  <c:v>6936.8348350189626</c:v>
                </c:pt>
                <c:pt idx="30">
                  <c:v>8671.0435437737033</c:v>
                </c:pt>
                <c:pt idx="31">
                  <c:v>10838.804429717129</c:v>
                </c:pt>
                <c:pt idx="32">
                  <c:v>13548.505537146411</c:v>
                </c:pt>
                <c:pt idx="33">
                  <c:v>16935.631921433014</c:v>
                </c:pt>
                <c:pt idx="34">
                  <c:v>21169.539901791268</c:v>
                </c:pt>
                <c:pt idx="35">
                  <c:v>26461.924877239086</c:v>
                </c:pt>
                <c:pt idx="36">
                  <c:v>33077.406096548861</c:v>
                </c:pt>
                <c:pt idx="37">
                  <c:v>41346.757620686069</c:v>
                </c:pt>
                <c:pt idx="38">
                  <c:v>51683.447025857597</c:v>
                </c:pt>
                <c:pt idx="39">
                  <c:v>64604.30878232199</c:v>
                </c:pt>
                <c:pt idx="40">
                  <c:v>80755.385977902493</c:v>
                </c:pt>
                <c:pt idx="41">
                  <c:v>100944.23247237811</c:v>
                </c:pt>
                <c:pt idx="42">
                  <c:v>126180.29059047264</c:v>
                </c:pt>
                <c:pt idx="43">
                  <c:v>157725.36323809079</c:v>
                </c:pt>
                <c:pt idx="44">
                  <c:v>197156.70404761349</c:v>
                </c:pt>
                <c:pt idx="45">
                  <c:v>246445.88005951687</c:v>
                </c:pt>
                <c:pt idx="46">
                  <c:v>308057.35007439612</c:v>
                </c:pt>
                <c:pt idx="47">
                  <c:v>385071.68759299506</c:v>
                </c:pt>
                <c:pt idx="48">
                  <c:v>481339.60949124378</c:v>
                </c:pt>
                <c:pt idx="49">
                  <c:v>601674.51186405483</c:v>
                </c:pt>
                <c:pt idx="50">
                  <c:v>752093.13983006857</c:v>
                </c:pt>
                <c:pt idx="51">
                  <c:v>940116.42478758574</c:v>
                </c:pt>
                <c:pt idx="52">
                  <c:v>1175145.530984482</c:v>
                </c:pt>
                <c:pt idx="53">
                  <c:v>1398439.9230494851</c:v>
                </c:pt>
                <c:pt idx="54">
                  <c:v>1354265.3764118564</c:v>
                </c:pt>
                <c:pt idx="55">
                  <c:v>1299047.1931148202</c:v>
                </c:pt>
                <c:pt idx="56">
                  <c:v>1230024.4639935254</c:v>
                </c:pt>
                <c:pt idx="57">
                  <c:v>1143746.0525919066</c:v>
                </c:pt>
                <c:pt idx="58">
                  <c:v>1035898.0383398834</c:v>
                </c:pt>
                <c:pt idx="59">
                  <c:v>901088.02052485431</c:v>
                </c:pt>
                <c:pt idx="60">
                  <c:v>732575.49825606786</c:v>
                </c:pt>
                <c:pt idx="61">
                  <c:v>521934.84542008466</c:v>
                </c:pt>
                <c:pt idx="62">
                  <c:v>258634.02937510592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4"/>
          <c:tx>
            <c:strRef>
              <c:f>'Projections Data'!$F$22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Data'!$G$22:$IN$22</c:f>
              <c:numCache>
                <c:formatCode>_-* #,##0_-;\-* #,##0_-;_-* "-"??_-;_-@_-</c:formatCode>
                <c:ptCount val="242"/>
                <c:pt idx="0">
                  <c:v>6.11</c:v>
                </c:pt>
                <c:pt idx="1">
                  <c:v>7.4729999999999999</c:v>
                </c:pt>
                <c:pt idx="2">
                  <c:v>9.2119999999999997</c:v>
                </c:pt>
                <c:pt idx="3">
                  <c:v>12.314</c:v>
                </c:pt>
                <c:pt idx="4">
                  <c:v>22.654</c:v>
                </c:pt>
                <c:pt idx="5">
                  <c:v>31.49</c:v>
                </c:pt>
                <c:pt idx="6">
                  <c:v>37.552999999999997</c:v>
                </c:pt>
                <c:pt idx="7">
                  <c:v>48.88</c:v>
                </c:pt>
                <c:pt idx="8">
                  <c:v>55.271999999999998</c:v>
                </c:pt>
                <c:pt idx="9">
                  <c:v>68.478999999999999</c:v>
                </c:pt>
                <c:pt idx="10">
                  <c:v>83.566000000000003</c:v>
                </c:pt>
                <c:pt idx="11">
                  <c:v>90.192999999999998</c:v>
                </c:pt>
                <c:pt idx="12">
                  <c:v>163.51300000000001</c:v>
                </c:pt>
                <c:pt idx="13">
                  <c:v>203.18100000000001</c:v>
                </c:pt>
                <c:pt idx="14">
                  <c:v>249.71100000000001</c:v>
                </c:pt>
                <c:pt idx="15">
                  <c:v>310.29399999999998</c:v>
                </c:pt>
                <c:pt idx="16">
                  <c:v>440.94459999999998</c:v>
                </c:pt>
                <c:pt idx="17">
                  <c:v>621.01663999999994</c:v>
                </c:pt>
                <c:pt idx="18">
                  <c:v>882.5832959999999</c:v>
                </c:pt>
                <c:pt idx="19">
                  <c:v>1244.5184143999998</c:v>
                </c:pt>
                <c:pt idx="20">
                  <c:v>1748.5203801599998</c:v>
                </c:pt>
                <c:pt idx="21">
                  <c:v>2475.8089322239994</c:v>
                </c:pt>
                <c:pt idx="22">
                  <c:v>3430.1399051135991</c:v>
                </c:pt>
                <c:pt idx="23">
                  <c:v>4828.515867159038</c:v>
                </c:pt>
                <c:pt idx="24">
                  <c:v>6789.2502140226534</c:v>
                </c:pt>
                <c:pt idx="25">
                  <c:v>9544.4772996317133</c:v>
                </c:pt>
                <c:pt idx="26">
                  <c:v>13362.268219484398</c:v>
                </c:pt>
                <c:pt idx="27">
                  <c:v>18707.175507278156</c:v>
                </c:pt>
                <c:pt idx="28">
                  <c:v>26190.045710189414</c:v>
                </c:pt>
                <c:pt idx="29">
                  <c:v>36666.063994265183</c:v>
                </c:pt>
                <c:pt idx="30">
                  <c:v>51332.489591971251</c:v>
                </c:pt>
                <c:pt idx="31">
                  <c:v>71865.485428759741</c:v>
                </c:pt>
                <c:pt idx="32">
                  <c:v>100611.67960026364</c:v>
                </c:pt>
                <c:pt idx="33">
                  <c:v>140856.35144036906</c:v>
                </c:pt>
                <c:pt idx="34">
                  <c:v>197198.89201651671</c:v>
                </c:pt>
                <c:pt idx="35">
                  <c:v>276078.44882312336</c:v>
                </c:pt>
                <c:pt idx="36">
                  <c:v>386509.82835237269</c:v>
                </c:pt>
                <c:pt idx="37">
                  <c:v>541113.75969332166</c:v>
                </c:pt>
                <c:pt idx="38">
                  <c:v>757559.26357065036</c:v>
                </c:pt>
                <c:pt idx="39">
                  <c:v>1060582.9689989104</c:v>
                </c:pt>
                <c:pt idx="40">
                  <c:v>1484816.1565984744</c:v>
                </c:pt>
                <c:pt idx="41">
                  <c:v>1500699.1492390162</c:v>
                </c:pt>
                <c:pt idx="42">
                  <c:v>1470923.5650946228</c:v>
                </c:pt>
                <c:pt idx="43">
                  <c:v>1429237.7472924718</c:v>
                </c:pt>
                <c:pt idx="44">
                  <c:v>1370877.6023694607</c:v>
                </c:pt>
                <c:pt idx="45">
                  <c:v>1289173.3994772451</c:v>
                </c:pt>
                <c:pt idx="46">
                  <c:v>1174787.5154281431</c:v>
                </c:pt>
                <c:pt idx="47">
                  <c:v>1014647.2777594001</c:v>
                </c:pt>
                <c:pt idx="48">
                  <c:v>790450.94502316019</c:v>
                </c:pt>
                <c:pt idx="49">
                  <c:v>476576.07919242443</c:v>
                </c:pt>
                <c:pt idx="50">
                  <c:v>37151.267029394294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5"/>
          <c:tx>
            <c:strRef>
              <c:f>'Projections Data'!$F$23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1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'Projections Data'!$G$3:$IN$3</c:f>
              <c:numCache>
                <c:formatCode>m/d/yyyy</c:formatCode>
                <c:ptCount val="242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  <c:pt idx="92">
                  <c:v>43983</c:v>
                </c:pt>
                <c:pt idx="93">
                  <c:v>43984</c:v>
                </c:pt>
                <c:pt idx="94">
                  <c:v>43985</c:v>
                </c:pt>
                <c:pt idx="95">
                  <c:v>43986</c:v>
                </c:pt>
                <c:pt idx="96">
                  <c:v>43987</c:v>
                </c:pt>
                <c:pt idx="97">
                  <c:v>43988</c:v>
                </c:pt>
                <c:pt idx="98">
                  <c:v>43989</c:v>
                </c:pt>
                <c:pt idx="99">
                  <c:v>43990</c:v>
                </c:pt>
                <c:pt idx="100">
                  <c:v>43991</c:v>
                </c:pt>
                <c:pt idx="101">
                  <c:v>43992</c:v>
                </c:pt>
                <c:pt idx="102">
                  <c:v>43993</c:v>
                </c:pt>
                <c:pt idx="103">
                  <c:v>43994</c:v>
                </c:pt>
                <c:pt idx="104">
                  <c:v>43995</c:v>
                </c:pt>
                <c:pt idx="105">
                  <c:v>43996</c:v>
                </c:pt>
                <c:pt idx="106">
                  <c:v>43997</c:v>
                </c:pt>
                <c:pt idx="107">
                  <c:v>43998</c:v>
                </c:pt>
                <c:pt idx="108">
                  <c:v>43999</c:v>
                </c:pt>
                <c:pt idx="109">
                  <c:v>44000</c:v>
                </c:pt>
                <c:pt idx="110">
                  <c:v>44001</c:v>
                </c:pt>
                <c:pt idx="111">
                  <c:v>44002</c:v>
                </c:pt>
                <c:pt idx="112">
                  <c:v>44003</c:v>
                </c:pt>
                <c:pt idx="113">
                  <c:v>44004</c:v>
                </c:pt>
                <c:pt idx="114">
                  <c:v>44005</c:v>
                </c:pt>
                <c:pt idx="115">
                  <c:v>44006</c:v>
                </c:pt>
                <c:pt idx="116">
                  <c:v>44007</c:v>
                </c:pt>
                <c:pt idx="117">
                  <c:v>44008</c:v>
                </c:pt>
                <c:pt idx="118">
                  <c:v>44009</c:v>
                </c:pt>
                <c:pt idx="119">
                  <c:v>44010</c:v>
                </c:pt>
                <c:pt idx="120">
                  <c:v>44011</c:v>
                </c:pt>
                <c:pt idx="121">
                  <c:v>44012</c:v>
                </c:pt>
                <c:pt idx="122">
                  <c:v>44013</c:v>
                </c:pt>
                <c:pt idx="123">
                  <c:v>44014</c:v>
                </c:pt>
                <c:pt idx="124">
                  <c:v>44015</c:v>
                </c:pt>
                <c:pt idx="125">
                  <c:v>44016</c:v>
                </c:pt>
                <c:pt idx="126">
                  <c:v>44017</c:v>
                </c:pt>
                <c:pt idx="127">
                  <c:v>44018</c:v>
                </c:pt>
                <c:pt idx="128">
                  <c:v>44019</c:v>
                </c:pt>
                <c:pt idx="129">
                  <c:v>44020</c:v>
                </c:pt>
                <c:pt idx="130">
                  <c:v>44021</c:v>
                </c:pt>
                <c:pt idx="131">
                  <c:v>44022</c:v>
                </c:pt>
                <c:pt idx="132">
                  <c:v>44023</c:v>
                </c:pt>
                <c:pt idx="133">
                  <c:v>44024</c:v>
                </c:pt>
                <c:pt idx="134">
                  <c:v>44025</c:v>
                </c:pt>
                <c:pt idx="135">
                  <c:v>44026</c:v>
                </c:pt>
                <c:pt idx="136">
                  <c:v>44027</c:v>
                </c:pt>
                <c:pt idx="137">
                  <c:v>44028</c:v>
                </c:pt>
                <c:pt idx="138">
                  <c:v>44029</c:v>
                </c:pt>
                <c:pt idx="139">
                  <c:v>44030</c:v>
                </c:pt>
                <c:pt idx="140">
                  <c:v>44031</c:v>
                </c:pt>
                <c:pt idx="141">
                  <c:v>44032</c:v>
                </c:pt>
                <c:pt idx="142">
                  <c:v>44033</c:v>
                </c:pt>
                <c:pt idx="143">
                  <c:v>44034</c:v>
                </c:pt>
                <c:pt idx="144">
                  <c:v>44035</c:v>
                </c:pt>
                <c:pt idx="145">
                  <c:v>44036</c:v>
                </c:pt>
                <c:pt idx="146">
                  <c:v>44037</c:v>
                </c:pt>
                <c:pt idx="147">
                  <c:v>44038</c:v>
                </c:pt>
                <c:pt idx="148">
                  <c:v>44039</c:v>
                </c:pt>
                <c:pt idx="149">
                  <c:v>44040</c:v>
                </c:pt>
                <c:pt idx="150">
                  <c:v>44041</c:v>
                </c:pt>
                <c:pt idx="151">
                  <c:v>44042</c:v>
                </c:pt>
                <c:pt idx="152">
                  <c:v>44043</c:v>
                </c:pt>
                <c:pt idx="153">
                  <c:v>44044</c:v>
                </c:pt>
                <c:pt idx="154">
                  <c:v>44045</c:v>
                </c:pt>
                <c:pt idx="155">
                  <c:v>44046</c:v>
                </c:pt>
                <c:pt idx="156">
                  <c:v>44047</c:v>
                </c:pt>
                <c:pt idx="157">
                  <c:v>44048</c:v>
                </c:pt>
                <c:pt idx="158">
                  <c:v>44049</c:v>
                </c:pt>
                <c:pt idx="159">
                  <c:v>44050</c:v>
                </c:pt>
                <c:pt idx="160">
                  <c:v>44051</c:v>
                </c:pt>
                <c:pt idx="161">
                  <c:v>44052</c:v>
                </c:pt>
                <c:pt idx="162">
                  <c:v>44053</c:v>
                </c:pt>
                <c:pt idx="163">
                  <c:v>44054</c:v>
                </c:pt>
                <c:pt idx="164">
                  <c:v>44055</c:v>
                </c:pt>
                <c:pt idx="165">
                  <c:v>44056</c:v>
                </c:pt>
                <c:pt idx="166">
                  <c:v>44057</c:v>
                </c:pt>
                <c:pt idx="167">
                  <c:v>44058</c:v>
                </c:pt>
                <c:pt idx="168">
                  <c:v>44059</c:v>
                </c:pt>
                <c:pt idx="169">
                  <c:v>44060</c:v>
                </c:pt>
                <c:pt idx="170">
                  <c:v>44061</c:v>
                </c:pt>
                <c:pt idx="171">
                  <c:v>44062</c:v>
                </c:pt>
                <c:pt idx="172">
                  <c:v>44063</c:v>
                </c:pt>
                <c:pt idx="173">
                  <c:v>44064</c:v>
                </c:pt>
                <c:pt idx="174">
                  <c:v>44065</c:v>
                </c:pt>
                <c:pt idx="175">
                  <c:v>44066</c:v>
                </c:pt>
                <c:pt idx="176">
                  <c:v>44067</c:v>
                </c:pt>
                <c:pt idx="177">
                  <c:v>44068</c:v>
                </c:pt>
                <c:pt idx="178">
                  <c:v>44069</c:v>
                </c:pt>
                <c:pt idx="179">
                  <c:v>44070</c:v>
                </c:pt>
                <c:pt idx="180">
                  <c:v>44071</c:v>
                </c:pt>
                <c:pt idx="181">
                  <c:v>44072</c:v>
                </c:pt>
                <c:pt idx="182">
                  <c:v>44073</c:v>
                </c:pt>
                <c:pt idx="183">
                  <c:v>44074</c:v>
                </c:pt>
                <c:pt idx="184">
                  <c:v>44075</c:v>
                </c:pt>
                <c:pt idx="185">
                  <c:v>44076</c:v>
                </c:pt>
                <c:pt idx="186">
                  <c:v>44077</c:v>
                </c:pt>
                <c:pt idx="187">
                  <c:v>44078</c:v>
                </c:pt>
                <c:pt idx="188">
                  <c:v>44079</c:v>
                </c:pt>
                <c:pt idx="189">
                  <c:v>44080</c:v>
                </c:pt>
                <c:pt idx="190">
                  <c:v>44081</c:v>
                </c:pt>
                <c:pt idx="191">
                  <c:v>44082</c:v>
                </c:pt>
                <c:pt idx="192">
                  <c:v>44083</c:v>
                </c:pt>
                <c:pt idx="193">
                  <c:v>44084</c:v>
                </c:pt>
                <c:pt idx="194">
                  <c:v>44085</c:v>
                </c:pt>
                <c:pt idx="195">
                  <c:v>44086</c:v>
                </c:pt>
                <c:pt idx="196">
                  <c:v>44087</c:v>
                </c:pt>
                <c:pt idx="197">
                  <c:v>44088</c:v>
                </c:pt>
                <c:pt idx="198">
                  <c:v>44089</c:v>
                </c:pt>
                <c:pt idx="199">
                  <c:v>44090</c:v>
                </c:pt>
                <c:pt idx="200">
                  <c:v>44091</c:v>
                </c:pt>
                <c:pt idx="201">
                  <c:v>44092</c:v>
                </c:pt>
                <c:pt idx="202">
                  <c:v>44093</c:v>
                </c:pt>
                <c:pt idx="203">
                  <c:v>44094</c:v>
                </c:pt>
                <c:pt idx="204">
                  <c:v>44095</c:v>
                </c:pt>
                <c:pt idx="205">
                  <c:v>44096</c:v>
                </c:pt>
                <c:pt idx="206">
                  <c:v>44097</c:v>
                </c:pt>
                <c:pt idx="207">
                  <c:v>44098</c:v>
                </c:pt>
                <c:pt idx="208">
                  <c:v>44099</c:v>
                </c:pt>
                <c:pt idx="209">
                  <c:v>44100</c:v>
                </c:pt>
                <c:pt idx="210">
                  <c:v>44101</c:v>
                </c:pt>
                <c:pt idx="211">
                  <c:v>44102</c:v>
                </c:pt>
                <c:pt idx="212">
                  <c:v>44103</c:v>
                </c:pt>
                <c:pt idx="213">
                  <c:v>44104</c:v>
                </c:pt>
                <c:pt idx="214">
                  <c:v>44105</c:v>
                </c:pt>
                <c:pt idx="215">
                  <c:v>44106</c:v>
                </c:pt>
                <c:pt idx="216">
                  <c:v>44107</c:v>
                </c:pt>
                <c:pt idx="217">
                  <c:v>44108</c:v>
                </c:pt>
                <c:pt idx="218">
                  <c:v>44109</c:v>
                </c:pt>
                <c:pt idx="219">
                  <c:v>44110</c:v>
                </c:pt>
                <c:pt idx="220">
                  <c:v>44111</c:v>
                </c:pt>
                <c:pt idx="221">
                  <c:v>44112</c:v>
                </c:pt>
                <c:pt idx="222">
                  <c:v>44113</c:v>
                </c:pt>
                <c:pt idx="223">
                  <c:v>44114</c:v>
                </c:pt>
                <c:pt idx="224">
                  <c:v>44115</c:v>
                </c:pt>
                <c:pt idx="225">
                  <c:v>44116</c:v>
                </c:pt>
                <c:pt idx="226">
                  <c:v>44117</c:v>
                </c:pt>
                <c:pt idx="227">
                  <c:v>44118</c:v>
                </c:pt>
                <c:pt idx="228">
                  <c:v>44119</c:v>
                </c:pt>
                <c:pt idx="229">
                  <c:v>44120</c:v>
                </c:pt>
                <c:pt idx="230">
                  <c:v>44121</c:v>
                </c:pt>
                <c:pt idx="231">
                  <c:v>44122</c:v>
                </c:pt>
                <c:pt idx="232">
                  <c:v>44123</c:v>
                </c:pt>
                <c:pt idx="233">
                  <c:v>44124</c:v>
                </c:pt>
                <c:pt idx="234">
                  <c:v>44125</c:v>
                </c:pt>
                <c:pt idx="235">
                  <c:v>44126</c:v>
                </c:pt>
                <c:pt idx="236">
                  <c:v>44127</c:v>
                </c:pt>
                <c:pt idx="237">
                  <c:v>44128</c:v>
                </c:pt>
                <c:pt idx="238">
                  <c:v>44129</c:v>
                </c:pt>
                <c:pt idx="239">
                  <c:v>44130</c:v>
                </c:pt>
                <c:pt idx="240">
                  <c:v>44131</c:v>
                </c:pt>
                <c:pt idx="241">
                  <c:v>44132</c:v>
                </c:pt>
              </c:numCache>
            </c:numRef>
          </c:cat>
          <c:val>
            <c:numRef>
              <c:f>'Projections Data'!$G$23:$IN$23</c:f>
              <c:numCache>
                <c:formatCode>General</c:formatCode>
                <c:ptCount val="2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7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36697.3665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5542965665876E-2"/>
          <c:y val="4.0204678362573097E-2"/>
          <c:w val="0.72780846534149513"/>
          <c:h val="0.85166300298134812"/>
        </c:manualLayout>
      </c:layout>
      <c:lineChart>
        <c:grouping val="standard"/>
        <c:varyColors val="0"/>
        <c:ser>
          <c:idx val="1"/>
          <c:order val="0"/>
          <c:tx>
            <c:strRef>
              <c:f>DaysSince100!$H$2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DaysSince100!$I$2:$DJ$2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DaysSince100!$H$3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DaysSince100!$I$3:$DJ$3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DaysSince100!$H$4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DaysSince100!$I$4:$DJ$4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DaysSince100!$H$5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DaysSince100!$I$5:$DJ$5</c:f>
              <c:numCache>
                <c:formatCode>General</c:formatCode>
                <c:ptCount val="106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DaysSince100!$H$6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chemeClr val="accent1">
                  <a:lumMod val="40000"/>
                  <a:lumOff val="6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DaysSince100!$I$6:$DJ$6</c:f>
              <c:numCache>
                <c:formatCode>General</c:formatCode>
                <c:ptCount val="106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14000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DaysSince100!$H$7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DaysSince100!$I$7:$DJ$7</c:f>
              <c:numCache>
                <c:formatCode>General</c:formatCode>
                <c:ptCount val="106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5988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DaysSince100!$H$8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DaysSince100!$I$8:$DJ$8</c:f>
              <c:numCache>
                <c:formatCode>General</c:formatCode>
                <c:ptCount val="106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DaysSince100!$H$9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DaysSince100!$I$9:$DJ$9</c:f>
              <c:numCache>
                <c:formatCode>General</c:formatCode>
                <c:ptCount val="106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DaysSince100!$H$10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DaysSince100!$I$10:$DJ$10</c:f>
              <c:numCache>
                <c:formatCode>General</c:formatCode>
                <c:ptCount val="106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DaysSince100!$H$11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DaysSince100!$I$11:$DJ$11</c:f>
              <c:numCache>
                <c:formatCode>General</c:formatCode>
                <c:ptCount val="106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DaysSince100!$H$12</c:f>
              <c:strCache>
                <c:ptCount val="1"/>
                <c:pt idx="0">
                  <c:v>Germany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DaysSince100!$I$12:$DJ$12</c:f>
              <c:numCache>
                <c:formatCode>General</c:formatCode>
                <c:ptCount val="10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DaysSince100!$H$13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DaysSince100!$I$13:$DJ$13</c:f>
              <c:numCache>
                <c:formatCode>General</c:formatCode>
                <c:ptCount val="106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957</c:v>
                </c:pt>
                <c:pt idx="7">
                  <c:v>1134</c:v>
                </c:pt>
                <c:pt idx="8">
                  <c:v>1217</c:v>
                </c:pt>
                <c:pt idx="9">
                  <c:v>1792</c:v>
                </c:pt>
                <c:pt idx="10">
                  <c:v>2289</c:v>
                </c:pt>
                <c:pt idx="11">
                  <c:v>2289</c:v>
                </c:pt>
                <c:pt idx="12">
                  <c:v>3672</c:v>
                </c:pt>
                <c:pt idx="13">
                  <c:v>4480</c:v>
                </c:pt>
                <c:pt idx="14">
                  <c:v>4513</c:v>
                </c:pt>
                <c:pt idx="15">
                  <c:v>6650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DaysSince100!$H$14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DaysSince100!$I$14:$DJ$14</c:f>
              <c:numCache>
                <c:formatCode>General</c:formatCode>
                <c:ptCount val="106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DaysSince100!$H$15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DaysSince100!$I$15:$DJ$15</c:f>
              <c:numCache>
                <c:formatCode>General</c:formatCode>
                <c:ptCount val="106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804</c:v>
                </c:pt>
                <c:pt idx="8">
                  <c:v>960</c:v>
                </c:pt>
                <c:pt idx="9">
                  <c:v>1136</c:v>
                </c:pt>
                <c:pt idx="10">
                  <c:v>1414</c:v>
                </c:pt>
                <c:pt idx="11">
                  <c:v>1705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DaysSince100!$H$16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DaysSince100!$I$16:$DJ$16</c:f>
              <c:numCache>
                <c:formatCode>General</c:formatCode>
                <c:ptCount val="106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DaysSince100!$H$17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DaysSince100!$I$17:$DJ$17</c:f>
              <c:numCache>
                <c:formatCode>General</c:formatCode>
                <c:ptCount val="106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DaysSince100!$H$18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DaysSince100!$I$18:$DJ$18</c:f>
              <c:numCache>
                <c:formatCode>General</c:formatCode>
                <c:ptCount val="106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DaysSince100!$H$19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DaysSince100!$I$19:$DJ$19</c:f>
              <c:numCache>
                <c:formatCode>General</c:formatCode>
                <c:ptCount val="106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DaysSince100!$H$20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DaysSince100!$I$20:$DJ$20</c:f>
              <c:numCache>
                <c:formatCode>General</c:formatCode>
                <c:ptCount val="106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DaysSince100!$H$21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DaysSince100!$I$21:$DJ$21</c:f>
              <c:numCache>
                <c:formatCode>General</c:formatCode>
                <c:ptCount val="106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DaysSince100!$H$23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DaysSince100!$I$23:$DJ$23</c:f>
              <c:numCache>
                <c:formatCode>General</c:formatCode>
                <c:ptCount val="106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DaysSince100!$H$24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DaysSince100!$I$24:$DJ$24</c:f>
              <c:numCache>
                <c:formatCode>General</c:formatCode>
                <c:ptCount val="106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DaysSince100!$H$25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DaysSince100!$I$25:$DJ$25</c:f>
              <c:numCache>
                <c:formatCode>General</c:formatCode>
                <c:ptCount val="106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DaysSince100!$H$26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DaysSince100!$I$26:$DJ$26</c:f>
              <c:numCache>
                <c:formatCode>General</c:formatCode>
                <c:ptCount val="106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DaysSince100!$H$27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DaysSince100!$I$27:$DJ$27</c:f>
              <c:numCache>
                <c:formatCode>General</c:formatCode>
                <c:ptCount val="106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DaysSince100!$H$28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DaysSince100!$I$28:$DJ$28</c:f>
              <c:numCache>
                <c:formatCode>General</c:formatCode>
                <c:ptCount val="106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DaysSince100!$H$29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DaysSince100!$I$29:$DJ$29</c:f>
              <c:numCache>
                <c:formatCode>General</c:formatCode>
                <c:ptCount val="106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DaysSince100!$H$30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DaysSince100!$I$30:$DJ$30</c:f>
              <c:numCache>
                <c:formatCode>General</c:formatCode>
                <c:ptCount val="106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DaysSince100!$H$31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DaysSince100!$I$31:$DJ$31</c:f>
              <c:numCache>
                <c:formatCode>General</c:formatCode>
                <c:ptCount val="106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DaysSince100!$H$32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DaysSince100!$I$32:$DJ$32</c:f>
              <c:numCache>
                <c:formatCode>General</c:formatCode>
                <c:ptCount val="106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DaysSince100!$H$33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DaysSince100!$I$33:$DJ$33</c:f>
              <c:numCache>
                <c:formatCode>General</c:formatCode>
                <c:ptCount val="106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DaysSince100!$H$34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DaysSince100!$I$34:$DJ$34</c:f>
              <c:numCache>
                <c:formatCode>General</c:formatCode>
                <c:ptCount val="106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DaysSince100!$H$35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DaysSince100!$I$35:$DJ$35</c:f>
              <c:numCache>
                <c:formatCode>General</c:formatCode>
                <c:ptCount val="106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DaysSince100!$H$36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DaysSince100!$I$36:$DJ$36</c:f>
              <c:numCache>
                <c:formatCode>General</c:formatCode>
                <c:ptCount val="106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DaysSince100!$H$37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DaysSince100!$I$37:$DJ$37</c:f>
              <c:numCache>
                <c:formatCode>General</c:formatCode>
                <c:ptCount val="106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DaysSince100!$H$38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DaysSince100!$I$38:$DJ$38</c:f>
              <c:numCache>
                <c:formatCode>General</c:formatCode>
                <c:ptCount val="106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DaysSince100!$H$39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DaysSince100!$I$39:$DJ$39</c:f>
              <c:numCache>
                <c:formatCode>General</c:formatCode>
                <c:ptCount val="106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DaysSince100!$H$40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DaysSince100!$I$40:$DJ$40</c:f>
              <c:numCache>
                <c:formatCode>General</c:formatCode>
                <c:ptCount val="106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DaysSince100!$H$41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DaysSince100!$I$41:$DJ$41</c:f>
              <c:numCache>
                <c:formatCode>General</c:formatCode>
                <c:ptCount val="106"/>
                <c:pt idx="0">
                  <c:v>155</c:v>
                </c:pt>
                <c:pt idx="1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DaysSince100!$H$42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DaysSince100!$I$42:$DJ$42</c:f>
              <c:numCache>
                <c:formatCode>General</c:formatCode>
                <c:ptCount val="106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DaysSince100!$H$43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DaysSince100!$I$43:$DJ$43</c:f>
              <c:numCache>
                <c:formatCode>General</c:formatCode>
                <c:ptCount val="106"/>
                <c:pt idx="0">
                  <c:v>114</c:v>
                </c:pt>
                <c:pt idx="1">
                  <c:v>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DaysSince100!$H$44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DaysSince100!$I$44:$DJ$44</c:f>
              <c:numCache>
                <c:formatCode>General</c:formatCode>
                <c:ptCount val="106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DaysSince100!$H$45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DaysSince100!$I$45:$DJ$45</c:f>
              <c:numCache>
                <c:formatCode>General</c:formatCode>
                <c:ptCount val="106"/>
                <c:pt idx="0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DaysSince100!$H$46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DaysSince100!$I$46:$DJ$46</c:f>
              <c:numCache>
                <c:formatCode>General</c:formatCode>
                <c:ptCount val="106"/>
                <c:pt idx="0">
                  <c:v>117</c:v>
                </c:pt>
                <c:pt idx="1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DaysSince100!$H$47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DaysSince100!$I$47:$DJ$47</c:f>
              <c:numCache>
                <c:formatCode>General</c:formatCode>
                <c:ptCount val="106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DaysSince100!$H$48</c:f>
              <c:strCache>
                <c:ptCount val="1"/>
                <c:pt idx="0">
                  <c:v>Kuwait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DaysSince100!$I$48:$DJ$48</c:f>
              <c:numCache>
                <c:formatCode>General</c:formatCode>
                <c:ptCount val="106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DaysSince100!$H$49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DaysSince100!$I$49:$DJ$49</c:f>
              <c:numCache>
                <c:formatCode>General</c:formatCode>
                <c:ptCount val="106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DaysSince100!$H$50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DaysSince100!$I$50:$DJ$50</c:f>
              <c:numCache>
                <c:formatCode>General</c:formatCode>
                <c:ptCount val="106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DaysSince100!$H$51</c:f>
              <c:strCache>
                <c:ptCount val="1"/>
                <c:pt idx="0">
                  <c:v>Lebanon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DaysSince100!$I$51:$DJ$51</c:f>
              <c:numCache>
                <c:formatCode>General</c:formatCode>
                <c:ptCount val="106"/>
                <c:pt idx="0">
                  <c:v>110</c:v>
                </c:pt>
                <c:pt idx="1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DaysSince100!$H$52</c:f>
              <c:strCache>
                <c:ptCount val="1"/>
                <c:pt idx="0">
                  <c:v>San Marino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DaysSince100!$I$52:$DJ$52</c:f>
              <c:numCache>
                <c:formatCode>General</c:formatCode>
                <c:ptCount val="106"/>
                <c:pt idx="0">
                  <c:v>101</c:v>
                </c:pt>
                <c:pt idx="1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3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2.1642300251611832E-2"/>
          <c:w val="0.18334793943337183"/>
          <c:h val="0.950622632658362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141514</xdr:colOff>
      <xdr:row>1</xdr:row>
      <xdr:rowOff>1089</xdr:rowOff>
    </xdr:from>
    <xdr:to>
      <xdr:col>17</xdr:col>
      <xdr:colOff>533400</xdr:colOff>
      <xdr:row>25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25</xdr:row>
      <xdr:rowOff>129540</xdr:rowOff>
    </xdr:from>
    <xdr:to>
      <xdr:col>17</xdr:col>
      <xdr:colOff>533399</xdr:colOff>
      <xdr:row>50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21</xdr:col>
      <xdr:colOff>0</xdr:colOff>
      <xdr:row>6</xdr:row>
      <xdr:rowOff>0</xdr:rowOff>
    </xdr:from>
    <xdr:ext cx="1173480" cy="264560"/>
    <xdr:sp macro="[0]!Sheet6.MinMax2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4499771" y="104502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oneCellAnchor>
    <xdr:from>
      <xdr:col>21</xdr:col>
      <xdr:colOff>0</xdr:colOff>
      <xdr:row>8</xdr:row>
      <xdr:rowOff>40278</xdr:rowOff>
    </xdr:from>
    <xdr:ext cx="1173480" cy="264560"/>
    <xdr:sp macro="[0]!Sheet6.MinMax3" textlink="">
      <xdr:nvSpPr>
        <xdr:cNvPr id="5" name="TextBox 4">
          <a:extLst>
            <a:ext uri="{FF2B5EF4-FFF2-40B4-BE49-F238E27FC236}">
              <a16:creationId xmlns:a16="http://schemas.microsoft.com/office/drawing/2014/main" id="{E9565EA1-B424-4026-921E-14680A1CE5ED}"/>
            </a:ext>
          </a:extLst>
        </xdr:cNvPr>
        <xdr:cNvSpPr txBox="1"/>
      </xdr:nvSpPr>
      <xdr:spPr>
        <a:xfrm>
          <a:off x="14499771" y="143364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22860</xdr:rowOff>
    </xdr:from>
    <xdr:to>
      <xdr:col>15</xdr:col>
      <xdr:colOff>502920</xdr:colOff>
      <xdr:row>29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82296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RUN</a:t>
          </a:r>
        </a:p>
      </xdr:txBody>
    </xdr:sp>
    <xdr:clientData/>
  </xdr:oneCellAnchor>
  <xdr:oneCellAnchor>
    <xdr:from>
      <xdr:col>20</xdr:col>
      <xdr:colOff>137160</xdr:colOff>
      <xdr:row>6</xdr:row>
      <xdr:rowOff>7620</xdr:rowOff>
    </xdr:from>
    <xdr:ext cx="822960" cy="264560"/>
    <xdr:sp macro="[0]!Macro" textlink="">
      <xdr:nvSpPr>
        <xdr:cNvPr id="4" name="TextBox 3">
          <a:extLst>
            <a:ext uri="{FF2B5EF4-FFF2-40B4-BE49-F238E27FC236}">
              <a16:creationId xmlns:a16="http://schemas.microsoft.com/office/drawing/2014/main" id="{749CAB7E-3D04-40FF-AB14-4D2D57C87734}"/>
            </a:ext>
          </a:extLst>
        </xdr:cNvPr>
        <xdr:cNvSpPr txBox="1"/>
      </xdr:nvSpPr>
      <xdr:spPr>
        <a:xfrm>
          <a:off x="12496800" y="110490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W51"/>
  <sheetViews>
    <sheetView showGridLines="0" topLeftCell="A6" zoomScale="70" zoomScaleNormal="70" workbookViewId="0">
      <selection activeCell="C10" sqref="C10"/>
    </sheetView>
  </sheetViews>
  <sheetFormatPr defaultRowHeight="13.8" x14ac:dyDescent="0.25"/>
  <cols>
    <col min="1" max="1" width="3.21875" style="42" customWidth="1"/>
    <col min="2" max="2" width="32.44140625" style="42" bestFit="1" customWidth="1"/>
    <col min="3" max="3" width="17.21875" style="42" bestFit="1" customWidth="1"/>
    <col min="4" max="16384" width="8.88671875" style="42"/>
  </cols>
  <sheetData>
    <row r="1" spans="1:23" x14ac:dyDescent="0.25">
      <c r="A1" s="64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6"/>
    </row>
    <row r="2" spans="1:23" x14ac:dyDescent="0.25">
      <c r="A2" s="67"/>
      <c r="B2" s="75" t="s">
        <v>628</v>
      </c>
      <c r="C2" s="75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9"/>
    </row>
    <row r="3" spans="1:23" x14ac:dyDescent="0.25">
      <c r="A3" s="67"/>
      <c r="B3" s="75"/>
      <c r="C3" s="75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23" x14ac:dyDescent="0.25">
      <c r="A4" s="67"/>
      <c r="B4" s="75"/>
      <c r="C4" s="75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23" x14ac:dyDescent="0.25">
      <c r="A5" s="67"/>
      <c r="B5" s="75"/>
      <c r="C5" s="75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9"/>
    </row>
    <row r="6" spans="1:23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9"/>
    </row>
    <row r="7" spans="1:23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9"/>
    </row>
    <row r="8" spans="1:23" x14ac:dyDescent="0.25">
      <c r="A8" s="67"/>
      <c r="B8" s="77" t="s">
        <v>518</v>
      </c>
      <c r="C8" s="76" t="s">
        <v>80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9"/>
    </row>
    <row r="9" spans="1:23" x14ac:dyDescent="0.25">
      <c r="A9" s="67"/>
      <c r="B9" s="77"/>
      <c r="C9" s="76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9"/>
    </row>
    <row r="10" spans="1:23" x14ac:dyDescent="0.25">
      <c r="A10" s="67"/>
      <c r="B10" s="73"/>
      <c r="C10" s="73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9"/>
    </row>
    <row r="11" spans="1:23" x14ac:dyDescent="0.25">
      <c r="A11" s="67"/>
      <c r="B11" s="77" t="s">
        <v>611</v>
      </c>
      <c r="C11" s="79">
        <f>'Projections Data'!C4</f>
        <v>7272</v>
      </c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9"/>
    </row>
    <row r="12" spans="1:23" x14ac:dyDescent="0.25">
      <c r="A12" s="67"/>
      <c r="B12" s="77"/>
      <c r="C12" s="79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9"/>
    </row>
    <row r="13" spans="1:23" x14ac:dyDescent="0.25">
      <c r="A13" s="67"/>
      <c r="B13" s="77" t="s">
        <v>609</v>
      </c>
      <c r="C13" s="79">
        <f>'Projections Data'!C5</f>
        <v>16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9"/>
    </row>
    <row r="14" spans="1:23" x14ac:dyDescent="0.25">
      <c r="A14" s="67"/>
      <c r="B14" s="77"/>
      <c r="C14" s="79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9"/>
      <c r="V14" s="63" t="s">
        <v>620</v>
      </c>
      <c r="W14" s="42">
        <v>5</v>
      </c>
    </row>
    <row r="15" spans="1:23" x14ac:dyDescent="0.25">
      <c r="A15" s="67"/>
      <c r="B15" s="77" t="s">
        <v>484</v>
      </c>
      <c r="C15" s="79">
        <f>'Projections Data'!C10</f>
        <v>9503.1803250873654</v>
      </c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9"/>
    </row>
    <row r="16" spans="1:23" x14ac:dyDescent="0.25">
      <c r="A16" s="67"/>
      <c r="B16" s="77"/>
      <c r="C16" s="79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9"/>
    </row>
    <row r="17" spans="1:18" x14ac:dyDescent="0.25">
      <c r="A17" s="67"/>
      <c r="B17" s="77" t="s">
        <v>610</v>
      </c>
      <c r="C17" s="78">
        <f>'Projections Data'!C8</f>
        <v>0.30681797649716258</v>
      </c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9"/>
    </row>
    <row r="18" spans="1:18" x14ac:dyDescent="0.25">
      <c r="A18" s="67"/>
      <c r="B18" s="77"/>
      <c r="C18" s="7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9"/>
    </row>
    <row r="19" spans="1:18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9"/>
    </row>
    <row r="20" spans="1:18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9"/>
    </row>
    <row r="21" spans="1:18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9"/>
    </row>
    <row r="22" spans="1:18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9"/>
    </row>
    <row r="23" spans="1:18" x14ac:dyDescent="0.25">
      <c r="A23" s="67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9"/>
    </row>
    <row r="24" spans="1:18" x14ac:dyDescent="0.25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9"/>
    </row>
    <row r="25" spans="1:18" x14ac:dyDescent="0.25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9"/>
    </row>
    <row r="26" spans="1:18" x14ac:dyDescent="0.25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9"/>
    </row>
    <row r="27" spans="1:18" x14ac:dyDescent="0.25">
      <c r="A27" s="67"/>
      <c r="B27" s="80" t="s">
        <v>501</v>
      </c>
      <c r="C27" s="81">
        <f>'Projections Data'!C12</f>
        <v>24464.911064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9"/>
    </row>
    <row r="28" spans="1:18" x14ac:dyDescent="0.25">
      <c r="A28" s="67"/>
      <c r="B28" s="80"/>
      <c r="C28" s="81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9"/>
    </row>
    <row r="29" spans="1:18" ht="15.6" customHeight="1" x14ac:dyDescent="0.25">
      <c r="A29" s="67"/>
      <c r="B29" s="83" t="s">
        <v>629</v>
      </c>
      <c r="C29" s="84">
        <f>'Projections Data'!C11</f>
        <v>4.7E-2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9"/>
    </row>
    <row r="30" spans="1:18" ht="15.6" customHeight="1" x14ac:dyDescent="0.25">
      <c r="A30" s="67"/>
      <c r="B30" s="83"/>
      <c r="C30" s="84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9"/>
    </row>
    <row r="31" spans="1:18" ht="15.6" customHeight="1" x14ac:dyDescent="0.25">
      <c r="A31" s="67"/>
      <c r="B31" s="83" t="s">
        <v>630</v>
      </c>
      <c r="C31" s="81">
        <f ca="1">HLOOKUP(TODAY(),'Projections Data'!G3:BL18,16,FALSE)</f>
        <v>409.09647527910619</v>
      </c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9"/>
    </row>
    <row r="32" spans="1:18" ht="15.6" customHeight="1" x14ac:dyDescent="0.25">
      <c r="A32" s="67"/>
      <c r="B32" s="83"/>
      <c r="C32" s="81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9"/>
    </row>
    <row r="33" spans="1:18" x14ac:dyDescent="0.25">
      <c r="A33" s="67"/>
      <c r="B33" s="80" t="s">
        <v>612</v>
      </c>
      <c r="C33" s="82">
        <f ca="1">'Projections Data'!D24-4</f>
        <v>43923</v>
      </c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9"/>
    </row>
    <row r="34" spans="1:18" x14ac:dyDescent="0.25">
      <c r="A34" s="67"/>
      <c r="B34" s="80"/>
      <c r="C34" s="82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9"/>
    </row>
    <row r="35" spans="1:18" x14ac:dyDescent="0.25">
      <c r="A35" s="67"/>
      <c r="B35" s="80" t="s">
        <v>613</v>
      </c>
      <c r="C35" s="81">
        <f ca="1">C33-TODAY()</f>
        <v>16</v>
      </c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9"/>
    </row>
    <row r="36" spans="1:18" x14ac:dyDescent="0.25">
      <c r="A36" s="67"/>
      <c r="B36" s="80"/>
      <c r="C36" s="81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9"/>
    </row>
    <row r="37" spans="1:18" x14ac:dyDescent="0.25">
      <c r="A37" s="67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9"/>
    </row>
    <row r="38" spans="1:18" x14ac:dyDescent="0.25">
      <c r="A38" s="67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9"/>
    </row>
    <row r="39" spans="1:18" x14ac:dyDescent="0.25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9"/>
    </row>
    <row r="40" spans="1:18" x14ac:dyDescent="0.25">
      <c r="A40" s="67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9"/>
    </row>
    <row r="41" spans="1:18" x14ac:dyDescent="0.25">
      <c r="A41" s="67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9"/>
    </row>
    <row r="42" spans="1:18" x14ac:dyDescent="0.25">
      <c r="A42" s="67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9"/>
    </row>
    <row r="43" spans="1:18" x14ac:dyDescent="0.25">
      <c r="A43" s="67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9"/>
    </row>
    <row r="44" spans="1:18" x14ac:dyDescent="0.25">
      <c r="A44" s="67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9"/>
    </row>
    <row r="45" spans="1:18" x14ac:dyDescent="0.25">
      <c r="A45" s="67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9"/>
    </row>
    <row r="46" spans="1:18" x14ac:dyDescent="0.25">
      <c r="A46" s="67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9"/>
    </row>
    <row r="47" spans="1:18" x14ac:dyDescent="0.25">
      <c r="A47" s="67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9"/>
    </row>
    <row r="48" spans="1:18" x14ac:dyDescent="0.25">
      <c r="A48" s="67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9"/>
    </row>
    <row r="49" spans="1:18" x14ac:dyDescent="0.25">
      <c r="A49" s="67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9"/>
    </row>
    <row r="50" spans="1:18" x14ac:dyDescent="0.25">
      <c r="A50" s="67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9"/>
    </row>
    <row r="51" spans="1:18" ht="14.4" thickBot="1" x14ac:dyDescent="0.3">
      <c r="A51" s="70"/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2"/>
    </row>
  </sheetData>
  <mergeCells count="21">
    <mergeCell ref="B27:B28"/>
    <mergeCell ref="B11:B12"/>
    <mergeCell ref="C35:C36"/>
    <mergeCell ref="B35:B36"/>
    <mergeCell ref="C33:C34"/>
    <mergeCell ref="B33:B34"/>
    <mergeCell ref="C31:C32"/>
    <mergeCell ref="B31:B32"/>
    <mergeCell ref="C29:C30"/>
    <mergeCell ref="B29:B30"/>
    <mergeCell ref="C27:C28"/>
    <mergeCell ref="B2:C5"/>
    <mergeCell ref="C8:C9"/>
    <mergeCell ref="B8:B9"/>
    <mergeCell ref="C17:C18"/>
    <mergeCell ref="B17:B18"/>
    <mergeCell ref="C15:C16"/>
    <mergeCell ref="B15:B16"/>
    <mergeCell ref="C13:C14"/>
    <mergeCell ref="B13:B14"/>
    <mergeCell ref="C11:C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3"/>
  <sheetViews>
    <sheetView tabSelected="1" workbookViewId="0">
      <pane xSplit="6" ySplit="3" topLeftCell="G23" activePane="bottomRight" state="frozen"/>
      <selection pane="topRight" activeCell="G1" sqref="G1"/>
      <selection pane="bottomLeft" activeCell="A4" sqref="A4"/>
      <selection pane="bottomRight" activeCell="B29" sqref="B29"/>
    </sheetView>
  </sheetViews>
  <sheetFormatPr defaultColWidth="8.77734375" defaultRowHeight="14.4" x14ac:dyDescent="0.3"/>
  <cols>
    <col min="1" max="1" width="8.88671875" style="20" customWidth="1"/>
    <col min="2" max="2" width="18.44140625" style="20" customWidth="1"/>
    <col min="3" max="3" width="11.21875" style="20" bestFit="1" customWidth="1"/>
    <col min="4" max="4" width="10.5546875" style="20" bestFit="1" customWidth="1"/>
    <col min="5" max="5" width="4" style="20" bestFit="1" customWidth="1"/>
    <col min="6" max="6" width="22.33203125" style="20" bestFit="1" customWidth="1"/>
    <col min="7" max="7" width="10.5546875" style="20" bestFit="1" customWidth="1"/>
    <col min="8" max="8" width="14" style="20" bestFit="1" customWidth="1"/>
    <col min="9" max="9" width="10.5546875" style="20" bestFit="1" customWidth="1"/>
    <col min="10" max="10" width="12.109375" style="20" bestFit="1" customWidth="1"/>
    <col min="11" max="11" width="14.44140625" style="20" bestFit="1" customWidth="1"/>
    <col min="12" max="12" width="11.109375" style="20" bestFit="1" customWidth="1"/>
    <col min="13" max="13" width="10.5546875" style="20" bestFit="1" customWidth="1"/>
    <col min="14" max="14" width="13.77734375" style="20" customWidth="1"/>
    <col min="15" max="18" width="10.5546875" style="20" bestFit="1" customWidth="1"/>
    <col min="19" max="19" width="13.44140625" style="20" customWidth="1"/>
    <col min="20" max="20" width="12.33203125" style="20" bestFit="1" customWidth="1"/>
    <col min="21" max="44" width="10.5546875" style="20" bestFit="1" customWidth="1"/>
    <col min="45" max="248" width="11.21875" style="20" bestFit="1" customWidth="1"/>
    <col min="249" max="16384" width="8.77734375" style="20"/>
  </cols>
  <sheetData>
    <row r="2" spans="2:248" x14ac:dyDescent="0.3">
      <c r="B2" s="20" t="str">
        <f>Projections!C8</f>
        <v>Germany</v>
      </c>
    </row>
    <row r="3" spans="2:248" x14ac:dyDescent="0.3">
      <c r="G3" s="21">
        <f ca="1">VLOOKUP(B2,'100thDay'!B:E,4,FALSE)</f>
        <v>43891</v>
      </c>
      <c r="H3" s="21">
        <f ca="1">G3+1</f>
        <v>43892</v>
      </c>
      <c r="I3" s="21">
        <f t="shared" ref="I3:BL3" ca="1" si="0">H3+1</f>
        <v>43893</v>
      </c>
      <c r="J3" s="21">
        <f t="shared" ca="1" si="0"/>
        <v>43894</v>
      </c>
      <c r="K3" s="21">
        <f t="shared" ca="1" si="0"/>
        <v>43895</v>
      </c>
      <c r="L3" s="21">
        <f t="shared" ca="1" si="0"/>
        <v>43896</v>
      </c>
      <c r="M3" s="21">
        <f t="shared" ca="1" si="0"/>
        <v>43897</v>
      </c>
      <c r="N3" s="21">
        <f t="shared" ca="1" si="0"/>
        <v>43898</v>
      </c>
      <c r="O3" s="21">
        <f t="shared" ca="1" si="0"/>
        <v>43899</v>
      </c>
      <c r="P3" s="21">
        <f t="shared" ca="1" si="0"/>
        <v>43900</v>
      </c>
      <c r="Q3" s="21">
        <f t="shared" ca="1" si="0"/>
        <v>43901</v>
      </c>
      <c r="R3" s="21">
        <f t="shared" ca="1" si="0"/>
        <v>43902</v>
      </c>
      <c r="S3" s="21">
        <f t="shared" ca="1" si="0"/>
        <v>43903</v>
      </c>
      <c r="T3" s="21">
        <f t="shared" ca="1" si="0"/>
        <v>43904</v>
      </c>
      <c r="U3" s="21">
        <f t="shared" ca="1" si="0"/>
        <v>43905</v>
      </c>
      <c r="V3" s="21">
        <f t="shared" ca="1" si="0"/>
        <v>43906</v>
      </c>
      <c r="W3" s="21">
        <f t="shared" ca="1" si="0"/>
        <v>43907</v>
      </c>
      <c r="X3" s="21">
        <f t="shared" ca="1" si="0"/>
        <v>43908</v>
      </c>
      <c r="Y3" s="21">
        <f t="shared" ca="1" si="0"/>
        <v>43909</v>
      </c>
      <c r="Z3" s="21">
        <f t="shared" ca="1" si="0"/>
        <v>43910</v>
      </c>
      <c r="AA3" s="21">
        <f t="shared" ca="1" si="0"/>
        <v>43911</v>
      </c>
      <c r="AB3" s="21">
        <f t="shared" ca="1" si="0"/>
        <v>43912</v>
      </c>
      <c r="AC3" s="21">
        <f t="shared" ca="1" si="0"/>
        <v>43913</v>
      </c>
      <c r="AD3" s="21">
        <f t="shared" ca="1" si="0"/>
        <v>43914</v>
      </c>
      <c r="AE3" s="21">
        <f t="shared" ca="1" si="0"/>
        <v>43915</v>
      </c>
      <c r="AF3" s="21">
        <f t="shared" ca="1" si="0"/>
        <v>43916</v>
      </c>
      <c r="AG3" s="21">
        <f t="shared" ca="1" si="0"/>
        <v>43917</v>
      </c>
      <c r="AH3" s="21">
        <f t="shared" ca="1" si="0"/>
        <v>43918</v>
      </c>
      <c r="AI3" s="21">
        <f t="shared" ca="1" si="0"/>
        <v>43919</v>
      </c>
      <c r="AJ3" s="21">
        <f t="shared" ca="1" si="0"/>
        <v>43920</v>
      </c>
      <c r="AK3" s="21">
        <f t="shared" ca="1" si="0"/>
        <v>43921</v>
      </c>
      <c r="AL3" s="21">
        <f t="shared" ca="1" si="0"/>
        <v>43922</v>
      </c>
      <c r="AM3" s="21">
        <f t="shared" ca="1" si="0"/>
        <v>43923</v>
      </c>
      <c r="AN3" s="21">
        <f t="shared" ca="1" si="0"/>
        <v>43924</v>
      </c>
      <c r="AO3" s="21">
        <f t="shared" ca="1" si="0"/>
        <v>43925</v>
      </c>
      <c r="AP3" s="21">
        <f t="shared" ca="1" si="0"/>
        <v>43926</v>
      </c>
      <c r="AQ3" s="21">
        <f t="shared" ca="1" si="0"/>
        <v>43927</v>
      </c>
      <c r="AR3" s="21">
        <f t="shared" ca="1" si="0"/>
        <v>43928</v>
      </c>
      <c r="AS3" s="21">
        <f t="shared" ca="1" si="0"/>
        <v>43929</v>
      </c>
      <c r="AT3" s="21">
        <f t="shared" ca="1" si="0"/>
        <v>43930</v>
      </c>
      <c r="AU3" s="21">
        <f t="shared" ca="1" si="0"/>
        <v>43931</v>
      </c>
      <c r="AV3" s="21">
        <f t="shared" ca="1" si="0"/>
        <v>43932</v>
      </c>
      <c r="AW3" s="21">
        <f t="shared" ca="1" si="0"/>
        <v>43933</v>
      </c>
      <c r="AX3" s="21">
        <f t="shared" ca="1" si="0"/>
        <v>43934</v>
      </c>
      <c r="AY3" s="21">
        <f t="shared" ca="1" si="0"/>
        <v>43935</v>
      </c>
      <c r="AZ3" s="21">
        <f t="shared" ca="1" si="0"/>
        <v>43936</v>
      </c>
      <c r="BA3" s="21">
        <f t="shared" ca="1" si="0"/>
        <v>43937</v>
      </c>
      <c r="BB3" s="21">
        <f t="shared" ca="1" si="0"/>
        <v>43938</v>
      </c>
      <c r="BC3" s="21">
        <f t="shared" ca="1" si="0"/>
        <v>43939</v>
      </c>
      <c r="BD3" s="21">
        <f t="shared" ca="1" si="0"/>
        <v>43940</v>
      </c>
      <c r="BE3" s="21">
        <f t="shared" ca="1" si="0"/>
        <v>43941</v>
      </c>
      <c r="BF3" s="21">
        <f t="shared" ca="1" si="0"/>
        <v>43942</v>
      </c>
      <c r="BG3" s="21">
        <f t="shared" ca="1" si="0"/>
        <v>43943</v>
      </c>
      <c r="BH3" s="21">
        <f t="shared" ca="1" si="0"/>
        <v>43944</v>
      </c>
      <c r="BI3" s="21">
        <f t="shared" ca="1" si="0"/>
        <v>43945</v>
      </c>
      <c r="BJ3" s="21">
        <f t="shared" ca="1" si="0"/>
        <v>43946</v>
      </c>
      <c r="BK3" s="21">
        <f t="shared" ca="1" si="0"/>
        <v>43947</v>
      </c>
      <c r="BL3" s="21">
        <f t="shared" ca="1" si="0"/>
        <v>43948</v>
      </c>
      <c r="BM3" s="21">
        <f t="shared" ref="BM3:BO4" ca="1" si="1">BL3+1</f>
        <v>43949</v>
      </c>
      <c r="BN3" s="21">
        <f t="shared" ca="1" si="1"/>
        <v>43950</v>
      </c>
      <c r="BO3" s="21">
        <f t="shared" ca="1" si="1"/>
        <v>43951</v>
      </c>
      <c r="BP3" s="21">
        <f t="shared" ref="BP3:CN3" ca="1" si="2">BO3+1</f>
        <v>43952</v>
      </c>
      <c r="BQ3" s="21">
        <f t="shared" ca="1" si="2"/>
        <v>43953</v>
      </c>
      <c r="BR3" s="21">
        <f t="shared" ca="1" si="2"/>
        <v>43954</v>
      </c>
      <c r="BS3" s="21">
        <f t="shared" ca="1" si="2"/>
        <v>43955</v>
      </c>
      <c r="BT3" s="21">
        <f t="shared" ca="1" si="2"/>
        <v>43956</v>
      </c>
      <c r="BU3" s="21">
        <f t="shared" ca="1" si="2"/>
        <v>43957</v>
      </c>
      <c r="BV3" s="21">
        <f t="shared" ca="1" si="2"/>
        <v>43958</v>
      </c>
      <c r="BW3" s="21">
        <f t="shared" ca="1" si="2"/>
        <v>43959</v>
      </c>
      <c r="BX3" s="21">
        <f t="shared" ca="1" si="2"/>
        <v>43960</v>
      </c>
      <c r="BY3" s="21">
        <f t="shared" ca="1" si="2"/>
        <v>43961</v>
      </c>
      <c r="BZ3" s="21">
        <f t="shared" ca="1" si="2"/>
        <v>43962</v>
      </c>
      <c r="CA3" s="21">
        <f t="shared" ca="1" si="2"/>
        <v>43963</v>
      </c>
      <c r="CB3" s="21">
        <f t="shared" ca="1" si="2"/>
        <v>43964</v>
      </c>
      <c r="CC3" s="21">
        <f t="shared" ca="1" si="2"/>
        <v>43965</v>
      </c>
      <c r="CD3" s="21">
        <f t="shared" ca="1" si="2"/>
        <v>43966</v>
      </c>
      <c r="CE3" s="21">
        <f t="shared" ca="1" si="2"/>
        <v>43967</v>
      </c>
      <c r="CF3" s="21">
        <f t="shared" ca="1" si="2"/>
        <v>43968</v>
      </c>
      <c r="CG3" s="21">
        <f t="shared" ca="1" si="2"/>
        <v>43969</v>
      </c>
      <c r="CH3" s="21">
        <f t="shared" ca="1" si="2"/>
        <v>43970</v>
      </c>
      <c r="CI3" s="21">
        <f t="shared" ca="1" si="2"/>
        <v>43971</v>
      </c>
      <c r="CJ3" s="21">
        <f t="shared" ca="1" si="2"/>
        <v>43972</v>
      </c>
      <c r="CK3" s="21">
        <f t="shared" ca="1" si="2"/>
        <v>43973</v>
      </c>
      <c r="CL3" s="21">
        <f t="shared" ca="1" si="2"/>
        <v>43974</v>
      </c>
      <c r="CM3" s="21">
        <f t="shared" ca="1" si="2"/>
        <v>43975</v>
      </c>
      <c r="CN3" s="21">
        <f t="shared" ca="1" si="2"/>
        <v>43976</v>
      </c>
      <c r="CO3" s="21">
        <f t="shared" ref="CO3:DC3" ca="1" si="3">CN3+1</f>
        <v>43977</v>
      </c>
      <c r="CP3" s="21">
        <f t="shared" ca="1" si="3"/>
        <v>43978</v>
      </c>
      <c r="CQ3" s="21">
        <f t="shared" ca="1" si="3"/>
        <v>43979</v>
      </c>
      <c r="CR3" s="21">
        <f t="shared" ca="1" si="3"/>
        <v>43980</v>
      </c>
      <c r="CS3" s="21">
        <f t="shared" ca="1" si="3"/>
        <v>43981</v>
      </c>
      <c r="CT3" s="21">
        <f t="shared" ca="1" si="3"/>
        <v>43982</v>
      </c>
      <c r="CU3" s="21">
        <f t="shared" ca="1" si="3"/>
        <v>43983</v>
      </c>
      <c r="CV3" s="21">
        <f t="shared" ca="1" si="3"/>
        <v>43984</v>
      </c>
      <c r="CW3" s="21">
        <f t="shared" ca="1" si="3"/>
        <v>43985</v>
      </c>
      <c r="CX3" s="21">
        <f t="shared" ca="1" si="3"/>
        <v>43986</v>
      </c>
      <c r="CY3" s="21">
        <f t="shared" ca="1" si="3"/>
        <v>43987</v>
      </c>
      <c r="CZ3" s="21">
        <f t="shared" ca="1" si="3"/>
        <v>43988</v>
      </c>
      <c r="DA3" s="21">
        <f t="shared" ca="1" si="3"/>
        <v>43989</v>
      </c>
      <c r="DB3" s="21">
        <f t="shared" ca="1" si="3"/>
        <v>43990</v>
      </c>
      <c r="DC3" s="21">
        <f t="shared" ca="1" si="3"/>
        <v>43991</v>
      </c>
      <c r="DD3" s="21">
        <f t="shared" ref="DD3:FJ3" ca="1" si="4">DC3+1</f>
        <v>43992</v>
      </c>
      <c r="DE3" s="21">
        <f t="shared" ca="1" si="4"/>
        <v>43993</v>
      </c>
      <c r="DF3" s="21">
        <f t="shared" ca="1" si="4"/>
        <v>43994</v>
      </c>
      <c r="DG3" s="21">
        <f t="shared" ca="1" si="4"/>
        <v>43995</v>
      </c>
      <c r="DH3" s="21">
        <f t="shared" ca="1" si="4"/>
        <v>43996</v>
      </c>
      <c r="DI3" s="21">
        <f t="shared" ca="1" si="4"/>
        <v>43997</v>
      </c>
      <c r="DJ3" s="21">
        <f t="shared" ca="1" si="4"/>
        <v>43998</v>
      </c>
      <c r="DK3" s="21">
        <f t="shared" ca="1" si="4"/>
        <v>43999</v>
      </c>
      <c r="DL3" s="21">
        <f t="shared" ca="1" si="4"/>
        <v>44000</v>
      </c>
      <c r="DM3" s="21">
        <f t="shared" ca="1" si="4"/>
        <v>44001</v>
      </c>
      <c r="DN3" s="21">
        <f t="shared" ca="1" si="4"/>
        <v>44002</v>
      </c>
      <c r="DO3" s="21">
        <f t="shared" ca="1" si="4"/>
        <v>44003</v>
      </c>
      <c r="DP3" s="21">
        <f t="shared" ca="1" si="4"/>
        <v>44004</v>
      </c>
      <c r="DQ3" s="21">
        <f t="shared" ca="1" si="4"/>
        <v>44005</v>
      </c>
      <c r="DR3" s="21">
        <f t="shared" ca="1" si="4"/>
        <v>44006</v>
      </c>
      <c r="DS3" s="21">
        <f t="shared" ca="1" si="4"/>
        <v>44007</v>
      </c>
      <c r="DT3" s="21">
        <f t="shared" ca="1" si="4"/>
        <v>44008</v>
      </c>
      <c r="DU3" s="21">
        <f t="shared" ca="1" si="4"/>
        <v>44009</v>
      </c>
      <c r="DV3" s="21">
        <f t="shared" ca="1" si="4"/>
        <v>44010</v>
      </c>
      <c r="DW3" s="21">
        <f t="shared" ca="1" si="4"/>
        <v>44011</v>
      </c>
      <c r="DX3" s="21">
        <f t="shared" ca="1" si="4"/>
        <v>44012</v>
      </c>
      <c r="DY3" s="21">
        <f t="shared" ca="1" si="4"/>
        <v>44013</v>
      </c>
      <c r="DZ3" s="21">
        <f t="shared" ca="1" si="4"/>
        <v>44014</v>
      </c>
      <c r="EA3" s="21">
        <f t="shared" ca="1" si="4"/>
        <v>44015</v>
      </c>
      <c r="EB3" s="21">
        <f t="shared" ca="1" si="4"/>
        <v>44016</v>
      </c>
      <c r="EC3" s="21">
        <f t="shared" ca="1" si="4"/>
        <v>44017</v>
      </c>
      <c r="ED3" s="21">
        <f t="shared" ca="1" si="4"/>
        <v>44018</v>
      </c>
      <c r="EE3" s="21">
        <f t="shared" ca="1" si="4"/>
        <v>44019</v>
      </c>
      <c r="EF3" s="21">
        <f t="shared" ca="1" si="4"/>
        <v>44020</v>
      </c>
      <c r="EG3" s="21">
        <f t="shared" ca="1" si="4"/>
        <v>44021</v>
      </c>
      <c r="EH3" s="21">
        <f t="shared" ca="1" si="4"/>
        <v>44022</v>
      </c>
      <c r="EI3" s="21">
        <f t="shared" ca="1" si="4"/>
        <v>44023</v>
      </c>
      <c r="EJ3" s="21">
        <f t="shared" ca="1" si="4"/>
        <v>44024</v>
      </c>
      <c r="EK3" s="21">
        <f t="shared" ca="1" si="4"/>
        <v>44025</v>
      </c>
      <c r="EL3" s="21">
        <f t="shared" ca="1" si="4"/>
        <v>44026</v>
      </c>
      <c r="EM3" s="21">
        <f t="shared" ca="1" si="4"/>
        <v>44027</v>
      </c>
      <c r="EN3" s="21">
        <f t="shared" ca="1" si="4"/>
        <v>44028</v>
      </c>
      <c r="EO3" s="21">
        <f t="shared" ca="1" si="4"/>
        <v>44029</v>
      </c>
      <c r="EP3" s="21">
        <f t="shared" ca="1" si="4"/>
        <v>44030</v>
      </c>
      <c r="EQ3" s="21">
        <f t="shared" ca="1" si="4"/>
        <v>44031</v>
      </c>
      <c r="ER3" s="21">
        <f t="shared" ca="1" si="4"/>
        <v>44032</v>
      </c>
      <c r="ES3" s="21">
        <f t="shared" ca="1" si="4"/>
        <v>44033</v>
      </c>
      <c r="ET3" s="21">
        <f t="shared" ca="1" si="4"/>
        <v>44034</v>
      </c>
      <c r="EU3" s="21">
        <f t="shared" ca="1" si="4"/>
        <v>44035</v>
      </c>
      <c r="EV3" s="21">
        <f t="shared" ca="1" si="4"/>
        <v>44036</v>
      </c>
      <c r="EW3" s="21">
        <f t="shared" ca="1" si="4"/>
        <v>44037</v>
      </c>
      <c r="EX3" s="21">
        <f t="shared" ca="1" si="4"/>
        <v>44038</v>
      </c>
      <c r="EY3" s="21">
        <f t="shared" ca="1" si="4"/>
        <v>44039</v>
      </c>
      <c r="EZ3" s="21">
        <f t="shared" ca="1" si="4"/>
        <v>44040</v>
      </c>
      <c r="FA3" s="21">
        <f t="shared" ca="1" si="4"/>
        <v>44041</v>
      </c>
      <c r="FB3" s="21">
        <f t="shared" ca="1" si="4"/>
        <v>44042</v>
      </c>
      <c r="FC3" s="21">
        <f t="shared" ca="1" si="4"/>
        <v>44043</v>
      </c>
      <c r="FD3" s="21">
        <f t="shared" ca="1" si="4"/>
        <v>44044</v>
      </c>
      <c r="FE3" s="21">
        <f t="shared" ca="1" si="4"/>
        <v>44045</v>
      </c>
      <c r="FF3" s="21">
        <f t="shared" ca="1" si="4"/>
        <v>44046</v>
      </c>
      <c r="FG3" s="21">
        <f t="shared" ca="1" si="4"/>
        <v>44047</v>
      </c>
      <c r="FH3" s="21">
        <f t="shared" ca="1" si="4"/>
        <v>44048</v>
      </c>
      <c r="FI3" s="21">
        <f t="shared" ca="1" si="4"/>
        <v>44049</v>
      </c>
      <c r="FJ3" s="21">
        <f t="shared" ca="1" si="4"/>
        <v>44050</v>
      </c>
      <c r="FK3" s="21">
        <f t="shared" ref="FK3:HV3" ca="1" si="5">FJ3+1</f>
        <v>44051</v>
      </c>
      <c r="FL3" s="21">
        <f t="shared" ca="1" si="5"/>
        <v>44052</v>
      </c>
      <c r="FM3" s="21">
        <f t="shared" ca="1" si="5"/>
        <v>44053</v>
      </c>
      <c r="FN3" s="21">
        <f t="shared" ca="1" si="5"/>
        <v>44054</v>
      </c>
      <c r="FO3" s="21">
        <f t="shared" ca="1" si="5"/>
        <v>44055</v>
      </c>
      <c r="FP3" s="21">
        <f t="shared" ca="1" si="5"/>
        <v>44056</v>
      </c>
      <c r="FQ3" s="21">
        <f t="shared" ca="1" si="5"/>
        <v>44057</v>
      </c>
      <c r="FR3" s="21">
        <f t="shared" ca="1" si="5"/>
        <v>44058</v>
      </c>
      <c r="FS3" s="21">
        <f t="shared" ca="1" si="5"/>
        <v>44059</v>
      </c>
      <c r="FT3" s="21">
        <f t="shared" ca="1" si="5"/>
        <v>44060</v>
      </c>
      <c r="FU3" s="21">
        <f t="shared" ca="1" si="5"/>
        <v>44061</v>
      </c>
      <c r="FV3" s="21">
        <f t="shared" ca="1" si="5"/>
        <v>44062</v>
      </c>
      <c r="FW3" s="21">
        <f t="shared" ca="1" si="5"/>
        <v>44063</v>
      </c>
      <c r="FX3" s="21">
        <f t="shared" ca="1" si="5"/>
        <v>44064</v>
      </c>
      <c r="FY3" s="21">
        <f t="shared" ca="1" si="5"/>
        <v>44065</v>
      </c>
      <c r="FZ3" s="21">
        <f t="shared" ca="1" si="5"/>
        <v>44066</v>
      </c>
      <c r="GA3" s="21">
        <f t="shared" ca="1" si="5"/>
        <v>44067</v>
      </c>
      <c r="GB3" s="21">
        <f t="shared" ca="1" si="5"/>
        <v>44068</v>
      </c>
      <c r="GC3" s="21">
        <f t="shared" ca="1" si="5"/>
        <v>44069</v>
      </c>
      <c r="GD3" s="21">
        <f t="shared" ca="1" si="5"/>
        <v>44070</v>
      </c>
      <c r="GE3" s="21">
        <f t="shared" ca="1" si="5"/>
        <v>44071</v>
      </c>
      <c r="GF3" s="21">
        <f t="shared" ca="1" si="5"/>
        <v>44072</v>
      </c>
      <c r="GG3" s="21">
        <f t="shared" ca="1" si="5"/>
        <v>44073</v>
      </c>
      <c r="GH3" s="21">
        <f t="shared" ca="1" si="5"/>
        <v>44074</v>
      </c>
      <c r="GI3" s="21">
        <f t="shared" ca="1" si="5"/>
        <v>44075</v>
      </c>
      <c r="GJ3" s="21">
        <f t="shared" ca="1" si="5"/>
        <v>44076</v>
      </c>
      <c r="GK3" s="21">
        <f t="shared" ca="1" si="5"/>
        <v>44077</v>
      </c>
      <c r="GL3" s="21">
        <f t="shared" ca="1" si="5"/>
        <v>44078</v>
      </c>
      <c r="GM3" s="21">
        <f t="shared" ca="1" si="5"/>
        <v>44079</v>
      </c>
      <c r="GN3" s="21">
        <f t="shared" ca="1" si="5"/>
        <v>44080</v>
      </c>
      <c r="GO3" s="21">
        <f t="shared" ca="1" si="5"/>
        <v>44081</v>
      </c>
      <c r="GP3" s="21">
        <f t="shared" ca="1" si="5"/>
        <v>44082</v>
      </c>
      <c r="GQ3" s="21">
        <f t="shared" ca="1" si="5"/>
        <v>44083</v>
      </c>
      <c r="GR3" s="21">
        <f t="shared" ca="1" si="5"/>
        <v>44084</v>
      </c>
      <c r="GS3" s="21">
        <f t="shared" ca="1" si="5"/>
        <v>44085</v>
      </c>
      <c r="GT3" s="21">
        <f t="shared" ca="1" si="5"/>
        <v>44086</v>
      </c>
      <c r="GU3" s="21">
        <f t="shared" ca="1" si="5"/>
        <v>44087</v>
      </c>
      <c r="GV3" s="21">
        <f t="shared" ca="1" si="5"/>
        <v>44088</v>
      </c>
      <c r="GW3" s="21">
        <f t="shared" ca="1" si="5"/>
        <v>44089</v>
      </c>
      <c r="GX3" s="21">
        <f t="shared" ca="1" si="5"/>
        <v>44090</v>
      </c>
      <c r="GY3" s="21">
        <f t="shared" ca="1" si="5"/>
        <v>44091</v>
      </c>
      <c r="GZ3" s="21">
        <f t="shared" ca="1" si="5"/>
        <v>44092</v>
      </c>
      <c r="HA3" s="21">
        <f t="shared" ca="1" si="5"/>
        <v>44093</v>
      </c>
      <c r="HB3" s="21">
        <f t="shared" ca="1" si="5"/>
        <v>44094</v>
      </c>
      <c r="HC3" s="21">
        <f t="shared" ca="1" si="5"/>
        <v>44095</v>
      </c>
      <c r="HD3" s="21">
        <f t="shared" ca="1" si="5"/>
        <v>44096</v>
      </c>
      <c r="HE3" s="21">
        <f t="shared" ca="1" si="5"/>
        <v>44097</v>
      </c>
      <c r="HF3" s="21">
        <f t="shared" ca="1" si="5"/>
        <v>44098</v>
      </c>
      <c r="HG3" s="21">
        <f t="shared" ca="1" si="5"/>
        <v>44099</v>
      </c>
      <c r="HH3" s="21">
        <f t="shared" ca="1" si="5"/>
        <v>44100</v>
      </c>
      <c r="HI3" s="21">
        <f t="shared" ca="1" si="5"/>
        <v>44101</v>
      </c>
      <c r="HJ3" s="21">
        <f t="shared" ca="1" si="5"/>
        <v>44102</v>
      </c>
      <c r="HK3" s="21">
        <f t="shared" ca="1" si="5"/>
        <v>44103</v>
      </c>
      <c r="HL3" s="21">
        <f t="shared" ca="1" si="5"/>
        <v>44104</v>
      </c>
      <c r="HM3" s="21">
        <f t="shared" ca="1" si="5"/>
        <v>44105</v>
      </c>
      <c r="HN3" s="21">
        <f t="shared" ca="1" si="5"/>
        <v>44106</v>
      </c>
      <c r="HO3" s="21">
        <f t="shared" ca="1" si="5"/>
        <v>44107</v>
      </c>
      <c r="HP3" s="21">
        <f t="shared" ca="1" si="5"/>
        <v>44108</v>
      </c>
      <c r="HQ3" s="21">
        <f t="shared" ca="1" si="5"/>
        <v>44109</v>
      </c>
      <c r="HR3" s="21">
        <f t="shared" ca="1" si="5"/>
        <v>44110</v>
      </c>
      <c r="HS3" s="21">
        <f t="shared" ca="1" si="5"/>
        <v>44111</v>
      </c>
      <c r="HT3" s="21">
        <f t="shared" ca="1" si="5"/>
        <v>44112</v>
      </c>
      <c r="HU3" s="21">
        <f t="shared" ca="1" si="5"/>
        <v>44113</v>
      </c>
      <c r="HV3" s="21">
        <f t="shared" ca="1" si="5"/>
        <v>44114</v>
      </c>
      <c r="HW3" s="21">
        <f t="shared" ref="HW3:IN3" ca="1" si="6">HV3+1</f>
        <v>44115</v>
      </c>
      <c r="HX3" s="21">
        <f t="shared" ca="1" si="6"/>
        <v>44116</v>
      </c>
      <c r="HY3" s="21">
        <f t="shared" ca="1" si="6"/>
        <v>44117</v>
      </c>
      <c r="HZ3" s="21">
        <f t="shared" ca="1" si="6"/>
        <v>44118</v>
      </c>
      <c r="IA3" s="21">
        <f t="shared" ca="1" si="6"/>
        <v>44119</v>
      </c>
      <c r="IB3" s="21">
        <f t="shared" ca="1" si="6"/>
        <v>44120</v>
      </c>
      <c r="IC3" s="21">
        <f t="shared" ca="1" si="6"/>
        <v>44121</v>
      </c>
      <c r="ID3" s="21">
        <f t="shared" ca="1" si="6"/>
        <v>44122</v>
      </c>
      <c r="IE3" s="21">
        <f t="shared" ca="1" si="6"/>
        <v>44123</v>
      </c>
      <c r="IF3" s="21">
        <f t="shared" ca="1" si="6"/>
        <v>44124</v>
      </c>
      <c r="IG3" s="21">
        <f t="shared" ca="1" si="6"/>
        <v>44125</v>
      </c>
      <c r="IH3" s="21">
        <f t="shared" ca="1" si="6"/>
        <v>44126</v>
      </c>
      <c r="II3" s="21">
        <f t="shared" ca="1" si="6"/>
        <v>44127</v>
      </c>
      <c r="IJ3" s="21">
        <f t="shared" ca="1" si="6"/>
        <v>44128</v>
      </c>
      <c r="IK3" s="21">
        <f t="shared" ca="1" si="6"/>
        <v>44129</v>
      </c>
      <c r="IL3" s="21">
        <f t="shared" ca="1" si="6"/>
        <v>44130</v>
      </c>
      <c r="IM3" s="21">
        <f t="shared" ca="1" si="6"/>
        <v>44131</v>
      </c>
      <c r="IN3" s="21">
        <f t="shared" ca="1" si="6"/>
        <v>44132</v>
      </c>
    </row>
    <row r="4" spans="2:248" x14ac:dyDescent="0.3">
      <c r="B4" s="20" t="s">
        <v>481</v>
      </c>
      <c r="C4" s="22">
        <f>VLOOKUP(B2,DaysSince100!C:D,2,FALSE)</f>
        <v>7272</v>
      </c>
      <c r="G4" s="20">
        <v>0</v>
      </c>
      <c r="H4" s="20">
        <f>G4+1</f>
        <v>1</v>
      </c>
      <c r="I4" s="20">
        <f t="shared" ref="I4:BL4" si="7">H4+1</f>
        <v>2</v>
      </c>
      <c r="J4" s="20">
        <f t="shared" si="7"/>
        <v>3</v>
      </c>
      <c r="K4" s="20">
        <f t="shared" si="7"/>
        <v>4</v>
      </c>
      <c r="L4" s="20">
        <f t="shared" si="7"/>
        <v>5</v>
      </c>
      <c r="M4" s="20">
        <f t="shared" si="7"/>
        <v>6</v>
      </c>
      <c r="N4" s="20">
        <f t="shared" si="7"/>
        <v>7</v>
      </c>
      <c r="O4" s="20">
        <f t="shared" si="7"/>
        <v>8</v>
      </c>
      <c r="P4" s="20">
        <f t="shared" si="7"/>
        <v>9</v>
      </c>
      <c r="Q4" s="20">
        <f t="shared" si="7"/>
        <v>10</v>
      </c>
      <c r="R4" s="20">
        <f t="shared" si="7"/>
        <v>11</v>
      </c>
      <c r="S4" s="20">
        <f t="shared" si="7"/>
        <v>12</v>
      </c>
      <c r="T4" s="20">
        <f t="shared" si="7"/>
        <v>13</v>
      </c>
      <c r="U4" s="20">
        <f t="shared" si="7"/>
        <v>14</v>
      </c>
      <c r="V4" s="20">
        <f t="shared" si="7"/>
        <v>15</v>
      </c>
      <c r="W4" s="20">
        <f t="shared" si="7"/>
        <v>16</v>
      </c>
      <c r="X4" s="20">
        <f t="shared" si="7"/>
        <v>17</v>
      </c>
      <c r="Y4" s="20">
        <f t="shared" si="7"/>
        <v>18</v>
      </c>
      <c r="Z4" s="20">
        <f t="shared" si="7"/>
        <v>19</v>
      </c>
      <c r="AA4" s="20">
        <f t="shared" si="7"/>
        <v>20</v>
      </c>
      <c r="AB4" s="20">
        <f t="shared" si="7"/>
        <v>21</v>
      </c>
      <c r="AC4" s="20">
        <f t="shared" si="7"/>
        <v>22</v>
      </c>
      <c r="AD4" s="20">
        <f t="shared" si="7"/>
        <v>23</v>
      </c>
      <c r="AE4" s="20">
        <f t="shared" si="7"/>
        <v>24</v>
      </c>
      <c r="AF4" s="20">
        <f t="shared" si="7"/>
        <v>25</v>
      </c>
      <c r="AG4" s="20">
        <f t="shared" si="7"/>
        <v>26</v>
      </c>
      <c r="AH4" s="20">
        <f t="shared" si="7"/>
        <v>27</v>
      </c>
      <c r="AI4" s="20">
        <f t="shared" si="7"/>
        <v>28</v>
      </c>
      <c r="AJ4" s="20">
        <f t="shared" si="7"/>
        <v>29</v>
      </c>
      <c r="AK4" s="20">
        <f t="shared" si="7"/>
        <v>30</v>
      </c>
      <c r="AL4" s="20">
        <f t="shared" si="7"/>
        <v>31</v>
      </c>
      <c r="AM4" s="20">
        <f t="shared" si="7"/>
        <v>32</v>
      </c>
      <c r="AN4" s="20">
        <f t="shared" si="7"/>
        <v>33</v>
      </c>
      <c r="AO4" s="20">
        <f t="shared" si="7"/>
        <v>34</v>
      </c>
      <c r="AP4" s="20">
        <f t="shared" si="7"/>
        <v>35</v>
      </c>
      <c r="AQ4" s="20">
        <f t="shared" si="7"/>
        <v>36</v>
      </c>
      <c r="AR4" s="20">
        <f t="shared" si="7"/>
        <v>37</v>
      </c>
      <c r="AS4" s="20">
        <f t="shared" si="7"/>
        <v>38</v>
      </c>
      <c r="AT4" s="20">
        <f t="shared" si="7"/>
        <v>39</v>
      </c>
      <c r="AU4" s="20">
        <f t="shared" si="7"/>
        <v>40</v>
      </c>
      <c r="AV4" s="20">
        <f t="shared" si="7"/>
        <v>41</v>
      </c>
      <c r="AW4" s="20">
        <f t="shared" si="7"/>
        <v>42</v>
      </c>
      <c r="AX4" s="20">
        <f t="shared" si="7"/>
        <v>43</v>
      </c>
      <c r="AY4" s="20">
        <f t="shared" si="7"/>
        <v>44</v>
      </c>
      <c r="AZ4" s="20">
        <f t="shared" si="7"/>
        <v>45</v>
      </c>
      <c r="BA4" s="20">
        <f t="shared" si="7"/>
        <v>46</v>
      </c>
      <c r="BB4" s="20">
        <f t="shared" si="7"/>
        <v>47</v>
      </c>
      <c r="BC4" s="20">
        <f t="shared" si="7"/>
        <v>48</v>
      </c>
      <c r="BD4" s="20">
        <f t="shared" si="7"/>
        <v>49</v>
      </c>
      <c r="BE4" s="20">
        <f t="shared" si="7"/>
        <v>50</v>
      </c>
      <c r="BF4" s="20">
        <f t="shared" si="7"/>
        <v>51</v>
      </c>
      <c r="BG4" s="20">
        <f t="shared" si="7"/>
        <v>52</v>
      </c>
      <c r="BH4" s="20">
        <f t="shared" si="7"/>
        <v>53</v>
      </c>
      <c r="BI4" s="20">
        <f t="shared" si="7"/>
        <v>54</v>
      </c>
      <c r="BJ4" s="20">
        <f t="shared" si="7"/>
        <v>55</v>
      </c>
      <c r="BK4" s="20">
        <f t="shared" si="7"/>
        <v>56</v>
      </c>
      <c r="BL4" s="20">
        <f t="shared" si="7"/>
        <v>57</v>
      </c>
      <c r="BM4" s="20">
        <f t="shared" si="1"/>
        <v>58</v>
      </c>
      <c r="BN4" s="20">
        <f t="shared" si="1"/>
        <v>59</v>
      </c>
      <c r="BO4" s="20">
        <f t="shared" si="1"/>
        <v>60</v>
      </c>
      <c r="BP4" s="20">
        <f t="shared" ref="BP4:CN4" si="8">BO4+1</f>
        <v>61</v>
      </c>
      <c r="BQ4" s="20">
        <f t="shared" si="8"/>
        <v>62</v>
      </c>
      <c r="BR4" s="20">
        <f t="shared" si="8"/>
        <v>63</v>
      </c>
      <c r="BS4" s="20">
        <f t="shared" si="8"/>
        <v>64</v>
      </c>
      <c r="BT4" s="20">
        <f t="shared" si="8"/>
        <v>65</v>
      </c>
      <c r="BU4" s="20">
        <f t="shared" si="8"/>
        <v>66</v>
      </c>
      <c r="BV4" s="20">
        <f t="shared" si="8"/>
        <v>67</v>
      </c>
      <c r="BW4" s="20">
        <f t="shared" si="8"/>
        <v>68</v>
      </c>
      <c r="BX4" s="20">
        <f t="shared" si="8"/>
        <v>69</v>
      </c>
      <c r="BY4" s="20">
        <f t="shared" si="8"/>
        <v>70</v>
      </c>
      <c r="BZ4" s="20">
        <f t="shared" si="8"/>
        <v>71</v>
      </c>
      <c r="CA4" s="20">
        <f t="shared" si="8"/>
        <v>72</v>
      </c>
      <c r="CB4" s="20">
        <f t="shared" si="8"/>
        <v>73</v>
      </c>
      <c r="CC4" s="20">
        <f t="shared" si="8"/>
        <v>74</v>
      </c>
      <c r="CD4" s="20">
        <f t="shared" si="8"/>
        <v>75</v>
      </c>
      <c r="CE4" s="20">
        <f t="shared" si="8"/>
        <v>76</v>
      </c>
      <c r="CF4" s="20">
        <f t="shared" si="8"/>
        <v>77</v>
      </c>
      <c r="CG4" s="20">
        <f t="shared" si="8"/>
        <v>78</v>
      </c>
      <c r="CH4" s="20">
        <f t="shared" si="8"/>
        <v>79</v>
      </c>
      <c r="CI4" s="20">
        <f t="shared" si="8"/>
        <v>80</v>
      </c>
      <c r="CJ4" s="20">
        <f t="shared" si="8"/>
        <v>81</v>
      </c>
      <c r="CK4" s="20">
        <f t="shared" si="8"/>
        <v>82</v>
      </c>
      <c r="CL4" s="20">
        <f t="shared" si="8"/>
        <v>83</v>
      </c>
      <c r="CM4" s="20">
        <f t="shared" si="8"/>
        <v>84</v>
      </c>
      <c r="CN4" s="20">
        <f t="shared" si="8"/>
        <v>85</v>
      </c>
      <c r="CO4" s="20">
        <f t="shared" ref="CO4:DC4" si="9">CN4+1</f>
        <v>86</v>
      </c>
      <c r="CP4" s="20">
        <f t="shared" si="9"/>
        <v>87</v>
      </c>
      <c r="CQ4" s="20">
        <f t="shared" si="9"/>
        <v>88</v>
      </c>
      <c r="CR4" s="20">
        <f t="shared" si="9"/>
        <v>89</v>
      </c>
      <c r="CS4" s="20">
        <f t="shared" si="9"/>
        <v>90</v>
      </c>
      <c r="CT4" s="20">
        <f t="shared" si="9"/>
        <v>91</v>
      </c>
      <c r="CU4" s="20">
        <f t="shared" si="9"/>
        <v>92</v>
      </c>
      <c r="CV4" s="20">
        <f t="shared" si="9"/>
        <v>93</v>
      </c>
      <c r="CW4" s="20">
        <f t="shared" si="9"/>
        <v>94</v>
      </c>
      <c r="CX4" s="20">
        <f t="shared" si="9"/>
        <v>95</v>
      </c>
      <c r="CY4" s="20">
        <f t="shared" si="9"/>
        <v>96</v>
      </c>
      <c r="CZ4" s="20">
        <f t="shared" si="9"/>
        <v>97</v>
      </c>
      <c r="DA4" s="20">
        <f t="shared" si="9"/>
        <v>98</v>
      </c>
      <c r="DB4" s="20">
        <f t="shared" si="9"/>
        <v>99</v>
      </c>
      <c r="DC4" s="20">
        <f t="shared" si="9"/>
        <v>100</v>
      </c>
      <c r="DD4" s="20">
        <f t="shared" ref="DD4:FJ4" si="10">DC4+1</f>
        <v>101</v>
      </c>
      <c r="DE4" s="20">
        <f t="shared" si="10"/>
        <v>102</v>
      </c>
      <c r="DF4" s="20">
        <f t="shared" si="10"/>
        <v>103</v>
      </c>
      <c r="DG4" s="20">
        <f t="shared" si="10"/>
        <v>104</v>
      </c>
      <c r="DH4" s="20">
        <f t="shared" si="10"/>
        <v>105</v>
      </c>
      <c r="DI4" s="20">
        <f t="shared" si="10"/>
        <v>106</v>
      </c>
      <c r="DJ4" s="20">
        <f t="shared" si="10"/>
        <v>107</v>
      </c>
      <c r="DK4" s="20">
        <f t="shared" si="10"/>
        <v>108</v>
      </c>
      <c r="DL4" s="20">
        <f t="shared" si="10"/>
        <v>109</v>
      </c>
      <c r="DM4" s="20">
        <f t="shared" si="10"/>
        <v>110</v>
      </c>
      <c r="DN4" s="20">
        <f t="shared" si="10"/>
        <v>111</v>
      </c>
      <c r="DO4" s="20">
        <f t="shared" si="10"/>
        <v>112</v>
      </c>
      <c r="DP4" s="20">
        <f t="shared" si="10"/>
        <v>113</v>
      </c>
      <c r="DQ4" s="20">
        <f t="shared" si="10"/>
        <v>114</v>
      </c>
      <c r="DR4" s="20">
        <f t="shared" si="10"/>
        <v>115</v>
      </c>
      <c r="DS4" s="20">
        <f t="shared" si="10"/>
        <v>116</v>
      </c>
      <c r="DT4" s="20">
        <f t="shared" si="10"/>
        <v>117</v>
      </c>
      <c r="DU4" s="20">
        <f t="shared" si="10"/>
        <v>118</v>
      </c>
      <c r="DV4" s="20">
        <f t="shared" si="10"/>
        <v>119</v>
      </c>
      <c r="DW4" s="20">
        <f t="shared" si="10"/>
        <v>120</v>
      </c>
      <c r="DX4" s="20">
        <f t="shared" si="10"/>
        <v>121</v>
      </c>
      <c r="DY4" s="20">
        <f t="shared" si="10"/>
        <v>122</v>
      </c>
      <c r="DZ4" s="20">
        <f t="shared" si="10"/>
        <v>123</v>
      </c>
      <c r="EA4" s="20">
        <f t="shared" si="10"/>
        <v>124</v>
      </c>
      <c r="EB4" s="20">
        <f t="shared" si="10"/>
        <v>125</v>
      </c>
      <c r="EC4" s="20">
        <f t="shared" si="10"/>
        <v>126</v>
      </c>
      <c r="ED4" s="20">
        <f t="shared" si="10"/>
        <v>127</v>
      </c>
      <c r="EE4" s="20">
        <f t="shared" si="10"/>
        <v>128</v>
      </c>
      <c r="EF4" s="20">
        <f t="shared" si="10"/>
        <v>129</v>
      </c>
      <c r="EG4" s="20">
        <f t="shared" si="10"/>
        <v>130</v>
      </c>
      <c r="EH4" s="20">
        <f t="shared" si="10"/>
        <v>131</v>
      </c>
      <c r="EI4" s="20">
        <f t="shared" si="10"/>
        <v>132</v>
      </c>
      <c r="EJ4" s="20">
        <f t="shared" si="10"/>
        <v>133</v>
      </c>
      <c r="EK4" s="20">
        <f t="shared" si="10"/>
        <v>134</v>
      </c>
      <c r="EL4" s="20">
        <f t="shared" si="10"/>
        <v>135</v>
      </c>
      <c r="EM4" s="20">
        <f t="shared" si="10"/>
        <v>136</v>
      </c>
      <c r="EN4" s="20">
        <f t="shared" si="10"/>
        <v>137</v>
      </c>
      <c r="EO4" s="20">
        <f t="shared" si="10"/>
        <v>138</v>
      </c>
      <c r="EP4" s="20">
        <f t="shared" si="10"/>
        <v>139</v>
      </c>
      <c r="EQ4" s="20">
        <f t="shared" si="10"/>
        <v>140</v>
      </c>
      <c r="ER4" s="20">
        <f t="shared" si="10"/>
        <v>141</v>
      </c>
      <c r="ES4" s="20">
        <f t="shared" si="10"/>
        <v>142</v>
      </c>
      <c r="ET4" s="20">
        <f t="shared" si="10"/>
        <v>143</v>
      </c>
      <c r="EU4" s="20">
        <f t="shared" si="10"/>
        <v>144</v>
      </c>
      <c r="EV4" s="20">
        <f t="shared" si="10"/>
        <v>145</v>
      </c>
      <c r="EW4" s="20">
        <f t="shared" si="10"/>
        <v>146</v>
      </c>
      <c r="EX4" s="20">
        <f t="shared" si="10"/>
        <v>147</v>
      </c>
      <c r="EY4" s="20">
        <f t="shared" si="10"/>
        <v>148</v>
      </c>
      <c r="EZ4" s="20">
        <f t="shared" si="10"/>
        <v>149</v>
      </c>
      <c r="FA4" s="20">
        <f t="shared" si="10"/>
        <v>150</v>
      </c>
      <c r="FB4" s="20">
        <f t="shared" si="10"/>
        <v>151</v>
      </c>
      <c r="FC4" s="20">
        <f t="shared" si="10"/>
        <v>152</v>
      </c>
      <c r="FD4" s="20">
        <f t="shared" si="10"/>
        <v>153</v>
      </c>
      <c r="FE4" s="20">
        <f t="shared" si="10"/>
        <v>154</v>
      </c>
      <c r="FF4" s="20">
        <f t="shared" si="10"/>
        <v>155</v>
      </c>
      <c r="FG4" s="20">
        <f t="shared" si="10"/>
        <v>156</v>
      </c>
      <c r="FH4" s="20">
        <f t="shared" si="10"/>
        <v>157</v>
      </c>
      <c r="FI4" s="20">
        <f t="shared" si="10"/>
        <v>158</v>
      </c>
      <c r="FJ4" s="20">
        <f t="shared" si="10"/>
        <v>159</v>
      </c>
      <c r="FK4" s="20">
        <f t="shared" ref="FK4:HV4" si="11">FJ4+1</f>
        <v>160</v>
      </c>
      <c r="FL4" s="20">
        <f t="shared" si="11"/>
        <v>161</v>
      </c>
      <c r="FM4" s="20">
        <f t="shared" si="11"/>
        <v>162</v>
      </c>
      <c r="FN4" s="20">
        <f t="shared" si="11"/>
        <v>163</v>
      </c>
      <c r="FO4" s="20">
        <f t="shared" si="11"/>
        <v>164</v>
      </c>
      <c r="FP4" s="20">
        <f t="shared" si="11"/>
        <v>165</v>
      </c>
      <c r="FQ4" s="20">
        <f t="shared" si="11"/>
        <v>166</v>
      </c>
      <c r="FR4" s="20">
        <f t="shared" si="11"/>
        <v>167</v>
      </c>
      <c r="FS4" s="20">
        <f t="shared" si="11"/>
        <v>168</v>
      </c>
      <c r="FT4" s="20">
        <f t="shared" si="11"/>
        <v>169</v>
      </c>
      <c r="FU4" s="20">
        <f t="shared" si="11"/>
        <v>170</v>
      </c>
      <c r="FV4" s="20">
        <f t="shared" si="11"/>
        <v>171</v>
      </c>
      <c r="FW4" s="20">
        <f t="shared" si="11"/>
        <v>172</v>
      </c>
      <c r="FX4" s="20">
        <f t="shared" si="11"/>
        <v>173</v>
      </c>
      <c r="FY4" s="20">
        <f t="shared" si="11"/>
        <v>174</v>
      </c>
      <c r="FZ4" s="20">
        <f t="shared" si="11"/>
        <v>175</v>
      </c>
      <c r="GA4" s="20">
        <f t="shared" si="11"/>
        <v>176</v>
      </c>
      <c r="GB4" s="20">
        <f t="shared" si="11"/>
        <v>177</v>
      </c>
      <c r="GC4" s="20">
        <f t="shared" si="11"/>
        <v>178</v>
      </c>
      <c r="GD4" s="20">
        <f t="shared" si="11"/>
        <v>179</v>
      </c>
      <c r="GE4" s="20">
        <f t="shared" si="11"/>
        <v>180</v>
      </c>
      <c r="GF4" s="20">
        <f t="shared" si="11"/>
        <v>181</v>
      </c>
      <c r="GG4" s="20">
        <f t="shared" si="11"/>
        <v>182</v>
      </c>
      <c r="GH4" s="20">
        <f t="shared" si="11"/>
        <v>183</v>
      </c>
      <c r="GI4" s="20">
        <f t="shared" si="11"/>
        <v>184</v>
      </c>
      <c r="GJ4" s="20">
        <f t="shared" si="11"/>
        <v>185</v>
      </c>
      <c r="GK4" s="20">
        <f t="shared" si="11"/>
        <v>186</v>
      </c>
      <c r="GL4" s="20">
        <f t="shared" si="11"/>
        <v>187</v>
      </c>
      <c r="GM4" s="20">
        <f t="shared" si="11"/>
        <v>188</v>
      </c>
      <c r="GN4" s="20">
        <f t="shared" si="11"/>
        <v>189</v>
      </c>
      <c r="GO4" s="20">
        <f t="shared" si="11"/>
        <v>190</v>
      </c>
      <c r="GP4" s="20">
        <f t="shared" si="11"/>
        <v>191</v>
      </c>
      <c r="GQ4" s="20">
        <f t="shared" si="11"/>
        <v>192</v>
      </c>
      <c r="GR4" s="20">
        <f t="shared" si="11"/>
        <v>193</v>
      </c>
      <c r="GS4" s="20">
        <f t="shared" si="11"/>
        <v>194</v>
      </c>
      <c r="GT4" s="20">
        <f t="shared" si="11"/>
        <v>195</v>
      </c>
      <c r="GU4" s="20">
        <f t="shared" si="11"/>
        <v>196</v>
      </c>
      <c r="GV4" s="20">
        <f t="shared" si="11"/>
        <v>197</v>
      </c>
      <c r="GW4" s="20">
        <f t="shared" si="11"/>
        <v>198</v>
      </c>
      <c r="GX4" s="20">
        <f t="shared" si="11"/>
        <v>199</v>
      </c>
      <c r="GY4" s="20">
        <f t="shared" si="11"/>
        <v>200</v>
      </c>
      <c r="GZ4" s="20">
        <f t="shared" si="11"/>
        <v>201</v>
      </c>
      <c r="HA4" s="20">
        <f t="shared" si="11"/>
        <v>202</v>
      </c>
      <c r="HB4" s="20">
        <f t="shared" si="11"/>
        <v>203</v>
      </c>
      <c r="HC4" s="20">
        <f t="shared" si="11"/>
        <v>204</v>
      </c>
      <c r="HD4" s="20">
        <f t="shared" si="11"/>
        <v>205</v>
      </c>
      <c r="HE4" s="20">
        <f t="shared" si="11"/>
        <v>206</v>
      </c>
      <c r="HF4" s="20">
        <f t="shared" si="11"/>
        <v>207</v>
      </c>
      <c r="HG4" s="20">
        <f t="shared" si="11"/>
        <v>208</v>
      </c>
      <c r="HH4" s="20">
        <f t="shared" si="11"/>
        <v>209</v>
      </c>
      <c r="HI4" s="20">
        <f t="shared" si="11"/>
        <v>210</v>
      </c>
      <c r="HJ4" s="20">
        <f t="shared" si="11"/>
        <v>211</v>
      </c>
      <c r="HK4" s="20">
        <f t="shared" si="11"/>
        <v>212</v>
      </c>
      <c r="HL4" s="20">
        <f t="shared" si="11"/>
        <v>213</v>
      </c>
      <c r="HM4" s="20">
        <f t="shared" si="11"/>
        <v>214</v>
      </c>
      <c r="HN4" s="20">
        <f t="shared" si="11"/>
        <v>215</v>
      </c>
      <c r="HO4" s="20">
        <f t="shared" si="11"/>
        <v>216</v>
      </c>
      <c r="HP4" s="20">
        <f t="shared" si="11"/>
        <v>217</v>
      </c>
      <c r="HQ4" s="20">
        <f t="shared" si="11"/>
        <v>218</v>
      </c>
      <c r="HR4" s="20">
        <f t="shared" si="11"/>
        <v>219</v>
      </c>
      <c r="HS4" s="20">
        <f t="shared" si="11"/>
        <v>220</v>
      </c>
      <c r="HT4" s="20">
        <f t="shared" si="11"/>
        <v>221</v>
      </c>
      <c r="HU4" s="20">
        <f t="shared" si="11"/>
        <v>222</v>
      </c>
      <c r="HV4" s="20">
        <f t="shared" si="11"/>
        <v>223</v>
      </c>
      <c r="HW4" s="20">
        <f t="shared" ref="HW4:IN4" si="12">HV4+1</f>
        <v>224</v>
      </c>
      <c r="HX4" s="20">
        <f t="shared" si="12"/>
        <v>225</v>
      </c>
      <c r="HY4" s="20">
        <f t="shared" si="12"/>
        <v>226</v>
      </c>
      <c r="HZ4" s="20">
        <f t="shared" si="12"/>
        <v>227</v>
      </c>
      <c r="IA4" s="20">
        <f t="shared" si="12"/>
        <v>228</v>
      </c>
      <c r="IB4" s="20">
        <f t="shared" si="12"/>
        <v>229</v>
      </c>
      <c r="IC4" s="20">
        <f t="shared" si="12"/>
        <v>230</v>
      </c>
      <c r="ID4" s="20">
        <f t="shared" si="12"/>
        <v>231</v>
      </c>
      <c r="IE4" s="20">
        <f t="shared" si="12"/>
        <v>232</v>
      </c>
      <c r="IF4" s="20">
        <f t="shared" si="12"/>
        <v>233</v>
      </c>
      <c r="IG4" s="20">
        <f t="shared" si="12"/>
        <v>234</v>
      </c>
      <c r="IH4" s="20">
        <f t="shared" si="12"/>
        <v>235</v>
      </c>
      <c r="II4" s="20">
        <f t="shared" si="12"/>
        <v>236</v>
      </c>
      <c r="IJ4" s="20">
        <f t="shared" si="12"/>
        <v>237</v>
      </c>
      <c r="IK4" s="20">
        <f t="shared" si="12"/>
        <v>238</v>
      </c>
      <c r="IL4" s="20">
        <f t="shared" si="12"/>
        <v>239</v>
      </c>
      <c r="IM4" s="20">
        <f t="shared" si="12"/>
        <v>240</v>
      </c>
      <c r="IN4" s="20">
        <f t="shared" si="12"/>
        <v>241</v>
      </c>
    </row>
    <row r="5" spans="2:248" x14ac:dyDescent="0.3">
      <c r="B5" s="20" t="s">
        <v>488</v>
      </c>
      <c r="C5" s="22">
        <f>COUNTIF(G5:BL5,"&gt;"&amp;0)</f>
        <v>16</v>
      </c>
      <c r="F5" s="20" t="s">
        <v>485</v>
      </c>
      <c r="G5" s="22">
        <f>IF(VLOOKUP($B$2,DaysSince100!$H:$DJ,'Projections Data'!G$4+2,FALSE)=0,#N/A,VLOOKUP($B$2,DaysSince100!$H:$DJ,'Projections Data'!G$4+2,FALSE))</f>
        <v>130</v>
      </c>
      <c r="H5" s="22">
        <f>IF(VLOOKUP($B$2,DaysSince100!$H:$DJ,'Projections Data'!H$4+2,FALSE)=0,#N/A,VLOOKUP($B$2,DaysSince100!$H:$DJ,'Projections Data'!H$4+2,FALSE))</f>
        <v>159</v>
      </c>
      <c r="I5" s="22">
        <f>IF(VLOOKUP($B$2,DaysSince100!$H:$DJ,'Projections Data'!I$4+2,FALSE)=0,#N/A,VLOOKUP($B$2,DaysSince100!$H:$DJ,'Projections Data'!I$4+2,FALSE))</f>
        <v>196</v>
      </c>
      <c r="J5" s="22">
        <f>IF(VLOOKUP($B$2,DaysSince100!$H:$DJ,'Projections Data'!J$4+2,FALSE)=0,#N/A,VLOOKUP($B$2,DaysSince100!$H:$DJ,'Projections Data'!J$4+2,FALSE))</f>
        <v>262</v>
      </c>
      <c r="K5" s="22">
        <f>IF(VLOOKUP($B$2,DaysSince100!$H:$DJ,'Projections Data'!K$4+2,FALSE)=0,#N/A,VLOOKUP($B$2,DaysSince100!$H:$DJ,'Projections Data'!K$4+2,FALSE))</f>
        <v>482</v>
      </c>
      <c r="L5" s="22">
        <f>IF(VLOOKUP($B$2,DaysSince100!$H:$DJ,'Projections Data'!L$4+2,FALSE)=0,#N/A,VLOOKUP($B$2,DaysSince100!$H:$DJ,'Projections Data'!L$4+2,FALSE))</f>
        <v>670</v>
      </c>
      <c r="M5" s="22">
        <f>IF(VLOOKUP($B$2,DaysSince100!$H:$DJ,'Projections Data'!M$4+2,FALSE)=0,#N/A,VLOOKUP($B$2,DaysSince100!$H:$DJ,'Projections Data'!M$4+2,FALSE))</f>
        <v>799</v>
      </c>
      <c r="N5" s="22">
        <f>IF(VLOOKUP($B$2,DaysSince100!$H:$DJ,'Projections Data'!N$4+2,FALSE)=0,#N/A,VLOOKUP($B$2,DaysSince100!$H:$DJ,'Projections Data'!N$4+2,FALSE))</f>
        <v>1040</v>
      </c>
      <c r="O5" s="22">
        <f>IF(VLOOKUP($B$2,DaysSince100!$H:$DJ,'Projections Data'!O$4+2,FALSE)=0,#N/A,VLOOKUP($B$2,DaysSince100!$H:$DJ,'Projections Data'!O$4+2,FALSE))</f>
        <v>1176</v>
      </c>
      <c r="P5" s="22">
        <f>IF(VLOOKUP($B$2,DaysSince100!$H:$DJ,'Projections Data'!P$4+2,FALSE)=0,#N/A,VLOOKUP($B$2,DaysSince100!$H:$DJ,'Projections Data'!P$4+2,FALSE))</f>
        <v>1457</v>
      </c>
      <c r="Q5" s="22">
        <f>IF(VLOOKUP($B$2,DaysSince100!$H:$DJ,'Projections Data'!Q$4+2,FALSE)=0,#N/A,VLOOKUP($B$2,DaysSince100!$H:$DJ,'Projections Data'!Q$4+2,FALSE))</f>
        <v>1908</v>
      </c>
      <c r="R5" s="22">
        <f>IF(VLOOKUP($B$2,DaysSince100!$H:$DJ,'Projections Data'!R$4+2,FALSE)=0,#N/A,VLOOKUP($B$2,DaysSince100!$H:$DJ,'Projections Data'!R$4+2,FALSE))</f>
        <v>2078</v>
      </c>
      <c r="S5" s="22">
        <f>IF(VLOOKUP($B$2,DaysSince100!$H:$DJ,'Projections Data'!S$4+2,FALSE)=0,#N/A,VLOOKUP($B$2,DaysSince100!$H:$DJ,'Projections Data'!S$4+2,FALSE))</f>
        <v>3675</v>
      </c>
      <c r="T5" s="22">
        <f>IF(VLOOKUP($B$2,DaysSince100!$H:$DJ,'Projections Data'!T$4+2,FALSE)=0,#N/A,VLOOKUP($B$2,DaysSince100!$H:$DJ,'Projections Data'!T$4+2,FALSE))</f>
        <v>4585</v>
      </c>
      <c r="U5" s="22">
        <f>IF(VLOOKUP($B$2,DaysSince100!$H:$DJ,'Projections Data'!U$4+2,FALSE)=0,#N/A,VLOOKUP($B$2,DaysSince100!$H:$DJ,'Projections Data'!U$4+2,FALSE))</f>
        <v>5795</v>
      </c>
      <c r="V5" s="22">
        <f>IF(VLOOKUP($B$2,DaysSince100!$H:$DJ,'Projections Data'!V$4+2,FALSE)=0,#N/A,VLOOKUP($B$2,DaysSince100!$H:$DJ,'Projections Data'!V$4+2,FALSE))</f>
        <v>7272</v>
      </c>
      <c r="W5" s="22" t="e">
        <f>IF(VLOOKUP($B$2,DaysSince100!$H:$DJ,'Projections Data'!W$4+2,FALSE)=0,#N/A,VLOOKUP($B$2,DaysSince100!$H:$DJ,'Projections Data'!W$4+2,FALSE))</f>
        <v>#N/A</v>
      </c>
      <c r="X5" s="22" t="e">
        <f>IF(VLOOKUP($B$2,DaysSince100!$H:$DJ,'Projections Data'!X$4+2,FALSE)=0,#N/A,VLOOKUP($B$2,DaysSince100!$H:$DJ,'Projections Data'!X$4+2,FALSE))</f>
        <v>#N/A</v>
      </c>
      <c r="Y5" s="22" t="e">
        <f>IF(VLOOKUP($B$2,DaysSince100!$H:$DJ,'Projections Data'!Y$4+2,FALSE)=0,#N/A,VLOOKUP($B$2,DaysSince100!$H:$DJ,'Projections Data'!Y$4+2,FALSE))</f>
        <v>#N/A</v>
      </c>
      <c r="Z5" s="22" t="e">
        <f>IF(VLOOKUP($B$2,DaysSince100!$H:$DJ,'Projections Data'!Z$4+2,FALSE)=0,#N/A,VLOOKUP($B$2,DaysSince100!$H:$DJ,'Projections Data'!Z$4+2,FALSE))</f>
        <v>#N/A</v>
      </c>
      <c r="AA5" s="22" t="e">
        <f>IF(VLOOKUP($B$2,DaysSince100!$H:$DJ,'Projections Data'!AA$4+2,FALSE)=0,#N/A,VLOOKUP($B$2,DaysSince100!$H:$DJ,'Projections Data'!AA$4+2,FALSE))</f>
        <v>#N/A</v>
      </c>
      <c r="AB5" s="22" t="e">
        <f>IF(VLOOKUP($B$2,DaysSince100!$H:$DJ,'Projections Data'!AB$4+2,FALSE)=0,#N/A,VLOOKUP($B$2,DaysSince100!$H:$DJ,'Projections Data'!AB$4+2,FALSE))</f>
        <v>#N/A</v>
      </c>
      <c r="AC5" s="22" t="e">
        <f>IF(VLOOKUP($B$2,DaysSince100!$H:$DJ,'Projections Data'!AC$4+2,FALSE)=0,#N/A,VLOOKUP($B$2,DaysSince100!$H:$DJ,'Projections Data'!AC$4+2,FALSE))</f>
        <v>#N/A</v>
      </c>
      <c r="AD5" s="22" t="e">
        <f>IF(VLOOKUP($B$2,DaysSince100!$H:$DJ,'Projections Data'!AD$4+2,FALSE)=0,#N/A,VLOOKUP($B$2,DaysSince100!$H:$DJ,'Projections Data'!AD$4+2,FALSE))</f>
        <v>#N/A</v>
      </c>
      <c r="AE5" s="22" t="e">
        <f>IF(VLOOKUP($B$2,DaysSince100!$H:$DJ,'Projections Data'!AE$4+2,FALSE)=0,#N/A,VLOOKUP($B$2,DaysSince100!$H:$DJ,'Projections Data'!AE$4+2,FALSE))</f>
        <v>#N/A</v>
      </c>
      <c r="AF5" s="22" t="e">
        <f>IF(VLOOKUP($B$2,DaysSince100!$H:$DJ,'Projections Data'!AF$4+2,FALSE)=0,#N/A,VLOOKUP($B$2,DaysSince100!$H:$DJ,'Projections Data'!AF$4+2,FALSE))</f>
        <v>#N/A</v>
      </c>
      <c r="AG5" s="22" t="e">
        <f>IF(VLOOKUP($B$2,DaysSince100!$H:$DJ,'Projections Data'!AG$4+2,FALSE)=0,#N/A,VLOOKUP($B$2,DaysSince100!$H:$DJ,'Projections Data'!AG$4+2,FALSE))</f>
        <v>#N/A</v>
      </c>
      <c r="AH5" s="22" t="e">
        <f>IF(VLOOKUP($B$2,DaysSince100!$H:$DJ,'Projections Data'!AH$4+2,FALSE)=0,#N/A,VLOOKUP($B$2,DaysSince100!$H:$DJ,'Projections Data'!AH$4+2,FALSE))</f>
        <v>#N/A</v>
      </c>
      <c r="AI5" s="22" t="e">
        <f>IF(VLOOKUP($B$2,DaysSince100!$H:$DJ,'Projections Data'!AI$4+2,FALSE)=0,#N/A,VLOOKUP($B$2,DaysSince100!$H:$DJ,'Projections Data'!AI$4+2,FALSE))</f>
        <v>#N/A</v>
      </c>
      <c r="AJ5" s="22" t="e">
        <f>IF(VLOOKUP($B$2,DaysSince100!$H:$DJ,'Projections Data'!AJ$4+2,FALSE)=0,#N/A,VLOOKUP($B$2,DaysSince100!$H:$DJ,'Projections Data'!AJ$4+2,FALSE))</f>
        <v>#N/A</v>
      </c>
      <c r="AK5" s="22" t="e">
        <f>IF(VLOOKUP($B$2,DaysSince100!$H:$DJ,'Projections Data'!AK$4+2,FALSE)=0,#N/A,VLOOKUP($B$2,DaysSince100!$H:$DJ,'Projections Data'!AK$4+2,FALSE))</f>
        <v>#N/A</v>
      </c>
      <c r="AL5" s="22" t="e">
        <f>IF(VLOOKUP($B$2,DaysSince100!$H:$DJ,'Projections Data'!AL$4+2,FALSE)=0,#N/A,VLOOKUP($B$2,DaysSince100!$H:$DJ,'Projections Data'!AL$4+2,FALSE))</f>
        <v>#N/A</v>
      </c>
      <c r="AM5" s="22" t="e">
        <f>IF(VLOOKUP($B$2,DaysSince100!$H:$DJ,'Projections Data'!AM$4+2,FALSE)=0,#N/A,VLOOKUP($B$2,DaysSince100!$H:$DJ,'Projections Data'!AM$4+2,FALSE))</f>
        <v>#N/A</v>
      </c>
      <c r="AN5" s="22" t="e">
        <f>IF(VLOOKUP($B$2,DaysSince100!$H:$DJ,'Projections Data'!AN$4+2,FALSE)=0,#N/A,VLOOKUP($B$2,DaysSince100!$H:$DJ,'Projections Data'!AN$4+2,FALSE))</f>
        <v>#N/A</v>
      </c>
      <c r="AO5" s="22" t="e">
        <f>IF(VLOOKUP($B$2,DaysSince100!$H:$DJ,'Projections Data'!AO$4+2,FALSE)=0,#N/A,VLOOKUP($B$2,DaysSince100!$H:$DJ,'Projections Data'!AO$4+2,FALSE))</f>
        <v>#N/A</v>
      </c>
      <c r="AP5" s="22" t="e">
        <f>IF(VLOOKUP($B$2,DaysSince100!$H:$DJ,'Projections Data'!AP$4+2,FALSE)=0,#N/A,VLOOKUP($B$2,DaysSince100!$H:$DJ,'Projections Data'!AP$4+2,FALSE))</f>
        <v>#N/A</v>
      </c>
      <c r="AQ5" s="22" t="e">
        <f>IF(VLOOKUP($B$2,DaysSince100!$H:$DJ,'Projections Data'!AQ$4+2,FALSE)=0,#N/A,VLOOKUP($B$2,DaysSince100!$H:$DJ,'Projections Data'!AQ$4+2,FALSE))</f>
        <v>#N/A</v>
      </c>
      <c r="AR5" s="22" t="e">
        <f>IF(VLOOKUP($B$2,DaysSince100!$H:$DJ,'Projections Data'!AR$4+2,FALSE)=0,#N/A,VLOOKUP($B$2,DaysSince100!$H:$DJ,'Projections Data'!AR$4+2,FALSE))</f>
        <v>#N/A</v>
      </c>
      <c r="AS5" s="22" t="e">
        <f>IF(VLOOKUP($B$2,DaysSince100!$H:$DJ,'Projections Data'!AS$4+2,FALSE)=0,#N/A,VLOOKUP($B$2,DaysSince100!$H:$DJ,'Projections Data'!AS$4+2,FALSE))</f>
        <v>#N/A</v>
      </c>
      <c r="AT5" s="22" t="e">
        <f>IF(VLOOKUP($B$2,DaysSince100!$H:$DJ,'Projections Data'!AT$4+2,FALSE)=0,#N/A,VLOOKUP($B$2,DaysSince100!$H:$DJ,'Projections Data'!AT$4+2,FALSE))</f>
        <v>#N/A</v>
      </c>
      <c r="AU5" s="22" t="e">
        <f>IF(VLOOKUP($B$2,DaysSince100!$H:$DJ,'Projections Data'!AU$4+2,FALSE)=0,#N/A,VLOOKUP($B$2,DaysSince100!$H:$DJ,'Projections Data'!AU$4+2,FALSE))</f>
        <v>#N/A</v>
      </c>
      <c r="AV5" s="22" t="e">
        <f>IF(VLOOKUP($B$2,DaysSince100!$H:$DJ,'Projections Data'!AV$4+2,FALSE)=0,#N/A,VLOOKUP($B$2,DaysSince100!$H:$DJ,'Projections Data'!AV$4+2,FALSE))</f>
        <v>#N/A</v>
      </c>
      <c r="AW5" s="22" t="e">
        <f>IF(VLOOKUP($B$2,DaysSince100!$H:$DJ,'Projections Data'!AW$4+2,FALSE)=0,#N/A,VLOOKUP($B$2,DaysSince100!$H:$DJ,'Projections Data'!AW$4+2,FALSE))</f>
        <v>#N/A</v>
      </c>
      <c r="AX5" s="22" t="e">
        <f>IF(VLOOKUP($B$2,DaysSince100!$H:$DJ,'Projections Data'!AX$4+2,FALSE)=0,#N/A,VLOOKUP($B$2,DaysSince100!$H:$DJ,'Projections Data'!AX$4+2,FALSE))</f>
        <v>#N/A</v>
      </c>
      <c r="AY5" s="22" t="e">
        <f>IF(VLOOKUP($B$2,DaysSince100!$H:$DJ,'Projections Data'!AY$4+2,FALSE)=0,#N/A,VLOOKUP($B$2,DaysSince100!$H:$DJ,'Projections Data'!AY$4+2,FALSE))</f>
        <v>#N/A</v>
      </c>
      <c r="AZ5" s="22" t="e">
        <f>IF(VLOOKUP($B$2,DaysSince100!$H:$DJ,'Projections Data'!AZ$4+2,FALSE)=0,#N/A,VLOOKUP($B$2,DaysSince100!$H:$DJ,'Projections Data'!AZ$4+2,FALSE))</f>
        <v>#N/A</v>
      </c>
      <c r="BA5" s="22" t="e">
        <f>IF(VLOOKUP($B$2,DaysSince100!$H:$DJ,'Projections Data'!BA$4+2,FALSE)=0,#N/A,VLOOKUP($B$2,DaysSince100!$H:$DJ,'Projections Data'!BA$4+2,FALSE))</f>
        <v>#N/A</v>
      </c>
      <c r="BB5" s="22" t="e">
        <f>IF(VLOOKUP($B$2,DaysSince100!$H:$DJ,'Projections Data'!BB$4+2,FALSE)=0,#N/A,VLOOKUP($B$2,DaysSince100!$H:$DJ,'Projections Data'!BB$4+2,FALSE))</f>
        <v>#N/A</v>
      </c>
      <c r="BC5" s="22" t="e">
        <f>IF(VLOOKUP($B$2,DaysSince100!$H:$DJ,'Projections Data'!BC$4+2,FALSE)=0,#N/A,VLOOKUP($B$2,DaysSince100!$H:$DJ,'Projections Data'!BC$4+2,FALSE))</f>
        <v>#N/A</v>
      </c>
      <c r="BD5" s="22" t="e">
        <f>IF(VLOOKUP($B$2,DaysSince100!$H:$DJ,'Projections Data'!BD$4+2,FALSE)=0,#N/A,VLOOKUP($B$2,DaysSince100!$H:$DJ,'Projections Data'!BD$4+2,FALSE))</f>
        <v>#N/A</v>
      </c>
      <c r="BE5" s="22" t="e">
        <f>IF(VLOOKUP($B$2,DaysSince100!$H:$DJ,'Projections Data'!BE$4+2,FALSE)=0,#N/A,VLOOKUP($B$2,DaysSince100!$H:$DJ,'Projections Data'!BE$4+2,FALSE))</f>
        <v>#N/A</v>
      </c>
      <c r="BF5" s="22" t="e">
        <f>IF(VLOOKUP($B$2,DaysSince100!$H:$DJ,'Projections Data'!BF$4+2,FALSE)=0,#N/A,VLOOKUP($B$2,DaysSince100!$H:$DJ,'Projections Data'!BF$4+2,FALSE))</f>
        <v>#N/A</v>
      </c>
      <c r="BG5" s="22" t="e">
        <f>IF(VLOOKUP($B$2,DaysSince100!$H:$DJ,'Projections Data'!BG$4+2,FALSE)=0,#N/A,VLOOKUP($B$2,DaysSince100!$H:$DJ,'Projections Data'!BG$4+2,FALSE))</f>
        <v>#N/A</v>
      </c>
      <c r="BH5" s="22" t="e">
        <f>IF(VLOOKUP($B$2,DaysSince100!$H:$DJ,'Projections Data'!BH$4+2,FALSE)=0,#N/A,VLOOKUP($B$2,DaysSince100!$H:$DJ,'Projections Data'!BH$4+2,FALSE))</f>
        <v>#N/A</v>
      </c>
      <c r="BI5" s="22" t="e">
        <f>IF(VLOOKUP($B$2,DaysSince100!$H:$DJ,'Projections Data'!BI$4+2,FALSE)=0,#N/A,VLOOKUP($B$2,DaysSince100!$H:$DJ,'Projections Data'!BI$4+2,FALSE))</f>
        <v>#N/A</v>
      </c>
      <c r="BJ5" s="22" t="e">
        <f>IF(VLOOKUP($B$2,DaysSince100!$H:$DJ,'Projections Data'!BJ$4+2,FALSE)=0,#N/A,VLOOKUP($B$2,DaysSince100!$H:$DJ,'Projections Data'!BJ$4+2,FALSE))</f>
        <v>#N/A</v>
      </c>
      <c r="BK5" s="22" t="e">
        <f>IF(VLOOKUP($B$2,DaysSince100!$H:$DJ,'Projections Data'!BK$4+2,FALSE)=0,#N/A,VLOOKUP($B$2,DaysSince100!$H:$DJ,'Projections Data'!BK$4+2,FALSE))</f>
        <v>#N/A</v>
      </c>
      <c r="BL5" s="22" t="e">
        <f>IF(VLOOKUP($B$2,DaysSince100!$H:$DJ,'Projections Data'!BL$4+2,FALSE)=0,#N/A,VLOOKUP($B$2,DaysSince100!$H:$DJ,'Projections Data'!BL$4+2,FALSE))</f>
        <v>#N/A</v>
      </c>
      <c r="BM5" s="22" t="e">
        <f>IF(VLOOKUP($B$2,DaysSince100!$H:$DJ,'Projections Data'!BM$4+2,FALSE)=0,#N/A,VLOOKUP($B$2,DaysSince100!$H:$DJ,'Projections Data'!BM$4+2,FALSE))</f>
        <v>#N/A</v>
      </c>
      <c r="BN5" s="22" t="e">
        <f>IF(VLOOKUP($B$2,DaysSince100!$H:$DJ,'Projections Data'!BN$4+2,FALSE)=0,#N/A,VLOOKUP($B$2,DaysSince100!$H:$DJ,'Projections Data'!BN$4+2,FALSE))</f>
        <v>#N/A</v>
      </c>
      <c r="BO5" s="22" t="e">
        <f>IF(VLOOKUP($B$2,DaysSince100!$H:$DJ,'Projections Data'!BO$4+2,FALSE)=0,#N/A,VLOOKUP($B$2,DaysSince100!$H:$DJ,'Projections Data'!BO$4+2,FALSE))</f>
        <v>#N/A</v>
      </c>
      <c r="BP5" s="22" t="e">
        <f>IF(VLOOKUP($B$2,DaysSince100!$H:$DJ,'Projections Data'!BP$4+2,FALSE)=0,#N/A,VLOOKUP($B$2,DaysSince100!$H:$DJ,'Projections Data'!BP$4+2,FALSE))</f>
        <v>#N/A</v>
      </c>
      <c r="BQ5" s="22" t="e">
        <f>IF(VLOOKUP($B$2,DaysSince100!$H:$DJ,'Projections Data'!BQ$4+2,FALSE)=0,#N/A,VLOOKUP($B$2,DaysSince100!$H:$DJ,'Projections Data'!BQ$4+2,FALSE))</f>
        <v>#N/A</v>
      </c>
      <c r="BR5" s="22" t="e">
        <f>IF(VLOOKUP($B$2,DaysSince100!$H:$DJ,'Projections Data'!BR$4+2,FALSE)=0,#N/A,VLOOKUP($B$2,DaysSince100!$H:$DJ,'Projections Data'!BR$4+2,FALSE))</f>
        <v>#N/A</v>
      </c>
      <c r="BS5" s="22" t="e">
        <f>IF(VLOOKUP($B$2,DaysSince100!$H:$DJ,'Projections Data'!BS$4+2,FALSE)=0,#N/A,VLOOKUP($B$2,DaysSince100!$H:$DJ,'Projections Data'!BS$4+2,FALSE))</f>
        <v>#N/A</v>
      </c>
      <c r="BT5" s="22" t="e">
        <f>IF(VLOOKUP($B$2,DaysSince100!$H:$DJ,'Projections Data'!BT$4+2,FALSE)=0,#N/A,VLOOKUP($B$2,DaysSince100!$H:$DJ,'Projections Data'!BT$4+2,FALSE))</f>
        <v>#N/A</v>
      </c>
      <c r="BU5" s="22" t="e">
        <f>IF(VLOOKUP($B$2,DaysSince100!$H:$DJ,'Projections Data'!BU$4+2,FALSE)=0,#N/A,VLOOKUP($B$2,DaysSince100!$H:$DJ,'Projections Data'!BU$4+2,FALSE))</f>
        <v>#N/A</v>
      </c>
      <c r="BV5" s="22" t="e">
        <f>IF(VLOOKUP($B$2,DaysSince100!$H:$DJ,'Projections Data'!BV$4+2,FALSE)=0,#N/A,VLOOKUP($B$2,DaysSince100!$H:$DJ,'Projections Data'!BV$4+2,FALSE))</f>
        <v>#N/A</v>
      </c>
      <c r="BW5" s="22" t="e">
        <f>IF(VLOOKUP($B$2,DaysSince100!$H:$DJ,'Projections Data'!BW$4+2,FALSE)=0,#N/A,VLOOKUP($B$2,DaysSince100!$H:$DJ,'Projections Data'!BW$4+2,FALSE))</f>
        <v>#N/A</v>
      </c>
      <c r="BX5" s="22" t="e">
        <f>IF(VLOOKUP($B$2,DaysSince100!$H:$DJ,'Projections Data'!BX$4+2,FALSE)=0,#N/A,VLOOKUP($B$2,DaysSince100!$H:$DJ,'Projections Data'!BX$4+2,FALSE))</f>
        <v>#N/A</v>
      </c>
      <c r="BY5" s="22" t="e">
        <f>IF(VLOOKUP($B$2,DaysSince100!$H:$DJ,'Projections Data'!BY$4+2,FALSE)=0,#N/A,VLOOKUP($B$2,DaysSince100!$H:$DJ,'Projections Data'!BY$4+2,FALSE))</f>
        <v>#N/A</v>
      </c>
      <c r="BZ5" s="22" t="e">
        <f>IF(VLOOKUP($B$2,DaysSince100!$H:$DJ,'Projections Data'!BZ$4+2,FALSE)=0,#N/A,VLOOKUP($B$2,DaysSince100!$H:$DJ,'Projections Data'!BZ$4+2,FALSE))</f>
        <v>#N/A</v>
      </c>
      <c r="CA5" s="22" t="e">
        <f>IF(VLOOKUP($B$2,DaysSince100!$H:$DJ,'Projections Data'!CA$4+2,FALSE)=0,#N/A,VLOOKUP($B$2,DaysSince100!$H:$DJ,'Projections Data'!CA$4+2,FALSE))</f>
        <v>#N/A</v>
      </c>
      <c r="CB5" s="22" t="e">
        <f>IF(VLOOKUP($B$2,DaysSince100!$H:$DJ,'Projections Data'!CB$4+2,FALSE)=0,#N/A,VLOOKUP($B$2,DaysSince100!$H:$DJ,'Projections Data'!CB$4+2,FALSE))</f>
        <v>#N/A</v>
      </c>
      <c r="CC5" s="22" t="e">
        <f>IF(VLOOKUP($B$2,DaysSince100!$H:$DJ,'Projections Data'!CC$4+2,FALSE)=0,#N/A,VLOOKUP($B$2,DaysSince100!$H:$DJ,'Projections Data'!CC$4+2,FALSE))</f>
        <v>#N/A</v>
      </c>
      <c r="CD5" s="22" t="e">
        <f>IF(VLOOKUP($B$2,DaysSince100!$H:$DJ,'Projections Data'!CD$4+2,FALSE)=0,#N/A,VLOOKUP($B$2,DaysSince100!$H:$DJ,'Projections Data'!CD$4+2,FALSE))</f>
        <v>#N/A</v>
      </c>
      <c r="CE5" s="22" t="e">
        <f>IF(VLOOKUP($B$2,DaysSince100!$H:$DJ,'Projections Data'!CE$4+2,FALSE)=0,#N/A,VLOOKUP($B$2,DaysSince100!$H:$DJ,'Projections Data'!CE$4+2,FALSE))</f>
        <v>#N/A</v>
      </c>
      <c r="CF5" s="22" t="e">
        <f>IF(VLOOKUP($B$2,DaysSince100!$H:$DJ,'Projections Data'!CF$4+2,FALSE)=0,#N/A,VLOOKUP($B$2,DaysSince100!$H:$DJ,'Projections Data'!CF$4+2,FALSE))</f>
        <v>#N/A</v>
      </c>
      <c r="CG5" s="22" t="e">
        <f>IF(VLOOKUP($B$2,DaysSince100!$H:$DJ,'Projections Data'!CG$4+2,FALSE)=0,#N/A,VLOOKUP($B$2,DaysSince100!$H:$DJ,'Projections Data'!CG$4+2,FALSE))</f>
        <v>#N/A</v>
      </c>
      <c r="CH5" s="22" t="e">
        <f>IF(VLOOKUP($B$2,DaysSince100!$H:$DJ,'Projections Data'!CH$4+2,FALSE)=0,#N/A,VLOOKUP($B$2,DaysSince100!$H:$DJ,'Projections Data'!CH$4+2,FALSE))</f>
        <v>#N/A</v>
      </c>
      <c r="CI5" s="22" t="e">
        <f>IF(VLOOKUP($B$2,DaysSince100!$H:$DJ,'Projections Data'!CI$4+2,FALSE)=0,#N/A,VLOOKUP($B$2,DaysSince100!$H:$DJ,'Projections Data'!CI$4+2,FALSE))</f>
        <v>#N/A</v>
      </c>
      <c r="CJ5" s="22" t="e">
        <f>IF(VLOOKUP($B$2,DaysSince100!$H:$DJ,'Projections Data'!CJ$4+2,FALSE)=0,#N/A,VLOOKUP($B$2,DaysSince100!$H:$DJ,'Projections Data'!CJ$4+2,FALSE))</f>
        <v>#N/A</v>
      </c>
      <c r="CK5" s="22" t="e">
        <f>IF(VLOOKUP($B$2,DaysSince100!$H:$DJ,'Projections Data'!CK$4+2,FALSE)=0,#N/A,VLOOKUP($B$2,DaysSince100!$H:$DJ,'Projections Data'!CK$4+2,FALSE))</f>
        <v>#N/A</v>
      </c>
      <c r="CL5" s="22" t="e">
        <f>IF(VLOOKUP($B$2,DaysSince100!$H:$DJ,'Projections Data'!CL$4+2,FALSE)=0,#N/A,VLOOKUP($B$2,DaysSince100!$H:$DJ,'Projections Data'!CL$4+2,FALSE))</f>
        <v>#N/A</v>
      </c>
      <c r="CM5" s="22" t="e">
        <f>IF(VLOOKUP($B$2,DaysSince100!$H:$DJ,'Projections Data'!CM$4+2,FALSE)=0,#N/A,VLOOKUP($B$2,DaysSince100!$H:$DJ,'Projections Data'!CM$4+2,FALSE))</f>
        <v>#N/A</v>
      </c>
      <c r="CN5" s="22" t="e">
        <f>IF(VLOOKUP($B$2,DaysSince100!$H:$DJ,'Projections Data'!CN$4+2,FALSE)=0,#N/A,VLOOKUP($B$2,DaysSince100!$H:$DJ,'Projections Data'!CN$4+2,FALSE))</f>
        <v>#N/A</v>
      </c>
      <c r="CO5" s="22" t="e">
        <f>IF(VLOOKUP($B$2,DaysSince100!$H:$DJ,'Projections Data'!CO$4+2,FALSE)=0,#N/A,VLOOKUP($B$2,DaysSince100!$H:$DJ,'Projections Data'!CO$4+2,FALSE))</f>
        <v>#N/A</v>
      </c>
      <c r="CP5" s="22" t="e">
        <f>IF(VLOOKUP($B$2,DaysSince100!$H:$DJ,'Projections Data'!CP$4+2,FALSE)=0,#N/A,VLOOKUP($B$2,DaysSince100!$H:$DJ,'Projections Data'!CP$4+2,FALSE))</f>
        <v>#N/A</v>
      </c>
      <c r="CQ5" s="22" t="e">
        <f>IF(VLOOKUP($B$2,DaysSince100!$H:$DJ,'Projections Data'!CQ$4+2,FALSE)=0,#N/A,VLOOKUP($B$2,DaysSince100!$H:$DJ,'Projections Data'!CQ$4+2,FALSE))</f>
        <v>#N/A</v>
      </c>
      <c r="CR5" s="22" t="e">
        <f>IF(VLOOKUP($B$2,DaysSince100!$H:$DJ,'Projections Data'!CR$4+2,FALSE)=0,#N/A,VLOOKUP($B$2,DaysSince100!$H:$DJ,'Projections Data'!CR$4+2,FALSE))</f>
        <v>#N/A</v>
      </c>
      <c r="CS5" s="22" t="e">
        <f>IF(VLOOKUP($B$2,DaysSince100!$H:$DJ,'Projections Data'!CS$4+2,FALSE)=0,#N/A,VLOOKUP($B$2,DaysSince100!$H:$DJ,'Projections Data'!CS$4+2,FALSE))</f>
        <v>#N/A</v>
      </c>
      <c r="CT5" s="22" t="e">
        <f>IF(VLOOKUP($B$2,DaysSince100!$H:$DJ,'Projections Data'!CT$4+2,FALSE)=0,#N/A,VLOOKUP($B$2,DaysSince100!$H:$DJ,'Projections Data'!CT$4+2,FALSE))</f>
        <v>#N/A</v>
      </c>
      <c r="CU5" s="22" t="e">
        <f>IF(VLOOKUP($B$2,DaysSince100!$H:$KU,'Projections Data'!CU$4+2,FALSE)=0,#N/A,VLOOKUP($B$2,DaysSince100!$H:$KU,'Projections Data'!CU$4+2,FALSE))</f>
        <v>#N/A</v>
      </c>
      <c r="CV5" s="22" t="e">
        <f>IF(VLOOKUP($B$2,DaysSince100!$H:$KU,'Projections Data'!CV$4+2,FALSE)=0,#N/A,VLOOKUP($B$2,DaysSince100!$H:$KU,'Projections Data'!CV$4+2,FALSE))</f>
        <v>#N/A</v>
      </c>
      <c r="CW5" s="22" t="e">
        <f>IF(VLOOKUP($B$2,DaysSince100!$H:$KU,'Projections Data'!CW$4+2,FALSE)=0,#N/A,VLOOKUP($B$2,DaysSince100!$H:$KU,'Projections Data'!CW$4+2,FALSE))</f>
        <v>#N/A</v>
      </c>
      <c r="CX5" s="22" t="e">
        <f>IF(VLOOKUP($B$2,DaysSince100!$H:$KU,'Projections Data'!CX$4+2,FALSE)=0,#N/A,VLOOKUP($B$2,DaysSince100!$H:$KU,'Projections Data'!CX$4+2,FALSE))</f>
        <v>#N/A</v>
      </c>
      <c r="CY5" s="22" t="e">
        <f>IF(VLOOKUP($B$2,DaysSince100!$H:$KU,'Projections Data'!CY$4+2,FALSE)=0,#N/A,VLOOKUP($B$2,DaysSince100!$H:$KU,'Projections Data'!CY$4+2,FALSE))</f>
        <v>#N/A</v>
      </c>
      <c r="CZ5" s="22" t="e">
        <f>IF(VLOOKUP($B$2,DaysSince100!$H:$KU,'Projections Data'!CZ$4+2,FALSE)=0,#N/A,VLOOKUP($B$2,DaysSince100!$H:$KU,'Projections Data'!CZ$4+2,FALSE))</f>
        <v>#N/A</v>
      </c>
      <c r="DA5" s="22" t="e">
        <f>IF(VLOOKUP($B$2,DaysSince100!$H:$KU,'Projections Data'!DA$4+2,FALSE)=0,#N/A,VLOOKUP($B$2,DaysSince100!$H:$KU,'Projections Data'!DA$4+2,FALSE))</f>
        <v>#N/A</v>
      </c>
      <c r="DB5" s="22" t="e">
        <f>IF(VLOOKUP($B$2,DaysSince100!$H:$KU,'Projections Data'!DB$4+2,FALSE)=0,#N/A,VLOOKUP($B$2,DaysSince100!$H:$KU,'Projections Data'!DB$4+2,FALSE))</f>
        <v>#N/A</v>
      </c>
      <c r="DC5" s="22" t="e">
        <f>IF(VLOOKUP($B$2,DaysSince100!$H:$KU,'Projections Data'!DC$4+2,FALSE)=0,#N/A,VLOOKUP($B$2,DaysSince100!$H:$KU,'Projections Data'!DC$4+2,FALSE))</f>
        <v>#N/A</v>
      </c>
      <c r="DD5" s="22" t="e">
        <f>IF(VLOOKUP($B$2,DaysSince100!$H:$KU,'Projections Data'!DD$4+2,FALSE)=0,#N/A,VLOOKUP($B$2,DaysSince100!$H:$KU,'Projections Data'!DD$4+2,FALSE))</f>
        <v>#N/A</v>
      </c>
      <c r="DE5" s="22" t="e">
        <f>IF(VLOOKUP($B$2,DaysSince100!$H:$KU,'Projections Data'!DE$4+2,FALSE)=0,#N/A,VLOOKUP($B$2,DaysSince100!$H:$KU,'Projections Data'!DE$4+2,FALSE))</f>
        <v>#N/A</v>
      </c>
      <c r="DF5" s="22" t="e">
        <f>IF(VLOOKUP($B$2,DaysSince100!$H:$KU,'Projections Data'!DF$4+2,FALSE)=0,#N/A,VLOOKUP($B$2,DaysSince100!$H:$KU,'Projections Data'!DF$4+2,FALSE))</f>
        <v>#N/A</v>
      </c>
      <c r="DG5" s="22" t="e">
        <f>IF(VLOOKUP($B$2,DaysSince100!$H:$KU,'Projections Data'!DG$4+2,FALSE)=0,#N/A,VLOOKUP($B$2,DaysSince100!$H:$KU,'Projections Data'!DG$4+2,FALSE))</f>
        <v>#N/A</v>
      </c>
      <c r="DH5" s="22" t="e">
        <f>IF(VLOOKUP($B$2,DaysSince100!$H:$KU,'Projections Data'!DH$4+2,FALSE)=0,#N/A,VLOOKUP($B$2,DaysSince100!$H:$KU,'Projections Data'!DH$4+2,FALSE))</f>
        <v>#N/A</v>
      </c>
      <c r="DI5" s="22" t="e">
        <f>IF(VLOOKUP($B$2,DaysSince100!$H:$KU,'Projections Data'!DI$4+2,FALSE)=0,#N/A,VLOOKUP($B$2,DaysSince100!$H:$KU,'Projections Data'!DI$4+2,FALSE))</f>
        <v>#N/A</v>
      </c>
      <c r="DJ5" s="22" t="e">
        <f>IF(VLOOKUP($B$2,DaysSince100!$H:$KU,'Projections Data'!DJ$4+2,FALSE)=0,#N/A,VLOOKUP($B$2,DaysSince100!$H:$KU,'Projections Data'!DJ$4+2,FALSE))</f>
        <v>#N/A</v>
      </c>
      <c r="DK5" s="22" t="e">
        <f>IF(VLOOKUP($B$2,DaysSince100!$H:$KU,'Projections Data'!DK$4+2,FALSE)=0,#N/A,VLOOKUP($B$2,DaysSince100!$H:$KU,'Projections Data'!DK$4+2,FALSE))</f>
        <v>#N/A</v>
      </c>
      <c r="DL5" s="22" t="e">
        <f>IF(VLOOKUP($B$2,DaysSince100!$H:$KU,'Projections Data'!DL$4+2,FALSE)=0,#N/A,VLOOKUP($B$2,DaysSince100!$H:$KU,'Projections Data'!DL$4+2,FALSE))</f>
        <v>#N/A</v>
      </c>
      <c r="DM5" s="22" t="e">
        <f>IF(VLOOKUP($B$2,DaysSince100!$H:$KU,'Projections Data'!DM$4+2,FALSE)=0,#N/A,VLOOKUP($B$2,DaysSince100!$H:$KU,'Projections Data'!DM$4+2,FALSE))</f>
        <v>#N/A</v>
      </c>
      <c r="DN5" s="22" t="e">
        <f>IF(VLOOKUP($B$2,DaysSince100!$H:$KU,'Projections Data'!DN$4+2,FALSE)=0,#N/A,VLOOKUP($B$2,DaysSince100!$H:$KU,'Projections Data'!DN$4+2,FALSE))</f>
        <v>#N/A</v>
      </c>
      <c r="DO5" s="22" t="e">
        <f>IF(VLOOKUP($B$2,DaysSince100!$H:$KU,'Projections Data'!DO$4+2,FALSE)=0,#N/A,VLOOKUP($B$2,DaysSince100!$H:$KU,'Projections Data'!DO$4+2,FALSE))</f>
        <v>#N/A</v>
      </c>
      <c r="DP5" s="22" t="e">
        <f>IF(VLOOKUP($B$2,DaysSince100!$H:$KU,'Projections Data'!DP$4+2,FALSE)=0,#N/A,VLOOKUP($B$2,DaysSince100!$H:$KU,'Projections Data'!DP$4+2,FALSE))</f>
        <v>#N/A</v>
      </c>
      <c r="DQ5" s="22" t="e">
        <f>IF(VLOOKUP($B$2,DaysSince100!$H:$KU,'Projections Data'!DQ$4+2,FALSE)=0,#N/A,VLOOKUP($B$2,DaysSince100!$H:$KU,'Projections Data'!DQ$4+2,FALSE))</f>
        <v>#N/A</v>
      </c>
      <c r="DR5" s="22" t="e">
        <f>IF(VLOOKUP($B$2,DaysSince100!$H:$KU,'Projections Data'!DR$4+2,FALSE)=0,#N/A,VLOOKUP($B$2,DaysSince100!$H:$KU,'Projections Data'!DR$4+2,FALSE))</f>
        <v>#N/A</v>
      </c>
      <c r="DS5" s="22" t="e">
        <f>IF(VLOOKUP($B$2,DaysSince100!$H:$KU,'Projections Data'!DS$4+2,FALSE)=0,#N/A,VLOOKUP($B$2,DaysSince100!$H:$KU,'Projections Data'!DS$4+2,FALSE))</f>
        <v>#N/A</v>
      </c>
      <c r="DT5" s="22" t="e">
        <f>IF(VLOOKUP($B$2,DaysSince100!$H:$KU,'Projections Data'!DT$4+2,FALSE)=0,#N/A,VLOOKUP($B$2,DaysSince100!$H:$KU,'Projections Data'!DT$4+2,FALSE))</f>
        <v>#N/A</v>
      </c>
      <c r="DU5" s="22" t="e">
        <f>IF(VLOOKUP($B$2,DaysSince100!$H:$KU,'Projections Data'!DU$4+2,FALSE)=0,#N/A,VLOOKUP($B$2,DaysSince100!$H:$KU,'Projections Data'!DU$4+2,FALSE))</f>
        <v>#N/A</v>
      </c>
      <c r="DV5" s="22" t="e">
        <f>IF(VLOOKUP($B$2,DaysSince100!$H:$KU,'Projections Data'!DV$4+2,FALSE)=0,#N/A,VLOOKUP($B$2,DaysSince100!$H:$KU,'Projections Data'!DV$4+2,FALSE))</f>
        <v>#N/A</v>
      </c>
      <c r="DW5" s="22" t="e">
        <f>IF(VLOOKUP($B$2,DaysSince100!$H:$KU,'Projections Data'!DW$4+2,FALSE)=0,#N/A,VLOOKUP($B$2,DaysSince100!$H:$KU,'Projections Data'!DW$4+2,FALSE))</f>
        <v>#N/A</v>
      </c>
      <c r="DX5" s="22" t="e">
        <f>IF(VLOOKUP($B$2,DaysSince100!$H:$KU,'Projections Data'!DX$4+2,FALSE)=0,#N/A,VLOOKUP($B$2,DaysSince100!$H:$KU,'Projections Data'!DX$4+2,FALSE))</f>
        <v>#N/A</v>
      </c>
      <c r="DY5" s="22" t="e">
        <f>IF(VLOOKUP($B$2,DaysSince100!$H:$KU,'Projections Data'!DY$4+2,FALSE)=0,#N/A,VLOOKUP($B$2,DaysSince100!$H:$KU,'Projections Data'!DY$4+2,FALSE))</f>
        <v>#N/A</v>
      </c>
      <c r="DZ5" s="22" t="e">
        <f>IF(VLOOKUP($B$2,DaysSince100!$H:$KU,'Projections Data'!DZ$4+2,FALSE)=0,#N/A,VLOOKUP($B$2,DaysSince100!$H:$KU,'Projections Data'!DZ$4+2,FALSE))</f>
        <v>#N/A</v>
      </c>
      <c r="EA5" s="22" t="e">
        <f>IF(VLOOKUP($B$2,DaysSince100!$H:$KU,'Projections Data'!EA$4+2,FALSE)=0,#N/A,VLOOKUP($B$2,DaysSince100!$H:$KU,'Projections Data'!EA$4+2,FALSE))</f>
        <v>#N/A</v>
      </c>
      <c r="EB5" s="22" t="e">
        <f>IF(VLOOKUP($B$2,DaysSince100!$H:$KU,'Projections Data'!EB$4+2,FALSE)=0,#N/A,VLOOKUP($B$2,DaysSince100!$H:$KU,'Projections Data'!EB$4+2,FALSE))</f>
        <v>#N/A</v>
      </c>
      <c r="EC5" s="22" t="e">
        <f>IF(VLOOKUP($B$2,DaysSince100!$H:$KU,'Projections Data'!EC$4+2,FALSE)=0,#N/A,VLOOKUP($B$2,DaysSince100!$H:$KU,'Projections Data'!EC$4+2,FALSE))</f>
        <v>#N/A</v>
      </c>
      <c r="ED5" s="22" t="e">
        <f>IF(VLOOKUP($B$2,DaysSince100!$H:$KU,'Projections Data'!ED$4+2,FALSE)=0,#N/A,VLOOKUP($B$2,DaysSince100!$H:$KU,'Projections Data'!ED$4+2,FALSE))</f>
        <v>#N/A</v>
      </c>
      <c r="EE5" s="22" t="e">
        <f>IF(VLOOKUP($B$2,DaysSince100!$H:$KU,'Projections Data'!EE$4+2,FALSE)=0,#N/A,VLOOKUP($B$2,DaysSince100!$H:$KU,'Projections Data'!EE$4+2,FALSE))</f>
        <v>#N/A</v>
      </c>
      <c r="EF5" s="22" t="e">
        <f>IF(VLOOKUP($B$2,DaysSince100!$H:$KU,'Projections Data'!EF$4+2,FALSE)=0,#N/A,VLOOKUP($B$2,DaysSince100!$H:$KU,'Projections Data'!EF$4+2,FALSE))</f>
        <v>#N/A</v>
      </c>
      <c r="EG5" s="22" t="e">
        <f>IF(VLOOKUP($B$2,DaysSince100!$H:$KU,'Projections Data'!EG$4+2,FALSE)=0,#N/A,VLOOKUP($B$2,DaysSince100!$H:$KU,'Projections Data'!EG$4+2,FALSE))</f>
        <v>#N/A</v>
      </c>
      <c r="EH5" s="22" t="e">
        <f>IF(VLOOKUP($B$2,DaysSince100!$H:$KU,'Projections Data'!EH$4+2,FALSE)=0,#N/A,VLOOKUP($B$2,DaysSince100!$H:$KU,'Projections Data'!EH$4+2,FALSE))</f>
        <v>#N/A</v>
      </c>
      <c r="EI5" s="22" t="e">
        <f>IF(VLOOKUP($B$2,DaysSince100!$H:$KU,'Projections Data'!EI$4+2,FALSE)=0,#N/A,VLOOKUP($B$2,DaysSince100!$H:$KU,'Projections Data'!EI$4+2,FALSE))</f>
        <v>#N/A</v>
      </c>
      <c r="EJ5" s="22" t="e">
        <f>IF(VLOOKUP($B$2,DaysSince100!$H:$KU,'Projections Data'!EJ$4+2,FALSE)=0,#N/A,VLOOKUP($B$2,DaysSince100!$H:$KU,'Projections Data'!EJ$4+2,FALSE))</f>
        <v>#N/A</v>
      </c>
      <c r="EK5" s="22" t="e">
        <f>IF(VLOOKUP($B$2,DaysSince100!$H:$KU,'Projections Data'!EK$4+2,FALSE)=0,#N/A,VLOOKUP($B$2,DaysSince100!$H:$KU,'Projections Data'!EK$4+2,FALSE))</f>
        <v>#N/A</v>
      </c>
      <c r="EL5" s="22" t="e">
        <f>IF(VLOOKUP($B$2,DaysSince100!$H:$KU,'Projections Data'!EL$4+2,FALSE)=0,#N/A,VLOOKUP($B$2,DaysSince100!$H:$KU,'Projections Data'!EL$4+2,FALSE))</f>
        <v>#N/A</v>
      </c>
      <c r="EM5" s="22" t="e">
        <f>IF(VLOOKUP($B$2,DaysSince100!$H:$KU,'Projections Data'!EM$4+2,FALSE)=0,#N/A,VLOOKUP($B$2,DaysSince100!$H:$KU,'Projections Data'!EM$4+2,FALSE))</f>
        <v>#N/A</v>
      </c>
      <c r="EN5" s="22" t="e">
        <f>IF(VLOOKUP($B$2,DaysSince100!$H:$KU,'Projections Data'!EN$4+2,FALSE)=0,#N/A,VLOOKUP($B$2,DaysSince100!$H:$KU,'Projections Data'!EN$4+2,FALSE))</f>
        <v>#N/A</v>
      </c>
      <c r="EO5" s="22" t="e">
        <f>IF(VLOOKUP($B$2,DaysSince100!$H:$KU,'Projections Data'!EO$4+2,FALSE)=0,#N/A,VLOOKUP($B$2,DaysSince100!$H:$KU,'Projections Data'!EO$4+2,FALSE))</f>
        <v>#N/A</v>
      </c>
      <c r="EP5" s="22" t="e">
        <f>IF(VLOOKUP($B$2,DaysSince100!$H:$KU,'Projections Data'!EP$4+2,FALSE)=0,#N/A,VLOOKUP($B$2,DaysSince100!$H:$KU,'Projections Data'!EP$4+2,FALSE))</f>
        <v>#N/A</v>
      </c>
      <c r="EQ5" s="22" t="e">
        <f>IF(VLOOKUP($B$2,DaysSince100!$H:$KU,'Projections Data'!EQ$4+2,FALSE)=0,#N/A,VLOOKUP($B$2,DaysSince100!$H:$KU,'Projections Data'!EQ$4+2,FALSE))</f>
        <v>#N/A</v>
      </c>
      <c r="ER5" s="22" t="e">
        <f>IF(VLOOKUP($B$2,DaysSince100!$H:$KU,'Projections Data'!ER$4+2,FALSE)=0,#N/A,VLOOKUP($B$2,DaysSince100!$H:$KU,'Projections Data'!ER$4+2,FALSE))</f>
        <v>#N/A</v>
      </c>
      <c r="ES5" s="22" t="e">
        <f>IF(VLOOKUP($B$2,DaysSince100!$H:$KU,'Projections Data'!ES$4+2,FALSE)=0,#N/A,VLOOKUP($B$2,DaysSince100!$H:$KU,'Projections Data'!ES$4+2,FALSE))</f>
        <v>#N/A</v>
      </c>
      <c r="ET5" s="22" t="e">
        <f>IF(VLOOKUP($B$2,DaysSince100!$H:$KU,'Projections Data'!ET$4+2,FALSE)=0,#N/A,VLOOKUP($B$2,DaysSince100!$H:$KU,'Projections Data'!ET$4+2,FALSE))</f>
        <v>#N/A</v>
      </c>
      <c r="EU5" s="22" t="e">
        <f>IF(VLOOKUP($B$2,DaysSince100!$H:$KU,'Projections Data'!EU$4+2,FALSE)=0,#N/A,VLOOKUP($B$2,DaysSince100!$H:$KU,'Projections Data'!EU$4+2,FALSE))</f>
        <v>#N/A</v>
      </c>
      <c r="EV5" s="22" t="e">
        <f>IF(VLOOKUP($B$2,DaysSince100!$H:$KU,'Projections Data'!EV$4+2,FALSE)=0,#N/A,VLOOKUP($B$2,DaysSince100!$H:$KU,'Projections Data'!EV$4+2,FALSE))</f>
        <v>#N/A</v>
      </c>
      <c r="EW5" s="22" t="e">
        <f>IF(VLOOKUP($B$2,DaysSince100!$H:$KU,'Projections Data'!EW$4+2,FALSE)=0,#N/A,VLOOKUP($B$2,DaysSince100!$H:$KU,'Projections Data'!EW$4+2,FALSE))</f>
        <v>#N/A</v>
      </c>
      <c r="EX5" s="22" t="e">
        <f>IF(VLOOKUP($B$2,DaysSince100!$H:$KU,'Projections Data'!EX$4+2,FALSE)=0,#N/A,VLOOKUP($B$2,DaysSince100!$H:$KU,'Projections Data'!EX$4+2,FALSE))</f>
        <v>#N/A</v>
      </c>
      <c r="EY5" s="22" t="e">
        <f>IF(VLOOKUP($B$2,DaysSince100!$H:$KU,'Projections Data'!EY$4+2,FALSE)=0,#N/A,VLOOKUP($B$2,DaysSince100!$H:$KU,'Projections Data'!EY$4+2,FALSE))</f>
        <v>#N/A</v>
      </c>
      <c r="EZ5" s="22" t="e">
        <f>IF(VLOOKUP($B$2,DaysSince100!$H:$KU,'Projections Data'!EZ$4+2,FALSE)=0,#N/A,VLOOKUP($B$2,DaysSince100!$H:$KU,'Projections Data'!EZ$4+2,FALSE))</f>
        <v>#N/A</v>
      </c>
      <c r="FA5" s="22" t="e">
        <f>IF(VLOOKUP($B$2,DaysSince100!$H:$KU,'Projections Data'!FA$4+2,FALSE)=0,#N/A,VLOOKUP($B$2,DaysSince100!$H:$KU,'Projections Data'!FA$4+2,FALSE))</f>
        <v>#N/A</v>
      </c>
      <c r="FB5" s="22" t="e">
        <f>IF(VLOOKUP($B$2,DaysSince100!$H:$KU,'Projections Data'!FB$4+2,FALSE)=0,#N/A,VLOOKUP($B$2,DaysSince100!$H:$KU,'Projections Data'!FB$4+2,FALSE))</f>
        <v>#N/A</v>
      </c>
      <c r="FC5" s="22" t="e">
        <f>IF(VLOOKUP($B$2,DaysSince100!$H:$KU,'Projections Data'!FC$4+2,FALSE)=0,#N/A,VLOOKUP($B$2,DaysSince100!$H:$KU,'Projections Data'!FC$4+2,FALSE))</f>
        <v>#N/A</v>
      </c>
      <c r="FD5" s="22" t="e">
        <f>IF(VLOOKUP($B$2,DaysSince100!$H:$KU,'Projections Data'!FD$4+2,FALSE)=0,#N/A,VLOOKUP($B$2,DaysSince100!$H:$KU,'Projections Data'!FD$4+2,FALSE))</f>
        <v>#N/A</v>
      </c>
      <c r="FE5" s="22" t="e">
        <f>IF(VLOOKUP($B$2,DaysSince100!$H:$KU,'Projections Data'!FE$4+2,FALSE)=0,#N/A,VLOOKUP($B$2,DaysSince100!$H:$KU,'Projections Data'!FE$4+2,FALSE))</f>
        <v>#N/A</v>
      </c>
      <c r="FF5" s="22" t="e">
        <f>IF(VLOOKUP($B$2,DaysSince100!$H:$KU,'Projections Data'!FF$4+2,FALSE)=0,#N/A,VLOOKUP($B$2,DaysSince100!$H:$KU,'Projections Data'!FF$4+2,FALSE))</f>
        <v>#N/A</v>
      </c>
      <c r="FG5" s="22" t="e">
        <f>IF(VLOOKUP($B$2,DaysSince100!$H:$KU,'Projections Data'!FG$4+2,FALSE)=0,#N/A,VLOOKUP($B$2,DaysSince100!$H:$KU,'Projections Data'!FG$4+2,FALSE))</f>
        <v>#N/A</v>
      </c>
      <c r="FH5" s="22" t="e">
        <f>IF(VLOOKUP($B$2,DaysSince100!$H:$KU,'Projections Data'!FH$4+2,FALSE)=0,#N/A,VLOOKUP($B$2,DaysSince100!$H:$KU,'Projections Data'!FH$4+2,FALSE))</f>
        <v>#N/A</v>
      </c>
      <c r="FI5" s="22" t="e">
        <f>IF(VLOOKUP($B$2,DaysSince100!$H:$KU,'Projections Data'!FI$4+2,FALSE)=0,#N/A,VLOOKUP($B$2,DaysSince100!$H:$KU,'Projections Data'!FI$4+2,FALSE))</f>
        <v>#N/A</v>
      </c>
      <c r="FJ5" s="22" t="e">
        <f>IF(VLOOKUP($B$2,DaysSince100!$H:$KU,'Projections Data'!FJ$4+2,FALSE)=0,#N/A,VLOOKUP($B$2,DaysSince100!$H:$KU,'Projections Data'!FJ$4+2,FALSE))</f>
        <v>#N/A</v>
      </c>
      <c r="FK5" s="22" t="e">
        <f>IF(VLOOKUP($B$2,DaysSince100!$H:$KU,'Projections Data'!FK$4+2,FALSE)=0,#N/A,VLOOKUP($B$2,DaysSince100!$H:$KU,'Projections Data'!FK$4+2,FALSE))</f>
        <v>#N/A</v>
      </c>
      <c r="FL5" s="22" t="e">
        <f>IF(VLOOKUP($B$2,DaysSince100!$H:$KU,'Projections Data'!FL$4+2,FALSE)=0,#N/A,VLOOKUP($B$2,DaysSince100!$H:$KU,'Projections Data'!FL$4+2,FALSE))</f>
        <v>#N/A</v>
      </c>
      <c r="FM5" s="22" t="e">
        <f>IF(VLOOKUP($B$2,DaysSince100!$H:$KU,'Projections Data'!FM$4+2,FALSE)=0,#N/A,VLOOKUP($B$2,DaysSince100!$H:$KU,'Projections Data'!FM$4+2,FALSE))</f>
        <v>#N/A</v>
      </c>
      <c r="FN5" s="22" t="e">
        <f>IF(VLOOKUP($B$2,DaysSince100!$H:$KU,'Projections Data'!FN$4+2,FALSE)=0,#N/A,VLOOKUP($B$2,DaysSince100!$H:$KU,'Projections Data'!FN$4+2,FALSE))</f>
        <v>#N/A</v>
      </c>
      <c r="FO5" s="22" t="e">
        <f>IF(VLOOKUP($B$2,DaysSince100!$H:$KU,'Projections Data'!FO$4+2,FALSE)=0,#N/A,VLOOKUP($B$2,DaysSince100!$H:$KU,'Projections Data'!FO$4+2,FALSE))</f>
        <v>#N/A</v>
      </c>
      <c r="FP5" s="22" t="e">
        <f>IF(VLOOKUP($B$2,DaysSince100!$H:$KU,'Projections Data'!FP$4+2,FALSE)=0,#N/A,VLOOKUP($B$2,DaysSince100!$H:$KU,'Projections Data'!FP$4+2,FALSE))</f>
        <v>#N/A</v>
      </c>
      <c r="FQ5" s="22" t="e">
        <f>IF(VLOOKUP($B$2,DaysSince100!$H:$KU,'Projections Data'!FQ$4+2,FALSE)=0,#N/A,VLOOKUP($B$2,DaysSince100!$H:$KU,'Projections Data'!FQ$4+2,FALSE))</f>
        <v>#N/A</v>
      </c>
      <c r="FR5" s="22" t="e">
        <f>IF(VLOOKUP($B$2,DaysSince100!$H:$KU,'Projections Data'!FR$4+2,FALSE)=0,#N/A,VLOOKUP($B$2,DaysSince100!$H:$KU,'Projections Data'!FR$4+2,FALSE))</f>
        <v>#N/A</v>
      </c>
      <c r="FS5" s="22" t="e">
        <f>IF(VLOOKUP($B$2,DaysSince100!$H:$KU,'Projections Data'!FS$4+2,FALSE)=0,#N/A,VLOOKUP($B$2,DaysSince100!$H:$KU,'Projections Data'!FS$4+2,FALSE))</f>
        <v>#N/A</v>
      </c>
      <c r="FT5" s="22" t="e">
        <f>IF(VLOOKUP($B$2,DaysSince100!$H:$KU,'Projections Data'!FT$4+2,FALSE)=0,#N/A,VLOOKUP($B$2,DaysSince100!$H:$KU,'Projections Data'!FT$4+2,FALSE))</f>
        <v>#N/A</v>
      </c>
      <c r="FU5" s="22" t="e">
        <f>IF(VLOOKUP($B$2,DaysSince100!$H:$KU,'Projections Data'!FU$4+2,FALSE)=0,#N/A,VLOOKUP($B$2,DaysSince100!$H:$KU,'Projections Data'!FU$4+2,FALSE))</f>
        <v>#N/A</v>
      </c>
      <c r="FV5" s="22" t="e">
        <f>IF(VLOOKUP($B$2,DaysSince100!$H:$KU,'Projections Data'!FV$4+2,FALSE)=0,#N/A,VLOOKUP($B$2,DaysSince100!$H:$KU,'Projections Data'!FV$4+2,FALSE))</f>
        <v>#N/A</v>
      </c>
      <c r="FW5" s="22" t="e">
        <f>IF(VLOOKUP($B$2,DaysSince100!$H:$KU,'Projections Data'!FW$4+2,FALSE)=0,#N/A,VLOOKUP($B$2,DaysSince100!$H:$KU,'Projections Data'!FW$4+2,FALSE))</f>
        <v>#N/A</v>
      </c>
      <c r="FX5" s="22" t="e">
        <f>IF(VLOOKUP($B$2,DaysSince100!$H:$KU,'Projections Data'!FX$4+2,FALSE)=0,#N/A,VLOOKUP($B$2,DaysSince100!$H:$KU,'Projections Data'!FX$4+2,FALSE))</f>
        <v>#N/A</v>
      </c>
      <c r="FY5" s="22" t="e">
        <f>IF(VLOOKUP($B$2,DaysSince100!$H:$KU,'Projections Data'!FY$4+2,FALSE)=0,#N/A,VLOOKUP($B$2,DaysSince100!$H:$KU,'Projections Data'!FY$4+2,FALSE))</f>
        <v>#N/A</v>
      </c>
      <c r="FZ5" s="22" t="e">
        <f>IF(VLOOKUP($B$2,DaysSince100!$H:$KU,'Projections Data'!FZ$4+2,FALSE)=0,#N/A,VLOOKUP($B$2,DaysSince100!$H:$KU,'Projections Data'!FZ$4+2,FALSE))</f>
        <v>#N/A</v>
      </c>
      <c r="GA5" s="22" t="e">
        <f>IF(VLOOKUP($B$2,DaysSince100!$H:$KU,'Projections Data'!GA$4+2,FALSE)=0,#N/A,VLOOKUP($B$2,DaysSince100!$H:$KU,'Projections Data'!GA$4+2,FALSE))</f>
        <v>#N/A</v>
      </c>
      <c r="GB5" s="22" t="e">
        <f>IF(VLOOKUP($B$2,DaysSince100!$H:$KU,'Projections Data'!GB$4+2,FALSE)=0,#N/A,VLOOKUP($B$2,DaysSince100!$H:$KU,'Projections Data'!GB$4+2,FALSE))</f>
        <v>#N/A</v>
      </c>
      <c r="GC5" s="22" t="e">
        <f>IF(VLOOKUP($B$2,DaysSince100!$H:$KU,'Projections Data'!GC$4+2,FALSE)=0,#N/A,VLOOKUP($B$2,DaysSince100!$H:$KU,'Projections Data'!GC$4+2,FALSE))</f>
        <v>#N/A</v>
      </c>
      <c r="GD5" s="22" t="e">
        <f>IF(VLOOKUP($B$2,DaysSince100!$H:$KU,'Projections Data'!GD$4+2,FALSE)=0,#N/A,VLOOKUP($B$2,DaysSince100!$H:$KU,'Projections Data'!GD$4+2,FALSE))</f>
        <v>#N/A</v>
      </c>
      <c r="GE5" s="22" t="e">
        <f>IF(VLOOKUP($B$2,DaysSince100!$H:$KU,'Projections Data'!GE$4+2,FALSE)=0,#N/A,VLOOKUP($B$2,DaysSince100!$H:$KU,'Projections Data'!GE$4+2,FALSE))</f>
        <v>#N/A</v>
      </c>
      <c r="GF5" s="22" t="e">
        <f>IF(VLOOKUP($B$2,DaysSince100!$H:$KU,'Projections Data'!GF$4+2,FALSE)=0,#N/A,VLOOKUP($B$2,DaysSince100!$H:$KU,'Projections Data'!GF$4+2,FALSE))</f>
        <v>#N/A</v>
      </c>
      <c r="GG5" s="22" t="e">
        <f>IF(VLOOKUP($B$2,DaysSince100!$H:$KU,'Projections Data'!GG$4+2,FALSE)=0,#N/A,VLOOKUP($B$2,DaysSince100!$H:$KU,'Projections Data'!GG$4+2,FALSE))</f>
        <v>#N/A</v>
      </c>
      <c r="GH5" s="22" t="e">
        <f>IF(VLOOKUP($B$2,DaysSince100!$H:$KU,'Projections Data'!GH$4+2,FALSE)=0,#N/A,VLOOKUP($B$2,DaysSince100!$H:$KU,'Projections Data'!GH$4+2,FALSE))</f>
        <v>#N/A</v>
      </c>
      <c r="GI5" s="22" t="e">
        <f>IF(VLOOKUP($B$2,DaysSince100!$H:$KU,'Projections Data'!GI$4+2,FALSE)=0,#N/A,VLOOKUP($B$2,DaysSince100!$H:$KU,'Projections Data'!GI$4+2,FALSE))</f>
        <v>#N/A</v>
      </c>
      <c r="GJ5" s="22" t="e">
        <f>IF(VLOOKUP($B$2,DaysSince100!$H:$KU,'Projections Data'!GJ$4+2,FALSE)=0,#N/A,VLOOKUP($B$2,DaysSince100!$H:$KU,'Projections Data'!GJ$4+2,FALSE))</f>
        <v>#N/A</v>
      </c>
      <c r="GK5" s="22" t="e">
        <f>IF(VLOOKUP($B$2,DaysSince100!$H:$KU,'Projections Data'!GK$4+2,FALSE)=0,#N/A,VLOOKUP($B$2,DaysSince100!$H:$KU,'Projections Data'!GK$4+2,FALSE))</f>
        <v>#N/A</v>
      </c>
      <c r="GL5" s="22" t="e">
        <f>IF(VLOOKUP($B$2,DaysSince100!$H:$KU,'Projections Data'!GL$4+2,FALSE)=0,#N/A,VLOOKUP($B$2,DaysSince100!$H:$KU,'Projections Data'!GL$4+2,FALSE))</f>
        <v>#N/A</v>
      </c>
      <c r="GM5" s="22" t="e">
        <f>IF(VLOOKUP($B$2,DaysSince100!$H:$KU,'Projections Data'!GM$4+2,FALSE)=0,#N/A,VLOOKUP($B$2,DaysSince100!$H:$KU,'Projections Data'!GM$4+2,FALSE))</f>
        <v>#N/A</v>
      </c>
      <c r="GN5" s="22" t="e">
        <f>IF(VLOOKUP($B$2,DaysSince100!$H:$KU,'Projections Data'!GN$4+2,FALSE)=0,#N/A,VLOOKUP($B$2,DaysSince100!$H:$KU,'Projections Data'!GN$4+2,FALSE))</f>
        <v>#N/A</v>
      </c>
      <c r="GO5" s="22" t="e">
        <f>IF(VLOOKUP($B$2,DaysSince100!$H:$KU,'Projections Data'!GO$4+2,FALSE)=0,#N/A,VLOOKUP($B$2,DaysSince100!$H:$KU,'Projections Data'!GO$4+2,FALSE))</f>
        <v>#N/A</v>
      </c>
      <c r="GP5" s="22" t="e">
        <f>IF(VLOOKUP($B$2,DaysSince100!$H:$KU,'Projections Data'!GP$4+2,FALSE)=0,#N/A,VLOOKUP($B$2,DaysSince100!$H:$KU,'Projections Data'!GP$4+2,FALSE))</f>
        <v>#N/A</v>
      </c>
      <c r="GQ5" s="22" t="e">
        <f>IF(VLOOKUP($B$2,DaysSince100!$H:$KU,'Projections Data'!GQ$4+2,FALSE)=0,#N/A,VLOOKUP($B$2,DaysSince100!$H:$KU,'Projections Data'!GQ$4+2,FALSE))</f>
        <v>#N/A</v>
      </c>
      <c r="GR5" s="22" t="e">
        <f>IF(VLOOKUP($B$2,DaysSince100!$H:$KU,'Projections Data'!GR$4+2,FALSE)=0,#N/A,VLOOKUP($B$2,DaysSince100!$H:$KU,'Projections Data'!GR$4+2,FALSE))</f>
        <v>#N/A</v>
      </c>
      <c r="GS5" s="22" t="e">
        <f>IF(VLOOKUP($B$2,DaysSince100!$H:$KU,'Projections Data'!GS$4+2,FALSE)=0,#N/A,VLOOKUP($B$2,DaysSince100!$H:$KU,'Projections Data'!GS$4+2,FALSE))</f>
        <v>#N/A</v>
      </c>
      <c r="GT5" s="22" t="e">
        <f>IF(VLOOKUP($B$2,DaysSince100!$H:$KU,'Projections Data'!GT$4+2,FALSE)=0,#N/A,VLOOKUP($B$2,DaysSince100!$H:$KU,'Projections Data'!GT$4+2,FALSE))</f>
        <v>#N/A</v>
      </c>
      <c r="GU5" s="22" t="e">
        <f>IF(VLOOKUP($B$2,DaysSince100!$H:$KU,'Projections Data'!GU$4+2,FALSE)=0,#N/A,VLOOKUP($B$2,DaysSince100!$H:$KU,'Projections Data'!GU$4+2,FALSE))</f>
        <v>#N/A</v>
      </c>
      <c r="GV5" s="22" t="e">
        <f>IF(VLOOKUP($B$2,DaysSince100!$H:$KU,'Projections Data'!GV$4+2,FALSE)=0,#N/A,VLOOKUP($B$2,DaysSince100!$H:$KU,'Projections Data'!GV$4+2,FALSE))</f>
        <v>#N/A</v>
      </c>
      <c r="GW5" s="22" t="e">
        <f>IF(VLOOKUP($B$2,DaysSince100!$H:$KU,'Projections Data'!GW$4+2,FALSE)=0,#N/A,VLOOKUP($B$2,DaysSince100!$H:$KU,'Projections Data'!GW$4+2,FALSE))</f>
        <v>#N/A</v>
      </c>
      <c r="GX5" s="22" t="e">
        <f>IF(VLOOKUP($B$2,DaysSince100!$H:$KU,'Projections Data'!GX$4+2,FALSE)=0,#N/A,VLOOKUP($B$2,DaysSince100!$H:$KU,'Projections Data'!GX$4+2,FALSE))</f>
        <v>#N/A</v>
      </c>
      <c r="GY5" s="22" t="e">
        <f>IF(VLOOKUP($B$2,DaysSince100!$H:$KU,'Projections Data'!GY$4+2,FALSE)=0,#N/A,VLOOKUP($B$2,DaysSince100!$H:$KU,'Projections Data'!GY$4+2,FALSE))</f>
        <v>#N/A</v>
      </c>
      <c r="GZ5" s="22" t="e">
        <f>IF(VLOOKUP($B$2,DaysSince100!$H:$KU,'Projections Data'!GZ$4+2,FALSE)=0,#N/A,VLOOKUP($B$2,DaysSince100!$H:$KU,'Projections Data'!GZ$4+2,FALSE))</f>
        <v>#N/A</v>
      </c>
      <c r="HA5" s="22" t="e">
        <f>IF(VLOOKUP($B$2,DaysSince100!$H:$KU,'Projections Data'!HA$4+2,FALSE)=0,#N/A,VLOOKUP($B$2,DaysSince100!$H:$KU,'Projections Data'!HA$4+2,FALSE))</f>
        <v>#N/A</v>
      </c>
      <c r="HB5" s="22" t="e">
        <f>IF(VLOOKUP($B$2,DaysSince100!$H:$KU,'Projections Data'!HB$4+2,FALSE)=0,#N/A,VLOOKUP($B$2,DaysSince100!$H:$KU,'Projections Data'!HB$4+2,FALSE))</f>
        <v>#N/A</v>
      </c>
      <c r="HC5" s="22" t="e">
        <f>IF(VLOOKUP($B$2,DaysSince100!$H:$KU,'Projections Data'!HC$4+2,FALSE)=0,#N/A,VLOOKUP($B$2,DaysSince100!$H:$KU,'Projections Data'!HC$4+2,FALSE))</f>
        <v>#N/A</v>
      </c>
      <c r="HD5" s="22" t="e">
        <f>IF(VLOOKUP($B$2,DaysSince100!$H:$KU,'Projections Data'!HD$4+2,FALSE)=0,#N/A,VLOOKUP($B$2,DaysSince100!$H:$KU,'Projections Data'!HD$4+2,FALSE))</f>
        <v>#N/A</v>
      </c>
      <c r="HE5" s="22" t="e">
        <f>IF(VLOOKUP($B$2,DaysSince100!$H:$KU,'Projections Data'!HE$4+2,FALSE)=0,#N/A,VLOOKUP($B$2,DaysSince100!$H:$KU,'Projections Data'!HE$4+2,FALSE))</f>
        <v>#N/A</v>
      </c>
      <c r="HF5" s="22" t="e">
        <f>IF(VLOOKUP($B$2,DaysSince100!$H:$KU,'Projections Data'!HF$4+2,FALSE)=0,#N/A,VLOOKUP($B$2,DaysSince100!$H:$KU,'Projections Data'!HF$4+2,FALSE))</f>
        <v>#N/A</v>
      </c>
      <c r="HG5" s="22" t="e">
        <f>IF(VLOOKUP($B$2,DaysSince100!$H:$KU,'Projections Data'!HG$4+2,FALSE)=0,#N/A,VLOOKUP($B$2,DaysSince100!$H:$KU,'Projections Data'!HG$4+2,FALSE))</f>
        <v>#N/A</v>
      </c>
      <c r="HH5" s="22" t="e">
        <f>IF(VLOOKUP($B$2,DaysSince100!$H:$KU,'Projections Data'!HH$4+2,FALSE)=0,#N/A,VLOOKUP($B$2,DaysSince100!$H:$KU,'Projections Data'!HH$4+2,FALSE))</f>
        <v>#N/A</v>
      </c>
      <c r="HI5" s="22" t="e">
        <f>IF(VLOOKUP($B$2,DaysSince100!$H:$KU,'Projections Data'!HI$4+2,FALSE)=0,#N/A,VLOOKUP($B$2,DaysSince100!$H:$KU,'Projections Data'!HI$4+2,FALSE))</f>
        <v>#N/A</v>
      </c>
      <c r="HJ5" s="22" t="e">
        <f>IF(VLOOKUP($B$2,DaysSince100!$H:$KU,'Projections Data'!HJ$4+2,FALSE)=0,#N/A,VLOOKUP($B$2,DaysSince100!$H:$KU,'Projections Data'!HJ$4+2,FALSE))</f>
        <v>#N/A</v>
      </c>
      <c r="HK5" s="22" t="e">
        <f>IF(VLOOKUP($B$2,DaysSince100!$H:$KU,'Projections Data'!HK$4+2,FALSE)=0,#N/A,VLOOKUP($B$2,DaysSince100!$H:$KU,'Projections Data'!HK$4+2,FALSE))</f>
        <v>#N/A</v>
      </c>
      <c r="HL5" s="22" t="e">
        <f>IF(VLOOKUP($B$2,DaysSince100!$H:$KU,'Projections Data'!HL$4+2,FALSE)=0,#N/A,VLOOKUP($B$2,DaysSince100!$H:$KU,'Projections Data'!HL$4+2,FALSE))</f>
        <v>#N/A</v>
      </c>
      <c r="HM5" s="22" t="e">
        <f>IF(VLOOKUP($B$2,DaysSince100!$H:$KU,'Projections Data'!HM$4+2,FALSE)=0,#N/A,VLOOKUP($B$2,DaysSince100!$H:$KU,'Projections Data'!HM$4+2,FALSE))</f>
        <v>#N/A</v>
      </c>
      <c r="HN5" s="22" t="e">
        <f>IF(VLOOKUP($B$2,DaysSince100!$H:$KU,'Projections Data'!HN$4+2,FALSE)=0,#N/A,VLOOKUP($B$2,DaysSince100!$H:$KU,'Projections Data'!HN$4+2,FALSE))</f>
        <v>#N/A</v>
      </c>
      <c r="HO5" s="22" t="e">
        <f>IF(VLOOKUP($B$2,DaysSince100!$H:$KU,'Projections Data'!HO$4+2,FALSE)=0,#N/A,VLOOKUP($B$2,DaysSince100!$H:$KU,'Projections Data'!HO$4+2,FALSE))</f>
        <v>#N/A</v>
      </c>
      <c r="HP5" s="22" t="e">
        <f>IF(VLOOKUP($B$2,DaysSince100!$H:$KU,'Projections Data'!HP$4+2,FALSE)=0,#N/A,VLOOKUP($B$2,DaysSince100!$H:$KU,'Projections Data'!HP$4+2,FALSE))</f>
        <v>#N/A</v>
      </c>
      <c r="HQ5" s="22" t="e">
        <f>IF(VLOOKUP($B$2,DaysSince100!$H:$KU,'Projections Data'!HQ$4+2,FALSE)=0,#N/A,VLOOKUP($B$2,DaysSince100!$H:$KU,'Projections Data'!HQ$4+2,FALSE))</f>
        <v>#N/A</v>
      </c>
      <c r="HR5" s="22" t="e">
        <f>IF(VLOOKUP($B$2,DaysSince100!$H:$KU,'Projections Data'!HR$4+2,FALSE)=0,#N/A,VLOOKUP($B$2,DaysSince100!$H:$KU,'Projections Data'!HR$4+2,FALSE))</f>
        <v>#N/A</v>
      </c>
      <c r="HS5" s="22" t="e">
        <f>IF(VLOOKUP($B$2,DaysSince100!$H:$KU,'Projections Data'!HS$4+2,FALSE)=0,#N/A,VLOOKUP($B$2,DaysSince100!$H:$KU,'Projections Data'!HS$4+2,FALSE))</f>
        <v>#N/A</v>
      </c>
      <c r="HT5" s="22" t="e">
        <f>IF(VLOOKUP($B$2,DaysSince100!$H:$KU,'Projections Data'!HT$4+2,FALSE)=0,#N/A,VLOOKUP($B$2,DaysSince100!$H:$KU,'Projections Data'!HT$4+2,FALSE))</f>
        <v>#N/A</v>
      </c>
      <c r="HU5" s="22" t="e">
        <f>IF(VLOOKUP($B$2,DaysSince100!$H:$KU,'Projections Data'!HU$4+2,FALSE)=0,#N/A,VLOOKUP($B$2,DaysSince100!$H:$KU,'Projections Data'!HU$4+2,FALSE))</f>
        <v>#N/A</v>
      </c>
      <c r="HV5" s="22" t="e">
        <f>IF(VLOOKUP($B$2,DaysSince100!$H:$KU,'Projections Data'!HV$4+2,FALSE)=0,#N/A,VLOOKUP($B$2,DaysSince100!$H:$KU,'Projections Data'!HV$4+2,FALSE))</f>
        <v>#N/A</v>
      </c>
      <c r="HW5" s="22" t="e">
        <f>IF(VLOOKUP($B$2,DaysSince100!$H:$KU,'Projections Data'!HW$4+2,FALSE)=0,#N/A,VLOOKUP($B$2,DaysSince100!$H:$KU,'Projections Data'!HW$4+2,FALSE))</f>
        <v>#N/A</v>
      </c>
      <c r="HX5" s="22" t="e">
        <f>IF(VLOOKUP($B$2,DaysSince100!$H:$KU,'Projections Data'!HX$4+2,FALSE)=0,#N/A,VLOOKUP($B$2,DaysSince100!$H:$KU,'Projections Data'!HX$4+2,FALSE))</f>
        <v>#N/A</v>
      </c>
      <c r="HY5" s="22" t="e">
        <f>IF(VLOOKUP($B$2,DaysSince100!$H:$KU,'Projections Data'!HY$4+2,FALSE)=0,#N/A,VLOOKUP($B$2,DaysSince100!$H:$KU,'Projections Data'!HY$4+2,FALSE))</f>
        <v>#N/A</v>
      </c>
      <c r="HZ5" s="22" t="e">
        <f>IF(VLOOKUP($B$2,DaysSince100!$H:$KU,'Projections Data'!HZ$4+2,FALSE)=0,#N/A,VLOOKUP($B$2,DaysSince100!$H:$KU,'Projections Data'!HZ$4+2,FALSE))</f>
        <v>#N/A</v>
      </c>
      <c r="IA5" s="22" t="e">
        <f>IF(VLOOKUP($B$2,DaysSince100!$H:$KU,'Projections Data'!IA$4+2,FALSE)=0,#N/A,VLOOKUP($B$2,DaysSince100!$H:$KU,'Projections Data'!IA$4+2,FALSE))</f>
        <v>#N/A</v>
      </c>
      <c r="IB5" s="22" t="e">
        <f>IF(VLOOKUP($B$2,DaysSince100!$H:$KU,'Projections Data'!IB$4+2,FALSE)=0,#N/A,VLOOKUP($B$2,DaysSince100!$H:$KU,'Projections Data'!IB$4+2,FALSE))</f>
        <v>#N/A</v>
      </c>
      <c r="IC5" s="22" t="e">
        <f>IF(VLOOKUP($B$2,DaysSince100!$H:$KU,'Projections Data'!IC$4+2,FALSE)=0,#N/A,VLOOKUP($B$2,DaysSince100!$H:$KU,'Projections Data'!IC$4+2,FALSE))</f>
        <v>#N/A</v>
      </c>
      <c r="ID5" s="22" t="e">
        <f>IF(VLOOKUP($B$2,DaysSince100!$H:$KU,'Projections Data'!ID$4+2,FALSE)=0,#N/A,VLOOKUP($B$2,DaysSince100!$H:$KU,'Projections Data'!ID$4+2,FALSE))</f>
        <v>#N/A</v>
      </c>
      <c r="IE5" s="22" t="e">
        <f>IF(VLOOKUP($B$2,DaysSince100!$H:$KU,'Projections Data'!IE$4+2,FALSE)=0,#N/A,VLOOKUP($B$2,DaysSince100!$H:$KU,'Projections Data'!IE$4+2,FALSE))</f>
        <v>#N/A</v>
      </c>
      <c r="IF5" s="22" t="e">
        <f>IF(VLOOKUP($B$2,DaysSince100!$H:$KU,'Projections Data'!IF$4+2,FALSE)=0,#N/A,VLOOKUP($B$2,DaysSince100!$H:$KU,'Projections Data'!IF$4+2,FALSE))</f>
        <v>#N/A</v>
      </c>
      <c r="IG5" s="22" t="e">
        <f>IF(VLOOKUP($B$2,DaysSince100!$H:$KU,'Projections Data'!IG$4+2,FALSE)=0,#N/A,VLOOKUP($B$2,DaysSince100!$H:$KU,'Projections Data'!IG$4+2,FALSE))</f>
        <v>#N/A</v>
      </c>
      <c r="IH5" s="22" t="e">
        <f>IF(VLOOKUP($B$2,DaysSince100!$H:$KU,'Projections Data'!IH$4+2,FALSE)=0,#N/A,VLOOKUP($B$2,DaysSince100!$H:$KU,'Projections Data'!IH$4+2,FALSE))</f>
        <v>#N/A</v>
      </c>
      <c r="II5" s="22" t="e">
        <f>IF(VLOOKUP($B$2,DaysSince100!$H:$KU,'Projections Data'!II$4+2,FALSE)=0,#N/A,VLOOKUP($B$2,DaysSince100!$H:$KU,'Projections Data'!II$4+2,FALSE))</f>
        <v>#N/A</v>
      </c>
      <c r="IJ5" s="22" t="e">
        <f>IF(VLOOKUP($B$2,DaysSince100!$H:$KU,'Projections Data'!IJ$4+2,FALSE)=0,#N/A,VLOOKUP($B$2,DaysSince100!$H:$KU,'Projections Data'!IJ$4+2,FALSE))</f>
        <v>#N/A</v>
      </c>
      <c r="IK5" s="22" t="e">
        <f>IF(VLOOKUP($B$2,DaysSince100!$H:$KU,'Projections Data'!IK$4+2,FALSE)=0,#N/A,VLOOKUP($B$2,DaysSince100!$H:$KU,'Projections Data'!IK$4+2,FALSE))</f>
        <v>#N/A</v>
      </c>
      <c r="IL5" s="22" t="e">
        <f>IF(VLOOKUP($B$2,DaysSince100!$H:$KU,'Projections Data'!IL$4+2,FALSE)=0,#N/A,VLOOKUP($B$2,DaysSince100!$H:$KU,'Projections Data'!IL$4+2,FALSE))</f>
        <v>#N/A</v>
      </c>
      <c r="IM5" s="22" t="e">
        <f>IF(VLOOKUP($B$2,DaysSince100!$H:$KU,'Projections Data'!IM$4+2,FALSE)=0,#N/A,VLOOKUP($B$2,DaysSince100!$H:$KU,'Projections Data'!IM$4+2,FALSE))</f>
        <v>#N/A</v>
      </c>
      <c r="IN5" s="22" t="e">
        <f>IF(VLOOKUP($B$2,DaysSince100!$H:$KU,'Projections Data'!IN$4+2,FALSE)=0,#N/A,VLOOKUP($B$2,DaysSince100!$H:$KU,'Projections Data'!IN$4+2,FALSE))</f>
        <v>#N/A</v>
      </c>
    </row>
    <row r="6" spans="2:248" x14ac:dyDescent="0.3">
      <c r="F6" s="20" t="str">
        <f>"Current Avg ("&amp;TEXT(C8,"0%")&amp;")"</f>
        <v>Current Avg (31%)</v>
      </c>
      <c r="G6" s="22">
        <f t="shared" ref="G6:BR6" si="13">IF(IF(AND(ISNA(G$5),ISNA(F$5)),F6*(1+$C$8),IF(AND(F$5&gt;0,ISNA(G$5)),F6*(1+$C$8),G$5))&gt;$C$17,$C$17,IF(AND(ISNA(G$5),ISNA(F$5)),F6*(1+$C$8),IF(AND(F$5&gt;0,ISNA(G$5)),F6*(1+$C$8),G$5)))</f>
        <v>130</v>
      </c>
      <c r="H6" s="22">
        <f t="shared" si="13"/>
        <v>159</v>
      </c>
      <c r="I6" s="22">
        <f t="shared" si="13"/>
        <v>196</v>
      </c>
      <c r="J6" s="22">
        <f t="shared" si="13"/>
        <v>262</v>
      </c>
      <c r="K6" s="22">
        <f t="shared" si="13"/>
        <v>482</v>
      </c>
      <c r="L6" s="22">
        <f t="shared" si="13"/>
        <v>670</v>
      </c>
      <c r="M6" s="22">
        <f t="shared" si="13"/>
        <v>799</v>
      </c>
      <c r="N6" s="22">
        <f t="shared" si="13"/>
        <v>1040</v>
      </c>
      <c r="O6" s="22">
        <f t="shared" si="13"/>
        <v>1176</v>
      </c>
      <c r="P6" s="22">
        <f t="shared" si="13"/>
        <v>1457</v>
      </c>
      <c r="Q6" s="22">
        <f t="shared" si="13"/>
        <v>1908</v>
      </c>
      <c r="R6" s="22">
        <f t="shared" si="13"/>
        <v>2078</v>
      </c>
      <c r="S6" s="22">
        <f t="shared" si="13"/>
        <v>3675</v>
      </c>
      <c r="T6" s="22">
        <f t="shared" si="13"/>
        <v>4585</v>
      </c>
      <c r="U6" s="22">
        <f t="shared" si="13"/>
        <v>5795</v>
      </c>
      <c r="V6" s="22">
        <f t="shared" si="13"/>
        <v>7272</v>
      </c>
      <c r="W6" s="22">
        <f t="shared" si="13"/>
        <v>9503.1803250873654</v>
      </c>
      <c r="X6" s="22">
        <f t="shared" si="13"/>
        <v>12418.926882718319</v>
      </c>
      <c r="Y6" s="22">
        <f t="shared" si="13"/>
        <v>16229.276899140168</v>
      </c>
      <c r="Z6" s="22">
        <f t="shared" si="13"/>
        <v>21208.710797346499</v>
      </c>
      <c r="AA6" s="22">
        <f t="shared" si="13"/>
        <v>27715.924528301875</v>
      </c>
      <c r="AB6" s="22">
        <f t="shared" si="13"/>
        <v>36219.668408823534</v>
      </c>
      <c r="AC6" s="22">
        <f t="shared" si="13"/>
        <v>47332.513779416979</v>
      </c>
      <c r="AD6" s="22">
        <f t="shared" si="13"/>
        <v>61854.979879741761</v>
      </c>
      <c r="AE6" s="22">
        <f t="shared" si="13"/>
        <v>80833.199642716834</v>
      </c>
      <c r="AF6" s="22">
        <f t="shared" si="13"/>
        <v>105634.27839088638</v>
      </c>
      <c r="AG6" s="22">
        <f t="shared" si="13"/>
        <v>138044.77393551607</v>
      </c>
      <c r="AH6" s="22">
        <f t="shared" si="13"/>
        <v>180399.39214041937</v>
      </c>
      <c r="AI6" s="22">
        <f t="shared" si="13"/>
        <v>235749.16859826096</v>
      </c>
      <c r="AJ6" s="22">
        <f t="shared" si="13"/>
        <v>308081.25146846782</v>
      </c>
      <c r="AK6" s="22">
        <f t="shared" si="13"/>
        <v>402606.11764073663</v>
      </c>
      <c r="AL6" s="22">
        <f t="shared" si="13"/>
        <v>526132.91198064608</v>
      </c>
      <c r="AM6" s="22">
        <f t="shared" si="13"/>
        <v>687559.94740310765</v>
      </c>
      <c r="AN6" s="22">
        <f t="shared" si="13"/>
        <v>898515.69918582472</v>
      </c>
      <c r="AO6" s="22">
        <f t="shared" si="13"/>
        <v>1174196.4678609527</v>
      </c>
      <c r="AP6" s="22">
        <f t="shared" si="13"/>
        <v>1534461.0521401658</v>
      </c>
      <c r="AQ6" s="22">
        <f t="shared" si="13"/>
        <v>2005261.2871715187</v>
      </c>
      <c r="AR6" s="22">
        <f t="shared" si="13"/>
        <v>2620511.4976495798</v>
      </c>
      <c r="AS6" s="22">
        <f t="shared" si="13"/>
        <v>3424531.5327459727</v>
      </c>
      <c r="AT6" s="22">
        <f t="shared" si="13"/>
        <v>4475239.3680738192</v>
      </c>
      <c r="AU6" s="22">
        <f t="shared" si="13"/>
        <v>5848323.2553266687</v>
      </c>
      <c r="AV6" s="22">
        <f t="shared" si="13"/>
        <v>7642693.9624272957</v>
      </c>
      <c r="AW6" s="22">
        <f t="shared" si="13"/>
        <v>9987609.8589663208</v>
      </c>
      <c r="AX6" s="22">
        <f t="shared" si="13"/>
        <v>13051988.105937479</v>
      </c>
      <c r="AY6" s="22">
        <f t="shared" si="13"/>
        <v>17056572.685866252</v>
      </c>
      <c r="AZ6" s="22">
        <f t="shared" si="13"/>
        <v>22289835.803320508</v>
      </c>
      <c r="BA6" s="22">
        <f t="shared" si="13"/>
        <v>29128758.120949313</v>
      </c>
      <c r="BB6" s="22">
        <f t="shared" si="13"/>
        <v>33513576.800000001</v>
      </c>
      <c r="BC6" s="22">
        <f t="shared" si="13"/>
        <v>33513576.800000001</v>
      </c>
      <c r="BD6" s="22">
        <f t="shared" si="13"/>
        <v>33513576.800000001</v>
      </c>
      <c r="BE6" s="22">
        <f t="shared" si="13"/>
        <v>33513576.800000001</v>
      </c>
      <c r="BF6" s="22">
        <f t="shared" si="13"/>
        <v>33513576.800000001</v>
      </c>
      <c r="BG6" s="22">
        <f t="shared" si="13"/>
        <v>33513576.800000001</v>
      </c>
      <c r="BH6" s="22">
        <f t="shared" si="13"/>
        <v>33513576.800000001</v>
      </c>
      <c r="BI6" s="22">
        <f t="shared" si="13"/>
        <v>33513576.800000001</v>
      </c>
      <c r="BJ6" s="22">
        <f t="shared" si="13"/>
        <v>33513576.800000001</v>
      </c>
      <c r="BK6" s="22">
        <f t="shared" si="13"/>
        <v>33513576.800000001</v>
      </c>
      <c r="BL6" s="22">
        <f t="shared" si="13"/>
        <v>33513576.800000001</v>
      </c>
      <c r="BM6" s="22">
        <f t="shared" si="13"/>
        <v>33513576.800000001</v>
      </c>
      <c r="BN6" s="22">
        <f t="shared" si="13"/>
        <v>33513576.800000001</v>
      </c>
      <c r="BO6" s="22">
        <f t="shared" si="13"/>
        <v>33513576.800000001</v>
      </c>
      <c r="BP6" s="22">
        <f t="shared" si="13"/>
        <v>33513576.800000001</v>
      </c>
      <c r="BQ6" s="22">
        <f t="shared" si="13"/>
        <v>33513576.800000001</v>
      </c>
      <c r="BR6" s="22">
        <f t="shared" si="13"/>
        <v>33513576.800000001</v>
      </c>
      <c r="BS6" s="22">
        <f t="shared" ref="BS6:ED6" si="14">IF(IF(AND(ISNA(BS$5),ISNA(BR$5)),BR6*(1+$C$8),IF(AND(BR$5&gt;0,ISNA(BS$5)),BR6*(1+$C$8),BS$5))&gt;$C$17,$C$17,IF(AND(ISNA(BS$5),ISNA(BR$5)),BR6*(1+$C$8),IF(AND(BR$5&gt;0,ISNA(BS$5)),BR6*(1+$C$8),BS$5)))</f>
        <v>33513576.800000001</v>
      </c>
      <c r="BT6" s="22">
        <f t="shared" si="14"/>
        <v>33513576.800000001</v>
      </c>
      <c r="BU6" s="22">
        <f t="shared" si="14"/>
        <v>33513576.800000001</v>
      </c>
      <c r="BV6" s="22">
        <f t="shared" si="14"/>
        <v>33513576.800000001</v>
      </c>
      <c r="BW6" s="22">
        <f t="shared" si="14"/>
        <v>33513576.800000001</v>
      </c>
      <c r="BX6" s="22">
        <f t="shared" si="14"/>
        <v>33513576.800000001</v>
      </c>
      <c r="BY6" s="22">
        <f t="shared" si="14"/>
        <v>33513576.800000001</v>
      </c>
      <c r="BZ6" s="22">
        <f t="shared" si="14"/>
        <v>33513576.800000001</v>
      </c>
      <c r="CA6" s="22">
        <f t="shared" si="14"/>
        <v>33513576.800000001</v>
      </c>
      <c r="CB6" s="22">
        <f t="shared" si="14"/>
        <v>33513576.800000001</v>
      </c>
      <c r="CC6" s="22">
        <f t="shared" si="14"/>
        <v>33513576.800000001</v>
      </c>
      <c r="CD6" s="22">
        <f t="shared" si="14"/>
        <v>33513576.800000001</v>
      </c>
      <c r="CE6" s="22">
        <f t="shared" si="14"/>
        <v>33513576.800000001</v>
      </c>
      <c r="CF6" s="22">
        <f t="shared" si="14"/>
        <v>33513576.800000001</v>
      </c>
      <c r="CG6" s="22">
        <f t="shared" si="14"/>
        <v>33513576.800000001</v>
      </c>
      <c r="CH6" s="22">
        <f t="shared" si="14"/>
        <v>33513576.800000001</v>
      </c>
      <c r="CI6" s="22">
        <f t="shared" si="14"/>
        <v>33513576.800000001</v>
      </c>
      <c r="CJ6" s="22">
        <f t="shared" si="14"/>
        <v>33513576.800000001</v>
      </c>
      <c r="CK6" s="22">
        <f t="shared" si="14"/>
        <v>33513576.800000001</v>
      </c>
      <c r="CL6" s="22">
        <f t="shared" si="14"/>
        <v>33513576.800000001</v>
      </c>
      <c r="CM6" s="22">
        <f t="shared" si="14"/>
        <v>33513576.800000001</v>
      </c>
      <c r="CN6" s="22">
        <f t="shared" si="14"/>
        <v>33513576.800000001</v>
      </c>
      <c r="CO6" s="22">
        <f t="shared" si="14"/>
        <v>33513576.800000001</v>
      </c>
      <c r="CP6" s="22">
        <f t="shared" si="14"/>
        <v>33513576.800000001</v>
      </c>
      <c r="CQ6" s="22">
        <f t="shared" si="14"/>
        <v>33513576.800000001</v>
      </c>
      <c r="CR6" s="22">
        <f t="shared" si="14"/>
        <v>33513576.800000001</v>
      </c>
      <c r="CS6" s="22">
        <f t="shared" si="14"/>
        <v>33513576.800000001</v>
      </c>
      <c r="CT6" s="22">
        <f t="shared" si="14"/>
        <v>33513576.800000001</v>
      </c>
      <c r="CU6" s="22">
        <f t="shared" si="14"/>
        <v>33513576.800000001</v>
      </c>
      <c r="CV6" s="22">
        <f t="shared" si="14"/>
        <v>33513576.800000001</v>
      </c>
      <c r="CW6" s="22">
        <f t="shared" si="14"/>
        <v>33513576.800000001</v>
      </c>
      <c r="CX6" s="22">
        <f t="shared" si="14"/>
        <v>33513576.800000001</v>
      </c>
      <c r="CY6" s="22">
        <f t="shared" si="14"/>
        <v>33513576.800000001</v>
      </c>
      <c r="CZ6" s="22">
        <f t="shared" si="14"/>
        <v>33513576.800000001</v>
      </c>
      <c r="DA6" s="22">
        <f t="shared" si="14"/>
        <v>33513576.800000001</v>
      </c>
      <c r="DB6" s="22">
        <f t="shared" si="14"/>
        <v>33513576.800000001</v>
      </c>
      <c r="DC6" s="22">
        <f t="shared" si="14"/>
        <v>33513576.800000001</v>
      </c>
      <c r="DD6" s="22">
        <f t="shared" si="14"/>
        <v>33513576.800000001</v>
      </c>
      <c r="DE6" s="22">
        <f t="shared" si="14"/>
        <v>33513576.800000001</v>
      </c>
      <c r="DF6" s="22">
        <f t="shared" si="14"/>
        <v>33513576.800000001</v>
      </c>
      <c r="DG6" s="22">
        <f t="shared" si="14"/>
        <v>33513576.800000001</v>
      </c>
      <c r="DH6" s="22">
        <f t="shared" si="14"/>
        <v>33513576.800000001</v>
      </c>
      <c r="DI6" s="22">
        <f t="shared" si="14"/>
        <v>33513576.800000001</v>
      </c>
      <c r="DJ6" s="22">
        <f t="shared" si="14"/>
        <v>33513576.800000001</v>
      </c>
      <c r="DK6" s="22">
        <f t="shared" si="14"/>
        <v>33513576.800000001</v>
      </c>
      <c r="DL6" s="22">
        <f t="shared" si="14"/>
        <v>33513576.800000001</v>
      </c>
      <c r="DM6" s="22">
        <f t="shared" si="14"/>
        <v>33513576.800000001</v>
      </c>
      <c r="DN6" s="22">
        <f t="shared" si="14"/>
        <v>33513576.800000001</v>
      </c>
      <c r="DO6" s="22">
        <f t="shared" si="14"/>
        <v>33513576.800000001</v>
      </c>
      <c r="DP6" s="22">
        <f t="shared" si="14"/>
        <v>33513576.800000001</v>
      </c>
      <c r="DQ6" s="22">
        <f t="shared" si="14"/>
        <v>33513576.800000001</v>
      </c>
      <c r="DR6" s="22">
        <f t="shared" si="14"/>
        <v>33513576.800000001</v>
      </c>
      <c r="DS6" s="22">
        <f t="shared" si="14"/>
        <v>33513576.800000001</v>
      </c>
      <c r="DT6" s="22">
        <f t="shared" si="14"/>
        <v>33513576.800000001</v>
      </c>
      <c r="DU6" s="22">
        <f t="shared" si="14"/>
        <v>33513576.800000001</v>
      </c>
      <c r="DV6" s="22">
        <f t="shared" si="14"/>
        <v>33513576.800000001</v>
      </c>
      <c r="DW6" s="22">
        <f t="shared" si="14"/>
        <v>33513576.800000001</v>
      </c>
      <c r="DX6" s="22">
        <f t="shared" si="14"/>
        <v>33513576.800000001</v>
      </c>
      <c r="DY6" s="22">
        <f t="shared" si="14"/>
        <v>33513576.800000001</v>
      </c>
      <c r="DZ6" s="22">
        <f t="shared" si="14"/>
        <v>33513576.800000001</v>
      </c>
      <c r="EA6" s="22">
        <f t="shared" si="14"/>
        <v>33513576.800000001</v>
      </c>
      <c r="EB6" s="22">
        <f t="shared" si="14"/>
        <v>33513576.800000001</v>
      </c>
      <c r="EC6" s="22">
        <f t="shared" si="14"/>
        <v>33513576.800000001</v>
      </c>
      <c r="ED6" s="22">
        <f t="shared" si="14"/>
        <v>33513576.800000001</v>
      </c>
      <c r="EE6" s="22">
        <f t="shared" ref="EE6:GP6" si="15">IF(IF(AND(ISNA(EE$5),ISNA(ED$5)),ED6*(1+$C$8),IF(AND(ED$5&gt;0,ISNA(EE$5)),ED6*(1+$C$8),EE$5))&gt;$C$17,$C$17,IF(AND(ISNA(EE$5),ISNA(ED$5)),ED6*(1+$C$8),IF(AND(ED$5&gt;0,ISNA(EE$5)),ED6*(1+$C$8),EE$5)))</f>
        <v>33513576.800000001</v>
      </c>
      <c r="EF6" s="22">
        <f t="shared" si="15"/>
        <v>33513576.800000001</v>
      </c>
      <c r="EG6" s="22">
        <f t="shared" si="15"/>
        <v>33513576.800000001</v>
      </c>
      <c r="EH6" s="22">
        <f t="shared" si="15"/>
        <v>33513576.800000001</v>
      </c>
      <c r="EI6" s="22">
        <f t="shared" si="15"/>
        <v>33513576.800000001</v>
      </c>
      <c r="EJ6" s="22">
        <f t="shared" si="15"/>
        <v>33513576.800000001</v>
      </c>
      <c r="EK6" s="22">
        <f t="shared" si="15"/>
        <v>33513576.800000001</v>
      </c>
      <c r="EL6" s="22">
        <f t="shared" si="15"/>
        <v>33513576.800000001</v>
      </c>
      <c r="EM6" s="22">
        <f t="shared" si="15"/>
        <v>33513576.800000001</v>
      </c>
      <c r="EN6" s="22">
        <f t="shared" si="15"/>
        <v>33513576.800000001</v>
      </c>
      <c r="EO6" s="22">
        <f t="shared" si="15"/>
        <v>33513576.800000001</v>
      </c>
      <c r="EP6" s="22">
        <f t="shared" si="15"/>
        <v>33513576.800000001</v>
      </c>
      <c r="EQ6" s="22">
        <f t="shared" si="15"/>
        <v>33513576.800000001</v>
      </c>
      <c r="ER6" s="22">
        <f t="shared" si="15"/>
        <v>33513576.800000001</v>
      </c>
      <c r="ES6" s="22">
        <f t="shared" si="15"/>
        <v>33513576.800000001</v>
      </c>
      <c r="ET6" s="22">
        <f t="shared" si="15"/>
        <v>33513576.800000001</v>
      </c>
      <c r="EU6" s="22">
        <f t="shared" si="15"/>
        <v>33513576.800000001</v>
      </c>
      <c r="EV6" s="22">
        <f t="shared" si="15"/>
        <v>33513576.800000001</v>
      </c>
      <c r="EW6" s="22">
        <f t="shared" si="15"/>
        <v>33513576.800000001</v>
      </c>
      <c r="EX6" s="22">
        <f t="shared" si="15"/>
        <v>33513576.800000001</v>
      </c>
      <c r="EY6" s="22">
        <f t="shared" si="15"/>
        <v>33513576.800000001</v>
      </c>
      <c r="EZ6" s="22">
        <f t="shared" si="15"/>
        <v>33513576.800000001</v>
      </c>
      <c r="FA6" s="22">
        <f t="shared" si="15"/>
        <v>33513576.800000001</v>
      </c>
      <c r="FB6" s="22">
        <f t="shared" si="15"/>
        <v>33513576.800000001</v>
      </c>
      <c r="FC6" s="22">
        <f t="shared" si="15"/>
        <v>33513576.800000001</v>
      </c>
      <c r="FD6" s="22">
        <f t="shared" si="15"/>
        <v>33513576.800000001</v>
      </c>
      <c r="FE6" s="22">
        <f t="shared" si="15"/>
        <v>33513576.800000001</v>
      </c>
      <c r="FF6" s="22">
        <f t="shared" si="15"/>
        <v>33513576.800000001</v>
      </c>
      <c r="FG6" s="22">
        <f t="shared" si="15"/>
        <v>33513576.800000001</v>
      </c>
      <c r="FH6" s="22">
        <f t="shared" si="15"/>
        <v>33513576.800000001</v>
      </c>
      <c r="FI6" s="22">
        <f t="shared" si="15"/>
        <v>33513576.800000001</v>
      </c>
      <c r="FJ6" s="22">
        <f t="shared" si="15"/>
        <v>33513576.800000001</v>
      </c>
      <c r="FK6" s="22">
        <f t="shared" si="15"/>
        <v>33513576.800000001</v>
      </c>
      <c r="FL6" s="22">
        <f t="shared" si="15"/>
        <v>33513576.800000001</v>
      </c>
      <c r="FM6" s="22">
        <f t="shared" si="15"/>
        <v>33513576.800000001</v>
      </c>
      <c r="FN6" s="22">
        <f t="shared" si="15"/>
        <v>33513576.800000001</v>
      </c>
      <c r="FO6" s="22">
        <f t="shared" si="15"/>
        <v>33513576.800000001</v>
      </c>
      <c r="FP6" s="22">
        <f t="shared" si="15"/>
        <v>33513576.800000001</v>
      </c>
      <c r="FQ6" s="22">
        <f t="shared" si="15"/>
        <v>33513576.800000001</v>
      </c>
      <c r="FR6" s="22">
        <f t="shared" si="15"/>
        <v>33513576.800000001</v>
      </c>
      <c r="FS6" s="22">
        <f t="shared" si="15"/>
        <v>33513576.800000001</v>
      </c>
      <c r="FT6" s="22">
        <f t="shared" si="15"/>
        <v>33513576.800000001</v>
      </c>
      <c r="FU6" s="22">
        <f t="shared" si="15"/>
        <v>33513576.800000001</v>
      </c>
      <c r="FV6" s="22">
        <f t="shared" si="15"/>
        <v>33513576.800000001</v>
      </c>
      <c r="FW6" s="22">
        <f t="shared" si="15"/>
        <v>33513576.800000001</v>
      </c>
      <c r="FX6" s="22">
        <f t="shared" si="15"/>
        <v>33513576.800000001</v>
      </c>
      <c r="FY6" s="22">
        <f t="shared" si="15"/>
        <v>33513576.800000001</v>
      </c>
      <c r="FZ6" s="22">
        <f t="shared" si="15"/>
        <v>33513576.800000001</v>
      </c>
      <c r="GA6" s="22">
        <f t="shared" si="15"/>
        <v>33513576.800000001</v>
      </c>
      <c r="GB6" s="22">
        <f t="shared" si="15"/>
        <v>33513576.800000001</v>
      </c>
      <c r="GC6" s="22">
        <f t="shared" si="15"/>
        <v>33513576.800000001</v>
      </c>
      <c r="GD6" s="22">
        <f t="shared" si="15"/>
        <v>33513576.800000001</v>
      </c>
      <c r="GE6" s="22">
        <f t="shared" si="15"/>
        <v>33513576.800000001</v>
      </c>
      <c r="GF6" s="22">
        <f t="shared" si="15"/>
        <v>33513576.800000001</v>
      </c>
      <c r="GG6" s="22">
        <f t="shared" si="15"/>
        <v>33513576.800000001</v>
      </c>
      <c r="GH6" s="22">
        <f t="shared" si="15"/>
        <v>33513576.800000001</v>
      </c>
      <c r="GI6" s="22">
        <f t="shared" si="15"/>
        <v>33513576.800000001</v>
      </c>
      <c r="GJ6" s="22">
        <f t="shared" si="15"/>
        <v>33513576.800000001</v>
      </c>
      <c r="GK6" s="22">
        <f t="shared" si="15"/>
        <v>33513576.800000001</v>
      </c>
      <c r="GL6" s="22">
        <f t="shared" si="15"/>
        <v>33513576.800000001</v>
      </c>
      <c r="GM6" s="22">
        <f t="shared" si="15"/>
        <v>33513576.800000001</v>
      </c>
      <c r="GN6" s="22">
        <f t="shared" si="15"/>
        <v>33513576.800000001</v>
      </c>
      <c r="GO6" s="22">
        <f t="shared" si="15"/>
        <v>33513576.800000001</v>
      </c>
      <c r="GP6" s="22">
        <f t="shared" si="15"/>
        <v>33513576.800000001</v>
      </c>
      <c r="GQ6" s="22">
        <f t="shared" ref="GQ6:IN6" si="16">IF(IF(AND(ISNA(GQ$5),ISNA(GP$5)),GP6*(1+$C$8),IF(AND(GP$5&gt;0,ISNA(GQ$5)),GP6*(1+$C$8),GQ$5))&gt;$C$17,$C$17,IF(AND(ISNA(GQ$5),ISNA(GP$5)),GP6*(1+$C$8),IF(AND(GP$5&gt;0,ISNA(GQ$5)),GP6*(1+$C$8),GQ$5)))</f>
        <v>33513576.800000001</v>
      </c>
      <c r="GR6" s="22">
        <f t="shared" si="16"/>
        <v>33513576.800000001</v>
      </c>
      <c r="GS6" s="22">
        <f t="shared" si="16"/>
        <v>33513576.800000001</v>
      </c>
      <c r="GT6" s="22">
        <f t="shared" si="16"/>
        <v>33513576.800000001</v>
      </c>
      <c r="GU6" s="22">
        <f t="shared" si="16"/>
        <v>33513576.800000001</v>
      </c>
      <c r="GV6" s="22">
        <f t="shared" si="16"/>
        <v>33513576.800000001</v>
      </c>
      <c r="GW6" s="22">
        <f t="shared" si="16"/>
        <v>33513576.800000001</v>
      </c>
      <c r="GX6" s="22">
        <f t="shared" si="16"/>
        <v>33513576.800000001</v>
      </c>
      <c r="GY6" s="22">
        <f t="shared" si="16"/>
        <v>33513576.800000001</v>
      </c>
      <c r="GZ6" s="22">
        <f t="shared" si="16"/>
        <v>33513576.800000001</v>
      </c>
      <c r="HA6" s="22">
        <f t="shared" si="16"/>
        <v>33513576.800000001</v>
      </c>
      <c r="HB6" s="22">
        <f t="shared" si="16"/>
        <v>33513576.800000001</v>
      </c>
      <c r="HC6" s="22">
        <f t="shared" si="16"/>
        <v>33513576.800000001</v>
      </c>
      <c r="HD6" s="22">
        <f t="shared" si="16"/>
        <v>33513576.800000001</v>
      </c>
      <c r="HE6" s="22">
        <f t="shared" si="16"/>
        <v>33513576.800000001</v>
      </c>
      <c r="HF6" s="22">
        <f t="shared" si="16"/>
        <v>33513576.800000001</v>
      </c>
      <c r="HG6" s="22">
        <f t="shared" si="16"/>
        <v>33513576.800000001</v>
      </c>
      <c r="HH6" s="22">
        <f t="shared" si="16"/>
        <v>33513576.800000001</v>
      </c>
      <c r="HI6" s="22">
        <f t="shared" si="16"/>
        <v>33513576.800000001</v>
      </c>
      <c r="HJ6" s="22">
        <f t="shared" si="16"/>
        <v>33513576.800000001</v>
      </c>
      <c r="HK6" s="22">
        <f t="shared" si="16"/>
        <v>33513576.800000001</v>
      </c>
      <c r="HL6" s="22">
        <f t="shared" si="16"/>
        <v>33513576.800000001</v>
      </c>
      <c r="HM6" s="22">
        <f t="shared" si="16"/>
        <v>33513576.800000001</v>
      </c>
      <c r="HN6" s="22">
        <f t="shared" si="16"/>
        <v>33513576.800000001</v>
      </c>
      <c r="HO6" s="22">
        <f t="shared" si="16"/>
        <v>33513576.800000001</v>
      </c>
      <c r="HP6" s="22">
        <f t="shared" si="16"/>
        <v>33513576.800000001</v>
      </c>
      <c r="HQ6" s="22">
        <f t="shared" si="16"/>
        <v>33513576.800000001</v>
      </c>
      <c r="HR6" s="22">
        <f t="shared" si="16"/>
        <v>33513576.800000001</v>
      </c>
      <c r="HS6" s="22">
        <f t="shared" si="16"/>
        <v>33513576.800000001</v>
      </c>
      <c r="HT6" s="22">
        <f t="shared" si="16"/>
        <v>33513576.800000001</v>
      </c>
      <c r="HU6" s="22">
        <f t="shared" si="16"/>
        <v>33513576.800000001</v>
      </c>
      <c r="HV6" s="22">
        <f t="shared" si="16"/>
        <v>33513576.800000001</v>
      </c>
      <c r="HW6" s="22">
        <f t="shared" si="16"/>
        <v>33513576.800000001</v>
      </c>
      <c r="HX6" s="22">
        <f t="shared" si="16"/>
        <v>33513576.800000001</v>
      </c>
      <c r="HY6" s="22">
        <f t="shared" si="16"/>
        <v>33513576.800000001</v>
      </c>
      <c r="HZ6" s="22">
        <f t="shared" si="16"/>
        <v>33513576.800000001</v>
      </c>
      <c r="IA6" s="22">
        <f t="shared" si="16"/>
        <v>33513576.800000001</v>
      </c>
      <c r="IB6" s="22">
        <f t="shared" si="16"/>
        <v>33513576.800000001</v>
      </c>
      <c r="IC6" s="22">
        <f t="shared" si="16"/>
        <v>33513576.800000001</v>
      </c>
      <c r="ID6" s="22">
        <f t="shared" si="16"/>
        <v>33513576.800000001</v>
      </c>
      <c r="IE6" s="22">
        <f t="shared" si="16"/>
        <v>33513576.800000001</v>
      </c>
      <c r="IF6" s="22">
        <f t="shared" si="16"/>
        <v>33513576.800000001</v>
      </c>
      <c r="IG6" s="22">
        <f t="shared" si="16"/>
        <v>33513576.800000001</v>
      </c>
      <c r="IH6" s="22">
        <f t="shared" si="16"/>
        <v>33513576.800000001</v>
      </c>
      <c r="II6" s="22">
        <f t="shared" si="16"/>
        <v>33513576.800000001</v>
      </c>
      <c r="IJ6" s="22">
        <f t="shared" si="16"/>
        <v>33513576.800000001</v>
      </c>
      <c r="IK6" s="22">
        <f t="shared" si="16"/>
        <v>33513576.800000001</v>
      </c>
      <c r="IL6" s="22">
        <f t="shared" si="16"/>
        <v>33513576.800000001</v>
      </c>
      <c r="IM6" s="22">
        <f t="shared" si="16"/>
        <v>33513576.800000001</v>
      </c>
      <c r="IN6" s="22">
        <f t="shared" si="16"/>
        <v>33513576.800000001</v>
      </c>
    </row>
    <row r="7" spans="2:248" x14ac:dyDescent="0.3">
      <c r="B7" s="20" t="s">
        <v>483</v>
      </c>
      <c r="C7" s="20">
        <v>5</v>
      </c>
      <c r="F7" s="20" t="s">
        <v>618</v>
      </c>
      <c r="G7" s="22">
        <f t="shared" ref="G7:P7" si="17">G6</f>
        <v>130</v>
      </c>
      <c r="H7" s="22">
        <f t="shared" si="17"/>
        <v>159</v>
      </c>
      <c r="I7" s="22">
        <f t="shared" si="17"/>
        <v>196</v>
      </c>
      <c r="J7" s="22">
        <f t="shared" si="17"/>
        <v>262</v>
      </c>
      <c r="K7" s="22">
        <f t="shared" si="17"/>
        <v>482</v>
      </c>
      <c r="L7" s="22">
        <f t="shared" si="17"/>
        <v>670</v>
      </c>
      <c r="M7" s="22">
        <f t="shared" si="17"/>
        <v>799</v>
      </c>
      <c r="N7" s="22">
        <f t="shared" si="17"/>
        <v>1040</v>
      </c>
      <c r="O7" s="22">
        <f t="shared" si="17"/>
        <v>1176</v>
      </c>
      <c r="P7" s="22">
        <f t="shared" si="17"/>
        <v>1457</v>
      </c>
      <c r="Q7" s="22">
        <f t="shared" ref="Q7:CB7" si="18">Q6-G6</f>
        <v>1778</v>
      </c>
      <c r="R7" s="22">
        <f t="shared" si="18"/>
        <v>1919</v>
      </c>
      <c r="S7" s="22">
        <f t="shared" si="18"/>
        <v>3479</v>
      </c>
      <c r="T7" s="22">
        <f t="shared" si="18"/>
        <v>4323</v>
      </c>
      <c r="U7" s="22">
        <f t="shared" si="18"/>
        <v>5313</v>
      </c>
      <c r="V7" s="22">
        <f t="shared" si="18"/>
        <v>6602</v>
      </c>
      <c r="W7" s="22">
        <f t="shared" si="18"/>
        <v>8704.1803250873654</v>
      </c>
      <c r="X7" s="22">
        <f t="shared" si="18"/>
        <v>11378.926882718319</v>
      </c>
      <c r="Y7" s="22">
        <f t="shared" si="18"/>
        <v>15053.276899140168</v>
      </c>
      <c r="Z7" s="22">
        <f t="shared" si="18"/>
        <v>19751.710797346499</v>
      </c>
      <c r="AA7" s="22">
        <f t="shared" si="18"/>
        <v>25807.924528301875</v>
      </c>
      <c r="AB7" s="22">
        <f t="shared" si="18"/>
        <v>34141.668408823534</v>
      </c>
      <c r="AC7" s="22">
        <f t="shared" si="18"/>
        <v>43657.513779416979</v>
      </c>
      <c r="AD7" s="22">
        <f t="shared" si="18"/>
        <v>57269.979879741761</v>
      </c>
      <c r="AE7" s="22">
        <f t="shared" si="18"/>
        <v>75038.199642716834</v>
      </c>
      <c r="AF7" s="22">
        <f t="shared" si="18"/>
        <v>98362.278390886378</v>
      </c>
      <c r="AG7" s="22">
        <f t="shared" si="18"/>
        <v>128541.59361042871</v>
      </c>
      <c r="AH7" s="22">
        <f t="shared" si="18"/>
        <v>167980.46525770106</v>
      </c>
      <c r="AI7" s="22">
        <f t="shared" si="18"/>
        <v>219519.89169912081</v>
      </c>
      <c r="AJ7" s="22">
        <f t="shared" si="18"/>
        <v>286872.54067112133</v>
      </c>
      <c r="AK7" s="22">
        <f t="shared" si="18"/>
        <v>374890.19311243476</v>
      </c>
      <c r="AL7" s="22">
        <f t="shared" si="18"/>
        <v>489913.24357182253</v>
      </c>
      <c r="AM7" s="22">
        <f t="shared" si="18"/>
        <v>640227.43362369062</v>
      </c>
      <c r="AN7" s="22">
        <f t="shared" si="18"/>
        <v>836660.71930608293</v>
      </c>
      <c r="AO7" s="22">
        <f t="shared" si="18"/>
        <v>1093363.2682182358</v>
      </c>
      <c r="AP7" s="22">
        <f t="shared" si="18"/>
        <v>1428826.7737492793</v>
      </c>
      <c r="AQ7" s="22">
        <f t="shared" si="18"/>
        <v>1867216.5132360025</v>
      </c>
      <c r="AR7" s="22">
        <f t="shared" si="18"/>
        <v>2440112.1055091606</v>
      </c>
      <c r="AS7" s="22">
        <f t="shared" si="18"/>
        <v>3188782.3641477115</v>
      </c>
      <c r="AT7" s="22">
        <f t="shared" si="18"/>
        <v>4167158.1166053512</v>
      </c>
      <c r="AU7" s="22">
        <f t="shared" si="18"/>
        <v>5445717.1376859322</v>
      </c>
      <c r="AV7" s="22">
        <f t="shared" si="18"/>
        <v>7116561.05044665</v>
      </c>
      <c r="AW7" s="22">
        <f t="shared" si="18"/>
        <v>9300049.9115632139</v>
      </c>
      <c r="AX7" s="22">
        <f t="shared" si="18"/>
        <v>12153472.406751655</v>
      </c>
      <c r="AY7" s="22">
        <f t="shared" si="18"/>
        <v>15882376.2180053</v>
      </c>
      <c r="AZ7" s="22">
        <f t="shared" si="18"/>
        <v>20755374.751180343</v>
      </c>
      <c r="BA7" s="22">
        <f t="shared" si="18"/>
        <v>27123496.833777793</v>
      </c>
      <c r="BB7" s="22">
        <f t="shared" si="18"/>
        <v>30893065.302350421</v>
      </c>
      <c r="BC7" s="22">
        <f t="shared" si="18"/>
        <v>30089045.267254028</v>
      </c>
      <c r="BD7" s="22">
        <f t="shared" si="18"/>
        <v>29038337.431926183</v>
      </c>
      <c r="BE7" s="22">
        <f t="shared" si="18"/>
        <v>27665253.544673331</v>
      </c>
      <c r="BF7" s="22">
        <f t="shared" si="18"/>
        <v>25870882.837572705</v>
      </c>
      <c r="BG7" s="22">
        <f t="shared" si="18"/>
        <v>23525966.94103368</v>
      </c>
      <c r="BH7" s="22">
        <f t="shared" si="18"/>
        <v>20461588.694062524</v>
      </c>
      <c r="BI7" s="22">
        <f t="shared" si="18"/>
        <v>16457004.114133749</v>
      </c>
      <c r="BJ7" s="22">
        <f t="shared" si="18"/>
        <v>11223740.996679492</v>
      </c>
      <c r="BK7" s="22">
        <f t="shared" si="18"/>
        <v>4384818.6790506877</v>
      </c>
      <c r="BL7" s="22">
        <f t="shared" si="18"/>
        <v>0</v>
      </c>
      <c r="BM7" s="22">
        <f t="shared" si="18"/>
        <v>0</v>
      </c>
      <c r="BN7" s="22">
        <f t="shared" si="18"/>
        <v>0</v>
      </c>
      <c r="BO7" s="22">
        <f t="shared" si="18"/>
        <v>0</v>
      </c>
      <c r="BP7" s="22">
        <f t="shared" si="18"/>
        <v>0</v>
      </c>
      <c r="BQ7" s="22">
        <f t="shared" si="18"/>
        <v>0</v>
      </c>
      <c r="BR7" s="22">
        <f t="shared" si="18"/>
        <v>0</v>
      </c>
      <c r="BS7" s="22">
        <f t="shared" si="18"/>
        <v>0</v>
      </c>
      <c r="BT7" s="22">
        <f t="shared" si="18"/>
        <v>0</v>
      </c>
      <c r="BU7" s="22">
        <f t="shared" si="18"/>
        <v>0</v>
      </c>
      <c r="BV7" s="22">
        <f t="shared" si="18"/>
        <v>0</v>
      </c>
      <c r="BW7" s="22">
        <f t="shared" si="18"/>
        <v>0</v>
      </c>
      <c r="BX7" s="22">
        <f t="shared" si="18"/>
        <v>0</v>
      </c>
      <c r="BY7" s="22">
        <f t="shared" si="18"/>
        <v>0</v>
      </c>
      <c r="BZ7" s="22">
        <f t="shared" si="18"/>
        <v>0</v>
      </c>
      <c r="CA7" s="22">
        <f t="shared" si="18"/>
        <v>0</v>
      </c>
      <c r="CB7" s="22">
        <f t="shared" si="18"/>
        <v>0</v>
      </c>
      <c r="CC7" s="22">
        <f t="shared" ref="CC7:EN7" si="19">CC6-BS6</f>
        <v>0</v>
      </c>
      <c r="CD7" s="22">
        <f t="shared" si="19"/>
        <v>0</v>
      </c>
      <c r="CE7" s="22">
        <f t="shared" si="19"/>
        <v>0</v>
      </c>
      <c r="CF7" s="22">
        <f t="shared" si="19"/>
        <v>0</v>
      </c>
      <c r="CG7" s="22">
        <f t="shared" si="19"/>
        <v>0</v>
      </c>
      <c r="CH7" s="22">
        <f t="shared" si="19"/>
        <v>0</v>
      </c>
      <c r="CI7" s="22">
        <f t="shared" si="19"/>
        <v>0</v>
      </c>
      <c r="CJ7" s="22">
        <f t="shared" si="19"/>
        <v>0</v>
      </c>
      <c r="CK7" s="22">
        <f t="shared" si="19"/>
        <v>0</v>
      </c>
      <c r="CL7" s="22">
        <f t="shared" si="19"/>
        <v>0</v>
      </c>
      <c r="CM7" s="22">
        <f t="shared" si="19"/>
        <v>0</v>
      </c>
      <c r="CN7" s="22">
        <f t="shared" si="19"/>
        <v>0</v>
      </c>
      <c r="CO7" s="22">
        <f t="shared" si="19"/>
        <v>0</v>
      </c>
      <c r="CP7" s="22">
        <f t="shared" si="19"/>
        <v>0</v>
      </c>
      <c r="CQ7" s="22">
        <f t="shared" si="19"/>
        <v>0</v>
      </c>
      <c r="CR7" s="22">
        <f t="shared" si="19"/>
        <v>0</v>
      </c>
      <c r="CS7" s="22">
        <f t="shared" si="19"/>
        <v>0</v>
      </c>
      <c r="CT7" s="22">
        <f t="shared" si="19"/>
        <v>0</v>
      </c>
      <c r="CU7" s="22">
        <f t="shared" si="19"/>
        <v>0</v>
      </c>
      <c r="CV7" s="22">
        <f t="shared" si="19"/>
        <v>0</v>
      </c>
      <c r="CW7" s="22">
        <f t="shared" si="19"/>
        <v>0</v>
      </c>
      <c r="CX7" s="22">
        <f t="shared" si="19"/>
        <v>0</v>
      </c>
      <c r="CY7" s="22">
        <f t="shared" si="19"/>
        <v>0</v>
      </c>
      <c r="CZ7" s="22">
        <f t="shared" si="19"/>
        <v>0</v>
      </c>
      <c r="DA7" s="22">
        <f t="shared" si="19"/>
        <v>0</v>
      </c>
      <c r="DB7" s="22">
        <f t="shared" si="19"/>
        <v>0</v>
      </c>
      <c r="DC7" s="22">
        <f t="shared" si="19"/>
        <v>0</v>
      </c>
      <c r="DD7" s="22">
        <f t="shared" si="19"/>
        <v>0</v>
      </c>
      <c r="DE7" s="22">
        <f t="shared" si="19"/>
        <v>0</v>
      </c>
      <c r="DF7" s="22">
        <f t="shared" si="19"/>
        <v>0</v>
      </c>
      <c r="DG7" s="22">
        <f t="shared" si="19"/>
        <v>0</v>
      </c>
      <c r="DH7" s="22">
        <f t="shared" si="19"/>
        <v>0</v>
      </c>
      <c r="DI7" s="22">
        <f t="shared" si="19"/>
        <v>0</v>
      </c>
      <c r="DJ7" s="22">
        <f t="shared" si="19"/>
        <v>0</v>
      </c>
      <c r="DK7" s="22">
        <f t="shared" si="19"/>
        <v>0</v>
      </c>
      <c r="DL7" s="22">
        <f t="shared" si="19"/>
        <v>0</v>
      </c>
      <c r="DM7" s="22">
        <f t="shared" si="19"/>
        <v>0</v>
      </c>
      <c r="DN7" s="22">
        <f t="shared" si="19"/>
        <v>0</v>
      </c>
      <c r="DO7" s="22">
        <f t="shared" si="19"/>
        <v>0</v>
      </c>
      <c r="DP7" s="22">
        <f t="shared" si="19"/>
        <v>0</v>
      </c>
      <c r="DQ7" s="22">
        <f t="shared" si="19"/>
        <v>0</v>
      </c>
      <c r="DR7" s="22">
        <f t="shared" si="19"/>
        <v>0</v>
      </c>
      <c r="DS7" s="22">
        <f t="shared" si="19"/>
        <v>0</v>
      </c>
      <c r="DT7" s="22">
        <f t="shared" si="19"/>
        <v>0</v>
      </c>
      <c r="DU7" s="22">
        <f t="shared" si="19"/>
        <v>0</v>
      </c>
      <c r="DV7" s="22">
        <f t="shared" si="19"/>
        <v>0</v>
      </c>
      <c r="DW7" s="22">
        <f t="shared" si="19"/>
        <v>0</v>
      </c>
      <c r="DX7" s="22">
        <f t="shared" si="19"/>
        <v>0</v>
      </c>
      <c r="DY7" s="22">
        <f t="shared" si="19"/>
        <v>0</v>
      </c>
      <c r="DZ7" s="22">
        <f t="shared" si="19"/>
        <v>0</v>
      </c>
      <c r="EA7" s="22">
        <f t="shared" si="19"/>
        <v>0</v>
      </c>
      <c r="EB7" s="22">
        <f t="shared" si="19"/>
        <v>0</v>
      </c>
      <c r="EC7" s="22">
        <f t="shared" si="19"/>
        <v>0</v>
      </c>
      <c r="ED7" s="22">
        <f t="shared" si="19"/>
        <v>0</v>
      </c>
      <c r="EE7" s="22">
        <f t="shared" si="19"/>
        <v>0</v>
      </c>
      <c r="EF7" s="22">
        <f t="shared" si="19"/>
        <v>0</v>
      </c>
      <c r="EG7" s="22">
        <f t="shared" si="19"/>
        <v>0</v>
      </c>
      <c r="EH7" s="22">
        <f t="shared" si="19"/>
        <v>0</v>
      </c>
      <c r="EI7" s="22">
        <f t="shared" si="19"/>
        <v>0</v>
      </c>
      <c r="EJ7" s="22">
        <f t="shared" si="19"/>
        <v>0</v>
      </c>
      <c r="EK7" s="22">
        <f t="shared" si="19"/>
        <v>0</v>
      </c>
      <c r="EL7" s="22">
        <f t="shared" si="19"/>
        <v>0</v>
      </c>
      <c r="EM7" s="22">
        <f t="shared" si="19"/>
        <v>0</v>
      </c>
      <c r="EN7" s="22">
        <f t="shared" si="19"/>
        <v>0</v>
      </c>
      <c r="EO7" s="22">
        <f t="shared" ref="EO7:GZ7" si="20">EO6-EE6</f>
        <v>0</v>
      </c>
      <c r="EP7" s="22">
        <f t="shared" si="20"/>
        <v>0</v>
      </c>
      <c r="EQ7" s="22">
        <f t="shared" si="20"/>
        <v>0</v>
      </c>
      <c r="ER7" s="22">
        <f t="shared" si="20"/>
        <v>0</v>
      </c>
      <c r="ES7" s="22">
        <f t="shared" si="20"/>
        <v>0</v>
      </c>
      <c r="ET7" s="22">
        <f t="shared" si="20"/>
        <v>0</v>
      </c>
      <c r="EU7" s="22">
        <f t="shared" si="20"/>
        <v>0</v>
      </c>
      <c r="EV7" s="22">
        <f t="shared" si="20"/>
        <v>0</v>
      </c>
      <c r="EW7" s="22">
        <f t="shared" si="20"/>
        <v>0</v>
      </c>
      <c r="EX7" s="22">
        <f t="shared" si="20"/>
        <v>0</v>
      </c>
      <c r="EY7" s="22">
        <f t="shared" si="20"/>
        <v>0</v>
      </c>
      <c r="EZ7" s="22">
        <f t="shared" si="20"/>
        <v>0</v>
      </c>
      <c r="FA7" s="22">
        <f t="shared" si="20"/>
        <v>0</v>
      </c>
      <c r="FB7" s="22">
        <f t="shared" si="20"/>
        <v>0</v>
      </c>
      <c r="FC7" s="22">
        <f t="shared" si="20"/>
        <v>0</v>
      </c>
      <c r="FD7" s="22">
        <f t="shared" si="20"/>
        <v>0</v>
      </c>
      <c r="FE7" s="22">
        <f t="shared" si="20"/>
        <v>0</v>
      </c>
      <c r="FF7" s="22">
        <f t="shared" si="20"/>
        <v>0</v>
      </c>
      <c r="FG7" s="22">
        <f t="shared" si="20"/>
        <v>0</v>
      </c>
      <c r="FH7" s="22">
        <f t="shared" si="20"/>
        <v>0</v>
      </c>
      <c r="FI7" s="22">
        <f t="shared" si="20"/>
        <v>0</v>
      </c>
      <c r="FJ7" s="22">
        <f t="shared" si="20"/>
        <v>0</v>
      </c>
      <c r="FK7" s="22">
        <f t="shared" si="20"/>
        <v>0</v>
      </c>
      <c r="FL7" s="22">
        <f t="shared" si="20"/>
        <v>0</v>
      </c>
      <c r="FM7" s="22">
        <f t="shared" si="20"/>
        <v>0</v>
      </c>
      <c r="FN7" s="22">
        <f t="shared" si="20"/>
        <v>0</v>
      </c>
      <c r="FO7" s="22">
        <f t="shared" si="20"/>
        <v>0</v>
      </c>
      <c r="FP7" s="22">
        <f t="shared" si="20"/>
        <v>0</v>
      </c>
      <c r="FQ7" s="22">
        <f t="shared" si="20"/>
        <v>0</v>
      </c>
      <c r="FR7" s="22">
        <f t="shared" si="20"/>
        <v>0</v>
      </c>
      <c r="FS7" s="22">
        <f t="shared" si="20"/>
        <v>0</v>
      </c>
      <c r="FT7" s="22">
        <f t="shared" si="20"/>
        <v>0</v>
      </c>
      <c r="FU7" s="22">
        <f t="shared" si="20"/>
        <v>0</v>
      </c>
      <c r="FV7" s="22">
        <f t="shared" si="20"/>
        <v>0</v>
      </c>
      <c r="FW7" s="22">
        <f t="shared" si="20"/>
        <v>0</v>
      </c>
      <c r="FX7" s="22">
        <f t="shared" si="20"/>
        <v>0</v>
      </c>
      <c r="FY7" s="22">
        <f t="shared" si="20"/>
        <v>0</v>
      </c>
      <c r="FZ7" s="22">
        <f t="shared" si="20"/>
        <v>0</v>
      </c>
      <c r="GA7" s="22">
        <f t="shared" si="20"/>
        <v>0</v>
      </c>
      <c r="GB7" s="22">
        <f t="shared" si="20"/>
        <v>0</v>
      </c>
      <c r="GC7" s="22">
        <f t="shared" si="20"/>
        <v>0</v>
      </c>
      <c r="GD7" s="22">
        <f t="shared" si="20"/>
        <v>0</v>
      </c>
      <c r="GE7" s="22">
        <f t="shared" si="20"/>
        <v>0</v>
      </c>
      <c r="GF7" s="22">
        <f t="shared" si="20"/>
        <v>0</v>
      </c>
      <c r="GG7" s="22">
        <f t="shared" si="20"/>
        <v>0</v>
      </c>
      <c r="GH7" s="22">
        <f t="shared" si="20"/>
        <v>0</v>
      </c>
      <c r="GI7" s="22">
        <f t="shared" si="20"/>
        <v>0</v>
      </c>
      <c r="GJ7" s="22">
        <f t="shared" si="20"/>
        <v>0</v>
      </c>
      <c r="GK7" s="22">
        <f t="shared" si="20"/>
        <v>0</v>
      </c>
      <c r="GL7" s="22">
        <f t="shared" si="20"/>
        <v>0</v>
      </c>
      <c r="GM7" s="22">
        <f t="shared" si="20"/>
        <v>0</v>
      </c>
      <c r="GN7" s="22">
        <f t="shared" si="20"/>
        <v>0</v>
      </c>
      <c r="GO7" s="22">
        <f t="shared" si="20"/>
        <v>0</v>
      </c>
      <c r="GP7" s="22">
        <f t="shared" si="20"/>
        <v>0</v>
      </c>
      <c r="GQ7" s="22">
        <f t="shared" si="20"/>
        <v>0</v>
      </c>
      <c r="GR7" s="22">
        <f t="shared" si="20"/>
        <v>0</v>
      </c>
      <c r="GS7" s="22">
        <f t="shared" si="20"/>
        <v>0</v>
      </c>
      <c r="GT7" s="22">
        <f t="shared" si="20"/>
        <v>0</v>
      </c>
      <c r="GU7" s="22">
        <f t="shared" si="20"/>
        <v>0</v>
      </c>
      <c r="GV7" s="22">
        <f t="shared" si="20"/>
        <v>0</v>
      </c>
      <c r="GW7" s="22">
        <f t="shared" si="20"/>
        <v>0</v>
      </c>
      <c r="GX7" s="22">
        <f t="shared" si="20"/>
        <v>0</v>
      </c>
      <c r="GY7" s="22">
        <f t="shared" si="20"/>
        <v>0</v>
      </c>
      <c r="GZ7" s="22">
        <f t="shared" si="20"/>
        <v>0</v>
      </c>
      <c r="HA7" s="22">
        <f t="shared" ref="HA7:IN7" si="21">HA6-GQ6</f>
        <v>0</v>
      </c>
      <c r="HB7" s="22">
        <f t="shared" si="21"/>
        <v>0</v>
      </c>
      <c r="HC7" s="22">
        <f t="shared" si="21"/>
        <v>0</v>
      </c>
      <c r="HD7" s="22">
        <f t="shared" si="21"/>
        <v>0</v>
      </c>
      <c r="HE7" s="22">
        <f t="shared" si="21"/>
        <v>0</v>
      </c>
      <c r="HF7" s="22">
        <f t="shared" si="21"/>
        <v>0</v>
      </c>
      <c r="HG7" s="22">
        <f t="shared" si="21"/>
        <v>0</v>
      </c>
      <c r="HH7" s="22">
        <f t="shared" si="21"/>
        <v>0</v>
      </c>
      <c r="HI7" s="22">
        <f t="shared" si="21"/>
        <v>0</v>
      </c>
      <c r="HJ7" s="22">
        <f t="shared" si="21"/>
        <v>0</v>
      </c>
      <c r="HK7" s="22">
        <f t="shared" si="21"/>
        <v>0</v>
      </c>
      <c r="HL7" s="22">
        <f t="shared" si="21"/>
        <v>0</v>
      </c>
      <c r="HM7" s="22">
        <f t="shared" si="21"/>
        <v>0</v>
      </c>
      <c r="HN7" s="22">
        <f t="shared" si="21"/>
        <v>0</v>
      </c>
      <c r="HO7" s="22">
        <f t="shared" si="21"/>
        <v>0</v>
      </c>
      <c r="HP7" s="22">
        <f t="shared" si="21"/>
        <v>0</v>
      </c>
      <c r="HQ7" s="22">
        <f t="shared" si="21"/>
        <v>0</v>
      </c>
      <c r="HR7" s="22">
        <f t="shared" si="21"/>
        <v>0</v>
      </c>
      <c r="HS7" s="22">
        <f t="shared" si="21"/>
        <v>0</v>
      </c>
      <c r="HT7" s="22">
        <f t="shared" si="21"/>
        <v>0</v>
      </c>
      <c r="HU7" s="22">
        <f t="shared" si="21"/>
        <v>0</v>
      </c>
      <c r="HV7" s="22">
        <f t="shared" si="21"/>
        <v>0</v>
      </c>
      <c r="HW7" s="22">
        <f t="shared" si="21"/>
        <v>0</v>
      </c>
      <c r="HX7" s="22">
        <f t="shared" si="21"/>
        <v>0</v>
      </c>
      <c r="HY7" s="22">
        <f t="shared" si="21"/>
        <v>0</v>
      </c>
      <c r="HZ7" s="22">
        <f t="shared" si="21"/>
        <v>0</v>
      </c>
      <c r="IA7" s="22">
        <f t="shared" si="21"/>
        <v>0</v>
      </c>
      <c r="IB7" s="22">
        <f t="shared" si="21"/>
        <v>0</v>
      </c>
      <c r="IC7" s="22">
        <f t="shared" si="21"/>
        <v>0</v>
      </c>
      <c r="ID7" s="22">
        <f t="shared" si="21"/>
        <v>0</v>
      </c>
      <c r="IE7" s="22">
        <f t="shared" si="21"/>
        <v>0</v>
      </c>
      <c r="IF7" s="22">
        <f t="shared" si="21"/>
        <v>0</v>
      </c>
      <c r="IG7" s="22">
        <f t="shared" si="21"/>
        <v>0</v>
      </c>
      <c r="IH7" s="22">
        <f t="shared" si="21"/>
        <v>0</v>
      </c>
      <c r="II7" s="22">
        <f t="shared" si="21"/>
        <v>0</v>
      </c>
      <c r="IJ7" s="22">
        <f t="shared" si="21"/>
        <v>0</v>
      </c>
      <c r="IK7" s="22">
        <f t="shared" si="21"/>
        <v>0</v>
      </c>
      <c r="IL7" s="22">
        <f t="shared" si="21"/>
        <v>0</v>
      </c>
      <c r="IM7" s="22">
        <f t="shared" si="21"/>
        <v>0</v>
      </c>
      <c r="IN7" s="22">
        <f t="shared" si="21"/>
        <v>0</v>
      </c>
    </row>
    <row r="8" spans="2:248" x14ac:dyDescent="0.3">
      <c r="B8" s="20" t="s">
        <v>482</v>
      </c>
      <c r="C8" s="24">
        <f>VLOOKUP(B2,DaysSince100!C:G,5,FALSE)-1</f>
        <v>0.30681797649716258</v>
      </c>
      <c r="G8" s="22">
        <f>IF(G5="#N/A","#N/A",G7)</f>
        <v>130</v>
      </c>
      <c r="H8" s="22">
        <f t="shared" ref="H8:BS8" si="22">IF(H5="#N/A","#N/A",H7)</f>
        <v>159</v>
      </c>
      <c r="I8" s="22">
        <f t="shared" si="22"/>
        <v>196</v>
      </c>
      <c r="J8" s="22">
        <f t="shared" si="22"/>
        <v>262</v>
      </c>
      <c r="K8" s="22">
        <f t="shared" si="22"/>
        <v>482</v>
      </c>
      <c r="L8" s="22">
        <f t="shared" si="22"/>
        <v>670</v>
      </c>
      <c r="M8" s="22">
        <f t="shared" si="22"/>
        <v>799</v>
      </c>
      <c r="N8" s="22">
        <f t="shared" si="22"/>
        <v>1040</v>
      </c>
      <c r="O8" s="22">
        <f t="shared" si="22"/>
        <v>1176</v>
      </c>
      <c r="P8" s="22">
        <f t="shared" si="22"/>
        <v>1457</v>
      </c>
      <c r="Q8" s="22">
        <f t="shared" si="22"/>
        <v>1778</v>
      </c>
      <c r="R8" s="22">
        <f t="shared" si="22"/>
        <v>1919</v>
      </c>
      <c r="S8" s="22">
        <f t="shared" si="22"/>
        <v>3479</v>
      </c>
      <c r="T8" s="22">
        <f t="shared" si="22"/>
        <v>4323</v>
      </c>
      <c r="U8" s="22">
        <f t="shared" si="22"/>
        <v>5313</v>
      </c>
      <c r="V8" s="22">
        <f t="shared" si="22"/>
        <v>6602</v>
      </c>
      <c r="W8" s="22" t="e">
        <f t="shared" si="22"/>
        <v>#N/A</v>
      </c>
      <c r="X8" s="22" t="e">
        <f t="shared" si="22"/>
        <v>#N/A</v>
      </c>
      <c r="Y8" s="22" t="e">
        <f t="shared" si="22"/>
        <v>#N/A</v>
      </c>
      <c r="Z8" s="22" t="e">
        <f t="shared" si="22"/>
        <v>#N/A</v>
      </c>
      <c r="AA8" s="22" t="e">
        <f t="shared" si="22"/>
        <v>#N/A</v>
      </c>
      <c r="AB8" s="22" t="e">
        <f t="shared" si="22"/>
        <v>#N/A</v>
      </c>
      <c r="AC8" s="22" t="e">
        <f t="shared" si="22"/>
        <v>#N/A</v>
      </c>
      <c r="AD8" s="22" t="e">
        <f t="shared" si="22"/>
        <v>#N/A</v>
      </c>
      <c r="AE8" s="22" t="e">
        <f t="shared" si="22"/>
        <v>#N/A</v>
      </c>
      <c r="AF8" s="22" t="e">
        <f t="shared" si="22"/>
        <v>#N/A</v>
      </c>
      <c r="AG8" s="22" t="e">
        <f t="shared" si="22"/>
        <v>#N/A</v>
      </c>
      <c r="AH8" s="22" t="e">
        <f t="shared" si="22"/>
        <v>#N/A</v>
      </c>
      <c r="AI8" s="22" t="e">
        <f t="shared" si="22"/>
        <v>#N/A</v>
      </c>
      <c r="AJ8" s="22" t="e">
        <f t="shared" si="22"/>
        <v>#N/A</v>
      </c>
      <c r="AK8" s="22" t="e">
        <f t="shared" si="22"/>
        <v>#N/A</v>
      </c>
      <c r="AL8" s="22" t="e">
        <f t="shared" si="22"/>
        <v>#N/A</v>
      </c>
      <c r="AM8" s="22" t="e">
        <f t="shared" si="22"/>
        <v>#N/A</v>
      </c>
      <c r="AN8" s="22" t="e">
        <f t="shared" si="22"/>
        <v>#N/A</v>
      </c>
      <c r="AO8" s="22" t="e">
        <f t="shared" si="22"/>
        <v>#N/A</v>
      </c>
      <c r="AP8" s="22" t="e">
        <f t="shared" si="22"/>
        <v>#N/A</v>
      </c>
      <c r="AQ8" s="22" t="e">
        <f t="shared" si="22"/>
        <v>#N/A</v>
      </c>
      <c r="AR8" s="22" t="e">
        <f t="shared" si="22"/>
        <v>#N/A</v>
      </c>
      <c r="AS8" s="22" t="e">
        <f t="shared" si="22"/>
        <v>#N/A</v>
      </c>
      <c r="AT8" s="22" t="e">
        <f t="shared" si="22"/>
        <v>#N/A</v>
      </c>
      <c r="AU8" s="22" t="e">
        <f t="shared" si="22"/>
        <v>#N/A</v>
      </c>
      <c r="AV8" s="22" t="e">
        <f t="shared" si="22"/>
        <v>#N/A</v>
      </c>
      <c r="AW8" s="22" t="e">
        <f t="shared" si="22"/>
        <v>#N/A</v>
      </c>
      <c r="AX8" s="22" t="e">
        <f t="shared" si="22"/>
        <v>#N/A</v>
      </c>
      <c r="AY8" s="22" t="e">
        <f t="shared" si="22"/>
        <v>#N/A</v>
      </c>
      <c r="AZ8" s="22" t="e">
        <f t="shared" si="22"/>
        <v>#N/A</v>
      </c>
      <c r="BA8" s="22" t="e">
        <f t="shared" si="22"/>
        <v>#N/A</v>
      </c>
      <c r="BB8" s="22" t="e">
        <f t="shared" si="22"/>
        <v>#N/A</v>
      </c>
      <c r="BC8" s="22" t="e">
        <f t="shared" si="22"/>
        <v>#N/A</v>
      </c>
      <c r="BD8" s="22" t="e">
        <f t="shared" si="22"/>
        <v>#N/A</v>
      </c>
      <c r="BE8" s="22" t="e">
        <f t="shared" si="22"/>
        <v>#N/A</v>
      </c>
      <c r="BF8" s="22" t="e">
        <f t="shared" si="22"/>
        <v>#N/A</v>
      </c>
      <c r="BG8" s="22" t="e">
        <f t="shared" si="22"/>
        <v>#N/A</v>
      </c>
      <c r="BH8" s="22" t="e">
        <f t="shared" si="22"/>
        <v>#N/A</v>
      </c>
      <c r="BI8" s="22" t="e">
        <f t="shared" si="22"/>
        <v>#N/A</v>
      </c>
      <c r="BJ8" s="22" t="e">
        <f t="shared" si="22"/>
        <v>#N/A</v>
      </c>
      <c r="BK8" s="22" t="e">
        <f t="shared" si="22"/>
        <v>#N/A</v>
      </c>
      <c r="BL8" s="22" t="e">
        <f t="shared" si="22"/>
        <v>#N/A</v>
      </c>
      <c r="BM8" s="22" t="e">
        <f t="shared" si="22"/>
        <v>#N/A</v>
      </c>
      <c r="BN8" s="22" t="e">
        <f t="shared" si="22"/>
        <v>#N/A</v>
      </c>
      <c r="BO8" s="22" t="e">
        <f t="shared" si="22"/>
        <v>#N/A</v>
      </c>
      <c r="BP8" s="22" t="e">
        <f t="shared" si="22"/>
        <v>#N/A</v>
      </c>
      <c r="BQ8" s="22" t="e">
        <f t="shared" si="22"/>
        <v>#N/A</v>
      </c>
      <c r="BR8" s="22" t="e">
        <f t="shared" si="22"/>
        <v>#N/A</v>
      </c>
      <c r="BS8" s="22" t="e">
        <f t="shared" si="22"/>
        <v>#N/A</v>
      </c>
      <c r="BT8" s="22" t="e">
        <f t="shared" ref="BT8:DC8" si="23">IF(BT5="#N/A","#N/A",BT7)</f>
        <v>#N/A</v>
      </c>
      <c r="BU8" s="22" t="e">
        <f t="shared" si="23"/>
        <v>#N/A</v>
      </c>
      <c r="BV8" s="22" t="e">
        <f t="shared" si="23"/>
        <v>#N/A</v>
      </c>
      <c r="BW8" s="22" t="e">
        <f t="shared" si="23"/>
        <v>#N/A</v>
      </c>
      <c r="BX8" s="22" t="e">
        <f t="shared" si="23"/>
        <v>#N/A</v>
      </c>
      <c r="BY8" s="22" t="e">
        <f t="shared" si="23"/>
        <v>#N/A</v>
      </c>
      <c r="BZ8" s="22" t="e">
        <f t="shared" si="23"/>
        <v>#N/A</v>
      </c>
      <c r="CA8" s="22" t="e">
        <f t="shared" si="23"/>
        <v>#N/A</v>
      </c>
      <c r="CB8" s="22" t="e">
        <f t="shared" si="23"/>
        <v>#N/A</v>
      </c>
      <c r="CC8" s="22" t="e">
        <f t="shared" si="23"/>
        <v>#N/A</v>
      </c>
      <c r="CD8" s="22" t="e">
        <f t="shared" si="23"/>
        <v>#N/A</v>
      </c>
      <c r="CE8" s="22" t="e">
        <f t="shared" si="23"/>
        <v>#N/A</v>
      </c>
      <c r="CF8" s="22" t="e">
        <f t="shared" si="23"/>
        <v>#N/A</v>
      </c>
      <c r="CG8" s="22" t="e">
        <f t="shared" si="23"/>
        <v>#N/A</v>
      </c>
      <c r="CH8" s="22" t="e">
        <f t="shared" si="23"/>
        <v>#N/A</v>
      </c>
      <c r="CI8" s="22" t="e">
        <f t="shared" si="23"/>
        <v>#N/A</v>
      </c>
      <c r="CJ8" s="22" t="e">
        <f t="shared" si="23"/>
        <v>#N/A</v>
      </c>
      <c r="CK8" s="22" t="e">
        <f t="shared" si="23"/>
        <v>#N/A</v>
      </c>
      <c r="CL8" s="22" t="e">
        <f t="shared" si="23"/>
        <v>#N/A</v>
      </c>
      <c r="CM8" s="22" t="e">
        <f t="shared" si="23"/>
        <v>#N/A</v>
      </c>
      <c r="CN8" s="22" t="e">
        <f t="shared" si="23"/>
        <v>#N/A</v>
      </c>
      <c r="CO8" s="22" t="e">
        <f t="shared" si="23"/>
        <v>#N/A</v>
      </c>
      <c r="CP8" s="22" t="e">
        <f t="shared" si="23"/>
        <v>#N/A</v>
      </c>
      <c r="CQ8" s="22" t="e">
        <f t="shared" si="23"/>
        <v>#N/A</v>
      </c>
      <c r="CR8" s="22" t="e">
        <f t="shared" si="23"/>
        <v>#N/A</v>
      </c>
      <c r="CS8" s="22" t="e">
        <f t="shared" si="23"/>
        <v>#N/A</v>
      </c>
      <c r="CT8" s="22" t="e">
        <f t="shared" si="23"/>
        <v>#N/A</v>
      </c>
      <c r="CU8" s="22" t="e">
        <f t="shared" si="23"/>
        <v>#N/A</v>
      </c>
      <c r="CV8" s="22" t="e">
        <f t="shared" si="23"/>
        <v>#N/A</v>
      </c>
      <c r="CW8" s="22" t="e">
        <f t="shared" si="23"/>
        <v>#N/A</v>
      </c>
      <c r="CX8" s="22" t="e">
        <f t="shared" si="23"/>
        <v>#N/A</v>
      </c>
      <c r="CY8" s="22" t="e">
        <f t="shared" si="23"/>
        <v>#N/A</v>
      </c>
      <c r="CZ8" s="22" t="e">
        <f t="shared" si="23"/>
        <v>#N/A</v>
      </c>
      <c r="DA8" s="22" t="e">
        <f t="shared" si="23"/>
        <v>#N/A</v>
      </c>
      <c r="DB8" s="22" t="e">
        <f t="shared" si="23"/>
        <v>#N/A</v>
      </c>
      <c r="DC8" s="22" t="e">
        <f t="shared" si="23"/>
        <v>#N/A</v>
      </c>
      <c r="DD8" s="22" t="e">
        <f t="shared" ref="DD8:EI8" si="24">IF(DD5="#N/A","#N/A",DD7)</f>
        <v>#N/A</v>
      </c>
      <c r="DE8" s="22" t="e">
        <f t="shared" si="24"/>
        <v>#N/A</v>
      </c>
      <c r="DF8" s="22" t="e">
        <f t="shared" si="24"/>
        <v>#N/A</v>
      </c>
      <c r="DG8" s="22" t="e">
        <f t="shared" si="24"/>
        <v>#N/A</v>
      </c>
      <c r="DH8" s="22" t="e">
        <f t="shared" si="24"/>
        <v>#N/A</v>
      </c>
      <c r="DI8" s="22" t="e">
        <f t="shared" si="24"/>
        <v>#N/A</v>
      </c>
      <c r="DJ8" s="22" t="e">
        <f t="shared" si="24"/>
        <v>#N/A</v>
      </c>
      <c r="DK8" s="22" t="e">
        <f t="shared" si="24"/>
        <v>#N/A</v>
      </c>
      <c r="DL8" s="22" t="e">
        <f t="shared" si="24"/>
        <v>#N/A</v>
      </c>
      <c r="DM8" s="22" t="e">
        <f t="shared" si="24"/>
        <v>#N/A</v>
      </c>
      <c r="DN8" s="22" t="e">
        <f t="shared" si="24"/>
        <v>#N/A</v>
      </c>
      <c r="DO8" s="22" t="e">
        <f t="shared" si="24"/>
        <v>#N/A</v>
      </c>
      <c r="DP8" s="22" t="e">
        <f t="shared" si="24"/>
        <v>#N/A</v>
      </c>
      <c r="DQ8" s="22" t="e">
        <f t="shared" si="24"/>
        <v>#N/A</v>
      </c>
      <c r="DR8" s="22" t="e">
        <f t="shared" si="24"/>
        <v>#N/A</v>
      </c>
      <c r="DS8" s="22" t="e">
        <f t="shared" si="24"/>
        <v>#N/A</v>
      </c>
      <c r="DT8" s="22" t="e">
        <f t="shared" si="24"/>
        <v>#N/A</v>
      </c>
      <c r="DU8" s="22" t="e">
        <f t="shared" si="24"/>
        <v>#N/A</v>
      </c>
      <c r="DV8" s="22" t="e">
        <f t="shared" si="24"/>
        <v>#N/A</v>
      </c>
      <c r="DW8" s="22" t="e">
        <f t="shared" si="24"/>
        <v>#N/A</v>
      </c>
      <c r="DX8" s="22" t="e">
        <f t="shared" si="24"/>
        <v>#N/A</v>
      </c>
      <c r="DY8" s="22" t="e">
        <f t="shared" si="24"/>
        <v>#N/A</v>
      </c>
      <c r="DZ8" s="22" t="e">
        <f t="shared" si="24"/>
        <v>#N/A</v>
      </c>
      <c r="EA8" s="22" t="e">
        <f t="shared" si="24"/>
        <v>#N/A</v>
      </c>
      <c r="EB8" s="22" t="e">
        <f t="shared" si="24"/>
        <v>#N/A</v>
      </c>
      <c r="EC8" s="22" t="e">
        <f t="shared" si="24"/>
        <v>#N/A</v>
      </c>
      <c r="ED8" s="22" t="e">
        <f t="shared" si="24"/>
        <v>#N/A</v>
      </c>
      <c r="EE8" s="22" t="e">
        <f t="shared" si="24"/>
        <v>#N/A</v>
      </c>
      <c r="EF8" s="22" t="e">
        <f t="shared" si="24"/>
        <v>#N/A</v>
      </c>
      <c r="EG8" s="22" t="e">
        <f t="shared" si="24"/>
        <v>#N/A</v>
      </c>
      <c r="EH8" s="22" t="e">
        <f t="shared" si="24"/>
        <v>#N/A</v>
      </c>
      <c r="EI8" s="22" t="e">
        <f t="shared" si="24"/>
        <v>#N/A</v>
      </c>
      <c r="EJ8" s="22" t="e">
        <f t="shared" ref="EJ8:FO8" si="25">IF(EJ5="#N/A","#N/A",EJ7)</f>
        <v>#N/A</v>
      </c>
      <c r="EK8" s="22" t="e">
        <f t="shared" si="25"/>
        <v>#N/A</v>
      </c>
      <c r="EL8" s="22" t="e">
        <f t="shared" si="25"/>
        <v>#N/A</v>
      </c>
      <c r="EM8" s="22" t="e">
        <f t="shared" si="25"/>
        <v>#N/A</v>
      </c>
      <c r="EN8" s="22" t="e">
        <f t="shared" si="25"/>
        <v>#N/A</v>
      </c>
      <c r="EO8" s="22" t="e">
        <f t="shared" si="25"/>
        <v>#N/A</v>
      </c>
      <c r="EP8" s="22" t="e">
        <f t="shared" si="25"/>
        <v>#N/A</v>
      </c>
      <c r="EQ8" s="22" t="e">
        <f t="shared" si="25"/>
        <v>#N/A</v>
      </c>
      <c r="ER8" s="22" t="e">
        <f t="shared" si="25"/>
        <v>#N/A</v>
      </c>
      <c r="ES8" s="22" t="e">
        <f t="shared" si="25"/>
        <v>#N/A</v>
      </c>
      <c r="ET8" s="22" t="e">
        <f t="shared" si="25"/>
        <v>#N/A</v>
      </c>
      <c r="EU8" s="22" t="e">
        <f t="shared" si="25"/>
        <v>#N/A</v>
      </c>
      <c r="EV8" s="22" t="e">
        <f t="shared" si="25"/>
        <v>#N/A</v>
      </c>
      <c r="EW8" s="22" t="e">
        <f t="shared" si="25"/>
        <v>#N/A</v>
      </c>
      <c r="EX8" s="22" t="e">
        <f t="shared" si="25"/>
        <v>#N/A</v>
      </c>
      <c r="EY8" s="22" t="e">
        <f t="shared" si="25"/>
        <v>#N/A</v>
      </c>
      <c r="EZ8" s="22" t="e">
        <f t="shared" si="25"/>
        <v>#N/A</v>
      </c>
      <c r="FA8" s="22" t="e">
        <f t="shared" si="25"/>
        <v>#N/A</v>
      </c>
      <c r="FB8" s="22" t="e">
        <f t="shared" si="25"/>
        <v>#N/A</v>
      </c>
      <c r="FC8" s="22" t="e">
        <f t="shared" si="25"/>
        <v>#N/A</v>
      </c>
      <c r="FD8" s="22" t="e">
        <f t="shared" si="25"/>
        <v>#N/A</v>
      </c>
      <c r="FE8" s="22" t="e">
        <f t="shared" si="25"/>
        <v>#N/A</v>
      </c>
      <c r="FF8" s="22" t="e">
        <f t="shared" si="25"/>
        <v>#N/A</v>
      </c>
      <c r="FG8" s="22" t="e">
        <f t="shared" si="25"/>
        <v>#N/A</v>
      </c>
      <c r="FH8" s="22" t="e">
        <f t="shared" si="25"/>
        <v>#N/A</v>
      </c>
      <c r="FI8" s="22" t="e">
        <f t="shared" si="25"/>
        <v>#N/A</v>
      </c>
      <c r="FJ8" s="22" t="e">
        <f t="shared" si="25"/>
        <v>#N/A</v>
      </c>
      <c r="FK8" s="22" t="e">
        <f t="shared" si="25"/>
        <v>#N/A</v>
      </c>
      <c r="FL8" s="22" t="e">
        <f t="shared" si="25"/>
        <v>#N/A</v>
      </c>
      <c r="FM8" s="22" t="e">
        <f t="shared" si="25"/>
        <v>#N/A</v>
      </c>
      <c r="FN8" s="22" t="e">
        <f t="shared" si="25"/>
        <v>#N/A</v>
      </c>
      <c r="FO8" s="22" t="e">
        <f t="shared" si="25"/>
        <v>#N/A</v>
      </c>
      <c r="FP8" s="22" t="e">
        <f t="shared" ref="FP8:GU8" si="26">IF(FP5="#N/A","#N/A",FP7)</f>
        <v>#N/A</v>
      </c>
      <c r="FQ8" s="22" t="e">
        <f t="shared" si="26"/>
        <v>#N/A</v>
      </c>
      <c r="FR8" s="22" t="e">
        <f t="shared" si="26"/>
        <v>#N/A</v>
      </c>
      <c r="FS8" s="22" t="e">
        <f t="shared" si="26"/>
        <v>#N/A</v>
      </c>
      <c r="FT8" s="22" t="e">
        <f t="shared" si="26"/>
        <v>#N/A</v>
      </c>
      <c r="FU8" s="22" t="e">
        <f t="shared" si="26"/>
        <v>#N/A</v>
      </c>
      <c r="FV8" s="22" t="e">
        <f t="shared" si="26"/>
        <v>#N/A</v>
      </c>
      <c r="FW8" s="22" t="e">
        <f t="shared" si="26"/>
        <v>#N/A</v>
      </c>
      <c r="FX8" s="22" t="e">
        <f t="shared" si="26"/>
        <v>#N/A</v>
      </c>
      <c r="FY8" s="22" t="e">
        <f t="shared" si="26"/>
        <v>#N/A</v>
      </c>
      <c r="FZ8" s="22" t="e">
        <f t="shared" si="26"/>
        <v>#N/A</v>
      </c>
      <c r="GA8" s="22" t="e">
        <f t="shared" si="26"/>
        <v>#N/A</v>
      </c>
      <c r="GB8" s="22" t="e">
        <f t="shared" si="26"/>
        <v>#N/A</v>
      </c>
      <c r="GC8" s="22" t="e">
        <f t="shared" si="26"/>
        <v>#N/A</v>
      </c>
      <c r="GD8" s="22" t="e">
        <f t="shared" si="26"/>
        <v>#N/A</v>
      </c>
      <c r="GE8" s="22" t="e">
        <f t="shared" si="26"/>
        <v>#N/A</v>
      </c>
      <c r="GF8" s="22" t="e">
        <f t="shared" si="26"/>
        <v>#N/A</v>
      </c>
      <c r="GG8" s="22" t="e">
        <f t="shared" si="26"/>
        <v>#N/A</v>
      </c>
      <c r="GH8" s="22" t="e">
        <f t="shared" si="26"/>
        <v>#N/A</v>
      </c>
      <c r="GI8" s="22" t="e">
        <f t="shared" si="26"/>
        <v>#N/A</v>
      </c>
      <c r="GJ8" s="22" t="e">
        <f t="shared" si="26"/>
        <v>#N/A</v>
      </c>
      <c r="GK8" s="22" t="e">
        <f t="shared" si="26"/>
        <v>#N/A</v>
      </c>
      <c r="GL8" s="22" t="e">
        <f t="shared" si="26"/>
        <v>#N/A</v>
      </c>
      <c r="GM8" s="22" t="e">
        <f t="shared" si="26"/>
        <v>#N/A</v>
      </c>
      <c r="GN8" s="22" t="e">
        <f t="shared" si="26"/>
        <v>#N/A</v>
      </c>
      <c r="GO8" s="22" t="e">
        <f t="shared" si="26"/>
        <v>#N/A</v>
      </c>
      <c r="GP8" s="22" t="e">
        <f t="shared" si="26"/>
        <v>#N/A</v>
      </c>
      <c r="GQ8" s="22" t="e">
        <f t="shared" si="26"/>
        <v>#N/A</v>
      </c>
      <c r="GR8" s="22" t="e">
        <f t="shared" si="26"/>
        <v>#N/A</v>
      </c>
      <c r="GS8" s="22" t="e">
        <f t="shared" si="26"/>
        <v>#N/A</v>
      </c>
      <c r="GT8" s="22" t="e">
        <f t="shared" si="26"/>
        <v>#N/A</v>
      </c>
      <c r="GU8" s="22" t="e">
        <f t="shared" si="26"/>
        <v>#N/A</v>
      </c>
      <c r="GV8" s="22" t="e">
        <f t="shared" ref="GV8:IA8" si="27">IF(GV5="#N/A","#N/A",GV7)</f>
        <v>#N/A</v>
      </c>
      <c r="GW8" s="22" t="e">
        <f t="shared" si="27"/>
        <v>#N/A</v>
      </c>
      <c r="GX8" s="22" t="e">
        <f t="shared" si="27"/>
        <v>#N/A</v>
      </c>
      <c r="GY8" s="22" t="e">
        <f t="shared" si="27"/>
        <v>#N/A</v>
      </c>
      <c r="GZ8" s="22" t="e">
        <f t="shared" si="27"/>
        <v>#N/A</v>
      </c>
      <c r="HA8" s="22" t="e">
        <f t="shared" si="27"/>
        <v>#N/A</v>
      </c>
      <c r="HB8" s="22" t="e">
        <f t="shared" si="27"/>
        <v>#N/A</v>
      </c>
      <c r="HC8" s="22" t="e">
        <f t="shared" si="27"/>
        <v>#N/A</v>
      </c>
      <c r="HD8" s="22" t="e">
        <f t="shared" si="27"/>
        <v>#N/A</v>
      </c>
      <c r="HE8" s="22" t="e">
        <f t="shared" si="27"/>
        <v>#N/A</v>
      </c>
      <c r="HF8" s="22" t="e">
        <f t="shared" si="27"/>
        <v>#N/A</v>
      </c>
      <c r="HG8" s="22" t="e">
        <f t="shared" si="27"/>
        <v>#N/A</v>
      </c>
      <c r="HH8" s="22" t="e">
        <f t="shared" si="27"/>
        <v>#N/A</v>
      </c>
      <c r="HI8" s="22" t="e">
        <f t="shared" si="27"/>
        <v>#N/A</v>
      </c>
      <c r="HJ8" s="22" t="e">
        <f t="shared" si="27"/>
        <v>#N/A</v>
      </c>
      <c r="HK8" s="22" t="e">
        <f t="shared" si="27"/>
        <v>#N/A</v>
      </c>
      <c r="HL8" s="22" t="e">
        <f t="shared" si="27"/>
        <v>#N/A</v>
      </c>
      <c r="HM8" s="22" t="e">
        <f t="shared" si="27"/>
        <v>#N/A</v>
      </c>
      <c r="HN8" s="22" t="e">
        <f t="shared" si="27"/>
        <v>#N/A</v>
      </c>
      <c r="HO8" s="22" t="e">
        <f t="shared" si="27"/>
        <v>#N/A</v>
      </c>
      <c r="HP8" s="22" t="e">
        <f t="shared" si="27"/>
        <v>#N/A</v>
      </c>
      <c r="HQ8" s="22" t="e">
        <f t="shared" si="27"/>
        <v>#N/A</v>
      </c>
      <c r="HR8" s="22" t="e">
        <f t="shared" si="27"/>
        <v>#N/A</v>
      </c>
      <c r="HS8" s="22" t="e">
        <f t="shared" si="27"/>
        <v>#N/A</v>
      </c>
      <c r="HT8" s="22" t="e">
        <f t="shared" si="27"/>
        <v>#N/A</v>
      </c>
      <c r="HU8" s="22" t="e">
        <f t="shared" si="27"/>
        <v>#N/A</v>
      </c>
      <c r="HV8" s="22" t="e">
        <f t="shared" si="27"/>
        <v>#N/A</v>
      </c>
      <c r="HW8" s="22" t="e">
        <f t="shared" si="27"/>
        <v>#N/A</v>
      </c>
      <c r="HX8" s="22" t="e">
        <f t="shared" si="27"/>
        <v>#N/A</v>
      </c>
      <c r="HY8" s="22" t="e">
        <f t="shared" si="27"/>
        <v>#N/A</v>
      </c>
      <c r="HZ8" s="22" t="e">
        <f t="shared" si="27"/>
        <v>#N/A</v>
      </c>
      <c r="IA8" s="22" t="e">
        <f t="shared" si="27"/>
        <v>#N/A</v>
      </c>
      <c r="IB8" s="22" t="e">
        <f t="shared" ref="IB8:IN8" si="28">IF(IB5="#N/A","#N/A",IB7)</f>
        <v>#N/A</v>
      </c>
      <c r="IC8" s="22" t="e">
        <f t="shared" si="28"/>
        <v>#N/A</v>
      </c>
      <c r="ID8" s="22" t="e">
        <f t="shared" si="28"/>
        <v>#N/A</v>
      </c>
      <c r="IE8" s="22" t="e">
        <f t="shared" si="28"/>
        <v>#N/A</v>
      </c>
      <c r="IF8" s="22" t="e">
        <f t="shared" si="28"/>
        <v>#N/A</v>
      </c>
      <c r="IG8" s="22" t="e">
        <f t="shared" si="28"/>
        <v>#N/A</v>
      </c>
      <c r="IH8" s="22" t="e">
        <f t="shared" si="28"/>
        <v>#N/A</v>
      </c>
      <c r="II8" s="22" t="e">
        <f t="shared" si="28"/>
        <v>#N/A</v>
      </c>
      <c r="IJ8" s="22" t="e">
        <f t="shared" si="28"/>
        <v>#N/A</v>
      </c>
      <c r="IK8" s="22" t="e">
        <f t="shared" si="28"/>
        <v>#N/A</v>
      </c>
      <c r="IL8" s="22" t="e">
        <f t="shared" si="28"/>
        <v>#N/A</v>
      </c>
      <c r="IM8" s="22" t="e">
        <f t="shared" si="28"/>
        <v>#N/A</v>
      </c>
      <c r="IN8" s="22" t="e">
        <f t="shared" si="28"/>
        <v>#N/A</v>
      </c>
    </row>
    <row r="9" spans="2:248" x14ac:dyDescent="0.3">
      <c r="E9" s="20">
        <v>0.1</v>
      </c>
      <c r="F9" s="23" t="s">
        <v>621</v>
      </c>
      <c r="G9" s="22">
        <f t="shared" ref="G9:BR9" si="29">IF(IF(AND(ISNA(G$5),ISNA(F$5)),F9*(1+$E9),IF(AND(F$5&gt;0,ISNA(G$5)),F9*(1+$E9),G$5))&gt;$C$17,$C$17,IF(AND(ISNA(G$5),ISNA(F$5)),F9*(1+$E9),IF(AND(F$5&gt;0,ISNA(G$5)),F9*(1+$E9),G$5)))</f>
        <v>130</v>
      </c>
      <c r="H9" s="22">
        <f t="shared" si="29"/>
        <v>159</v>
      </c>
      <c r="I9" s="22">
        <f t="shared" si="29"/>
        <v>196</v>
      </c>
      <c r="J9" s="22">
        <f t="shared" si="29"/>
        <v>262</v>
      </c>
      <c r="K9" s="22">
        <f t="shared" si="29"/>
        <v>482</v>
      </c>
      <c r="L9" s="22">
        <f t="shared" si="29"/>
        <v>670</v>
      </c>
      <c r="M9" s="22">
        <f t="shared" si="29"/>
        <v>799</v>
      </c>
      <c r="N9" s="22">
        <f t="shared" si="29"/>
        <v>1040</v>
      </c>
      <c r="O9" s="22">
        <f t="shared" si="29"/>
        <v>1176</v>
      </c>
      <c r="P9" s="22">
        <f t="shared" si="29"/>
        <v>1457</v>
      </c>
      <c r="Q9" s="22">
        <f t="shared" si="29"/>
        <v>1908</v>
      </c>
      <c r="R9" s="22">
        <f t="shared" si="29"/>
        <v>2078</v>
      </c>
      <c r="S9" s="22">
        <f t="shared" si="29"/>
        <v>3675</v>
      </c>
      <c r="T9" s="22">
        <f t="shared" si="29"/>
        <v>4585</v>
      </c>
      <c r="U9" s="22">
        <f t="shared" si="29"/>
        <v>5795</v>
      </c>
      <c r="V9" s="22">
        <f t="shared" si="29"/>
        <v>7272</v>
      </c>
      <c r="W9" s="22">
        <f t="shared" si="29"/>
        <v>7999.2000000000007</v>
      </c>
      <c r="X9" s="22">
        <f t="shared" si="29"/>
        <v>8799.1200000000008</v>
      </c>
      <c r="Y9" s="22">
        <f t="shared" si="29"/>
        <v>9679.0320000000011</v>
      </c>
      <c r="Z9" s="22">
        <f t="shared" si="29"/>
        <v>10646.935200000002</v>
      </c>
      <c r="AA9" s="22">
        <f t="shared" si="29"/>
        <v>11711.628720000002</v>
      </c>
      <c r="AB9" s="22">
        <f t="shared" si="29"/>
        <v>12882.791592000003</v>
      </c>
      <c r="AC9" s="22">
        <f t="shared" si="29"/>
        <v>14171.070751200004</v>
      </c>
      <c r="AD9" s="22">
        <f t="shared" si="29"/>
        <v>15588.177826320007</v>
      </c>
      <c r="AE9" s="22">
        <f t="shared" si="29"/>
        <v>17146.995608952009</v>
      </c>
      <c r="AF9" s="22">
        <f t="shared" si="29"/>
        <v>18861.695169847211</v>
      </c>
      <c r="AG9" s="22">
        <f t="shared" si="29"/>
        <v>20747.864686831934</v>
      </c>
      <c r="AH9" s="22">
        <f t="shared" si="29"/>
        <v>22822.65115551513</v>
      </c>
      <c r="AI9" s="22">
        <f t="shared" si="29"/>
        <v>25104.916271066646</v>
      </c>
      <c r="AJ9" s="22">
        <f t="shared" si="29"/>
        <v>27615.407898173315</v>
      </c>
      <c r="AK9" s="22">
        <f t="shared" si="29"/>
        <v>30376.948687990647</v>
      </c>
      <c r="AL9" s="22">
        <f t="shared" si="29"/>
        <v>33414.643556789713</v>
      </c>
      <c r="AM9" s="22">
        <f t="shared" si="29"/>
        <v>36756.107912468688</v>
      </c>
      <c r="AN9" s="22">
        <f t="shared" si="29"/>
        <v>40431.71870371556</v>
      </c>
      <c r="AO9" s="22">
        <f t="shared" si="29"/>
        <v>44474.89057408712</v>
      </c>
      <c r="AP9" s="22">
        <f t="shared" si="29"/>
        <v>48922.379631495838</v>
      </c>
      <c r="AQ9" s="22">
        <f t="shared" si="29"/>
        <v>53814.617594645424</v>
      </c>
      <c r="AR9" s="22">
        <f t="shared" si="29"/>
        <v>59196.07935410997</v>
      </c>
      <c r="AS9" s="22">
        <f t="shared" si="29"/>
        <v>65115.687289520974</v>
      </c>
      <c r="AT9" s="22">
        <f t="shared" si="29"/>
        <v>71627.256018473083</v>
      </c>
      <c r="AU9" s="22">
        <f t="shared" si="29"/>
        <v>78789.981620320395</v>
      </c>
      <c r="AV9" s="22">
        <f t="shared" si="29"/>
        <v>86668.979782352442</v>
      </c>
      <c r="AW9" s="22">
        <f t="shared" si="29"/>
        <v>95335.877760587697</v>
      </c>
      <c r="AX9" s="22">
        <f t="shared" si="29"/>
        <v>104869.46553664647</v>
      </c>
      <c r="AY9" s="22">
        <f t="shared" si="29"/>
        <v>115356.41209031113</v>
      </c>
      <c r="AZ9" s="22">
        <f t="shared" si="29"/>
        <v>126892.05329934225</v>
      </c>
      <c r="BA9" s="22">
        <f t="shared" si="29"/>
        <v>139581.25862927648</v>
      </c>
      <c r="BB9" s="22">
        <f t="shared" si="29"/>
        <v>153539.38449220415</v>
      </c>
      <c r="BC9" s="22">
        <f t="shared" si="29"/>
        <v>168893.32294142459</v>
      </c>
      <c r="BD9" s="22">
        <f t="shared" si="29"/>
        <v>185782.65523556707</v>
      </c>
      <c r="BE9" s="22">
        <f t="shared" si="29"/>
        <v>204360.92075912381</v>
      </c>
      <c r="BF9" s="22">
        <f t="shared" si="29"/>
        <v>224797.01283503621</v>
      </c>
      <c r="BG9" s="22">
        <f t="shared" si="29"/>
        <v>247276.71411853985</v>
      </c>
      <c r="BH9" s="22">
        <f t="shared" si="29"/>
        <v>272004.38553039386</v>
      </c>
      <c r="BI9" s="22">
        <f t="shared" si="29"/>
        <v>299204.82408343325</v>
      </c>
      <c r="BJ9" s="22">
        <f t="shared" si="29"/>
        <v>329125.3064917766</v>
      </c>
      <c r="BK9" s="22">
        <f t="shared" si="29"/>
        <v>362037.83714095427</v>
      </c>
      <c r="BL9" s="22">
        <f t="shared" si="29"/>
        <v>398241.62085504975</v>
      </c>
      <c r="BM9" s="22">
        <f t="shared" si="29"/>
        <v>438065.78294055478</v>
      </c>
      <c r="BN9" s="22">
        <f t="shared" si="29"/>
        <v>481872.36123461032</v>
      </c>
      <c r="BO9" s="22">
        <f t="shared" si="29"/>
        <v>530059.59735807136</v>
      </c>
      <c r="BP9" s="22">
        <f t="shared" si="29"/>
        <v>583065.55709387851</v>
      </c>
      <c r="BQ9" s="22">
        <f t="shared" si="29"/>
        <v>641372.11280326638</v>
      </c>
      <c r="BR9" s="22">
        <f t="shared" si="29"/>
        <v>705509.32408359309</v>
      </c>
      <c r="BS9" s="22">
        <f t="shared" ref="BS9:ED9" si="30">IF(IF(AND(ISNA(BS$5),ISNA(BR$5)),BR9*(1+$E9),IF(AND(BR$5&gt;0,ISNA(BS$5)),BR9*(1+$E9),BS$5))&gt;$C$17,$C$17,IF(AND(ISNA(BS$5),ISNA(BR$5)),BR9*(1+$E9),IF(AND(BR$5&gt;0,ISNA(BS$5)),BR9*(1+$E9),BS$5)))</f>
        <v>776060.25649195246</v>
      </c>
      <c r="BT9" s="22">
        <f t="shared" si="30"/>
        <v>853666.28214114776</v>
      </c>
      <c r="BU9" s="22">
        <f t="shared" si="30"/>
        <v>939032.91035526257</v>
      </c>
      <c r="BV9" s="22">
        <f t="shared" si="30"/>
        <v>1032936.2013907889</v>
      </c>
      <c r="BW9" s="22">
        <f t="shared" si="30"/>
        <v>1136229.8215298678</v>
      </c>
      <c r="BX9" s="22">
        <f t="shared" si="30"/>
        <v>1249852.8036828546</v>
      </c>
      <c r="BY9" s="22">
        <f t="shared" si="30"/>
        <v>1374838.0840511401</v>
      </c>
      <c r="BZ9" s="22">
        <f t="shared" si="30"/>
        <v>1512321.8924562542</v>
      </c>
      <c r="CA9" s="22">
        <f t="shared" si="30"/>
        <v>1663554.0817018799</v>
      </c>
      <c r="CB9" s="22">
        <f t="shared" si="30"/>
        <v>1829909.4898720679</v>
      </c>
      <c r="CC9" s="22">
        <f t="shared" si="30"/>
        <v>2012900.4388592748</v>
      </c>
      <c r="CD9" s="22">
        <f t="shared" si="30"/>
        <v>2214190.4827452027</v>
      </c>
      <c r="CE9" s="22">
        <f t="shared" si="30"/>
        <v>2435609.531019723</v>
      </c>
      <c r="CF9" s="22">
        <f t="shared" si="30"/>
        <v>2679170.4841216956</v>
      </c>
      <c r="CG9" s="22">
        <f t="shared" si="30"/>
        <v>2947087.5325338654</v>
      </c>
      <c r="CH9" s="22">
        <f t="shared" si="30"/>
        <v>3241796.2857872522</v>
      </c>
      <c r="CI9" s="22">
        <f t="shared" si="30"/>
        <v>3565975.914365978</v>
      </c>
      <c r="CJ9" s="22">
        <f t="shared" si="30"/>
        <v>3922573.505802576</v>
      </c>
      <c r="CK9" s="22">
        <f t="shared" si="30"/>
        <v>4314830.8563828338</v>
      </c>
      <c r="CL9" s="22">
        <f t="shared" si="30"/>
        <v>4746313.9420211175</v>
      </c>
      <c r="CM9" s="22">
        <f t="shared" si="30"/>
        <v>5220945.3362232298</v>
      </c>
      <c r="CN9" s="22">
        <f t="shared" si="30"/>
        <v>5743039.8698455533</v>
      </c>
      <c r="CO9" s="22">
        <f t="shared" si="30"/>
        <v>6317343.8568301089</v>
      </c>
      <c r="CP9" s="22">
        <f t="shared" si="30"/>
        <v>6949078.2425131202</v>
      </c>
      <c r="CQ9" s="22">
        <f t="shared" si="30"/>
        <v>7643986.0667644329</v>
      </c>
      <c r="CR9" s="22">
        <f t="shared" si="30"/>
        <v>8408384.6734408773</v>
      </c>
      <c r="CS9" s="22">
        <f t="shared" si="30"/>
        <v>9249223.1407849658</v>
      </c>
      <c r="CT9" s="22">
        <f t="shared" si="30"/>
        <v>10174145.454863463</v>
      </c>
      <c r="CU9" s="22">
        <f t="shared" si="30"/>
        <v>11191560.00034981</v>
      </c>
      <c r="CV9" s="22">
        <f t="shared" si="30"/>
        <v>12310716.000384793</v>
      </c>
      <c r="CW9" s="22">
        <f t="shared" si="30"/>
        <v>13541787.600423273</v>
      </c>
      <c r="CX9" s="22">
        <f t="shared" si="30"/>
        <v>14895966.360465601</v>
      </c>
      <c r="CY9" s="22">
        <f t="shared" si="30"/>
        <v>16385562.996512163</v>
      </c>
      <c r="CZ9" s="22">
        <f t="shared" si="30"/>
        <v>18024119.29616338</v>
      </c>
      <c r="DA9" s="22">
        <f t="shared" si="30"/>
        <v>19826531.22577972</v>
      </c>
      <c r="DB9" s="22">
        <f t="shared" si="30"/>
        <v>21809184.348357692</v>
      </c>
      <c r="DC9" s="22">
        <f t="shared" si="30"/>
        <v>23990102.783193465</v>
      </c>
      <c r="DD9" s="22">
        <f t="shared" si="30"/>
        <v>26389113.061512813</v>
      </c>
      <c r="DE9" s="22">
        <f t="shared" si="30"/>
        <v>29028024.367664095</v>
      </c>
      <c r="DF9" s="22">
        <f t="shared" si="30"/>
        <v>31930826.804430507</v>
      </c>
      <c r="DG9" s="22">
        <f t="shared" si="30"/>
        <v>33513576.800000001</v>
      </c>
      <c r="DH9" s="22">
        <f t="shared" si="30"/>
        <v>33513576.800000001</v>
      </c>
      <c r="DI9" s="22">
        <f t="shared" si="30"/>
        <v>33513576.800000001</v>
      </c>
      <c r="DJ9" s="22">
        <f t="shared" si="30"/>
        <v>33513576.800000001</v>
      </c>
      <c r="DK9" s="22">
        <f t="shared" si="30"/>
        <v>33513576.800000001</v>
      </c>
      <c r="DL9" s="22">
        <f t="shared" si="30"/>
        <v>33513576.800000001</v>
      </c>
      <c r="DM9" s="22">
        <f t="shared" si="30"/>
        <v>33513576.800000001</v>
      </c>
      <c r="DN9" s="22">
        <f t="shared" si="30"/>
        <v>33513576.800000001</v>
      </c>
      <c r="DO9" s="22">
        <f t="shared" si="30"/>
        <v>33513576.800000001</v>
      </c>
      <c r="DP9" s="22">
        <f t="shared" si="30"/>
        <v>33513576.800000001</v>
      </c>
      <c r="DQ9" s="22">
        <f t="shared" si="30"/>
        <v>33513576.800000001</v>
      </c>
      <c r="DR9" s="22">
        <f t="shared" si="30"/>
        <v>33513576.800000001</v>
      </c>
      <c r="DS9" s="22">
        <f t="shared" si="30"/>
        <v>33513576.800000001</v>
      </c>
      <c r="DT9" s="22">
        <f t="shared" si="30"/>
        <v>33513576.800000001</v>
      </c>
      <c r="DU9" s="22">
        <f t="shared" si="30"/>
        <v>33513576.800000001</v>
      </c>
      <c r="DV9" s="22">
        <f t="shared" si="30"/>
        <v>33513576.800000001</v>
      </c>
      <c r="DW9" s="22">
        <f t="shared" si="30"/>
        <v>33513576.800000001</v>
      </c>
      <c r="DX9" s="22">
        <f t="shared" si="30"/>
        <v>33513576.800000001</v>
      </c>
      <c r="DY9" s="22">
        <f t="shared" si="30"/>
        <v>33513576.800000001</v>
      </c>
      <c r="DZ9" s="22">
        <f t="shared" si="30"/>
        <v>33513576.800000001</v>
      </c>
      <c r="EA9" s="22">
        <f t="shared" si="30"/>
        <v>33513576.800000001</v>
      </c>
      <c r="EB9" s="22">
        <f t="shared" si="30"/>
        <v>33513576.800000001</v>
      </c>
      <c r="EC9" s="22">
        <f t="shared" si="30"/>
        <v>33513576.800000001</v>
      </c>
      <c r="ED9" s="22">
        <f t="shared" si="30"/>
        <v>33513576.800000001</v>
      </c>
      <c r="EE9" s="22">
        <f t="shared" ref="EE9:GP9" si="31">IF(IF(AND(ISNA(EE$5),ISNA(ED$5)),ED9*(1+$E9),IF(AND(ED$5&gt;0,ISNA(EE$5)),ED9*(1+$E9),EE$5))&gt;$C$17,$C$17,IF(AND(ISNA(EE$5),ISNA(ED$5)),ED9*(1+$E9),IF(AND(ED$5&gt;0,ISNA(EE$5)),ED9*(1+$E9),EE$5)))</f>
        <v>33513576.800000001</v>
      </c>
      <c r="EF9" s="22">
        <f t="shared" si="31"/>
        <v>33513576.800000001</v>
      </c>
      <c r="EG9" s="22">
        <f t="shared" si="31"/>
        <v>33513576.800000001</v>
      </c>
      <c r="EH9" s="22">
        <f t="shared" si="31"/>
        <v>33513576.800000001</v>
      </c>
      <c r="EI9" s="22">
        <f t="shared" si="31"/>
        <v>33513576.800000001</v>
      </c>
      <c r="EJ9" s="22">
        <f t="shared" si="31"/>
        <v>33513576.800000001</v>
      </c>
      <c r="EK9" s="22">
        <f t="shared" si="31"/>
        <v>33513576.800000001</v>
      </c>
      <c r="EL9" s="22">
        <f t="shared" si="31"/>
        <v>33513576.800000001</v>
      </c>
      <c r="EM9" s="22">
        <f t="shared" si="31"/>
        <v>33513576.800000001</v>
      </c>
      <c r="EN9" s="22">
        <f t="shared" si="31"/>
        <v>33513576.800000001</v>
      </c>
      <c r="EO9" s="22">
        <f t="shared" si="31"/>
        <v>33513576.800000001</v>
      </c>
      <c r="EP9" s="22">
        <f t="shared" si="31"/>
        <v>33513576.800000001</v>
      </c>
      <c r="EQ9" s="22">
        <f t="shared" si="31"/>
        <v>33513576.800000001</v>
      </c>
      <c r="ER9" s="22">
        <f t="shared" si="31"/>
        <v>33513576.800000001</v>
      </c>
      <c r="ES9" s="22">
        <f t="shared" si="31"/>
        <v>33513576.800000001</v>
      </c>
      <c r="ET9" s="22">
        <f t="shared" si="31"/>
        <v>33513576.800000001</v>
      </c>
      <c r="EU9" s="22">
        <f t="shared" si="31"/>
        <v>33513576.800000001</v>
      </c>
      <c r="EV9" s="22">
        <f t="shared" si="31"/>
        <v>33513576.800000001</v>
      </c>
      <c r="EW9" s="22">
        <f t="shared" si="31"/>
        <v>33513576.800000001</v>
      </c>
      <c r="EX9" s="22">
        <f t="shared" si="31"/>
        <v>33513576.800000001</v>
      </c>
      <c r="EY9" s="22">
        <f t="shared" si="31"/>
        <v>33513576.800000001</v>
      </c>
      <c r="EZ9" s="22">
        <f t="shared" si="31"/>
        <v>33513576.800000001</v>
      </c>
      <c r="FA9" s="22">
        <f t="shared" si="31"/>
        <v>33513576.800000001</v>
      </c>
      <c r="FB9" s="22">
        <f t="shared" si="31"/>
        <v>33513576.800000001</v>
      </c>
      <c r="FC9" s="22">
        <f t="shared" si="31"/>
        <v>33513576.800000001</v>
      </c>
      <c r="FD9" s="22">
        <f t="shared" si="31"/>
        <v>33513576.800000001</v>
      </c>
      <c r="FE9" s="22">
        <f t="shared" si="31"/>
        <v>33513576.800000001</v>
      </c>
      <c r="FF9" s="22">
        <f t="shared" si="31"/>
        <v>33513576.800000001</v>
      </c>
      <c r="FG9" s="22">
        <f t="shared" si="31"/>
        <v>33513576.800000001</v>
      </c>
      <c r="FH9" s="22">
        <f t="shared" si="31"/>
        <v>33513576.800000001</v>
      </c>
      <c r="FI9" s="22">
        <f t="shared" si="31"/>
        <v>33513576.800000001</v>
      </c>
      <c r="FJ9" s="22">
        <f t="shared" si="31"/>
        <v>33513576.800000001</v>
      </c>
      <c r="FK9" s="22">
        <f t="shared" si="31"/>
        <v>33513576.800000001</v>
      </c>
      <c r="FL9" s="22">
        <f t="shared" si="31"/>
        <v>33513576.800000001</v>
      </c>
      <c r="FM9" s="22">
        <f t="shared" si="31"/>
        <v>33513576.800000001</v>
      </c>
      <c r="FN9" s="22">
        <f t="shared" si="31"/>
        <v>33513576.800000001</v>
      </c>
      <c r="FO9" s="22">
        <f t="shared" si="31"/>
        <v>33513576.800000001</v>
      </c>
      <c r="FP9" s="22">
        <f t="shared" si="31"/>
        <v>33513576.800000001</v>
      </c>
      <c r="FQ9" s="22">
        <f t="shared" si="31"/>
        <v>33513576.800000001</v>
      </c>
      <c r="FR9" s="22">
        <f t="shared" si="31"/>
        <v>33513576.800000001</v>
      </c>
      <c r="FS9" s="22">
        <f t="shared" si="31"/>
        <v>33513576.800000001</v>
      </c>
      <c r="FT9" s="22">
        <f t="shared" si="31"/>
        <v>33513576.800000001</v>
      </c>
      <c r="FU9" s="22">
        <f t="shared" si="31"/>
        <v>33513576.800000001</v>
      </c>
      <c r="FV9" s="22">
        <f t="shared" si="31"/>
        <v>33513576.800000001</v>
      </c>
      <c r="FW9" s="22">
        <f t="shared" si="31"/>
        <v>33513576.800000001</v>
      </c>
      <c r="FX9" s="22">
        <f t="shared" si="31"/>
        <v>33513576.800000001</v>
      </c>
      <c r="FY9" s="22">
        <f t="shared" si="31"/>
        <v>33513576.800000001</v>
      </c>
      <c r="FZ9" s="22">
        <f t="shared" si="31"/>
        <v>33513576.800000001</v>
      </c>
      <c r="GA9" s="22">
        <f t="shared" si="31"/>
        <v>33513576.800000001</v>
      </c>
      <c r="GB9" s="22">
        <f t="shared" si="31"/>
        <v>33513576.800000001</v>
      </c>
      <c r="GC9" s="22">
        <f t="shared" si="31"/>
        <v>33513576.800000001</v>
      </c>
      <c r="GD9" s="22">
        <f t="shared" si="31"/>
        <v>33513576.800000001</v>
      </c>
      <c r="GE9" s="22">
        <f t="shared" si="31"/>
        <v>33513576.800000001</v>
      </c>
      <c r="GF9" s="22">
        <f t="shared" si="31"/>
        <v>33513576.800000001</v>
      </c>
      <c r="GG9" s="22">
        <f t="shared" si="31"/>
        <v>33513576.800000001</v>
      </c>
      <c r="GH9" s="22">
        <f t="shared" si="31"/>
        <v>33513576.800000001</v>
      </c>
      <c r="GI9" s="22">
        <f t="shared" si="31"/>
        <v>33513576.800000001</v>
      </c>
      <c r="GJ9" s="22">
        <f t="shared" si="31"/>
        <v>33513576.800000001</v>
      </c>
      <c r="GK9" s="22">
        <f t="shared" si="31"/>
        <v>33513576.800000001</v>
      </c>
      <c r="GL9" s="22">
        <f t="shared" si="31"/>
        <v>33513576.800000001</v>
      </c>
      <c r="GM9" s="22">
        <f t="shared" si="31"/>
        <v>33513576.800000001</v>
      </c>
      <c r="GN9" s="22">
        <f t="shared" si="31"/>
        <v>33513576.800000001</v>
      </c>
      <c r="GO9" s="22">
        <f t="shared" si="31"/>
        <v>33513576.800000001</v>
      </c>
      <c r="GP9" s="22">
        <f t="shared" si="31"/>
        <v>33513576.800000001</v>
      </c>
      <c r="GQ9" s="22">
        <f t="shared" ref="GQ9:IN9" si="32">IF(IF(AND(ISNA(GQ$5),ISNA(GP$5)),GP9*(1+$E9),IF(AND(GP$5&gt;0,ISNA(GQ$5)),GP9*(1+$E9),GQ$5))&gt;$C$17,$C$17,IF(AND(ISNA(GQ$5),ISNA(GP$5)),GP9*(1+$E9),IF(AND(GP$5&gt;0,ISNA(GQ$5)),GP9*(1+$E9),GQ$5)))</f>
        <v>33513576.800000001</v>
      </c>
      <c r="GR9" s="22">
        <f t="shared" si="32"/>
        <v>33513576.800000001</v>
      </c>
      <c r="GS9" s="22">
        <f t="shared" si="32"/>
        <v>33513576.800000001</v>
      </c>
      <c r="GT9" s="22">
        <f t="shared" si="32"/>
        <v>33513576.800000001</v>
      </c>
      <c r="GU9" s="22">
        <f t="shared" si="32"/>
        <v>33513576.800000001</v>
      </c>
      <c r="GV9" s="22">
        <f t="shared" si="32"/>
        <v>33513576.800000001</v>
      </c>
      <c r="GW9" s="22">
        <f t="shared" si="32"/>
        <v>33513576.800000001</v>
      </c>
      <c r="GX9" s="22">
        <f t="shared" si="32"/>
        <v>33513576.800000001</v>
      </c>
      <c r="GY9" s="22">
        <f t="shared" si="32"/>
        <v>33513576.800000001</v>
      </c>
      <c r="GZ9" s="22">
        <f t="shared" si="32"/>
        <v>33513576.800000001</v>
      </c>
      <c r="HA9" s="22">
        <f t="shared" si="32"/>
        <v>33513576.800000001</v>
      </c>
      <c r="HB9" s="22">
        <f t="shared" si="32"/>
        <v>33513576.800000001</v>
      </c>
      <c r="HC9" s="22">
        <f t="shared" si="32"/>
        <v>33513576.800000001</v>
      </c>
      <c r="HD9" s="22">
        <f t="shared" si="32"/>
        <v>33513576.800000001</v>
      </c>
      <c r="HE9" s="22">
        <f t="shared" si="32"/>
        <v>33513576.800000001</v>
      </c>
      <c r="HF9" s="22">
        <f t="shared" si="32"/>
        <v>33513576.800000001</v>
      </c>
      <c r="HG9" s="22">
        <f t="shared" si="32"/>
        <v>33513576.800000001</v>
      </c>
      <c r="HH9" s="22">
        <f t="shared" si="32"/>
        <v>33513576.800000001</v>
      </c>
      <c r="HI9" s="22">
        <f t="shared" si="32"/>
        <v>33513576.800000001</v>
      </c>
      <c r="HJ9" s="22">
        <f t="shared" si="32"/>
        <v>33513576.800000001</v>
      </c>
      <c r="HK9" s="22">
        <f t="shared" si="32"/>
        <v>33513576.800000001</v>
      </c>
      <c r="HL9" s="22">
        <f t="shared" si="32"/>
        <v>33513576.800000001</v>
      </c>
      <c r="HM9" s="22">
        <f t="shared" si="32"/>
        <v>33513576.800000001</v>
      </c>
      <c r="HN9" s="22">
        <f t="shared" si="32"/>
        <v>33513576.800000001</v>
      </c>
      <c r="HO9" s="22">
        <f t="shared" si="32"/>
        <v>33513576.800000001</v>
      </c>
      <c r="HP9" s="22">
        <f t="shared" si="32"/>
        <v>33513576.800000001</v>
      </c>
      <c r="HQ9" s="22">
        <f t="shared" si="32"/>
        <v>33513576.800000001</v>
      </c>
      <c r="HR9" s="22">
        <f t="shared" si="32"/>
        <v>33513576.800000001</v>
      </c>
      <c r="HS9" s="22">
        <f t="shared" si="32"/>
        <v>33513576.800000001</v>
      </c>
      <c r="HT9" s="22">
        <f t="shared" si="32"/>
        <v>33513576.800000001</v>
      </c>
      <c r="HU9" s="22">
        <f t="shared" si="32"/>
        <v>33513576.800000001</v>
      </c>
      <c r="HV9" s="22">
        <f t="shared" si="32"/>
        <v>33513576.800000001</v>
      </c>
      <c r="HW9" s="22">
        <f t="shared" si="32"/>
        <v>33513576.800000001</v>
      </c>
      <c r="HX9" s="22">
        <f t="shared" si="32"/>
        <v>33513576.800000001</v>
      </c>
      <c r="HY9" s="22">
        <f t="shared" si="32"/>
        <v>33513576.800000001</v>
      </c>
      <c r="HZ9" s="22">
        <f t="shared" si="32"/>
        <v>33513576.800000001</v>
      </c>
      <c r="IA9" s="22">
        <f t="shared" si="32"/>
        <v>33513576.800000001</v>
      </c>
      <c r="IB9" s="22">
        <f t="shared" si="32"/>
        <v>33513576.800000001</v>
      </c>
      <c r="IC9" s="22">
        <f t="shared" si="32"/>
        <v>33513576.800000001</v>
      </c>
      <c r="ID9" s="22">
        <f t="shared" si="32"/>
        <v>33513576.800000001</v>
      </c>
      <c r="IE9" s="22">
        <f t="shared" si="32"/>
        <v>33513576.800000001</v>
      </c>
      <c r="IF9" s="22">
        <f t="shared" si="32"/>
        <v>33513576.800000001</v>
      </c>
      <c r="IG9" s="22">
        <f t="shared" si="32"/>
        <v>33513576.800000001</v>
      </c>
      <c r="IH9" s="22">
        <f t="shared" si="32"/>
        <v>33513576.800000001</v>
      </c>
      <c r="II9" s="22">
        <f t="shared" si="32"/>
        <v>33513576.800000001</v>
      </c>
      <c r="IJ9" s="22">
        <f t="shared" si="32"/>
        <v>33513576.800000001</v>
      </c>
      <c r="IK9" s="22">
        <f t="shared" si="32"/>
        <v>33513576.800000001</v>
      </c>
      <c r="IL9" s="22">
        <f t="shared" si="32"/>
        <v>33513576.800000001</v>
      </c>
      <c r="IM9" s="22">
        <f t="shared" si="32"/>
        <v>33513576.800000001</v>
      </c>
      <c r="IN9" s="22">
        <f t="shared" si="32"/>
        <v>33513576.800000001</v>
      </c>
    </row>
    <row r="10" spans="2:248" x14ac:dyDescent="0.3">
      <c r="B10" s="20" t="s">
        <v>484</v>
      </c>
      <c r="C10" s="22">
        <f>C4*(1+C8)</f>
        <v>9503.1803250873654</v>
      </c>
      <c r="F10" s="20" t="s">
        <v>618</v>
      </c>
      <c r="G10" s="22">
        <f t="shared" ref="G10:P10" si="33">G9</f>
        <v>130</v>
      </c>
      <c r="H10" s="22">
        <f t="shared" si="33"/>
        <v>159</v>
      </c>
      <c r="I10" s="22">
        <f t="shared" si="33"/>
        <v>196</v>
      </c>
      <c r="J10" s="22">
        <f t="shared" si="33"/>
        <v>262</v>
      </c>
      <c r="K10" s="22">
        <f t="shared" si="33"/>
        <v>482</v>
      </c>
      <c r="L10" s="22">
        <f t="shared" si="33"/>
        <v>670</v>
      </c>
      <c r="M10" s="22">
        <f t="shared" si="33"/>
        <v>799</v>
      </c>
      <c r="N10" s="22">
        <f t="shared" si="33"/>
        <v>1040</v>
      </c>
      <c r="O10" s="22">
        <f t="shared" si="33"/>
        <v>1176</v>
      </c>
      <c r="P10" s="22">
        <f t="shared" si="33"/>
        <v>1457</v>
      </c>
      <c r="Q10" s="22">
        <f>Q9-G9</f>
        <v>1778</v>
      </c>
      <c r="R10" s="22">
        <f t="shared" ref="R10:CC10" si="34">R9-H9</f>
        <v>1919</v>
      </c>
      <c r="S10" s="22">
        <f t="shared" si="34"/>
        <v>3479</v>
      </c>
      <c r="T10" s="22">
        <f t="shared" si="34"/>
        <v>4323</v>
      </c>
      <c r="U10" s="22">
        <f t="shared" si="34"/>
        <v>5313</v>
      </c>
      <c r="V10" s="22">
        <f t="shared" si="34"/>
        <v>6602</v>
      </c>
      <c r="W10" s="22">
        <f t="shared" si="34"/>
        <v>7200.2000000000007</v>
      </c>
      <c r="X10" s="22">
        <f t="shared" si="34"/>
        <v>7759.1200000000008</v>
      </c>
      <c r="Y10" s="22">
        <f t="shared" si="34"/>
        <v>8503.0320000000011</v>
      </c>
      <c r="Z10" s="22">
        <f t="shared" si="34"/>
        <v>9189.9352000000017</v>
      </c>
      <c r="AA10" s="22">
        <f t="shared" si="34"/>
        <v>9803.6287200000024</v>
      </c>
      <c r="AB10" s="22">
        <f t="shared" si="34"/>
        <v>10804.791592000003</v>
      </c>
      <c r="AC10" s="22">
        <f t="shared" si="34"/>
        <v>10496.070751200004</v>
      </c>
      <c r="AD10" s="22">
        <f t="shared" si="34"/>
        <v>11003.177826320007</v>
      </c>
      <c r="AE10" s="22">
        <f t="shared" si="34"/>
        <v>11351.995608952009</v>
      </c>
      <c r="AF10" s="22">
        <f t="shared" si="34"/>
        <v>11589.695169847211</v>
      </c>
      <c r="AG10" s="22">
        <f t="shared" si="34"/>
        <v>12748.664686831933</v>
      </c>
      <c r="AH10" s="22">
        <f t="shared" si="34"/>
        <v>14023.531155515129</v>
      </c>
      <c r="AI10" s="22">
        <f t="shared" si="34"/>
        <v>15425.884271066645</v>
      </c>
      <c r="AJ10" s="22">
        <f t="shared" si="34"/>
        <v>16968.472698173311</v>
      </c>
      <c r="AK10" s="22">
        <f t="shared" si="34"/>
        <v>18665.319967990647</v>
      </c>
      <c r="AL10" s="22">
        <f t="shared" si="34"/>
        <v>20531.851964789712</v>
      </c>
      <c r="AM10" s="22">
        <f t="shared" si="34"/>
        <v>22585.037161268683</v>
      </c>
      <c r="AN10" s="22">
        <f t="shared" si="34"/>
        <v>24843.540877395553</v>
      </c>
      <c r="AO10" s="22">
        <f t="shared" si="34"/>
        <v>27327.89496513511</v>
      </c>
      <c r="AP10" s="22">
        <f t="shared" si="34"/>
        <v>30060.684461648627</v>
      </c>
      <c r="AQ10" s="22">
        <f t="shared" si="34"/>
        <v>33066.75290781349</v>
      </c>
      <c r="AR10" s="22">
        <f t="shared" si="34"/>
        <v>36373.42819859484</v>
      </c>
      <c r="AS10" s="22">
        <f t="shared" si="34"/>
        <v>40010.771018454325</v>
      </c>
      <c r="AT10" s="22">
        <f t="shared" si="34"/>
        <v>44011.848120299765</v>
      </c>
      <c r="AU10" s="22">
        <f t="shared" si="34"/>
        <v>48413.032932329748</v>
      </c>
      <c r="AV10" s="22">
        <f t="shared" si="34"/>
        <v>53254.336225562729</v>
      </c>
      <c r="AW10" s="22">
        <f t="shared" si="34"/>
        <v>58579.769848119009</v>
      </c>
      <c r="AX10" s="22">
        <f t="shared" si="34"/>
        <v>64437.746832930912</v>
      </c>
      <c r="AY10" s="22">
        <f t="shared" si="34"/>
        <v>70881.52151622402</v>
      </c>
      <c r="AZ10" s="22">
        <f t="shared" si="34"/>
        <v>77969.673667846422</v>
      </c>
      <c r="BA10" s="22">
        <f t="shared" si="34"/>
        <v>85766.641034631059</v>
      </c>
      <c r="BB10" s="22">
        <f t="shared" si="34"/>
        <v>94343.305138094176</v>
      </c>
      <c r="BC10" s="22">
        <f t="shared" si="34"/>
        <v>103777.63565190361</v>
      </c>
      <c r="BD10" s="22">
        <f t="shared" si="34"/>
        <v>114155.39921709399</v>
      </c>
      <c r="BE10" s="22">
        <f t="shared" si="34"/>
        <v>125570.93913880341</v>
      </c>
      <c r="BF10" s="22">
        <f t="shared" si="34"/>
        <v>138128.03305268375</v>
      </c>
      <c r="BG10" s="22">
        <f t="shared" si="34"/>
        <v>151940.83635795215</v>
      </c>
      <c r="BH10" s="22">
        <f t="shared" si="34"/>
        <v>167134.91999374737</v>
      </c>
      <c r="BI10" s="22">
        <f t="shared" si="34"/>
        <v>183848.41199312214</v>
      </c>
      <c r="BJ10" s="22">
        <f t="shared" si="34"/>
        <v>202233.25319243435</v>
      </c>
      <c r="BK10" s="22">
        <f t="shared" si="34"/>
        <v>222456.5785116778</v>
      </c>
      <c r="BL10" s="22">
        <f t="shared" si="34"/>
        <v>244702.23636284561</v>
      </c>
      <c r="BM10" s="22">
        <f t="shared" si="34"/>
        <v>269172.45999913022</v>
      </c>
      <c r="BN10" s="22">
        <f t="shared" si="34"/>
        <v>296089.70599904325</v>
      </c>
      <c r="BO10" s="22">
        <f t="shared" si="34"/>
        <v>325698.67659894755</v>
      </c>
      <c r="BP10" s="22">
        <f t="shared" si="34"/>
        <v>358268.5442588423</v>
      </c>
      <c r="BQ10" s="22">
        <f t="shared" si="34"/>
        <v>394095.39868472656</v>
      </c>
      <c r="BR10" s="22">
        <f t="shared" si="34"/>
        <v>433504.93855319923</v>
      </c>
      <c r="BS10" s="22">
        <f t="shared" si="34"/>
        <v>476855.43240851921</v>
      </c>
      <c r="BT10" s="22">
        <f t="shared" si="34"/>
        <v>524540.97564937116</v>
      </c>
      <c r="BU10" s="22">
        <f t="shared" si="34"/>
        <v>576995.07321430836</v>
      </c>
      <c r="BV10" s="22">
        <f t="shared" si="34"/>
        <v>634694.58053573919</v>
      </c>
      <c r="BW10" s="22">
        <f t="shared" si="34"/>
        <v>698164.03858931304</v>
      </c>
      <c r="BX10" s="22">
        <f t="shared" si="34"/>
        <v>767980.44244824431</v>
      </c>
      <c r="BY10" s="22">
        <f t="shared" si="34"/>
        <v>844778.48669306876</v>
      </c>
      <c r="BZ10" s="22">
        <f t="shared" si="34"/>
        <v>929256.33536237571</v>
      </c>
      <c r="CA10" s="22">
        <f t="shared" si="34"/>
        <v>1022181.9688986135</v>
      </c>
      <c r="CB10" s="22">
        <f t="shared" si="34"/>
        <v>1124400.165788475</v>
      </c>
      <c r="CC10" s="22">
        <f t="shared" si="34"/>
        <v>1236840.1823673225</v>
      </c>
      <c r="CD10" s="22">
        <f t="shared" ref="CD10:EO10" si="35">CD9-BT9</f>
        <v>1360524.2006040551</v>
      </c>
      <c r="CE10" s="22">
        <f t="shared" si="35"/>
        <v>1496576.6206644606</v>
      </c>
      <c r="CF10" s="22">
        <f t="shared" si="35"/>
        <v>1646234.2827309067</v>
      </c>
      <c r="CG10" s="22">
        <f>CG9-BW9</f>
        <v>1810857.7110039976</v>
      </c>
      <c r="CH10" s="22">
        <f t="shared" si="35"/>
        <v>1991943.4821043976</v>
      </c>
      <c r="CI10" s="22">
        <f t="shared" si="35"/>
        <v>2191137.8303148379</v>
      </c>
      <c r="CJ10" s="22">
        <f t="shared" si="35"/>
        <v>2410251.6133463215</v>
      </c>
      <c r="CK10" s="22">
        <f t="shared" si="35"/>
        <v>2651276.7746809539</v>
      </c>
      <c r="CL10" s="22">
        <f t="shared" si="35"/>
        <v>2916404.4521490494</v>
      </c>
      <c r="CM10" s="22">
        <f t="shared" si="35"/>
        <v>3208044.8973639552</v>
      </c>
      <c r="CN10" s="22">
        <f t="shared" si="35"/>
        <v>3528849.3871003506</v>
      </c>
      <c r="CO10" s="22">
        <f t="shared" si="35"/>
        <v>3881734.3258103859</v>
      </c>
      <c r="CP10" s="22">
        <f t="shared" si="35"/>
        <v>4269907.758391425</v>
      </c>
      <c r="CQ10" s="22">
        <f t="shared" si="35"/>
        <v>4696898.5342305675</v>
      </c>
      <c r="CR10" s="22">
        <f t="shared" si="35"/>
        <v>5166588.3876536246</v>
      </c>
      <c r="CS10" s="22">
        <f t="shared" si="35"/>
        <v>5683247.2264189878</v>
      </c>
      <c r="CT10" s="22">
        <f t="shared" si="35"/>
        <v>6251571.9490608871</v>
      </c>
      <c r="CU10" s="22">
        <f t="shared" si="35"/>
        <v>6876729.1439669766</v>
      </c>
      <c r="CV10" s="22">
        <f t="shared" si="35"/>
        <v>7564402.0583636751</v>
      </c>
      <c r="CW10" s="22">
        <f t="shared" si="35"/>
        <v>8320842.2642000429</v>
      </c>
      <c r="CX10" s="22">
        <f t="shared" si="35"/>
        <v>9152926.4906200469</v>
      </c>
      <c r="CY10" s="22">
        <f t="shared" si="35"/>
        <v>10068219.139682055</v>
      </c>
      <c r="CZ10" s="22">
        <f t="shared" si="35"/>
        <v>11075041.05365026</v>
      </c>
      <c r="DA10" s="22">
        <f t="shared" si="35"/>
        <v>12182545.159015287</v>
      </c>
      <c r="DB10" s="22">
        <f t="shared" si="35"/>
        <v>13400799.674916815</v>
      </c>
      <c r="DC10" s="22">
        <f t="shared" si="35"/>
        <v>14740879.642408499</v>
      </c>
      <c r="DD10" s="22">
        <f t="shared" si="35"/>
        <v>16214967.60664935</v>
      </c>
      <c r="DE10" s="22">
        <f t="shared" si="35"/>
        <v>17836464.367314287</v>
      </c>
      <c r="DF10" s="22">
        <f t="shared" si="35"/>
        <v>19620110.804045714</v>
      </c>
      <c r="DG10" s="22">
        <f t="shared" si="35"/>
        <v>19971789.199576728</v>
      </c>
      <c r="DH10" s="22">
        <f t="shared" si="35"/>
        <v>18617610.4395344</v>
      </c>
      <c r="DI10" s="22">
        <f t="shared" si="35"/>
        <v>17128013.803487837</v>
      </c>
      <c r="DJ10" s="22">
        <f t="shared" si="35"/>
        <v>15489457.503836621</v>
      </c>
      <c r="DK10" s="22">
        <f t="shared" si="35"/>
        <v>13687045.574220281</v>
      </c>
      <c r="DL10" s="22">
        <f t="shared" si="35"/>
        <v>11704392.451642308</v>
      </c>
      <c r="DM10" s="22">
        <f t="shared" si="35"/>
        <v>9523474.0168065354</v>
      </c>
      <c r="DN10" s="22">
        <f t="shared" si="35"/>
        <v>7124463.7384871878</v>
      </c>
      <c r="DO10" s="22">
        <f t="shared" si="35"/>
        <v>4485552.4323359057</v>
      </c>
      <c r="DP10" s="22">
        <f t="shared" si="35"/>
        <v>1582749.9955694936</v>
      </c>
      <c r="DQ10" s="22">
        <f t="shared" si="35"/>
        <v>0</v>
      </c>
      <c r="DR10" s="22">
        <f t="shared" si="35"/>
        <v>0</v>
      </c>
      <c r="DS10" s="22">
        <f t="shared" si="35"/>
        <v>0</v>
      </c>
      <c r="DT10" s="22">
        <f t="shared" si="35"/>
        <v>0</v>
      </c>
      <c r="DU10" s="22">
        <f t="shared" si="35"/>
        <v>0</v>
      </c>
      <c r="DV10" s="22">
        <f t="shared" si="35"/>
        <v>0</v>
      </c>
      <c r="DW10" s="22">
        <f t="shared" si="35"/>
        <v>0</v>
      </c>
      <c r="DX10" s="22">
        <f t="shared" si="35"/>
        <v>0</v>
      </c>
      <c r="DY10" s="22">
        <f t="shared" si="35"/>
        <v>0</v>
      </c>
      <c r="DZ10" s="22">
        <f t="shared" si="35"/>
        <v>0</v>
      </c>
      <c r="EA10" s="22">
        <f t="shared" si="35"/>
        <v>0</v>
      </c>
      <c r="EB10" s="22">
        <f t="shared" si="35"/>
        <v>0</v>
      </c>
      <c r="EC10" s="22">
        <f t="shared" si="35"/>
        <v>0</v>
      </c>
      <c r="ED10" s="22">
        <f t="shared" si="35"/>
        <v>0</v>
      </c>
      <c r="EE10" s="22">
        <f t="shared" si="35"/>
        <v>0</v>
      </c>
      <c r="EF10" s="22">
        <f t="shared" si="35"/>
        <v>0</v>
      </c>
      <c r="EG10" s="22">
        <f t="shared" si="35"/>
        <v>0</v>
      </c>
      <c r="EH10" s="22">
        <f t="shared" si="35"/>
        <v>0</v>
      </c>
      <c r="EI10" s="22">
        <f t="shared" si="35"/>
        <v>0</v>
      </c>
      <c r="EJ10" s="22">
        <f t="shared" si="35"/>
        <v>0</v>
      </c>
      <c r="EK10" s="22">
        <f t="shared" si="35"/>
        <v>0</v>
      </c>
      <c r="EL10" s="22">
        <f t="shared" si="35"/>
        <v>0</v>
      </c>
      <c r="EM10" s="22">
        <f t="shared" si="35"/>
        <v>0</v>
      </c>
      <c r="EN10" s="22">
        <f t="shared" si="35"/>
        <v>0</v>
      </c>
      <c r="EO10" s="22">
        <f t="shared" si="35"/>
        <v>0</v>
      </c>
      <c r="EP10" s="22">
        <f t="shared" ref="EP10:HA10" si="36">EP9-EF9</f>
        <v>0</v>
      </c>
      <c r="EQ10" s="22">
        <f t="shared" si="36"/>
        <v>0</v>
      </c>
      <c r="ER10" s="22">
        <f t="shared" si="36"/>
        <v>0</v>
      </c>
      <c r="ES10" s="22">
        <f t="shared" si="36"/>
        <v>0</v>
      </c>
      <c r="ET10" s="22">
        <f t="shared" si="36"/>
        <v>0</v>
      </c>
      <c r="EU10" s="22">
        <f t="shared" si="36"/>
        <v>0</v>
      </c>
      <c r="EV10" s="22">
        <f t="shared" si="36"/>
        <v>0</v>
      </c>
      <c r="EW10" s="22">
        <f t="shared" si="36"/>
        <v>0</v>
      </c>
      <c r="EX10" s="22">
        <f t="shared" si="36"/>
        <v>0</v>
      </c>
      <c r="EY10" s="22">
        <f t="shared" si="36"/>
        <v>0</v>
      </c>
      <c r="EZ10" s="22">
        <f t="shared" si="36"/>
        <v>0</v>
      </c>
      <c r="FA10" s="22">
        <f t="shared" si="36"/>
        <v>0</v>
      </c>
      <c r="FB10" s="22">
        <f t="shared" si="36"/>
        <v>0</v>
      </c>
      <c r="FC10" s="22">
        <f t="shared" si="36"/>
        <v>0</v>
      </c>
      <c r="FD10" s="22">
        <f t="shared" si="36"/>
        <v>0</v>
      </c>
      <c r="FE10" s="22">
        <f t="shared" si="36"/>
        <v>0</v>
      </c>
      <c r="FF10" s="22">
        <f t="shared" si="36"/>
        <v>0</v>
      </c>
      <c r="FG10" s="22">
        <f t="shared" si="36"/>
        <v>0</v>
      </c>
      <c r="FH10" s="22">
        <f t="shared" si="36"/>
        <v>0</v>
      </c>
      <c r="FI10" s="22">
        <f t="shared" si="36"/>
        <v>0</v>
      </c>
      <c r="FJ10" s="22">
        <f t="shared" si="36"/>
        <v>0</v>
      </c>
      <c r="FK10" s="22">
        <f t="shared" si="36"/>
        <v>0</v>
      </c>
      <c r="FL10" s="22">
        <f t="shared" si="36"/>
        <v>0</v>
      </c>
      <c r="FM10" s="22">
        <f t="shared" si="36"/>
        <v>0</v>
      </c>
      <c r="FN10" s="22">
        <f t="shared" si="36"/>
        <v>0</v>
      </c>
      <c r="FO10" s="22">
        <f t="shared" si="36"/>
        <v>0</v>
      </c>
      <c r="FP10" s="22">
        <f t="shared" si="36"/>
        <v>0</v>
      </c>
      <c r="FQ10" s="22">
        <f t="shared" si="36"/>
        <v>0</v>
      </c>
      <c r="FR10" s="22">
        <f t="shared" si="36"/>
        <v>0</v>
      </c>
      <c r="FS10" s="22">
        <f t="shared" si="36"/>
        <v>0</v>
      </c>
      <c r="FT10" s="22">
        <f t="shared" si="36"/>
        <v>0</v>
      </c>
      <c r="FU10" s="22">
        <f t="shared" si="36"/>
        <v>0</v>
      </c>
      <c r="FV10" s="22">
        <f t="shared" si="36"/>
        <v>0</v>
      </c>
      <c r="FW10" s="22">
        <f t="shared" si="36"/>
        <v>0</v>
      </c>
      <c r="FX10" s="22">
        <f t="shared" si="36"/>
        <v>0</v>
      </c>
      <c r="FY10" s="22">
        <f t="shared" si="36"/>
        <v>0</v>
      </c>
      <c r="FZ10" s="22">
        <f t="shared" si="36"/>
        <v>0</v>
      </c>
      <c r="GA10" s="22">
        <f t="shared" si="36"/>
        <v>0</v>
      </c>
      <c r="GB10" s="22">
        <f t="shared" si="36"/>
        <v>0</v>
      </c>
      <c r="GC10" s="22">
        <f t="shared" si="36"/>
        <v>0</v>
      </c>
      <c r="GD10" s="22">
        <f t="shared" si="36"/>
        <v>0</v>
      </c>
      <c r="GE10" s="22">
        <f t="shared" si="36"/>
        <v>0</v>
      </c>
      <c r="GF10" s="22">
        <f t="shared" si="36"/>
        <v>0</v>
      </c>
      <c r="GG10" s="22">
        <f t="shared" si="36"/>
        <v>0</v>
      </c>
      <c r="GH10" s="22">
        <f t="shared" si="36"/>
        <v>0</v>
      </c>
      <c r="GI10" s="22">
        <f t="shared" si="36"/>
        <v>0</v>
      </c>
      <c r="GJ10" s="22">
        <f t="shared" si="36"/>
        <v>0</v>
      </c>
      <c r="GK10" s="22">
        <f t="shared" si="36"/>
        <v>0</v>
      </c>
      <c r="GL10" s="22">
        <f t="shared" si="36"/>
        <v>0</v>
      </c>
      <c r="GM10" s="22">
        <f t="shared" si="36"/>
        <v>0</v>
      </c>
      <c r="GN10" s="22">
        <f t="shared" si="36"/>
        <v>0</v>
      </c>
      <c r="GO10" s="22">
        <f t="shared" si="36"/>
        <v>0</v>
      </c>
      <c r="GP10" s="22">
        <f t="shared" si="36"/>
        <v>0</v>
      </c>
      <c r="GQ10" s="22">
        <f t="shared" si="36"/>
        <v>0</v>
      </c>
      <c r="GR10" s="22">
        <f t="shared" si="36"/>
        <v>0</v>
      </c>
      <c r="GS10" s="22">
        <f t="shared" si="36"/>
        <v>0</v>
      </c>
      <c r="GT10" s="22">
        <f t="shared" si="36"/>
        <v>0</v>
      </c>
      <c r="GU10" s="22">
        <f t="shared" si="36"/>
        <v>0</v>
      </c>
      <c r="GV10" s="22">
        <f t="shared" si="36"/>
        <v>0</v>
      </c>
      <c r="GW10" s="22">
        <f t="shared" si="36"/>
        <v>0</v>
      </c>
      <c r="GX10" s="22">
        <f t="shared" si="36"/>
        <v>0</v>
      </c>
      <c r="GY10" s="22">
        <f t="shared" si="36"/>
        <v>0</v>
      </c>
      <c r="GZ10" s="22">
        <f t="shared" si="36"/>
        <v>0</v>
      </c>
      <c r="HA10" s="22">
        <f t="shared" si="36"/>
        <v>0</v>
      </c>
      <c r="HB10" s="22">
        <f t="shared" ref="HB10:IN10" si="37">HB9-GR9</f>
        <v>0</v>
      </c>
      <c r="HC10" s="22">
        <f t="shared" si="37"/>
        <v>0</v>
      </c>
      <c r="HD10" s="22">
        <f t="shared" si="37"/>
        <v>0</v>
      </c>
      <c r="HE10" s="22">
        <f t="shared" si="37"/>
        <v>0</v>
      </c>
      <c r="HF10" s="22">
        <f t="shared" si="37"/>
        <v>0</v>
      </c>
      <c r="HG10" s="22">
        <f t="shared" si="37"/>
        <v>0</v>
      </c>
      <c r="HH10" s="22">
        <f t="shared" si="37"/>
        <v>0</v>
      </c>
      <c r="HI10" s="22">
        <f t="shared" si="37"/>
        <v>0</v>
      </c>
      <c r="HJ10" s="22">
        <f t="shared" si="37"/>
        <v>0</v>
      </c>
      <c r="HK10" s="22">
        <f t="shared" si="37"/>
        <v>0</v>
      </c>
      <c r="HL10" s="22">
        <f t="shared" si="37"/>
        <v>0</v>
      </c>
      <c r="HM10" s="22">
        <f t="shared" si="37"/>
        <v>0</v>
      </c>
      <c r="HN10" s="22">
        <f t="shared" si="37"/>
        <v>0</v>
      </c>
      <c r="HO10" s="22">
        <f t="shared" si="37"/>
        <v>0</v>
      </c>
      <c r="HP10" s="22">
        <f t="shared" si="37"/>
        <v>0</v>
      </c>
      <c r="HQ10" s="22">
        <f t="shared" si="37"/>
        <v>0</v>
      </c>
      <c r="HR10" s="22">
        <f t="shared" si="37"/>
        <v>0</v>
      </c>
      <c r="HS10" s="22">
        <f t="shared" si="37"/>
        <v>0</v>
      </c>
      <c r="HT10" s="22">
        <f t="shared" si="37"/>
        <v>0</v>
      </c>
      <c r="HU10" s="22">
        <f t="shared" si="37"/>
        <v>0</v>
      </c>
      <c r="HV10" s="22">
        <f t="shared" si="37"/>
        <v>0</v>
      </c>
      <c r="HW10" s="22">
        <f t="shared" si="37"/>
        <v>0</v>
      </c>
      <c r="HX10" s="22">
        <f t="shared" si="37"/>
        <v>0</v>
      </c>
      <c r="HY10" s="22">
        <f t="shared" si="37"/>
        <v>0</v>
      </c>
      <c r="HZ10" s="22">
        <f t="shared" si="37"/>
        <v>0</v>
      </c>
      <c r="IA10" s="22">
        <f t="shared" si="37"/>
        <v>0</v>
      </c>
      <c r="IB10" s="22">
        <f t="shared" si="37"/>
        <v>0</v>
      </c>
      <c r="IC10" s="22">
        <f t="shared" si="37"/>
        <v>0</v>
      </c>
      <c r="ID10" s="22">
        <f t="shared" si="37"/>
        <v>0</v>
      </c>
      <c r="IE10" s="22">
        <f t="shared" si="37"/>
        <v>0</v>
      </c>
      <c r="IF10" s="22">
        <f t="shared" si="37"/>
        <v>0</v>
      </c>
      <c r="IG10" s="22">
        <f t="shared" si="37"/>
        <v>0</v>
      </c>
      <c r="IH10" s="22">
        <f t="shared" si="37"/>
        <v>0</v>
      </c>
      <c r="II10" s="22">
        <f t="shared" si="37"/>
        <v>0</v>
      </c>
      <c r="IJ10" s="22">
        <f t="shared" si="37"/>
        <v>0</v>
      </c>
      <c r="IK10" s="22">
        <f t="shared" si="37"/>
        <v>0</v>
      </c>
      <c r="IL10" s="22">
        <f t="shared" si="37"/>
        <v>0</v>
      </c>
      <c r="IM10" s="22">
        <f t="shared" si="37"/>
        <v>0</v>
      </c>
      <c r="IN10" s="22">
        <f t="shared" si="37"/>
        <v>0</v>
      </c>
    </row>
    <row r="11" spans="2:248" x14ac:dyDescent="0.3">
      <c r="B11" s="20" t="s">
        <v>503</v>
      </c>
      <c r="C11" s="26">
        <v>4.7E-2</v>
      </c>
      <c r="E11" s="20">
        <v>0.25</v>
      </c>
      <c r="F11" s="23" t="s">
        <v>625</v>
      </c>
      <c r="G11" s="22">
        <f t="shared" ref="G11:BR11" si="38">IF(IF(AND(ISNA(G$5),ISNA(F$5)),F11*(1+$E11),IF(AND(F$5&gt;0,ISNA(G$5)),F11*(1+$E11),G$5))&gt;$C$17,$C$17,IF(AND(ISNA(G$5),ISNA(F$5)),F11*(1+$E11),IF(AND(F$5&gt;0,ISNA(G$5)),F11*(1+$E11),G$5)))</f>
        <v>130</v>
      </c>
      <c r="H11" s="22">
        <f t="shared" si="38"/>
        <v>159</v>
      </c>
      <c r="I11" s="22">
        <f t="shared" si="38"/>
        <v>196</v>
      </c>
      <c r="J11" s="22">
        <f t="shared" si="38"/>
        <v>262</v>
      </c>
      <c r="K11" s="22">
        <f t="shared" si="38"/>
        <v>482</v>
      </c>
      <c r="L11" s="22">
        <f t="shared" si="38"/>
        <v>670</v>
      </c>
      <c r="M11" s="22">
        <f t="shared" si="38"/>
        <v>799</v>
      </c>
      <c r="N11" s="22">
        <f t="shared" si="38"/>
        <v>1040</v>
      </c>
      <c r="O11" s="22">
        <f t="shared" si="38"/>
        <v>1176</v>
      </c>
      <c r="P11" s="22">
        <f t="shared" si="38"/>
        <v>1457</v>
      </c>
      <c r="Q11" s="22">
        <f t="shared" si="38"/>
        <v>1908</v>
      </c>
      <c r="R11" s="22">
        <f t="shared" si="38"/>
        <v>2078</v>
      </c>
      <c r="S11" s="22">
        <f t="shared" si="38"/>
        <v>3675</v>
      </c>
      <c r="T11" s="22">
        <f t="shared" si="38"/>
        <v>4585</v>
      </c>
      <c r="U11" s="22">
        <f t="shared" si="38"/>
        <v>5795</v>
      </c>
      <c r="V11" s="22">
        <f t="shared" si="38"/>
        <v>7272</v>
      </c>
      <c r="W11" s="22">
        <f t="shared" si="38"/>
        <v>9090</v>
      </c>
      <c r="X11" s="22">
        <f t="shared" si="38"/>
        <v>11362.5</v>
      </c>
      <c r="Y11" s="22">
        <f t="shared" si="38"/>
        <v>14203.125</v>
      </c>
      <c r="Z11" s="22">
        <f t="shared" si="38"/>
        <v>17753.90625</v>
      </c>
      <c r="AA11" s="22">
        <f t="shared" si="38"/>
        <v>22192.3828125</v>
      </c>
      <c r="AB11" s="22">
        <f t="shared" si="38"/>
        <v>27740.478515625</v>
      </c>
      <c r="AC11" s="22">
        <f t="shared" si="38"/>
        <v>34675.59814453125</v>
      </c>
      <c r="AD11" s="22">
        <f t="shared" si="38"/>
        <v>43344.497680664063</v>
      </c>
      <c r="AE11" s="22">
        <f t="shared" si="38"/>
        <v>54180.622100830078</v>
      </c>
      <c r="AF11" s="22">
        <f t="shared" si="38"/>
        <v>67725.777626037598</v>
      </c>
      <c r="AG11" s="22">
        <f t="shared" si="38"/>
        <v>84657.222032546997</v>
      </c>
      <c r="AH11" s="22">
        <f t="shared" si="38"/>
        <v>105821.52754068375</v>
      </c>
      <c r="AI11" s="22">
        <f t="shared" si="38"/>
        <v>132276.90942585468</v>
      </c>
      <c r="AJ11" s="22">
        <f t="shared" si="38"/>
        <v>165346.13678231835</v>
      </c>
      <c r="AK11" s="22">
        <f t="shared" si="38"/>
        <v>206682.67097789794</v>
      </c>
      <c r="AL11" s="22">
        <f t="shared" si="38"/>
        <v>258353.33872237243</v>
      </c>
      <c r="AM11" s="22">
        <f t="shared" si="38"/>
        <v>322941.67340296553</v>
      </c>
      <c r="AN11" s="22">
        <f t="shared" si="38"/>
        <v>403677.09175370692</v>
      </c>
      <c r="AO11" s="22">
        <f t="shared" si="38"/>
        <v>504596.36469213362</v>
      </c>
      <c r="AP11" s="22">
        <f t="shared" si="38"/>
        <v>630745.45586516708</v>
      </c>
      <c r="AQ11" s="22">
        <f t="shared" si="38"/>
        <v>788431.81983145885</v>
      </c>
      <c r="AR11" s="22">
        <f t="shared" si="38"/>
        <v>985539.77478932356</v>
      </c>
      <c r="AS11" s="22">
        <f t="shared" si="38"/>
        <v>1231924.7184866546</v>
      </c>
      <c r="AT11" s="22">
        <f t="shared" si="38"/>
        <v>1539905.8981083182</v>
      </c>
      <c r="AU11" s="22">
        <f t="shared" si="38"/>
        <v>1924882.3726353978</v>
      </c>
      <c r="AV11" s="22">
        <f t="shared" si="38"/>
        <v>2406102.9657942471</v>
      </c>
      <c r="AW11" s="22">
        <f t="shared" si="38"/>
        <v>3007628.7072428088</v>
      </c>
      <c r="AX11" s="22">
        <f t="shared" si="38"/>
        <v>3759535.8840535111</v>
      </c>
      <c r="AY11" s="22">
        <f t="shared" si="38"/>
        <v>4699419.855066889</v>
      </c>
      <c r="AZ11" s="22">
        <f t="shared" si="38"/>
        <v>5874274.818833611</v>
      </c>
      <c r="BA11" s="22">
        <f t="shared" si="38"/>
        <v>7342843.523542014</v>
      </c>
      <c r="BB11" s="22">
        <f t="shared" si="38"/>
        <v>9178554.4044275172</v>
      </c>
      <c r="BC11" s="22">
        <f t="shared" si="38"/>
        <v>11473193.005534396</v>
      </c>
      <c r="BD11" s="22">
        <f t="shared" si="38"/>
        <v>14341491.256917994</v>
      </c>
      <c r="BE11" s="22">
        <f t="shared" si="38"/>
        <v>17926864.071147494</v>
      </c>
      <c r="BF11" s="22">
        <f t="shared" si="38"/>
        <v>22408580.088934369</v>
      </c>
      <c r="BG11" s="22">
        <f t="shared" si="38"/>
        <v>28010725.11116796</v>
      </c>
      <c r="BH11" s="22">
        <f t="shared" si="38"/>
        <v>33513576.800000001</v>
      </c>
      <c r="BI11" s="22">
        <f t="shared" si="38"/>
        <v>33513576.800000001</v>
      </c>
      <c r="BJ11" s="22">
        <f t="shared" si="38"/>
        <v>33513576.800000001</v>
      </c>
      <c r="BK11" s="22">
        <f t="shared" si="38"/>
        <v>33513576.800000001</v>
      </c>
      <c r="BL11" s="22">
        <f t="shared" si="38"/>
        <v>33513576.800000001</v>
      </c>
      <c r="BM11" s="22">
        <f t="shared" si="38"/>
        <v>33513576.800000001</v>
      </c>
      <c r="BN11" s="22">
        <f t="shared" si="38"/>
        <v>33513576.800000001</v>
      </c>
      <c r="BO11" s="22">
        <f t="shared" si="38"/>
        <v>33513576.800000001</v>
      </c>
      <c r="BP11" s="22">
        <f t="shared" si="38"/>
        <v>33513576.800000001</v>
      </c>
      <c r="BQ11" s="22">
        <f t="shared" si="38"/>
        <v>33513576.800000001</v>
      </c>
      <c r="BR11" s="22">
        <f t="shared" si="38"/>
        <v>33513576.800000001</v>
      </c>
      <c r="BS11" s="22">
        <f t="shared" ref="BS11:ED11" si="39">IF(IF(AND(ISNA(BS$5),ISNA(BR$5)),BR11*(1+$E11),IF(AND(BR$5&gt;0,ISNA(BS$5)),BR11*(1+$E11),BS$5))&gt;$C$17,$C$17,IF(AND(ISNA(BS$5),ISNA(BR$5)),BR11*(1+$E11),IF(AND(BR$5&gt;0,ISNA(BS$5)),BR11*(1+$E11),BS$5)))</f>
        <v>33513576.800000001</v>
      </c>
      <c r="BT11" s="22">
        <f t="shared" si="39"/>
        <v>33513576.800000001</v>
      </c>
      <c r="BU11" s="22">
        <f t="shared" si="39"/>
        <v>33513576.800000001</v>
      </c>
      <c r="BV11" s="22">
        <f t="shared" si="39"/>
        <v>33513576.800000001</v>
      </c>
      <c r="BW11" s="22">
        <f t="shared" si="39"/>
        <v>33513576.800000001</v>
      </c>
      <c r="BX11" s="22">
        <f t="shared" si="39"/>
        <v>33513576.800000001</v>
      </c>
      <c r="BY11" s="22">
        <f t="shared" si="39"/>
        <v>33513576.800000001</v>
      </c>
      <c r="BZ11" s="22">
        <f t="shared" si="39"/>
        <v>33513576.800000001</v>
      </c>
      <c r="CA11" s="22">
        <f t="shared" si="39"/>
        <v>33513576.800000001</v>
      </c>
      <c r="CB11" s="22">
        <f t="shared" si="39"/>
        <v>33513576.800000001</v>
      </c>
      <c r="CC11" s="22">
        <f t="shared" si="39"/>
        <v>33513576.800000001</v>
      </c>
      <c r="CD11" s="22">
        <f t="shared" si="39"/>
        <v>33513576.800000001</v>
      </c>
      <c r="CE11" s="22">
        <f t="shared" si="39"/>
        <v>33513576.800000001</v>
      </c>
      <c r="CF11" s="22">
        <f t="shared" si="39"/>
        <v>33513576.800000001</v>
      </c>
      <c r="CG11" s="22">
        <f t="shared" si="39"/>
        <v>33513576.800000001</v>
      </c>
      <c r="CH11" s="22">
        <f t="shared" si="39"/>
        <v>33513576.800000001</v>
      </c>
      <c r="CI11" s="22">
        <f t="shared" si="39"/>
        <v>33513576.800000001</v>
      </c>
      <c r="CJ11" s="22">
        <f t="shared" si="39"/>
        <v>33513576.800000001</v>
      </c>
      <c r="CK11" s="22">
        <f t="shared" si="39"/>
        <v>33513576.800000001</v>
      </c>
      <c r="CL11" s="22">
        <f t="shared" si="39"/>
        <v>33513576.800000001</v>
      </c>
      <c r="CM11" s="22">
        <f t="shared" si="39"/>
        <v>33513576.800000001</v>
      </c>
      <c r="CN11" s="22">
        <f t="shared" si="39"/>
        <v>33513576.800000001</v>
      </c>
      <c r="CO11" s="22">
        <f t="shared" si="39"/>
        <v>33513576.800000001</v>
      </c>
      <c r="CP11" s="22">
        <f t="shared" si="39"/>
        <v>33513576.800000001</v>
      </c>
      <c r="CQ11" s="22">
        <f t="shared" si="39"/>
        <v>33513576.800000001</v>
      </c>
      <c r="CR11" s="22">
        <f t="shared" si="39"/>
        <v>33513576.800000001</v>
      </c>
      <c r="CS11" s="22">
        <f t="shared" si="39"/>
        <v>33513576.800000001</v>
      </c>
      <c r="CT11" s="22">
        <f t="shared" si="39"/>
        <v>33513576.800000001</v>
      </c>
      <c r="CU11" s="22">
        <f t="shared" si="39"/>
        <v>33513576.800000001</v>
      </c>
      <c r="CV11" s="22">
        <f t="shared" si="39"/>
        <v>33513576.800000001</v>
      </c>
      <c r="CW11" s="22">
        <f t="shared" si="39"/>
        <v>33513576.800000001</v>
      </c>
      <c r="CX11" s="22">
        <f t="shared" si="39"/>
        <v>33513576.800000001</v>
      </c>
      <c r="CY11" s="22">
        <f t="shared" si="39"/>
        <v>33513576.800000001</v>
      </c>
      <c r="CZ11" s="22">
        <f t="shared" si="39"/>
        <v>33513576.800000001</v>
      </c>
      <c r="DA11" s="22">
        <f t="shared" si="39"/>
        <v>33513576.800000001</v>
      </c>
      <c r="DB11" s="22">
        <f t="shared" si="39"/>
        <v>33513576.800000001</v>
      </c>
      <c r="DC11" s="22">
        <f t="shared" si="39"/>
        <v>33513576.800000001</v>
      </c>
      <c r="DD11" s="22">
        <f t="shared" si="39"/>
        <v>33513576.800000001</v>
      </c>
      <c r="DE11" s="22">
        <f t="shared" si="39"/>
        <v>33513576.800000001</v>
      </c>
      <c r="DF11" s="22">
        <f t="shared" si="39"/>
        <v>33513576.800000001</v>
      </c>
      <c r="DG11" s="22">
        <f t="shared" si="39"/>
        <v>33513576.800000001</v>
      </c>
      <c r="DH11" s="22">
        <f t="shared" si="39"/>
        <v>33513576.800000001</v>
      </c>
      <c r="DI11" s="22">
        <f t="shared" si="39"/>
        <v>33513576.800000001</v>
      </c>
      <c r="DJ11" s="22">
        <f t="shared" si="39"/>
        <v>33513576.800000001</v>
      </c>
      <c r="DK11" s="22">
        <f t="shared" si="39"/>
        <v>33513576.800000001</v>
      </c>
      <c r="DL11" s="22">
        <f t="shared" si="39"/>
        <v>33513576.800000001</v>
      </c>
      <c r="DM11" s="22">
        <f t="shared" si="39"/>
        <v>33513576.800000001</v>
      </c>
      <c r="DN11" s="22">
        <f t="shared" si="39"/>
        <v>33513576.800000001</v>
      </c>
      <c r="DO11" s="22">
        <f t="shared" si="39"/>
        <v>33513576.800000001</v>
      </c>
      <c r="DP11" s="22">
        <f t="shared" si="39"/>
        <v>33513576.800000001</v>
      </c>
      <c r="DQ11" s="22">
        <f t="shared" si="39"/>
        <v>33513576.800000001</v>
      </c>
      <c r="DR11" s="22">
        <f t="shared" si="39"/>
        <v>33513576.800000001</v>
      </c>
      <c r="DS11" s="22">
        <f t="shared" si="39"/>
        <v>33513576.800000001</v>
      </c>
      <c r="DT11" s="22">
        <f t="shared" si="39"/>
        <v>33513576.800000001</v>
      </c>
      <c r="DU11" s="22">
        <f t="shared" si="39"/>
        <v>33513576.800000001</v>
      </c>
      <c r="DV11" s="22">
        <f t="shared" si="39"/>
        <v>33513576.800000001</v>
      </c>
      <c r="DW11" s="22">
        <f t="shared" si="39"/>
        <v>33513576.800000001</v>
      </c>
      <c r="DX11" s="22">
        <f t="shared" si="39"/>
        <v>33513576.800000001</v>
      </c>
      <c r="DY11" s="22">
        <f t="shared" si="39"/>
        <v>33513576.800000001</v>
      </c>
      <c r="DZ11" s="22">
        <f t="shared" si="39"/>
        <v>33513576.800000001</v>
      </c>
      <c r="EA11" s="22">
        <f t="shared" si="39"/>
        <v>33513576.800000001</v>
      </c>
      <c r="EB11" s="22">
        <f t="shared" si="39"/>
        <v>33513576.800000001</v>
      </c>
      <c r="EC11" s="22">
        <f t="shared" si="39"/>
        <v>33513576.800000001</v>
      </c>
      <c r="ED11" s="22">
        <f t="shared" si="39"/>
        <v>33513576.800000001</v>
      </c>
      <c r="EE11" s="22">
        <f t="shared" ref="EE11:GP11" si="40">IF(IF(AND(ISNA(EE$5),ISNA(ED$5)),ED11*(1+$E11),IF(AND(ED$5&gt;0,ISNA(EE$5)),ED11*(1+$E11),EE$5))&gt;$C$17,$C$17,IF(AND(ISNA(EE$5),ISNA(ED$5)),ED11*(1+$E11),IF(AND(ED$5&gt;0,ISNA(EE$5)),ED11*(1+$E11),EE$5)))</f>
        <v>33513576.800000001</v>
      </c>
      <c r="EF11" s="22">
        <f t="shared" si="40"/>
        <v>33513576.800000001</v>
      </c>
      <c r="EG11" s="22">
        <f t="shared" si="40"/>
        <v>33513576.800000001</v>
      </c>
      <c r="EH11" s="22">
        <f t="shared" si="40"/>
        <v>33513576.800000001</v>
      </c>
      <c r="EI11" s="22">
        <f t="shared" si="40"/>
        <v>33513576.800000001</v>
      </c>
      <c r="EJ11" s="22">
        <f t="shared" si="40"/>
        <v>33513576.800000001</v>
      </c>
      <c r="EK11" s="22">
        <f t="shared" si="40"/>
        <v>33513576.800000001</v>
      </c>
      <c r="EL11" s="22">
        <f t="shared" si="40"/>
        <v>33513576.800000001</v>
      </c>
      <c r="EM11" s="22">
        <f t="shared" si="40"/>
        <v>33513576.800000001</v>
      </c>
      <c r="EN11" s="22">
        <f t="shared" si="40"/>
        <v>33513576.800000001</v>
      </c>
      <c r="EO11" s="22">
        <f t="shared" si="40"/>
        <v>33513576.800000001</v>
      </c>
      <c r="EP11" s="22">
        <f t="shared" si="40"/>
        <v>33513576.800000001</v>
      </c>
      <c r="EQ11" s="22">
        <f t="shared" si="40"/>
        <v>33513576.800000001</v>
      </c>
      <c r="ER11" s="22">
        <f t="shared" si="40"/>
        <v>33513576.800000001</v>
      </c>
      <c r="ES11" s="22">
        <f t="shared" si="40"/>
        <v>33513576.800000001</v>
      </c>
      <c r="ET11" s="22">
        <f t="shared" si="40"/>
        <v>33513576.800000001</v>
      </c>
      <c r="EU11" s="22">
        <f t="shared" si="40"/>
        <v>33513576.800000001</v>
      </c>
      <c r="EV11" s="22">
        <f t="shared" si="40"/>
        <v>33513576.800000001</v>
      </c>
      <c r="EW11" s="22">
        <f t="shared" si="40"/>
        <v>33513576.800000001</v>
      </c>
      <c r="EX11" s="22">
        <f t="shared" si="40"/>
        <v>33513576.800000001</v>
      </c>
      <c r="EY11" s="22">
        <f t="shared" si="40"/>
        <v>33513576.800000001</v>
      </c>
      <c r="EZ11" s="22">
        <f t="shared" si="40"/>
        <v>33513576.800000001</v>
      </c>
      <c r="FA11" s="22">
        <f t="shared" si="40"/>
        <v>33513576.800000001</v>
      </c>
      <c r="FB11" s="22">
        <f t="shared" si="40"/>
        <v>33513576.800000001</v>
      </c>
      <c r="FC11" s="22">
        <f t="shared" si="40"/>
        <v>33513576.800000001</v>
      </c>
      <c r="FD11" s="22">
        <f t="shared" si="40"/>
        <v>33513576.800000001</v>
      </c>
      <c r="FE11" s="22">
        <f t="shared" si="40"/>
        <v>33513576.800000001</v>
      </c>
      <c r="FF11" s="22">
        <f t="shared" si="40"/>
        <v>33513576.800000001</v>
      </c>
      <c r="FG11" s="22">
        <f t="shared" si="40"/>
        <v>33513576.800000001</v>
      </c>
      <c r="FH11" s="22">
        <f t="shared" si="40"/>
        <v>33513576.800000001</v>
      </c>
      <c r="FI11" s="22">
        <f t="shared" si="40"/>
        <v>33513576.800000001</v>
      </c>
      <c r="FJ11" s="22">
        <f t="shared" si="40"/>
        <v>33513576.800000001</v>
      </c>
      <c r="FK11" s="22">
        <f t="shared" si="40"/>
        <v>33513576.800000001</v>
      </c>
      <c r="FL11" s="22">
        <f t="shared" si="40"/>
        <v>33513576.800000001</v>
      </c>
      <c r="FM11" s="22">
        <f t="shared" si="40"/>
        <v>33513576.800000001</v>
      </c>
      <c r="FN11" s="22">
        <f t="shared" si="40"/>
        <v>33513576.800000001</v>
      </c>
      <c r="FO11" s="22">
        <f t="shared" si="40"/>
        <v>33513576.800000001</v>
      </c>
      <c r="FP11" s="22">
        <f t="shared" si="40"/>
        <v>33513576.800000001</v>
      </c>
      <c r="FQ11" s="22">
        <f t="shared" si="40"/>
        <v>33513576.800000001</v>
      </c>
      <c r="FR11" s="22">
        <f t="shared" si="40"/>
        <v>33513576.800000001</v>
      </c>
      <c r="FS11" s="22">
        <f t="shared" si="40"/>
        <v>33513576.800000001</v>
      </c>
      <c r="FT11" s="22">
        <f t="shared" si="40"/>
        <v>33513576.800000001</v>
      </c>
      <c r="FU11" s="22">
        <f t="shared" si="40"/>
        <v>33513576.800000001</v>
      </c>
      <c r="FV11" s="22">
        <f t="shared" si="40"/>
        <v>33513576.800000001</v>
      </c>
      <c r="FW11" s="22">
        <f t="shared" si="40"/>
        <v>33513576.800000001</v>
      </c>
      <c r="FX11" s="22">
        <f t="shared" si="40"/>
        <v>33513576.800000001</v>
      </c>
      <c r="FY11" s="22">
        <f t="shared" si="40"/>
        <v>33513576.800000001</v>
      </c>
      <c r="FZ11" s="22">
        <f t="shared" si="40"/>
        <v>33513576.800000001</v>
      </c>
      <c r="GA11" s="22">
        <f t="shared" si="40"/>
        <v>33513576.800000001</v>
      </c>
      <c r="GB11" s="22">
        <f t="shared" si="40"/>
        <v>33513576.800000001</v>
      </c>
      <c r="GC11" s="22">
        <f t="shared" si="40"/>
        <v>33513576.800000001</v>
      </c>
      <c r="GD11" s="22">
        <f t="shared" si="40"/>
        <v>33513576.800000001</v>
      </c>
      <c r="GE11" s="22">
        <f t="shared" si="40"/>
        <v>33513576.800000001</v>
      </c>
      <c r="GF11" s="22">
        <f t="shared" si="40"/>
        <v>33513576.800000001</v>
      </c>
      <c r="GG11" s="22">
        <f t="shared" si="40"/>
        <v>33513576.800000001</v>
      </c>
      <c r="GH11" s="22">
        <f t="shared" si="40"/>
        <v>33513576.800000001</v>
      </c>
      <c r="GI11" s="22">
        <f t="shared" si="40"/>
        <v>33513576.800000001</v>
      </c>
      <c r="GJ11" s="22">
        <f t="shared" si="40"/>
        <v>33513576.800000001</v>
      </c>
      <c r="GK11" s="22">
        <f t="shared" si="40"/>
        <v>33513576.800000001</v>
      </c>
      <c r="GL11" s="22">
        <f t="shared" si="40"/>
        <v>33513576.800000001</v>
      </c>
      <c r="GM11" s="22">
        <f t="shared" si="40"/>
        <v>33513576.800000001</v>
      </c>
      <c r="GN11" s="22">
        <f t="shared" si="40"/>
        <v>33513576.800000001</v>
      </c>
      <c r="GO11" s="22">
        <f t="shared" si="40"/>
        <v>33513576.800000001</v>
      </c>
      <c r="GP11" s="22">
        <f t="shared" si="40"/>
        <v>33513576.800000001</v>
      </c>
      <c r="GQ11" s="22">
        <f t="shared" ref="GQ11:IN11" si="41">IF(IF(AND(ISNA(GQ$5),ISNA(GP$5)),GP11*(1+$E11),IF(AND(GP$5&gt;0,ISNA(GQ$5)),GP11*(1+$E11),GQ$5))&gt;$C$17,$C$17,IF(AND(ISNA(GQ$5),ISNA(GP$5)),GP11*(1+$E11),IF(AND(GP$5&gt;0,ISNA(GQ$5)),GP11*(1+$E11),GQ$5)))</f>
        <v>33513576.800000001</v>
      </c>
      <c r="GR11" s="22">
        <f t="shared" si="41"/>
        <v>33513576.800000001</v>
      </c>
      <c r="GS11" s="22">
        <f t="shared" si="41"/>
        <v>33513576.800000001</v>
      </c>
      <c r="GT11" s="22">
        <f t="shared" si="41"/>
        <v>33513576.800000001</v>
      </c>
      <c r="GU11" s="22">
        <f t="shared" si="41"/>
        <v>33513576.800000001</v>
      </c>
      <c r="GV11" s="22">
        <f t="shared" si="41"/>
        <v>33513576.800000001</v>
      </c>
      <c r="GW11" s="22">
        <f t="shared" si="41"/>
        <v>33513576.800000001</v>
      </c>
      <c r="GX11" s="22">
        <f t="shared" si="41"/>
        <v>33513576.800000001</v>
      </c>
      <c r="GY11" s="22">
        <f t="shared" si="41"/>
        <v>33513576.800000001</v>
      </c>
      <c r="GZ11" s="22">
        <f t="shared" si="41"/>
        <v>33513576.800000001</v>
      </c>
      <c r="HA11" s="22">
        <f t="shared" si="41"/>
        <v>33513576.800000001</v>
      </c>
      <c r="HB11" s="22">
        <f t="shared" si="41"/>
        <v>33513576.800000001</v>
      </c>
      <c r="HC11" s="22">
        <f t="shared" si="41"/>
        <v>33513576.800000001</v>
      </c>
      <c r="HD11" s="22">
        <f t="shared" si="41"/>
        <v>33513576.800000001</v>
      </c>
      <c r="HE11" s="22">
        <f t="shared" si="41"/>
        <v>33513576.800000001</v>
      </c>
      <c r="HF11" s="22">
        <f t="shared" si="41"/>
        <v>33513576.800000001</v>
      </c>
      <c r="HG11" s="22">
        <f t="shared" si="41"/>
        <v>33513576.800000001</v>
      </c>
      <c r="HH11" s="22">
        <f t="shared" si="41"/>
        <v>33513576.800000001</v>
      </c>
      <c r="HI11" s="22">
        <f t="shared" si="41"/>
        <v>33513576.800000001</v>
      </c>
      <c r="HJ11" s="22">
        <f t="shared" si="41"/>
        <v>33513576.800000001</v>
      </c>
      <c r="HK11" s="22">
        <f t="shared" si="41"/>
        <v>33513576.800000001</v>
      </c>
      <c r="HL11" s="22">
        <f t="shared" si="41"/>
        <v>33513576.800000001</v>
      </c>
      <c r="HM11" s="22">
        <f t="shared" si="41"/>
        <v>33513576.800000001</v>
      </c>
      <c r="HN11" s="22">
        <f t="shared" si="41"/>
        <v>33513576.800000001</v>
      </c>
      <c r="HO11" s="22">
        <f t="shared" si="41"/>
        <v>33513576.800000001</v>
      </c>
      <c r="HP11" s="22">
        <f t="shared" si="41"/>
        <v>33513576.800000001</v>
      </c>
      <c r="HQ11" s="22">
        <f t="shared" si="41"/>
        <v>33513576.800000001</v>
      </c>
      <c r="HR11" s="22">
        <f t="shared" si="41"/>
        <v>33513576.800000001</v>
      </c>
      <c r="HS11" s="22">
        <f t="shared" si="41"/>
        <v>33513576.800000001</v>
      </c>
      <c r="HT11" s="22">
        <f t="shared" si="41"/>
        <v>33513576.800000001</v>
      </c>
      <c r="HU11" s="22">
        <f t="shared" si="41"/>
        <v>33513576.800000001</v>
      </c>
      <c r="HV11" s="22">
        <f t="shared" si="41"/>
        <v>33513576.800000001</v>
      </c>
      <c r="HW11" s="22">
        <f t="shared" si="41"/>
        <v>33513576.800000001</v>
      </c>
      <c r="HX11" s="22">
        <f t="shared" si="41"/>
        <v>33513576.800000001</v>
      </c>
      <c r="HY11" s="22">
        <f t="shared" si="41"/>
        <v>33513576.800000001</v>
      </c>
      <c r="HZ11" s="22">
        <f t="shared" si="41"/>
        <v>33513576.800000001</v>
      </c>
      <c r="IA11" s="22">
        <f t="shared" si="41"/>
        <v>33513576.800000001</v>
      </c>
      <c r="IB11" s="22">
        <f t="shared" si="41"/>
        <v>33513576.800000001</v>
      </c>
      <c r="IC11" s="22">
        <f t="shared" si="41"/>
        <v>33513576.800000001</v>
      </c>
      <c r="ID11" s="22">
        <f t="shared" si="41"/>
        <v>33513576.800000001</v>
      </c>
      <c r="IE11" s="22">
        <f t="shared" si="41"/>
        <v>33513576.800000001</v>
      </c>
      <c r="IF11" s="22">
        <f t="shared" si="41"/>
        <v>33513576.800000001</v>
      </c>
      <c r="IG11" s="22">
        <f t="shared" si="41"/>
        <v>33513576.800000001</v>
      </c>
      <c r="IH11" s="22">
        <f t="shared" si="41"/>
        <v>33513576.800000001</v>
      </c>
      <c r="II11" s="22">
        <f t="shared" si="41"/>
        <v>33513576.800000001</v>
      </c>
      <c r="IJ11" s="22">
        <f t="shared" si="41"/>
        <v>33513576.800000001</v>
      </c>
      <c r="IK11" s="22">
        <f t="shared" si="41"/>
        <v>33513576.800000001</v>
      </c>
      <c r="IL11" s="22">
        <f t="shared" si="41"/>
        <v>33513576.800000001</v>
      </c>
      <c r="IM11" s="22">
        <f t="shared" si="41"/>
        <v>33513576.800000001</v>
      </c>
      <c r="IN11" s="22">
        <f t="shared" si="41"/>
        <v>33513576.800000001</v>
      </c>
    </row>
    <row r="12" spans="2:248" x14ac:dyDescent="0.3">
      <c r="B12" s="20" t="s">
        <v>501</v>
      </c>
      <c r="C12" s="22">
        <f>VLOOKUP(B2,H29:O126,8,FALSE)</f>
        <v>24464.911064</v>
      </c>
      <c r="F12" s="20" t="s">
        <v>618</v>
      </c>
      <c r="G12" s="22">
        <f t="shared" ref="G12:P12" si="42">G11</f>
        <v>130</v>
      </c>
      <c r="H12" s="22">
        <f t="shared" si="42"/>
        <v>159</v>
      </c>
      <c r="I12" s="22">
        <f t="shared" si="42"/>
        <v>196</v>
      </c>
      <c r="J12" s="22">
        <f t="shared" si="42"/>
        <v>262</v>
      </c>
      <c r="K12" s="22">
        <f t="shared" si="42"/>
        <v>482</v>
      </c>
      <c r="L12" s="22">
        <f t="shared" si="42"/>
        <v>670</v>
      </c>
      <c r="M12" s="22">
        <f t="shared" si="42"/>
        <v>799</v>
      </c>
      <c r="N12" s="22">
        <f t="shared" si="42"/>
        <v>1040</v>
      </c>
      <c r="O12" s="22">
        <f t="shared" si="42"/>
        <v>1176</v>
      </c>
      <c r="P12" s="22">
        <f t="shared" si="42"/>
        <v>1457</v>
      </c>
      <c r="Q12" s="22">
        <f t="shared" ref="Q12:CB12" si="43">Q11-G11</f>
        <v>1778</v>
      </c>
      <c r="R12" s="22">
        <f t="shared" si="43"/>
        <v>1919</v>
      </c>
      <c r="S12" s="22">
        <f t="shared" si="43"/>
        <v>3479</v>
      </c>
      <c r="T12" s="22">
        <f t="shared" si="43"/>
        <v>4323</v>
      </c>
      <c r="U12" s="22">
        <f t="shared" si="43"/>
        <v>5313</v>
      </c>
      <c r="V12" s="22">
        <f t="shared" si="43"/>
        <v>6602</v>
      </c>
      <c r="W12" s="22">
        <f t="shared" si="43"/>
        <v>8291</v>
      </c>
      <c r="X12" s="22">
        <f t="shared" si="43"/>
        <v>10322.5</v>
      </c>
      <c r="Y12" s="22">
        <f t="shared" si="43"/>
        <v>13027.125</v>
      </c>
      <c r="Z12" s="22">
        <f t="shared" si="43"/>
        <v>16296.90625</v>
      </c>
      <c r="AA12" s="22">
        <f t="shared" si="43"/>
        <v>20284.3828125</v>
      </c>
      <c r="AB12" s="22">
        <f t="shared" si="43"/>
        <v>25662.478515625</v>
      </c>
      <c r="AC12" s="22">
        <f t="shared" si="43"/>
        <v>31000.59814453125</v>
      </c>
      <c r="AD12" s="22">
        <f t="shared" si="43"/>
        <v>38759.497680664063</v>
      </c>
      <c r="AE12" s="22">
        <f t="shared" si="43"/>
        <v>48385.622100830078</v>
      </c>
      <c r="AF12" s="22">
        <f t="shared" si="43"/>
        <v>60453.777626037598</v>
      </c>
      <c r="AG12" s="22">
        <f t="shared" si="43"/>
        <v>75567.222032546997</v>
      </c>
      <c r="AH12" s="22">
        <f t="shared" si="43"/>
        <v>94459.027540683746</v>
      </c>
      <c r="AI12" s="22">
        <f t="shared" si="43"/>
        <v>118073.78442585468</v>
      </c>
      <c r="AJ12" s="22">
        <f t="shared" si="43"/>
        <v>147592.23053231835</v>
      </c>
      <c r="AK12" s="22">
        <f t="shared" si="43"/>
        <v>184490.28816539794</v>
      </c>
      <c r="AL12" s="22">
        <f t="shared" si="43"/>
        <v>230612.86020674743</v>
      </c>
      <c r="AM12" s="22">
        <f t="shared" si="43"/>
        <v>288266.07525843428</v>
      </c>
      <c r="AN12" s="22">
        <f t="shared" si="43"/>
        <v>360332.59407304286</v>
      </c>
      <c r="AO12" s="22">
        <f t="shared" si="43"/>
        <v>450415.74259130354</v>
      </c>
      <c r="AP12" s="22">
        <f t="shared" si="43"/>
        <v>563019.67823912948</v>
      </c>
      <c r="AQ12" s="22">
        <f t="shared" si="43"/>
        <v>703774.59779891185</v>
      </c>
      <c r="AR12" s="22">
        <f t="shared" si="43"/>
        <v>879718.24724863982</v>
      </c>
      <c r="AS12" s="22">
        <f t="shared" si="43"/>
        <v>1099647.8090607999</v>
      </c>
      <c r="AT12" s="22">
        <f t="shared" si="43"/>
        <v>1374559.7613259999</v>
      </c>
      <c r="AU12" s="22">
        <f t="shared" si="43"/>
        <v>1718199.7016574999</v>
      </c>
      <c r="AV12" s="22">
        <f t="shared" si="43"/>
        <v>2147749.6270718747</v>
      </c>
      <c r="AW12" s="22">
        <f t="shared" si="43"/>
        <v>2684687.0338398432</v>
      </c>
      <c r="AX12" s="22">
        <f t="shared" si="43"/>
        <v>3355858.7922998043</v>
      </c>
      <c r="AY12" s="22">
        <f t="shared" si="43"/>
        <v>4194823.4903747551</v>
      </c>
      <c r="AZ12" s="22">
        <f t="shared" si="43"/>
        <v>5243529.3629684439</v>
      </c>
      <c r="BA12" s="22">
        <f t="shared" si="43"/>
        <v>6554411.7037105551</v>
      </c>
      <c r="BB12" s="22">
        <f t="shared" si="43"/>
        <v>8193014.6296381932</v>
      </c>
      <c r="BC12" s="22">
        <f t="shared" si="43"/>
        <v>10241268.28704774</v>
      </c>
      <c r="BD12" s="22">
        <f t="shared" si="43"/>
        <v>12801585.358809676</v>
      </c>
      <c r="BE12" s="22">
        <f t="shared" si="43"/>
        <v>16001981.698512096</v>
      </c>
      <c r="BF12" s="22">
        <f t="shared" si="43"/>
        <v>20002477.123140123</v>
      </c>
      <c r="BG12" s="22">
        <f t="shared" si="43"/>
        <v>25003096.403925151</v>
      </c>
      <c r="BH12" s="22">
        <f t="shared" si="43"/>
        <v>29754040.915946491</v>
      </c>
      <c r="BI12" s="22">
        <f t="shared" si="43"/>
        <v>28814156.944933113</v>
      </c>
      <c r="BJ12" s="22">
        <f t="shared" si="43"/>
        <v>27639301.981166389</v>
      </c>
      <c r="BK12" s="22">
        <f t="shared" si="43"/>
        <v>26170733.276457988</v>
      </c>
      <c r="BL12" s="22">
        <f t="shared" si="43"/>
        <v>24335022.395572484</v>
      </c>
      <c r="BM12" s="22">
        <f t="shared" si="43"/>
        <v>22040383.794465605</v>
      </c>
      <c r="BN12" s="22">
        <f t="shared" si="43"/>
        <v>19172085.543082006</v>
      </c>
      <c r="BO12" s="22">
        <f t="shared" si="43"/>
        <v>15586712.728852507</v>
      </c>
      <c r="BP12" s="22">
        <f t="shared" si="43"/>
        <v>11104996.711065631</v>
      </c>
      <c r="BQ12" s="22">
        <f t="shared" si="43"/>
        <v>5502851.6888320409</v>
      </c>
      <c r="BR12" s="22">
        <f t="shared" si="43"/>
        <v>0</v>
      </c>
      <c r="BS12" s="22">
        <f t="shared" si="43"/>
        <v>0</v>
      </c>
      <c r="BT12" s="22">
        <f t="shared" si="43"/>
        <v>0</v>
      </c>
      <c r="BU12" s="22">
        <f t="shared" si="43"/>
        <v>0</v>
      </c>
      <c r="BV12" s="22">
        <f t="shared" si="43"/>
        <v>0</v>
      </c>
      <c r="BW12" s="22">
        <f t="shared" si="43"/>
        <v>0</v>
      </c>
      <c r="BX12" s="22">
        <f t="shared" si="43"/>
        <v>0</v>
      </c>
      <c r="BY12" s="22">
        <f t="shared" si="43"/>
        <v>0</v>
      </c>
      <c r="BZ12" s="22">
        <f t="shared" si="43"/>
        <v>0</v>
      </c>
      <c r="CA12" s="22">
        <f t="shared" si="43"/>
        <v>0</v>
      </c>
      <c r="CB12" s="22">
        <f t="shared" si="43"/>
        <v>0</v>
      </c>
      <c r="CC12" s="22">
        <f t="shared" ref="CC12:EN12" si="44">CC11-BS11</f>
        <v>0</v>
      </c>
      <c r="CD12" s="22">
        <f t="shared" si="44"/>
        <v>0</v>
      </c>
      <c r="CE12" s="22">
        <f t="shared" si="44"/>
        <v>0</v>
      </c>
      <c r="CF12" s="22">
        <f t="shared" si="44"/>
        <v>0</v>
      </c>
      <c r="CG12" s="22">
        <f t="shared" si="44"/>
        <v>0</v>
      </c>
      <c r="CH12" s="22">
        <f t="shared" si="44"/>
        <v>0</v>
      </c>
      <c r="CI12" s="22">
        <f t="shared" si="44"/>
        <v>0</v>
      </c>
      <c r="CJ12" s="22">
        <f t="shared" si="44"/>
        <v>0</v>
      </c>
      <c r="CK12" s="22">
        <f t="shared" si="44"/>
        <v>0</v>
      </c>
      <c r="CL12" s="22">
        <f t="shared" si="44"/>
        <v>0</v>
      </c>
      <c r="CM12" s="22">
        <f t="shared" si="44"/>
        <v>0</v>
      </c>
      <c r="CN12" s="22">
        <f t="shared" si="44"/>
        <v>0</v>
      </c>
      <c r="CO12" s="22">
        <f t="shared" si="44"/>
        <v>0</v>
      </c>
      <c r="CP12" s="22">
        <f t="shared" si="44"/>
        <v>0</v>
      </c>
      <c r="CQ12" s="22">
        <f t="shared" si="44"/>
        <v>0</v>
      </c>
      <c r="CR12" s="22">
        <f t="shared" si="44"/>
        <v>0</v>
      </c>
      <c r="CS12" s="22">
        <f t="shared" si="44"/>
        <v>0</v>
      </c>
      <c r="CT12" s="22">
        <f t="shared" si="44"/>
        <v>0</v>
      </c>
      <c r="CU12" s="22">
        <f t="shared" si="44"/>
        <v>0</v>
      </c>
      <c r="CV12" s="22">
        <f t="shared" si="44"/>
        <v>0</v>
      </c>
      <c r="CW12" s="22">
        <f t="shared" si="44"/>
        <v>0</v>
      </c>
      <c r="CX12" s="22">
        <f t="shared" si="44"/>
        <v>0</v>
      </c>
      <c r="CY12" s="22">
        <f t="shared" si="44"/>
        <v>0</v>
      </c>
      <c r="CZ12" s="22">
        <f t="shared" si="44"/>
        <v>0</v>
      </c>
      <c r="DA12" s="22">
        <f t="shared" si="44"/>
        <v>0</v>
      </c>
      <c r="DB12" s="22">
        <f t="shared" si="44"/>
        <v>0</v>
      </c>
      <c r="DC12" s="22">
        <f t="shared" si="44"/>
        <v>0</v>
      </c>
      <c r="DD12" s="22">
        <f t="shared" si="44"/>
        <v>0</v>
      </c>
      <c r="DE12" s="22">
        <f t="shared" si="44"/>
        <v>0</v>
      </c>
      <c r="DF12" s="22">
        <f t="shared" si="44"/>
        <v>0</v>
      </c>
      <c r="DG12" s="22">
        <f t="shared" si="44"/>
        <v>0</v>
      </c>
      <c r="DH12" s="22">
        <f t="shared" si="44"/>
        <v>0</v>
      </c>
      <c r="DI12" s="22">
        <f t="shared" si="44"/>
        <v>0</v>
      </c>
      <c r="DJ12" s="22">
        <f t="shared" si="44"/>
        <v>0</v>
      </c>
      <c r="DK12" s="22">
        <f t="shared" si="44"/>
        <v>0</v>
      </c>
      <c r="DL12" s="22">
        <f t="shared" si="44"/>
        <v>0</v>
      </c>
      <c r="DM12" s="22">
        <f t="shared" si="44"/>
        <v>0</v>
      </c>
      <c r="DN12" s="22">
        <f t="shared" si="44"/>
        <v>0</v>
      </c>
      <c r="DO12" s="22">
        <f t="shared" si="44"/>
        <v>0</v>
      </c>
      <c r="DP12" s="22">
        <f t="shared" si="44"/>
        <v>0</v>
      </c>
      <c r="DQ12" s="22">
        <f t="shared" si="44"/>
        <v>0</v>
      </c>
      <c r="DR12" s="22">
        <f t="shared" si="44"/>
        <v>0</v>
      </c>
      <c r="DS12" s="22">
        <f t="shared" si="44"/>
        <v>0</v>
      </c>
      <c r="DT12" s="22">
        <f t="shared" si="44"/>
        <v>0</v>
      </c>
      <c r="DU12" s="22">
        <f t="shared" si="44"/>
        <v>0</v>
      </c>
      <c r="DV12" s="22">
        <f t="shared" si="44"/>
        <v>0</v>
      </c>
      <c r="DW12" s="22">
        <f t="shared" si="44"/>
        <v>0</v>
      </c>
      <c r="DX12" s="22">
        <f t="shared" si="44"/>
        <v>0</v>
      </c>
      <c r="DY12" s="22">
        <f t="shared" si="44"/>
        <v>0</v>
      </c>
      <c r="DZ12" s="22">
        <f t="shared" si="44"/>
        <v>0</v>
      </c>
      <c r="EA12" s="22">
        <f t="shared" si="44"/>
        <v>0</v>
      </c>
      <c r="EB12" s="22">
        <f t="shared" si="44"/>
        <v>0</v>
      </c>
      <c r="EC12" s="22">
        <f t="shared" si="44"/>
        <v>0</v>
      </c>
      <c r="ED12" s="22">
        <f t="shared" si="44"/>
        <v>0</v>
      </c>
      <c r="EE12" s="22">
        <f t="shared" si="44"/>
        <v>0</v>
      </c>
      <c r="EF12" s="22">
        <f t="shared" si="44"/>
        <v>0</v>
      </c>
      <c r="EG12" s="22">
        <f t="shared" si="44"/>
        <v>0</v>
      </c>
      <c r="EH12" s="22">
        <f t="shared" si="44"/>
        <v>0</v>
      </c>
      <c r="EI12" s="22">
        <f t="shared" si="44"/>
        <v>0</v>
      </c>
      <c r="EJ12" s="22">
        <f t="shared" si="44"/>
        <v>0</v>
      </c>
      <c r="EK12" s="22">
        <f t="shared" si="44"/>
        <v>0</v>
      </c>
      <c r="EL12" s="22">
        <f t="shared" si="44"/>
        <v>0</v>
      </c>
      <c r="EM12" s="22">
        <f t="shared" si="44"/>
        <v>0</v>
      </c>
      <c r="EN12" s="22">
        <f t="shared" si="44"/>
        <v>0</v>
      </c>
      <c r="EO12" s="22">
        <f t="shared" ref="EO12:GZ12" si="45">EO11-EE11</f>
        <v>0</v>
      </c>
      <c r="EP12" s="22">
        <f t="shared" si="45"/>
        <v>0</v>
      </c>
      <c r="EQ12" s="22">
        <f t="shared" si="45"/>
        <v>0</v>
      </c>
      <c r="ER12" s="22">
        <f t="shared" si="45"/>
        <v>0</v>
      </c>
      <c r="ES12" s="22">
        <f t="shared" si="45"/>
        <v>0</v>
      </c>
      <c r="ET12" s="22">
        <f t="shared" si="45"/>
        <v>0</v>
      </c>
      <c r="EU12" s="22">
        <f t="shared" si="45"/>
        <v>0</v>
      </c>
      <c r="EV12" s="22">
        <f t="shared" si="45"/>
        <v>0</v>
      </c>
      <c r="EW12" s="22">
        <f t="shared" si="45"/>
        <v>0</v>
      </c>
      <c r="EX12" s="22">
        <f t="shared" si="45"/>
        <v>0</v>
      </c>
      <c r="EY12" s="22">
        <f t="shared" si="45"/>
        <v>0</v>
      </c>
      <c r="EZ12" s="22">
        <f t="shared" si="45"/>
        <v>0</v>
      </c>
      <c r="FA12" s="22">
        <f t="shared" si="45"/>
        <v>0</v>
      </c>
      <c r="FB12" s="22">
        <f t="shared" si="45"/>
        <v>0</v>
      </c>
      <c r="FC12" s="22">
        <f t="shared" si="45"/>
        <v>0</v>
      </c>
      <c r="FD12" s="22">
        <f t="shared" si="45"/>
        <v>0</v>
      </c>
      <c r="FE12" s="22">
        <f t="shared" si="45"/>
        <v>0</v>
      </c>
      <c r="FF12" s="22">
        <f t="shared" si="45"/>
        <v>0</v>
      </c>
      <c r="FG12" s="22">
        <f t="shared" si="45"/>
        <v>0</v>
      </c>
      <c r="FH12" s="22">
        <f t="shared" si="45"/>
        <v>0</v>
      </c>
      <c r="FI12" s="22">
        <f t="shared" si="45"/>
        <v>0</v>
      </c>
      <c r="FJ12" s="22">
        <f t="shared" si="45"/>
        <v>0</v>
      </c>
      <c r="FK12" s="22">
        <f t="shared" si="45"/>
        <v>0</v>
      </c>
      <c r="FL12" s="22">
        <f t="shared" si="45"/>
        <v>0</v>
      </c>
      <c r="FM12" s="22">
        <f t="shared" si="45"/>
        <v>0</v>
      </c>
      <c r="FN12" s="22">
        <f t="shared" si="45"/>
        <v>0</v>
      </c>
      <c r="FO12" s="22">
        <f t="shared" si="45"/>
        <v>0</v>
      </c>
      <c r="FP12" s="22">
        <f t="shared" si="45"/>
        <v>0</v>
      </c>
      <c r="FQ12" s="22">
        <f t="shared" si="45"/>
        <v>0</v>
      </c>
      <c r="FR12" s="22">
        <f t="shared" si="45"/>
        <v>0</v>
      </c>
      <c r="FS12" s="22">
        <f t="shared" si="45"/>
        <v>0</v>
      </c>
      <c r="FT12" s="22">
        <f t="shared" si="45"/>
        <v>0</v>
      </c>
      <c r="FU12" s="22">
        <f t="shared" si="45"/>
        <v>0</v>
      </c>
      <c r="FV12" s="22">
        <f t="shared" si="45"/>
        <v>0</v>
      </c>
      <c r="FW12" s="22">
        <f t="shared" si="45"/>
        <v>0</v>
      </c>
      <c r="FX12" s="22">
        <f t="shared" si="45"/>
        <v>0</v>
      </c>
      <c r="FY12" s="22">
        <f t="shared" si="45"/>
        <v>0</v>
      </c>
      <c r="FZ12" s="22">
        <f t="shared" si="45"/>
        <v>0</v>
      </c>
      <c r="GA12" s="22">
        <f t="shared" si="45"/>
        <v>0</v>
      </c>
      <c r="GB12" s="22">
        <f t="shared" si="45"/>
        <v>0</v>
      </c>
      <c r="GC12" s="22">
        <f t="shared" si="45"/>
        <v>0</v>
      </c>
      <c r="GD12" s="22">
        <f t="shared" si="45"/>
        <v>0</v>
      </c>
      <c r="GE12" s="22">
        <f t="shared" si="45"/>
        <v>0</v>
      </c>
      <c r="GF12" s="22">
        <f t="shared" si="45"/>
        <v>0</v>
      </c>
      <c r="GG12" s="22">
        <f t="shared" si="45"/>
        <v>0</v>
      </c>
      <c r="GH12" s="22">
        <f t="shared" si="45"/>
        <v>0</v>
      </c>
      <c r="GI12" s="22">
        <f t="shared" si="45"/>
        <v>0</v>
      </c>
      <c r="GJ12" s="22">
        <f t="shared" si="45"/>
        <v>0</v>
      </c>
      <c r="GK12" s="22">
        <f t="shared" si="45"/>
        <v>0</v>
      </c>
      <c r="GL12" s="22">
        <f t="shared" si="45"/>
        <v>0</v>
      </c>
      <c r="GM12" s="22">
        <f t="shared" si="45"/>
        <v>0</v>
      </c>
      <c r="GN12" s="22">
        <f t="shared" si="45"/>
        <v>0</v>
      </c>
      <c r="GO12" s="22">
        <f t="shared" si="45"/>
        <v>0</v>
      </c>
      <c r="GP12" s="22">
        <f t="shared" si="45"/>
        <v>0</v>
      </c>
      <c r="GQ12" s="22">
        <f t="shared" si="45"/>
        <v>0</v>
      </c>
      <c r="GR12" s="22">
        <f t="shared" si="45"/>
        <v>0</v>
      </c>
      <c r="GS12" s="22">
        <f t="shared" si="45"/>
        <v>0</v>
      </c>
      <c r="GT12" s="22">
        <f t="shared" si="45"/>
        <v>0</v>
      </c>
      <c r="GU12" s="22">
        <f t="shared" si="45"/>
        <v>0</v>
      </c>
      <c r="GV12" s="22">
        <f t="shared" si="45"/>
        <v>0</v>
      </c>
      <c r="GW12" s="22">
        <f t="shared" si="45"/>
        <v>0</v>
      </c>
      <c r="GX12" s="22">
        <f t="shared" si="45"/>
        <v>0</v>
      </c>
      <c r="GY12" s="22">
        <f t="shared" si="45"/>
        <v>0</v>
      </c>
      <c r="GZ12" s="22">
        <f t="shared" si="45"/>
        <v>0</v>
      </c>
      <c r="HA12" s="22">
        <f t="shared" ref="HA12:IN12" si="46">HA11-GQ11</f>
        <v>0</v>
      </c>
      <c r="HB12" s="22">
        <f t="shared" si="46"/>
        <v>0</v>
      </c>
      <c r="HC12" s="22">
        <f t="shared" si="46"/>
        <v>0</v>
      </c>
      <c r="HD12" s="22">
        <f t="shared" si="46"/>
        <v>0</v>
      </c>
      <c r="HE12" s="22">
        <f t="shared" si="46"/>
        <v>0</v>
      </c>
      <c r="HF12" s="22">
        <f t="shared" si="46"/>
        <v>0</v>
      </c>
      <c r="HG12" s="22">
        <f t="shared" si="46"/>
        <v>0</v>
      </c>
      <c r="HH12" s="22">
        <f t="shared" si="46"/>
        <v>0</v>
      </c>
      <c r="HI12" s="22">
        <f t="shared" si="46"/>
        <v>0</v>
      </c>
      <c r="HJ12" s="22">
        <f t="shared" si="46"/>
        <v>0</v>
      </c>
      <c r="HK12" s="22">
        <f t="shared" si="46"/>
        <v>0</v>
      </c>
      <c r="HL12" s="22">
        <f t="shared" si="46"/>
        <v>0</v>
      </c>
      <c r="HM12" s="22">
        <f t="shared" si="46"/>
        <v>0</v>
      </c>
      <c r="HN12" s="22">
        <f t="shared" si="46"/>
        <v>0</v>
      </c>
      <c r="HO12" s="22">
        <f t="shared" si="46"/>
        <v>0</v>
      </c>
      <c r="HP12" s="22">
        <f t="shared" si="46"/>
        <v>0</v>
      </c>
      <c r="HQ12" s="22">
        <f t="shared" si="46"/>
        <v>0</v>
      </c>
      <c r="HR12" s="22">
        <f t="shared" si="46"/>
        <v>0</v>
      </c>
      <c r="HS12" s="22">
        <f t="shared" si="46"/>
        <v>0</v>
      </c>
      <c r="HT12" s="22">
        <f t="shared" si="46"/>
        <v>0</v>
      </c>
      <c r="HU12" s="22">
        <f t="shared" si="46"/>
        <v>0</v>
      </c>
      <c r="HV12" s="22">
        <f t="shared" si="46"/>
        <v>0</v>
      </c>
      <c r="HW12" s="22">
        <f t="shared" si="46"/>
        <v>0</v>
      </c>
      <c r="HX12" s="22">
        <f t="shared" si="46"/>
        <v>0</v>
      </c>
      <c r="HY12" s="22">
        <f t="shared" si="46"/>
        <v>0</v>
      </c>
      <c r="HZ12" s="22">
        <f t="shared" si="46"/>
        <v>0</v>
      </c>
      <c r="IA12" s="22">
        <f t="shared" si="46"/>
        <v>0</v>
      </c>
      <c r="IB12" s="22">
        <f t="shared" si="46"/>
        <v>0</v>
      </c>
      <c r="IC12" s="22">
        <f t="shared" si="46"/>
        <v>0</v>
      </c>
      <c r="ID12" s="22">
        <f t="shared" si="46"/>
        <v>0</v>
      </c>
      <c r="IE12" s="22">
        <f t="shared" si="46"/>
        <v>0</v>
      </c>
      <c r="IF12" s="22">
        <f t="shared" si="46"/>
        <v>0</v>
      </c>
      <c r="IG12" s="22">
        <f t="shared" si="46"/>
        <v>0</v>
      </c>
      <c r="IH12" s="22">
        <f t="shared" si="46"/>
        <v>0</v>
      </c>
      <c r="II12" s="22">
        <f t="shared" si="46"/>
        <v>0</v>
      </c>
      <c r="IJ12" s="22">
        <f t="shared" si="46"/>
        <v>0</v>
      </c>
      <c r="IK12" s="22">
        <f t="shared" si="46"/>
        <v>0</v>
      </c>
      <c r="IL12" s="22">
        <f t="shared" si="46"/>
        <v>0</v>
      </c>
      <c r="IM12" s="22">
        <f t="shared" si="46"/>
        <v>0</v>
      </c>
      <c r="IN12" s="22">
        <f t="shared" si="46"/>
        <v>0</v>
      </c>
    </row>
    <row r="13" spans="2:248" x14ac:dyDescent="0.3">
      <c r="B13" s="20" t="s">
        <v>627</v>
      </c>
      <c r="C13" s="24">
        <v>2.5000000000000001E-2</v>
      </c>
      <c r="E13" s="20">
        <v>0.3</v>
      </c>
      <c r="F13" s="23" t="s">
        <v>486</v>
      </c>
      <c r="G13" s="22">
        <f t="shared" ref="G13:BR13" si="47">IF(IF(AND(ISNA(G$5),ISNA(F$5)),F13*(1+$E13),IF(AND(F$5&gt;0,ISNA(G$5)),F13*(1+$E13),G$5))&gt;$C$17,$C$17,IF(AND(ISNA(G$5),ISNA(F$5)),F13*(1+$E13),IF(AND(F$5&gt;0,ISNA(G$5)),F13*(1+$E13),G$5)))</f>
        <v>130</v>
      </c>
      <c r="H13" s="22">
        <f t="shared" si="47"/>
        <v>159</v>
      </c>
      <c r="I13" s="22">
        <f t="shared" si="47"/>
        <v>196</v>
      </c>
      <c r="J13" s="22">
        <f t="shared" si="47"/>
        <v>262</v>
      </c>
      <c r="K13" s="22">
        <f t="shared" si="47"/>
        <v>482</v>
      </c>
      <c r="L13" s="22">
        <f t="shared" si="47"/>
        <v>670</v>
      </c>
      <c r="M13" s="22">
        <f t="shared" si="47"/>
        <v>799</v>
      </c>
      <c r="N13" s="22">
        <f t="shared" si="47"/>
        <v>1040</v>
      </c>
      <c r="O13" s="22">
        <f t="shared" si="47"/>
        <v>1176</v>
      </c>
      <c r="P13" s="22">
        <f t="shared" si="47"/>
        <v>1457</v>
      </c>
      <c r="Q13" s="22">
        <f t="shared" si="47"/>
        <v>1908</v>
      </c>
      <c r="R13" s="22">
        <f t="shared" si="47"/>
        <v>2078</v>
      </c>
      <c r="S13" s="22">
        <f t="shared" si="47"/>
        <v>3675</v>
      </c>
      <c r="T13" s="22">
        <f t="shared" si="47"/>
        <v>4585</v>
      </c>
      <c r="U13" s="22">
        <f t="shared" si="47"/>
        <v>5795</v>
      </c>
      <c r="V13" s="22">
        <f t="shared" si="47"/>
        <v>7272</v>
      </c>
      <c r="W13" s="22">
        <f t="shared" si="47"/>
        <v>9453.6</v>
      </c>
      <c r="X13" s="22">
        <f t="shared" si="47"/>
        <v>12289.68</v>
      </c>
      <c r="Y13" s="22">
        <f t="shared" si="47"/>
        <v>15976.584000000001</v>
      </c>
      <c r="Z13" s="22">
        <f t="shared" si="47"/>
        <v>20769.559200000003</v>
      </c>
      <c r="AA13" s="22">
        <f t="shared" si="47"/>
        <v>27000.426960000004</v>
      </c>
      <c r="AB13" s="22">
        <f t="shared" si="47"/>
        <v>35100.555048000009</v>
      </c>
      <c r="AC13" s="22">
        <f t="shared" si="47"/>
        <v>45630.721562400016</v>
      </c>
      <c r="AD13" s="22">
        <f t="shared" si="47"/>
        <v>59319.938031120022</v>
      </c>
      <c r="AE13" s="22">
        <f t="shared" si="47"/>
        <v>77115.919440456026</v>
      </c>
      <c r="AF13" s="22">
        <f t="shared" si="47"/>
        <v>100250.69527259284</v>
      </c>
      <c r="AG13" s="22">
        <f t="shared" si="47"/>
        <v>130325.9038543707</v>
      </c>
      <c r="AH13" s="22">
        <f t="shared" si="47"/>
        <v>169423.67501068191</v>
      </c>
      <c r="AI13" s="22">
        <f t="shared" si="47"/>
        <v>220250.77751388648</v>
      </c>
      <c r="AJ13" s="22">
        <f t="shared" si="47"/>
        <v>286326.01076805242</v>
      </c>
      <c r="AK13" s="22">
        <f t="shared" si="47"/>
        <v>372223.81399846816</v>
      </c>
      <c r="AL13" s="22">
        <f t="shared" si="47"/>
        <v>483890.95819800865</v>
      </c>
      <c r="AM13" s="22">
        <f t="shared" si="47"/>
        <v>629058.24565741129</v>
      </c>
      <c r="AN13" s="22">
        <f t="shared" si="47"/>
        <v>817775.71935463476</v>
      </c>
      <c r="AO13" s="22">
        <f t="shared" si="47"/>
        <v>1063108.4351610253</v>
      </c>
      <c r="AP13" s="22">
        <f t="shared" si="47"/>
        <v>1382040.9657093328</v>
      </c>
      <c r="AQ13" s="22">
        <f t="shared" si="47"/>
        <v>1796653.2554221328</v>
      </c>
      <c r="AR13" s="22">
        <f t="shared" si="47"/>
        <v>2335649.2320487727</v>
      </c>
      <c r="AS13" s="22">
        <f t="shared" si="47"/>
        <v>3036344.0016634045</v>
      </c>
      <c r="AT13" s="22">
        <f t="shared" si="47"/>
        <v>3947247.202162426</v>
      </c>
      <c r="AU13" s="22">
        <f t="shared" si="47"/>
        <v>5131421.3628111538</v>
      </c>
      <c r="AV13" s="22">
        <f t="shared" si="47"/>
        <v>6670847.7716544997</v>
      </c>
      <c r="AW13" s="22">
        <f t="shared" si="47"/>
        <v>8672102.1031508502</v>
      </c>
      <c r="AX13" s="22">
        <f t="shared" si="47"/>
        <v>11273732.734096106</v>
      </c>
      <c r="AY13" s="22">
        <f t="shared" si="47"/>
        <v>14655852.554324938</v>
      </c>
      <c r="AZ13" s="22">
        <f t="shared" si="47"/>
        <v>19052608.320622422</v>
      </c>
      <c r="BA13" s="22">
        <f t="shared" si="47"/>
        <v>24768390.816809148</v>
      </c>
      <c r="BB13" s="22">
        <f t="shared" si="47"/>
        <v>32198908.061851893</v>
      </c>
      <c r="BC13" s="22">
        <f t="shared" si="47"/>
        <v>33513576.800000001</v>
      </c>
      <c r="BD13" s="22">
        <f t="shared" si="47"/>
        <v>33513576.800000001</v>
      </c>
      <c r="BE13" s="22">
        <f t="shared" si="47"/>
        <v>33513576.800000001</v>
      </c>
      <c r="BF13" s="22">
        <f t="shared" si="47"/>
        <v>33513576.800000001</v>
      </c>
      <c r="BG13" s="22">
        <f t="shared" si="47"/>
        <v>33513576.800000001</v>
      </c>
      <c r="BH13" s="22">
        <f t="shared" si="47"/>
        <v>33513576.800000001</v>
      </c>
      <c r="BI13" s="22">
        <f t="shared" si="47"/>
        <v>33513576.800000001</v>
      </c>
      <c r="BJ13" s="22">
        <f t="shared" si="47"/>
        <v>33513576.800000001</v>
      </c>
      <c r="BK13" s="22">
        <f t="shared" si="47"/>
        <v>33513576.800000001</v>
      </c>
      <c r="BL13" s="22">
        <f t="shared" si="47"/>
        <v>33513576.800000001</v>
      </c>
      <c r="BM13" s="22">
        <f t="shared" si="47"/>
        <v>33513576.800000001</v>
      </c>
      <c r="BN13" s="22">
        <f t="shared" si="47"/>
        <v>33513576.800000001</v>
      </c>
      <c r="BO13" s="22">
        <f t="shared" si="47"/>
        <v>33513576.800000001</v>
      </c>
      <c r="BP13" s="22">
        <f t="shared" si="47"/>
        <v>33513576.800000001</v>
      </c>
      <c r="BQ13" s="22">
        <f t="shared" si="47"/>
        <v>33513576.800000001</v>
      </c>
      <c r="BR13" s="22">
        <f t="shared" si="47"/>
        <v>33513576.800000001</v>
      </c>
      <c r="BS13" s="22">
        <f t="shared" ref="BS13:ED13" si="48">IF(IF(AND(ISNA(BS$5),ISNA(BR$5)),BR13*(1+$E13),IF(AND(BR$5&gt;0,ISNA(BS$5)),BR13*(1+$E13),BS$5))&gt;$C$17,$C$17,IF(AND(ISNA(BS$5),ISNA(BR$5)),BR13*(1+$E13),IF(AND(BR$5&gt;0,ISNA(BS$5)),BR13*(1+$E13),BS$5)))</f>
        <v>33513576.800000001</v>
      </c>
      <c r="BT13" s="22">
        <f t="shared" si="48"/>
        <v>33513576.800000001</v>
      </c>
      <c r="BU13" s="22">
        <f t="shared" si="48"/>
        <v>33513576.800000001</v>
      </c>
      <c r="BV13" s="22">
        <f t="shared" si="48"/>
        <v>33513576.800000001</v>
      </c>
      <c r="BW13" s="22">
        <f t="shared" si="48"/>
        <v>33513576.800000001</v>
      </c>
      <c r="BX13" s="22">
        <f t="shared" si="48"/>
        <v>33513576.800000001</v>
      </c>
      <c r="BY13" s="22">
        <f t="shared" si="48"/>
        <v>33513576.800000001</v>
      </c>
      <c r="BZ13" s="22">
        <f t="shared" si="48"/>
        <v>33513576.800000001</v>
      </c>
      <c r="CA13" s="22">
        <f t="shared" si="48"/>
        <v>33513576.800000001</v>
      </c>
      <c r="CB13" s="22">
        <f t="shared" si="48"/>
        <v>33513576.800000001</v>
      </c>
      <c r="CC13" s="22">
        <f t="shared" si="48"/>
        <v>33513576.800000001</v>
      </c>
      <c r="CD13" s="22">
        <f t="shared" si="48"/>
        <v>33513576.800000001</v>
      </c>
      <c r="CE13" s="22">
        <f t="shared" si="48"/>
        <v>33513576.800000001</v>
      </c>
      <c r="CF13" s="22">
        <f t="shared" si="48"/>
        <v>33513576.800000001</v>
      </c>
      <c r="CG13" s="22">
        <f t="shared" si="48"/>
        <v>33513576.800000001</v>
      </c>
      <c r="CH13" s="22">
        <f t="shared" si="48"/>
        <v>33513576.800000001</v>
      </c>
      <c r="CI13" s="22">
        <f t="shared" si="48"/>
        <v>33513576.800000001</v>
      </c>
      <c r="CJ13" s="22">
        <f t="shared" si="48"/>
        <v>33513576.800000001</v>
      </c>
      <c r="CK13" s="22">
        <f t="shared" si="48"/>
        <v>33513576.800000001</v>
      </c>
      <c r="CL13" s="22">
        <f t="shared" si="48"/>
        <v>33513576.800000001</v>
      </c>
      <c r="CM13" s="22">
        <f t="shared" si="48"/>
        <v>33513576.800000001</v>
      </c>
      <c r="CN13" s="22">
        <f t="shared" si="48"/>
        <v>33513576.800000001</v>
      </c>
      <c r="CO13" s="22">
        <f t="shared" si="48"/>
        <v>33513576.800000001</v>
      </c>
      <c r="CP13" s="22">
        <f t="shared" si="48"/>
        <v>33513576.800000001</v>
      </c>
      <c r="CQ13" s="22">
        <f t="shared" si="48"/>
        <v>33513576.800000001</v>
      </c>
      <c r="CR13" s="22">
        <f t="shared" si="48"/>
        <v>33513576.800000001</v>
      </c>
      <c r="CS13" s="22">
        <f t="shared" si="48"/>
        <v>33513576.800000001</v>
      </c>
      <c r="CT13" s="22">
        <f t="shared" si="48"/>
        <v>33513576.800000001</v>
      </c>
      <c r="CU13" s="22">
        <f t="shared" si="48"/>
        <v>33513576.800000001</v>
      </c>
      <c r="CV13" s="22">
        <f t="shared" si="48"/>
        <v>33513576.800000001</v>
      </c>
      <c r="CW13" s="22">
        <f t="shared" si="48"/>
        <v>33513576.800000001</v>
      </c>
      <c r="CX13" s="22">
        <f t="shared" si="48"/>
        <v>33513576.800000001</v>
      </c>
      <c r="CY13" s="22">
        <f t="shared" si="48"/>
        <v>33513576.800000001</v>
      </c>
      <c r="CZ13" s="22">
        <f t="shared" si="48"/>
        <v>33513576.800000001</v>
      </c>
      <c r="DA13" s="22">
        <f t="shared" si="48"/>
        <v>33513576.800000001</v>
      </c>
      <c r="DB13" s="22">
        <f t="shared" si="48"/>
        <v>33513576.800000001</v>
      </c>
      <c r="DC13" s="22">
        <f t="shared" si="48"/>
        <v>33513576.800000001</v>
      </c>
      <c r="DD13" s="22">
        <f t="shared" si="48"/>
        <v>33513576.800000001</v>
      </c>
      <c r="DE13" s="22">
        <f t="shared" si="48"/>
        <v>33513576.800000001</v>
      </c>
      <c r="DF13" s="22">
        <f t="shared" si="48"/>
        <v>33513576.800000001</v>
      </c>
      <c r="DG13" s="22">
        <f t="shared" si="48"/>
        <v>33513576.800000001</v>
      </c>
      <c r="DH13" s="22">
        <f t="shared" si="48"/>
        <v>33513576.800000001</v>
      </c>
      <c r="DI13" s="22">
        <f t="shared" si="48"/>
        <v>33513576.800000001</v>
      </c>
      <c r="DJ13" s="22">
        <f t="shared" si="48"/>
        <v>33513576.800000001</v>
      </c>
      <c r="DK13" s="22">
        <f t="shared" si="48"/>
        <v>33513576.800000001</v>
      </c>
      <c r="DL13" s="22">
        <f t="shared" si="48"/>
        <v>33513576.800000001</v>
      </c>
      <c r="DM13" s="22">
        <f t="shared" si="48"/>
        <v>33513576.800000001</v>
      </c>
      <c r="DN13" s="22">
        <f t="shared" si="48"/>
        <v>33513576.800000001</v>
      </c>
      <c r="DO13" s="22">
        <f t="shared" si="48"/>
        <v>33513576.800000001</v>
      </c>
      <c r="DP13" s="22">
        <f t="shared" si="48"/>
        <v>33513576.800000001</v>
      </c>
      <c r="DQ13" s="22">
        <f t="shared" si="48"/>
        <v>33513576.800000001</v>
      </c>
      <c r="DR13" s="22">
        <f t="shared" si="48"/>
        <v>33513576.800000001</v>
      </c>
      <c r="DS13" s="22">
        <f t="shared" si="48"/>
        <v>33513576.800000001</v>
      </c>
      <c r="DT13" s="22">
        <f t="shared" si="48"/>
        <v>33513576.800000001</v>
      </c>
      <c r="DU13" s="22">
        <f t="shared" si="48"/>
        <v>33513576.800000001</v>
      </c>
      <c r="DV13" s="22">
        <f t="shared" si="48"/>
        <v>33513576.800000001</v>
      </c>
      <c r="DW13" s="22">
        <f t="shared" si="48"/>
        <v>33513576.800000001</v>
      </c>
      <c r="DX13" s="22">
        <f t="shared" si="48"/>
        <v>33513576.800000001</v>
      </c>
      <c r="DY13" s="22">
        <f t="shared" si="48"/>
        <v>33513576.800000001</v>
      </c>
      <c r="DZ13" s="22">
        <f t="shared" si="48"/>
        <v>33513576.800000001</v>
      </c>
      <c r="EA13" s="22">
        <f t="shared" si="48"/>
        <v>33513576.800000001</v>
      </c>
      <c r="EB13" s="22">
        <f t="shared" si="48"/>
        <v>33513576.800000001</v>
      </c>
      <c r="EC13" s="22">
        <f t="shared" si="48"/>
        <v>33513576.800000001</v>
      </c>
      <c r="ED13" s="22">
        <f t="shared" si="48"/>
        <v>33513576.800000001</v>
      </c>
      <c r="EE13" s="22">
        <f t="shared" ref="EE13:GP13" si="49">IF(IF(AND(ISNA(EE$5),ISNA(ED$5)),ED13*(1+$E13),IF(AND(ED$5&gt;0,ISNA(EE$5)),ED13*(1+$E13),EE$5))&gt;$C$17,$C$17,IF(AND(ISNA(EE$5),ISNA(ED$5)),ED13*(1+$E13),IF(AND(ED$5&gt;0,ISNA(EE$5)),ED13*(1+$E13),EE$5)))</f>
        <v>33513576.800000001</v>
      </c>
      <c r="EF13" s="22">
        <f t="shared" si="49"/>
        <v>33513576.800000001</v>
      </c>
      <c r="EG13" s="22">
        <f t="shared" si="49"/>
        <v>33513576.800000001</v>
      </c>
      <c r="EH13" s="22">
        <f t="shared" si="49"/>
        <v>33513576.800000001</v>
      </c>
      <c r="EI13" s="22">
        <f t="shared" si="49"/>
        <v>33513576.800000001</v>
      </c>
      <c r="EJ13" s="22">
        <f t="shared" si="49"/>
        <v>33513576.800000001</v>
      </c>
      <c r="EK13" s="22">
        <f t="shared" si="49"/>
        <v>33513576.800000001</v>
      </c>
      <c r="EL13" s="22">
        <f t="shared" si="49"/>
        <v>33513576.800000001</v>
      </c>
      <c r="EM13" s="22">
        <f t="shared" si="49"/>
        <v>33513576.800000001</v>
      </c>
      <c r="EN13" s="22">
        <f t="shared" si="49"/>
        <v>33513576.800000001</v>
      </c>
      <c r="EO13" s="22">
        <f t="shared" si="49"/>
        <v>33513576.800000001</v>
      </c>
      <c r="EP13" s="22">
        <f t="shared" si="49"/>
        <v>33513576.800000001</v>
      </c>
      <c r="EQ13" s="22">
        <f t="shared" si="49"/>
        <v>33513576.800000001</v>
      </c>
      <c r="ER13" s="22">
        <f t="shared" si="49"/>
        <v>33513576.800000001</v>
      </c>
      <c r="ES13" s="22">
        <f t="shared" si="49"/>
        <v>33513576.800000001</v>
      </c>
      <c r="ET13" s="22">
        <f t="shared" si="49"/>
        <v>33513576.800000001</v>
      </c>
      <c r="EU13" s="22">
        <f t="shared" si="49"/>
        <v>33513576.800000001</v>
      </c>
      <c r="EV13" s="22">
        <f t="shared" si="49"/>
        <v>33513576.800000001</v>
      </c>
      <c r="EW13" s="22">
        <f t="shared" si="49"/>
        <v>33513576.800000001</v>
      </c>
      <c r="EX13" s="22">
        <f t="shared" si="49"/>
        <v>33513576.800000001</v>
      </c>
      <c r="EY13" s="22">
        <f t="shared" si="49"/>
        <v>33513576.800000001</v>
      </c>
      <c r="EZ13" s="22">
        <f t="shared" si="49"/>
        <v>33513576.800000001</v>
      </c>
      <c r="FA13" s="22">
        <f t="shared" si="49"/>
        <v>33513576.800000001</v>
      </c>
      <c r="FB13" s="22">
        <f t="shared" si="49"/>
        <v>33513576.800000001</v>
      </c>
      <c r="FC13" s="22">
        <f t="shared" si="49"/>
        <v>33513576.800000001</v>
      </c>
      <c r="FD13" s="22">
        <f t="shared" si="49"/>
        <v>33513576.800000001</v>
      </c>
      <c r="FE13" s="22">
        <f t="shared" si="49"/>
        <v>33513576.800000001</v>
      </c>
      <c r="FF13" s="22">
        <f t="shared" si="49"/>
        <v>33513576.800000001</v>
      </c>
      <c r="FG13" s="22">
        <f t="shared" si="49"/>
        <v>33513576.800000001</v>
      </c>
      <c r="FH13" s="22">
        <f t="shared" si="49"/>
        <v>33513576.800000001</v>
      </c>
      <c r="FI13" s="22">
        <f t="shared" si="49"/>
        <v>33513576.800000001</v>
      </c>
      <c r="FJ13" s="22">
        <f t="shared" si="49"/>
        <v>33513576.800000001</v>
      </c>
      <c r="FK13" s="22">
        <f t="shared" si="49"/>
        <v>33513576.800000001</v>
      </c>
      <c r="FL13" s="22">
        <f t="shared" si="49"/>
        <v>33513576.800000001</v>
      </c>
      <c r="FM13" s="22">
        <f t="shared" si="49"/>
        <v>33513576.800000001</v>
      </c>
      <c r="FN13" s="22">
        <f t="shared" si="49"/>
        <v>33513576.800000001</v>
      </c>
      <c r="FO13" s="22">
        <f t="shared" si="49"/>
        <v>33513576.800000001</v>
      </c>
      <c r="FP13" s="22">
        <f t="shared" si="49"/>
        <v>33513576.800000001</v>
      </c>
      <c r="FQ13" s="22">
        <f t="shared" si="49"/>
        <v>33513576.800000001</v>
      </c>
      <c r="FR13" s="22">
        <f t="shared" si="49"/>
        <v>33513576.800000001</v>
      </c>
      <c r="FS13" s="22">
        <f t="shared" si="49"/>
        <v>33513576.800000001</v>
      </c>
      <c r="FT13" s="22">
        <f t="shared" si="49"/>
        <v>33513576.800000001</v>
      </c>
      <c r="FU13" s="22">
        <f t="shared" si="49"/>
        <v>33513576.800000001</v>
      </c>
      <c r="FV13" s="22">
        <f t="shared" si="49"/>
        <v>33513576.800000001</v>
      </c>
      <c r="FW13" s="22">
        <f t="shared" si="49"/>
        <v>33513576.800000001</v>
      </c>
      <c r="FX13" s="22">
        <f t="shared" si="49"/>
        <v>33513576.800000001</v>
      </c>
      <c r="FY13" s="22">
        <f t="shared" si="49"/>
        <v>33513576.800000001</v>
      </c>
      <c r="FZ13" s="22">
        <f t="shared" si="49"/>
        <v>33513576.800000001</v>
      </c>
      <c r="GA13" s="22">
        <f t="shared" si="49"/>
        <v>33513576.800000001</v>
      </c>
      <c r="GB13" s="22">
        <f t="shared" si="49"/>
        <v>33513576.800000001</v>
      </c>
      <c r="GC13" s="22">
        <f t="shared" si="49"/>
        <v>33513576.800000001</v>
      </c>
      <c r="GD13" s="22">
        <f t="shared" si="49"/>
        <v>33513576.800000001</v>
      </c>
      <c r="GE13" s="22">
        <f t="shared" si="49"/>
        <v>33513576.800000001</v>
      </c>
      <c r="GF13" s="22">
        <f t="shared" si="49"/>
        <v>33513576.800000001</v>
      </c>
      <c r="GG13" s="22">
        <f t="shared" si="49"/>
        <v>33513576.800000001</v>
      </c>
      <c r="GH13" s="22">
        <f t="shared" si="49"/>
        <v>33513576.800000001</v>
      </c>
      <c r="GI13" s="22">
        <f t="shared" si="49"/>
        <v>33513576.800000001</v>
      </c>
      <c r="GJ13" s="22">
        <f t="shared" si="49"/>
        <v>33513576.800000001</v>
      </c>
      <c r="GK13" s="22">
        <f t="shared" si="49"/>
        <v>33513576.800000001</v>
      </c>
      <c r="GL13" s="22">
        <f t="shared" si="49"/>
        <v>33513576.800000001</v>
      </c>
      <c r="GM13" s="22">
        <f t="shared" si="49"/>
        <v>33513576.800000001</v>
      </c>
      <c r="GN13" s="22">
        <f t="shared" si="49"/>
        <v>33513576.800000001</v>
      </c>
      <c r="GO13" s="22">
        <f t="shared" si="49"/>
        <v>33513576.800000001</v>
      </c>
      <c r="GP13" s="22">
        <f t="shared" si="49"/>
        <v>33513576.800000001</v>
      </c>
      <c r="GQ13" s="22">
        <f t="shared" ref="GQ13:IN13" si="50">IF(IF(AND(ISNA(GQ$5),ISNA(GP$5)),GP13*(1+$E13),IF(AND(GP$5&gt;0,ISNA(GQ$5)),GP13*(1+$E13),GQ$5))&gt;$C$17,$C$17,IF(AND(ISNA(GQ$5),ISNA(GP$5)),GP13*(1+$E13),IF(AND(GP$5&gt;0,ISNA(GQ$5)),GP13*(1+$E13),GQ$5)))</f>
        <v>33513576.800000001</v>
      </c>
      <c r="GR13" s="22">
        <f t="shared" si="50"/>
        <v>33513576.800000001</v>
      </c>
      <c r="GS13" s="22">
        <f t="shared" si="50"/>
        <v>33513576.800000001</v>
      </c>
      <c r="GT13" s="22">
        <f t="shared" si="50"/>
        <v>33513576.800000001</v>
      </c>
      <c r="GU13" s="22">
        <f t="shared" si="50"/>
        <v>33513576.800000001</v>
      </c>
      <c r="GV13" s="22">
        <f t="shared" si="50"/>
        <v>33513576.800000001</v>
      </c>
      <c r="GW13" s="22">
        <f t="shared" si="50"/>
        <v>33513576.800000001</v>
      </c>
      <c r="GX13" s="22">
        <f t="shared" si="50"/>
        <v>33513576.800000001</v>
      </c>
      <c r="GY13" s="22">
        <f t="shared" si="50"/>
        <v>33513576.800000001</v>
      </c>
      <c r="GZ13" s="22">
        <f t="shared" si="50"/>
        <v>33513576.800000001</v>
      </c>
      <c r="HA13" s="22">
        <f t="shared" si="50"/>
        <v>33513576.800000001</v>
      </c>
      <c r="HB13" s="22">
        <f t="shared" si="50"/>
        <v>33513576.800000001</v>
      </c>
      <c r="HC13" s="22">
        <f t="shared" si="50"/>
        <v>33513576.800000001</v>
      </c>
      <c r="HD13" s="22">
        <f t="shared" si="50"/>
        <v>33513576.800000001</v>
      </c>
      <c r="HE13" s="22">
        <f t="shared" si="50"/>
        <v>33513576.800000001</v>
      </c>
      <c r="HF13" s="22">
        <f t="shared" si="50"/>
        <v>33513576.800000001</v>
      </c>
      <c r="HG13" s="22">
        <f t="shared" si="50"/>
        <v>33513576.800000001</v>
      </c>
      <c r="HH13" s="22">
        <f t="shared" si="50"/>
        <v>33513576.800000001</v>
      </c>
      <c r="HI13" s="22">
        <f t="shared" si="50"/>
        <v>33513576.800000001</v>
      </c>
      <c r="HJ13" s="22">
        <f t="shared" si="50"/>
        <v>33513576.800000001</v>
      </c>
      <c r="HK13" s="22">
        <f t="shared" si="50"/>
        <v>33513576.800000001</v>
      </c>
      <c r="HL13" s="22">
        <f t="shared" si="50"/>
        <v>33513576.800000001</v>
      </c>
      <c r="HM13" s="22">
        <f t="shared" si="50"/>
        <v>33513576.800000001</v>
      </c>
      <c r="HN13" s="22">
        <f t="shared" si="50"/>
        <v>33513576.800000001</v>
      </c>
      <c r="HO13" s="22">
        <f t="shared" si="50"/>
        <v>33513576.800000001</v>
      </c>
      <c r="HP13" s="22">
        <f t="shared" si="50"/>
        <v>33513576.800000001</v>
      </c>
      <c r="HQ13" s="22">
        <f t="shared" si="50"/>
        <v>33513576.800000001</v>
      </c>
      <c r="HR13" s="22">
        <f t="shared" si="50"/>
        <v>33513576.800000001</v>
      </c>
      <c r="HS13" s="22">
        <f t="shared" si="50"/>
        <v>33513576.800000001</v>
      </c>
      <c r="HT13" s="22">
        <f t="shared" si="50"/>
        <v>33513576.800000001</v>
      </c>
      <c r="HU13" s="22">
        <f t="shared" si="50"/>
        <v>33513576.800000001</v>
      </c>
      <c r="HV13" s="22">
        <f t="shared" si="50"/>
        <v>33513576.800000001</v>
      </c>
      <c r="HW13" s="22">
        <f t="shared" si="50"/>
        <v>33513576.800000001</v>
      </c>
      <c r="HX13" s="22">
        <f t="shared" si="50"/>
        <v>33513576.800000001</v>
      </c>
      <c r="HY13" s="22">
        <f t="shared" si="50"/>
        <v>33513576.800000001</v>
      </c>
      <c r="HZ13" s="22">
        <f t="shared" si="50"/>
        <v>33513576.800000001</v>
      </c>
      <c r="IA13" s="22">
        <f t="shared" si="50"/>
        <v>33513576.800000001</v>
      </c>
      <c r="IB13" s="22">
        <f t="shared" si="50"/>
        <v>33513576.800000001</v>
      </c>
      <c r="IC13" s="22">
        <f t="shared" si="50"/>
        <v>33513576.800000001</v>
      </c>
      <c r="ID13" s="22">
        <f t="shared" si="50"/>
        <v>33513576.800000001</v>
      </c>
      <c r="IE13" s="22">
        <f t="shared" si="50"/>
        <v>33513576.800000001</v>
      </c>
      <c r="IF13" s="22">
        <f t="shared" si="50"/>
        <v>33513576.800000001</v>
      </c>
      <c r="IG13" s="22">
        <f t="shared" si="50"/>
        <v>33513576.800000001</v>
      </c>
      <c r="IH13" s="22">
        <f t="shared" si="50"/>
        <v>33513576.800000001</v>
      </c>
      <c r="II13" s="22">
        <f t="shared" si="50"/>
        <v>33513576.800000001</v>
      </c>
      <c r="IJ13" s="22">
        <f t="shared" si="50"/>
        <v>33513576.800000001</v>
      </c>
      <c r="IK13" s="22">
        <f t="shared" si="50"/>
        <v>33513576.800000001</v>
      </c>
      <c r="IL13" s="22">
        <f t="shared" si="50"/>
        <v>33513576.800000001</v>
      </c>
      <c r="IM13" s="22">
        <f t="shared" si="50"/>
        <v>33513576.800000001</v>
      </c>
      <c r="IN13" s="22">
        <f t="shared" si="50"/>
        <v>33513576.800000001</v>
      </c>
    </row>
    <row r="14" spans="2:248" x14ac:dyDescent="0.3">
      <c r="F14" s="20" t="s">
        <v>618</v>
      </c>
      <c r="G14" s="22">
        <f t="shared" ref="G14:P14" si="51">G13</f>
        <v>130</v>
      </c>
      <c r="H14" s="22">
        <f t="shared" si="51"/>
        <v>159</v>
      </c>
      <c r="I14" s="22">
        <f t="shared" si="51"/>
        <v>196</v>
      </c>
      <c r="J14" s="22">
        <f t="shared" si="51"/>
        <v>262</v>
      </c>
      <c r="K14" s="22">
        <f t="shared" si="51"/>
        <v>482</v>
      </c>
      <c r="L14" s="22">
        <f t="shared" si="51"/>
        <v>670</v>
      </c>
      <c r="M14" s="22">
        <f t="shared" si="51"/>
        <v>799</v>
      </c>
      <c r="N14" s="22">
        <f t="shared" si="51"/>
        <v>1040</v>
      </c>
      <c r="O14" s="22">
        <f t="shared" si="51"/>
        <v>1176</v>
      </c>
      <c r="P14" s="22">
        <f t="shared" si="51"/>
        <v>1457</v>
      </c>
      <c r="Q14" s="22">
        <f t="shared" ref="Q14:CB14" si="52">Q13-G13</f>
        <v>1778</v>
      </c>
      <c r="R14" s="22">
        <f t="shared" si="52"/>
        <v>1919</v>
      </c>
      <c r="S14" s="22">
        <f t="shared" si="52"/>
        <v>3479</v>
      </c>
      <c r="T14" s="22">
        <f t="shared" si="52"/>
        <v>4323</v>
      </c>
      <c r="U14" s="22">
        <f t="shared" si="52"/>
        <v>5313</v>
      </c>
      <c r="V14" s="22">
        <f t="shared" si="52"/>
        <v>6602</v>
      </c>
      <c r="W14" s="22">
        <f t="shared" si="52"/>
        <v>8654.6</v>
      </c>
      <c r="X14" s="22">
        <f t="shared" si="52"/>
        <v>11249.68</v>
      </c>
      <c r="Y14" s="22">
        <f t="shared" si="52"/>
        <v>14800.584000000001</v>
      </c>
      <c r="Z14" s="22">
        <f t="shared" si="52"/>
        <v>19312.559200000003</v>
      </c>
      <c r="AA14" s="22">
        <f t="shared" si="52"/>
        <v>25092.426960000004</v>
      </c>
      <c r="AB14" s="22">
        <f t="shared" si="52"/>
        <v>33022.555048000009</v>
      </c>
      <c r="AC14" s="22">
        <f t="shared" si="52"/>
        <v>41955.721562400016</v>
      </c>
      <c r="AD14" s="22">
        <f t="shared" si="52"/>
        <v>54734.938031120022</v>
      </c>
      <c r="AE14" s="22">
        <f t="shared" si="52"/>
        <v>71320.919440456026</v>
      </c>
      <c r="AF14" s="22">
        <f t="shared" si="52"/>
        <v>92978.695272592842</v>
      </c>
      <c r="AG14" s="22">
        <f t="shared" si="52"/>
        <v>120872.30385437069</v>
      </c>
      <c r="AH14" s="22">
        <f t="shared" si="52"/>
        <v>157133.99501068192</v>
      </c>
      <c r="AI14" s="22">
        <f t="shared" si="52"/>
        <v>204274.19351388648</v>
      </c>
      <c r="AJ14" s="22">
        <f t="shared" si="52"/>
        <v>265556.45156805241</v>
      </c>
      <c r="AK14" s="22">
        <f t="shared" si="52"/>
        <v>345223.38703846815</v>
      </c>
      <c r="AL14" s="22">
        <f t="shared" si="52"/>
        <v>448790.40315000864</v>
      </c>
      <c r="AM14" s="22">
        <f t="shared" si="52"/>
        <v>583427.52409501129</v>
      </c>
      <c r="AN14" s="22">
        <f t="shared" si="52"/>
        <v>758455.78132351476</v>
      </c>
      <c r="AO14" s="22">
        <f t="shared" si="52"/>
        <v>985992.5157205693</v>
      </c>
      <c r="AP14" s="22">
        <f t="shared" si="52"/>
        <v>1281790.27043674</v>
      </c>
      <c r="AQ14" s="22">
        <f t="shared" si="52"/>
        <v>1666327.351567762</v>
      </c>
      <c r="AR14" s="22">
        <f t="shared" si="52"/>
        <v>2166225.5570380907</v>
      </c>
      <c r="AS14" s="22">
        <f t="shared" si="52"/>
        <v>2816093.2241495182</v>
      </c>
      <c r="AT14" s="22">
        <f t="shared" si="52"/>
        <v>3660921.1913943738</v>
      </c>
      <c r="AU14" s="22">
        <f t="shared" si="52"/>
        <v>4759197.5488126855</v>
      </c>
      <c r="AV14" s="22">
        <f t="shared" si="52"/>
        <v>6186956.8134564906</v>
      </c>
      <c r="AW14" s="22">
        <f t="shared" si="52"/>
        <v>8043043.8574934388</v>
      </c>
      <c r="AX14" s="22">
        <f t="shared" si="52"/>
        <v>10455957.014741471</v>
      </c>
      <c r="AY14" s="22">
        <f t="shared" si="52"/>
        <v>13592744.119163912</v>
      </c>
      <c r="AZ14" s="22">
        <f t="shared" si="52"/>
        <v>17670567.354913089</v>
      </c>
      <c r="BA14" s="22">
        <f t="shared" si="52"/>
        <v>22971737.561387014</v>
      </c>
      <c r="BB14" s="22">
        <f t="shared" si="52"/>
        <v>29863258.82980312</v>
      </c>
      <c r="BC14" s="22">
        <f t="shared" si="52"/>
        <v>30477232.798336595</v>
      </c>
      <c r="BD14" s="22">
        <f t="shared" si="52"/>
        <v>29566329.597837575</v>
      </c>
      <c r="BE14" s="22">
        <f t="shared" si="52"/>
        <v>28382155.437188849</v>
      </c>
      <c r="BF14" s="22">
        <f t="shared" si="52"/>
        <v>26842729.028345503</v>
      </c>
      <c r="BG14" s="22">
        <f t="shared" si="52"/>
        <v>24841474.696849152</v>
      </c>
      <c r="BH14" s="22">
        <f t="shared" si="52"/>
        <v>22239844.065903895</v>
      </c>
      <c r="BI14" s="22">
        <f t="shared" si="52"/>
        <v>18857724.245675065</v>
      </c>
      <c r="BJ14" s="22">
        <f t="shared" si="52"/>
        <v>14460968.479377579</v>
      </c>
      <c r="BK14" s="22">
        <f t="shared" si="52"/>
        <v>8745185.9831908531</v>
      </c>
      <c r="BL14" s="22">
        <f t="shared" si="52"/>
        <v>1314668.7381481081</v>
      </c>
      <c r="BM14" s="22">
        <f t="shared" si="52"/>
        <v>0</v>
      </c>
      <c r="BN14" s="22">
        <f t="shared" si="52"/>
        <v>0</v>
      </c>
      <c r="BO14" s="22">
        <f t="shared" si="52"/>
        <v>0</v>
      </c>
      <c r="BP14" s="22">
        <f t="shared" si="52"/>
        <v>0</v>
      </c>
      <c r="BQ14" s="22">
        <f t="shared" si="52"/>
        <v>0</v>
      </c>
      <c r="BR14" s="22">
        <f t="shared" si="52"/>
        <v>0</v>
      </c>
      <c r="BS14" s="22">
        <f t="shared" si="52"/>
        <v>0</v>
      </c>
      <c r="BT14" s="22">
        <f t="shared" si="52"/>
        <v>0</v>
      </c>
      <c r="BU14" s="22">
        <f t="shared" si="52"/>
        <v>0</v>
      </c>
      <c r="BV14" s="22">
        <f t="shared" si="52"/>
        <v>0</v>
      </c>
      <c r="BW14" s="22">
        <f t="shared" si="52"/>
        <v>0</v>
      </c>
      <c r="BX14" s="22">
        <f t="shared" si="52"/>
        <v>0</v>
      </c>
      <c r="BY14" s="22">
        <f t="shared" si="52"/>
        <v>0</v>
      </c>
      <c r="BZ14" s="22">
        <f t="shared" si="52"/>
        <v>0</v>
      </c>
      <c r="CA14" s="22">
        <f t="shared" si="52"/>
        <v>0</v>
      </c>
      <c r="CB14" s="22">
        <f t="shared" si="52"/>
        <v>0</v>
      </c>
      <c r="CC14" s="22">
        <f t="shared" ref="CC14:EN14" si="53">CC13-BS13</f>
        <v>0</v>
      </c>
      <c r="CD14" s="22">
        <f t="shared" si="53"/>
        <v>0</v>
      </c>
      <c r="CE14" s="22">
        <f t="shared" si="53"/>
        <v>0</v>
      </c>
      <c r="CF14" s="22">
        <f t="shared" si="53"/>
        <v>0</v>
      </c>
      <c r="CG14" s="22">
        <f t="shared" si="53"/>
        <v>0</v>
      </c>
      <c r="CH14" s="22">
        <f t="shared" si="53"/>
        <v>0</v>
      </c>
      <c r="CI14" s="22">
        <f t="shared" si="53"/>
        <v>0</v>
      </c>
      <c r="CJ14" s="22">
        <f t="shared" si="53"/>
        <v>0</v>
      </c>
      <c r="CK14" s="22">
        <f t="shared" si="53"/>
        <v>0</v>
      </c>
      <c r="CL14" s="22">
        <f t="shared" si="53"/>
        <v>0</v>
      </c>
      <c r="CM14" s="22">
        <f t="shared" si="53"/>
        <v>0</v>
      </c>
      <c r="CN14" s="22">
        <f t="shared" si="53"/>
        <v>0</v>
      </c>
      <c r="CO14" s="22">
        <f t="shared" si="53"/>
        <v>0</v>
      </c>
      <c r="CP14" s="22">
        <f t="shared" si="53"/>
        <v>0</v>
      </c>
      <c r="CQ14" s="22">
        <f t="shared" si="53"/>
        <v>0</v>
      </c>
      <c r="CR14" s="22">
        <f t="shared" si="53"/>
        <v>0</v>
      </c>
      <c r="CS14" s="22">
        <f t="shared" si="53"/>
        <v>0</v>
      </c>
      <c r="CT14" s="22">
        <f t="shared" si="53"/>
        <v>0</v>
      </c>
      <c r="CU14" s="22">
        <f t="shared" si="53"/>
        <v>0</v>
      </c>
      <c r="CV14" s="22">
        <f t="shared" si="53"/>
        <v>0</v>
      </c>
      <c r="CW14" s="22">
        <f t="shared" si="53"/>
        <v>0</v>
      </c>
      <c r="CX14" s="22">
        <f t="shared" si="53"/>
        <v>0</v>
      </c>
      <c r="CY14" s="22">
        <f t="shared" si="53"/>
        <v>0</v>
      </c>
      <c r="CZ14" s="22">
        <f t="shared" si="53"/>
        <v>0</v>
      </c>
      <c r="DA14" s="22">
        <f t="shared" si="53"/>
        <v>0</v>
      </c>
      <c r="DB14" s="22">
        <f t="shared" si="53"/>
        <v>0</v>
      </c>
      <c r="DC14" s="22">
        <f t="shared" si="53"/>
        <v>0</v>
      </c>
      <c r="DD14" s="22">
        <f t="shared" si="53"/>
        <v>0</v>
      </c>
      <c r="DE14" s="22">
        <f t="shared" si="53"/>
        <v>0</v>
      </c>
      <c r="DF14" s="22">
        <f t="shared" si="53"/>
        <v>0</v>
      </c>
      <c r="DG14" s="22">
        <f t="shared" si="53"/>
        <v>0</v>
      </c>
      <c r="DH14" s="22">
        <f t="shared" si="53"/>
        <v>0</v>
      </c>
      <c r="DI14" s="22">
        <f t="shared" si="53"/>
        <v>0</v>
      </c>
      <c r="DJ14" s="22">
        <f t="shared" si="53"/>
        <v>0</v>
      </c>
      <c r="DK14" s="22">
        <f t="shared" si="53"/>
        <v>0</v>
      </c>
      <c r="DL14" s="22">
        <f t="shared" si="53"/>
        <v>0</v>
      </c>
      <c r="DM14" s="22">
        <f t="shared" si="53"/>
        <v>0</v>
      </c>
      <c r="DN14" s="22">
        <f t="shared" si="53"/>
        <v>0</v>
      </c>
      <c r="DO14" s="22">
        <f t="shared" si="53"/>
        <v>0</v>
      </c>
      <c r="DP14" s="22">
        <f t="shared" si="53"/>
        <v>0</v>
      </c>
      <c r="DQ14" s="22">
        <f t="shared" si="53"/>
        <v>0</v>
      </c>
      <c r="DR14" s="22">
        <f t="shared" si="53"/>
        <v>0</v>
      </c>
      <c r="DS14" s="22">
        <f t="shared" si="53"/>
        <v>0</v>
      </c>
      <c r="DT14" s="22">
        <f t="shared" si="53"/>
        <v>0</v>
      </c>
      <c r="DU14" s="22">
        <f t="shared" si="53"/>
        <v>0</v>
      </c>
      <c r="DV14" s="22">
        <f t="shared" si="53"/>
        <v>0</v>
      </c>
      <c r="DW14" s="22">
        <f t="shared" si="53"/>
        <v>0</v>
      </c>
      <c r="DX14" s="22">
        <f t="shared" si="53"/>
        <v>0</v>
      </c>
      <c r="DY14" s="22">
        <f t="shared" si="53"/>
        <v>0</v>
      </c>
      <c r="DZ14" s="22">
        <f t="shared" si="53"/>
        <v>0</v>
      </c>
      <c r="EA14" s="22">
        <f t="shared" si="53"/>
        <v>0</v>
      </c>
      <c r="EB14" s="22">
        <f t="shared" si="53"/>
        <v>0</v>
      </c>
      <c r="EC14" s="22">
        <f t="shared" si="53"/>
        <v>0</v>
      </c>
      <c r="ED14" s="22">
        <f t="shared" si="53"/>
        <v>0</v>
      </c>
      <c r="EE14" s="22">
        <f t="shared" si="53"/>
        <v>0</v>
      </c>
      <c r="EF14" s="22">
        <f t="shared" si="53"/>
        <v>0</v>
      </c>
      <c r="EG14" s="22">
        <f t="shared" si="53"/>
        <v>0</v>
      </c>
      <c r="EH14" s="22">
        <f t="shared" si="53"/>
        <v>0</v>
      </c>
      <c r="EI14" s="22">
        <f t="shared" si="53"/>
        <v>0</v>
      </c>
      <c r="EJ14" s="22">
        <f t="shared" si="53"/>
        <v>0</v>
      </c>
      <c r="EK14" s="22">
        <f t="shared" si="53"/>
        <v>0</v>
      </c>
      <c r="EL14" s="22">
        <f t="shared" si="53"/>
        <v>0</v>
      </c>
      <c r="EM14" s="22">
        <f t="shared" si="53"/>
        <v>0</v>
      </c>
      <c r="EN14" s="22">
        <f t="shared" si="53"/>
        <v>0</v>
      </c>
      <c r="EO14" s="22">
        <f t="shared" ref="EO14:GZ14" si="54">EO13-EE13</f>
        <v>0</v>
      </c>
      <c r="EP14" s="22">
        <f t="shared" si="54"/>
        <v>0</v>
      </c>
      <c r="EQ14" s="22">
        <f t="shared" si="54"/>
        <v>0</v>
      </c>
      <c r="ER14" s="22">
        <f t="shared" si="54"/>
        <v>0</v>
      </c>
      <c r="ES14" s="22">
        <f t="shared" si="54"/>
        <v>0</v>
      </c>
      <c r="ET14" s="22">
        <f t="shared" si="54"/>
        <v>0</v>
      </c>
      <c r="EU14" s="22">
        <f t="shared" si="54"/>
        <v>0</v>
      </c>
      <c r="EV14" s="22">
        <f t="shared" si="54"/>
        <v>0</v>
      </c>
      <c r="EW14" s="22">
        <f t="shared" si="54"/>
        <v>0</v>
      </c>
      <c r="EX14" s="22">
        <f t="shared" si="54"/>
        <v>0</v>
      </c>
      <c r="EY14" s="22">
        <f t="shared" si="54"/>
        <v>0</v>
      </c>
      <c r="EZ14" s="22">
        <f t="shared" si="54"/>
        <v>0</v>
      </c>
      <c r="FA14" s="22">
        <f t="shared" si="54"/>
        <v>0</v>
      </c>
      <c r="FB14" s="22">
        <f t="shared" si="54"/>
        <v>0</v>
      </c>
      <c r="FC14" s="22">
        <f t="shared" si="54"/>
        <v>0</v>
      </c>
      <c r="FD14" s="22">
        <f t="shared" si="54"/>
        <v>0</v>
      </c>
      <c r="FE14" s="22">
        <f t="shared" si="54"/>
        <v>0</v>
      </c>
      <c r="FF14" s="22">
        <f t="shared" si="54"/>
        <v>0</v>
      </c>
      <c r="FG14" s="22">
        <f t="shared" si="54"/>
        <v>0</v>
      </c>
      <c r="FH14" s="22">
        <f t="shared" si="54"/>
        <v>0</v>
      </c>
      <c r="FI14" s="22">
        <f t="shared" si="54"/>
        <v>0</v>
      </c>
      <c r="FJ14" s="22">
        <f t="shared" si="54"/>
        <v>0</v>
      </c>
      <c r="FK14" s="22">
        <f t="shared" si="54"/>
        <v>0</v>
      </c>
      <c r="FL14" s="22">
        <f t="shared" si="54"/>
        <v>0</v>
      </c>
      <c r="FM14" s="22">
        <f t="shared" si="54"/>
        <v>0</v>
      </c>
      <c r="FN14" s="22">
        <f t="shared" si="54"/>
        <v>0</v>
      </c>
      <c r="FO14" s="22">
        <f t="shared" si="54"/>
        <v>0</v>
      </c>
      <c r="FP14" s="22">
        <f t="shared" si="54"/>
        <v>0</v>
      </c>
      <c r="FQ14" s="22">
        <f t="shared" si="54"/>
        <v>0</v>
      </c>
      <c r="FR14" s="22">
        <f t="shared" si="54"/>
        <v>0</v>
      </c>
      <c r="FS14" s="22">
        <f t="shared" si="54"/>
        <v>0</v>
      </c>
      <c r="FT14" s="22">
        <f t="shared" si="54"/>
        <v>0</v>
      </c>
      <c r="FU14" s="22">
        <f t="shared" si="54"/>
        <v>0</v>
      </c>
      <c r="FV14" s="22">
        <f t="shared" si="54"/>
        <v>0</v>
      </c>
      <c r="FW14" s="22">
        <f t="shared" si="54"/>
        <v>0</v>
      </c>
      <c r="FX14" s="22">
        <f t="shared" si="54"/>
        <v>0</v>
      </c>
      <c r="FY14" s="22">
        <f t="shared" si="54"/>
        <v>0</v>
      </c>
      <c r="FZ14" s="22">
        <f t="shared" si="54"/>
        <v>0</v>
      </c>
      <c r="GA14" s="22">
        <f t="shared" si="54"/>
        <v>0</v>
      </c>
      <c r="GB14" s="22">
        <f t="shared" si="54"/>
        <v>0</v>
      </c>
      <c r="GC14" s="22">
        <f t="shared" si="54"/>
        <v>0</v>
      </c>
      <c r="GD14" s="22">
        <f t="shared" si="54"/>
        <v>0</v>
      </c>
      <c r="GE14" s="22">
        <f t="shared" si="54"/>
        <v>0</v>
      </c>
      <c r="GF14" s="22">
        <f t="shared" si="54"/>
        <v>0</v>
      </c>
      <c r="GG14" s="22">
        <f t="shared" si="54"/>
        <v>0</v>
      </c>
      <c r="GH14" s="22">
        <f t="shared" si="54"/>
        <v>0</v>
      </c>
      <c r="GI14" s="22">
        <f t="shared" si="54"/>
        <v>0</v>
      </c>
      <c r="GJ14" s="22">
        <f t="shared" si="54"/>
        <v>0</v>
      </c>
      <c r="GK14" s="22">
        <f t="shared" si="54"/>
        <v>0</v>
      </c>
      <c r="GL14" s="22">
        <f t="shared" si="54"/>
        <v>0</v>
      </c>
      <c r="GM14" s="22">
        <f t="shared" si="54"/>
        <v>0</v>
      </c>
      <c r="GN14" s="22">
        <f t="shared" si="54"/>
        <v>0</v>
      </c>
      <c r="GO14" s="22">
        <f t="shared" si="54"/>
        <v>0</v>
      </c>
      <c r="GP14" s="22">
        <f t="shared" si="54"/>
        <v>0</v>
      </c>
      <c r="GQ14" s="22">
        <f t="shared" si="54"/>
        <v>0</v>
      </c>
      <c r="GR14" s="22">
        <f t="shared" si="54"/>
        <v>0</v>
      </c>
      <c r="GS14" s="22">
        <f t="shared" si="54"/>
        <v>0</v>
      </c>
      <c r="GT14" s="22">
        <f t="shared" si="54"/>
        <v>0</v>
      </c>
      <c r="GU14" s="22">
        <f t="shared" si="54"/>
        <v>0</v>
      </c>
      <c r="GV14" s="22">
        <f t="shared" si="54"/>
        <v>0</v>
      </c>
      <c r="GW14" s="22">
        <f t="shared" si="54"/>
        <v>0</v>
      </c>
      <c r="GX14" s="22">
        <f t="shared" si="54"/>
        <v>0</v>
      </c>
      <c r="GY14" s="22">
        <f t="shared" si="54"/>
        <v>0</v>
      </c>
      <c r="GZ14" s="22">
        <f t="shared" si="54"/>
        <v>0</v>
      </c>
      <c r="HA14" s="22">
        <f t="shared" ref="HA14:IN14" si="55">HA13-GQ13</f>
        <v>0</v>
      </c>
      <c r="HB14" s="22">
        <f t="shared" si="55"/>
        <v>0</v>
      </c>
      <c r="HC14" s="22">
        <f t="shared" si="55"/>
        <v>0</v>
      </c>
      <c r="HD14" s="22">
        <f t="shared" si="55"/>
        <v>0</v>
      </c>
      <c r="HE14" s="22">
        <f t="shared" si="55"/>
        <v>0</v>
      </c>
      <c r="HF14" s="22">
        <f t="shared" si="55"/>
        <v>0</v>
      </c>
      <c r="HG14" s="22">
        <f t="shared" si="55"/>
        <v>0</v>
      </c>
      <c r="HH14" s="22">
        <f t="shared" si="55"/>
        <v>0</v>
      </c>
      <c r="HI14" s="22">
        <f t="shared" si="55"/>
        <v>0</v>
      </c>
      <c r="HJ14" s="22">
        <f t="shared" si="55"/>
        <v>0</v>
      </c>
      <c r="HK14" s="22">
        <f t="shared" si="55"/>
        <v>0</v>
      </c>
      <c r="HL14" s="22">
        <f t="shared" si="55"/>
        <v>0</v>
      </c>
      <c r="HM14" s="22">
        <f t="shared" si="55"/>
        <v>0</v>
      </c>
      <c r="HN14" s="22">
        <f t="shared" si="55"/>
        <v>0</v>
      </c>
      <c r="HO14" s="22">
        <f t="shared" si="55"/>
        <v>0</v>
      </c>
      <c r="HP14" s="22">
        <f t="shared" si="55"/>
        <v>0</v>
      </c>
      <c r="HQ14" s="22">
        <f t="shared" si="55"/>
        <v>0</v>
      </c>
      <c r="HR14" s="22">
        <f t="shared" si="55"/>
        <v>0</v>
      </c>
      <c r="HS14" s="22">
        <f t="shared" si="55"/>
        <v>0</v>
      </c>
      <c r="HT14" s="22">
        <f t="shared" si="55"/>
        <v>0</v>
      </c>
      <c r="HU14" s="22">
        <f t="shared" si="55"/>
        <v>0</v>
      </c>
      <c r="HV14" s="22">
        <f t="shared" si="55"/>
        <v>0</v>
      </c>
      <c r="HW14" s="22">
        <f t="shared" si="55"/>
        <v>0</v>
      </c>
      <c r="HX14" s="22">
        <f t="shared" si="55"/>
        <v>0</v>
      </c>
      <c r="HY14" s="22">
        <f t="shared" si="55"/>
        <v>0</v>
      </c>
      <c r="HZ14" s="22">
        <f t="shared" si="55"/>
        <v>0</v>
      </c>
      <c r="IA14" s="22">
        <f t="shared" si="55"/>
        <v>0</v>
      </c>
      <c r="IB14" s="22">
        <f t="shared" si="55"/>
        <v>0</v>
      </c>
      <c r="IC14" s="22">
        <f t="shared" si="55"/>
        <v>0</v>
      </c>
      <c r="ID14" s="22">
        <f t="shared" si="55"/>
        <v>0</v>
      </c>
      <c r="IE14" s="22">
        <f t="shared" si="55"/>
        <v>0</v>
      </c>
      <c r="IF14" s="22">
        <f t="shared" si="55"/>
        <v>0</v>
      </c>
      <c r="IG14" s="22">
        <f t="shared" si="55"/>
        <v>0</v>
      </c>
      <c r="IH14" s="22">
        <f t="shared" si="55"/>
        <v>0</v>
      </c>
      <c r="II14" s="22">
        <f t="shared" si="55"/>
        <v>0</v>
      </c>
      <c r="IJ14" s="22">
        <f t="shared" si="55"/>
        <v>0</v>
      </c>
      <c r="IK14" s="22">
        <f t="shared" si="55"/>
        <v>0</v>
      </c>
      <c r="IL14" s="22">
        <f t="shared" si="55"/>
        <v>0</v>
      </c>
      <c r="IM14" s="22">
        <f t="shared" si="55"/>
        <v>0</v>
      </c>
      <c r="IN14" s="22">
        <f t="shared" si="55"/>
        <v>0</v>
      </c>
    </row>
    <row r="15" spans="2:248" x14ac:dyDescent="0.3">
      <c r="B15" s="20" t="s">
        <v>519</v>
      </c>
      <c r="C15" s="43">
        <f>VLOOKUP(B2,S29:T263,2,FALSE)</f>
        <v>83783942</v>
      </c>
      <c r="E15" s="20">
        <v>0.4</v>
      </c>
      <c r="F15" s="23" t="s">
        <v>487</v>
      </c>
      <c r="G15" s="22">
        <f t="shared" ref="G15:BR15" si="56">IF(IF(AND(ISNA(G$5),ISNA(F$5)),F15*(1+$E15),IF(AND(F$5&gt;0,ISNA(G$5)),F15*(1+$E15),G$5))&gt;$C$17,$C$17,IF(AND(ISNA(G$5),ISNA(F$5)),F15*(1+$E15),IF(AND(F$5&gt;0,ISNA(G$5)),F15*(1+$E15),G$5)))</f>
        <v>130</v>
      </c>
      <c r="H15" s="22">
        <f t="shared" si="56"/>
        <v>159</v>
      </c>
      <c r="I15" s="22">
        <f t="shared" si="56"/>
        <v>196</v>
      </c>
      <c r="J15" s="22">
        <f t="shared" si="56"/>
        <v>262</v>
      </c>
      <c r="K15" s="22">
        <f t="shared" si="56"/>
        <v>482</v>
      </c>
      <c r="L15" s="22">
        <f t="shared" si="56"/>
        <v>670</v>
      </c>
      <c r="M15" s="22">
        <f t="shared" si="56"/>
        <v>799</v>
      </c>
      <c r="N15" s="22">
        <f t="shared" si="56"/>
        <v>1040</v>
      </c>
      <c r="O15" s="22">
        <f t="shared" si="56"/>
        <v>1176</v>
      </c>
      <c r="P15" s="22">
        <f t="shared" si="56"/>
        <v>1457</v>
      </c>
      <c r="Q15" s="22">
        <f t="shared" si="56"/>
        <v>1908</v>
      </c>
      <c r="R15" s="22">
        <f t="shared" si="56"/>
        <v>2078</v>
      </c>
      <c r="S15" s="22">
        <f t="shared" si="56"/>
        <v>3675</v>
      </c>
      <c r="T15" s="22">
        <f t="shared" si="56"/>
        <v>4585</v>
      </c>
      <c r="U15" s="22">
        <f t="shared" si="56"/>
        <v>5795</v>
      </c>
      <c r="V15" s="22">
        <f t="shared" si="56"/>
        <v>7272</v>
      </c>
      <c r="W15" s="22">
        <f t="shared" si="56"/>
        <v>10180.799999999999</v>
      </c>
      <c r="X15" s="22">
        <f t="shared" si="56"/>
        <v>14253.119999999999</v>
      </c>
      <c r="Y15" s="22">
        <f t="shared" si="56"/>
        <v>19954.367999999999</v>
      </c>
      <c r="Z15" s="22">
        <f t="shared" si="56"/>
        <v>27936.115199999997</v>
      </c>
      <c r="AA15" s="22">
        <f t="shared" si="56"/>
        <v>39110.561279999994</v>
      </c>
      <c r="AB15" s="22">
        <f t="shared" si="56"/>
        <v>54754.785791999988</v>
      </c>
      <c r="AC15" s="22">
        <f t="shared" si="56"/>
        <v>76656.700108799982</v>
      </c>
      <c r="AD15" s="22">
        <f t="shared" si="56"/>
        <v>107319.38015231997</v>
      </c>
      <c r="AE15" s="22">
        <f t="shared" si="56"/>
        <v>150247.13221324794</v>
      </c>
      <c r="AF15" s="22">
        <f t="shared" si="56"/>
        <v>210345.9850985471</v>
      </c>
      <c r="AG15" s="22">
        <f t="shared" si="56"/>
        <v>294484.37913796591</v>
      </c>
      <c r="AH15" s="22">
        <f t="shared" si="56"/>
        <v>412278.13079315226</v>
      </c>
      <c r="AI15" s="22">
        <f t="shared" si="56"/>
        <v>577189.38311041309</v>
      </c>
      <c r="AJ15" s="22">
        <f t="shared" si="56"/>
        <v>808065.13635457831</v>
      </c>
      <c r="AK15" s="22">
        <f t="shared" si="56"/>
        <v>1131291.1908964096</v>
      </c>
      <c r="AL15" s="22">
        <f t="shared" si="56"/>
        <v>1583807.6672549732</v>
      </c>
      <c r="AM15" s="22">
        <f t="shared" si="56"/>
        <v>2217330.7341569625</v>
      </c>
      <c r="AN15" s="22">
        <f t="shared" si="56"/>
        <v>3104263.0278197471</v>
      </c>
      <c r="AO15" s="22">
        <f t="shared" si="56"/>
        <v>4345968.2389476458</v>
      </c>
      <c r="AP15" s="22">
        <f t="shared" si="56"/>
        <v>6084355.5345267039</v>
      </c>
      <c r="AQ15" s="22">
        <f t="shared" si="56"/>
        <v>8518097.7483373843</v>
      </c>
      <c r="AR15" s="22">
        <f t="shared" si="56"/>
        <v>11925336.847672338</v>
      </c>
      <c r="AS15" s="22">
        <f t="shared" si="56"/>
        <v>16695471.586741272</v>
      </c>
      <c r="AT15" s="22">
        <f t="shared" si="56"/>
        <v>23373660.221437778</v>
      </c>
      <c r="AU15" s="22">
        <f t="shared" si="56"/>
        <v>32723124.310012888</v>
      </c>
      <c r="AV15" s="22">
        <f t="shared" si="56"/>
        <v>33513576.800000001</v>
      </c>
      <c r="AW15" s="22">
        <f t="shared" si="56"/>
        <v>33513576.800000001</v>
      </c>
      <c r="AX15" s="22">
        <f t="shared" si="56"/>
        <v>33513576.800000001</v>
      </c>
      <c r="AY15" s="22">
        <f t="shared" si="56"/>
        <v>33513576.800000001</v>
      </c>
      <c r="AZ15" s="22">
        <f t="shared" si="56"/>
        <v>33513576.800000001</v>
      </c>
      <c r="BA15" s="22">
        <f t="shared" si="56"/>
        <v>33513576.800000001</v>
      </c>
      <c r="BB15" s="22">
        <f t="shared" si="56"/>
        <v>33513576.800000001</v>
      </c>
      <c r="BC15" s="22">
        <f t="shared" si="56"/>
        <v>33513576.800000001</v>
      </c>
      <c r="BD15" s="22">
        <f t="shared" si="56"/>
        <v>33513576.800000001</v>
      </c>
      <c r="BE15" s="22">
        <f t="shared" si="56"/>
        <v>33513576.800000001</v>
      </c>
      <c r="BF15" s="22">
        <f t="shared" si="56"/>
        <v>33513576.800000001</v>
      </c>
      <c r="BG15" s="22">
        <f t="shared" si="56"/>
        <v>33513576.800000001</v>
      </c>
      <c r="BH15" s="22">
        <f t="shared" si="56"/>
        <v>33513576.800000001</v>
      </c>
      <c r="BI15" s="22">
        <f t="shared" si="56"/>
        <v>33513576.800000001</v>
      </c>
      <c r="BJ15" s="22">
        <f t="shared" si="56"/>
        <v>33513576.800000001</v>
      </c>
      <c r="BK15" s="22">
        <f t="shared" si="56"/>
        <v>33513576.800000001</v>
      </c>
      <c r="BL15" s="22">
        <f t="shared" si="56"/>
        <v>33513576.800000001</v>
      </c>
      <c r="BM15" s="22">
        <f t="shared" si="56"/>
        <v>33513576.800000001</v>
      </c>
      <c r="BN15" s="22">
        <f t="shared" si="56"/>
        <v>33513576.800000001</v>
      </c>
      <c r="BO15" s="22">
        <f t="shared" si="56"/>
        <v>33513576.800000001</v>
      </c>
      <c r="BP15" s="22">
        <f t="shared" si="56"/>
        <v>33513576.800000001</v>
      </c>
      <c r="BQ15" s="22">
        <f t="shared" si="56"/>
        <v>33513576.800000001</v>
      </c>
      <c r="BR15" s="22">
        <f t="shared" si="56"/>
        <v>33513576.800000001</v>
      </c>
      <c r="BS15" s="22">
        <f t="shared" ref="BS15:ED15" si="57">IF(IF(AND(ISNA(BS$5),ISNA(BR$5)),BR15*(1+$E15),IF(AND(BR$5&gt;0,ISNA(BS$5)),BR15*(1+$E15),BS$5))&gt;$C$17,$C$17,IF(AND(ISNA(BS$5),ISNA(BR$5)),BR15*(1+$E15),IF(AND(BR$5&gt;0,ISNA(BS$5)),BR15*(1+$E15),BS$5)))</f>
        <v>33513576.800000001</v>
      </c>
      <c r="BT15" s="22">
        <f t="shared" si="57"/>
        <v>33513576.800000001</v>
      </c>
      <c r="BU15" s="22">
        <f t="shared" si="57"/>
        <v>33513576.800000001</v>
      </c>
      <c r="BV15" s="22">
        <f t="shared" si="57"/>
        <v>33513576.800000001</v>
      </c>
      <c r="BW15" s="22">
        <f t="shared" si="57"/>
        <v>33513576.800000001</v>
      </c>
      <c r="BX15" s="22">
        <f t="shared" si="57"/>
        <v>33513576.800000001</v>
      </c>
      <c r="BY15" s="22">
        <f t="shared" si="57"/>
        <v>33513576.800000001</v>
      </c>
      <c r="BZ15" s="22">
        <f t="shared" si="57"/>
        <v>33513576.800000001</v>
      </c>
      <c r="CA15" s="22">
        <f t="shared" si="57"/>
        <v>33513576.800000001</v>
      </c>
      <c r="CB15" s="22">
        <f t="shared" si="57"/>
        <v>33513576.800000001</v>
      </c>
      <c r="CC15" s="22">
        <f t="shared" si="57"/>
        <v>33513576.800000001</v>
      </c>
      <c r="CD15" s="22">
        <f t="shared" si="57"/>
        <v>33513576.800000001</v>
      </c>
      <c r="CE15" s="22">
        <f t="shared" si="57"/>
        <v>33513576.800000001</v>
      </c>
      <c r="CF15" s="22">
        <f t="shared" si="57"/>
        <v>33513576.800000001</v>
      </c>
      <c r="CG15" s="22">
        <f t="shared" si="57"/>
        <v>33513576.800000001</v>
      </c>
      <c r="CH15" s="22">
        <f t="shared" si="57"/>
        <v>33513576.800000001</v>
      </c>
      <c r="CI15" s="22">
        <f t="shared" si="57"/>
        <v>33513576.800000001</v>
      </c>
      <c r="CJ15" s="22">
        <f t="shared" si="57"/>
        <v>33513576.800000001</v>
      </c>
      <c r="CK15" s="22">
        <f t="shared" si="57"/>
        <v>33513576.800000001</v>
      </c>
      <c r="CL15" s="22">
        <f t="shared" si="57"/>
        <v>33513576.800000001</v>
      </c>
      <c r="CM15" s="22">
        <f t="shared" si="57"/>
        <v>33513576.800000001</v>
      </c>
      <c r="CN15" s="22">
        <f t="shared" si="57"/>
        <v>33513576.800000001</v>
      </c>
      <c r="CO15" s="22">
        <f t="shared" si="57"/>
        <v>33513576.800000001</v>
      </c>
      <c r="CP15" s="22">
        <f t="shared" si="57"/>
        <v>33513576.800000001</v>
      </c>
      <c r="CQ15" s="22">
        <f t="shared" si="57"/>
        <v>33513576.800000001</v>
      </c>
      <c r="CR15" s="22">
        <f t="shared" si="57"/>
        <v>33513576.800000001</v>
      </c>
      <c r="CS15" s="22">
        <f t="shared" si="57"/>
        <v>33513576.800000001</v>
      </c>
      <c r="CT15" s="22">
        <f t="shared" si="57"/>
        <v>33513576.800000001</v>
      </c>
      <c r="CU15" s="22">
        <f t="shared" si="57"/>
        <v>33513576.800000001</v>
      </c>
      <c r="CV15" s="22">
        <f t="shared" si="57"/>
        <v>33513576.800000001</v>
      </c>
      <c r="CW15" s="22">
        <f t="shared" si="57"/>
        <v>33513576.800000001</v>
      </c>
      <c r="CX15" s="22">
        <f t="shared" si="57"/>
        <v>33513576.800000001</v>
      </c>
      <c r="CY15" s="22">
        <f t="shared" si="57"/>
        <v>33513576.800000001</v>
      </c>
      <c r="CZ15" s="22">
        <f t="shared" si="57"/>
        <v>33513576.800000001</v>
      </c>
      <c r="DA15" s="22">
        <f t="shared" si="57"/>
        <v>33513576.800000001</v>
      </c>
      <c r="DB15" s="22">
        <f t="shared" si="57"/>
        <v>33513576.800000001</v>
      </c>
      <c r="DC15" s="22">
        <f t="shared" si="57"/>
        <v>33513576.800000001</v>
      </c>
      <c r="DD15" s="22">
        <f t="shared" si="57"/>
        <v>33513576.800000001</v>
      </c>
      <c r="DE15" s="22">
        <f t="shared" si="57"/>
        <v>33513576.800000001</v>
      </c>
      <c r="DF15" s="22">
        <f t="shared" si="57"/>
        <v>33513576.800000001</v>
      </c>
      <c r="DG15" s="22">
        <f t="shared" si="57"/>
        <v>33513576.800000001</v>
      </c>
      <c r="DH15" s="22">
        <f t="shared" si="57"/>
        <v>33513576.800000001</v>
      </c>
      <c r="DI15" s="22">
        <f t="shared" si="57"/>
        <v>33513576.800000001</v>
      </c>
      <c r="DJ15" s="22">
        <f t="shared" si="57"/>
        <v>33513576.800000001</v>
      </c>
      <c r="DK15" s="22">
        <f t="shared" si="57"/>
        <v>33513576.800000001</v>
      </c>
      <c r="DL15" s="22">
        <f t="shared" si="57"/>
        <v>33513576.800000001</v>
      </c>
      <c r="DM15" s="22">
        <f t="shared" si="57"/>
        <v>33513576.800000001</v>
      </c>
      <c r="DN15" s="22">
        <f t="shared" si="57"/>
        <v>33513576.800000001</v>
      </c>
      <c r="DO15" s="22">
        <f t="shared" si="57"/>
        <v>33513576.800000001</v>
      </c>
      <c r="DP15" s="22">
        <f t="shared" si="57"/>
        <v>33513576.800000001</v>
      </c>
      <c r="DQ15" s="22">
        <f t="shared" si="57"/>
        <v>33513576.800000001</v>
      </c>
      <c r="DR15" s="22">
        <f t="shared" si="57"/>
        <v>33513576.800000001</v>
      </c>
      <c r="DS15" s="22">
        <f t="shared" si="57"/>
        <v>33513576.800000001</v>
      </c>
      <c r="DT15" s="22">
        <f t="shared" si="57"/>
        <v>33513576.800000001</v>
      </c>
      <c r="DU15" s="22">
        <f t="shared" si="57"/>
        <v>33513576.800000001</v>
      </c>
      <c r="DV15" s="22">
        <f t="shared" si="57"/>
        <v>33513576.800000001</v>
      </c>
      <c r="DW15" s="22">
        <f t="shared" si="57"/>
        <v>33513576.800000001</v>
      </c>
      <c r="DX15" s="22">
        <f t="shared" si="57"/>
        <v>33513576.800000001</v>
      </c>
      <c r="DY15" s="22">
        <f t="shared" si="57"/>
        <v>33513576.800000001</v>
      </c>
      <c r="DZ15" s="22">
        <f t="shared" si="57"/>
        <v>33513576.800000001</v>
      </c>
      <c r="EA15" s="22">
        <f t="shared" si="57"/>
        <v>33513576.800000001</v>
      </c>
      <c r="EB15" s="22">
        <f t="shared" si="57"/>
        <v>33513576.800000001</v>
      </c>
      <c r="EC15" s="22">
        <f t="shared" si="57"/>
        <v>33513576.800000001</v>
      </c>
      <c r="ED15" s="22">
        <f t="shared" si="57"/>
        <v>33513576.800000001</v>
      </c>
      <c r="EE15" s="22">
        <f t="shared" ref="EE15:GP15" si="58">IF(IF(AND(ISNA(EE$5),ISNA(ED$5)),ED15*(1+$E15),IF(AND(ED$5&gt;0,ISNA(EE$5)),ED15*(1+$E15),EE$5))&gt;$C$17,$C$17,IF(AND(ISNA(EE$5),ISNA(ED$5)),ED15*(1+$E15),IF(AND(ED$5&gt;0,ISNA(EE$5)),ED15*(1+$E15),EE$5)))</f>
        <v>33513576.800000001</v>
      </c>
      <c r="EF15" s="22">
        <f t="shared" si="58"/>
        <v>33513576.800000001</v>
      </c>
      <c r="EG15" s="22">
        <f t="shared" si="58"/>
        <v>33513576.800000001</v>
      </c>
      <c r="EH15" s="22">
        <f t="shared" si="58"/>
        <v>33513576.800000001</v>
      </c>
      <c r="EI15" s="22">
        <f t="shared" si="58"/>
        <v>33513576.800000001</v>
      </c>
      <c r="EJ15" s="22">
        <f t="shared" si="58"/>
        <v>33513576.800000001</v>
      </c>
      <c r="EK15" s="22">
        <f t="shared" si="58"/>
        <v>33513576.800000001</v>
      </c>
      <c r="EL15" s="22">
        <f t="shared" si="58"/>
        <v>33513576.800000001</v>
      </c>
      <c r="EM15" s="22">
        <f t="shared" si="58"/>
        <v>33513576.800000001</v>
      </c>
      <c r="EN15" s="22">
        <f t="shared" si="58"/>
        <v>33513576.800000001</v>
      </c>
      <c r="EO15" s="22">
        <f t="shared" si="58"/>
        <v>33513576.800000001</v>
      </c>
      <c r="EP15" s="22">
        <f t="shared" si="58"/>
        <v>33513576.800000001</v>
      </c>
      <c r="EQ15" s="22">
        <f t="shared" si="58"/>
        <v>33513576.800000001</v>
      </c>
      <c r="ER15" s="22">
        <f t="shared" si="58"/>
        <v>33513576.800000001</v>
      </c>
      <c r="ES15" s="22">
        <f t="shared" si="58"/>
        <v>33513576.800000001</v>
      </c>
      <c r="ET15" s="22">
        <f t="shared" si="58"/>
        <v>33513576.800000001</v>
      </c>
      <c r="EU15" s="22">
        <f t="shared" si="58"/>
        <v>33513576.800000001</v>
      </c>
      <c r="EV15" s="22">
        <f t="shared" si="58"/>
        <v>33513576.800000001</v>
      </c>
      <c r="EW15" s="22">
        <f t="shared" si="58"/>
        <v>33513576.800000001</v>
      </c>
      <c r="EX15" s="22">
        <f t="shared" si="58"/>
        <v>33513576.800000001</v>
      </c>
      <c r="EY15" s="22">
        <f t="shared" si="58"/>
        <v>33513576.800000001</v>
      </c>
      <c r="EZ15" s="22">
        <f t="shared" si="58"/>
        <v>33513576.800000001</v>
      </c>
      <c r="FA15" s="22">
        <f t="shared" si="58"/>
        <v>33513576.800000001</v>
      </c>
      <c r="FB15" s="22">
        <f t="shared" si="58"/>
        <v>33513576.800000001</v>
      </c>
      <c r="FC15" s="22">
        <f t="shared" si="58"/>
        <v>33513576.800000001</v>
      </c>
      <c r="FD15" s="22">
        <f t="shared" si="58"/>
        <v>33513576.800000001</v>
      </c>
      <c r="FE15" s="22">
        <f t="shared" si="58"/>
        <v>33513576.800000001</v>
      </c>
      <c r="FF15" s="22">
        <f t="shared" si="58"/>
        <v>33513576.800000001</v>
      </c>
      <c r="FG15" s="22">
        <f t="shared" si="58"/>
        <v>33513576.800000001</v>
      </c>
      <c r="FH15" s="22">
        <f t="shared" si="58"/>
        <v>33513576.800000001</v>
      </c>
      <c r="FI15" s="22">
        <f t="shared" si="58"/>
        <v>33513576.800000001</v>
      </c>
      <c r="FJ15" s="22">
        <f t="shared" si="58"/>
        <v>33513576.800000001</v>
      </c>
      <c r="FK15" s="22">
        <f t="shared" si="58"/>
        <v>33513576.800000001</v>
      </c>
      <c r="FL15" s="22">
        <f t="shared" si="58"/>
        <v>33513576.800000001</v>
      </c>
      <c r="FM15" s="22">
        <f t="shared" si="58"/>
        <v>33513576.800000001</v>
      </c>
      <c r="FN15" s="22">
        <f t="shared" si="58"/>
        <v>33513576.800000001</v>
      </c>
      <c r="FO15" s="22">
        <f t="shared" si="58"/>
        <v>33513576.800000001</v>
      </c>
      <c r="FP15" s="22">
        <f t="shared" si="58"/>
        <v>33513576.800000001</v>
      </c>
      <c r="FQ15" s="22">
        <f t="shared" si="58"/>
        <v>33513576.800000001</v>
      </c>
      <c r="FR15" s="22">
        <f t="shared" si="58"/>
        <v>33513576.800000001</v>
      </c>
      <c r="FS15" s="22">
        <f t="shared" si="58"/>
        <v>33513576.800000001</v>
      </c>
      <c r="FT15" s="22">
        <f t="shared" si="58"/>
        <v>33513576.800000001</v>
      </c>
      <c r="FU15" s="22">
        <f t="shared" si="58"/>
        <v>33513576.800000001</v>
      </c>
      <c r="FV15" s="22">
        <f t="shared" si="58"/>
        <v>33513576.800000001</v>
      </c>
      <c r="FW15" s="22">
        <f t="shared" si="58"/>
        <v>33513576.800000001</v>
      </c>
      <c r="FX15" s="22">
        <f t="shared" si="58"/>
        <v>33513576.800000001</v>
      </c>
      <c r="FY15" s="22">
        <f t="shared" si="58"/>
        <v>33513576.800000001</v>
      </c>
      <c r="FZ15" s="22">
        <f t="shared" si="58"/>
        <v>33513576.800000001</v>
      </c>
      <c r="GA15" s="22">
        <f t="shared" si="58"/>
        <v>33513576.800000001</v>
      </c>
      <c r="GB15" s="22">
        <f t="shared" si="58"/>
        <v>33513576.800000001</v>
      </c>
      <c r="GC15" s="22">
        <f t="shared" si="58"/>
        <v>33513576.800000001</v>
      </c>
      <c r="GD15" s="22">
        <f t="shared" si="58"/>
        <v>33513576.800000001</v>
      </c>
      <c r="GE15" s="22">
        <f t="shared" si="58"/>
        <v>33513576.800000001</v>
      </c>
      <c r="GF15" s="22">
        <f t="shared" si="58"/>
        <v>33513576.800000001</v>
      </c>
      <c r="GG15" s="22">
        <f t="shared" si="58"/>
        <v>33513576.800000001</v>
      </c>
      <c r="GH15" s="22">
        <f t="shared" si="58"/>
        <v>33513576.800000001</v>
      </c>
      <c r="GI15" s="22">
        <f t="shared" si="58"/>
        <v>33513576.800000001</v>
      </c>
      <c r="GJ15" s="22">
        <f t="shared" si="58"/>
        <v>33513576.800000001</v>
      </c>
      <c r="GK15" s="22">
        <f t="shared" si="58"/>
        <v>33513576.800000001</v>
      </c>
      <c r="GL15" s="22">
        <f t="shared" si="58"/>
        <v>33513576.800000001</v>
      </c>
      <c r="GM15" s="22">
        <f t="shared" si="58"/>
        <v>33513576.800000001</v>
      </c>
      <c r="GN15" s="22">
        <f t="shared" si="58"/>
        <v>33513576.800000001</v>
      </c>
      <c r="GO15" s="22">
        <f t="shared" si="58"/>
        <v>33513576.800000001</v>
      </c>
      <c r="GP15" s="22">
        <f t="shared" si="58"/>
        <v>33513576.800000001</v>
      </c>
      <c r="GQ15" s="22">
        <f t="shared" ref="GQ15:IN15" si="59">IF(IF(AND(ISNA(GQ$5),ISNA(GP$5)),GP15*(1+$E15),IF(AND(GP$5&gt;0,ISNA(GQ$5)),GP15*(1+$E15),GQ$5))&gt;$C$17,$C$17,IF(AND(ISNA(GQ$5),ISNA(GP$5)),GP15*(1+$E15),IF(AND(GP$5&gt;0,ISNA(GQ$5)),GP15*(1+$E15),GQ$5)))</f>
        <v>33513576.800000001</v>
      </c>
      <c r="GR15" s="22">
        <f t="shared" si="59"/>
        <v>33513576.800000001</v>
      </c>
      <c r="GS15" s="22">
        <f t="shared" si="59"/>
        <v>33513576.800000001</v>
      </c>
      <c r="GT15" s="22">
        <f t="shared" si="59"/>
        <v>33513576.800000001</v>
      </c>
      <c r="GU15" s="22">
        <f t="shared" si="59"/>
        <v>33513576.800000001</v>
      </c>
      <c r="GV15" s="22">
        <f t="shared" si="59"/>
        <v>33513576.800000001</v>
      </c>
      <c r="GW15" s="22">
        <f t="shared" si="59"/>
        <v>33513576.800000001</v>
      </c>
      <c r="GX15" s="22">
        <f t="shared" si="59"/>
        <v>33513576.800000001</v>
      </c>
      <c r="GY15" s="22">
        <f t="shared" si="59"/>
        <v>33513576.800000001</v>
      </c>
      <c r="GZ15" s="22">
        <f t="shared" si="59"/>
        <v>33513576.800000001</v>
      </c>
      <c r="HA15" s="22">
        <f t="shared" si="59"/>
        <v>33513576.800000001</v>
      </c>
      <c r="HB15" s="22">
        <f t="shared" si="59"/>
        <v>33513576.800000001</v>
      </c>
      <c r="HC15" s="22">
        <f t="shared" si="59"/>
        <v>33513576.800000001</v>
      </c>
      <c r="HD15" s="22">
        <f t="shared" si="59"/>
        <v>33513576.800000001</v>
      </c>
      <c r="HE15" s="22">
        <f t="shared" si="59"/>
        <v>33513576.800000001</v>
      </c>
      <c r="HF15" s="22">
        <f t="shared" si="59"/>
        <v>33513576.800000001</v>
      </c>
      <c r="HG15" s="22">
        <f t="shared" si="59"/>
        <v>33513576.800000001</v>
      </c>
      <c r="HH15" s="22">
        <f t="shared" si="59"/>
        <v>33513576.800000001</v>
      </c>
      <c r="HI15" s="22">
        <f t="shared" si="59"/>
        <v>33513576.800000001</v>
      </c>
      <c r="HJ15" s="22">
        <f t="shared" si="59"/>
        <v>33513576.800000001</v>
      </c>
      <c r="HK15" s="22">
        <f t="shared" si="59"/>
        <v>33513576.800000001</v>
      </c>
      <c r="HL15" s="22">
        <f t="shared" si="59"/>
        <v>33513576.800000001</v>
      </c>
      <c r="HM15" s="22">
        <f t="shared" si="59"/>
        <v>33513576.800000001</v>
      </c>
      <c r="HN15" s="22">
        <f t="shared" si="59"/>
        <v>33513576.800000001</v>
      </c>
      <c r="HO15" s="22">
        <f t="shared" si="59"/>
        <v>33513576.800000001</v>
      </c>
      <c r="HP15" s="22">
        <f t="shared" si="59"/>
        <v>33513576.800000001</v>
      </c>
      <c r="HQ15" s="22">
        <f t="shared" si="59"/>
        <v>33513576.800000001</v>
      </c>
      <c r="HR15" s="22">
        <f t="shared" si="59"/>
        <v>33513576.800000001</v>
      </c>
      <c r="HS15" s="22">
        <f t="shared" si="59"/>
        <v>33513576.800000001</v>
      </c>
      <c r="HT15" s="22">
        <f t="shared" si="59"/>
        <v>33513576.800000001</v>
      </c>
      <c r="HU15" s="22">
        <f t="shared" si="59"/>
        <v>33513576.800000001</v>
      </c>
      <c r="HV15" s="22">
        <f t="shared" si="59"/>
        <v>33513576.800000001</v>
      </c>
      <c r="HW15" s="22">
        <f t="shared" si="59"/>
        <v>33513576.800000001</v>
      </c>
      <c r="HX15" s="22">
        <f t="shared" si="59"/>
        <v>33513576.800000001</v>
      </c>
      <c r="HY15" s="22">
        <f t="shared" si="59"/>
        <v>33513576.800000001</v>
      </c>
      <c r="HZ15" s="22">
        <f t="shared" si="59"/>
        <v>33513576.800000001</v>
      </c>
      <c r="IA15" s="22">
        <f t="shared" si="59"/>
        <v>33513576.800000001</v>
      </c>
      <c r="IB15" s="22">
        <f t="shared" si="59"/>
        <v>33513576.800000001</v>
      </c>
      <c r="IC15" s="22">
        <f t="shared" si="59"/>
        <v>33513576.800000001</v>
      </c>
      <c r="ID15" s="22">
        <f t="shared" si="59"/>
        <v>33513576.800000001</v>
      </c>
      <c r="IE15" s="22">
        <f t="shared" si="59"/>
        <v>33513576.800000001</v>
      </c>
      <c r="IF15" s="22">
        <f t="shared" si="59"/>
        <v>33513576.800000001</v>
      </c>
      <c r="IG15" s="22">
        <f t="shared" si="59"/>
        <v>33513576.800000001</v>
      </c>
      <c r="IH15" s="22">
        <f t="shared" si="59"/>
        <v>33513576.800000001</v>
      </c>
      <c r="II15" s="22">
        <f t="shared" si="59"/>
        <v>33513576.800000001</v>
      </c>
      <c r="IJ15" s="22">
        <f t="shared" si="59"/>
        <v>33513576.800000001</v>
      </c>
      <c r="IK15" s="22">
        <f t="shared" si="59"/>
        <v>33513576.800000001</v>
      </c>
      <c r="IL15" s="22">
        <f t="shared" si="59"/>
        <v>33513576.800000001</v>
      </c>
      <c r="IM15" s="22">
        <f t="shared" si="59"/>
        <v>33513576.800000001</v>
      </c>
      <c r="IN15" s="22">
        <f t="shared" si="59"/>
        <v>33513576.800000001</v>
      </c>
    </row>
    <row r="16" spans="2:248" x14ac:dyDescent="0.3">
      <c r="B16" s="20" t="s">
        <v>617</v>
      </c>
      <c r="C16" s="62">
        <v>0.4</v>
      </c>
      <c r="F16" s="20" t="s">
        <v>618</v>
      </c>
      <c r="G16" s="22">
        <f t="shared" ref="G16:P16" si="60">G15</f>
        <v>130</v>
      </c>
      <c r="H16" s="22">
        <f t="shared" si="60"/>
        <v>159</v>
      </c>
      <c r="I16" s="22">
        <f t="shared" si="60"/>
        <v>196</v>
      </c>
      <c r="J16" s="22">
        <f t="shared" si="60"/>
        <v>262</v>
      </c>
      <c r="K16" s="22">
        <f t="shared" si="60"/>
        <v>482</v>
      </c>
      <c r="L16" s="22">
        <f t="shared" si="60"/>
        <v>670</v>
      </c>
      <c r="M16" s="22">
        <f t="shared" si="60"/>
        <v>799</v>
      </c>
      <c r="N16" s="22">
        <f t="shared" si="60"/>
        <v>1040</v>
      </c>
      <c r="O16" s="22">
        <f t="shared" si="60"/>
        <v>1176</v>
      </c>
      <c r="P16" s="22">
        <f t="shared" si="60"/>
        <v>1457</v>
      </c>
      <c r="Q16" s="22">
        <f t="shared" ref="Q16:CB16" si="61">Q15-G15</f>
        <v>1778</v>
      </c>
      <c r="R16" s="22">
        <f t="shared" si="61"/>
        <v>1919</v>
      </c>
      <c r="S16" s="22">
        <f t="shared" si="61"/>
        <v>3479</v>
      </c>
      <c r="T16" s="22">
        <f t="shared" si="61"/>
        <v>4323</v>
      </c>
      <c r="U16" s="22">
        <f t="shared" si="61"/>
        <v>5313</v>
      </c>
      <c r="V16" s="22">
        <f t="shared" si="61"/>
        <v>6602</v>
      </c>
      <c r="W16" s="22">
        <f t="shared" si="61"/>
        <v>9381.7999999999993</v>
      </c>
      <c r="X16" s="22">
        <f t="shared" si="61"/>
        <v>13213.119999999999</v>
      </c>
      <c r="Y16" s="22">
        <f t="shared" si="61"/>
        <v>18778.367999999999</v>
      </c>
      <c r="Z16" s="22">
        <f t="shared" si="61"/>
        <v>26479.115199999997</v>
      </c>
      <c r="AA16" s="22">
        <f t="shared" si="61"/>
        <v>37202.561279999994</v>
      </c>
      <c r="AB16" s="22">
        <f t="shared" si="61"/>
        <v>52676.785791999988</v>
      </c>
      <c r="AC16" s="22">
        <f t="shared" si="61"/>
        <v>72981.700108799982</v>
      </c>
      <c r="AD16" s="22">
        <f t="shared" si="61"/>
        <v>102734.38015231997</v>
      </c>
      <c r="AE16" s="22">
        <f t="shared" si="61"/>
        <v>144452.13221324794</v>
      </c>
      <c r="AF16" s="22">
        <f t="shared" si="61"/>
        <v>203073.9850985471</v>
      </c>
      <c r="AG16" s="22">
        <f t="shared" si="61"/>
        <v>284303.57913796592</v>
      </c>
      <c r="AH16" s="22">
        <f t="shared" si="61"/>
        <v>398025.01079315227</v>
      </c>
      <c r="AI16" s="22">
        <f t="shared" si="61"/>
        <v>557235.01511041308</v>
      </c>
      <c r="AJ16" s="22">
        <f t="shared" si="61"/>
        <v>780129.02115457831</v>
      </c>
      <c r="AK16" s="22">
        <f t="shared" si="61"/>
        <v>1092180.6296164095</v>
      </c>
      <c r="AL16" s="22">
        <f t="shared" si="61"/>
        <v>1529052.8814629733</v>
      </c>
      <c r="AM16" s="22">
        <f t="shared" si="61"/>
        <v>2140674.0340481624</v>
      </c>
      <c r="AN16" s="22">
        <f t="shared" si="61"/>
        <v>2996943.6476674271</v>
      </c>
      <c r="AO16" s="22">
        <f t="shared" si="61"/>
        <v>4195721.1067343978</v>
      </c>
      <c r="AP16" s="22">
        <f t="shared" si="61"/>
        <v>5874009.5494281566</v>
      </c>
      <c r="AQ16" s="22">
        <f t="shared" si="61"/>
        <v>8223613.3691994185</v>
      </c>
      <c r="AR16" s="22">
        <f t="shared" si="61"/>
        <v>11513058.716879185</v>
      </c>
      <c r="AS16" s="22">
        <f t="shared" si="61"/>
        <v>16118282.203630859</v>
      </c>
      <c r="AT16" s="22">
        <f t="shared" si="61"/>
        <v>22565595.085083202</v>
      </c>
      <c r="AU16" s="22">
        <f t="shared" si="61"/>
        <v>31591833.119116478</v>
      </c>
      <c r="AV16" s="22">
        <f t="shared" si="61"/>
        <v>31929769.132745028</v>
      </c>
      <c r="AW16" s="22">
        <f t="shared" si="61"/>
        <v>31296246.065843038</v>
      </c>
      <c r="AX16" s="22">
        <f t="shared" si="61"/>
        <v>30409313.772180252</v>
      </c>
      <c r="AY16" s="22">
        <f t="shared" si="61"/>
        <v>29167608.561052356</v>
      </c>
      <c r="AZ16" s="22">
        <f t="shared" si="61"/>
        <v>27429221.265473299</v>
      </c>
      <c r="BA16" s="22">
        <f t="shared" si="61"/>
        <v>24995479.051662616</v>
      </c>
      <c r="BB16" s="22">
        <f t="shared" si="61"/>
        <v>21588239.952327661</v>
      </c>
      <c r="BC16" s="22">
        <f t="shared" si="61"/>
        <v>16818105.213258728</v>
      </c>
      <c r="BD16" s="22">
        <f t="shared" si="61"/>
        <v>10139916.578562222</v>
      </c>
      <c r="BE16" s="22">
        <f t="shared" si="61"/>
        <v>790452.48998711258</v>
      </c>
      <c r="BF16" s="22">
        <f t="shared" si="61"/>
        <v>0</v>
      </c>
      <c r="BG16" s="22">
        <f t="shared" si="61"/>
        <v>0</v>
      </c>
      <c r="BH16" s="22">
        <f t="shared" si="61"/>
        <v>0</v>
      </c>
      <c r="BI16" s="22">
        <f t="shared" si="61"/>
        <v>0</v>
      </c>
      <c r="BJ16" s="22">
        <f t="shared" si="61"/>
        <v>0</v>
      </c>
      <c r="BK16" s="22">
        <f t="shared" si="61"/>
        <v>0</v>
      </c>
      <c r="BL16" s="22">
        <f t="shared" si="61"/>
        <v>0</v>
      </c>
      <c r="BM16" s="22">
        <f t="shared" si="61"/>
        <v>0</v>
      </c>
      <c r="BN16" s="22">
        <f t="shared" si="61"/>
        <v>0</v>
      </c>
      <c r="BO16" s="22">
        <f t="shared" si="61"/>
        <v>0</v>
      </c>
      <c r="BP16" s="22">
        <f t="shared" si="61"/>
        <v>0</v>
      </c>
      <c r="BQ16" s="22">
        <f t="shared" si="61"/>
        <v>0</v>
      </c>
      <c r="BR16" s="22">
        <f t="shared" si="61"/>
        <v>0</v>
      </c>
      <c r="BS16" s="22">
        <f t="shared" si="61"/>
        <v>0</v>
      </c>
      <c r="BT16" s="22">
        <f t="shared" si="61"/>
        <v>0</v>
      </c>
      <c r="BU16" s="22">
        <f t="shared" si="61"/>
        <v>0</v>
      </c>
      <c r="BV16" s="22">
        <f t="shared" si="61"/>
        <v>0</v>
      </c>
      <c r="BW16" s="22">
        <f t="shared" si="61"/>
        <v>0</v>
      </c>
      <c r="BX16" s="22">
        <f t="shared" si="61"/>
        <v>0</v>
      </c>
      <c r="BY16" s="22">
        <f t="shared" si="61"/>
        <v>0</v>
      </c>
      <c r="BZ16" s="22">
        <f t="shared" si="61"/>
        <v>0</v>
      </c>
      <c r="CA16" s="22">
        <f t="shared" si="61"/>
        <v>0</v>
      </c>
      <c r="CB16" s="22">
        <f t="shared" si="61"/>
        <v>0</v>
      </c>
      <c r="CC16" s="22">
        <f t="shared" ref="CC16:EN16" si="62">CC15-BS15</f>
        <v>0</v>
      </c>
      <c r="CD16" s="22">
        <f t="shared" si="62"/>
        <v>0</v>
      </c>
      <c r="CE16" s="22">
        <f t="shared" si="62"/>
        <v>0</v>
      </c>
      <c r="CF16" s="22">
        <f t="shared" si="62"/>
        <v>0</v>
      </c>
      <c r="CG16" s="22">
        <f t="shared" si="62"/>
        <v>0</v>
      </c>
      <c r="CH16" s="22">
        <f t="shared" si="62"/>
        <v>0</v>
      </c>
      <c r="CI16" s="22">
        <f t="shared" si="62"/>
        <v>0</v>
      </c>
      <c r="CJ16" s="22">
        <f t="shared" si="62"/>
        <v>0</v>
      </c>
      <c r="CK16" s="22">
        <f t="shared" si="62"/>
        <v>0</v>
      </c>
      <c r="CL16" s="22">
        <f t="shared" si="62"/>
        <v>0</v>
      </c>
      <c r="CM16" s="22">
        <f t="shared" si="62"/>
        <v>0</v>
      </c>
      <c r="CN16" s="22">
        <f t="shared" si="62"/>
        <v>0</v>
      </c>
      <c r="CO16" s="22">
        <f t="shared" si="62"/>
        <v>0</v>
      </c>
      <c r="CP16" s="22">
        <f t="shared" si="62"/>
        <v>0</v>
      </c>
      <c r="CQ16" s="22">
        <f t="shared" si="62"/>
        <v>0</v>
      </c>
      <c r="CR16" s="22">
        <f t="shared" si="62"/>
        <v>0</v>
      </c>
      <c r="CS16" s="22">
        <f t="shared" si="62"/>
        <v>0</v>
      </c>
      <c r="CT16" s="22">
        <f t="shared" si="62"/>
        <v>0</v>
      </c>
      <c r="CU16" s="22">
        <f t="shared" si="62"/>
        <v>0</v>
      </c>
      <c r="CV16" s="22">
        <f t="shared" si="62"/>
        <v>0</v>
      </c>
      <c r="CW16" s="22">
        <f t="shared" si="62"/>
        <v>0</v>
      </c>
      <c r="CX16" s="22">
        <f t="shared" si="62"/>
        <v>0</v>
      </c>
      <c r="CY16" s="22">
        <f t="shared" si="62"/>
        <v>0</v>
      </c>
      <c r="CZ16" s="22">
        <f t="shared" si="62"/>
        <v>0</v>
      </c>
      <c r="DA16" s="22">
        <f t="shared" si="62"/>
        <v>0</v>
      </c>
      <c r="DB16" s="22">
        <f t="shared" si="62"/>
        <v>0</v>
      </c>
      <c r="DC16" s="22">
        <f t="shared" si="62"/>
        <v>0</v>
      </c>
      <c r="DD16" s="22">
        <f t="shared" si="62"/>
        <v>0</v>
      </c>
      <c r="DE16" s="22">
        <f t="shared" si="62"/>
        <v>0</v>
      </c>
      <c r="DF16" s="22">
        <f t="shared" si="62"/>
        <v>0</v>
      </c>
      <c r="DG16" s="22">
        <f t="shared" si="62"/>
        <v>0</v>
      </c>
      <c r="DH16" s="22">
        <f t="shared" si="62"/>
        <v>0</v>
      </c>
      <c r="DI16" s="22">
        <f t="shared" si="62"/>
        <v>0</v>
      </c>
      <c r="DJ16" s="22">
        <f t="shared" si="62"/>
        <v>0</v>
      </c>
      <c r="DK16" s="22">
        <f t="shared" si="62"/>
        <v>0</v>
      </c>
      <c r="DL16" s="22">
        <f t="shared" si="62"/>
        <v>0</v>
      </c>
      <c r="DM16" s="22">
        <f t="shared" si="62"/>
        <v>0</v>
      </c>
      <c r="DN16" s="22">
        <f t="shared" si="62"/>
        <v>0</v>
      </c>
      <c r="DO16" s="22">
        <f t="shared" si="62"/>
        <v>0</v>
      </c>
      <c r="DP16" s="22">
        <f t="shared" si="62"/>
        <v>0</v>
      </c>
      <c r="DQ16" s="22">
        <f t="shared" si="62"/>
        <v>0</v>
      </c>
      <c r="DR16" s="22">
        <f t="shared" si="62"/>
        <v>0</v>
      </c>
      <c r="DS16" s="22">
        <f t="shared" si="62"/>
        <v>0</v>
      </c>
      <c r="DT16" s="22">
        <f t="shared" si="62"/>
        <v>0</v>
      </c>
      <c r="DU16" s="22">
        <f t="shared" si="62"/>
        <v>0</v>
      </c>
      <c r="DV16" s="22">
        <f t="shared" si="62"/>
        <v>0</v>
      </c>
      <c r="DW16" s="22">
        <f t="shared" si="62"/>
        <v>0</v>
      </c>
      <c r="DX16" s="22">
        <f t="shared" si="62"/>
        <v>0</v>
      </c>
      <c r="DY16" s="22">
        <f t="shared" si="62"/>
        <v>0</v>
      </c>
      <c r="DZ16" s="22">
        <f t="shared" si="62"/>
        <v>0</v>
      </c>
      <c r="EA16" s="22">
        <f t="shared" si="62"/>
        <v>0</v>
      </c>
      <c r="EB16" s="22">
        <f t="shared" si="62"/>
        <v>0</v>
      </c>
      <c r="EC16" s="22">
        <f t="shared" si="62"/>
        <v>0</v>
      </c>
      <c r="ED16" s="22">
        <f t="shared" si="62"/>
        <v>0</v>
      </c>
      <c r="EE16" s="22">
        <f t="shared" si="62"/>
        <v>0</v>
      </c>
      <c r="EF16" s="22">
        <f t="shared" si="62"/>
        <v>0</v>
      </c>
      <c r="EG16" s="22">
        <f t="shared" si="62"/>
        <v>0</v>
      </c>
      <c r="EH16" s="22">
        <f t="shared" si="62"/>
        <v>0</v>
      </c>
      <c r="EI16" s="22">
        <f t="shared" si="62"/>
        <v>0</v>
      </c>
      <c r="EJ16" s="22">
        <f t="shared" si="62"/>
        <v>0</v>
      </c>
      <c r="EK16" s="22">
        <f t="shared" si="62"/>
        <v>0</v>
      </c>
      <c r="EL16" s="22">
        <f t="shared" si="62"/>
        <v>0</v>
      </c>
      <c r="EM16" s="22">
        <f t="shared" si="62"/>
        <v>0</v>
      </c>
      <c r="EN16" s="22">
        <f t="shared" si="62"/>
        <v>0</v>
      </c>
      <c r="EO16" s="22">
        <f t="shared" ref="EO16:GZ16" si="63">EO15-EE15</f>
        <v>0</v>
      </c>
      <c r="EP16" s="22">
        <f t="shared" si="63"/>
        <v>0</v>
      </c>
      <c r="EQ16" s="22">
        <f t="shared" si="63"/>
        <v>0</v>
      </c>
      <c r="ER16" s="22">
        <f t="shared" si="63"/>
        <v>0</v>
      </c>
      <c r="ES16" s="22">
        <f t="shared" si="63"/>
        <v>0</v>
      </c>
      <c r="ET16" s="22">
        <f t="shared" si="63"/>
        <v>0</v>
      </c>
      <c r="EU16" s="22">
        <f t="shared" si="63"/>
        <v>0</v>
      </c>
      <c r="EV16" s="22">
        <f t="shared" si="63"/>
        <v>0</v>
      </c>
      <c r="EW16" s="22">
        <f t="shared" si="63"/>
        <v>0</v>
      </c>
      <c r="EX16" s="22">
        <f t="shared" si="63"/>
        <v>0</v>
      </c>
      <c r="EY16" s="22">
        <f t="shared" si="63"/>
        <v>0</v>
      </c>
      <c r="EZ16" s="22">
        <f t="shared" si="63"/>
        <v>0</v>
      </c>
      <c r="FA16" s="22">
        <f t="shared" si="63"/>
        <v>0</v>
      </c>
      <c r="FB16" s="22">
        <f t="shared" si="63"/>
        <v>0</v>
      </c>
      <c r="FC16" s="22">
        <f t="shared" si="63"/>
        <v>0</v>
      </c>
      <c r="FD16" s="22">
        <f t="shared" si="63"/>
        <v>0</v>
      </c>
      <c r="FE16" s="22">
        <f t="shared" si="63"/>
        <v>0</v>
      </c>
      <c r="FF16" s="22">
        <f t="shared" si="63"/>
        <v>0</v>
      </c>
      <c r="FG16" s="22">
        <f t="shared" si="63"/>
        <v>0</v>
      </c>
      <c r="FH16" s="22">
        <f t="shared" si="63"/>
        <v>0</v>
      </c>
      <c r="FI16" s="22">
        <f t="shared" si="63"/>
        <v>0</v>
      </c>
      <c r="FJ16" s="22">
        <f t="shared" si="63"/>
        <v>0</v>
      </c>
      <c r="FK16" s="22">
        <f t="shared" si="63"/>
        <v>0</v>
      </c>
      <c r="FL16" s="22">
        <f t="shared" si="63"/>
        <v>0</v>
      </c>
      <c r="FM16" s="22">
        <f t="shared" si="63"/>
        <v>0</v>
      </c>
      <c r="FN16" s="22">
        <f t="shared" si="63"/>
        <v>0</v>
      </c>
      <c r="FO16" s="22">
        <f t="shared" si="63"/>
        <v>0</v>
      </c>
      <c r="FP16" s="22">
        <f t="shared" si="63"/>
        <v>0</v>
      </c>
      <c r="FQ16" s="22">
        <f t="shared" si="63"/>
        <v>0</v>
      </c>
      <c r="FR16" s="22">
        <f t="shared" si="63"/>
        <v>0</v>
      </c>
      <c r="FS16" s="22">
        <f t="shared" si="63"/>
        <v>0</v>
      </c>
      <c r="FT16" s="22">
        <f t="shared" si="63"/>
        <v>0</v>
      </c>
      <c r="FU16" s="22">
        <f t="shared" si="63"/>
        <v>0</v>
      </c>
      <c r="FV16" s="22">
        <f t="shared" si="63"/>
        <v>0</v>
      </c>
      <c r="FW16" s="22">
        <f t="shared" si="63"/>
        <v>0</v>
      </c>
      <c r="FX16" s="22">
        <f t="shared" si="63"/>
        <v>0</v>
      </c>
      <c r="FY16" s="22">
        <f t="shared" si="63"/>
        <v>0</v>
      </c>
      <c r="FZ16" s="22">
        <f t="shared" si="63"/>
        <v>0</v>
      </c>
      <c r="GA16" s="22">
        <f t="shared" si="63"/>
        <v>0</v>
      </c>
      <c r="GB16" s="22">
        <f t="shared" si="63"/>
        <v>0</v>
      </c>
      <c r="GC16" s="22">
        <f t="shared" si="63"/>
        <v>0</v>
      </c>
      <c r="GD16" s="22">
        <f t="shared" si="63"/>
        <v>0</v>
      </c>
      <c r="GE16" s="22">
        <f t="shared" si="63"/>
        <v>0</v>
      </c>
      <c r="GF16" s="22">
        <f t="shared" si="63"/>
        <v>0</v>
      </c>
      <c r="GG16" s="22">
        <f t="shared" si="63"/>
        <v>0</v>
      </c>
      <c r="GH16" s="22">
        <f t="shared" si="63"/>
        <v>0</v>
      </c>
      <c r="GI16" s="22">
        <f t="shared" si="63"/>
        <v>0</v>
      </c>
      <c r="GJ16" s="22">
        <f t="shared" si="63"/>
        <v>0</v>
      </c>
      <c r="GK16" s="22">
        <f t="shared" si="63"/>
        <v>0</v>
      </c>
      <c r="GL16" s="22">
        <f t="shared" si="63"/>
        <v>0</v>
      </c>
      <c r="GM16" s="22">
        <f t="shared" si="63"/>
        <v>0</v>
      </c>
      <c r="GN16" s="22">
        <f t="shared" si="63"/>
        <v>0</v>
      </c>
      <c r="GO16" s="22">
        <f t="shared" si="63"/>
        <v>0</v>
      </c>
      <c r="GP16" s="22">
        <f t="shared" si="63"/>
        <v>0</v>
      </c>
      <c r="GQ16" s="22">
        <f t="shared" si="63"/>
        <v>0</v>
      </c>
      <c r="GR16" s="22">
        <f t="shared" si="63"/>
        <v>0</v>
      </c>
      <c r="GS16" s="22">
        <f t="shared" si="63"/>
        <v>0</v>
      </c>
      <c r="GT16" s="22">
        <f t="shared" si="63"/>
        <v>0</v>
      </c>
      <c r="GU16" s="22">
        <f t="shared" si="63"/>
        <v>0</v>
      </c>
      <c r="GV16" s="22">
        <f t="shared" si="63"/>
        <v>0</v>
      </c>
      <c r="GW16" s="22">
        <f t="shared" si="63"/>
        <v>0</v>
      </c>
      <c r="GX16" s="22">
        <f t="shared" si="63"/>
        <v>0</v>
      </c>
      <c r="GY16" s="22">
        <f t="shared" si="63"/>
        <v>0</v>
      </c>
      <c r="GZ16" s="22">
        <f t="shared" si="63"/>
        <v>0</v>
      </c>
      <c r="HA16" s="22">
        <f t="shared" ref="HA16:IN16" si="64">HA15-GQ15</f>
        <v>0</v>
      </c>
      <c r="HB16" s="22">
        <f t="shared" si="64"/>
        <v>0</v>
      </c>
      <c r="HC16" s="22">
        <f t="shared" si="64"/>
        <v>0</v>
      </c>
      <c r="HD16" s="22">
        <f t="shared" si="64"/>
        <v>0</v>
      </c>
      <c r="HE16" s="22">
        <f t="shared" si="64"/>
        <v>0</v>
      </c>
      <c r="HF16" s="22">
        <f t="shared" si="64"/>
        <v>0</v>
      </c>
      <c r="HG16" s="22">
        <f t="shared" si="64"/>
        <v>0</v>
      </c>
      <c r="HH16" s="22">
        <f t="shared" si="64"/>
        <v>0</v>
      </c>
      <c r="HI16" s="22">
        <f t="shared" si="64"/>
        <v>0</v>
      </c>
      <c r="HJ16" s="22">
        <f t="shared" si="64"/>
        <v>0</v>
      </c>
      <c r="HK16" s="22">
        <f t="shared" si="64"/>
        <v>0</v>
      </c>
      <c r="HL16" s="22">
        <f t="shared" si="64"/>
        <v>0</v>
      </c>
      <c r="HM16" s="22">
        <f t="shared" si="64"/>
        <v>0</v>
      </c>
      <c r="HN16" s="22">
        <f t="shared" si="64"/>
        <v>0</v>
      </c>
      <c r="HO16" s="22">
        <f t="shared" si="64"/>
        <v>0</v>
      </c>
      <c r="HP16" s="22">
        <f t="shared" si="64"/>
        <v>0</v>
      </c>
      <c r="HQ16" s="22">
        <f t="shared" si="64"/>
        <v>0</v>
      </c>
      <c r="HR16" s="22">
        <f t="shared" si="64"/>
        <v>0</v>
      </c>
      <c r="HS16" s="22">
        <f t="shared" si="64"/>
        <v>0</v>
      </c>
      <c r="HT16" s="22">
        <f t="shared" si="64"/>
        <v>0</v>
      </c>
      <c r="HU16" s="22">
        <f t="shared" si="64"/>
        <v>0</v>
      </c>
      <c r="HV16" s="22">
        <f t="shared" si="64"/>
        <v>0</v>
      </c>
      <c r="HW16" s="22">
        <f t="shared" si="64"/>
        <v>0</v>
      </c>
      <c r="HX16" s="22">
        <f t="shared" si="64"/>
        <v>0</v>
      </c>
      <c r="HY16" s="22">
        <f t="shared" si="64"/>
        <v>0</v>
      </c>
      <c r="HZ16" s="22">
        <f t="shared" si="64"/>
        <v>0</v>
      </c>
      <c r="IA16" s="22">
        <f t="shared" si="64"/>
        <v>0</v>
      </c>
      <c r="IB16" s="22">
        <f t="shared" si="64"/>
        <v>0</v>
      </c>
      <c r="IC16" s="22">
        <f t="shared" si="64"/>
        <v>0</v>
      </c>
      <c r="ID16" s="22">
        <f t="shared" si="64"/>
        <v>0</v>
      </c>
      <c r="IE16" s="22">
        <f t="shared" si="64"/>
        <v>0</v>
      </c>
      <c r="IF16" s="22">
        <f t="shared" si="64"/>
        <v>0</v>
      </c>
      <c r="IG16" s="22">
        <f t="shared" si="64"/>
        <v>0</v>
      </c>
      <c r="IH16" s="22">
        <f t="shared" si="64"/>
        <v>0</v>
      </c>
      <c r="II16" s="22">
        <f t="shared" si="64"/>
        <v>0</v>
      </c>
      <c r="IJ16" s="22">
        <f t="shared" si="64"/>
        <v>0</v>
      </c>
      <c r="IK16" s="22">
        <f t="shared" si="64"/>
        <v>0</v>
      </c>
      <c r="IL16" s="22">
        <f t="shared" si="64"/>
        <v>0</v>
      </c>
      <c r="IM16" s="22">
        <f t="shared" si="64"/>
        <v>0</v>
      </c>
      <c r="IN16" s="22">
        <f t="shared" si="64"/>
        <v>0</v>
      </c>
    </row>
    <row r="17" spans="2:248" x14ac:dyDescent="0.3">
      <c r="B17" s="20" t="s">
        <v>619</v>
      </c>
      <c r="C17" s="43">
        <f>C16*C15</f>
        <v>33513576.800000001</v>
      </c>
      <c r="F17" s="23" t="s">
        <v>501</v>
      </c>
      <c r="G17" s="25">
        <f>$C$12</f>
        <v>24464.911064</v>
      </c>
      <c r="H17" s="25">
        <f t="shared" ref="H17:BS17" si="65">$C$12</f>
        <v>24464.911064</v>
      </c>
      <c r="I17" s="25">
        <f t="shared" si="65"/>
        <v>24464.911064</v>
      </c>
      <c r="J17" s="25">
        <f t="shared" si="65"/>
        <v>24464.911064</v>
      </c>
      <c r="K17" s="25">
        <f t="shared" si="65"/>
        <v>24464.911064</v>
      </c>
      <c r="L17" s="25">
        <f t="shared" si="65"/>
        <v>24464.911064</v>
      </c>
      <c r="M17" s="25">
        <f t="shared" si="65"/>
        <v>24464.911064</v>
      </c>
      <c r="N17" s="25">
        <f t="shared" si="65"/>
        <v>24464.911064</v>
      </c>
      <c r="O17" s="25">
        <f t="shared" si="65"/>
        <v>24464.911064</v>
      </c>
      <c r="P17" s="25">
        <f t="shared" si="65"/>
        <v>24464.911064</v>
      </c>
      <c r="Q17" s="25">
        <f t="shared" si="65"/>
        <v>24464.911064</v>
      </c>
      <c r="R17" s="25">
        <f t="shared" si="65"/>
        <v>24464.911064</v>
      </c>
      <c r="S17" s="25">
        <f t="shared" si="65"/>
        <v>24464.911064</v>
      </c>
      <c r="T17" s="25">
        <f t="shared" si="65"/>
        <v>24464.911064</v>
      </c>
      <c r="U17" s="25">
        <f t="shared" si="65"/>
        <v>24464.911064</v>
      </c>
      <c r="V17" s="25">
        <f t="shared" si="65"/>
        <v>24464.911064</v>
      </c>
      <c r="W17" s="25">
        <f t="shared" si="65"/>
        <v>24464.911064</v>
      </c>
      <c r="X17" s="25">
        <f t="shared" si="65"/>
        <v>24464.911064</v>
      </c>
      <c r="Y17" s="25">
        <f t="shared" si="65"/>
        <v>24464.911064</v>
      </c>
      <c r="Z17" s="25">
        <f t="shared" si="65"/>
        <v>24464.911064</v>
      </c>
      <c r="AA17" s="25">
        <f t="shared" si="65"/>
        <v>24464.911064</v>
      </c>
      <c r="AB17" s="25">
        <f t="shared" si="65"/>
        <v>24464.911064</v>
      </c>
      <c r="AC17" s="25">
        <f t="shared" si="65"/>
        <v>24464.911064</v>
      </c>
      <c r="AD17" s="25">
        <f t="shared" si="65"/>
        <v>24464.911064</v>
      </c>
      <c r="AE17" s="25">
        <f t="shared" si="65"/>
        <v>24464.911064</v>
      </c>
      <c r="AF17" s="25">
        <f t="shared" si="65"/>
        <v>24464.911064</v>
      </c>
      <c r="AG17" s="25">
        <f t="shared" si="65"/>
        <v>24464.911064</v>
      </c>
      <c r="AH17" s="25">
        <f t="shared" si="65"/>
        <v>24464.911064</v>
      </c>
      <c r="AI17" s="25">
        <f t="shared" si="65"/>
        <v>24464.911064</v>
      </c>
      <c r="AJ17" s="25">
        <f t="shared" si="65"/>
        <v>24464.911064</v>
      </c>
      <c r="AK17" s="25">
        <f t="shared" si="65"/>
        <v>24464.911064</v>
      </c>
      <c r="AL17" s="25">
        <f t="shared" si="65"/>
        <v>24464.911064</v>
      </c>
      <c r="AM17" s="25">
        <f t="shared" si="65"/>
        <v>24464.911064</v>
      </c>
      <c r="AN17" s="25">
        <f>$C$12</f>
        <v>24464.911064</v>
      </c>
      <c r="AO17" s="25">
        <f t="shared" si="65"/>
        <v>24464.911064</v>
      </c>
      <c r="AP17" s="25">
        <f t="shared" si="65"/>
        <v>24464.911064</v>
      </c>
      <c r="AQ17" s="25">
        <f t="shared" si="65"/>
        <v>24464.911064</v>
      </c>
      <c r="AR17" s="25">
        <f t="shared" si="65"/>
        <v>24464.911064</v>
      </c>
      <c r="AS17" s="25">
        <f t="shared" si="65"/>
        <v>24464.911064</v>
      </c>
      <c r="AT17" s="25">
        <f t="shared" si="65"/>
        <v>24464.911064</v>
      </c>
      <c r="AU17" s="25">
        <f t="shared" si="65"/>
        <v>24464.911064</v>
      </c>
      <c r="AV17" s="25">
        <f t="shared" si="65"/>
        <v>24464.911064</v>
      </c>
      <c r="AW17" s="25">
        <f t="shared" si="65"/>
        <v>24464.911064</v>
      </c>
      <c r="AX17" s="25">
        <f t="shared" si="65"/>
        <v>24464.911064</v>
      </c>
      <c r="AY17" s="25">
        <f t="shared" si="65"/>
        <v>24464.911064</v>
      </c>
      <c r="AZ17" s="25">
        <f t="shared" si="65"/>
        <v>24464.911064</v>
      </c>
      <c r="BA17" s="25">
        <f t="shared" si="65"/>
        <v>24464.911064</v>
      </c>
      <c r="BB17" s="25">
        <f t="shared" si="65"/>
        <v>24464.911064</v>
      </c>
      <c r="BC17" s="25">
        <f t="shared" si="65"/>
        <v>24464.911064</v>
      </c>
      <c r="BD17" s="25">
        <f t="shared" si="65"/>
        <v>24464.911064</v>
      </c>
      <c r="BE17" s="25">
        <f t="shared" si="65"/>
        <v>24464.911064</v>
      </c>
      <c r="BF17" s="25">
        <f t="shared" si="65"/>
        <v>24464.911064</v>
      </c>
      <c r="BG17" s="25">
        <f t="shared" si="65"/>
        <v>24464.911064</v>
      </c>
      <c r="BH17" s="25">
        <f t="shared" si="65"/>
        <v>24464.911064</v>
      </c>
      <c r="BI17" s="25">
        <f t="shared" si="65"/>
        <v>24464.911064</v>
      </c>
      <c r="BJ17" s="25">
        <f t="shared" si="65"/>
        <v>24464.911064</v>
      </c>
      <c r="BK17" s="25">
        <f t="shared" si="65"/>
        <v>24464.911064</v>
      </c>
      <c r="BL17" s="25">
        <f t="shared" si="65"/>
        <v>24464.911064</v>
      </c>
      <c r="BM17" s="25">
        <f t="shared" si="65"/>
        <v>24464.911064</v>
      </c>
      <c r="BN17" s="25">
        <f t="shared" si="65"/>
        <v>24464.911064</v>
      </c>
      <c r="BO17" s="25">
        <f t="shared" si="65"/>
        <v>24464.911064</v>
      </c>
      <c r="BP17" s="25">
        <f t="shared" si="65"/>
        <v>24464.911064</v>
      </c>
      <c r="BQ17" s="25">
        <f t="shared" si="65"/>
        <v>24464.911064</v>
      </c>
      <c r="BR17" s="25">
        <f t="shared" si="65"/>
        <v>24464.911064</v>
      </c>
      <c r="BS17" s="25">
        <f t="shared" si="65"/>
        <v>24464.911064</v>
      </c>
      <c r="BT17" s="25">
        <f t="shared" ref="BT17:EE17" si="66">$C$12</f>
        <v>24464.911064</v>
      </c>
      <c r="BU17" s="25">
        <f t="shared" si="66"/>
        <v>24464.911064</v>
      </c>
      <c r="BV17" s="25">
        <f t="shared" si="66"/>
        <v>24464.911064</v>
      </c>
      <c r="BW17" s="25">
        <f t="shared" si="66"/>
        <v>24464.911064</v>
      </c>
      <c r="BX17" s="25">
        <f t="shared" si="66"/>
        <v>24464.911064</v>
      </c>
      <c r="BY17" s="25">
        <f t="shared" si="66"/>
        <v>24464.911064</v>
      </c>
      <c r="BZ17" s="25">
        <f t="shared" si="66"/>
        <v>24464.911064</v>
      </c>
      <c r="CA17" s="25">
        <f t="shared" si="66"/>
        <v>24464.911064</v>
      </c>
      <c r="CB17" s="25">
        <f t="shared" si="66"/>
        <v>24464.911064</v>
      </c>
      <c r="CC17" s="25">
        <f t="shared" si="66"/>
        <v>24464.911064</v>
      </c>
      <c r="CD17" s="25">
        <f t="shared" si="66"/>
        <v>24464.911064</v>
      </c>
      <c r="CE17" s="25">
        <f t="shared" si="66"/>
        <v>24464.911064</v>
      </c>
      <c r="CF17" s="25">
        <f t="shared" si="66"/>
        <v>24464.911064</v>
      </c>
      <c r="CG17" s="25">
        <f t="shared" si="66"/>
        <v>24464.911064</v>
      </c>
      <c r="CH17" s="25">
        <f t="shared" si="66"/>
        <v>24464.911064</v>
      </c>
      <c r="CI17" s="25">
        <f t="shared" si="66"/>
        <v>24464.911064</v>
      </c>
      <c r="CJ17" s="25">
        <f t="shared" si="66"/>
        <v>24464.911064</v>
      </c>
      <c r="CK17" s="25">
        <f t="shared" si="66"/>
        <v>24464.911064</v>
      </c>
      <c r="CL17" s="25">
        <f t="shared" si="66"/>
        <v>24464.911064</v>
      </c>
      <c r="CM17" s="25">
        <f t="shared" si="66"/>
        <v>24464.911064</v>
      </c>
      <c r="CN17" s="25">
        <f t="shared" si="66"/>
        <v>24464.911064</v>
      </c>
      <c r="CO17" s="25">
        <f t="shared" si="66"/>
        <v>24464.911064</v>
      </c>
      <c r="CP17" s="25">
        <f t="shared" si="66"/>
        <v>24464.911064</v>
      </c>
      <c r="CQ17" s="25">
        <f t="shared" si="66"/>
        <v>24464.911064</v>
      </c>
      <c r="CR17" s="25">
        <f t="shared" si="66"/>
        <v>24464.911064</v>
      </c>
      <c r="CS17" s="25">
        <f t="shared" si="66"/>
        <v>24464.911064</v>
      </c>
      <c r="CT17" s="25">
        <f t="shared" si="66"/>
        <v>24464.911064</v>
      </c>
      <c r="CU17" s="25">
        <f t="shared" si="66"/>
        <v>24464.911064</v>
      </c>
      <c r="CV17" s="25">
        <f t="shared" si="66"/>
        <v>24464.911064</v>
      </c>
      <c r="CW17" s="25">
        <f t="shared" si="66"/>
        <v>24464.911064</v>
      </c>
      <c r="CX17" s="25">
        <f t="shared" si="66"/>
        <v>24464.911064</v>
      </c>
      <c r="CY17" s="25">
        <f t="shared" si="66"/>
        <v>24464.911064</v>
      </c>
      <c r="CZ17" s="25">
        <f t="shared" si="66"/>
        <v>24464.911064</v>
      </c>
      <c r="DA17" s="25">
        <f t="shared" si="66"/>
        <v>24464.911064</v>
      </c>
      <c r="DB17" s="25">
        <f t="shared" si="66"/>
        <v>24464.911064</v>
      </c>
      <c r="DC17" s="25">
        <f t="shared" si="66"/>
        <v>24464.911064</v>
      </c>
      <c r="DD17" s="25">
        <f t="shared" si="66"/>
        <v>24464.911064</v>
      </c>
      <c r="DE17" s="25">
        <f t="shared" si="66"/>
        <v>24464.911064</v>
      </c>
      <c r="DF17" s="25">
        <f t="shared" si="66"/>
        <v>24464.911064</v>
      </c>
      <c r="DG17" s="25">
        <f t="shared" si="66"/>
        <v>24464.911064</v>
      </c>
      <c r="DH17" s="25">
        <f t="shared" si="66"/>
        <v>24464.911064</v>
      </c>
      <c r="DI17" s="25">
        <f t="shared" si="66"/>
        <v>24464.911064</v>
      </c>
      <c r="DJ17" s="25">
        <f t="shared" si="66"/>
        <v>24464.911064</v>
      </c>
      <c r="DK17" s="25">
        <f t="shared" si="66"/>
        <v>24464.911064</v>
      </c>
      <c r="DL17" s="25">
        <f t="shared" si="66"/>
        <v>24464.911064</v>
      </c>
      <c r="DM17" s="25">
        <f t="shared" si="66"/>
        <v>24464.911064</v>
      </c>
      <c r="DN17" s="25">
        <f t="shared" si="66"/>
        <v>24464.911064</v>
      </c>
      <c r="DO17" s="25">
        <f t="shared" si="66"/>
        <v>24464.911064</v>
      </c>
      <c r="DP17" s="25">
        <f t="shared" si="66"/>
        <v>24464.911064</v>
      </c>
      <c r="DQ17" s="25">
        <f t="shared" si="66"/>
        <v>24464.911064</v>
      </c>
      <c r="DR17" s="25">
        <f t="shared" si="66"/>
        <v>24464.911064</v>
      </c>
      <c r="DS17" s="25">
        <f t="shared" si="66"/>
        <v>24464.911064</v>
      </c>
      <c r="DT17" s="25">
        <f t="shared" si="66"/>
        <v>24464.911064</v>
      </c>
      <c r="DU17" s="25">
        <f t="shared" si="66"/>
        <v>24464.911064</v>
      </c>
      <c r="DV17" s="25">
        <f t="shared" si="66"/>
        <v>24464.911064</v>
      </c>
      <c r="DW17" s="25">
        <f t="shared" si="66"/>
        <v>24464.911064</v>
      </c>
      <c r="DX17" s="25">
        <f t="shared" si="66"/>
        <v>24464.911064</v>
      </c>
      <c r="DY17" s="25">
        <f t="shared" si="66"/>
        <v>24464.911064</v>
      </c>
      <c r="DZ17" s="25">
        <f t="shared" si="66"/>
        <v>24464.911064</v>
      </c>
      <c r="EA17" s="25">
        <f t="shared" si="66"/>
        <v>24464.911064</v>
      </c>
      <c r="EB17" s="25">
        <f t="shared" si="66"/>
        <v>24464.911064</v>
      </c>
      <c r="EC17" s="25">
        <f t="shared" si="66"/>
        <v>24464.911064</v>
      </c>
      <c r="ED17" s="25">
        <f t="shared" si="66"/>
        <v>24464.911064</v>
      </c>
      <c r="EE17" s="25">
        <f t="shared" si="66"/>
        <v>24464.911064</v>
      </c>
      <c r="EF17" s="25">
        <f t="shared" ref="EF17:GQ17" si="67">$C$12</f>
        <v>24464.911064</v>
      </c>
      <c r="EG17" s="25">
        <f t="shared" si="67"/>
        <v>24464.911064</v>
      </c>
      <c r="EH17" s="25">
        <f t="shared" si="67"/>
        <v>24464.911064</v>
      </c>
      <c r="EI17" s="25">
        <f t="shared" si="67"/>
        <v>24464.911064</v>
      </c>
      <c r="EJ17" s="25">
        <f t="shared" si="67"/>
        <v>24464.911064</v>
      </c>
      <c r="EK17" s="25">
        <f t="shared" si="67"/>
        <v>24464.911064</v>
      </c>
      <c r="EL17" s="25">
        <f t="shared" si="67"/>
        <v>24464.911064</v>
      </c>
      <c r="EM17" s="25">
        <f t="shared" si="67"/>
        <v>24464.911064</v>
      </c>
      <c r="EN17" s="25">
        <f t="shared" si="67"/>
        <v>24464.911064</v>
      </c>
      <c r="EO17" s="25">
        <f t="shared" si="67"/>
        <v>24464.911064</v>
      </c>
      <c r="EP17" s="25">
        <f t="shared" si="67"/>
        <v>24464.911064</v>
      </c>
      <c r="EQ17" s="25">
        <f t="shared" si="67"/>
        <v>24464.911064</v>
      </c>
      <c r="ER17" s="25">
        <f t="shared" si="67"/>
        <v>24464.911064</v>
      </c>
      <c r="ES17" s="25">
        <f t="shared" si="67"/>
        <v>24464.911064</v>
      </c>
      <c r="ET17" s="25">
        <f t="shared" si="67"/>
        <v>24464.911064</v>
      </c>
      <c r="EU17" s="25">
        <f t="shared" si="67"/>
        <v>24464.911064</v>
      </c>
      <c r="EV17" s="25">
        <f t="shared" si="67"/>
        <v>24464.911064</v>
      </c>
      <c r="EW17" s="25">
        <f t="shared" si="67"/>
        <v>24464.911064</v>
      </c>
      <c r="EX17" s="25">
        <f t="shared" si="67"/>
        <v>24464.911064</v>
      </c>
      <c r="EY17" s="25">
        <f t="shared" si="67"/>
        <v>24464.911064</v>
      </c>
      <c r="EZ17" s="25">
        <f t="shared" si="67"/>
        <v>24464.911064</v>
      </c>
      <c r="FA17" s="25">
        <f t="shared" si="67"/>
        <v>24464.911064</v>
      </c>
      <c r="FB17" s="25">
        <f t="shared" si="67"/>
        <v>24464.911064</v>
      </c>
      <c r="FC17" s="25">
        <f t="shared" si="67"/>
        <v>24464.911064</v>
      </c>
      <c r="FD17" s="25">
        <f t="shared" si="67"/>
        <v>24464.911064</v>
      </c>
      <c r="FE17" s="25">
        <f t="shared" si="67"/>
        <v>24464.911064</v>
      </c>
      <c r="FF17" s="25">
        <f t="shared" si="67"/>
        <v>24464.911064</v>
      </c>
      <c r="FG17" s="25">
        <f t="shared" si="67"/>
        <v>24464.911064</v>
      </c>
      <c r="FH17" s="25">
        <f t="shared" si="67"/>
        <v>24464.911064</v>
      </c>
      <c r="FI17" s="25">
        <f t="shared" si="67"/>
        <v>24464.911064</v>
      </c>
      <c r="FJ17" s="25">
        <f t="shared" si="67"/>
        <v>24464.911064</v>
      </c>
      <c r="FK17" s="25">
        <f t="shared" si="67"/>
        <v>24464.911064</v>
      </c>
      <c r="FL17" s="25">
        <f t="shared" si="67"/>
        <v>24464.911064</v>
      </c>
      <c r="FM17" s="25">
        <f t="shared" si="67"/>
        <v>24464.911064</v>
      </c>
      <c r="FN17" s="25">
        <f t="shared" si="67"/>
        <v>24464.911064</v>
      </c>
      <c r="FO17" s="25">
        <f t="shared" si="67"/>
        <v>24464.911064</v>
      </c>
      <c r="FP17" s="25">
        <f t="shared" si="67"/>
        <v>24464.911064</v>
      </c>
      <c r="FQ17" s="25">
        <f t="shared" si="67"/>
        <v>24464.911064</v>
      </c>
      <c r="FR17" s="25">
        <f t="shared" si="67"/>
        <v>24464.911064</v>
      </c>
      <c r="FS17" s="25">
        <f t="shared" si="67"/>
        <v>24464.911064</v>
      </c>
      <c r="FT17" s="25">
        <f t="shared" si="67"/>
        <v>24464.911064</v>
      </c>
      <c r="FU17" s="25">
        <f t="shared" si="67"/>
        <v>24464.911064</v>
      </c>
      <c r="FV17" s="25">
        <f t="shared" si="67"/>
        <v>24464.911064</v>
      </c>
      <c r="FW17" s="25">
        <f t="shared" si="67"/>
        <v>24464.911064</v>
      </c>
      <c r="FX17" s="25">
        <f t="shared" si="67"/>
        <v>24464.911064</v>
      </c>
      <c r="FY17" s="25">
        <f t="shared" si="67"/>
        <v>24464.911064</v>
      </c>
      <c r="FZ17" s="25">
        <f t="shared" si="67"/>
        <v>24464.911064</v>
      </c>
      <c r="GA17" s="25">
        <f t="shared" si="67"/>
        <v>24464.911064</v>
      </c>
      <c r="GB17" s="25">
        <f t="shared" si="67"/>
        <v>24464.911064</v>
      </c>
      <c r="GC17" s="25">
        <f t="shared" si="67"/>
        <v>24464.911064</v>
      </c>
      <c r="GD17" s="25">
        <f t="shared" si="67"/>
        <v>24464.911064</v>
      </c>
      <c r="GE17" s="25">
        <f t="shared" si="67"/>
        <v>24464.911064</v>
      </c>
      <c r="GF17" s="25">
        <f t="shared" si="67"/>
        <v>24464.911064</v>
      </c>
      <c r="GG17" s="25">
        <f t="shared" si="67"/>
        <v>24464.911064</v>
      </c>
      <c r="GH17" s="25">
        <f t="shared" si="67"/>
        <v>24464.911064</v>
      </c>
      <c r="GI17" s="25">
        <f t="shared" si="67"/>
        <v>24464.911064</v>
      </c>
      <c r="GJ17" s="25">
        <f t="shared" si="67"/>
        <v>24464.911064</v>
      </c>
      <c r="GK17" s="25">
        <f t="shared" si="67"/>
        <v>24464.911064</v>
      </c>
      <c r="GL17" s="25">
        <f t="shared" si="67"/>
        <v>24464.911064</v>
      </c>
      <c r="GM17" s="25">
        <f t="shared" si="67"/>
        <v>24464.911064</v>
      </c>
      <c r="GN17" s="25">
        <f t="shared" si="67"/>
        <v>24464.911064</v>
      </c>
      <c r="GO17" s="25">
        <f t="shared" si="67"/>
        <v>24464.911064</v>
      </c>
      <c r="GP17" s="25">
        <f t="shared" si="67"/>
        <v>24464.911064</v>
      </c>
      <c r="GQ17" s="25">
        <f t="shared" si="67"/>
        <v>24464.911064</v>
      </c>
      <c r="GR17" s="25">
        <f t="shared" ref="GR17:IN17" si="68">$C$12</f>
        <v>24464.911064</v>
      </c>
      <c r="GS17" s="25">
        <f t="shared" si="68"/>
        <v>24464.911064</v>
      </c>
      <c r="GT17" s="25">
        <f t="shared" si="68"/>
        <v>24464.911064</v>
      </c>
      <c r="GU17" s="25">
        <f t="shared" si="68"/>
        <v>24464.911064</v>
      </c>
      <c r="GV17" s="25">
        <f t="shared" si="68"/>
        <v>24464.911064</v>
      </c>
      <c r="GW17" s="25">
        <f t="shared" si="68"/>
        <v>24464.911064</v>
      </c>
      <c r="GX17" s="25">
        <f t="shared" si="68"/>
        <v>24464.911064</v>
      </c>
      <c r="GY17" s="25">
        <f t="shared" si="68"/>
        <v>24464.911064</v>
      </c>
      <c r="GZ17" s="25">
        <f t="shared" si="68"/>
        <v>24464.911064</v>
      </c>
      <c r="HA17" s="25">
        <f t="shared" si="68"/>
        <v>24464.911064</v>
      </c>
      <c r="HB17" s="25">
        <f t="shared" si="68"/>
        <v>24464.911064</v>
      </c>
      <c r="HC17" s="25">
        <f t="shared" si="68"/>
        <v>24464.911064</v>
      </c>
      <c r="HD17" s="25">
        <f t="shared" si="68"/>
        <v>24464.911064</v>
      </c>
      <c r="HE17" s="25">
        <f t="shared" si="68"/>
        <v>24464.911064</v>
      </c>
      <c r="HF17" s="25">
        <f t="shared" si="68"/>
        <v>24464.911064</v>
      </c>
      <c r="HG17" s="25">
        <f t="shared" si="68"/>
        <v>24464.911064</v>
      </c>
      <c r="HH17" s="25">
        <f t="shared" si="68"/>
        <v>24464.911064</v>
      </c>
      <c r="HI17" s="25">
        <f t="shared" si="68"/>
        <v>24464.911064</v>
      </c>
      <c r="HJ17" s="25">
        <f t="shared" si="68"/>
        <v>24464.911064</v>
      </c>
      <c r="HK17" s="25">
        <f t="shared" si="68"/>
        <v>24464.911064</v>
      </c>
      <c r="HL17" s="25">
        <f t="shared" si="68"/>
        <v>24464.911064</v>
      </c>
      <c r="HM17" s="25">
        <f t="shared" si="68"/>
        <v>24464.911064</v>
      </c>
      <c r="HN17" s="25">
        <f t="shared" si="68"/>
        <v>24464.911064</v>
      </c>
      <c r="HO17" s="25">
        <f t="shared" si="68"/>
        <v>24464.911064</v>
      </c>
      <c r="HP17" s="25">
        <f t="shared" si="68"/>
        <v>24464.911064</v>
      </c>
      <c r="HQ17" s="25">
        <f t="shared" si="68"/>
        <v>24464.911064</v>
      </c>
      <c r="HR17" s="25">
        <f t="shared" si="68"/>
        <v>24464.911064</v>
      </c>
      <c r="HS17" s="25">
        <f t="shared" si="68"/>
        <v>24464.911064</v>
      </c>
      <c r="HT17" s="25">
        <f t="shared" si="68"/>
        <v>24464.911064</v>
      </c>
      <c r="HU17" s="25">
        <f t="shared" si="68"/>
        <v>24464.911064</v>
      </c>
      <c r="HV17" s="25">
        <f t="shared" si="68"/>
        <v>24464.911064</v>
      </c>
      <c r="HW17" s="25">
        <f t="shared" si="68"/>
        <v>24464.911064</v>
      </c>
      <c r="HX17" s="25">
        <f t="shared" si="68"/>
        <v>24464.911064</v>
      </c>
      <c r="HY17" s="25">
        <f t="shared" si="68"/>
        <v>24464.911064</v>
      </c>
      <c r="HZ17" s="25">
        <f t="shared" si="68"/>
        <v>24464.911064</v>
      </c>
      <c r="IA17" s="25">
        <f t="shared" si="68"/>
        <v>24464.911064</v>
      </c>
      <c r="IB17" s="25">
        <f t="shared" si="68"/>
        <v>24464.911064</v>
      </c>
      <c r="IC17" s="25">
        <f t="shared" si="68"/>
        <v>24464.911064</v>
      </c>
      <c r="ID17" s="25">
        <f t="shared" si="68"/>
        <v>24464.911064</v>
      </c>
      <c r="IE17" s="25">
        <f t="shared" si="68"/>
        <v>24464.911064</v>
      </c>
      <c r="IF17" s="25">
        <f t="shared" si="68"/>
        <v>24464.911064</v>
      </c>
      <c r="IG17" s="25">
        <f t="shared" si="68"/>
        <v>24464.911064</v>
      </c>
      <c r="IH17" s="25">
        <f t="shared" si="68"/>
        <v>24464.911064</v>
      </c>
      <c r="II17" s="25">
        <f t="shared" si="68"/>
        <v>24464.911064</v>
      </c>
      <c r="IJ17" s="25">
        <f t="shared" si="68"/>
        <v>24464.911064</v>
      </c>
      <c r="IK17" s="25">
        <f t="shared" si="68"/>
        <v>24464.911064</v>
      </c>
      <c r="IL17" s="25">
        <f t="shared" si="68"/>
        <v>24464.911064</v>
      </c>
      <c r="IM17" s="25">
        <f t="shared" si="68"/>
        <v>24464.911064</v>
      </c>
      <c r="IN17" s="25">
        <f t="shared" si="68"/>
        <v>24464.911064</v>
      </c>
    </row>
    <row r="18" spans="2:248" x14ac:dyDescent="0.3">
      <c r="C18" s="43"/>
      <c r="F18" s="23" t="str">
        <f>"Critically Ill ("&amp;TEXT(C8,"0%")&amp;" inc)"</f>
        <v>Critically Ill (31% inc)</v>
      </c>
      <c r="G18" s="25">
        <f>G7*$C$11</f>
        <v>6.11</v>
      </c>
      <c r="H18" s="25">
        <f t="shared" ref="H18:BS18" si="69">H7*$C$11</f>
        <v>7.4729999999999999</v>
      </c>
      <c r="I18" s="25">
        <f t="shared" si="69"/>
        <v>9.2119999999999997</v>
      </c>
      <c r="J18" s="25">
        <f t="shared" si="69"/>
        <v>12.314</v>
      </c>
      <c r="K18" s="25">
        <f t="shared" si="69"/>
        <v>22.654</v>
      </c>
      <c r="L18" s="25">
        <f t="shared" si="69"/>
        <v>31.49</v>
      </c>
      <c r="M18" s="25">
        <f t="shared" si="69"/>
        <v>37.552999999999997</v>
      </c>
      <c r="N18" s="25">
        <f t="shared" si="69"/>
        <v>48.88</v>
      </c>
      <c r="O18" s="25">
        <f t="shared" si="69"/>
        <v>55.271999999999998</v>
      </c>
      <c r="P18" s="25">
        <f t="shared" si="69"/>
        <v>68.478999999999999</v>
      </c>
      <c r="Q18" s="25">
        <f t="shared" si="69"/>
        <v>83.566000000000003</v>
      </c>
      <c r="R18" s="25">
        <f t="shared" si="69"/>
        <v>90.192999999999998</v>
      </c>
      <c r="S18" s="25">
        <f t="shared" si="69"/>
        <v>163.51300000000001</v>
      </c>
      <c r="T18" s="25">
        <f>T7*$C$11</f>
        <v>203.18100000000001</v>
      </c>
      <c r="U18" s="25">
        <f t="shared" si="69"/>
        <v>249.71100000000001</v>
      </c>
      <c r="V18" s="25">
        <f>V7*$C$11</f>
        <v>310.29399999999998</v>
      </c>
      <c r="W18" s="25">
        <f t="shared" si="69"/>
        <v>409.09647527910619</v>
      </c>
      <c r="X18" s="25">
        <f t="shared" si="69"/>
        <v>534.80956348776101</v>
      </c>
      <c r="Y18" s="25">
        <f t="shared" si="69"/>
        <v>707.50401425958785</v>
      </c>
      <c r="Z18" s="25">
        <f t="shared" si="69"/>
        <v>928.33040747528548</v>
      </c>
      <c r="AA18" s="25">
        <f t="shared" si="69"/>
        <v>1212.9724528301881</v>
      </c>
      <c r="AB18" s="25">
        <f t="shared" si="69"/>
        <v>1604.6584152147061</v>
      </c>
      <c r="AC18" s="25">
        <f t="shared" si="69"/>
        <v>2051.9031476325981</v>
      </c>
      <c r="AD18" s="25">
        <f t="shared" si="69"/>
        <v>2691.6890543478626</v>
      </c>
      <c r="AE18" s="25">
        <f t="shared" si="69"/>
        <v>3526.7953832076914</v>
      </c>
      <c r="AF18" s="25">
        <f t="shared" si="69"/>
        <v>4623.0270843716598</v>
      </c>
      <c r="AG18" s="25">
        <f t="shared" si="69"/>
        <v>6041.4548996901494</v>
      </c>
      <c r="AH18" s="25">
        <f t="shared" si="69"/>
        <v>7895.0818671119496</v>
      </c>
      <c r="AI18" s="25">
        <f t="shared" si="69"/>
        <v>10317.434909858677</v>
      </c>
      <c r="AJ18" s="25">
        <f t="shared" si="69"/>
        <v>13483.009411542702</v>
      </c>
      <c r="AK18" s="25">
        <f t="shared" si="69"/>
        <v>17619.839076284436</v>
      </c>
      <c r="AL18" s="25">
        <f t="shared" si="69"/>
        <v>23025.922447875659</v>
      </c>
      <c r="AM18" s="25">
        <f t="shared" si="69"/>
        <v>30090.689380313459</v>
      </c>
      <c r="AN18" s="25">
        <f t="shared" si="69"/>
        <v>39323.053807385899</v>
      </c>
      <c r="AO18" s="25">
        <f t="shared" si="69"/>
        <v>51388.073606257087</v>
      </c>
      <c r="AP18" s="25">
        <f t="shared" si="69"/>
        <v>67154.858366216125</v>
      </c>
      <c r="AQ18" s="25">
        <f t="shared" si="69"/>
        <v>87759.176122092118</v>
      </c>
      <c r="AR18" s="25">
        <f t="shared" si="69"/>
        <v>114685.26895893055</v>
      </c>
      <c r="AS18" s="25">
        <f t="shared" si="69"/>
        <v>149872.77111494244</v>
      </c>
      <c r="AT18" s="25">
        <f t="shared" si="69"/>
        <v>195856.43148045152</v>
      </c>
      <c r="AU18" s="25">
        <f t="shared" si="69"/>
        <v>255948.70547123882</v>
      </c>
      <c r="AV18" s="25">
        <f t="shared" si="69"/>
        <v>334478.36937099253</v>
      </c>
      <c r="AW18" s="25">
        <f t="shared" si="69"/>
        <v>437102.34584347106</v>
      </c>
      <c r="AX18" s="25">
        <f t="shared" si="69"/>
        <v>571213.20311732776</v>
      </c>
      <c r="AY18" s="25">
        <f t="shared" si="69"/>
        <v>746471.68224624905</v>
      </c>
      <c r="AZ18" s="25">
        <f t="shared" si="69"/>
        <v>975502.61330547614</v>
      </c>
      <c r="BA18" s="25">
        <f t="shared" si="69"/>
        <v>1274804.3511875563</v>
      </c>
      <c r="BB18" s="25">
        <f t="shared" si="69"/>
        <v>1451974.0692104697</v>
      </c>
      <c r="BC18" s="25">
        <f t="shared" si="69"/>
        <v>1414185.1275609394</v>
      </c>
      <c r="BD18" s="25">
        <f t="shared" si="69"/>
        <v>1364801.8593005305</v>
      </c>
      <c r="BE18" s="25">
        <f t="shared" si="69"/>
        <v>1300266.9165996467</v>
      </c>
      <c r="BF18" s="25">
        <f t="shared" si="69"/>
        <v>1215931.4933659171</v>
      </c>
      <c r="BG18" s="25">
        <f t="shared" si="69"/>
        <v>1105720.4462285829</v>
      </c>
      <c r="BH18" s="25">
        <f t="shared" si="69"/>
        <v>961694.66862093855</v>
      </c>
      <c r="BI18" s="25">
        <f t="shared" si="69"/>
        <v>773479.19336428621</v>
      </c>
      <c r="BJ18" s="25">
        <f t="shared" si="69"/>
        <v>527515.82684393611</v>
      </c>
      <c r="BK18" s="25">
        <f t="shared" si="69"/>
        <v>206086.47791538233</v>
      </c>
      <c r="BL18" s="25">
        <f t="shared" si="69"/>
        <v>0</v>
      </c>
      <c r="BM18" s="25">
        <f t="shared" si="69"/>
        <v>0</v>
      </c>
      <c r="BN18" s="25">
        <f t="shared" si="69"/>
        <v>0</v>
      </c>
      <c r="BO18" s="25">
        <f t="shared" si="69"/>
        <v>0</v>
      </c>
      <c r="BP18" s="25">
        <f t="shared" si="69"/>
        <v>0</v>
      </c>
      <c r="BQ18" s="25">
        <f t="shared" si="69"/>
        <v>0</v>
      </c>
      <c r="BR18" s="25">
        <f t="shared" si="69"/>
        <v>0</v>
      </c>
      <c r="BS18" s="25">
        <f t="shared" si="69"/>
        <v>0</v>
      </c>
      <c r="BT18" s="25">
        <f t="shared" ref="BT18:EE18" si="70">BT7*$C$11</f>
        <v>0</v>
      </c>
      <c r="BU18" s="25">
        <f t="shared" si="70"/>
        <v>0</v>
      </c>
      <c r="BV18" s="25">
        <f t="shared" si="70"/>
        <v>0</v>
      </c>
      <c r="BW18" s="25">
        <f t="shared" si="70"/>
        <v>0</v>
      </c>
      <c r="BX18" s="25">
        <f t="shared" si="70"/>
        <v>0</v>
      </c>
      <c r="BY18" s="25">
        <f t="shared" si="70"/>
        <v>0</v>
      </c>
      <c r="BZ18" s="25">
        <f t="shared" si="70"/>
        <v>0</v>
      </c>
      <c r="CA18" s="25">
        <f t="shared" si="70"/>
        <v>0</v>
      </c>
      <c r="CB18" s="25">
        <f t="shared" si="70"/>
        <v>0</v>
      </c>
      <c r="CC18" s="25">
        <f t="shared" si="70"/>
        <v>0</v>
      </c>
      <c r="CD18" s="25">
        <f t="shared" si="70"/>
        <v>0</v>
      </c>
      <c r="CE18" s="25">
        <f t="shared" si="70"/>
        <v>0</v>
      </c>
      <c r="CF18" s="25">
        <f t="shared" si="70"/>
        <v>0</v>
      </c>
      <c r="CG18" s="25">
        <f t="shared" si="70"/>
        <v>0</v>
      </c>
      <c r="CH18" s="25">
        <f t="shared" si="70"/>
        <v>0</v>
      </c>
      <c r="CI18" s="25">
        <f t="shared" si="70"/>
        <v>0</v>
      </c>
      <c r="CJ18" s="25">
        <f t="shared" si="70"/>
        <v>0</v>
      </c>
      <c r="CK18" s="25">
        <f t="shared" si="70"/>
        <v>0</v>
      </c>
      <c r="CL18" s="25">
        <f t="shared" si="70"/>
        <v>0</v>
      </c>
      <c r="CM18" s="25">
        <f t="shared" si="70"/>
        <v>0</v>
      </c>
      <c r="CN18" s="25">
        <f t="shared" si="70"/>
        <v>0</v>
      </c>
      <c r="CO18" s="25">
        <f t="shared" si="70"/>
        <v>0</v>
      </c>
      <c r="CP18" s="25">
        <f t="shared" si="70"/>
        <v>0</v>
      </c>
      <c r="CQ18" s="25">
        <f t="shared" si="70"/>
        <v>0</v>
      </c>
      <c r="CR18" s="25">
        <f t="shared" si="70"/>
        <v>0</v>
      </c>
      <c r="CS18" s="25">
        <f t="shared" si="70"/>
        <v>0</v>
      </c>
      <c r="CT18" s="25">
        <f t="shared" si="70"/>
        <v>0</v>
      </c>
      <c r="CU18" s="25">
        <f t="shared" si="70"/>
        <v>0</v>
      </c>
      <c r="CV18" s="25">
        <f t="shared" si="70"/>
        <v>0</v>
      </c>
      <c r="CW18" s="25">
        <f t="shared" si="70"/>
        <v>0</v>
      </c>
      <c r="CX18" s="25">
        <f t="shared" si="70"/>
        <v>0</v>
      </c>
      <c r="CY18" s="25">
        <f t="shared" si="70"/>
        <v>0</v>
      </c>
      <c r="CZ18" s="25">
        <f t="shared" si="70"/>
        <v>0</v>
      </c>
      <c r="DA18" s="25">
        <f t="shared" si="70"/>
        <v>0</v>
      </c>
      <c r="DB18" s="25">
        <f t="shared" si="70"/>
        <v>0</v>
      </c>
      <c r="DC18" s="25">
        <f t="shared" si="70"/>
        <v>0</v>
      </c>
      <c r="DD18" s="25">
        <f t="shared" si="70"/>
        <v>0</v>
      </c>
      <c r="DE18" s="25">
        <f t="shared" si="70"/>
        <v>0</v>
      </c>
      <c r="DF18" s="25">
        <f t="shared" si="70"/>
        <v>0</v>
      </c>
      <c r="DG18" s="25">
        <f t="shared" si="70"/>
        <v>0</v>
      </c>
      <c r="DH18" s="25">
        <f t="shared" si="70"/>
        <v>0</v>
      </c>
      <c r="DI18" s="25">
        <f t="shared" si="70"/>
        <v>0</v>
      </c>
      <c r="DJ18" s="25">
        <f t="shared" si="70"/>
        <v>0</v>
      </c>
      <c r="DK18" s="25">
        <f t="shared" si="70"/>
        <v>0</v>
      </c>
      <c r="DL18" s="25">
        <f t="shared" si="70"/>
        <v>0</v>
      </c>
      <c r="DM18" s="25">
        <f t="shared" si="70"/>
        <v>0</v>
      </c>
      <c r="DN18" s="25">
        <f t="shared" si="70"/>
        <v>0</v>
      </c>
      <c r="DO18" s="25">
        <f t="shared" si="70"/>
        <v>0</v>
      </c>
      <c r="DP18" s="25">
        <f t="shared" si="70"/>
        <v>0</v>
      </c>
      <c r="DQ18" s="25">
        <f t="shared" si="70"/>
        <v>0</v>
      </c>
      <c r="DR18" s="25">
        <f t="shared" si="70"/>
        <v>0</v>
      </c>
      <c r="DS18" s="25">
        <f t="shared" si="70"/>
        <v>0</v>
      </c>
      <c r="DT18" s="25">
        <f t="shared" si="70"/>
        <v>0</v>
      </c>
      <c r="DU18" s="25">
        <f t="shared" si="70"/>
        <v>0</v>
      </c>
      <c r="DV18" s="25">
        <f t="shared" si="70"/>
        <v>0</v>
      </c>
      <c r="DW18" s="25">
        <f t="shared" si="70"/>
        <v>0</v>
      </c>
      <c r="DX18" s="25">
        <f t="shared" si="70"/>
        <v>0</v>
      </c>
      <c r="DY18" s="25">
        <f t="shared" si="70"/>
        <v>0</v>
      </c>
      <c r="DZ18" s="25">
        <f t="shared" si="70"/>
        <v>0</v>
      </c>
      <c r="EA18" s="25">
        <f t="shared" si="70"/>
        <v>0</v>
      </c>
      <c r="EB18" s="25">
        <f t="shared" si="70"/>
        <v>0</v>
      </c>
      <c r="EC18" s="25">
        <f t="shared" si="70"/>
        <v>0</v>
      </c>
      <c r="ED18" s="25">
        <f t="shared" si="70"/>
        <v>0</v>
      </c>
      <c r="EE18" s="25">
        <f t="shared" si="70"/>
        <v>0</v>
      </c>
      <c r="EF18" s="25">
        <f t="shared" ref="EF18:GQ18" si="71">EF7*$C$11</f>
        <v>0</v>
      </c>
      <c r="EG18" s="25">
        <f t="shared" si="71"/>
        <v>0</v>
      </c>
      <c r="EH18" s="25">
        <f t="shared" si="71"/>
        <v>0</v>
      </c>
      <c r="EI18" s="25">
        <f t="shared" si="71"/>
        <v>0</v>
      </c>
      <c r="EJ18" s="25">
        <f t="shared" si="71"/>
        <v>0</v>
      </c>
      <c r="EK18" s="25">
        <f t="shared" si="71"/>
        <v>0</v>
      </c>
      <c r="EL18" s="25">
        <f t="shared" si="71"/>
        <v>0</v>
      </c>
      <c r="EM18" s="25">
        <f t="shared" si="71"/>
        <v>0</v>
      </c>
      <c r="EN18" s="25">
        <f t="shared" si="71"/>
        <v>0</v>
      </c>
      <c r="EO18" s="25">
        <f t="shared" si="71"/>
        <v>0</v>
      </c>
      <c r="EP18" s="25">
        <f t="shared" si="71"/>
        <v>0</v>
      </c>
      <c r="EQ18" s="25">
        <f t="shared" si="71"/>
        <v>0</v>
      </c>
      <c r="ER18" s="25">
        <f t="shared" si="71"/>
        <v>0</v>
      </c>
      <c r="ES18" s="25">
        <f t="shared" si="71"/>
        <v>0</v>
      </c>
      <c r="ET18" s="25">
        <f t="shared" si="71"/>
        <v>0</v>
      </c>
      <c r="EU18" s="25">
        <f t="shared" si="71"/>
        <v>0</v>
      </c>
      <c r="EV18" s="25">
        <f t="shared" si="71"/>
        <v>0</v>
      </c>
      <c r="EW18" s="25">
        <f t="shared" si="71"/>
        <v>0</v>
      </c>
      <c r="EX18" s="25">
        <f t="shared" si="71"/>
        <v>0</v>
      </c>
      <c r="EY18" s="25">
        <f t="shared" si="71"/>
        <v>0</v>
      </c>
      <c r="EZ18" s="25">
        <f t="shared" si="71"/>
        <v>0</v>
      </c>
      <c r="FA18" s="25">
        <f t="shared" si="71"/>
        <v>0</v>
      </c>
      <c r="FB18" s="25">
        <f t="shared" si="71"/>
        <v>0</v>
      </c>
      <c r="FC18" s="25">
        <f t="shared" si="71"/>
        <v>0</v>
      </c>
      <c r="FD18" s="25">
        <f t="shared" si="71"/>
        <v>0</v>
      </c>
      <c r="FE18" s="25">
        <f t="shared" si="71"/>
        <v>0</v>
      </c>
      <c r="FF18" s="25">
        <f t="shared" si="71"/>
        <v>0</v>
      </c>
      <c r="FG18" s="25">
        <f t="shared" si="71"/>
        <v>0</v>
      </c>
      <c r="FH18" s="25">
        <f t="shared" si="71"/>
        <v>0</v>
      </c>
      <c r="FI18" s="25">
        <f t="shared" si="71"/>
        <v>0</v>
      </c>
      <c r="FJ18" s="25">
        <f t="shared" si="71"/>
        <v>0</v>
      </c>
      <c r="FK18" s="25">
        <f t="shared" si="71"/>
        <v>0</v>
      </c>
      <c r="FL18" s="25">
        <f t="shared" si="71"/>
        <v>0</v>
      </c>
      <c r="FM18" s="25">
        <f t="shared" si="71"/>
        <v>0</v>
      </c>
      <c r="FN18" s="25">
        <f t="shared" si="71"/>
        <v>0</v>
      </c>
      <c r="FO18" s="25">
        <f t="shared" si="71"/>
        <v>0</v>
      </c>
      <c r="FP18" s="25">
        <f t="shared" si="71"/>
        <v>0</v>
      </c>
      <c r="FQ18" s="25">
        <f t="shared" si="71"/>
        <v>0</v>
      </c>
      <c r="FR18" s="25">
        <f t="shared" si="71"/>
        <v>0</v>
      </c>
      <c r="FS18" s="25">
        <f t="shared" si="71"/>
        <v>0</v>
      </c>
      <c r="FT18" s="25">
        <f t="shared" si="71"/>
        <v>0</v>
      </c>
      <c r="FU18" s="25">
        <f t="shared" si="71"/>
        <v>0</v>
      </c>
      <c r="FV18" s="25">
        <f t="shared" si="71"/>
        <v>0</v>
      </c>
      <c r="FW18" s="25">
        <f t="shared" si="71"/>
        <v>0</v>
      </c>
      <c r="FX18" s="25">
        <f t="shared" si="71"/>
        <v>0</v>
      </c>
      <c r="FY18" s="25">
        <f t="shared" si="71"/>
        <v>0</v>
      </c>
      <c r="FZ18" s="25">
        <f t="shared" si="71"/>
        <v>0</v>
      </c>
      <c r="GA18" s="25">
        <f t="shared" si="71"/>
        <v>0</v>
      </c>
      <c r="GB18" s="25">
        <f t="shared" si="71"/>
        <v>0</v>
      </c>
      <c r="GC18" s="25">
        <f t="shared" si="71"/>
        <v>0</v>
      </c>
      <c r="GD18" s="25">
        <f t="shared" si="71"/>
        <v>0</v>
      </c>
      <c r="GE18" s="25">
        <f t="shared" si="71"/>
        <v>0</v>
      </c>
      <c r="GF18" s="25">
        <f t="shared" si="71"/>
        <v>0</v>
      </c>
      <c r="GG18" s="25">
        <f t="shared" si="71"/>
        <v>0</v>
      </c>
      <c r="GH18" s="25">
        <f t="shared" si="71"/>
        <v>0</v>
      </c>
      <c r="GI18" s="25">
        <f t="shared" si="71"/>
        <v>0</v>
      </c>
      <c r="GJ18" s="25">
        <f t="shared" si="71"/>
        <v>0</v>
      </c>
      <c r="GK18" s="25">
        <f t="shared" si="71"/>
        <v>0</v>
      </c>
      <c r="GL18" s="25">
        <f t="shared" si="71"/>
        <v>0</v>
      </c>
      <c r="GM18" s="25">
        <f t="shared" si="71"/>
        <v>0</v>
      </c>
      <c r="GN18" s="25">
        <f t="shared" si="71"/>
        <v>0</v>
      </c>
      <c r="GO18" s="25">
        <f t="shared" si="71"/>
        <v>0</v>
      </c>
      <c r="GP18" s="25">
        <f t="shared" si="71"/>
        <v>0</v>
      </c>
      <c r="GQ18" s="25">
        <f t="shared" si="71"/>
        <v>0</v>
      </c>
      <c r="GR18" s="25">
        <f t="shared" ref="GR18:IN18" si="72">GR7*$C$11</f>
        <v>0</v>
      </c>
      <c r="GS18" s="25">
        <f t="shared" si="72"/>
        <v>0</v>
      </c>
      <c r="GT18" s="25">
        <f t="shared" si="72"/>
        <v>0</v>
      </c>
      <c r="GU18" s="25">
        <f t="shared" si="72"/>
        <v>0</v>
      </c>
      <c r="GV18" s="25">
        <f t="shared" si="72"/>
        <v>0</v>
      </c>
      <c r="GW18" s="25">
        <f t="shared" si="72"/>
        <v>0</v>
      </c>
      <c r="GX18" s="25">
        <f t="shared" si="72"/>
        <v>0</v>
      </c>
      <c r="GY18" s="25">
        <f t="shared" si="72"/>
        <v>0</v>
      </c>
      <c r="GZ18" s="25">
        <f t="shared" si="72"/>
        <v>0</v>
      </c>
      <c r="HA18" s="25">
        <f t="shared" si="72"/>
        <v>0</v>
      </c>
      <c r="HB18" s="25">
        <f t="shared" si="72"/>
        <v>0</v>
      </c>
      <c r="HC18" s="25">
        <f t="shared" si="72"/>
        <v>0</v>
      </c>
      <c r="HD18" s="25">
        <f t="shared" si="72"/>
        <v>0</v>
      </c>
      <c r="HE18" s="25">
        <f t="shared" si="72"/>
        <v>0</v>
      </c>
      <c r="HF18" s="25">
        <f t="shared" si="72"/>
        <v>0</v>
      </c>
      <c r="HG18" s="25">
        <f t="shared" si="72"/>
        <v>0</v>
      </c>
      <c r="HH18" s="25">
        <f t="shared" si="72"/>
        <v>0</v>
      </c>
      <c r="HI18" s="25">
        <f t="shared" si="72"/>
        <v>0</v>
      </c>
      <c r="HJ18" s="25">
        <f t="shared" si="72"/>
        <v>0</v>
      </c>
      <c r="HK18" s="25">
        <f t="shared" si="72"/>
        <v>0</v>
      </c>
      <c r="HL18" s="25">
        <f t="shared" si="72"/>
        <v>0</v>
      </c>
      <c r="HM18" s="25">
        <f t="shared" si="72"/>
        <v>0</v>
      </c>
      <c r="HN18" s="25">
        <f t="shared" si="72"/>
        <v>0</v>
      </c>
      <c r="HO18" s="25">
        <f t="shared" si="72"/>
        <v>0</v>
      </c>
      <c r="HP18" s="25">
        <f t="shared" si="72"/>
        <v>0</v>
      </c>
      <c r="HQ18" s="25">
        <f t="shared" si="72"/>
        <v>0</v>
      </c>
      <c r="HR18" s="25">
        <f t="shared" si="72"/>
        <v>0</v>
      </c>
      <c r="HS18" s="25">
        <f t="shared" si="72"/>
        <v>0</v>
      </c>
      <c r="HT18" s="25">
        <f t="shared" si="72"/>
        <v>0</v>
      </c>
      <c r="HU18" s="25">
        <f t="shared" si="72"/>
        <v>0</v>
      </c>
      <c r="HV18" s="25">
        <f t="shared" si="72"/>
        <v>0</v>
      </c>
      <c r="HW18" s="25">
        <f t="shared" si="72"/>
        <v>0</v>
      </c>
      <c r="HX18" s="25">
        <f t="shared" si="72"/>
        <v>0</v>
      </c>
      <c r="HY18" s="25">
        <f t="shared" si="72"/>
        <v>0</v>
      </c>
      <c r="HZ18" s="25">
        <f t="shared" si="72"/>
        <v>0</v>
      </c>
      <c r="IA18" s="25">
        <f t="shared" si="72"/>
        <v>0</v>
      </c>
      <c r="IB18" s="25">
        <f t="shared" si="72"/>
        <v>0</v>
      </c>
      <c r="IC18" s="25">
        <f t="shared" si="72"/>
        <v>0</v>
      </c>
      <c r="ID18" s="25">
        <f t="shared" si="72"/>
        <v>0</v>
      </c>
      <c r="IE18" s="25">
        <f t="shared" si="72"/>
        <v>0</v>
      </c>
      <c r="IF18" s="25">
        <f t="shared" si="72"/>
        <v>0</v>
      </c>
      <c r="IG18" s="25">
        <f t="shared" si="72"/>
        <v>0</v>
      </c>
      <c r="IH18" s="25">
        <f t="shared" si="72"/>
        <v>0</v>
      </c>
      <c r="II18" s="25">
        <f t="shared" si="72"/>
        <v>0</v>
      </c>
      <c r="IJ18" s="25">
        <f t="shared" si="72"/>
        <v>0</v>
      </c>
      <c r="IK18" s="25">
        <f t="shared" si="72"/>
        <v>0</v>
      </c>
      <c r="IL18" s="25">
        <f t="shared" si="72"/>
        <v>0</v>
      </c>
      <c r="IM18" s="25">
        <f t="shared" si="72"/>
        <v>0</v>
      </c>
      <c r="IN18" s="25">
        <f t="shared" si="72"/>
        <v>0</v>
      </c>
    </row>
    <row r="19" spans="2:248" x14ac:dyDescent="0.3">
      <c r="F19" s="23" t="s">
        <v>622</v>
      </c>
      <c r="G19" s="25">
        <f>G10*$C$11</f>
        <v>6.11</v>
      </c>
      <c r="H19" s="25">
        <f t="shared" ref="H19:T19" si="73">H10*$C$11</f>
        <v>7.4729999999999999</v>
      </c>
      <c r="I19" s="25">
        <f t="shared" si="73"/>
        <v>9.2119999999999997</v>
      </c>
      <c r="J19" s="25">
        <f t="shared" si="73"/>
        <v>12.314</v>
      </c>
      <c r="K19" s="25">
        <f t="shared" si="73"/>
        <v>22.654</v>
      </c>
      <c r="L19" s="25">
        <f t="shared" si="73"/>
        <v>31.49</v>
      </c>
      <c r="M19" s="25">
        <f t="shared" si="73"/>
        <v>37.552999999999997</v>
      </c>
      <c r="N19" s="25">
        <f t="shared" si="73"/>
        <v>48.88</v>
      </c>
      <c r="O19" s="25">
        <f t="shared" si="73"/>
        <v>55.271999999999998</v>
      </c>
      <c r="P19" s="25">
        <f t="shared" si="73"/>
        <v>68.478999999999999</v>
      </c>
      <c r="Q19" s="25">
        <f t="shared" si="73"/>
        <v>83.566000000000003</v>
      </c>
      <c r="R19" s="25">
        <f t="shared" si="73"/>
        <v>90.192999999999998</v>
      </c>
      <c r="S19" s="25">
        <f t="shared" si="73"/>
        <v>163.51300000000001</v>
      </c>
      <c r="T19" s="25">
        <f t="shared" si="73"/>
        <v>203.18100000000001</v>
      </c>
      <c r="U19" s="25">
        <f t="shared" ref="U19:CF19" si="74">U10*$C$11</f>
        <v>249.71100000000001</v>
      </c>
      <c r="V19" s="25">
        <f t="shared" si="74"/>
        <v>310.29399999999998</v>
      </c>
      <c r="W19" s="25">
        <f t="shared" si="74"/>
        <v>338.40940000000006</v>
      </c>
      <c r="X19" s="25">
        <f t="shared" si="74"/>
        <v>364.67864000000003</v>
      </c>
      <c r="Y19" s="25">
        <f t="shared" si="74"/>
        <v>399.64250400000003</v>
      </c>
      <c r="Z19" s="25">
        <f t="shared" si="74"/>
        <v>431.92695440000006</v>
      </c>
      <c r="AA19" s="25">
        <f t="shared" si="74"/>
        <v>460.77054984000011</v>
      </c>
      <c r="AB19" s="25">
        <f t="shared" si="74"/>
        <v>507.82520482400014</v>
      </c>
      <c r="AC19" s="25">
        <f t="shared" si="74"/>
        <v>493.31532530640021</v>
      </c>
      <c r="AD19" s="25">
        <f t="shared" si="74"/>
        <v>517.14935783704027</v>
      </c>
      <c r="AE19" s="25">
        <f t="shared" si="74"/>
        <v>533.5437936207444</v>
      </c>
      <c r="AF19" s="25">
        <f>AF10*$C$11</f>
        <v>544.71567298281889</v>
      </c>
      <c r="AG19" s="25">
        <f t="shared" si="74"/>
        <v>599.18724028110091</v>
      </c>
      <c r="AH19" s="25">
        <f t="shared" si="74"/>
        <v>659.10596430921112</v>
      </c>
      <c r="AI19" s="25">
        <f t="shared" si="74"/>
        <v>725.01656074013226</v>
      </c>
      <c r="AJ19" s="25">
        <f>AJ10*$C$11</f>
        <v>797.5182168141456</v>
      </c>
      <c r="AK19" s="25">
        <f t="shared" si="74"/>
        <v>877.27003849556036</v>
      </c>
      <c r="AL19" s="25">
        <f t="shared" si="74"/>
        <v>964.99704234511648</v>
      </c>
      <c r="AM19" s="25">
        <f t="shared" si="74"/>
        <v>1061.4967465796281</v>
      </c>
      <c r="AN19" s="25">
        <f t="shared" si="74"/>
        <v>1167.6464212375911</v>
      </c>
      <c r="AO19" s="25">
        <f t="shared" si="74"/>
        <v>1284.4110633613502</v>
      </c>
      <c r="AP19" s="25">
        <f t="shared" si="74"/>
        <v>1412.8521696974856</v>
      </c>
      <c r="AQ19" s="25">
        <f t="shared" si="74"/>
        <v>1554.1373866672341</v>
      </c>
      <c r="AR19" s="25">
        <f t="shared" si="74"/>
        <v>1709.5511253339575</v>
      </c>
      <c r="AS19" s="25">
        <f t="shared" si="74"/>
        <v>1880.5062378673533</v>
      </c>
      <c r="AT19" s="25">
        <f t="shared" si="74"/>
        <v>2068.5568616540891</v>
      </c>
      <c r="AU19" s="25">
        <f t="shared" si="74"/>
        <v>2275.4125478194983</v>
      </c>
      <c r="AV19" s="25">
        <f t="shared" si="74"/>
        <v>2502.9538026014484</v>
      </c>
      <c r="AW19" s="25">
        <f t="shared" si="74"/>
        <v>2753.2491828615935</v>
      </c>
      <c r="AX19" s="25">
        <f t="shared" si="74"/>
        <v>3028.574101147753</v>
      </c>
      <c r="AY19" s="25">
        <f t="shared" si="74"/>
        <v>3331.4315112625291</v>
      </c>
      <c r="AZ19" s="25">
        <f t="shared" si="74"/>
        <v>3664.5746623887817</v>
      </c>
      <c r="BA19" s="25">
        <f t="shared" si="74"/>
        <v>4031.0321286276599</v>
      </c>
      <c r="BB19" s="25">
        <f t="shared" si="74"/>
        <v>4434.1353414904261</v>
      </c>
      <c r="BC19" s="25">
        <f t="shared" si="74"/>
        <v>4877.5488756394698</v>
      </c>
      <c r="BD19" s="25">
        <f t="shared" si="74"/>
        <v>5365.3037632034175</v>
      </c>
      <c r="BE19" s="25">
        <f t="shared" si="74"/>
        <v>5901.8341395237603</v>
      </c>
      <c r="BF19" s="25">
        <f t="shared" si="74"/>
        <v>6492.0175534761365</v>
      </c>
      <c r="BG19" s="25">
        <f t="shared" si="74"/>
        <v>7141.2193088237509</v>
      </c>
      <c r="BH19" s="25">
        <f t="shared" si="74"/>
        <v>7855.3412397061265</v>
      </c>
      <c r="BI19" s="25">
        <f t="shared" si="74"/>
        <v>8640.8753636767397</v>
      </c>
      <c r="BJ19" s="25">
        <f t="shared" si="74"/>
        <v>9504.9629000444147</v>
      </c>
      <c r="BK19" s="25">
        <f t="shared" si="74"/>
        <v>10455.459190048856</v>
      </c>
      <c r="BL19" s="25">
        <f t="shared" si="74"/>
        <v>11501.005109053744</v>
      </c>
      <c r="BM19" s="25">
        <f t="shared" si="74"/>
        <v>12651.10561995912</v>
      </c>
      <c r="BN19" s="25">
        <f t="shared" si="74"/>
        <v>13916.216181955033</v>
      </c>
      <c r="BO19" s="25">
        <f t="shared" si="74"/>
        <v>15307.837800150535</v>
      </c>
      <c r="BP19" s="25">
        <f t="shared" si="74"/>
        <v>16838.621580165589</v>
      </c>
      <c r="BQ19" s="25">
        <f t="shared" si="74"/>
        <v>18522.483738182149</v>
      </c>
      <c r="BR19" s="25">
        <f t="shared" si="74"/>
        <v>20374.732112000365</v>
      </c>
      <c r="BS19" s="25">
        <f t="shared" si="74"/>
        <v>22412.205323200404</v>
      </c>
      <c r="BT19" s="25">
        <f t="shared" si="74"/>
        <v>24653.425855520443</v>
      </c>
      <c r="BU19" s="25">
        <f t="shared" si="74"/>
        <v>27118.768441072494</v>
      </c>
      <c r="BV19" s="25">
        <f t="shared" si="74"/>
        <v>29830.645285179744</v>
      </c>
      <c r="BW19" s="25">
        <f t="shared" si="74"/>
        <v>32813.709813697715</v>
      </c>
      <c r="BX19" s="25">
        <f t="shared" si="74"/>
        <v>36095.080795067486</v>
      </c>
      <c r="BY19" s="25">
        <f t="shared" si="74"/>
        <v>39704.588874574234</v>
      </c>
      <c r="BZ19" s="25">
        <f t="shared" si="74"/>
        <v>43675.04776203166</v>
      </c>
      <c r="CA19" s="25">
        <f t="shared" si="74"/>
        <v>48042.552538234835</v>
      </c>
      <c r="CB19" s="25">
        <f t="shared" si="74"/>
        <v>52846.807792058324</v>
      </c>
      <c r="CC19" s="25">
        <f t="shared" si="74"/>
        <v>58131.488571264155</v>
      </c>
      <c r="CD19" s="25">
        <f t="shared" si="74"/>
        <v>63944.63742839059</v>
      </c>
      <c r="CE19" s="25">
        <f t="shared" si="74"/>
        <v>70339.101171229646</v>
      </c>
      <c r="CF19" s="25">
        <f t="shared" si="74"/>
        <v>77373.011288352616</v>
      </c>
      <c r="CG19" s="25">
        <f>CG10*$C$11</f>
        <v>85110.312417187888</v>
      </c>
      <c r="CH19" s="25">
        <f t="shared" ref="CH19:ER19" si="75">CH10*$C$11</f>
        <v>93621.343658906684</v>
      </c>
      <c r="CI19" s="25">
        <f t="shared" si="75"/>
        <v>102983.47802479738</v>
      </c>
      <c r="CJ19" s="25">
        <f t="shared" si="75"/>
        <v>113281.82582727711</v>
      </c>
      <c r="CK19" s="25">
        <f t="shared" si="75"/>
        <v>124610.00841000484</v>
      </c>
      <c r="CL19" s="25">
        <f t="shared" si="75"/>
        <v>137071.00925100531</v>
      </c>
      <c r="CM19" s="25">
        <f t="shared" si="75"/>
        <v>150778.1101761059</v>
      </c>
      <c r="CN19" s="25">
        <f t="shared" si="75"/>
        <v>165855.92119371647</v>
      </c>
      <c r="CO19" s="25">
        <f t="shared" si="75"/>
        <v>182441.51331308813</v>
      </c>
      <c r="CP19" s="25">
        <f t="shared" si="75"/>
        <v>200685.66464439698</v>
      </c>
      <c r="CQ19" s="25">
        <f t="shared" si="75"/>
        <v>220754.23110883668</v>
      </c>
      <c r="CR19" s="25">
        <f t="shared" si="75"/>
        <v>242829.65421972037</v>
      </c>
      <c r="CS19" s="25">
        <f t="shared" si="75"/>
        <v>267112.61964169244</v>
      </c>
      <c r="CT19" s="25">
        <f t="shared" si="75"/>
        <v>293823.88160586171</v>
      </c>
      <c r="CU19" s="25">
        <f t="shared" si="75"/>
        <v>323206.26976644789</v>
      </c>
      <c r="CV19" s="25">
        <f t="shared" si="75"/>
        <v>355526.89674309274</v>
      </c>
      <c r="CW19" s="25">
        <f t="shared" si="75"/>
        <v>391079.58641740202</v>
      </c>
      <c r="CX19" s="25">
        <f t="shared" si="75"/>
        <v>430187.54505914223</v>
      </c>
      <c r="CY19" s="25">
        <f t="shared" si="75"/>
        <v>473206.29956505657</v>
      </c>
      <c r="CZ19" s="25">
        <f t="shared" si="75"/>
        <v>520526.92952156224</v>
      </c>
      <c r="DA19" s="25">
        <f t="shared" si="75"/>
        <v>572579.62247371848</v>
      </c>
      <c r="DB19" s="25">
        <f>DB10*$C$11</f>
        <v>629837.58472109027</v>
      </c>
      <c r="DC19" s="25">
        <f t="shared" si="75"/>
        <v>692821.34319319949</v>
      </c>
      <c r="DD19" s="25">
        <f t="shared" si="75"/>
        <v>762103.47751251946</v>
      </c>
      <c r="DE19" s="25">
        <f t="shared" si="75"/>
        <v>838313.82526377146</v>
      </c>
      <c r="DF19" s="25">
        <f t="shared" si="75"/>
        <v>922145.20779014856</v>
      </c>
      <c r="DG19" s="25">
        <f t="shared" si="75"/>
        <v>938674.09238010622</v>
      </c>
      <c r="DH19" s="25">
        <f t="shared" si="75"/>
        <v>875027.69065811683</v>
      </c>
      <c r="DI19" s="25">
        <f t="shared" si="75"/>
        <v>805016.64876392833</v>
      </c>
      <c r="DJ19" s="25">
        <f t="shared" si="75"/>
        <v>728004.50268032122</v>
      </c>
      <c r="DK19" s="25">
        <f t="shared" si="75"/>
        <v>643291.14198835322</v>
      </c>
      <c r="DL19" s="25">
        <f t="shared" si="75"/>
        <v>550106.44522718852</v>
      </c>
      <c r="DM19" s="25">
        <f t="shared" si="75"/>
        <v>447603.27878990717</v>
      </c>
      <c r="DN19" s="25">
        <f t="shared" si="75"/>
        <v>334849.79570889781</v>
      </c>
      <c r="DO19" s="25">
        <f t="shared" si="75"/>
        <v>210820.96431978757</v>
      </c>
      <c r="DP19" s="25">
        <f t="shared" si="75"/>
        <v>74389.249791766197</v>
      </c>
      <c r="DQ19" s="25">
        <f t="shared" si="75"/>
        <v>0</v>
      </c>
      <c r="DR19" s="25">
        <f t="shared" si="75"/>
        <v>0</v>
      </c>
      <c r="DS19" s="25">
        <f t="shared" si="75"/>
        <v>0</v>
      </c>
      <c r="DT19" s="25">
        <f t="shared" si="75"/>
        <v>0</v>
      </c>
      <c r="DU19" s="25">
        <f t="shared" si="75"/>
        <v>0</v>
      </c>
      <c r="DV19" s="25">
        <f t="shared" si="75"/>
        <v>0</v>
      </c>
      <c r="DW19" s="25">
        <f t="shared" si="75"/>
        <v>0</v>
      </c>
      <c r="DX19" s="25">
        <f t="shared" si="75"/>
        <v>0</v>
      </c>
      <c r="DY19" s="25">
        <f t="shared" si="75"/>
        <v>0</v>
      </c>
      <c r="DZ19" s="25">
        <f t="shared" si="75"/>
        <v>0</v>
      </c>
      <c r="EA19" s="25">
        <f t="shared" si="75"/>
        <v>0</v>
      </c>
      <c r="EB19" s="25">
        <f t="shared" si="75"/>
        <v>0</v>
      </c>
      <c r="EC19" s="25">
        <f t="shared" si="75"/>
        <v>0</v>
      </c>
      <c r="ED19" s="25">
        <f t="shared" si="75"/>
        <v>0</v>
      </c>
      <c r="EE19" s="25">
        <f t="shared" si="75"/>
        <v>0</v>
      </c>
      <c r="EF19" s="25">
        <f t="shared" si="75"/>
        <v>0</v>
      </c>
      <c r="EG19" s="25">
        <f t="shared" si="75"/>
        <v>0</v>
      </c>
      <c r="EH19" s="25">
        <f t="shared" si="75"/>
        <v>0</v>
      </c>
      <c r="EI19" s="25">
        <f t="shared" si="75"/>
        <v>0</v>
      </c>
      <c r="EJ19" s="25">
        <f t="shared" si="75"/>
        <v>0</v>
      </c>
      <c r="EK19" s="25">
        <f t="shared" si="75"/>
        <v>0</v>
      </c>
      <c r="EL19" s="25">
        <f t="shared" si="75"/>
        <v>0</v>
      </c>
      <c r="EM19" s="25">
        <f t="shared" si="75"/>
        <v>0</v>
      </c>
      <c r="EN19" s="25">
        <f t="shared" si="75"/>
        <v>0</v>
      </c>
      <c r="EO19" s="25">
        <f t="shared" si="75"/>
        <v>0</v>
      </c>
      <c r="EP19" s="25">
        <f t="shared" si="75"/>
        <v>0</v>
      </c>
      <c r="EQ19" s="25">
        <f t="shared" si="75"/>
        <v>0</v>
      </c>
      <c r="ER19" s="25">
        <f t="shared" si="75"/>
        <v>0</v>
      </c>
      <c r="ES19" s="25">
        <f t="shared" ref="ES19:HD19" si="76">ES10*$C$11</f>
        <v>0</v>
      </c>
      <c r="ET19" s="25">
        <f t="shared" si="76"/>
        <v>0</v>
      </c>
      <c r="EU19" s="25">
        <f t="shared" si="76"/>
        <v>0</v>
      </c>
      <c r="EV19" s="25">
        <f t="shared" si="76"/>
        <v>0</v>
      </c>
      <c r="EW19" s="25">
        <f t="shared" si="76"/>
        <v>0</v>
      </c>
      <c r="EX19" s="25">
        <f t="shared" si="76"/>
        <v>0</v>
      </c>
      <c r="EY19" s="25">
        <f t="shared" si="76"/>
        <v>0</v>
      </c>
      <c r="EZ19" s="25">
        <f t="shared" si="76"/>
        <v>0</v>
      </c>
      <c r="FA19" s="25">
        <f t="shared" si="76"/>
        <v>0</v>
      </c>
      <c r="FB19" s="25">
        <f t="shared" si="76"/>
        <v>0</v>
      </c>
      <c r="FC19" s="25">
        <f t="shared" si="76"/>
        <v>0</v>
      </c>
      <c r="FD19" s="25">
        <f t="shared" si="76"/>
        <v>0</v>
      </c>
      <c r="FE19" s="25">
        <f t="shared" si="76"/>
        <v>0</v>
      </c>
      <c r="FF19" s="25">
        <f t="shared" si="76"/>
        <v>0</v>
      </c>
      <c r="FG19" s="25">
        <f t="shared" si="76"/>
        <v>0</v>
      </c>
      <c r="FH19" s="25">
        <f t="shared" si="76"/>
        <v>0</v>
      </c>
      <c r="FI19" s="25">
        <f t="shared" si="76"/>
        <v>0</v>
      </c>
      <c r="FJ19" s="25">
        <f t="shared" si="76"/>
        <v>0</v>
      </c>
      <c r="FK19" s="25">
        <f t="shared" si="76"/>
        <v>0</v>
      </c>
      <c r="FL19" s="25">
        <f t="shared" si="76"/>
        <v>0</v>
      </c>
      <c r="FM19" s="25">
        <f t="shared" si="76"/>
        <v>0</v>
      </c>
      <c r="FN19" s="25">
        <f t="shared" si="76"/>
        <v>0</v>
      </c>
      <c r="FO19" s="25">
        <f t="shared" si="76"/>
        <v>0</v>
      </c>
      <c r="FP19" s="25">
        <f t="shared" si="76"/>
        <v>0</v>
      </c>
      <c r="FQ19" s="25">
        <f t="shared" si="76"/>
        <v>0</v>
      </c>
      <c r="FR19" s="25">
        <f t="shared" si="76"/>
        <v>0</v>
      </c>
      <c r="FS19" s="25">
        <f t="shared" si="76"/>
        <v>0</v>
      </c>
      <c r="FT19" s="25">
        <f t="shared" si="76"/>
        <v>0</v>
      </c>
      <c r="FU19" s="25">
        <f t="shared" si="76"/>
        <v>0</v>
      </c>
      <c r="FV19" s="25">
        <f t="shared" si="76"/>
        <v>0</v>
      </c>
      <c r="FW19" s="25">
        <f t="shared" si="76"/>
        <v>0</v>
      </c>
      <c r="FX19" s="25">
        <f t="shared" si="76"/>
        <v>0</v>
      </c>
      <c r="FY19" s="25">
        <f t="shared" si="76"/>
        <v>0</v>
      </c>
      <c r="FZ19" s="25">
        <f t="shared" si="76"/>
        <v>0</v>
      </c>
      <c r="GA19" s="25">
        <f t="shared" si="76"/>
        <v>0</v>
      </c>
      <c r="GB19" s="25">
        <f t="shared" si="76"/>
        <v>0</v>
      </c>
      <c r="GC19" s="25">
        <f t="shared" si="76"/>
        <v>0</v>
      </c>
      <c r="GD19" s="25">
        <f t="shared" si="76"/>
        <v>0</v>
      </c>
      <c r="GE19" s="25">
        <f t="shared" si="76"/>
        <v>0</v>
      </c>
      <c r="GF19" s="25">
        <f t="shared" si="76"/>
        <v>0</v>
      </c>
      <c r="GG19" s="25">
        <f t="shared" si="76"/>
        <v>0</v>
      </c>
      <c r="GH19" s="25">
        <f t="shared" si="76"/>
        <v>0</v>
      </c>
      <c r="GI19" s="25">
        <f t="shared" si="76"/>
        <v>0</v>
      </c>
      <c r="GJ19" s="25">
        <f t="shared" si="76"/>
        <v>0</v>
      </c>
      <c r="GK19" s="25">
        <f t="shared" si="76"/>
        <v>0</v>
      </c>
      <c r="GL19" s="25">
        <f t="shared" si="76"/>
        <v>0</v>
      </c>
      <c r="GM19" s="25">
        <f t="shared" si="76"/>
        <v>0</v>
      </c>
      <c r="GN19" s="25">
        <f t="shared" si="76"/>
        <v>0</v>
      </c>
      <c r="GO19" s="25">
        <f t="shared" si="76"/>
        <v>0</v>
      </c>
      <c r="GP19" s="25">
        <f t="shared" si="76"/>
        <v>0</v>
      </c>
      <c r="GQ19" s="25">
        <f t="shared" si="76"/>
        <v>0</v>
      </c>
      <c r="GR19" s="25">
        <f t="shared" si="76"/>
        <v>0</v>
      </c>
      <c r="GS19" s="25">
        <f t="shared" si="76"/>
        <v>0</v>
      </c>
      <c r="GT19" s="25">
        <f t="shared" si="76"/>
        <v>0</v>
      </c>
      <c r="GU19" s="25">
        <f t="shared" si="76"/>
        <v>0</v>
      </c>
      <c r="GV19" s="25">
        <f t="shared" si="76"/>
        <v>0</v>
      </c>
      <c r="GW19" s="25">
        <f t="shared" si="76"/>
        <v>0</v>
      </c>
      <c r="GX19" s="25">
        <f t="shared" si="76"/>
        <v>0</v>
      </c>
      <c r="GY19" s="25">
        <f t="shared" si="76"/>
        <v>0</v>
      </c>
      <c r="GZ19" s="25">
        <f t="shared" si="76"/>
        <v>0</v>
      </c>
      <c r="HA19" s="25">
        <f t="shared" si="76"/>
        <v>0</v>
      </c>
      <c r="HB19" s="25">
        <f t="shared" si="76"/>
        <v>0</v>
      </c>
      <c r="HC19" s="25">
        <f t="shared" si="76"/>
        <v>0</v>
      </c>
      <c r="HD19" s="25">
        <f t="shared" si="76"/>
        <v>0</v>
      </c>
      <c r="HE19" s="25">
        <f t="shared" ref="HE19:IN19" si="77">HE10*$C$11</f>
        <v>0</v>
      </c>
      <c r="HF19" s="25">
        <f t="shared" si="77"/>
        <v>0</v>
      </c>
      <c r="HG19" s="25">
        <f t="shared" si="77"/>
        <v>0</v>
      </c>
      <c r="HH19" s="25">
        <f t="shared" si="77"/>
        <v>0</v>
      </c>
      <c r="HI19" s="25">
        <f t="shared" si="77"/>
        <v>0</v>
      </c>
      <c r="HJ19" s="25">
        <f t="shared" si="77"/>
        <v>0</v>
      </c>
      <c r="HK19" s="25">
        <f t="shared" si="77"/>
        <v>0</v>
      </c>
      <c r="HL19" s="25">
        <f t="shared" si="77"/>
        <v>0</v>
      </c>
      <c r="HM19" s="25">
        <f t="shared" si="77"/>
        <v>0</v>
      </c>
      <c r="HN19" s="25">
        <f t="shared" si="77"/>
        <v>0</v>
      </c>
      <c r="HO19" s="25">
        <f t="shared" si="77"/>
        <v>0</v>
      </c>
      <c r="HP19" s="25">
        <f t="shared" si="77"/>
        <v>0</v>
      </c>
      <c r="HQ19" s="25">
        <f t="shared" si="77"/>
        <v>0</v>
      </c>
      <c r="HR19" s="25">
        <f t="shared" si="77"/>
        <v>0</v>
      </c>
      <c r="HS19" s="25">
        <f t="shared" si="77"/>
        <v>0</v>
      </c>
      <c r="HT19" s="25">
        <f t="shared" si="77"/>
        <v>0</v>
      </c>
      <c r="HU19" s="25">
        <f t="shared" si="77"/>
        <v>0</v>
      </c>
      <c r="HV19" s="25">
        <f t="shared" si="77"/>
        <v>0</v>
      </c>
      <c r="HW19" s="25">
        <f t="shared" si="77"/>
        <v>0</v>
      </c>
      <c r="HX19" s="25">
        <f t="shared" si="77"/>
        <v>0</v>
      </c>
      <c r="HY19" s="25">
        <f t="shared" si="77"/>
        <v>0</v>
      </c>
      <c r="HZ19" s="25">
        <f t="shared" si="77"/>
        <v>0</v>
      </c>
      <c r="IA19" s="25">
        <f t="shared" si="77"/>
        <v>0</v>
      </c>
      <c r="IB19" s="25">
        <f t="shared" si="77"/>
        <v>0</v>
      </c>
      <c r="IC19" s="25">
        <f t="shared" si="77"/>
        <v>0</v>
      </c>
      <c r="ID19" s="25">
        <f t="shared" si="77"/>
        <v>0</v>
      </c>
      <c r="IE19" s="25">
        <f t="shared" si="77"/>
        <v>0</v>
      </c>
      <c r="IF19" s="25">
        <f t="shared" si="77"/>
        <v>0</v>
      </c>
      <c r="IG19" s="25">
        <f t="shared" si="77"/>
        <v>0</v>
      </c>
      <c r="IH19" s="25">
        <f t="shared" si="77"/>
        <v>0</v>
      </c>
      <c r="II19" s="25">
        <f t="shared" si="77"/>
        <v>0</v>
      </c>
      <c r="IJ19" s="25">
        <f t="shared" si="77"/>
        <v>0</v>
      </c>
      <c r="IK19" s="25">
        <f t="shared" si="77"/>
        <v>0</v>
      </c>
      <c r="IL19" s="25">
        <f t="shared" si="77"/>
        <v>0</v>
      </c>
      <c r="IM19" s="25">
        <f t="shared" si="77"/>
        <v>0</v>
      </c>
      <c r="IN19" s="25">
        <f t="shared" si="77"/>
        <v>0</v>
      </c>
    </row>
    <row r="20" spans="2:248" x14ac:dyDescent="0.3">
      <c r="B20" s="20" t="s">
        <v>454</v>
      </c>
      <c r="C20" s="22">
        <v>0</v>
      </c>
      <c r="D20" s="20">
        <v>0</v>
      </c>
      <c r="F20" s="23" t="s">
        <v>626</v>
      </c>
      <c r="G20" s="25">
        <f>G12*$C$11</f>
        <v>6.11</v>
      </c>
      <c r="H20" s="25">
        <f t="shared" ref="H20:T20" si="78">H12*$C$11</f>
        <v>7.4729999999999999</v>
      </c>
      <c r="I20" s="25">
        <f t="shared" si="78"/>
        <v>9.2119999999999997</v>
      </c>
      <c r="J20" s="25">
        <f t="shared" si="78"/>
        <v>12.314</v>
      </c>
      <c r="K20" s="25">
        <f t="shared" si="78"/>
        <v>22.654</v>
      </c>
      <c r="L20" s="25">
        <f t="shared" si="78"/>
        <v>31.49</v>
      </c>
      <c r="M20" s="25">
        <f t="shared" si="78"/>
        <v>37.552999999999997</v>
      </c>
      <c r="N20" s="25">
        <f t="shared" si="78"/>
        <v>48.88</v>
      </c>
      <c r="O20" s="25">
        <f t="shared" si="78"/>
        <v>55.271999999999998</v>
      </c>
      <c r="P20" s="25">
        <f t="shared" si="78"/>
        <v>68.478999999999999</v>
      </c>
      <c r="Q20" s="25">
        <f t="shared" si="78"/>
        <v>83.566000000000003</v>
      </c>
      <c r="R20" s="25">
        <f t="shared" si="78"/>
        <v>90.192999999999998</v>
      </c>
      <c r="S20" s="25">
        <f t="shared" si="78"/>
        <v>163.51300000000001</v>
      </c>
      <c r="T20" s="25">
        <f t="shared" si="78"/>
        <v>203.18100000000001</v>
      </c>
      <c r="U20" s="25">
        <f t="shared" ref="U20:CF20" si="79">U12*$C$11</f>
        <v>249.71100000000001</v>
      </c>
      <c r="V20" s="25">
        <f t="shared" si="79"/>
        <v>310.29399999999998</v>
      </c>
      <c r="W20" s="25">
        <f t="shared" si="79"/>
        <v>389.67700000000002</v>
      </c>
      <c r="X20" s="25">
        <f t="shared" si="79"/>
        <v>485.15750000000003</v>
      </c>
      <c r="Y20" s="25">
        <f t="shared" si="79"/>
        <v>612.27487499999995</v>
      </c>
      <c r="Z20" s="25">
        <f t="shared" si="79"/>
        <v>765.95459374999996</v>
      </c>
      <c r="AA20" s="25">
        <f t="shared" si="79"/>
        <v>953.36599218749996</v>
      </c>
      <c r="AB20" s="25">
        <f t="shared" si="79"/>
        <v>1206.1364902343751</v>
      </c>
      <c r="AC20" s="25">
        <f t="shared" si="79"/>
        <v>1457.0281127929688</v>
      </c>
      <c r="AD20" s="25">
        <f t="shared" si="79"/>
        <v>1821.696390991211</v>
      </c>
      <c r="AE20" s="25">
        <f t="shared" si="79"/>
        <v>2274.1242387390139</v>
      </c>
      <c r="AF20" s="25">
        <f t="shared" si="79"/>
        <v>2841.327548423767</v>
      </c>
      <c r="AG20" s="25">
        <f t="shared" si="79"/>
        <v>3551.6594355297088</v>
      </c>
      <c r="AH20" s="25">
        <f t="shared" si="79"/>
        <v>4439.5742944121357</v>
      </c>
      <c r="AI20" s="25">
        <f t="shared" si="79"/>
        <v>5549.4678680151701</v>
      </c>
      <c r="AJ20" s="25">
        <f t="shared" si="79"/>
        <v>6936.8348350189626</v>
      </c>
      <c r="AK20" s="25">
        <f t="shared" si="79"/>
        <v>8671.0435437737033</v>
      </c>
      <c r="AL20" s="25">
        <f t="shared" si="79"/>
        <v>10838.804429717129</v>
      </c>
      <c r="AM20" s="25">
        <f t="shared" si="79"/>
        <v>13548.505537146411</v>
      </c>
      <c r="AN20" s="25">
        <f t="shared" si="79"/>
        <v>16935.631921433014</v>
      </c>
      <c r="AO20" s="25">
        <f t="shared" si="79"/>
        <v>21169.539901791268</v>
      </c>
      <c r="AP20" s="25">
        <f t="shared" si="79"/>
        <v>26461.924877239086</v>
      </c>
      <c r="AQ20" s="25">
        <f t="shared" si="79"/>
        <v>33077.406096548861</v>
      </c>
      <c r="AR20" s="25">
        <f t="shared" si="79"/>
        <v>41346.757620686069</v>
      </c>
      <c r="AS20" s="25">
        <f t="shared" si="79"/>
        <v>51683.447025857597</v>
      </c>
      <c r="AT20" s="25">
        <f t="shared" si="79"/>
        <v>64604.30878232199</v>
      </c>
      <c r="AU20" s="25">
        <f t="shared" si="79"/>
        <v>80755.385977902493</v>
      </c>
      <c r="AV20" s="25">
        <f t="shared" si="79"/>
        <v>100944.23247237811</v>
      </c>
      <c r="AW20" s="25">
        <f t="shared" si="79"/>
        <v>126180.29059047264</v>
      </c>
      <c r="AX20" s="25">
        <f t="shared" si="79"/>
        <v>157725.36323809079</v>
      </c>
      <c r="AY20" s="25">
        <f t="shared" si="79"/>
        <v>197156.70404761349</v>
      </c>
      <c r="AZ20" s="25">
        <f t="shared" si="79"/>
        <v>246445.88005951687</v>
      </c>
      <c r="BA20" s="25">
        <f t="shared" si="79"/>
        <v>308057.35007439612</v>
      </c>
      <c r="BB20" s="25">
        <f t="shared" si="79"/>
        <v>385071.68759299506</v>
      </c>
      <c r="BC20" s="25">
        <f t="shared" si="79"/>
        <v>481339.60949124378</v>
      </c>
      <c r="BD20" s="25">
        <f t="shared" si="79"/>
        <v>601674.51186405483</v>
      </c>
      <c r="BE20" s="25">
        <f t="shared" si="79"/>
        <v>752093.13983006857</v>
      </c>
      <c r="BF20" s="25">
        <f t="shared" si="79"/>
        <v>940116.42478758574</v>
      </c>
      <c r="BG20" s="25">
        <f t="shared" si="79"/>
        <v>1175145.530984482</v>
      </c>
      <c r="BH20" s="25">
        <f t="shared" si="79"/>
        <v>1398439.9230494851</v>
      </c>
      <c r="BI20" s="25">
        <f t="shared" si="79"/>
        <v>1354265.3764118564</v>
      </c>
      <c r="BJ20" s="25">
        <f t="shared" si="79"/>
        <v>1299047.1931148202</v>
      </c>
      <c r="BK20" s="25">
        <f t="shared" si="79"/>
        <v>1230024.4639935254</v>
      </c>
      <c r="BL20" s="25">
        <f t="shared" si="79"/>
        <v>1143746.0525919066</v>
      </c>
      <c r="BM20" s="25">
        <f t="shared" si="79"/>
        <v>1035898.0383398834</v>
      </c>
      <c r="BN20" s="25">
        <f t="shared" si="79"/>
        <v>901088.02052485431</v>
      </c>
      <c r="BO20" s="25">
        <f t="shared" si="79"/>
        <v>732575.49825606786</v>
      </c>
      <c r="BP20" s="25">
        <f t="shared" si="79"/>
        <v>521934.84542008466</v>
      </c>
      <c r="BQ20" s="25">
        <f t="shared" si="79"/>
        <v>258634.02937510592</v>
      </c>
      <c r="BR20" s="25">
        <f t="shared" si="79"/>
        <v>0</v>
      </c>
      <c r="BS20" s="25">
        <f t="shared" si="79"/>
        <v>0</v>
      </c>
      <c r="BT20" s="25">
        <f t="shared" si="79"/>
        <v>0</v>
      </c>
      <c r="BU20" s="25">
        <f t="shared" si="79"/>
        <v>0</v>
      </c>
      <c r="BV20" s="25">
        <f t="shared" si="79"/>
        <v>0</v>
      </c>
      <c r="BW20" s="25">
        <f t="shared" si="79"/>
        <v>0</v>
      </c>
      <c r="BX20" s="25">
        <f t="shared" si="79"/>
        <v>0</v>
      </c>
      <c r="BY20" s="25">
        <f t="shared" si="79"/>
        <v>0</v>
      </c>
      <c r="BZ20" s="25">
        <f t="shared" si="79"/>
        <v>0</v>
      </c>
      <c r="CA20" s="25">
        <f t="shared" si="79"/>
        <v>0</v>
      </c>
      <c r="CB20" s="25">
        <f t="shared" si="79"/>
        <v>0</v>
      </c>
      <c r="CC20" s="25">
        <f t="shared" si="79"/>
        <v>0</v>
      </c>
      <c r="CD20" s="25">
        <f t="shared" si="79"/>
        <v>0</v>
      </c>
      <c r="CE20" s="25">
        <f t="shared" si="79"/>
        <v>0</v>
      </c>
      <c r="CF20" s="25">
        <f t="shared" si="79"/>
        <v>0</v>
      </c>
      <c r="CG20" s="25">
        <f>CG12*$C$11</f>
        <v>0</v>
      </c>
      <c r="CH20" s="25">
        <f t="shared" ref="CH20:ER20" si="80">CH12*$C$11</f>
        <v>0</v>
      </c>
      <c r="CI20" s="25">
        <f t="shared" si="80"/>
        <v>0</v>
      </c>
      <c r="CJ20" s="25">
        <f t="shared" si="80"/>
        <v>0</v>
      </c>
      <c r="CK20" s="25">
        <f t="shared" si="80"/>
        <v>0</v>
      </c>
      <c r="CL20" s="25">
        <f t="shared" si="80"/>
        <v>0</v>
      </c>
      <c r="CM20" s="25">
        <f t="shared" si="80"/>
        <v>0</v>
      </c>
      <c r="CN20" s="25">
        <f t="shared" si="80"/>
        <v>0</v>
      </c>
      <c r="CO20" s="25">
        <f t="shared" si="80"/>
        <v>0</v>
      </c>
      <c r="CP20" s="25">
        <f t="shared" si="80"/>
        <v>0</v>
      </c>
      <c r="CQ20" s="25">
        <f t="shared" si="80"/>
        <v>0</v>
      </c>
      <c r="CR20" s="25">
        <f t="shared" si="80"/>
        <v>0</v>
      </c>
      <c r="CS20" s="25">
        <f t="shared" si="80"/>
        <v>0</v>
      </c>
      <c r="CT20" s="25">
        <f t="shared" si="80"/>
        <v>0</v>
      </c>
      <c r="CU20" s="25">
        <f t="shared" si="80"/>
        <v>0</v>
      </c>
      <c r="CV20" s="25">
        <f t="shared" si="80"/>
        <v>0</v>
      </c>
      <c r="CW20" s="25">
        <f t="shared" si="80"/>
        <v>0</v>
      </c>
      <c r="CX20" s="25">
        <f t="shared" si="80"/>
        <v>0</v>
      </c>
      <c r="CY20" s="25">
        <f t="shared" si="80"/>
        <v>0</v>
      </c>
      <c r="CZ20" s="25">
        <f t="shared" si="80"/>
        <v>0</v>
      </c>
      <c r="DA20" s="25">
        <f t="shared" si="80"/>
        <v>0</v>
      </c>
      <c r="DB20" s="25">
        <f t="shared" si="80"/>
        <v>0</v>
      </c>
      <c r="DC20" s="25">
        <f t="shared" si="80"/>
        <v>0</v>
      </c>
      <c r="DD20" s="25">
        <f t="shared" si="80"/>
        <v>0</v>
      </c>
      <c r="DE20" s="25">
        <f t="shared" si="80"/>
        <v>0</v>
      </c>
      <c r="DF20" s="25">
        <f t="shared" si="80"/>
        <v>0</v>
      </c>
      <c r="DG20" s="25">
        <f t="shared" si="80"/>
        <v>0</v>
      </c>
      <c r="DH20" s="25">
        <f t="shared" si="80"/>
        <v>0</v>
      </c>
      <c r="DI20" s="25">
        <f t="shared" si="80"/>
        <v>0</v>
      </c>
      <c r="DJ20" s="25">
        <f t="shared" si="80"/>
        <v>0</v>
      </c>
      <c r="DK20" s="25">
        <f t="shared" si="80"/>
        <v>0</v>
      </c>
      <c r="DL20" s="25">
        <f t="shared" si="80"/>
        <v>0</v>
      </c>
      <c r="DM20" s="25">
        <f t="shared" si="80"/>
        <v>0</v>
      </c>
      <c r="DN20" s="25">
        <f t="shared" si="80"/>
        <v>0</v>
      </c>
      <c r="DO20" s="25">
        <f t="shared" si="80"/>
        <v>0</v>
      </c>
      <c r="DP20" s="25">
        <f t="shared" si="80"/>
        <v>0</v>
      </c>
      <c r="DQ20" s="25">
        <f t="shared" si="80"/>
        <v>0</v>
      </c>
      <c r="DR20" s="25">
        <f t="shared" si="80"/>
        <v>0</v>
      </c>
      <c r="DS20" s="25">
        <f t="shared" si="80"/>
        <v>0</v>
      </c>
      <c r="DT20" s="25">
        <f t="shared" si="80"/>
        <v>0</v>
      </c>
      <c r="DU20" s="25">
        <f t="shared" si="80"/>
        <v>0</v>
      </c>
      <c r="DV20" s="25">
        <f t="shared" si="80"/>
        <v>0</v>
      </c>
      <c r="DW20" s="25">
        <f t="shared" si="80"/>
        <v>0</v>
      </c>
      <c r="DX20" s="25">
        <f t="shared" si="80"/>
        <v>0</v>
      </c>
      <c r="DY20" s="25">
        <f t="shared" si="80"/>
        <v>0</v>
      </c>
      <c r="DZ20" s="25">
        <f t="shared" si="80"/>
        <v>0</v>
      </c>
      <c r="EA20" s="25">
        <f t="shared" si="80"/>
        <v>0</v>
      </c>
      <c r="EB20" s="25">
        <f t="shared" si="80"/>
        <v>0</v>
      </c>
      <c r="EC20" s="25">
        <f t="shared" si="80"/>
        <v>0</v>
      </c>
      <c r="ED20" s="25">
        <f t="shared" si="80"/>
        <v>0</v>
      </c>
      <c r="EE20" s="25">
        <f t="shared" si="80"/>
        <v>0</v>
      </c>
      <c r="EF20" s="25">
        <f t="shared" si="80"/>
        <v>0</v>
      </c>
      <c r="EG20" s="25">
        <f t="shared" si="80"/>
        <v>0</v>
      </c>
      <c r="EH20" s="25">
        <f t="shared" si="80"/>
        <v>0</v>
      </c>
      <c r="EI20" s="25">
        <f t="shared" si="80"/>
        <v>0</v>
      </c>
      <c r="EJ20" s="25">
        <f t="shared" si="80"/>
        <v>0</v>
      </c>
      <c r="EK20" s="25">
        <f t="shared" si="80"/>
        <v>0</v>
      </c>
      <c r="EL20" s="25">
        <f t="shared" si="80"/>
        <v>0</v>
      </c>
      <c r="EM20" s="25">
        <f t="shared" si="80"/>
        <v>0</v>
      </c>
      <c r="EN20" s="25">
        <f t="shared" si="80"/>
        <v>0</v>
      </c>
      <c r="EO20" s="25">
        <f t="shared" si="80"/>
        <v>0</v>
      </c>
      <c r="EP20" s="25">
        <f t="shared" si="80"/>
        <v>0</v>
      </c>
      <c r="EQ20" s="25">
        <f t="shared" si="80"/>
        <v>0</v>
      </c>
      <c r="ER20" s="25">
        <f t="shared" si="80"/>
        <v>0</v>
      </c>
      <c r="ES20" s="25">
        <f t="shared" ref="ES20:HD20" si="81">ES12*$C$11</f>
        <v>0</v>
      </c>
      <c r="ET20" s="25">
        <f t="shared" si="81"/>
        <v>0</v>
      </c>
      <c r="EU20" s="25">
        <f t="shared" si="81"/>
        <v>0</v>
      </c>
      <c r="EV20" s="25">
        <f t="shared" si="81"/>
        <v>0</v>
      </c>
      <c r="EW20" s="25">
        <f t="shared" si="81"/>
        <v>0</v>
      </c>
      <c r="EX20" s="25">
        <f t="shared" si="81"/>
        <v>0</v>
      </c>
      <c r="EY20" s="25">
        <f t="shared" si="81"/>
        <v>0</v>
      </c>
      <c r="EZ20" s="25">
        <f t="shared" si="81"/>
        <v>0</v>
      </c>
      <c r="FA20" s="25">
        <f t="shared" si="81"/>
        <v>0</v>
      </c>
      <c r="FB20" s="25">
        <f t="shared" si="81"/>
        <v>0</v>
      </c>
      <c r="FC20" s="25">
        <f t="shared" si="81"/>
        <v>0</v>
      </c>
      <c r="FD20" s="25">
        <f t="shared" si="81"/>
        <v>0</v>
      </c>
      <c r="FE20" s="25">
        <f t="shared" si="81"/>
        <v>0</v>
      </c>
      <c r="FF20" s="25">
        <f t="shared" si="81"/>
        <v>0</v>
      </c>
      <c r="FG20" s="25">
        <f t="shared" si="81"/>
        <v>0</v>
      </c>
      <c r="FH20" s="25">
        <f t="shared" si="81"/>
        <v>0</v>
      </c>
      <c r="FI20" s="25">
        <f t="shared" si="81"/>
        <v>0</v>
      </c>
      <c r="FJ20" s="25">
        <f t="shared" si="81"/>
        <v>0</v>
      </c>
      <c r="FK20" s="25">
        <f t="shared" si="81"/>
        <v>0</v>
      </c>
      <c r="FL20" s="25">
        <f t="shared" si="81"/>
        <v>0</v>
      </c>
      <c r="FM20" s="25">
        <f t="shared" si="81"/>
        <v>0</v>
      </c>
      <c r="FN20" s="25">
        <f t="shared" si="81"/>
        <v>0</v>
      </c>
      <c r="FO20" s="25">
        <f t="shared" si="81"/>
        <v>0</v>
      </c>
      <c r="FP20" s="25">
        <f t="shared" si="81"/>
        <v>0</v>
      </c>
      <c r="FQ20" s="25">
        <f t="shared" si="81"/>
        <v>0</v>
      </c>
      <c r="FR20" s="25">
        <f t="shared" si="81"/>
        <v>0</v>
      </c>
      <c r="FS20" s="25">
        <f t="shared" si="81"/>
        <v>0</v>
      </c>
      <c r="FT20" s="25">
        <f t="shared" si="81"/>
        <v>0</v>
      </c>
      <c r="FU20" s="25">
        <f t="shared" si="81"/>
        <v>0</v>
      </c>
      <c r="FV20" s="25">
        <f t="shared" si="81"/>
        <v>0</v>
      </c>
      <c r="FW20" s="25">
        <f t="shared" si="81"/>
        <v>0</v>
      </c>
      <c r="FX20" s="25">
        <f t="shared" si="81"/>
        <v>0</v>
      </c>
      <c r="FY20" s="25">
        <f t="shared" si="81"/>
        <v>0</v>
      </c>
      <c r="FZ20" s="25">
        <f t="shared" si="81"/>
        <v>0</v>
      </c>
      <c r="GA20" s="25">
        <f t="shared" si="81"/>
        <v>0</v>
      </c>
      <c r="GB20" s="25">
        <f t="shared" si="81"/>
        <v>0</v>
      </c>
      <c r="GC20" s="25">
        <f t="shared" si="81"/>
        <v>0</v>
      </c>
      <c r="GD20" s="25">
        <f t="shared" si="81"/>
        <v>0</v>
      </c>
      <c r="GE20" s="25">
        <f t="shared" si="81"/>
        <v>0</v>
      </c>
      <c r="GF20" s="25">
        <f t="shared" si="81"/>
        <v>0</v>
      </c>
      <c r="GG20" s="25">
        <f t="shared" si="81"/>
        <v>0</v>
      </c>
      <c r="GH20" s="25">
        <f t="shared" si="81"/>
        <v>0</v>
      </c>
      <c r="GI20" s="25">
        <f t="shared" si="81"/>
        <v>0</v>
      </c>
      <c r="GJ20" s="25">
        <f t="shared" si="81"/>
        <v>0</v>
      </c>
      <c r="GK20" s="25">
        <f t="shared" si="81"/>
        <v>0</v>
      </c>
      <c r="GL20" s="25">
        <f t="shared" si="81"/>
        <v>0</v>
      </c>
      <c r="GM20" s="25">
        <f t="shared" si="81"/>
        <v>0</v>
      </c>
      <c r="GN20" s="25">
        <f t="shared" si="81"/>
        <v>0</v>
      </c>
      <c r="GO20" s="25">
        <f t="shared" si="81"/>
        <v>0</v>
      </c>
      <c r="GP20" s="25">
        <f t="shared" si="81"/>
        <v>0</v>
      </c>
      <c r="GQ20" s="25">
        <f t="shared" si="81"/>
        <v>0</v>
      </c>
      <c r="GR20" s="25">
        <f t="shared" si="81"/>
        <v>0</v>
      </c>
      <c r="GS20" s="25">
        <f t="shared" si="81"/>
        <v>0</v>
      </c>
      <c r="GT20" s="25">
        <f t="shared" si="81"/>
        <v>0</v>
      </c>
      <c r="GU20" s="25">
        <f t="shared" si="81"/>
        <v>0</v>
      </c>
      <c r="GV20" s="25">
        <f t="shared" si="81"/>
        <v>0</v>
      </c>
      <c r="GW20" s="25">
        <f t="shared" si="81"/>
        <v>0</v>
      </c>
      <c r="GX20" s="25">
        <f t="shared" si="81"/>
        <v>0</v>
      </c>
      <c r="GY20" s="25">
        <f t="shared" si="81"/>
        <v>0</v>
      </c>
      <c r="GZ20" s="25">
        <f t="shared" si="81"/>
        <v>0</v>
      </c>
      <c r="HA20" s="25">
        <f t="shared" si="81"/>
        <v>0</v>
      </c>
      <c r="HB20" s="25">
        <f t="shared" si="81"/>
        <v>0</v>
      </c>
      <c r="HC20" s="25">
        <f t="shared" si="81"/>
        <v>0</v>
      </c>
      <c r="HD20" s="25">
        <f t="shared" si="81"/>
        <v>0</v>
      </c>
      <c r="HE20" s="25">
        <f t="shared" ref="HE20:IN20" si="82">HE12*$C$11</f>
        <v>0</v>
      </c>
      <c r="HF20" s="25">
        <f t="shared" si="82"/>
        <v>0</v>
      </c>
      <c r="HG20" s="25">
        <f t="shared" si="82"/>
        <v>0</v>
      </c>
      <c r="HH20" s="25">
        <f t="shared" si="82"/>
        <v>0</v>
      </c>
      <c r="HI20" s="25">
        <f t="shared" si="82"/>
        <v>0</v>
      </c>
      <c r="HJ20" s="25">
        <f t="shared" si="82"/>
        <v>0</v>
      </c>
      <c r="HK20" s="25">
        <f t="shared" si="82"/>
        <v>0</v>
      </c>
      <c r="HL20" s="25">
        <f t="shared" si="82"/>
        <v>0</v>
      </c>
      <c r="HM20" s="25">
        <f t="shared" si="82"/>
        <v>0</v>
      </c>
      <c r="HN20" s="25">
        <f t="shared" si="82"/>
        <v>0</v>
      </c>
      <c r="HO20" s="25">
        <f t="shared" si="82"/>
        <v>0</v>
      </c>
      <c r="HP20" s="25">
        <f t="shared" si="82"/>
        <v>0</v>
      </c>
      <c r="HQ20" s="25">
        <f t="shared" si="82"/>
        <v>0</v>
      </c>
      <c r="HR20" s="25">
        <f t="shared" si="82"/>
        <v>0</v>
      </c>
      <c r="HS20" s="25">
        <f t="shared" si="82"/>
        <v>0</v>
      </c>
      <c r="HT20" s="25">
        <f t="shared" si="82"/>
        <v>0</v>
      </c>
      <c r="HU20" s="25">
        <f t="shared" si="82"/>
        <v>0</v>
      </c>
      <c r="HV20" s="25">
        <f t="shared" si="82"/>
        <v>0</v>
      </c>
      <c r="HW20" s="25">
        <f t="shared" si="82"/>
        <v>0</v>
      </c>
      <c r="HX20" s="25">
        <f t="shared" si="82"/>
        <v>0</v>
      </c>
      <c r="HY20" s="25">
        <f t="shared" si="82"/>
        <v>0</v>
      </c>
      <c r="HZ20" s="25">
        <f t="shared" si="82"/>
        <v>0</v>
      </c>
      <c r="IA20" s="25">
        <f t="shared" si="82"/>
        <v>0</v>
      </c>
      <c r="IB20" s="25">
        <f t="shared" si="82"/>
        <v>0</v>
      </c>
      <c r="IC20" s="25">
        <f t="shared" si="82"/>
        <v>0</v>
      </c>
      <c r="ID20" s="25">
        <f t="shared" si="82"/>
        <v>0</v>
      </c>
      <c r="IE20" s="25">
        <f t="shared" si="82"/>
        <v>0</v>
      </c>
      <c r="IF20" s="25">
        <f t="shared" si="82"/>
        <v>0</v>
      </c>
      <c r="IG20" s="25">
        <f t="shared" si="82"/>
        <v>0</v>
      </c>
      <c r="IH20" s="25">
        <f t="shared" si="82"/>
        <v>0</v>
      </c>
      <c r="II20" s="25">
        <f t="shared" si="82"/>
        <v>0</v>
      </c>
      <c r="IJ20" s="25">
        <f t="shared" si="82"/>
        <v>0</v>
      </c>
      <c r="IK20" s="25">
        <f t="shared" si="82"/>
        <v>0</v>
      </c>
      <c r="IL20" s="25">
        <f t="shared" si="82"/>
        <v>0</v>
      </c>
      <c r="IM20" s="25">
        <f t="shared" si="82"/>
        <v>0</v>
      </c>
      <c r="IN20" s="25">
        <f t="shared" si="82"/>
        <v>0</v>
      </c>
    </row>
    <row r="21" spans="2:248" x14ac:dyDescent="0.3">
      <c r="B21" s="20" t="s">
        <v>455</v>
      </c>
      <c r="C21" s="22">
        <f ca="1">HLOOKUP(C24,G3:KU15,4,FALSE)</f>
        <v>36219.668408823534</v>
      </c>
      <c r="D21" s="25">
        <f>C12*1.5</f>
        <v>36697.366596</v>
      </c>
      <c r="F21" s="23" t="s">
        <v>623</v>
      </c>
      <c r="G21" s="25">
        <f>G14*$C$11</f>
        <v>6.11</v>
      </c>
      <c r="H21" s="25">
        <f t="shared" ref="H21:T21" si="83">H14*$C$11</f>
        <v>7.4729999999999999</v>
      </c>
      <c r="I21" s="25">
        <f t="shared" si="83"/>
        <v>9.2119999999999997</v>
      </c>
      <c r="J21" s="25">
        <f t="shared" si="83"/>
        <v>12.314</v>
      </c>
      <c r="K21" s="25">
        <f t="shared" si="83"/>
        <v>22.654</v>
      </c>
      <c r="L21" s="25">
        <f t="shared" si="83"/>
        <v>31.49</v>
      </c>
      <c r="M21" s="25">
        <f t="shared" si="83"/>
        <v>37.552999999999997</v>
      </c>
      <c r="N21" s="25">
        <f t="shared" si="83"/>
        <v>48.88</v>
      </c>
      <c r="O21" s="25">
        <f t="shared" si="83"/>
        <v>55.271999999999998</v>
      </c>
      <c r="P21" s="25">
        <f t="shared" si="83"/>
        <v>68.478999999999999</v>
      </c>
      <c r="Q21" s="25">
        <f t="shared" si="83"/>
        <v>83.566000000000003</v>
      </c>
      <c r="R21" s="25">
        <f t="shared" si="83"/>
        <v>90.192999999999998</v>
      </c>
      <c r="S21" s="25">
        <f t="shared" si="83"/>
        <v>163.51300000000001</v>
      </c>
      <c r="T21" s="25">
        <f t="shared" si="83"/>
        <v>203.18100000000001</v>
      </c>
      <c r="U21" s="25">
        <f t="shared" ref="U21:CF21" si="84">U14*$C$11</f>
        <v>249.71100000000001</v>
      </c>
      <c r="V21" s="25">
        <f t="shared" si="84"/>
        <v>310.29399999999998</v>
      </c>
      <c r="W21" s="25">
        <f t="shared" si="84"/>
        <v>406.76620000000003</v>
      </c>
      <c r="X21" s="25">
        <f t="shared" si="84"/>
        <v>528.73496</v>
      </c>
      <c r="Y21" s="25">
        <f t="shared" si="84"/>
        <v>695.62744800000007</v>
      </c>
      <c r="Z21" s="25">
        <f t="shared" si="84"/>
        <v>907.69028240000011</v>
      </c>
      <c r="AA21" s="25">
        <f t="shared" si="84"/>
        <v>1179.3440671200003</v>
      </c>
      <c r="AB21" s="25">
        <f t="shared" si="84"/>
        <v>1552.0600872560005</v>
      </c>
      <c r="AC21" s="25">
        <f t="shared" si="84"/>
        <v>1971.9189134328008</v>
      </c>
      <c r="AD21" s="25">
        <f t="shared" si="84"/>
        <v>2572.5420874626411</v>
      </c>
      <c r="AE21" s="25">
        <f t="shared" si="84"/>
        <v>3352.0832137014331</v>
      </c>
      <c r="AF21" s="25">
        <f t="shared" si="84"/>
        <v>4369.9986778118637</v>
      </c>
      <c r="AG21" s="25">
        <f t="shared" si="84"/>
        <v>5680.9982811554228</v>
      </c>
      <c r="AH21" s="25">
        <f t="shared" si="84"/>
        <v>7385.2977655020504</v>
      </c>
      <c r="AI21" s="25">
        <f t="shared" si="84"/>
        <v>9600.8870951526642</v>
      </c>
      <c r="AJ21" s="25">
        <f t="shared" si="84"/>
        <v>12481.153223698464</v>
      </c>
      <c r="AK21" s="25">
        <f t="shared" si="84"/>
        <v>16225.499190808003</v>
      </c>
      <c r="AL21" s="25">
        <f t="shared" si="84"/>
        <v>21093.148948050406</v>
      </c>
      <c r="AM21" s="25">
        <f t="shared" si="84"/>
        <v>27421.09363246553</v>
      </c>
      <c r="AN21" s="25">
        <f t="shared" si="84"/>
        <v>35647.421722205196</v>
      </c>
      <c r="AO21" s="25">
        <f t="shared" si="84"/>
        <v>46341.648238866757</v>
      </c>
      <c r="AP21" s="25">
        <f t="shared" si="84"/>
        <v>60244.142710526779</v>
      </c>
      <c r="AQ21" s="25">
        <f t="shared" si="84"/>
        <v>78317.385523684818</v>
      </c>
      <c r="AR21" s="25">
        <f t="shared" si="84"/>
        <v>101812.60118079025</v>
      </c>
      <c r="AS21" s="25">
        <f t="shared" si="84"/>
        <v>132356.38153502735</v>
      </c>
      <c r="AT21" s="25">
        <f t="shared" si="84"/>
        <v>172063.29599553556</v>
      </c>
      <c r="AU21" s="25">
        <f t="shared" si="84"/>
        <v>223682.28479419622</v>
      </c>
      <c r="AV21" s="25">
        <f t="shared" si="84"/>
        <v>290786.97023245506</v>
      </c>
      <c r="AW21" s="25">
        <f t="shared" si="84"/>
        <v>378023.06130219164</v>
      </c>
      <c r="AX21" s="25">
        <f t="shared" si="84"/>
        <v>491429.97969284916</v>
      </c>
      <c r="AY21" s="25">
        <f t="shared" si="84"/>
        <v>638858.97360070387</v>
      </c>
      <c r="AZ21" s="25">
        <f t="shared" si="84"/>
        <v>830516.66568091523</v>
      </c>
      <c r="BA21" s="25">
        <f t="shared" si="84"/>
        <v>1079671.6653851897</v>
      </c>
      <c r="BB21" s="25">
        <f t="shared" si="84"/>
        <v>1403573.1650007467</v>
      </c>
      <c r="BC21" s="25">
        <f t="shared" si="84"/>
        <v>1432429.9415218199</v>
      </c>
      <c r="BD21" s="25">
        <f t="shared" si="84"/>
        <v>1389617.491098366</v>
      </c>
      <c r="BE21" s="25">
        <f t="shared" si="84"/>
        <v>1333961.3055478758</v>
      </c>
      <c r="BF21" s="25">
        <f t="shared" si="84"/>
        <v>1261608.2643322386</v>
      </c>
      <c r="BG21" s="25">
        <f t="shared" si="84"/>
        <v>1167549.3107519101</v>
      </c>
      <c r="BH21" s="25">
        <f t="shared" si="84"/>
        <v>1045272.671097483</v>
      </c>
      <c r="BI21" s="25">
        <f t="shared" si="84"/>
        <v>886313.03954672802</v>
      </c>
      <c r="BJ21" s="25">
        <f t="shared" si="84"/>
        <v>679665.51853074622</v>
      </c>
      <c r="BK21" s="25">
        <f t="shared" si="84"/>
        <v>411023.74120997009</v>
      </c>
      <c r="BL21" s="25">
        <f t="shared" si="84"/>
        <v>61789.430692961083</v>
      </c>
      <c r="BM21" s="25">
        <f t="shared" si="84"/>
        <v>0</v>
      </c>
      <c r="BN21" s="25">
        <f t="shared" si="84"/>
        <v>0</v>
      </c>
      <c r="BO21" s="25">
        <f t="shared" si="84"/>
        <v>0</v>
      </c>
      <c r="BP21" s="25">
        <f t="shared" si="84"/>
        <v>0</v>
      </c>
      <c r="BQ21" s="25">
        <f t="shared" si="84"/>
        <v>0</v>
      </c>
      <c r="BR21" s="25">
        <f t="shared" si="84"/>
        <v>0</v>
      </c>
      <c r="BS21" s="25">
        <f t="shared" si="84"/>
        <v>0</v>
      </c>
      <c r="BT21" s="25">
        <f t="shared" si="84"/>
        <v>0</v>
      </c>
      <c r="BU21" s="25">
        <f t="shared" si="84"/>
        <v>0</v>
      </c>
      <c r="BV21" s="25">
        <f t="shared" si="84"/>
        <v>0</v>
      </c>
      <c r="BW21" s="25">
        <f t="shared" si="84"/>
        <v>0</v>
      </c>
      <c r="BX21" s="25">
        <f t="shared" si="84"/>
        <v>0</v>
      </c>
      <c r="BY21" s="25">
        <f t="shared" si="84"/>
        <v>0</v>
      </c>
      <c r="BZ21" s="25">
        <f t="shared" si="84"/>
        <v>0</v>
      </c>
      <c r="CA21" s="25">
        <f t="shared" si="84"/>
        <v>0</v>
      </c>
      <c r="CB21" s="25">
        <f t="shared" si="84"/>
        <v>0</v>
      </c>
      <c r="CC21" s="25">
        <f t="shared" si="84"/>
        <v>0</v>
      </c>
      <c r="CD21" s="25">
        <f t="shared" si="84"/>
        <v>0</v>
      </c>
      <c r="CE21" s="25">
        <f t="shared" si="84"/>
        <v>0</v>
      </c>
      <c r="CF21" s="25">
        <f t="shared" si="84"/>
        <v>0</v>
      </c>
      <c r="CG21" s="25">
        <f t="shared" ref="CG21:ER21" si="85">CG14*$C$11</f>
        <v>0</v>
      </c>
      <c r="CH21" s="25">
        <f t="shared" si="85"/>
        <v>0</v>
      </c>
      <c r="CI21" s="25">
        <f t="shared" si="85"/>
        <v>0</v>
      </c>
      <c r="CJ21" s="25">
        <f t="shared" si="85"/>
        <v>0</v>
      </c>
      <c r="CK21" s="25">
        <f t="shared" si="85"/>
        <v>0</v>
      </c>
      <c r="CL21" s="25">
        <f t="shared" si="85"/>
        <v>0</v>
      </c>
      <c r="CM21" s="25">
        <f t="shared" si="85"/>
        <v>0</v>
      </c>
      <c r="CN21" s="25">
        <f t="shared" si="85"/>
        <v>0</v>
      </c>
      <c r="CO21" s="25">
        <f t="shared" si="85"/>
        <v>0</v>
      </c>
      <c r="CP21" s="25">
        <f t="shared" si="85"/>
        <v>0</v>
      </c>
      <c r="CQ21" s="25">
        <f t="shared" si="85"/>
        <v>0</v>
      </c>
      <c r="CR21" s="25">
        <f t="shared" si="85"/>
        <v>0</v>
      </c>
      <c r="CS21" s="25">
        <f t="shared" si="85"/>
        <v>0</v>
      </c>
      <c r="CT21" s="25">
        <f t="shared" si="85"/>
        <v>0</v>
      </c>
      <c r="CU21" s="25">
        <f t="shared" si="85"/>
        <v>0</v>
      </c>
      <c r="CV21" s="25">
        <f t="shared" si="85"/>
        <v>0</v>
      </c>
      <c r="CW21" s="25">
        <f t="shared" si="85"/>
        <v>0</v>
      </c>
      <c r="CX21" s="25">
        <f t="shared" si="85"/>
        <v>0</v>
      </c>
      <c r="CY21" s="25">
        <f t="shared" si="85"/>
        <v>0</v>
      </c>
      <c r="CZ21" s="25">
        <f t="shared" si="85"/>
        <v>0</v>
      </c>
      <c r="DA21" s="25">
        <f t="shared" si="85"/>
        <v>0</v>
      </c>
      <c r="DB21" s="25">
        <f t="shared" si="85"/>
        <v>0</v>
      </c>
      <c r="DC21" s="25">
        <f t="shared" si="85"/>
        <v>0</v>
      </c>
      <c r="DD21" s="25">
        <f t="shared" si="85"/>
        <v>0</v>
      </c>
      <c r="DE21" s="25">
        <f t="shared" si="85"/>
        <v>0</v>
      </c>
      <c r="DF21" s="25">
        <f t="shared" si="85"/>
        <v>0</v>
      </c>
      <c r="DG21" s="25">
        <f t="shared" si="85"/>
        <v>0</v>
      </c>
      <c r="DH21" s="25">
        <f t="shared" si="85"/>
        <v>0</v>
      </c>
      <c r="DI21" s="25">
        <f t="shared" si="85"/>
        <v>0</v>
      </c>
      <c r="DJ21" s="25">
        <f t="shared" si="85"/>
        <v>0</v>
      </c>
      <c r="DK21" s="25">
        <f t="shared" si="85"/>
        <v>0</v>
      </c>
      <c r="DL21" s="25">
        <f t="shared" si="85"/>
        <v>0</v>
      </c>
      <c r="DM21" s="25">
        <f t="shared" si="85"/>
        <v>0</v>
      </c>
      <c r="DN21" s="25">
        <f t="shared" si="85"/>
        <v>0</v>
      </c>
      <c r="DO21" s="25">
        <f t="shared" si="85"/>
        <v>0</v>
      </c>
      <c r="DP21" s="25">
        <f t="shared" si="85"/>
        <v>0</v>
      </c>
      <c r="DQ21" s="25">
        <f t="shared" si="85"/>
        <v>0</v>
      </c>
      <c r="DR21" s="25">
        <f t="shared" si="85"/>
        <v>0</v>
      </c>
      <c r="DS21" s="25">
        <f t="shared" si="85"/>
        <v>0</v>
      </c>
      <c r="DT21" s="25">
        <f t="shared" si="85"/>
        <v>0</v>
      </c>
      <c r="DU21" s="25">
        <f t="shared" si="85"/>
        <v>0</v>
      </c>
      <c r="DV21" s="25">
        <f t="shared" si="85"/>
        <v>0</v>
      </c>
      <c r="DW21" s="25">
        <f t="shared" si="85"/>
        <v>0</v>
      </c>
      <c r="DX21" s="25">
        <f t="shared" si="85"/>
        <v>0</v>
      </c>
      <c r="DY21" s="25">
        <f t="shared" si="85"/>
        <v>0</v>
      </c>
      <c r="DZ21" s="25">
        <f t="shared" si="85"/>
        <v>0</v>
      </c>
      <c r="EA21" s="25">
        <f t="shared" si="85"/>
        <v>0</v>
      </c>
      <c r="EB21" s="25">
        <f t="shared" si="85"/>
        <v>0</v>
      </c>
      <c r="EC21" s="25">
        <f t="shared" si="85"/>
        <v>0</v>
      </c>
      <c r="ED21" s="25">
        <f t="shared" si="85"/>
        <v>0</v>
      </c>
      <c r="EE21" s="25">
        <f t="shared" si="85"/>
        <v>0</v>
      </c>
      <c r="EF21" s="25">
        <f t="shared" si="85"/>
        <v>0</v>
      </c>
      <c r="EG21" s="25">
        <f t="shared" si="85"/>
        <v>0</v>
      </c>
      <c r="EH21" s="25">
        <f t="shared" si="85"/>
        <v>0</v>
      </c>
      <c r="EI21" s="25">
        <f t="shared" si="85"/>
        <v>0</v>
      </c>
      <c r="EJ21" s="25">
        <f t="shared" si="85"/>
        <v>0</v>
      </c>
      <c r="EK21" s="25">
        <f t="shared" si="85"/>
        <v>0</v>
      </c>
      <c r="EL21" s="25">
        <f t="shared" si="85"/>
        <v>0</v>
      </c>
      <c r="EM21" s="25">
        <f t="shared" si="85"/>
        <v>0</v>
      </c>
      <c r="EN21" s="25">
        <f t="shared" si="85"/>
        <v>0</v>
      </c>
      <c r="EO21" s="25">
        <f t="shared" si="85"/>
        <v>0</v>
      </c>
      <c r="EP21" s="25">
        <f t="shared" si="85"/>
        <v>0</v>
      </c>
      <c r="EQ21" s="25">
        <f t="shared" si="85"/>
        <v>0</v>
      </c>
      <c r="ER21" s="25">
        <f t="shared" si="85"/>
        <v>0</v>
      </c>
      <c r="ES21" s="25">
        <f t="shared" ref="ES21:HD21" si="86">ES14*$C$11</f>
        <v>0</v>
      </c>
      <c r="ET21" s="25">
        <f t="shared" si="86"/>
        <v>0</v>
      </c>
      <c r="EU21" s="25">
        <f t="shared" si="86"/>
        <v>0</v>
      </c>
      <c r="EV21" s="25">
        <f t="shared" si="86"/>
        <v>0</v>
      </c>
      <c r="EW21" s="25">
        <f t="shared" si="86"/>
        <v>0</v>
      </c>
      <c r="EX21" s="25">
        <f t="shared" si="86"/>
        <v>0</v>
      </c>
      <c r="EY21" s="25">
        <f t="shared" si="86"/>
        <v>0</v>
      </c>
      <c r="EZ21" s="25">
        <f t="shared" si="86"/>
        <v>0</v>
      </c>
      <c r="FA21" s="25">
        <f t="shared" si="86"/>
        <v>0</v>
      </c>
      <c r="FB21" s="25">
        <f t="shared" si="86"/>
        <v>0</v>
      </c>
      <c r="FC21" s="25">
        <f t="shared" si="86"/>
        <v>0</v>
      </c>
      <c r="FD21" s="25">
        <f t="shared" si="86"/>
        <v>0</v>
      </c>
      <c r="FE21" s="25">
        <f t="shared" si="86"/>
        <v>0</v>
      </c>
      <c r="FF21" s="25">
        <f t="shared" si="86"/>
        <v>0</v>
      </c>
      <c r="FG21" s="25">
        <f t="shared" si="86"/>
        <v>0</v>
      </c>
      <c r="FH21" s="25">
        <f t="shared" si="86"/>
        <v>0</v>
      </c>
      <c r="FI21" s="25">
        <f t="shared" si="86"/>
        <v>0</v>
      </c>
      <c r="FJ21" s="25">
        <f t="shared" si="86"/>
        <v>0</v>
      </c>
      <c r="FK21" s="25">
        <f t="shared" si="86"/>
        <v>0</v>
      </c>
      <c r="FL21" s="25">
        <f t="shared" si="86"/>
        <v>0</v>
      </c>
      <c r="FM21" s="25">
        <f t="shared" si="86"/>
        <v>0</v>
      </c>
      <c r="FN21" s="25">
        <f t="shared" si="86"/>
        <v>0</v>
      </c>
      <c r="FO21" s="25">
        <f t="shared" si="86"/>
        <v>0</v>
      </c>
      <c r="FP21" s="25">
        <f t="shared" si="86"/>
        <v>0</v>
      </c>
      <c r="FQ21" s="25">
        <f t="shared" si="86"/>
        <v>0</v>
      </c>
      <c r="FR21" s="25">
        <f t="shared" si="86"/>
        <v>0</v>
      </c>
      <c r="FS21" s="25">
        <f t="shared" si="86"/>
        <v>0</v>
      </c>
      <c r="FT21" s="25">
        <f t="shared" si="86"/>
        <v>0</v>
      </c>
      <c r="FU21" s="25">
        <f t="shared" si="86"/>
        <v>0</v>
      </c>
      <c r="FV21" s="25">
        <f t="shared" si="86"/>
        <v>0</v>
      </c>
      <c r="FW21" s="25">
        <f t="shared" si="86"/>
        <v>0</v>
      </c>
      <c r="FX21" s="25">
        <f t="shared" si="86"/>
        <v>0</v>
      </c>
      <c r="FY21" s="25">
        <f t="shared" si="86"/>
        <v>0</v>
      </c>
      <c r="FZ21" s="25">
        <f t="shared" si="86"/>
        <v>0</v>
      </c>
      <c r="GA21" s="25">
        <f t="shared" si="86"/>
        <v>0</v>
      </c>
      <c r="GB21" s="25">
        <f t="shared" si="86"/>
        <v>0</v>
      </c>
      <c r="GC21" s="25">
        <f t="shared" si="86"/>
        <v>0</v>
      </c>
      <c r="GD21" s="25">
        <f t="shared" si="86"/>
        <v>0</v>
      </c>
      <c r="GE21" s="25">
        <f t="shared" si="86"/>
        <v>0</v>
      </c>
      <c r="GF21" s="25">
        <f t="shared" si="86"/>
        <v>0</v>
      </c>
      <c r="GG21" s="25">
        <f t="shared" si="86"/>
        <v>0</v>
      </c>
      <c r="GH21" s="25">
        <f t="shared" si="86"/>
        <v>0</v>
      </c>
      <c r="GI21" s="25">
        <f t="shared" si="86"/>
        <v>0</v>
      </c>
      <c r="GJ21" s="25">
        <f t="shared" si="86"/>
        <v>0</v>
      </c>
      <c r="GK21" s="25">
        <f t="shared" si="86"/>
        <v>0</v>
      </c>
      <c r="GL21" s="25">
        <f t="shared" si="86"/>
        <v>0</v>
      </c>
      <c r="GM21" s="25">
        <f t="shared" si="86"/>
        <v>0</v>
      </c>
      <c r="GN21" s="25">
        <f t="shared" si="86"/>
        <v>0</v>
      </c>
      <c r="GO21" s="25">
        <f t="shared" si="86"/>
        <v>0</v>
      </c>
      <c r="GP21" s="25">
        <f t="shared" si="86"/>
        <v>0</v>
      </c>
      <c r="GQ21" s="25">
        <f t="shared" si="86"/>
        <v>0</v>
      </c>
      <c r="GR21" s="25">
        <f t="shared" si="86"/>
        <v>0</v>
      </c>
      <c r="GS21" s="25">
        <f t="shared" si="86"/>
        <v>0</v>
      </c>
      <c r="GT21" s="25">
        <f t="shared" si="86"/>
        <v>0</v>
      </c>
      <c r="GU21" s="25">
        <f t="shared" si="86"/>
        <v>0</v>
      </c>
      <c r="GV21" s="25">
        <f t="shared" si="86"/>
        <v>0</v>
      </c>
      <c r="GW21" s="25">
        <f t="shared" si="86"/>
        <v>0</v>
      </c>
      <c r="GX21" s="25">
        <f t="shared" si="86"/>
        <v>0</v>
      </c>
      <c r="GY21" s="25">
        <f t="shared" si="86"/>
        <v>0</v>
      </c>
      <c r="GZ21" s="25">
        <f t="shared" si="86"/>
        <v>0</v>
      </c>
      <c r="HA21" s="25">
        <f t="shared" si="86"/>
        <v>0</v>
      </c>
      <c r="HB21" s="25">
        <f t="shared" si="86"/>
        <v>0</v>
      </c>
      <c r="HC21" s="25">
        <f t="shared" si="86"/>
        <v>0</v>
      </c>
      <c r="HD21" s="25">
        <f t="shared" si="86"/>
        <v>0</v>
      </c>
      <c r="HE21" s="25">
        <f t="shared" ref="HE21:IN21" si="87">HE14*$C$11</f>
        <v>0</v>
      </c>
      <c r="HF21" s="25">
        <f t="shared" si="87"/>
        <v>0</v>
      </c>
      <c r="HG21" s="25">
        <f t="shared" si="87"/>
        <v>0</v>
      </c>
      <c r="HH21" s="25">
        <f t="shared" si="87"/>
        <v>0</v>
      </c>
      <c r="HI21" s="25">
        <f t="shared" si="87"/>
        <v>0</v>
      </c>
      <c r="HJ21" s="25">
        <f t="shared" si="87"/>
        <v>0</v>
      </c>
      <c r="HK21" s="25">
        <f t="shared" si="87"/>
        <v>0</v>
      </c>
      <c r="HL21" s="25">
        <f t="shared" si="87"/>
        <v>0</v>
      </c>
      <c r="HM21" s="25">
        <f t="shared" si="87"/>
        <v>0</v>
      </c>
      <c r="HN21" s="25">
        <f t="shared" si="87"/>
        <v>0</v>
      </c>
      <c r="HO21" s="25">
        <f t="shared" si="87"/>
        <v>0</v>
      </c>
      <c r="HP21" s="25">
        <f t="shared" si="87"/>
        <v>0</v>
      </c>
      <c r="HQ21" s="25">
        <f t="shared" si="87"/>
        <v>0</v>
      </c>
      <c r="HR21" s="25">
        <f t="shared" si="87"/>
        <v>0</v>
      </c>
      <c r="HS21" s="25">
        <f t="shared" si="87"/>
        <v>0</v>
      </c>
      <c r="HT21" s="25">
        <f t="shared" si="87"/>
        <v>0</v>
      </c>
      <c r="HU21" s="25">
        <f t="shared" si="87"/>
        <v>0</v>
      </c>
      <c r="HV21" s="25">
        <f t="shared" si="87"/>
        <v>0</v>
      </c>
      <c r="HW21" s="25">
        <f t="shared" si="87"/>
        <v>0</v>
      </c>
      <c r="HX21" s="25">
        <f t="shared" si="87"/>
        <v>0</v>
      </c>
      <c r="HY21" s="25">
        <f t="shared" si="87"/>
        <v>0</v>
      </c>
      <c r="HZ21" s="25">
        <f t="shared" si="87"/>
        <v>0</v>
      </c>
      <c r="IA21" s="25">
        <f t="shared" si="87"/>
        <v>0</v>
      </c>
      <c r="IB21" s="25">
        <f t="shared" si="87"/>
        <v>0</v>
      </c>
      <c r="IC21" s="25">
        <f t="shared" si="87"/>
        <v>0</v>
      </c>
      <c r="ID21" s="25">
        <f t="shared" si="87"/>
        <v>0</v>
      </c>
      <c r="IE21" s="25">
        <f t="shared" si="87"/>
        <v>0</v>
      </c>
      <c r="IF21" s="25">
        <f t="shared" si="87"/>
        <v>0</v>
      </c>
      <c r="IG21" s="25">
        <f t="shared" si="87"/>
        <v>0</v>
      </c>
      <c r="IH21" s="25">
        <f t="shared" si="87"/>
        <v>0</v>
      </c>
      <c r="II21" s="25">
        <f t="shared" si="87"/>
        <v>0</v>
      </c>
      <c r="IJ21" s="25">
        <f t="shared" si="87"/>
        <v>0</v>
      </c>
      <c r="IK21" s="25">
        <f t="shared" si="87"/>
        <v>0</v>
      </c>
      <c r="IL21" s="25">
        <f t="shared" si="87"/>
        <v>0</v>
      </c>
      <c r="IM21" s="25">
        <f t="shared" si="87"/>
        <v>0</v>
      </c>
      <c r="IN21" s="25">
        <f t="shared" si="87"/>
        <v>0</v>
      </c>
    </row>
    <row r="22" spans="2:248" x14ac:dyDescent="0.3">
      <c r="F22" s="23" t="s">
        <v>624</v>
      </c>
      <c r="G22" s="25">
        <f>G16*$C$11</f>
        <v>6.11</v>
      </c>
      <c r="H22" s="25">
        <f t="shared" ref="H22:T22" si="88">H16*$C$11</f>
        <v>7.4729999999999999</v>
      </c>
      <c r="I22" s="25">
        <f t="shared" si="88"/>
        <v>9.2119999999999997</v>
      </c>
      <c r="J22" s="25">
        <f t="shared" si="88"/>
        <v>12.314</v>
      </c>
      <c r="K22" s="25">
        <f t="shared" si="88"/>
        <v>22.654</v>
      </c>
      <c r="L22" s="25">
        <f t="shared" si="88"/>
        <v>31.49</v>
      </c>
      <c r="M22" s="25">
        <f t="shared" si="88"/>
        <v>37.552999999999997</v>
      </c>
      <c r="N22" s="25">
        <f t="shared" si="88"/>
        <v>48.88</v>
      </c>
      <c r="O22" s="25">
        <f t="shared" si="88"/>
        <v>55.271999999999998</v>
      </c>
      <c r="P22" s="25">
        <f t="shared" si="88"/>
        <v>68.478999999999999</v>
      </c>
      <c r="Q22" s="25">
        <f t="shared" si="88"/>
        <v>83.566000000000003</v>
      </c>
      <c r="R22" s="25">
        <f t="shared" si="88"/>
        <v>90.192999999999998</v>
      </c>
      <c r="S22" s="25">
        <f t="shared" si="88"/>
        <v>163.51300000000001</v>
      </c>
      <c r="T22" s="25">
        <f t="shared" si="88"/>
        <v>203.18100000000001</v>
      </c>
      <c r="U22" s="25">
        <f t="shared" ref="U22:CF22" si="89">U16*$C$11</f>
        <v>249.71100000000001</v>
      </c>
      <c r="V22" s="25">
        <f t="shared" si="89"/>
        <v>310.29399999999998</v>
      </c>
      <c r="W22" s="25">
        <f t="shared" si="89"/>
        <v>440.94459999999998</v>
      </c>
      <c r="X22" s="25">
        <f t="shared" si="89"/>
        <v>621.01663999999994</v>
      </c>
      <c r="Y22" s="25">
        <f t="shared" si="89"/>
        <v>882.5832959999999</v>
      </c>
      <c r="Z22" s="25">
        <f t="shared" si="89"/>
        <v>1244.5184143999998</v>
      </c>
      <c r="AA22" s="25">
        <f t="shared" si="89"/>
        <v>1748.5203801599998</v>
      </c>
      <c r="AB22" s="25">
        <f t="shared" si="89"/>
        <v>2475.8089322239994</v>
      </c>
      <c r="AC22" s="25">
        <f t="shared" si="89"/>
        <v>3430.1399051135991</v>
      </c>
      <c r="AD22" s="25">
        <f t="shared" si="89"/>
        <v>4828.515867159038</v>
      </c>
      <c r="AE22" s="25">
        <f t="shared" si="89"/>
        <v>6789.2502140226534</v>
      </c>
      <c r="AF22" s="25">
        <f t="shared" si="89"/>
        <v>9544.4772996317133</v>
      </c>
      <c r="AG22" s="25">
        <f t="shared" si="89"/>
        <v>13362.268219484398</v>
      </c>
      <c r="AH22" s="25">
        <f t="shared" si="89"/>
        <v>18707.175507278156</v>
      </c>
      <c r="AI22" s="25">
        <f t="shared" si="89"/>
        <v>26190.045710189414</v>
      </c>
      <c r="AJ22" s="25">
        <f t="shared" si="89"/>
        <v>36666.063994265183</v>
      </c>
      <c r="AK22" s="25">
        <f t="shared" si="89"/>
        <v>51332.489591971251</v>
      </c>
      <c r="AL22" s="25">
        <f t="shared" si="89"/>
        <v>71865.485428759741</v>
      </c>
      <c r="AM22" s="25">
        <f t="shared" si="89"/>
        <v>100611.67960026364</v>
      </c>
      <c r="AN22" s="25">
        <f t="shared" si="89"/>
        <v>140856.35144036906</v>
      </c>
      <c r="AO22" s="25">
        <f t="shared" si="89"/>
        <v>197198.89201651671</v>
      </c>
      <c r="AP22" s="25">
        <f t="shared" si="89"/>
        <v>276078.44882312336</v>
      </c>
      <c r="AQ22" s="25">
        <f t="shared" si="89"/>
        <v>386509.82835237269</v>
      </c>
      <c r="AR22" s="25">
        <f t="shared" si="89"/>
        <v>541113.75969332166</v>
      </c>
      <c r="AS22" s="25">
        <f t="shared" si="89"/>
        <v>757559.26357065036</v>
      </c>
      <c r="AT22" s="25">
        <f t="shared" si="89"/>
        <v>1060582.9689989104</v>
      </c>
      <c r="AU22" s="25">
        <f t="shared" si="89"/>
        <v>1484816.1565984744</v>
      </c>
      <c r="AV22" s="25">
        <f t="shared" si="89"/>
        <v>1500699.1492390162</v>
      </c>
      <c r="AW22" s="25">
        <f t="shared" si="89"/>
        <v>1470923.5650946228</v>
      </c>
      <c r="AX22" s="25">
        <f t="shared" si="89"/>
        <v>1429237.7472924718</v>
      </c>
      <c r="AY22" s="25">
        <f t="shared" si="89"/>
        <v>1370877.6023694607</v>
      </c>
      <c r="AZ22" s="25">
        <f t="shared" si="89"/>
        <v>1289173.3994772451</v>
      </c>
      <c r="BA22" s="25">
        <f t="shared" si="89"/>
        <v>1174787.5154281431</v>
      </c>
      <c r="BB22" s="25">
        <f t="shared" si="89"/>
        <v>1014647.2777594001</v>
      </c>
      <c r="BC22" s="25">
        <f t="shared" si="89"/>
        <v>790450.94502316019</v>
      </c>
      <c r="BD22" s="25">
        <f t="shared" si="89"/>
        <v>476576.07919242443</v>
      </c>
      <c r="BE22" s="25">
        <f t="shared" si="89"/>
        <v>37151.267029394294</v>
      </c>
      <c r="BF22" s="25">
        <f t="shared" si="89"/>
        <v>0</v>
      </c>
      <c r="BG22" s="25">
        <f t="shared" si="89"/>
        <v>0</v>
      </c>
      <c r="BH22" s="25">
        <f t="shared" si="89"/>
        <v>0</v>
      </c>
      <c r="BI22" s="25">
        <f t="shared" si="89"/>
        <v>0</v>
      </c>
      <c r="BJ22" s="25">
        <f t="shared" si="89"/>
        <v>0</v>
      </c>
      <c r="BK22" s="25">
        <f t="shared" si="89"/>
        <v>0</v>
      </c>
      <c r="BL22" s="25">
        <f t="shared" si="89"/>
        <v>0</v>
      </c>
      <c r="BM22" s="25">
        <f t="shared" si="89"/>
        <v>0</v>
      </c>
      <c r="BN22" s="25">
        <f t="shared" si="89"/>
        <v>0</v>
      </c>
      <c r="BO22" s="25">
        <f t="shared" si="89"/>
        <v>0</v>
      </c>
      <c r="BP22" s="25">
        <f t="shared" si="89"/>
        <v>0</v>
      </c>
      <c r="BQ22" s="25">
        <f t="shared" si="89"/>
        <v>0</v>
      </c>
      <c r="BR22" s="25">
        <f t="shared" si="89"/>
        <v>0</v>
      </c>
      <c r="BS22" s="25">
        <f t="shared" si="89"/>
        <v>0</v>
      </c>
      <c r="BT22" s="25">
        <f t="shared" si="89"/>
        <v>0</v>
      </c>
      <c r="BU22" s="25">
        <f t="shared" si="89"/>
        <v>0</v>
      </c>
      <c r="BV22" s="25">
        <f t="shared" si="89"/>
        <v>0</v>
      </c>
      <c r="BW22" s="25">
        <f t="shared" si="89"/>
        <v>0</v>
      </c>
      <c r="BX22" s="25">
        <f t="shared" si="89"/>
        <v>0</v>
      </c>
      <c r="BY22" s="25">
        <f t="shared" si="89"/>
        <v>0</v>
      </c>
      <c r="BZ22" s="25">
        <f t="shared" si="89"/>
        <v>0</v>
      </c>
      <c r="CA22" s="25">
        <f t="shared" si="89"/>
        <v>0</v>
      </c>
      <c r="CB22" s="25">
        <f t="shared" si="89"/>
        <v>0</v>
      </c>
      <c r="CC22" s="25">
        <f t="shared" si="89"/>
        <v>0</v>
      </c>
      <c r="CD22" s="25">
        <f t="shared" si="89"/>
        <v>0</v>
      </c>
      <c r="CE22" s="25">
        <f t="shared" si="89"/>
        <v>0</v>
      </c>
      <c r="CF22" s="25">
        <f t="shared" si="89"/>
        <v>0</v>
      </c>
      <c r="CG22" s="25">
        <f t="shared" ref="CG22:ER22" si="90">CG16*$C$11</f>
        <v>0</v>
      </c>
      <c r="CH22" s="25">
        <f t="shared" si="90"/>
        <v>0</v>
      </c>
      <c r="CI22" s="25">
        <f t="shared" si="90"/>
        <v>0</v>
      </c>
      <c r="CJ22" s="25">
        <f t="shared" si="90"/>
        <v>0</v>
      </c>
      <c r="CK22" s="25">
        <f t="shared" si="90"/>
        <v>0</v>
      </c>
      <c r="CL22" s="25">
        <f t="shared" si="90"/>
        <v>0</v>
      </c>
      <c r="CM22" s="25">
        <f t="shared" si="90"/>
        <v>0</v>
      </c>
      <c r="CN22" s="25">
        <f t="shared" si="90"/>
        <v>0</v>
      </c>
      <c r="CO22" s="25">
        <f t="shared" si="90"/>
        <v>0</v>
      </c>
      <c r="CP22" s="25">
        <f t="shared" si="90"/>
        <v>0</v>
      </c>
      <c r="CQ22" s="25">
        <f t="shared" si="90"/>
        <v>0</v>
      </c>
      <c r="CR22" s="25">
        <f t="shared" si="90"/>
        <v>0</v>
      </c>
      <c r="CS22" s="25">
        <f t="shared" si="90"/>
        <v>0</v>
      </c>
      <c r="CT22" s="25">
        <f t="shared" si="90"/>
        <v>0</v>
      </c>
      <c r="CU22" s="25">
        <f t="shared" si="90"/>
        <v>0</v>
      </c>
      <c r="CV22" s="25">
        <f t="shared" si="90"/>
        <v>0</v>
      </c>
      <c r="CW22" s="25">
        <f t="shared" si="90"/>
        <v>0</v>
      </c>
      <c r="CX22" s="25">
        <f t="shared" si="90"/>
        <v>0</v>
      </c>
      <c r="CY22" s="25">
        <f t="shared" si="90"/>
        <v>0</v>
      </c>
      <c r="CZ22" s="25">
        <f t="shared" si="90"/>
        <v>0</v>
      </c>
      <c r="DA22" s="25">
        <f t="shared" si="90"/>
        <v>0</v>
      </c>
      <c r="DB22" s="25">
        <f t="shared" si="90"/>
        <v>0</v>
      </c>
      <c r="DC22" s="25">
        <f t="shared" si="90"/>
        <v>0</v>
      </c>
      <c r="DD22" s="25">
        <f t="shared" si="90"/>
        <v>0</v>
      </c>
      <c r="DE22" s="25">
        <f t="shared" si="90"/>
        <v>0</v>
      </c>
      <c r="DF22" s="25">
        <f t="shared" si="90"/>
        <v>0</v>
      </c>
      <c r="DG22" s="25">
        <f t="shared" si="90"/>
        <v>0</v>
      </c>
      <c r="DH22" s="25">
        <f t="shared" si="90"/>
        <v>0</v>
      </c>
      <c r="DI22" s="25">
        <f t="shared" si="90"/>
        <v>0</v>
      </c>
      <c r="DJ22" s="25">
        <f t="shared" si="90"/>
        <v>0</v>
      </c>
      <c r="DK22" s="25">
        <f t="shared" si="90"/>
        <v>0</v>
      </c>
      <c r="DL22" s="25">
        <f t="shared" si="90"/>
        <v>0</v>
      </c>
      <c r="DM22" s="25">
        <f t="shared" si="90"/>
        <v>0</v>
      </c>
      <c r="DN22" s="25">
        <f t="shared" si="90"/>
        <v>0</v>
      </c>
      <c r="DO22" s="25">
        <f t="shared" si="90"/>
        <v>0</v>
      </c>
      <c r="DP22" s="25">
        <f t="shared" si="90"/>
        <v>0</v>
      </c>
      <c r="DQ22" s="25">
        <f t="shared" si="90"/>
        <v>0</v>
      </c>
      <c r="DR22" s="25">
        <f t="shared" si="90"/>
        <v>0</v>
      </c>
      <c r="DS22" s="25">
        <f t="shared" si="90"/>
        <v>0</v>
      </c>
      <c r="DT22" s="25">
        <f t="shared" si="90"/>
        <v>0</v>
      </c>
      <c r="DU22" s="25">
        <f t="shared" si="90"/>
        <v>0</v>
      </c>
      <c r="DV22" s="25">
        <f t="shared" si="90"/>
        <v>0</v>
      </c>
      <c r="DW22" s="25">
        <f t="shared" si="90"/>
        <v>0</v>
      </c>
      <c r="DX22" s="25">
        <f t="shared" si="90"/>
        <v>0</v>
      </c>
      <c r="DY22" s="25">
        <f t="shared" si="90"/>
        <v>0</v>
      </c>
      <c r="DZ22" s="25">
        <f t="shared" si="90"/>
        <v>0</v>
      </c>
      <c r="EA22" s="25">
        <f t="shared" si="90"/>
        <v>0</v>
      </c>
      <c r="EB22" s="25">
        <f t="shared" si="90"/>
        <v>0</v>
      </c>
      <c r="EC22" s="25">
        <f t="shared" si="90"/>
        <v>0</v>
      </c>
      <c r="ED22" s="25">
        <f t="shared" si="90"/>
        <v>0</v>
      </c>
      <c r="EE22" s="25">
        <f t="shared" si="90"/>
        <v>0</v>
      </c>
      <c r="EF22" s="25">
        <f t="shared" si="90"/>
        <v>0</v>
      </c>
      <c r="EG22" s="25">
        <f t="shared" si="90"/>
        <v>0</v>
      </c>
      <c r="EH22" s="25">
        <f t="shared" si="90"/>
        <v>0</v>
      </c>
      <c r="EI22" s="25">
        <f t="shared" si="90"/>
        <v>0</v>
      </c>
      <c r="EJ22" s="25">
        <f t="shared" si="90"/>
        <v>0</v>
      </c>
      <c r="EK22" s="25">
        <f t="shared" si="90"/>
        <v>0</v>
      </c>
      <c r="EL22" s="25">
        <f t="shared" si="90"/>
        <v>0</v>
      </c>
      <c r="EM22" s="25">
        <f t="shared" si="90"/>
        <v>0</v>
      </c>
      <c r="EN22" s="25">
        <f t="shared" si="90"/>
        <v>0</v>
      </c>
      <c r="EO22" s="25">
        <f t="shared" si="90"/>
        <v>0</v>
      </c>
      <c r="EP22" s="25">
        <f t="shared" si="90"/>
        <v>0</v>
      </c>
      <c r="EQ22" s="25">
        <f t="shared" si="90"/>
        <v>0</v>
      </c>
      <c r="ER22" s="25">
        <f t="shared" si="90"/>
        <v>0</v>
      </c>
      <c r="ES22" s="25">
        <f t="shared" ref="ES22:HD22" si="91">ES16*$C$11</f>
        <v>0</v>
      </c>
      <c r="ET22" s="25">
        <f t="shared" si="91"/>
        <v>0</v>
      </c>
      <c r="EU22" s="25">
        <f t="shared" si="91"/>
        <v>0</v>
      </c>
      <c r="EV22" s="25">
        <f t="shared" si="91"/>
        <v>0</v>
      </c>
      <c r="EW22" s="25">
        <f t="shared" si="91"/>
        <v>0</v>
      </c>
      <c r="EX22" s="25">
        <f t="shared" si="91"/>
        <v>0</v>
      </c>
      <c r="EY22" s="25">
        <f t="shared" si="91"/>
        <v>0</v>
      </c>
      <c r="EZ22" s="25">
        <f t="shared" si="91"/>
        <v>0</v>
      </c>
      <c r="FA22" s="25">
        <f t="shared" si="91"/>
        <v>0</v>
      </c>
      <c r="FB22" s="25">
        <f t="shared" si="91"/>
        <v>0</v>
      </c>
      <c r="FC22" s="25">
        <f t="shared" si="91"/>
        <v>0</v>
      </c>
      <c r="FD22" s="25">
        <f t="shared" si="91"/>
        <v>0</v>
      </c>
      <c r="FE22" s="25">
        <f t="shared" si="91"/>
        <v>0</v>
      </c>
      <c r="FF22" s="25">
        <f t="shared" si="91"/>
        <v>0</v>
      </c>
      <c r="FG22" s="25">
        <f t="shared" si="91"/>
        <v>0</v>
      </c>
      <c r="FH22" s="25">
        <f t="shared" si="91"/>
        <v>0</v>
      </c>
      <c r="FI22" s="25">
        <f t="shared" si="91"/>
        <v>0</v>
      </c>
      <c r="FJ22" s="25">
        <f t="shared" si="91"/>
        <v>0</v>
      </c>
      <c r="FK22" s="25">
        <f t="shared" si="91"/>
        <v>0</v>
      </c>
      <c r="FL22" s="25">
        <f t="shared" si="91"/>
        <v>0</v>
      </c>
      <c r="FM22" s="25">
        <f t="shared" si="91"/>
        <v>0</v>
      </c>
      <c r="FN22" s="25">
        <f t="shared" si="91"/>
        <v>0</v>
      </c>
      <c r="FO22" s="25">
        <f t="shared" si="91"/>
        <v>0</v>
      </c>
      <c r="FP22" s="25">
        <f t="shared" si="91"/>
        <v>0</v>
      </c>
      <c r="FQ22" s="25">
        <f t="shared" si="91"/>
        <v>0</v>
      </c>
      <c r="FR22" s="25">
        <f t="shared" si="91"/>
        <v>0</v>
      </c>
      <c r="FS22" s="25">
        <f t="shared" si="91"/>
        <v>0</v>
      </c>
      <c r="FT22" s="25">
        <f t="shared" si="91"/>
        <v>0</v>
      </c>
      <c r="FU22" s="25">
        <f t="shared" si="91"/>
        <v>0</v>
      </c>
      <c r="FV22" s="25">
        <f t="shared" si="91"/>
        <v>0</v>
      </c>
      <c r="FW22" s="25">
        <f t="shared" si="91"/>
        <v>0</v>
      </c>
      <c r="FX22" s="25">
        <f t="shared" si="91"/>
        <v>0</v>
      </c>
      <c r="FY22" s="25">
        <f t="shared" si="91"/>
        <v>0</v>
      </c>
      <c r="FZ22" s="25">
        <f t="shared" si="91"/>
        <v>0</v>
      </c>
      <c r="GA22" s="25">
        <f t="shared" si="91"/>
        <v>0</v>
      </c>
      <c r="GB22" s="25">
        <f t="shared" si="91"/>
        <v>0</v>
      </c>
      <c r="GC22" s="25">
        <f t="shared" si="91"/>
        <v>0</v>
      </c>
      <c r="GD22" s="25">
        <f t="shared" si="91"/>
        <v>0</v>
      </c>
      <c r="GE22" s="25">
        <f t="shared" si="91"/>
        <v>0</v>
      </c>
      <c r="GF22" s="25">
        <f t="shared" si="91"/>
        <v>0</v>
      </c>
      <c r="GG22" s="25">
        <f t="shared" si="91"/>
        <v>0</v>
      </c>
      <c r="GH22" s="25">
        <f t="shared" si="91"/>
        <v>0</v>
      </c>
      <c r="GI22" s="25">
        <f t="shared" si="91"/>
        <v>0</v>
      </c>
      <c r="GJ22" s="25">
        <f t="shared" si="91"/>
        <v>0</v>
      </c>
      <c r="GK22" s="25">
        <f t="shared" si="91"/>
        <v>0</v>
      </c>
      <c r="GL22" s="25">
        <f t="shared" si="91"/>
        <v>0</v>
      </c>
      <c r="GM22" s="25">
        <f t="shared" si="91"/>
        <v>0</v>
      </c>
      <c r="GN22" s="25">
        <f t="shared" si="91"/>
        <v>0</v>
      </c>
      <c r="GO22" s="25">
        <f t="shared" si="91"/>
        <v>0</v>
      </c>
      <c r="GP22" s="25">
        <f t="shared" si="91"/>
        <v>0</v>
      </c>
      <c r="GQ22" s="25">
        <f t="shared" si="91"/>
        <v>0</v>
      </c>
      <c r="GR22" s="25">
        <f t="shared" si="91"/>
        <v>0</v>
      </c>
      <c r="GS22" s="25">
        <f t="shared" si="91"/>
        <v>0</v>
      </c>
      <c r="GT22" s="25">
        <f t="shared" si="91"/>
        <v>0</v>
      </c>
      <c r="GU22" s="25">
        <f t="shared" si="91"/>
        <v>0</v>
      </c>
      <c r="GV22" s="25">
        <f t="shared" si="91"/>
        <v>0</v>
      </c>
      <c r="GW22" s="25">
        <f t="shared" si="91"/>
        <v>0</v>
      </c>
      <c r="GX22" s="25">
        <f t="shared" si="91"/>
        <v>0</v>
      </c>
      <c r="GY22" s="25">
        <f t="shared" si="91"/>
        <v>0</v>
      </c>
      <c r="GZ22" s="25">
        <f t="shared" si="91"/>
        <v>0</v>
      </c>
      <c r="HA22" s="25">
        <f t="shared" si="91"/>
        <v>0</v>
      </c>
      <c r="HB22" s="25">
        <f t="shared" si="91"/>
        <v>0</v>
      </c>
      <c r="HC22" s="25">
        <f t="shared" si="91"/>
        <v>0</v>
      </c>
      <c r="HD22" s="25">
        <f t="shared" si="91"/>
        <v>0</v>
      </c>
      <c r="HE22" s="25">
        <f t="shared" ref="HE22:IN22" si="92">HE16*$C$11</f>
        <v>0</v>
      </c>
      <c r="HF22" s="25">
        <f t="shared" si="92"/>
        <v>0</v>
      </c>
      <c r="HG22" s="25">
        <f t="shared" si="92"/>
        <v>0</v>
      </c>
      <c r="HH22" s="25">
        <f t="shared" si="92"/>
        <v>0</v>
      </c>
      <c r="HI22" s="25">
        <f t="shared" si="92"/>
        <v>0</v>
      </c>
      <c r="HJ22" s="25">
        <f t="shared" si="92"/>
        <v>0</v>
      </c>
      <c r="HK22" s="25">
        <f t="shared" si="92"/>
        <v>0</v>
      </c>
      <c r="HL22" s="25">
        <f t="shared" si="92"/>
        <v>0</v>
      </c>
      <c r="HM22" s="25">
        <f t="shared" si="92"/>
        <v>0</v>
      </c>
      <c r="HN22" s="25">
        <f t="shared" si="92"/>
        <v>0</v>
      </c>
      <c r="HO22" s="25">
        <f t="shared" si="92"/>
        <v>0</v>
      </c>
      <c r="HP22" s="25">
        <f t="shared" si="92"/>
        <v>0</v>
      </c>
      <c r="HQ22" s="25">
        <f t="shared" si="92"/>
        <v>0</v>
      </c>
      <c r="HR22" s="25">
        <f t="shared" si="92"/>
        <v>0</v>
      </c>
      <c r="HS22" s="25">
        <f t="shared" si="92"/>
        <v>0</v>
      </c>
      <c r="HT22" s="25">
        <f t="shared" si="92"/>
        <v>0</v>
      </c>
      <c r="HU22" s="25">
        <f t="shared" si="92"/>
        <v>0</v>
      </c>
      <c r="HV22" s="25">
        <f t="shared" si="92"/>
        <v>0</v>
      </c>
      <c r="HW22" s="25">
        <f t="shared" si="92"/>
        <v>0</v>
      </c>
      <c r="HX22" s="25">
        <f t="shared" si="92"/>
        <v>0</v>
      </c>
      <c r="HY22" s="25">
        <f t="shared" si="92"/>
        <v>0</v>
      </c>
      <c r="HZ22" s="25">
        <f t="shared" si="92"/>
        <v>0</v>
      </c>
      <c r="IA22" s="25">
        <f t="shared" si="92"/>
        <v>0</v>
      </c>
      <c r="IB22" s="25">
        <f t="shared" si="92"/>
        <v>0</v>
      </c>
      <c r="IC22" s="25">
        <f t="shared" si="92"/>
        <v>0</v>
      </c>
      <c r="ID22" s="25">
        <f t="shared" si="92"/>
        <v>0</v>
      </c>
      <c r="IE22" s="25">
        <f t="shared" si="92"/>
        <v>0</v>
      </c>
      <c r="IF22" s="25">
        <f t="shared" si="92"/>
        <v>0</v>
      </c>
      <c r="IG22" s="25">
        <f t="shared" si="92"/>
        <v>0</v>
      </c>
      <c r="IH22" s="25">
        <f t="shared" si="92"/>
        <v>0</v>
      </c>
      <c r="II22" s="25">
        <f t="shared" si="92"/>
        <v>0</v>
      </c>
      <c r="IJ22" s="25">
        <f t="shared" si="92"/>
        <v>0</v>
      </c>
      <c r="IK22" s="25">
        <f t="shared" si="92"/>
        <v>0</v>
      </c>
      <c r="IL22" s="25">
        <f t="shared" si="92"/>
        <v>0</v>
      </c>
      <c r="IM22" s="25">
        <f t="shared" si="92"/>
        <v>0</v>
      </c>
      <c r="IN22" s="25">
        <f t="shared" si="92"/>
        <v>0</v>
      </c>
    </row>
    <row r="23" spans="2:248" x14ac:dyDescent="0.3">
      <c r="B23" s="20" t="s">
        <v>456</v>
      </c>
      <c r="C23" s="21">
        <f ca="1">G3</f>
        <v>43891</v>
      </c>
      <c r="D23" s="21">
        <f ca="1">G3</f>
        <v>43891</v>
      </c>
      <c r="F23" s="23" t="s">
        <v>514</v>
      </c>
      <c r="G23" s="27" t="str">
        <f ca="1">IF(G3=TODAY(),1,"")</f>
        <v/>
      </c>
      <c r="H23" s="27" t="str">
        <f t="shared" ref="H23:BS23" ca="1" si="93">IF(H3=TODAY(),1,"")</f>
        <v/>
      </c>
      <c r="I23" s="27" t="str">
        <f t="shared" ca="1" si="93"/>
        <v/>
      </c>
      <c r="J23" s="27" t="str">
        <f t="shared" ca="1" si="93"/>
        <v/>
      </c>
      <c r="K23" s="27" t="str">
        <f t="shared" ca="1" si="93"/>
        <v/>
      </c>
      <c r="L23" s="27" t="str">
        <f t="shared" ca="1" si="93"/>
        <v/>
      </c>
      <c r="M23" s="27" t="str">
        <f t="shared" ca="1" si="93"/>
        <v/>
      </c>
      <c r="N23" s="27" t="str">
        <f t="shared" ca="1" si="93"/>
        <v/>
      </c>
      <c r="O23" s="27" t="str">
        <f t="shared" ca="1" si="93"/>
        <v/>
      </c>
      <c r="P23" s="27" t="str">
        <f t="shared" ca="1" si="93"/>
        <v/>
      </c>
      <c r="Q23" s="27" t="str">
        <f t="shared" ca="1" si="93"/>
        <v/>
      </c>
      <c r="R23" s="27" t="str">
        <f t="shared" ca="1" si="93"/>
        <v/>
      </c>
      <c r="S23" s="27" t="str">
        <f t="shared" ca="1" si="93"/>
        <v/>
      </c>
      <c r="T23" s="27" t="str">
        <f t="shared" ca="1" si="93"/>
        <v/>
      </c>
      <c r="U23" s="27" t="str">
        <f t="shared" ca="1" si="93"/>
        <v/>
      </c>
      <c r="V23" s="27" t="str">
        <f t="shared" ca="1" si="93"/>
        <v/>
      </c>
      <c r="W23" s="27">
        <f t="shared" ca="1" si="93"/>
        <v>1</v>
      </c>
      <c r="X23" s="27" t="str">
        <f t="shared" ca="1" si="93"/>
        <v/>
      </c>
      <c r="Y23" s="27" t="str">
        <f t="shared" ca="1" si="93"/>
        <v/>
      </c>
      <c r="Z23" s="27" t="str">
        <f t="shared" ca="1" si="93"/>
        <v/>
      </c>
      <c r="AA23" s="27" t="str">
        <f t="shared" ca="1" si="93"/>
        <v/>
      </c>
      <c r="AB23" s="27" t="str">
        <f t="shared" ca="1" si="93"/>
        <v/>
      </c>
      <c r="AC23" s="27" t="str">
        <f t="shared" ca="1" si="93"/>
        <v/>
      </c>
      <c r="AD23" s="27" t="str">
        <f t="shared" ca="1" si="93"/>
        <v/>
      </c>
      <c r="AE23" s="27" t="str">
        <f t="shared" ca="1" si="93"/>
        <v/>
      </c>
      <c r="AF23" s="27" t="str">
        <f t="shared" ca="1" si="93"/>
        <v/>
      </c>
      <c r="AG23" s="27" t="str">
        <f t="shared" ca="1" si="93"/>
        <v/>
      </c>
      <c r="AH23" s="27" t="str">
        <f t="shared" ca="1" si="93"/>
        <v/>
      </c>
      <c r="AI23" s="27" t="str">
        <f t="shared" ca="1" si="93"/>
        <v/>
      </c>
      <c r="AJ23" s="27" t="str">
        <f t="shared" ca="1" si="93"/>
        <v/>
      </c>
      <c r="AK23" s="27" t="str">
        <f t="shared" ca="1" si="93"/>
        <v/>
      </c>
      <c r="AL23" s="27" t="str">
        <f t="shared" ca="1" si="93"/>
        <v/>
      </c>
      <c r="AM23" s="27" t="str">
        <f t="shared" ca="1" si="93"/>
        <v/>
      </c>
      <c r="AN23" s="27" t="str">
        <f t="shared" ca="1" si="93"/>
        <v/>
      </c>
      <c r="AO23" s="27" t="str">
        <f t="shared" ca="1" si="93"/>
        <v/>
      </c>
      <c r="AP23" s="27" t="str">
        <f t="shared" ca="1" si="93"/>
        <v/>
      </c>
      <c r="AQ23" s="27" t="str">
        <f t="shared" ca="1" si="93"/>
        <v/>
      </c>
      <c r="AR23" s="27" t="str">
        <f t="shared" ca="1" si="93"/>
        <v/>
      </c>
      <c r="AS23" s="27" t="str">
        <f t="shared" ca="1" si="93"/>
        <v/>
      </c>
      <c r="AT23" s="27" t="str">
        <f t="shared" ca="1" si="93"/>
        <v/>
      </c>
      <c r="AU23" s="27" t="str">
        <f t="shared" ca="1" si="93"/>
        <v/>
      </c>
      <c r="AV23" s="27" t="str">
        <f t="shared" ca="1" si="93"/>
        <v/>
      </c>
      <c r="AW23" s="27" t="str">
        <f t="shared" ca="1" si="93"/>
        <v/>
      </c>
      <c r="AX23" s="27" t="str">
        <f t="shared" ca="1" si="93"/>
        <v/>
      </c>
      <c r="AY23" s="27" t="str">
        <f t="shared" ca="1" si="93"/>
        <v/>
      </c>
      <c r="AZ23" s="27" t="str">
        <f t="shared" ca="1" si="93"/>
        <v/>
      </c>
      <c r="BA23" s="27" t="str">
        <f t="shared" ca="1" si="93"/>
        <v/>
      </c>
      <c r="BB23" s="27" t="str">
        <f t="shared" ca="1" si="93"/>
        <v/>
      </c>
      <c r="BC23" s="27" t="str">
        <f t="shared" ca="1" si="93"/>
        <v/>
      </c>
      <c r="BD23" s="27" t="str">
        <f t="shared" ca="1" si="93"/>
        <v/>
      </c>
      <c r="BE23" s="27" t="str">
        <f t="shared" ca="1" si="93"/>
        <v/>
      </c>
      <c r="BF23" s="27" t="str">
        <f t="shared" ca="1" si="93"/>
        <v/>
      </c>
      <c r="BG23" s="27" t="str">
        <f t="shared" ca="1" si="93"/>
        <v/>
      </c>
      <c r="BH23" s="27" t="str">
        <f t="shared" ca="1" si="93"/>
        <v/>
      </c>
      <c r="BI23" s="27" t="str">
        <f t="shared" ca="1" si="93"/>
        <v/>
      </c>
      <c r="BJ23" s="27" t="str">
        <f t="shared" ca="1" si="93"/>
        <v/>
      </c>
      <c r="BK23" s="27" t="str">
        <f t="shared" ca="1" si="93"/>
        <v/>
      </c>
      <c r="BL23" s="27" t="str">
        <f t="shared" ca="1" si="93"/>
        <v/>
      </c>
      <c r="BM23" s="27" t="str">
        <f t="shared" ca="1" si="93"/>
        <v/>
      </c>
      <c r="BN23" s="27" t="str">
        <f t="shared" ca="1" si="93"/>
        <v/>
      </c>
      <c r="BO23" s="27" t="str">
        <f t="shared" ca="1" si="93"/>
        <v/>
      </c>
      <c r="BP23" s="27" t="str">
        <f t="shared" ca="1" si="93"/>
        <v/>
      </c>
      <c r="BQ23" s="27" t="str">
        <f t="shared" ca="1" si="93"/>
        <v/>
      </c>
      <c r="BR23" s="27" t="str">
        <f t="shared" ca="1" si="93"/>
        <v/>
      </c>
      <c r="BS23" s="27" t="str">
        <f t="shared" ca="1" si="93"/>
        <v/>
      </c>
      <c r="BT23" s="27" t="str">
        <f t="shared" ref="BT23:EE23" ca="1" si="94">IF(BT3=TODAY(),1,"")</f>
        <v/>
      </c>
      <c r="BU23" s="27" t="str">
        <f t="shared" ca="1" si="94"/>
        <v/>
      </c>
      <c r="BV23" s="27" t="str">
        <f t="shared" ca="1" si="94"/>
        <v/>
      </c>
      <c r="BW23" s="27" t="str">
        <f t="shared" ca="1" si="94"/>
        <v/>
      </c>
      <c r="BX23" s="27" t="str">
        <f t="shared" ca="1" si="94"/>
        <v/>
      </c>
      <c r="BY23" s="27" t="str">
        <f t="shared" ca="1" si="94"/>
        <v/>
      </c>
      <c r="BZ23" s="27" t="str">
        <f t="shared" ca="1" si="94"/>
        <v/>
      </c>
      <c r="CA23" s="27" t="str">
        <f t="shared" ca="1" si="94"/>
        <v/>
      </c>
      <c r="CB23" s="27" t="str">
        <f t="shared" ca="1" si="94"/>
        <v/>
      </c>
      <c r="CC23" s="27" t="str">
        <f t="shared" ca="1" si="94"/>
        <v/>
      </c>
      <c r="CD23" s="27" t="str">
        <f t="shared" ca="1" si="94"/>
        <v/>
      </c>
      <c r="CE23" s="27" t="str">
        <f t="shared" ca="1" si="94"/>
        <v/>
      </c>
      <c r="CF23" s="27" t="str">
        <f t="shared" ca="1" si="94"/>
        <v/>
      </c>
      <c r="CG23" s="27" t="str">
        <f t="shared" ca="1" si="94"/>
        <v/>
      </c>
      <c r="CH23" s="27" t="str">
        <f t="shared" ca="1" si="94"/>
        <v/>
      </c>
      <c r="CI23" s="27" t="str">
        <f t="shared" ca="1" si="94"/>
        <v/>
      </c>
      <c r="CJ23" s="27" t="str">
        <f t="shared" ca="1" si="94"/>
        <v/>
      </c>
      <c r="CK23" s="27" t="str">
        <f t="shared" ca="1" si="94"/>
        <v/>
      </c>
      <c r="CL23" s="27" t="str">
        <f t="shared" ca="1" si="94"/>
        <v/>
      </c>
      <c r="CM23" s="27" t="str">
        <f t="shared" ca="1" si="94"/>
        <v/>
      </c>
      <c r="CN23" s="27" t="str">
        <f t="shared" ca="1" si="94"/>
        <v/>
      </c>
      <c r="CO23" s="27" t="str">
        <f t="shared" ca="1" si="94"/>
        <v/>
      </c>
      <c r="CP23" s="27" t="str">
        <f t="shared" ca="1" si="94"/>
        <v/>
      </c>
      <c r="CQ23" s="27" t="str">
        <f t="shared" ca="1" si="94"/>
        <v/>
      </c>
      <c r="CR23" s="27" t="str">
        <f t="shared" ca="1" si="94"/>
        <v/>
      </c>
      <c r="CS23" s="27" t="str">
        <f t="shared" ca="1" si="94"/>
        <v/>
      </c>
      <c r="CT23" s="27" t="str">
        <f t="shared" ca="1" si="94"/>
        <v/>
      </c>
      <c r="CU23" s="27" t="str">
        <f t="shared" ca="1" si="94"/>
        <v/>
      </c>
      <c r="CV23" s="27" t="str">
        <f t="shared" ca="1" si="94"/>
        <v/>
      </c>
      <c r="CW23" s="27" t="str">
        <f t="shared" ca="1" si="94"/>
        <v/>
      </c>
      <c r="CX23" s="27" t="str">
        <f t="shared" ca="1" si="94"/>
        <v/>
      </c>
      <c r="CY23" s="27" t="str">
        <f t="shared" ca="1" si="94"/>
        <v/>
      </c>
      <c r="CZ23" s="27" t="str">
        <f t="shared" ca="1" si="94"/>
        <v/>
      </c>
      <c r="DA23" s="27" t="str">
        <f t="shared" ca="1" si="94"/>
        <v/>
      </c>
      <c r="DB23" s="27" t="str">
        <f t="shared" ca="1" si="94"/>
        <v/>
      </c>
      <c r="DC23" s="27" t="str">
        <f t="shared" ca="1" si="94"/>
        <v/>
      </c>
      <c r="DD23" s="27" t="str">
        <f t="shared" ca="1" si="94"/>
        <v/>
      </c>
      <c r="DE23" s="27" t="str">
        <f t="shared" ca="1" si="94"/>
        <v/>
      </c>
      <c r="DF23" s="27" t="str">
        <f t="shared" ca="1" si="94"/>
        <v/>
      </c>
      <c r="DG23" s="27" t="str">
        <f t="shared" ca="1" si="94"/>
        <v/>
      </c>
      <c r="DH23" s="27" t="str">
        <f t="shared" ca="1" si="94"/>
        <v/>
      </c>
      <c r="DI23" s="27" t="str">
        <f t="shared" ca="1" si="94"/>
        <v/>
      </c>
      <c r="DJ23" s="27" t="str">
        <f t="shared" ca="1" si="94"/>
        <v/>
      </c>
      <c r="DK23" s="27" t="str">
        <f t="shared" ca="1" si="94"/>
        <v/>
      </c>
      <c r="DL23" s="27" t="str">
        <f t="shared" ca="1" si="94"/>
        <v/>
      </c>
      <c r="DM23" s="27" t="str">
        <f t="shared" ca="1" si="94"/>
        <v/>
      </c>
      <c r="DN23" s="27" t="str">
        <f t="shared" ca="1" si="94"/>
        <v/>
      </c>
      <c r="DO23" s="27" t="str">
        <f t="shared" ca="1" si="94"/>
        <v/>
      </c>
      <c r="DP23" s="27" t="str">
        <f t="shared" ca="1" si="94"/>
        <v/>
      </c>
      <c r="DQ23" s="27" t="str">
        <f t="shared" ca="1" si="94"/>
        <v/>
      </c>
      <c r="DR23" s="27" t="str">
        <f t="shared" ca="1" si="94"/>
        <v/>
      </c>
      <c r="DS23" s="27" t="str">
        <f t="shared" ca="1" si="94"/>
        <v/>
      </c>
      <c r="DT23" s="27" t="str">
        <f t="shared" ca="1" si="94"/>
        <v/>
      </c>
      <c r="DU23" s="27" t="str">
        <f t="shared" ca="1" si="94"/>
        <v/>
      </c>
      <c r="DV23" s="27" t="str">
        <f t="shared" ca="1" si="94"/>
        <v/>
      </c>
      <c r="DW23" s="27" t="str">
        <f t="shared" ca="1" si="94"/>
        <v/>
      </c>
      <c r="DX23" s="27" t="str">
        <f t="shared" ca="1" si="94"/>
        <v/>
      </c>
      <c r="DY23" s="27" t="str">
        <f t="shared" ca="1" si="94"/>
        <v/>
      </c>
      <c r="DZ23" s="27" t="str">
        <f t="shared" ca="1" si="94"/>
        <v/>
      </c>
      <c r="EA23" s="27" t="str">
        <f t="shared" ca="1" si="94"/>
        <v/>
      </c>
      <c r="EB23" s="27" t="str">
        <f t="shared" ca="1" si="94"/>
        <v/>
      </c>
      <c r="EC23" s="27" t="str">
        <f t="shared" ca="1" si="94"/>
        <v/>
      </c>
      <c r="ED23" s="27" t="str">
        <f t="shared" ca="1" si="94"/>
        <v/>
      </c>
      <c r="EE23" s="27" t="str">
        <f t="shared" ca="1" si="94"/>
        <v/>
      </c>
      <c r="EF23" s="27" t="str">
        <f t="shared" ref="EF23:GQ23" ca="1" si="95">IF(EF3=TODAY(),1,"")</f>
        <v/>
      </c>
      <c r="EG23" s="27" t="str">
        <f t="shared" ca="1" si="95"/>
        <v/>
      </c>
      <c r="EH23" s="27" t="str">
        <f t="shared" ca="1" si="95"/>
        <v/>
      </c>
      <c r="EI23" s="27" t="str">
        <f t="shared" ca="1" si="95"/>
        <v/>
      </c>
      <c r="EJ23" s="27" t="str">
        <f t="shared" ca="1" si="95"/>
        <v/>
      </c>
      <c r="EK23" s="27" t="str">
        <f t="shared" ca="1" si="95"/>
        <v/>
      </c>
      <c r="EL23" s="27" t="str">
        <f t="shared" ca="1" si="95"/>
        <v/>
      </c>
      <c r="EM23" s="27" t="str">
        <f t="shared" ca="1" si="95"/>
        <v/>
      </c>
      <c r="EN23" s="27" t="str">
        <f t="shared" ca="1" si="95"/>
        <v/>
      </c>
      <c r="EO23" s="27" t="str">
        <f t="shared" ca="1" si="95"/>
        <v/>
      </c>
      <c r="EP23" s="27" t="str">
        <f t="shared" ca="1" si="95"/>
        <v/>
      </c>
      <c r="EQ23" s="27" t="str">
        <f t="shared" ca="1" si="95"/>
        <v/>
      </c>
      <c r="ER23" s="27" t="str">
        <f t="shared" ca="1" si="95"/>
        <v/>
      </c>
      <c r="ES23" s="27" t="str">
        <f t="shared" ca="1" si="95"/>
        <v/>
      </c>
      <c r="ET23" s="27" t="str">
        <f t="shared" ca="1" si="95"/>
        <v/>
      </c>
      <c r="EU23" s="27" t="str">
        <f t="shared" ca="1" si="95"/>
        <v/>
      </c>
      <c r="EV23" s="27" t="str">
        <f t="shared" ca="1" si="95"/>
        <v/>
      </c>
      <c r="EW23" s="27" t="str">
        <f t="shared" ca="1" si="95"/>
        <v/>
      </c>
      <c r="EX23" s="27" t="str">
        <f t="shared" ca="1" si="95"/>
        <v/>
      </c>
      <c r="EY23" s="27" t="str">
        <f t="shared" ca="1" si="95"/>
        <v/>
      </c>
      <c r="EZ23" s="27" t="str">
        <f t="shared" ca="1" si="95"/>
        <v/>
      </c>
      <c r="FA23" s="27" t="str">
        <f t="shared" ca="1" si="95"/>
        <v/>
      </c>
      <c r="FB23" s="27" t="str">
        <f t="shared" ca="1" si="95"/>
        <v/>
      </c>
      <c r="FC23" s="27" t="str">
        <f t="shared" ca="1" si="95"/>
        <v/>
      </c>
      <c r="FD23" s="27" t="str">
        <f t="shared" ca="1" si="95"/>
        <v/>
      </c>
      <c r="FE23" s="27" t="str">
        <f t="shared" ca="1" si="95"/>
        <v/>
      </c>
      <c r="FF23" s="27" t="str">
        <f t="shared" ca="1" si="95"/>
        <v/>
      </c>
      <c r="FG23" s="27" t="str">
        <f t="shared" ca="1" si="95"/>
        <v/>
      </c>
      <c r="FH23" s="27" t="str">
        <f t="shared" ca="1" si="95"/>
        <v/>
      </c>
      <c r="FI23" s="27" t="str">
        <f t="shared" ca="1" si="95"/>
        <v/>
      </c>
      <c r="FJ23" s="27" t="str">
        <f t="shared" ca="1" si="95"/>
        <v/>
      </c>
      <c r="FK23" s="27" t="str">
        <f t="shared" ca="1" si="95"/>
        <v/>
      </c>
      <c r="FL23" s="27" t="str">
        <f t="shared" ca="1" si="95"/>
        <v/>
      </c>
      <c r="FM23" s="27" t="str">
        <f t="shared" ca="1" si="95"/>
        <v/>
      </c>
      <c r="FN23" s="27" t="str">
        <f t="shared" ca="1" si="95"/>
        <v/>
      </c>
      <c r="FO23" s="27" t="str">
        <f t="shared" ca="1" si="95"/>
        <v/>
      </c>
      <c r="FP23" s="27" t="str">
        <f t="shared" ca="1" si="95"/>
        <v/>
      </c>
      <c r="FQ23" s="27" t="str">
        <f t="shared" ca="1" si="95"/>
        <v/>
      </c>
      <c r="FR23" s="27" t="str">
        <f t="shared" ca="1" si="95"/>
        <v/>
      </c>
      <c r="FS23" s="27" t="str">
        <f t="shared" ca="1" si="95"/>
        <v/>
      </c>
      <c r="FT23" s="27" t="str">
        <f t="shared" ca="1" si="95"/>
        <v/>
      </c>
      <c r="FU23" s="27" t="str">
        <f t="shared" ca="1" si="95"/>
        <v/>
      </c>
      <c r="FV23" s="27" t="str">
        <f t="shared" ca="1" si="95"/>
        <v/>
      </c>
      <c r="FW23" s="27" t="str">
        <f t="shared" ca="1" si="95"/>
        <v/>
      </c>
      <c r="FX23" s="27" t="str">
        <f t="shared" ca="1" si="95"/>
        <v/>
      </c>
      <c r="FY23" s="27" t="str">
        <f t="shared" ca="1" si="95"/>
        <v/>
      </c>
      <c r="FZ23" s="27" t="str">
        <f t="shared" ca="1" si="95"/>
        <v/>
      </c>
      <c r="GA23" s="27" t="str">
        <f t="shared" ca="1" si="95"/>
        <v/>
      </c>
      <c r="GB23" s="27" t="str">
        <f t="shared" ca="1" si="95"/>
        <v/>
      </c>
      <c r="GC23" s="27" t="str">
        <f t="shared" ca="1" si="95"/>
        <v/>
      </c>
      <c r="GD23" s="27" t="str">
        <f t="shared" ca="1" si="95"/>
        <v/>
      </c>
      <c r="GE23" s="27" t="str">
        <f t="shared" ca="1" si="95"/>
        <v/>
      </c>
      <c r="GF23" s="27" t="str">
        <f t="shared" ca="1" si="95"/>
        <v/>
      </c>
      <c r="GG23" s="27" t="str">
        <f t="shared" ca="1" si="95"/>
        <v/>
      </c>
      <c r="GH23" s="27" t="str">
        <f t="shared" ca="1" si="95"/>
        <v/>
      </c>
      <c r="GI23" s="27" t="str">
        <f t="shared" ca="1" si="95"/>
        <v/>
      </c>
      <c r="GJ23" s="27" t="str">
        <f t="shared" ca="1" si="95"/>
        <v/>
      </c>
      <c r="GK23" s="27" t="str">
        <f t="shared" ca="1" si="95"/>
        <v/>
      </c>
      <c r="GL23" s="27" t="str">
        <f t="shared" ca="1" si="95"/>
        <v/>
      </c>
      <c r="GM23" s="27" t="str">
        <f t="shared" ca="1" si="95"/>
        <v/>
      </c>
      <c r="GN23" s="27" t="str">
        <f t="shared" ca="1" si="95"/>
        <v/>
      </c>
      <c r="GO23" s="27" t="str">
        <f t="shared" ca="1" si="95"/>
        <v/>
      </c>
      <c r="GP23" s="27" t="str">
        <f t="shared" ca="1" si="95"/>
        <v/>
      </c>
      <c r="GQ23" s="27" t="str">
        <f t="shared" ca="1" si="95"/>
        <v/>
      </c>
      <c r="GR23" s="27" t="str">
        <f t="shared" ref="GR23:IN23" ca="1" si="96">IF(GR3=TODAY(),1,"")</f>
        <v/>
      </c>
      <c r="GS23" s="27" t="str">
        <f t="shared" ca="1" si="96"/>
        <v/>
      </c>
      <c r="GT23" s="27" t="str">
        <f t="shared" ca="1" si="96"/>
        <v/>
      </c>
      <c r="GU23" s="27" t="str">
        <f t="shared" ca="1" si="96"/>
        <v/>
      </c>
      <c r="GV23" s="27" t="str">
        <f t="shared" ca="1" si="96"/>
        <v/>
      </c>
      <c r="GW23" s="27" t="str">
        <f t="shared" ca="1" si="96"/>
        <v/>
      </c>
      <c r="GX23" s="27" t="str">
        <f t="shared" ca="1" si="96"/>
        <v/>
      </c>
      <c r="GY23" s="27" t="str">
        <f t="shared" ca="1" si="96"/>
        <v/>
      </c>
      <c r="GZ23" s="27" t="str">
        <f t="shared" ca="1" si="96"/>
        <v/>
      </c>
      <c r="HA23" s="27" t="str">
        <f t="shared" ca="1" si="96"/>
        <v/>
      </c>
      <c r="HB23" s="27" t="str">
        <f t="shared" ca="1" si="96"/>
        <v/>
      </c>
      <c r="HC23" s="27" t="str">
        <f t="shared" ca="1" si="96"/>
        <v/>
      </c>
      <c r="HD23" s="27" t="str">
        <f t="shared" ca="1" si="96"/>
        <v/>
      </c>
      <c r="HE23" s="27" t="str">
        <f t="shared" ca="1" si="96"/>
        <v/>
      </c>
      <c r="HF23" s="27" t="str">
        <f t="shared" ca="1" si="96"/>
        <v/>
      </c>
      <c r="HG23" s="27" t="str">
        <f t="shared" ca="1" si="96"/>
        <v/>
      </c>
      <c r="HH23" s="27" t="str">
        <f t="shared" ca="1" si="96"/>
        <v/>
      </c>
      <c r="HI23" s="27" t="str">
        <f t="shared" ca="1" si="96"/>
        <v/>
      </c>
      <c r="HJ23" s="27" t="str">
        <f t="shared" ca="1" si="96"/>
        <v/>
      </c>
      <c r="HK23" s="27" t="str">
        <f t="shared" ca="1" si="96"/>
        <v/>
      </c>
      <c r="HL23" s="27" t="str">
        <f t="shared" ca="1" si="96"/>
        <v/>
      </c>
      <c r="HM23" s="27" t="str">
        <f t="shared" ca="1" si="96"/>
        <v/>
      </c>
      <c r="HN23" s="27" t="str">
        <f t="shared" ca="1" si="96"/>
        <v/>
      </c>
      <c r="HO23" s="27" t="str">
        <f t="shared" ca="1" si="96"/>
        <v/>
      </c>
      <c r="HP23" s="27" t="str">
        <f t="shared" ca="1" si="96"/>
        <v/>
      </c>
      <c r="HQ23" s="27" t="str">
        <f t="shared" ca="1" si="96"/>
        <v/>
      </c>
      <c r="HR23" s="27" t="str">
        <f t="shared" ca="1" si="96"/>
        <v/>
      </c>
      <c r="HS23" s="27" t="str">
        <f t="shared" ca="1" si="96"/>
        <v/>
      </c>
      <c r="HT23" s="27" t="str">
        <f t="shared" ca="1" si="96"/>
        <v/>
      </c>
      <c r="HU23" s="27" t="str">
        <f t="shared" ca="1" si="96"/>
        <v/>
      </c>
      <c r="HV23" s="27" t="str">
        <f t="shared" ca="1" si="96"/>
        <v/>
      </c>
      <c r="HW23" s="27" t="str">
        <f t="shared" ca="1" si="96"/>
        <v/>
      </c>
      <c r="HX23" s="27" t="str">
        <f t="shared" ca="1" si="96"/>
        <v/>
      </c>
      <c r="HY23" s="27" t="str">
        <f t="shared" ca="1" si="96"/>
        <v/>
      </c>
      <c r="HZ23" s="27" t="str">
        <f t="shared" ca="1" si="96"/>
        <v/>
      </c>
      <c r="IA23" s="27" t="str">
        <f t="shared" ca="1" si="96"/>
        <v/>
      </c>
      <c r="IB23" s="27" t="str">
        <f t="shared" ca="1" si="96"/>
        <v/>
      </c>
      <c r="IC23" s="27" t="str">
        <f t="shared" ca="1" si="96"/>
        <v/>
      </c>
      <c r="ID23" s="27" t="str">
        <f t="shared" ca="1" si="96"/>
        <v/>
      </c>
      <c r="IE23" s="27" t="str">
        <f t="shared" ca="1" si="96"/>
        <v/>
      </c>
      <c r="IF23" s="27" t="str">
        <f t="shared" ca="1" si="96"/>
        <v/>
      </c>
      <c r="IG23" s="27" t="str">
        <f t="shared" ca="1" si="96"/>
        <v/>
      </c>
      <c r="IH23" s="27" t="str">
        <f t="shared" ca="1" si="96"/>
        <v/>
      </c>
      <c r="II23" s="27" t="str">
        <f t="shared" ca="1" si="96"/>
        <v/>
      </c>
      <c r="IJ23" s="27" t="str">
        <f t="shared" ca="1" si="96"/>
        <v/>
      </c>
      <c r="IK23" s="27" t="str">
        <f t="shared" ca="1" si="96"/>
        <v/>
      </c>
      <c r="IL23" s="27" t="str">
        <f t="shared" ca="1" si="96"/>
        <v/>
      </c>
      <c r="IM23" s="27" t="str">
        <f t="shared" ca="1" si="96"/>
        <v/>
      </c>
      <c r="IN23" s="27" t="str">
        <f t="shared" ca="1" si="96"/>
        <v/>
      </c>
    </row>
    <row r="24" spans="2:248" x14ac:dyDescent="0.3">
      <c r="B24" s="20" t="s">
        <v>489</v>
      </c>
      <c r="C24" s="21">
        <f ca="1">MIN(IF(Projections!$W$14="",xMin2+C5+5,xMin2+Projections!$W$14+C5),MAX(3:3))</f>
        <v>43912</v>
      </c>
      <c r="D24" s="21">
        <f ca="1">OFFSET(G24,-21,MATCH(1,G24:KU24,0))+3</f>
        <v>43927</v>
      </c>
      <c r="F24" s="23" t="s">
        <v>515</v>
      </c>
      <c r="G24" s="27">
        <f>IF(AND(G18&gt;G17,F18&lt;F17),1,0)</f>
        <v>0</v>
      </c>
      <c r="H24" s="27">
        <f>IF(AND(H18&gt;H17,G18&lt;G17),1,0)</f>
        <v>0</v>
      </c>
      <c r="I24" s="27">
        <f t="shared" ref="I24:BS24" si="97">IF(AND(I18&gt;I17,H18&lt;H17),1,0)</f>
        <v>0</v>
      </c>
      <c r="J24" s="27">
        <f t="shared" si="97"/>
        <v>0</v>
      </c>
      <c r="K24" s="27">
        <f t="shared" si="97"/>
        <v>0</v>
      </c>
      <c r="L24" s="27">
        <f t="shared" si="97"/>
        <v>0</v>
      </c>
      <c r="M24" s="27">
        <f t="shared" si="97"/>
        <v>0</v>
      </c>
      <c r="N24" s="27">
        <f t="shared" si="97"/>
        <v>0</v>
      </c>
      <c r="O24" s="27">
        <f t="shared" si="97"/>
        <v>0</v>
      </c>
      <c r="P24" s="27">
        <f t="shared" si="97"/>
        <v>0</v>
      </c>
      <c r="Q24" s="27">
        <f t="shared" si="97"/>
        <v>0</v>
      </c>
      <c r="R24" s="27">
        <f t="shared" si="97"/>
        <v>0</v>
      </c>
      <c r="S24" s="27">
        <f t="shared" si="97"/>
        <v>0</v>
      </c>
      <c r="T24" s="27">
        <f t="shared" si="97"/>
        <v>0</v>
      </c>
      <c r="U24" s="27">
        <f t="shared" si="97"/>
        <v>0</v>
      </c>
      <c r="V24" s="27">
        <f t="shared" si="97"/>
        <v>0</v>
      </c>
      <c r="W24" s="27">
        <f t="shared" si="97"/>
        <v>0</v>
      </c>
      <c r="X24" s="27">
        <f t="shared" si="97"/>
        <v>0</v>
      </c>
      <c r="Y24" s="27">
        <f t="shared" si="97"/>
        <v>0</v>
      </c>
      <c r="Z24" s="27">
        <f t="shared" si="97"/>
        <v>0</v>
      </c>
      <c r="AA24" s="27">
        <f t="shared" si="97"/>
        <v>0</v>
      </c>
      <c r="AB24" s="27">
        <f t="shared" si="97"/>
        <v>0</v>
      </c>
      <c r="AC24" s="27">
        <f t="shared" si="97"/>
        <v>0</v>
      </c>
      <c r="AD24" s="27">
        <f t="shared" si="97"/>
        <v>0</v>
      </c>
      <c r="AE24" s="27">
        <f t="shared" si="97"/>
        <v>0</v>
      </c>
      <c r="AF24" s="27">
        <f t="shared" si="97"/>
        <v>0</v>
      </c>
      <c r="AG24" s="27">
        <f t="shared" si="97"/>
        <v>0</v>
      </c>
      <c r="AH24" s="27">
        <f t="shared" si="97"/>
        <v>0</v>
      </c>
      <c r="AI24" s="27">
        <f t="shared" si="97"/>
        <v>0</v>
      </c>
      <c r="AJ24" s="27">
        <f>IF(AND(AJ18&gt;AJ17,AI18&lt;AI17),1,0)</f>
        <v>0</v>
      </c>
      <c r="AK24" s="27">
        <f t="shared" si="97"/>
        <v>0</v>
      </c>
      <c r="AL24" s="27">
        <f t="shared" si="97"/>
        <v>0</v>
      </c>
      <c r="AM24" s="27">
        <f t="shared" si="97"/>
        <v>1</v>
      </c>
      <c r="AN24" s="27">
        <f t="shared" si="97"/>
        <v>0</v>
      </c>
      <c r="AO24" s="27">
        <f t="shared" si="97"/>
        <v>0</v>
      </c>
      <c r="AP24" s="27">
        <f t="shared" si="97"/>
        <v>0</v>
      </c>
      <c r="AQ24" s="27">
        <f t="shared" si="97"/>
        <v>0</v>
      </c>
      <c r="AR24" s="27">
        <f t="shared" si="97"/>
        <v>0</v>
      </c>
      <c r="AS24" s="27">
        <f t="shared" si="97"/>
        <v>0</v>
      </c>
      <c r="AT24" s="27">
        <f t="shared" si="97"/>
        <v>0</v>
      </c>
      <c r="AU24" s="27">
        <f t="shared" si="97"/>
        <v>0</v>
      </c>
      <c r="AV24" s="27">
        <f t="shared" si="97"/>
        <v>0</v>
      </c>
      <c r="AW24" s="27">
        <f t="shared" si="97"/>
        <v>0</v>
      </c>
      <c r="AX24" s="27">
        <f t="shared" si="97"/>
        <v>0</v>
      </c>
      <c r="AY24" s="27">
        <f t="shared" si="97"/>
        <v>0</v>
      </c>
      <c r="AZ24" s="27">
        <f t="shared" si="97"/>
        <v>0</v>
      </c>
      <c r="BA24" s="27">
        <f t="shared" si="97"/>
        <v>0</v>
      </c>
      <c r="BB24" s="27">
        <f t="shared" si="97"/>
        <v>0</v>
      </c>
      <c r="BC24" s="27">
        <f t="shared" si="97"/>
        <v>0</v>
      </c>
      <c r="BD24" s="27">
        <f t="shared" si="97"/>
        <v>0</v>
      </c>
      <c r="BE24" s="27">
        <f t="shared" si="97"/>
        <v>0</v>
      </c>
      <c r="BF24" s="27">
        <f t="shared" si="97"/>
        <v>0</v>
      </c>
      <c r="BG24" s="27">
        <f t="shared" si="97"/>
        <v>0</v>
      </c>
      <c r="BH24" s="27">
        <f t="shared" si="97"/>
        <v>0</v>
      </c>
      <c r="BI24" s="27">
        <f t="shared" si="97"/>
        <v>0</v>
      </c>
      <c r="BJ24" s="27">
        <f t="shared" si="97"/>
        <v>0</v>
      </c>
      <c r="BK24" s="27">
        <f t="shared" si="97"/>
        <v>0</v>
      </c>
      <c r="BL24" s="27">
        <f t="shared" si="97"/>
        <v>0</v>
      </c>
      <c r="BM24" s="27">
        <f t="shared" si="97"/>
        <v>0</v>
      </c>
      <c r="BN24" s="27">
        <f t="shared" si="97"/>
        <v>0</v>
      </c>
      <c r="BO24" s="27">
        <f t="shared" si="97"/>
        <v>0</v>
      </c>
      <c r="BP24" s="27">
        <f t="shared" si="97"/>
        <v>0</v>
      </c>
      <c r="BQ24" s="27">
        <f t="shared" si="97"/>
        <v>0</v>
      </c>
      <c r="BR24" s="27">
        <f t="shared" si="97"/>
        <v>0</v>
      </c>
      <c r="BS24" s="27">
        <f t="shared" si="97"/>
        <v>0</v>
      </c>
      <c r="BT24" s="27">
        <f t="shared" ref="BT24:EE24" si="98">IF(AND(BT18&gt;BT17,BS18&lt;BS17),1,0)</f>
        <v>0</v>
      </c>
      <c r="BU24" s="27">
        <f t="shared" si="98"/>
        <v>0</v>
      </c>
      <c r="BV24" s="27">
        <f t="shared" si="98"/>
        <v>0</v>
      </c>
      <c r="BW24" s="27">
        <f t="shared" si="98"/>
        <v>0</v>
      </c>
      <c r="BX24" s="27">
        <f t="shared" si="98"/>
        <v>0</v>
      </c>
      <c r="BY24" s="27">
        <f t="shared" si="98"/>
        <v>0</v>
      </c>
      <c r="BZ24" s="27">
        <f t="shared" si="98"/>
        <v>0</v>
      </c>
      <c r="CA24" s="27">
        <f t="shared" si="98"/>
        <v>0</v>
      </c>
      <c r="CB24" s="27">
        <f t="shared" si="98"/>
        <v>0</v>
      </c>
      <c r="CC24" s="27">
        <f t="shared" si="98"/>
        <v>0</v>
      </c>
      <c r="CD24" s="27">
        <f t="shared" si="98"/>
        <v>0</v>
      </c>
      <c r="CE24" s="27">
        <f t="shared" si="98"/>
        <v>0</v>
      </c>
      <c r="CF24" s="27">
        <f t="shared" si="98"/>
        <v>0</v>
      </c>
      <c r="CG24" s="27">
        <f t="shared" si="98"/>
        <v>0</v>
      </c>
      <c r="CH24" s="27">
        <f t="shared" si="98"/>
        <v>0</v>
      </c>
      <c r="CI24" s="27">
        <f t="shared" si="98"/>
        <v>0</v>
      </c>
      <c r="CJ24" s="27">
        <f t="shared" si="98"/>
        <v>0</v>
      </c>
      <c r="CK24" s="27">
        <f t="shared" si="98"/>
        <v>0</v>
      </c>
      <c r="CL24" s="27">
        <f t="shared" si="98"/>
        <v>0</v>
      </c>
      <c r="CM24" s="27">
        <f t="shared" si="98"/>
        <v>0</v>
      </c>
      <c r="CN24" s="27">
        <f t="shared" si="98"/>
        <v>0</v>
      </c>
      <c r="CO24" s="27">
        <f t="shared" si="98"/>
        <v>0</v>
      </c>
      <c r="CP24" s="27">
        <f t="shared" si="98"/>
        <v>0</v>
      </c>
      <c r="CQ24" s="27">
        <f t="shared" si="98"/>
        <v>0</v>
      </c>
      <c r="CR24" s="27">
        <f t="shared" si="98"/>
        <v>0</v>
      </c>
      <c r="CS24" s="27">
        <f t="shared" si="98"/>
        <v>0</v>
      </c>
      <c r="CT24" s="27">
        <f t="shared" si="98"/>
        <v>0</v>
      </c>
      <c r="CU24" s="27">
        <f t="shared" si="98"/>
        <v>0</v>
      </c>
      <c r="CV24" s="27">
        <f t="shared" si="98"/>
        <v>0</v>
      </c>
      <c r="CW24" s="27">
        <f t="shared" si="98"/>
        <v>0</v>
      </c>
      <c r="CX24" s="27">
        <f t="shared" si="98"/>
        <v>0</v>
      </c>
      <c r="CY24" s="27">
        <f t="shared" si="98"/>
        <v>0</v>
      </c>
      <c r="CZ24" s="27">
        <f t="shared" si="98"/>
        <v>0</v>
      </c>
      <c r="DA24" s="27">
        <f t="shared" si="98"/>
        <v>0</v>
      </c>
      <c r="DB24" s="27">
        <f t="shared" si="98"/>
        <v>0</v>
      </c>
      <c r="DC24" s="27">
        <f t="shared" si="98"/>
        <v>0</v>
      </c>
      <c r="DD24" s="27">
        <f t="shared" si="98"/>
        <v>0</v>
      </c>
      <c r="DE24" s="27">
        <f t="shared" si="98"/>
        <v>0</v>
      </c>
      <c r="DF24" s="27">
        <f t="shared" si="98"/>
        <v>0</v>
      </c>
      <c r="DG24" s="27">
        <f t="shared" si="98"/>
        <v>0</v>
      </c>
      <c r="DH24" s="27">
        <f t="shared" si="98"/>
        <v>0</v>
      </c>
      <c r="DI24" s="27">
        <f t="shared" si="98"/>
        <v>0</v>
      </c>
      <c r="DJ24" s="27">
        <f t="shared" si="98"/>
        <v>0</v>
      </c>
      <c r="DK24" s="27">
        <f t="shared" si="98"/>
        <v>0</v>
      </c>
      <c r="DL24" s="27">
        <f t="shared" si="98"/>
        <v>0</v>
      </c>
      <c r="DM24" s="27">
        <f t="shared" si="98"/>
        <v>0</v>
      </c>
      <c r="DN24" s="27">
        <f t="shared" si="98"/>
        <v>0</v>
      </c>
      <c r="DO24" s="27">
        <f t="shared" si="98"/>
        <v>0</v>
      </c>
      <c r="DP24" s="27">
        <f t="shared" si="98"/>
        <v>0</v>
      </c>
      <c r="DQ24" s="27">
        <f t="shared" si="98"/>
        <v>0</v>
      </c>
      <c r="DR24" s="27">
        <f t="shared" si="98"/>
        <v>0</v>
      </c>
      <c r="DS24" s="27">
        <f t="shared" si="98"/>
        <v>0</v>
      </c>
      <c r="DT24" s="27">
        <f t="shared" si="98"/>
        <v>0</v>
      </c>
      <c r="DU24" s="27">
        <f t="shared" si="98"/>
        <v>0</v>
      </c>
      <c r="DV24" s="27">
        <f t="shared" si="98"/>
        <v>0</v>
      </c>
      <c r="DW24" s="27">
        <f t="shared" si="98"/>
        <v>0</v>
      </c>
      <c r="DX24" s="27">
        <f t="shared" si="98"/>
        <v>0</v>
      </c>
      <c r="DY24" s="27">
        <f t="shared" si="98"/>
        <v>0</v>
      </c>
      <c r="DZ24" s="27">
        <f t="shared" si="98"/>
        <v>0</v>
      </c>
      <c r="EA24" s="27">
        <f t="shared" si="98"/>
        <v>0</v>
      </c>
      <c r="EB24" s="27">
        <f t="shared" si="98"/>
        <v>0</v>
      </c>
      <c r="EC24" s="27">
        <f t="shared" si="98"/>
        <v>0</v>
      </c>
      <c r="ED24" s="27">
        <f t="shared" si="98"/>
        <v>0</v>
      </c>
      <c r="EE24" s="27">
        <f t="shared" si="98"/>
        <v>0</v>
      </c>
      <c r="EF24" s="27">
        <f t="shared" ref="EF24:GQ24" si="99">IF(AND(EF18&gt;EF17,EE18&lt;EE17),1,0)</f>
        <v>0</v>
      </c>
      <c r="EG24" s="27">
        <f t="shared" si="99"/>
        <v>0</v>
      </c>
      <c r="EH24" s="27">
        <f t="shared" si="99"/>
        <v>0</v>
      </c>
      <c r="EI24" s="27">
        <f t="shared" si="99"/>
        <v>0</v>
      </c>
      <c r="EJ24" s="27">
        <f t="shared" si="99"/>
        <v>0</v>
      </c>
      <c r="EK24" s="27">
        <f t="shared" si="99"/>
        <v>0</v>
      </c>
      <c r="EL24" s="27">
        <f t="shared" si="99"/>
        <v>0</v>
      </c>
      <c r="EM24" s="27">
        <f t="shared" si="99"/>
        <v>0</v>
      </c>
      <c r="EN24" s="27">
        <f t="shared" si="99"/>
        <v>0</v>
      </c>
      <c r="EO24" s="27">
        <f t="shared" si="99"/>
        <v>0</v>
      </c>
      <c r="EP24" s="27">
        <f t="shared" si="99"/>
        <v>0</v>
      </c>
      <c r="EQ24" s="27">
        <f t="shared" si="99"/>
        <v>0</v>
      </c>
      <c r="ER24" s="27">
        <f t="shared" si="99"/>
        <v>0</v>
      </c>
      <c r="ES24" s="27">
        <f t="shared" si="99"/>
        <v>0</v>
      </c>
      <c r="ET24" s="27">
        <f t="shared" si="99"/>
        <v>0</v>
      </c>
      <c r="EU24" s="27">
        <f t="shared" si="99"/>
        <v>0</v>
      </c>
      <c r="EV24" s="27">
        <f t="shared" si="99"/>
        <v>0</v>
      </c>
      <c r="EW24" s="27">
        <f t="shared" si="99"/>
        <v>0</v>
      </c>
      <c r="EX24" s="27">
        <f t="shared" si="99"/>
        <v>0</v>
      </c>
      <c r="EY24" s="27">
        <f t="shared" si="99"/>
        <v>0</v>
      </c>
      <c r="EZ24" s="27">
        <f t="shared" si="99"/>
        <v>0</v>
      </c>
      <c r="FA24" s="27">
        <f t="shared" si="99"/>
        <v>0</v>
      </c>
      <c r="FB24" s="27">
        <f t="shared" si="99"/>
        <v>0</v>
      </c>
      <c r="FC24" s="27">
        <f t="shared" si="99"/>
        <v>0</v>
      </c>
      <c r="FD24" s="27">
        <f t="shared" si="99"/>
        <v>0</v>
      </c>
      <c r="FE24" s="27">
        <f t="shared" si="99"/>
        <v>0</v>
      </c>
      <c r="FF24" s="27">
        <f t="shared" si="99"/>
        <v>0</v>
      </c>
      <c r="FG24" s="27">
        <f t="shared" si="99"/>
        <v>0</v>
      </c>
      <c r="FH24" s="27">
        <f t="shared" si="99"/>
        <v>0</v>
      </c>
      <c r="FI24" s="27">
        <f t="shared" si="99"/>
        <v>0</v>
      </c>
      <c r="FJ24" s="27">
        <f t="shared" si="99"/>
        <v>0</v>
      </c>
      <c r="FK24" s="27">
        <f t="shared" si="99"/>
        <v>0</v>
      </c>
      <c r="FL24" s="27">
        <f t="shared" si="99"/>
        <v>0</v>
      </c>
      <c r="FM24" s="27">
        <f t="shared" si="99"/>
        <v>0</v>
      </c>
      <c r="FN24" s="27">
        <f t="shared" si="99"/>
        <v>0</v>
      </c>
      <c r="FO24" s="27">
        <f t="shared" si="99"/>
        <v>0</v>
      </c>
      <c r="FP24" s="27">
        <f t="shared" si="99"/>
        <v>0</v>
      </c>
      <c r="FQ24" s="27">
        <f t="shared" si="99"/>
        <v>0</v>
      </c>
      <c r="FR24" s="27">
        <f t="shared" si="99"/>
        <v>0</v>
      </c>
      <c r="FS24" s="27">
        <f t="shared" si="99"/>
        <v>0</v>
      </c>
      <c r="FT24" s="27">
        <f t="shared" si="99"/>
        <v>0</v>
      </c>
      <c r="FU24" s="27">
        <f t="shared" si="99"/>
        <v>0</v>
      </c>
      <c r="FV24" s="27">
        <f t="shared" si="99"/>
        <v>0</v>
      </c>
      <c r="FW24" s="27">
        <f t="shared" si="99"/>
        <v>0</v>
      </c>
      <c r="FX24" s="27">
        <f t="shared" si="99"/>
        <v>0</v>
      </c>
      <c r="FY24" s="27">
        <f t="shared" si="99"/>
        <v>0</v>
      </c>
      <c r="FZ24" s="27">
        <f t="shared" si="99"/>
        <v>0</v>
      </c>
      <c r="GA24" s="27">
        <f t="shared" si="99"/>
        <v>0</v>
      </c>
      <c r="GB24" s="27">
        <f t="shared" si="99"/>
        <v>0</v>
      </c>
      <c r="GC24" s="27">
        <f t="shared" si="99"/>
        <v>0</v>
      </c>
      <c r="GD24" s="27">
        <f t="shared" si="99"/>
        <v>0</v>
      </c>
      <c r="GE24" s="27">
        <f t="shared" si="99"/>
        <v>0</v>
      </c>
      <c r="GF24" s="27">
        <f t="shared" si="99"/>
        <v>0</v>
      </c>
      <c r="GG24" s="27">
        <f t="shared" si="99"/>
        <v>0</v>
      </c>
      <c r="GH24" s="27">
        <f t="shared" si="99"/>
        <v>0</v>
      </c>
      <c r="GI24" s="27">
        <f t="shared" si="99"/>
        <v>0</v>
      </c>
      <c r="GJ24" s="27">
        <f t="shared" si="99"/>
        <v>0</v>
      </c>
      <c r="GK24" s="27">
        <f t="shared" si="99"/>
        <v>0</v>
      </c>
      <c r="GL24" s="27">
        <f t="shared" si="99"/>
        <v>0</v>
      </c>
      <c r="GM24" s="27">
        <f t="shared" si="99"/>
        <v>0</v>
      </c>
      <c r="GN24" s="27">
        <f t="shared" si="99"/>
        <v>0</v>
      </c>
      <c r="GO24" s="27">
        <f t="shared" si="99"/>
        <v>0</v>
      </c>
      <c r="GP24" s="27">
        <f t="shared" si="99"/>
        <v>0</v>
      </c>
      <c r="GQ24" s="27">
        <f t="shared" si="99"/>
        <v>0</v>
      </c>
      <c r="GR24" s="27">
        <f t="shared" ref="GR24:IN24" si="100">IF(AND(GR18&gt;GR17,GQ18&lt;GQ17),1,0)</f>
        <v>0</v>
      </c>
      <c r="GS24" s="27">
        <f t="shared" si="100"/>
        <v>0</v>
      </c>
      <c r="GT24" s="27">
        <f t="shared" si="100"/>
        <v>0</v>
      </c>
      <c r="GU24" s="27">
        <f t="shared" si="100"/>
        <v>0</v>
      </c>
      <c r="GV24" s="27">
        <f t="shared" si="100"/>
        <v>0</v>
      </c>
      <c r="GW24" s="27">
        <f t="shared" si="100"/>
        <v>0</v>
      </c>
      <c r="GX24" s="27">
        <f t="shared" si="100"/>
        <v>0</v>
      </c>
      <c r="GY24" s="27">
        <f t="shared" si="100"/>
        <v>0</v>
      </c>
      <c r="GZ24" s="27">
        <f t="shared" si="100"/>
        <v>0</v>
      </c>
      <c r="HA24" s="27">
        <f t="shared" si="100"/>
        <v>0</v>
      </c>
      <c r="HB24" s="27">
        <f t="shared" si="100"/>
        <v>0</v>
      </c>
      <c r="HC24" s="27">
        <f t="shared" si="100"/>
        <v>0</v>
      </c>
      <c r="HD24" s="27">
        <f t="shared" si="100"/>
        <v>0</v>
      </c>
      <c r="HE24" s="27">
        <f t="shared" si="100"/>
        <v>0</v>
      </c>
      <c r="HF24" s="27">
        <f t="shared" si="100"/>
        <v>0</v>
      </c>
      <c r="HG24" s="27">
        <f t="shared" si="100"/>
        <v>0</v>
      </c>
      <c r="HH24" s="27">
        <f t="shared" si="100"/>
        <v>0</v>
      </c>
      <c r="HI24" s="27">
        <f t="shared" si="100"/>
        <v>0</v>
      </c>
      <c r="HJ24" s="27">
        <f t="shared" si="100"/>
        <v>0</v>
      </c>
      <c r="HK24" s="27">
        <f t="shared" si="100"/>
        <v>0</v>
      </c>
      <c r="HL24" s="27">
        <f t="shared" si="100"/>
        <v>0</v>
      </c>
      <c r="HM24" s="27">
        <f t="shared" si="100"/>
        <v>0</v>
      </c>
      <c r="HN24" s="27">
        <f t="shared" si="100"/>
        <v>0</v>
      </c>
      <c r="HO24" s="27">
        <f t="shared" si="100"/>
        <v>0</v>
      </c>
      <c r="HP24" s="27">
        <f t="shared" si="100"/>
        <v>0</v>
      </c>
      <c r="HQ24" s="27">
        <f t="shared" si="100"/>
        <v>0</v>
      </c>
      <c r="HR24" s="27">
        <f t="shared" si="100"/>
        <v>0</v>
      </c>
      <c r="HS24" s="27">
        <f t="shared" si="100"/>
        <v>0</v>
      </c>
      <c r="HT24" s="27">
        <f t="shared" si="100"/>
        <v>0</v>
      </c>
      <c r="HU24" s="27">
        <f t="shared" si="100"/>
        <v>0</v>
      </c>
      <c r="HV24" s="27">
        <f t="shared" si="100"/>
        <v>0</v>
      </c>
      <c r="HW24" s="27">
        <f t="shared" si="100"/>
        <v>0</v>
      </c>
      <c r="HX24" s="27">
        <f t="shared" si="100"/>
        <v>0</v>
      </c>
      <c r="HY24" s="27">
        <f t="shared" si="100"/>
        <v>0</v>
      </c>
      <c r="HZ24" s="27">
        <f t="shared" si="100"/>
        <v>0</v>
      </c>
      <c r="IA24" s="27">
        <f t="shared" si="100"/>
        <v>0</v>
      </c>
      <c r="IB24" s="27">
        <f t="shared" si="100"/>
        <v>0</v>
      </c>
      <c r="IC24" s="27">
        <f t="shared" si="100"/>
        <v>0</v>
      </c>
      <c r="ID24" s="27">
        <f t="shared" si="100"/>
        <v>0</v>
      </c>
      <c r="IE24" s="27">
        <f t="shared" si="100"/>
        <v>0</v>
      </c>
      <c r="IF24" s="27">
        <f t="shared" si="100"/>
        <v>0</v>
      </c>
      <c r="IG24" s="27">
        <f t="shared" si="100"/>
        <v>0</v>
      </c>
      <c r="IH24" s="27">
        <f t="shared" si="100"/>
        <v>0</v>
      </c>
      <c r="II24" s="27">
        <f t="shared" si="100"/>
        <v>0</v>
      </c>
      <c r="IJ24" s="27">
        <f t="shared" si="100"/>
        <v>0</v>
      </c>
      <c r="IK24" s="27">
        <f t="shared" si="100"/>
        <v>0</v>
      </c>
      <c r="IL24" s="27">
        <f t="shared" si="100"/>
        <v>0</v>
      </c>
      <c r="IM24" s="27">
        <f t="shared" si="100"/>
        <v>0</v>
      </c>
      <c r="IN24" s="27">
        <f t="shared" si="100"/>
        <v>0</v>
      </c>
    </row>
    <row r="25" spans="2:248" x14ac:dyDescent="0.3">
      <c r="F25" s="23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</row>
    <row r="26" spans="2:248" x14ac:dyDescent="0.3"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</row>
    <row r="27" spans="2:248" ht="15" thickBot="1" x14ac:dyDescent="0.35">
      <c r="B27" s="20" t="str">
        <f>B2&amp;" Covid-19 projections"</f>
        <v>Germany Covid-19 projections</v>
      </c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</row>
    <row r="28" spans="2:248" ht="29.4" thickBot="1" x14ac:dyDescent="0.35">
      <c r="B28" s="20" t="str">
        <f>B2&amp;" critically ill based on "&amp;TEXT(C11,"0.0%")&amp;" of infected requiring critical care"</f>
        <v>Germany critically ill based on 4.7% of infected requiring critical care</v>
      </c>
      <c r="H28" s="61" t="s">
        <v>518</v>
      </c>
      <c r="I28" s="59" t="s">
        <v>614</v>
      </c>
      <c r="J28" s="59" t="s">
        <v>502</v>
      </c>
      <c r="K28" s="59" t="s">
        <v>616</v>
      </c>
      <c r="L28" s="60" t="s">
        <v>615</v>
      </c>
      <c r="M28" s="56" t="s">
        <v>517</v>
      </c>
      <c r="N28" s="56" t="s">
        <v>519</v>
      </c>
      <c r="O28" s="57" t="s">
        <v>520</v>
      </c>
      <c r="S28" s="20" t="s">
        <v>518</v>
      </c>
      <c r="T28" s="20" t="s">
        <v>519</v>
      </c>
    </row>
    <row r="29" spans="2:248" ht="15" thickBot="1" x14ac:dyDescent="0.35">
      <c r="H29" s="48" t="s">
        <v>87</v>
      </c>
      <c r="I29" s="44">
        <f>VLOOKUP(H29,'100thDay'!B:F,5,FALSE)</f>
        <v>9942</v>
      </c>
      <c r="J29" s="44">
        <f t="shared" ref="J29:J60" si="101">I29*$C$11</f>
        <v>467.274</v>
      </c>
      <c r="K29" s="45">
        <f>VLOOKUP(H29,DaysSince100!C:G,5,FALSE)</f>
        <v>1.3428334334431355</v>
      </c>
      <c r="L29" s="58">
        <f>LOG((O29/J29),K29)</f>
        <v>7.7098076418108228</v>
      </c>
      <c r="M29" s="46">
        <v>9.6999999999999993</v>
      </c>
      <c r="N29" s="47">
        <f>VLOOKUP(H29,$S$29:$T$263,2,FALSE)</f>
        <v>46754778</v>
      </c>
      <c r="O29" s="49">
        <f t="shared" ref="O29:O55" si="102">(N29/100000)*M29</f>
        <v>4535.2134659999992</v>
      </c>
      <c r="S29" s="19" t="s">
        <v>365</v>
      </c>
      <c r="T29" s="31">
        <v>1439323776</v>
      </c>
      <c r="W29" s="29"/>
      <c r="X29" s="22"/>
      <c r="AI29" s="32"/>
      <c r="AJ29" s="33"/>
      <c r="AK29" s="34"/>
      <c r="AL29" s="33"/>
      <c r="AM29" s="33"/>
      <c r="AN29" s="34"/>
      <c r="AO29" s="34"/>
      <c r="AP29" s="35"/>
      <c r="AQ29" s="32"/>
    </row>
    <row r="30" spans="2:248" ht="15" thickBot="1" x14ac:dyDescent="0.35">
      <c r="C30" s="21"/>
      <c r="H30" s="48" t="s">
        <v>104</v>
      </c>
      <c r="I30" s="44">
        <f>VLOOKUP(H30,'100thDay'!B:F,5,FALSE)</f>
        <v>2200</v>
      </c>
      <c r="J30" s="44">
        <f t="shared" si="101"/>
        <v>103.4</v>
      </c>
      <c r="K30" s="45">
        <f>VLOOKUP(H30,DaysSince100!C:G,5,FALSE)</f>
        <v>1.2753665346890597</v>
      </c>
      <c r="L30" s="58">
        <f t="shared" ref="L30:L56" si="103">LOG((O30/J30),K30)</f>
        <v>9.1269001317879859</v>
      </c>
      <c r="M30" s="46">
        <v>11</v>
      </c>
      <c r="N30" s="47">
        <f t="shared" ref="N30:N55" si="104">VLOOKUP(H30,$S$29:$T$263,2,FALSE)</f>
        <v>8654622</v>
      </c>
      <c r="O30" s="49">
        <f t="shared" si="102"/>
        <v>952.00842000000011</v>
      </c>
      <c r="S30" s="19" t="s">
        <v>84</v>
      </c>
      <c r="T30" s="31">
        <v>1380004385</v>
      </c>
      <c r="W30" s="29"/>
      <c r="X30" s="22"/>
      <c r="AI30" s="32"/>
      <c r="AJ30" s="33"/>
      <c r="AK30" s="34"/>
      <c r="AL30" s="33"/>
      <c r="AM30" s="33"/>
      <c r="AN30" s="34"/>
      <c r="AO30" s="34"/>
      <c r="AP30" s="35"/>
      <c r="AQ30" s="32"/>
    </row>
    <row r="31" spans="2:248" ht="15" thickBot="1" x14ac:dyDescent="0.35">
      <c r="H31" s="48" t="s">
        <v>85</v>
      </c>
      <c r="I31" s="44">
        <f>VLOOKUP(H31,'100thDay'!B:F,5,FALSE)</f>
        <v>27980</v>
      </c>
      <c r="J31" s="44">
        <f t="shared" si="101"/>
        <v>1315.06</v>
      </c>
      <c r="K31" s="45">
        <f>VLOOKUP(H31,DaysSince100!C:G,5,FALSE)</f>
        <v>1.1755794688665722</v>
      </c>
      <c r="L31" s="58">
        <f t="shared" si="103"/>
        <v>10.810308368631901</v>
      </c>
      <c r="M31" s="46">
        <v>12.5</v>
      </c>
      <c r="N31" s="47">
        <f t="shared" si="104"/>
        <v>60461826</v>
      </c>
      <c r="O31" s="49">
        <f t="shared" si="102"/>
        <v>7557.7282499999992</v>
      </c>
      <c r="S31" s="19" t="s">
        <v>65</v>
      </c>
      <c r="T31" s="31">
        <v>331002651</v>
      </c>
      <c r="W31" s="29"/>
      <c r="X31" s="22"/>
      <c r="AI31" s="32"/>
      <c r="AJ31" s="33"/>
      <c r="AK31" s="34"/>
      <c r="AL31" s="33"/>
      <c r="AM31" s="33"/>
      <c r="AN31" s="34"/>
      <c r="AO31" s="34"/>
      <c r="AP31" s="35"/>
      <c r="AQ31" s="32"/>
    </row>
    <row r="32" spans="2:248" ht="15" thickBot="1" x14ac:dyDescent="0.35">
      <c r="B32" s="22"/>
      <c r="H32" s="48" t="s">
        <v>119</v>
      </c>
      <c r="I32" s="44">
        <f>VLOOKUP(H32,'100thDay'!B:F,5,FALSE)</f>
        <v>180</v>
      </c>
      <c r="J32" s="44">
        <f t="shared" si="101"/>
        <v>8.4600000000000009</v>
      </c>
      <c r="K32" s="45">
        <f>VLOOKUP(H32,DaysSince100!C:G,5,FALSE)</f>
        <v>1.1181164992088892</v>
      </c>
      <c r="L32" s="58">
        <f t="shared" si="103"/>
        <v>11.647124537883489</v>
      </c>
      <c r="M32" s="46">
        <v>9.1</v>
      </c>
      <c r="N32" s="47">
        <f t="shared" si="104"/>
        <v>341243</v>
      </c>
      <c r="O32" s="49">
        <f t="shared" si="102"/>
        <v>31.053113</v>
      </c>
      <c r="S32" s="19" t="s">
        <v>134</v>
      </c>
      <c r="T32" s="31">
        <v>273523615</v>
      </c>
      <c r="W32" s="29"/>
      <c r="X32" s="22"/>
      <c r="AI32" s="32"/>
      <c r="AJ32" s="33"/>
      <c r="AK32" s="34"/>
      <c r="AL32" s="33"/>
      <c r="AM32" s="33"/>
      <c r="AN32" s="34"/>
      <c r="AO32" s="34"/>
      <c r="AP32" s="35"/>
      <c r="AQ32" s="32"/>
    </row>
    <row r="33" spans="2:43" ht="15" thickBot="1" x14ac:dyDescent="0.35">
      <c r="B33" s="25"/>
      <c r="H33" s="48" t="s">
        <v>112</v>
      </c>
      <c r="I33" s="44">
        <f>VLOOKUP(H33,'100thDay'!B:F,5,FALSE)</f>
        <v>1333</v>
      </c>
      <c r="J33" s="44">
        <f t="shared" si="101"/>
        <v>62.651000000000003</v>
      </c>
      <c r="K33" s="45">
        <f>VLOOKUP(H33,DaysSince100!C:G,5,FALSE)</f>
        <v>1.1738856483893008</v>
      </c>
      <c r="L33" s="58">
        <f t="shared" si="103"/>
        <v>12.068238745730117</v>
      </c>
      <c r="M33" s="46">
        <v>8</v>
      </c>
      <c r="N33" s="47">
        <f t="shared" si="104"/>
        <v>5421241</v>
      </c>
      <c r="O33" s="49">
        <f t="shared" si="102"/>
        <v>433.69927999999999</v>
      </c>
      <c r="S33" s="19" t="s">
        <v>107</v>
      </c>
      <c r="T33" s="31">
        <v>220892340</v>
      </c>
      <c r="W33" s="36"/>
      <c r="X33" s="22"/>
      <c r="AI33" s="32"/>
      <c r="AJ33" s="33"/>
      <c r="AK33" s="34"/>
      <c r="AL33" s="33"/>
      <c r="AM33" s="33"/>
      <c r="AN33" s="34"/>
      <c r="AO33" s="34"/>
      <c r="AP33" s="35"/>
      <c r="AQ33" s="32"/>
    </row>
    <row r="34" spans="2:43" ht="15" thickBot="1" x14ac:dyDescent="0.35">
      <c r="B34" s="25"/>
      <c r="H34" s="48" t="s">
        <v>105</v>
      </c>
      <c r="I34" s="44">
        <f>VLOOKUP(H34,'100thDay'!B:F,5,FALSE)</f>
        <v>1018</v>
      </c>
      <c r="J34" s="44">
        <f t="shared" si="101"/>
        <v>47.846000000000004</v>
      </c>
      <c r="K34" s="45">
        <f>VLOOKUP(H34,DaysSince100!C:G,5,FALSE)</f>
        <v>1.3285029838381177</v>
      </c>
      <c r="L34" s="58">
        <f t="shared" si="103"/>
        <v>13.076595769312538</v>
      </c>
      <c r="M34" s="46">
        <v>21.8</v>
      </c>
      <c r="N34" s="47">
        <f t="shared" si="104"/>
        <v>9006398</v>
      </c>
      <c r="O34" s="49">
        <f t="shared" si="102"/>
        <v>1963.3947640000001</v>
      </c>
      <c r="S34" s="19" t="s">
        <v>108</v>
      </c>
      <c r="T34" s="31">
        <v>212559417</v>
      </c>
      <c r="W34" s="29"/>
      <c r="X34" s="22"/>
      <c r="AI34" s="32"/>
      <c r="AJ34" s="33"/>
      <c r="AK34" s="34"/>
      <c r="AL34" s="33"/>
      <c r="AM34" s="33"/>
      <c r="AN34" s="34"/>
      <c r="AO34" s="34"/>
      <c r="AP34" s="35"/>
      <c r="AQ34" s="32"/>
    </row>
    <row r="35" spans="2:43" ht="15" thickBot="1" x14ac:dyDescent="0.35">
      <c r="H35" s="48" t="s">
        <v>116</v>
      </c>
      <c r="I35" s="44">
        <f>VLOOKUP(H35,'100thDay'!B:F,5,FALSE)</f>
        <v>1414</v>
      </c>
      <c r="J35" s="44">
        <f t="shared" si="101"/>
        <v>66.457999999999998</v>
      </c>
      <c r="K35" s="45">
        <f>VLOOKUP(H35,DaysSince100!C:G,5,FALSE)</f>
        <v>1.2765307464354396</v>
      </c>
      <c r="L35" s="58">
        <f t="shared" si="103"/>
        <v>11.482588676558668</v>
      </c>
      <c r="M35" s="46">
        <v>6.4</v>
      </c>
      <c r="N35" s="47">
        <f t="shared" si="104"/>
        <v>17134872</v>
      </c>
      <c r="O35" s="49">
        <f t="shared" si="102"/>
        <v>1096.6318079999999</v>
      </c>
      <c r="S35" s="19" t="s">
        <v>123</v>
      </c>
      <c r="T35" s="31">
        <v>206139589</v>
      </c>
      <c r="W35" s="29"/>
      <c r="X35" s="22"/>
      <c r="AI35" s="32"/>
      <c r="AJ35" s="33"/>
      <c r="AK35" s="34"/>
      <c r="AL35" s="33"/>
      <c r="AM35" s="33"/>
      <c r="AN35" s="34"/>
      <c r="AO35" s="34"/>
      <c r="AP35" s="35"/>
      <c r="AQ35" s="32"/>
    </row>
    <row r="36" spans="2:43" ht="15" thickBot="1" x14ac:dyDescent="0.35">
      <c r="H36" s="48" t="s">
        <v>114</v>
      </c>
      <c r="I36" s="44">
        <f>VLOOKUP(H36,'100thDay'!B:F,5,FALSE)</f>
        <v>932</v>
      </c>
      <c r="J36" s="44">
        <f t="shared" si="101"/>
        <v>43.804000000000002</v>
      </c>
      <c r="K36" s="45">
        <f>VLOOKUP(H36,DaysSince100!C:G,5,FALSE)</f>
        <v>1.1598627167098035</v>
      </c>
      <c r="L36" s="58">
        <f t="shared" si="103"/>
        <v>14.709748714960632</v>
      </c>
      <c r="M36" s="46">
        <v>6.7</v>
      </c>
      <c r="N36" s="47">
        <f t="shared" si="104"/>
        <v>5792202</v>
      </c>
      <c r="O36" s="49">
        <f t="shared" si="102"/>
        <v>388.07753400000001</v>
      </c>
      <c r="S36" s="19" t="s">
        <v>229</v>
      </c>
      <c r="T36" s="31">
        <v>164689383</v>
      </c>
      <c r="W36" s="29"/>
      <c r="X36" s="22"/>
      <c r="AI36" s="32"/>
      <c r="AJ36" s="33"/>
      <c r="AK36" s="33"/>
      <c r="AL36" s="33"/>
      <c r="AM36" s="33"/>
      <c r="AN36" s="34"/>
      <c r="AO36" s="34"/>
      <c r="AP36" s="35"/>
      <c r="AQ36" s="32"/>
    </row>
    <row r="37" spans="2:43" ht="15" thickBot="1" x14ac:dyDescent="0.35">
      <c r="H37" s="48" t="s">
        <v>90</v>
      </c>
      <c r="I37" s="44">
        <f>VLOOKUP(H37,'100thDay'!B:F,5,FALSE)</f>
        <v>1058</v>
      </c>
      <c r="J37" s="44">
        <f t="shared" si="101"/>
        <v>49.725999999999999</v>
      </c>
      <c r="K37" s="45">
        <f>VLOOKUP(H37,DaysSince100!C:G,5,FALSE)</f>
        <v>1.2750029920353119</v>
      </c>
      <c r="L37" s="58">
        <f t="shared" si="103"/>
        <v>14.869348934572644</v>
      </c>
      <c r="M37" s="46">
        <v>15.9</v>
      </c>
      <c r="N37" s="47">
        <f t="shared" si="104"/>
        <v>11589623</v>
      </c>
      <c r="O37" s="49">
        <f t="shared" si="102"/>
        <v>1842.7500570000002</v>
      </c>
      <c r="S37" s="19" t="s">
        <v>372</v>
      </c>
      <c r="T37" s="31">
        <v>145934462</v>
      </c>
      <c r="W37" s="29"/>
      <c r="X37" s="22"/>
      <c r="AI37" s="32"/>
      <c r="AJ37" s="33"/>
      <c r="AK37" s="34"/>
      <c r="AL37" s="33"/>
      <c r="AM37" s="33"/>
      <c r="AN37" s="34"/>
      <c r="AO37" s="34"/>
      <c r="AP37" s="35"/>
      <c r="AQ37" s="32"/>
    </row>
    <row r="38" spans="2:43" ht="15" thickBot="1" x14ac:dyDescent="0.35">
      <c r="H38" s="48" t="s">
        <v>68</v>
      </c>
      <c r="I38" s="44">
        <f>VLOOKUP(H38,'100thDay'!B:F,5,FALSE)</f>
        <v>6650</v>
      </c>
      <c r="J38" s="44">
        <f t="shared" si="101"/>
        <v>312.55</v>
      </c>
      <c r="K38" s="45">
        <f>VLOOKUP(H38,DaysSince100!C:G,5,FALSE)</f>
        <v>1.2377563713098563</v>
      </c>
      <c r="L38" s="58">
        <f t="shared" si="103"/>
        <v>14.943303409958713</v>
      </c>
      <c r="M38" s="46">
        <v>11.6</v>
      </c>
      <c r="N38" s="47">
        <f t="shared" si="104"/>
        <v>65273511</v>
      </c>
      <c r="O38" s="49">
        <f t="shared" si="102"/>
        <v>7571.7272759999996</v>
      </c>
      <c r="S38" s="19" t="s">
        <v>121</v>
      </c>
      <c r="T38" s="31">
        <v>128932753</v>
      </c>
      <c r="W38" s="29"/>
      <c r="X38" s="22"/>
      <c r="AI38" s="32"/>
      <c r="AJ38" s="33"/>
      <c r="AK38" s="34"/>
      <c r="AL38" s="33"/>
      <c r="AM38" s="33"/>
      <c r="AN38" s="34"/>
      <c r="AO38" s="34"/>
      <c r="AP38" s="35"/>
      <c r="AQ38" s="32"/>
    </row>
    <row r="39" spans="2:43" ht="15" thickBot="1" x14ac:dyDescent="0.35">
      <c r="H39" s="50" t="s">
        <v>135</v>
      </c>
      <c r="I39" s="44">
        <f>VLOOKUP(H39,'100thDay'!B:F,5,FALSE)</f>
        <v>331</v>
      </c>
      <c r="J39" s="44">
        <f t="shared" si="101"/>
        <v>15.557</v>
      </c>
      <c r="K39" s="45">
        <f>VLOOKUP(H39,DaysSince100!C:G,5,FALSE)</f>
        <v>1.2420011392934649</v>
      </c>
      <c r="L39" s="58">
        <f t="shared" si="103"/>
        <v>15.296992758342103</v>
      </c>
      <c r="M39" s="46">
        <v>4.2</v>
      </c>
      <c r="N39" s="47">
        <f t="shared" si="104"/>
        <v>10196709</v>
      </c>
      <c r="O39" s="49">
        <f t="shared" si="102"/>
        <v>428.26177799999999</v>
      </c>
      <c r="S39" s="19" t="s">
        <v>63</v>
      </c>
      <c r="T39" s="31">
        <v>126476461</v>
      </c>
      <c r="AI39" s="32"/>
      <c r="AJ39" s="33"/>
      <c r="AK39" s="34"/>
      <c r="AL39" s="33"/>
      <c r="AM39" s="33"/>
      <c r="AN39" s="34"/>
      <c r="AO39" s="34"/>
      <c r="AP39" s="35"/>
      <c r="AQ39" s="32"/>
    </row>
    <row r="40" spans="2:43" ht="15" thickBot="1" x14ac:dyDescent="0.35">
      <c r="H40" s="48" t="s">
        <v>86</v>
      </c>
      <c r="I40" s="44">
        <f>VLOOKUP(H40,'100thDay'!B:F,5,FALSE)</f>
        <v>1103</v>
      </c>
      <c r="J40" s="44">
        <f t="shared" si="101"/>
        <v>51.841000000000001</v>
      </c>
      <c r="K40" s="45">
        <f>VLOOKUP(H40,DaysSince100!C:G,5,FALSE)</f>
        <v>1.1714428382870514</v>
      </c>
      <c r="L40" s="58">
        <f t="shared" si="103"/>
        <v>15.32345038691809</v>
      </c>
      <c r="M40" s="46">
        <v>5.8</v>
      </c>
      <c r="N40" s="47">
        <f t="shared" si="104"/>
        <v>10099265</v>
      </c>
      <c r="O40" s="49">
        <f t="shared" si="102"/>
        <v>585.75736999999992</v>
      </c>
      <c r="S40" s="19" t="s">
        <v>447</v>
      </c>
      <c r="T40" s="31">
        <v>114963588</v>
      </c>
      <c r="AI40" s="32"/>
      <c r="AJ40" s="33"/>
      <c r="AK40" s="34"/>
      <c r="AL40" s="33"/>
      <c r="AM40" s="33"/>
      <c r="AN40" s="34"/>
      <c r="AO40" s="34"/>
      <c r="AP40" s="35"/>
      <c r="AQ40" s="32"/>
    </row>
    <row r="41" spans="2:43" ht="15" thickBot="1" x14ac:dyDescent="0.35">
      <c r="H41" s="48" t="s">
        <v>80</v>
      </c>
      <c r="I41" s="44">
        <f>VLOOKUP(H41,'100thDay'!B:F,5,FALSE)</f>
        <v>7272</v>
      </c>
      <c r="J41" s="44">
        <f t="shared" si="101"/>
        <v>341.78399999999999</v>
      </c>
      <c r="K41" s="45">
        <f>VLOOKUP(H41,DaysSince100!C:G,5,FALSE)</f>
        <v>1.3068179764971626</v>
      </c>
      <c r="L41" s="58">
        <f t="shared" si="103"/>
        <v>15.959990686868441</v>
      </c>
      <c r="M41" s="46">
        <v>29.2</v>
      </c>
      <c r="N41" s="47">
        <f t="shared" si="104"/>
        <v>83783942</v>
      </c>
      <c r="O41" s="49">
        <f t="shared" si="102"/>
        <v>24464.911064</v>
      </c>
      <c r="S41" s="19" t="s">
        <v>83</v>
      </c>
      <c r="T41" s="31">
        <v>109581078</v>
      </c>
      <c r="AI41" s="32"/>
      <c r="AJ41" s="33"/>
      <c r="AK41" s="34"/>
      <c r="AL41" s="33"/>
      <c r="AM41" s="33"/>
      <c r="AN41" s="34"/>
      <c r="AO41" s="34"/>
      <c r="AP41" s="35"/>
      <c r="AQ41" s="32"/>
    </row>
    <row r="42" spans="2:43" ht="15" thickBot="1" x14ac:dyDescent="0.35">
      <c r="H42" s="48" t="s">
        <v>377</v>
      </c>
      <c r="I42" s="44">
        <f>VLOOKUP(H42,'100thDay'!B:F,5,FALSE)</f>
        <v>1950</v>
      </c>
      <c r="J42" s="44">
        <f t="shared" si="101"/>
        <v>91.65</v>
      </c>
      <c r="K42" s="45">
        <f>VLOOKUP(H42,DaysSince100!C:G,5,FALSE)</f>
        <v>1.2700959171475079</v>
      </c>
      <c r="L42" s="58">
        <f t="shared" si="103"/>
        <v>16.267800166248502</v>
      </c>
      <c r="M42" s="46">
        <v>6.6</v>
      </c>
      <c r="N42" s="47">
        <f t="shared" si="104"/>
        <v>67886011</v>
      </c>
      <c r="O42" s="49">
        <f t="shared" si="102"/>
        <v>4480.4767259999999</v>
      </c>
      <c r="S42" s="19" t="s">
        <v>92</v>
      </c>
      <c r="T42" s="31">
        <v>102334404</v>
      </c>
      <c r="AI42" s="32"/>
      <c r="AJ42" s="33"/>
      <c r="AK42" s="34"/>
      <c r="AL42" s="33"/>
      <c r="AM42" s="33"/>
      <c r="AN42" s="34"/>
      <c r="AO42" s="34"/>
      <c r="AP42" s="35"/>
      <c r="AQ42" s="32"/>
    </row>
    <row r="43" spans="2:43" ht="15" thickBot="1" x14ac:dyDescent="0.35">
      <c r="H43" s="48" t="s">
        <v>168</v>
      </c>
      <c r="I43" s="44">
        <f>VLOOKUP(H43,'100thDay'!B:F,5,FALSE)</f>
        <v>253</v>
      </c>
      <c r="J43" s="44">
        <f t="shared" si="101"/>
        <v>11.891</v>
      </c>
      <c r="K43" s="45">
        <f>VLOOKUP(H43,DaysSince100!C:G,5,FALSE)</f>
        <v>1.124036157636529</v>
      </c>
      <c r="L43" s="58">
        <f t="shared" si="103"/>
        <v>20.653747818482096</v>
      </c>
      <c r="M43" s="46">
        <v>6.4</v>
      </c>
      <c r="N43" s="47">
        <f t="shared" si="104"/>
        <v>2078938</v>
      </c>
      <c r="O43" s="49">
        <f t="shared" si="102"/>
        <v>133.05203200000003</v>
      </c>
      <c r="S43" s="19" t="s">
        <v>371</v>
      </c>
      <c r="T43" s="31">
        <v>97338579</v>
      </c>
      <c r="AI43" s="32"/>
      <c r="AJ43" s="33"/>
      <c r="AK43" s="34"/>
      <c r="AL43" s="33"/>
      <c r="AM43" s="33"/>
      <c r="AN43" s="34"/>
      <c r="AO43" s="34"/>
      <c r="AP43" s="35"/>
      <c r="AQ43" s="32"/>
    </row>
    <row r="44" spans="2:43" ht="15" thickBot="1" x14ac:dyDescent="0.35">
      <c r="H44" s="48" t="s">
        <v>65</v>
      </c>
      <c r="I44" s="44">
        <f>VLOOKUP(H44,'100thDay'!B:F,5,FALSE)</f>
        <v>4632</v>
      </c>
      <c r="J44" s="44">
        <f t="shared" si="101"/>
        <v>217.70400000000001</v>
      </c>
      <c r="K44" s="45">
        <f>VLOOKUP(H44,DaysSince100!C:G,5,FALSE)</f>
        <v>1.2920457995100529</v>
      </c>
      <c r="L44" s="58">
        <f t="shared" si="103"/>
        <v>23.803760509964828</v>
      </c>
      <c r="M44" s="46">
        <v>29.3</v>
      </c>
      <c r="N44" s="47">
        <f t="shared" si="104"/>
        <v>331002651</v>
      </c>
      <c r="O44" s="49">
        <f t="shared" si="102"/>
        <v>96983.776743000009</v>
      </c>
      <c r="S44" s="19" t="s">
        <v>522</v>
      </c>
      <c r="T44" s="31">
        <v>89561403</v>
      </c>
      <c r="AI44" s="32"/>
      <c r="AJ44" s="33"/>
      <c r="AK44" s="34"/>
      <c r="AL44" s="33"/>
      <c r="AM44" s="33"/>
      <c r="AN44" s="34"/>
      <c r="AO44" s="34"/>
      <c r="AP44" s="35"/>
      <c r="AQ44" s="32"/>
    </row>
    <row r="45" spans="2:43" ht="15" thickBot="1" x14ac:dyDescent="0.35">
      <c r="H45" s="48" t="s">
        <v>115</v>
      </c>
      <c r="I45" s="44">
        <f>VLOOKUP(H45,'100thDay'!B:F,5,FALSE)</f>
        <v>205</v>
      </c>
      <c r="J45" s="44">
        <f t="shared" si="101"/>
        <v>9.6349999999999998</v>
      </c>
      <c r="K45" s="45">
        <f>VLOOKUP(H45,DaysSince100!C:G,5,FALSE)</f>
        <v>1.1225642419753035</v>
      </c>
      <c r="L45" s="58">
        <f t="shared" si="103"/>
        <v>25.954761934660244</v>
      </c>
      <c r="M45" s="46">
        <v>14.6</v>
      </c>
      <c r="N45" s="47">
        <f t="shared" si="104"/>
        <v>1326535</v>
      </c>
      <c r="O45" s="49">
        <f t="shared" si="102"/>
        <v>193.67410999999998</v>
      </c>
      <c r="S45" s="19" t="s">
        <v>383</v>
      </c>
      <c r="T45" s="31">
        <v>84339067</v>
      </c>
      <c r="AI45" s="32"/>
      <c r="AJ45" s="33"/>
      <c r="AK45" s="34"/>
      <c r="AL45" s="33"/>
      <c r="AM45" s="33"/>
      <c r="AN45" s="34"/>
      <c r="AO45" s="34"/>
      <c r="AP45" s="35"/>
      <c r="AQ45" s="32"/>
    </row>
    <row r="46" spans="2:43" ht="15" thickBot="1" x14ac:dyDescent="0.35">
      <c r="H46" s="48" t="s">
        <v>81</v>
      </c>
      <c r="I46" s="44">
        <f>VLOOKUP(H46,'100thDay'!B:F,5,FALSE)</f>
        <v>277</v>
      </c>
      <c r="J46" s="44">
        <f t="shared" si="101"/>
        <v>13.019</v>
      </c>
      <c r="K46" s="45">
        <f>VLOOKUP(H46,DaysSince100!C:G,5,FALSE)</f>
        <v>1.1231289301558662</v>
      </c>
      <c r="L46" s="58">
        <f t="shared" si="103"/>
        <v>28.045394253074122</v>
      </c>
      <c r="M46" s="46">
        <v>6.1</v>
      </c>
      <c r="N46" s="47">
        <f t="shared" si="104"/>
        <v>5540720</v>
      </c>
      <c r="O46" s="49">
        <f t="shared" si="102"/>
        <v>337.98392000000001</v>
      </c>
      <c r="S46" s="19" t="s">
        <v>366</v>
      </c>
      <c r="T46" s="31">
        <v>83992949</v>
      </c>
      <c r="AI46" s="32"/>
      <c r="AJ46" s="33"/>
      <c r="AK46" s="34"/>
      <c r="AL46" s="33"/>
      <c r="AM46" s="33"/>
      <c r="AN46" s="34"/>
      <c r="AO46" s="34"/>
      <c r="AP46" s="35"/>
      <c r="AQ46" s="32"/>
    </row>
    <row r="47" spans="2:43" ht="15" thickBot="1" x14ac:dyDescent="0.35">
      <c r="H47" s="48" t="s">
        <v>110</v>
      </c>
      <c r="I47" s="44">
        <f>VLOOKUP(H47,'100thDay'!B:F,5,FALSE)</f>
        <v>331</v>
      </c>
      <c r="J47" s="44">
        <f t="shared" si="101"/>
        <v>15.557</v>
      </c>
      <c r="K47" s="45">
        <f>VLOOKUP(H47,DaysSince100!C:G,5,FALSE)</f>
        <v>1.117415981839982</v>
      </c>
      <c r="L47" s="58">
        <f t="shared" si="103"/>
        <v>33.272310004861687</v>
      </c>
      <c r="M47" s="46">
        <v>6</v>
      </c>
      <c r="N47" s="47">
        <f t="shared" si="104"/>
        <v>10423054</v>
      </c>
      <c r="O47" s="49">
        <f t="shared" si="102"/>
        <v>625.38324</v>
      </c>
      <c r="S47" s="19" t="s">
        <v>80</v>
      </c>
      <c r="T47" s="31">
        <v>83783942</v>
      </c>
      <c r="AI47" s="32"/>
      <c r="AJ47" s="33"/>
      <c r="AK47" s="34"/>
      <c r="AL47" s="33"/>
      <c r="AM47" s="33"/>
      <c r="AN47" s="34"/>
      <c r="AO47" s="34"/>
      <c r="AP47" s="35"/>
      <c r="AQ47" s="32"/>
    </row>
    <row r="48" spans="2:43" ht="15" thickBot="1" x14ac:dyDescent="0.35">
      <c r="H48" s="48" t="s">
        <v>164</v>
      </c>
      <c r="I48" s="44">
        <f>VLOOKUP(H48,'100thDay'!B:F,5,FALSE)</f>
        <v>177</v>
      </c>
      <c r="J48" s="44">
        <f t="shared" si="101"/>
        <v>8.3190000000000008</v>
      </c>
      <c r="K48" s="45">
        <f>VLOOKUP(H48,DaysSince100!C:G,5,FALSE)</f>
        <v>1.114364345771842</v>
      </c>
      <c r="L48" s="58">
        <f t="shared" si="103"/>
        <v>53.092774404916234</v>
      </c>
      <c r="M48" s="46">
        <v>6.9</v>
      </c>
      <c r="N48" s="47">
        <f t="shared" si="104"/>
        <v>37846611</v>
      </c>
      <c r="O48" s="49">
        <f t="shared" si="102"/>
        <v>2611.4161590000003</v>
      </c>
      <c r="S48" s="19" t="s">
        <v>62</v>
      </c>
      <c r="T48" s="31">
        <v>69799978</v>
      </c>
      <c r="AI48" s="32"/>
      <c r="AJ48" s="33"/>
      <c r="AK48" s="34"/>
      <c r="AL48" s="33"/>
      <c r="AM48" s="33"/>
      <c r="AN48" s="34"/>
      <c r="AO48" s="34"/>
      <c r="AP48" s="35"/>
      <c r="AQ48" s="32"/>
    </row>
    <row r="49" spans="8:43" ht="15" thickBot="1" x14ac:dyDescent="0.35">
      <c r="H49" s="48" t="s">
        <v>125</v>
      </c>
      <c r="I49" s="44">
        <f>VLOOKUP(H49,'100thDay'!B:F,5,FALSE)</f>
        <v>169</v>
      </c>
      <c r="J49" s="44">
        <f t="shared" si="101"/>
        <v>7.9429999999999996</v>
      </c>
      <c r="K49" s="45">
        <f>VLOOKUP(H49,DaysSince100!C:G,5,FALSE)</f>
        <v>1.0555028222060503</v>
      </c>
      <c r="L49" s="58">
        <f t="shared" si="103"/>
        <v>68.478355625581656</v>
      </c>
      <c r="M49" s="46">
        <v>6.5</v>
      </c>
      <c r="N49" s="47">
        <f t="shared" si="104"/>
        <v>4937786</v>
      </c>
      <c r="O49" s="49">
        <f t="shared" si="102"/>
        <v>320.95609000000002</v>
      </c>
      <c r="S49" s="19" t="s">
        <v>377</v>
      </c>
      <c r="T49" s="31">
        <v>67886011</v>
      </c>
      <c r="AI49" s="32"/>
      <c r="AJ49" s="33"/>
      <c r="AK49" s="34"/>
      <c r="AL49" s="33"/>
      <c r="AM49" s="33"/>
      <c r="AN49" s="34"/>
      <c r="AO49" s="34"/>
      <c r="AP49" s="35"/>
      <c r="AQ49" s="32"/>
    </row>
    <row r="50" spans="8:43" ht="15" thickBot="1" x14ac:dyDescent="0.35">
      <c r="H50" s="48" t="s">
        <v>126</v>
      </c>
      <c r="I50" s="44">
        <f>VLOOKUP(H50,'100thDay'!B:F,5,FALSE)</f>
        <v>77</v>
      </c>
      <c r="J50" s="44">
        <f t="shared" si="101"/>
        <v>3.6190000000000002</v>
      </c>
      <c r="K50" s="45" t="e">
        <f>VLOOKUP(H50,DaysSince100!C:G,5,FALSE)</f>
        <v>#N/A</v>
      </c>
      <c r="L50" s="58" t="e">
        <f t="shared" si="103"/>
        <v>#N/A</v>
      </c>
      <c r="M50" s="46">
        <v>24.8</v>
      </c>
      <c r="N50" s="47">
        <f t="shared" si="104"/>
        <v>625978</v>
      </c>
      <c r="O50" s="49">
        <f t="shared" si="102"/>
        <v>155.24254400000001</v>
      </c>
      <c r="S50" s="19" t="s">
        <v>68</v>
      </c>
      <c r="T50" s="31">
        <v>65273511</v>
      </c>
      <c r="AI50" s="32"/>
      <c r="AJ50" s="33"/>
      <c r="AK50" s="34"/>
      <c r="AL50" s="33"/>
      <c r="AM50" s="33"/>
      <c r="AN50" s="34"/>
      <c r="AO50" s="34"/>
      <c r="AP50" s="35"/>
      <c r="AQ50" s="32"/>
    </row>
    <row r="51" spans="8:43" ht="15" thickBot="1" x14ac:dyDescent="0.35">
      <c r="H51" s="48" t="s">
        <v>120</v>
      </c>
      <c r="I51" s="44">
        <f>VLOOKUP(H51,'100thDay'!B:F,5,FALSE)</f>
        <v>17</v>
      </c>
      <c r="J51" s="44">
        <f t="shared" si="101"/>
        <v>0.79900000000000004</v>
      </c>
      <c r="K51" s="45" t="e">
        <f>VLOOKUP(H51,DaysSince100!C:G,5,FALSE)</f>
        <v>#N/A</v>
      </c>
      <c r="L51" s="58" t="e">
        <f t="shared" si="103"/>
        <v>#N/A</v>
      </c>
      <c r="M51" s="46">
        <v>15.5</v>
      </c>
      <c r="N51" s="47">
        <f t="shared" si="104"/>
        <v>2722289</v>
      </c>
      <c r="O51" s="49">
        <f t="shared" si="102"/>
        <v>421.95479499999999</v>
      </c>
      <c r="S51" s="19" t="s">
        <v>85</v>
      </c>
      <c r="T51" s="31">
        <v>60461826</v>
      </c>
      <c r="AI51" s="32"/>
      <c r="AJ51" s="33"/>
      <c r="AK51" s="34"/>
      <c r="AL51" s="33"/>
      <c r="AM51" s="33"/>
      <c r="AN51" s="34"/>
      <c r="AO51" s="34"/>
      <c r="AP51" s="35"/>
      <c r="AQ51" s="32"/>
    </row>
    <row r="52" spans="8:43" ht="15" thickBot="1" x14ac:dyDescent="0.35">
      <c r="H52" s="48" t="s">
        <v>159</v>
      </c>
      <c r="I52" s="44">
        <f>VLOOKUP(H52,'100thDay'!B:F,5,FALSE)</f>
        <v>39</v>
      </c>
      <c r="J52" s="44">
        <f t="shared" si="101"/>
        <v>1.833</v>
      </c>
      <c r="K52" s="45" t="e">
        <f>VLOOKUP(H52,DaysSince100!C:G,5,FALSE)</f>
        <v>#N/A</v>
      </c>
      <c r="L52" s="58" t="e">
        <f t="shared" si="103"/>
        <v>#N/A</v>
      </c>
      <c r="M52" s="46">
        <v>13.8</v>
      </c>
      <c r="N52" s="47">
        <f t="shared" si="104"/>
        <v>9660351</v>
      </c>
      <c r="O52" s="49">
        <f t="shared" si="102"/>
        <v>1333.128438</v>
      </c>
      <c r="S52" s="19" t="s">
        <v>511</v>
      </c>
      <c r="T52" s="31">
        <v>59734218</v>
      </c>
      <c r="AI52" s="32"/>
      <c r="AJ52" s="33"/>
      <c r="AK52" s="34"/>
      <c r="AL52" s="33"/>
      <c r="AM52" s="33"/>
      <c r="AN52" s="34"/>
      <c r="AO52" s="34"/>
      <c r="AP52" s="35"/>
      <c r="AQ52" s="32"/>
    </row>
    <row r="53" spans="8:43" ht="15" thickBot="1" x14ac:dyDescent="0.35">
      <c r="H53" s="48" t="s">
        <v>521</v>
      </c>
      <c r="I53" s="44">
        <f>VLOOKUP(H53,'100thDay'!B:F,5,FALSE)</f>
        <v>298</v>
      </c>
      <c r="J53" s="44">
        <f t="shared" si="101"/>
        <v>14.006</v>
      </c>
      <c r="K53" s="45" t="e">
        <f>VLOOKUP(H53,DaysSince100!C:G,5,FALSE)</f>
        <v>#N/A</v>
      </c>
      <c r="L53" s="58" t="e">
        <f t="shared" si="103"/>
        <v>#N/A</v>
      </c>
      <c r="M53" s="46">
        <v>11.6</v>
      </c>
      <c r="N53" s="47">
        <f t="shared" si="104"/>
        <v>10708981</v>
      </c>
      <c r="O53" s="49">
        <f t="shared" si="102"/>
        <v>1242.241796</v>
      </c>
      <c r="S53" s="19" t="s">
        <v>172</v>
      </c>
      <c r="T53" s="31">
        <v>59308690</v>
      </c>
      <c r="AI53" s="32"/>
      <c r="AJ53" s="33"/>
      <c r="AK53" s="34"/>
      <c r="AL53" s="33"/>
      <c r="AM53" s="33"/>
      <c r="AN53" s="34"/>
      <c r="AO53" s="34"/>
      <c r="AP53" s="35"/>
      <c r="AQ53" s="32"/>
    </row>
    <row r="54" spans="8:43" ht="15" thickBot="1" x14ac:dyDescent="0.35">
      <c r="H54" s="48" t="s">
        <v>138</v>
      </c>
      <c r="I54" s="44">
        <f>VLOOKUP(H54,'100thDay'!B:F,5,FALSE)</f>
        <v>34</v>
      </c>
      <c r="J54" s="44">
        <f t="shared" si="101"/>
        <v>1.5980000000000001</v>
      </c>
      <c r="K54" s="45" t="e">
        <f>VLOOKUP(H54,DaysSince100!C:G,5,FALSE)</f>
        <v>#N/A</v>
      </c>
      <c r="L54" s="58" t="e">
        <f t="shared" si="103"/>
        <v>#N/A</v>
      </c>
      <c r="M54" s="46">
        <v>9.6999999999999993</v>
      </c>
      <c r="N54" s="47">
        <f t="shared" si="104"/>
        <v>1886198</v>
      </c>
      <c r="O54" s="49">
        <f t="shared" si="102"/>
        <v>182.96120599999998</v>
      </c>
      <c r="S54" s="19" t="s">
        <v>523</v>
      </c>
      <c r="T54" s="31">
        <v>54409800</v>
      </c>
      <c r="AI54" s="32"/>
      <c r="AJ54" s="33"/>
      <c r="AK54" s="34"/>
      <c r="AL54" s="33"/>
      <c r="AM54" s="33"/>
      <c r="AN54" s="34"/>
      <c r="AO54" s="34"/>
      <c r="AP54" s="35"/>
      <c r="AQ54" s="32"/>
    </row>
    <row r="55" spans="8:43" ht="15" thickBot="1" x14ac:dyDescent="0.35">
      <c r="H55" s="48" t="s">
        <v>189</v>
      </c>
      <c r="I55" s="44">
        <f>VLOOKUP(H55,'100thDay'!B:F,5,FALSE)</f>
        <v>63</v>
      </c>
      <c r="J55" s="44">
        <f t="shared" si="101"/>
        <v>2.9609999999999999</v>
      </c>
      <c r="K55" s="45" t="e">
        <f>VLOOKUP(H55,DaysSince100!C:G,5,FALSE)</f>
        <v>#N/A</v>
      </c>
      <c r="L55" s="58" t="e">
        <f t="shared" si="103"/>
        <v>#N/A</v>
      </c>
      <c r="M55" s="46">
        <v>9.1999999999999993</v>
      </c>
      <c r="N55" s="47">
        <f t="shared" si="104"/>
        <v>5459642</v>
      </c>
      <c r="O55" s="49">
        <f t="shared" si="102"/>
        <v>502.28706399999999</v>
      </c>
      <c r="S55" s="19" t="s">
        <v>451</v>
      </c>
      <c r="T55" s="31">
        <v>53771296</v>
      </c>
      <c r="AI55" s="32"/>
      <c r="AJ55" s="33"/>
      <c r="AK55" s="34"/>
      <c r="AL55" s="33"/>
      <c r="AM55" s="33"/>
      <c r="AN55" s="34"/>
      <c r="AO55" s="34"/>
      <c r="AP55" s="35"/>
      <c r="AQ55" s="32"/>
    </row>
    <row r="56" spans="8:43" ht="15" thickBot="1" x14ac:dyDescent="0.35">
      <c r="H56" s="51" t="s">
        <v>151</v>
      </c>
      <c r="I56" s="44">
        <f>VLOOKUP(H56,'100thDay'!B:F,5,FALSE)</f>
        <v>155</v>
      </c>
      <c r="J56" s="52">
        <f t="shared" si="101"/>
        <v>7.2850000000000001</v>
      </c>
      <c r="K56" s="53">
        <f>VLOOKUP(H56,DaysSince100!C:G,5,FALSE)</f>
        <v>1.2951522516054665</v>
      </c>
      <c r="L56" s="58">
        <f t="shared" si="103"/>
        <v>20.598688667075926</v>
      </c>
      <c r="M56" s="54"/>
      <c r="N56" s="54"/>
      <c r="O56" s="55">
        <v>1500</v>
      </c>
      <c r="S56" s="19" t="s">
        <v>516</v>
      </c>
      <c r="T56" s="31">
        <v>51269185</v>
      </c>
      <c r="AI56" s="32"/>
      <c r="AJ56" s="33"/>
      <c r="AK56" s="34"/>
      <c r="AL56" s="33"/>
      <c r="AM56" s="33"/>
      <c r="AN56" s="34"/>
      <c r="AO56" s="34"/>
      <c r="AP56" s="35"/>
      <c r="AQ56" s="32"/>
    </row>
    <row r="57" spans="8:43" ht="15" thickBot="1" x14ac:dyDescent="0.35">
      <c r="H57" s="50" t="s">
        <v>63</v>
      </c>
      <c r="I57" s="44">
        <f>VLOOKUP(H57,'100thDay'!B:F,5,FALSE)</f>
        <v>839</v>
      </c>
      <c r="J57" s="44">
        <f t="shared" si="101"/>
        <v>39.433</v>
      </c>
      <c r="K57" s="45">
        <f>VLOOKUP(H57,DaysSince100!C:G,5,FALSE)</f>
        <v>1.0524236963234725</v>
      </c>
      <c r="L57" s="58">
        <f>LOG((O57/J57),K57)</f>
        <v>106.77813199621821</v>
      </c>
      <c r="M57" s="46">
        <v>7.3</v>
      </c>
      <c r="N57" s="47">
        <f>VLOOKUP(H57,$S$29:$T$263,2,FALSE)</f>
        <v>126476461</v>
      </c>
      <c r="O57" s="49">
        <f>(N57/100000)*M57</f>
        <v>9232.781653</v>
      </c>
      <c r="S57" s="19" t="s">
        <v>185</v>
      </c>
      <c r="T57" s="31">
        <v>50882891</v>
      </c>
      <c r="AI57" s="32"/>
      <c r="AJ57" s="33"/>
      <c r="AK57" s="34"/>
      <c r="AL57" s="33"/>
      <c r="AM57" s="33"/>
      <c r="AN57" s="34"/>
      <c r="AO57" s="34"/>
      <c r="AP57" s="35"/>
      <c r="AQ57" s="32"/>
    </row>
    <row r="58" spans="8:43" ht="15" thickBot="1" x14ac:dyDescent="0.35">
      <c r="H58" s="50" t="s">
        <v>365</v>
      </c>
      <c r="I58" s="44">
        <f>VLOOKUP(H58,'100thDay'!B:F,5,FALSE)</f>
        <v>81033</v>
      </c>
      <c r="J58" s="44">
        <f t="shared" si="101"/>
        <v>3808.5509999999999</v>
      </c>
      <c r="K58" s="45">
        <f>VLOOKUP(H58,DaysSince100!C:G,5,FALSE)</f>
        <v>1.0002766600642314</v>
      </c>
      <c r="L58" s="58">
        <f>LOG((O58/J58),K58)</f>
        <v>9436.8684300384648</v>
      </c>
      <c r="M58" s="46">
        <v>3.6</v>
      </c>
      <c r="N58" s="47">
        <f>VLOOKUP(H58,$S$29:$T$263,2,FALSE)</f>
        <v>1439323776</v>
      </c>
      <c r="O58" s="49">
        <f>(N58/100000)*M58</f>
        <v>51815.655936000003</v>
      </c>
      <c r="S58" s="19" t="s">
        <v>87</v>
      </c>
      <c r="T58" s="31">
        <v>46754778</v>
      </c>
      <c r="AI58" s="32"/>
      <c r="AJ58" s="33"/>
      <c r="AK58" s="34"/>
      <c r="AL58" s="33"/>
      <c r="AM58" s="33"/>
      <c r="AN58" s="34"/>
      <c r="AO58" s="34"/>
      <c r="AP58" s="35"/>
      <c r="AQ58" s="32"/>
    </row>
    <row r="59" spans="8:43" ht="15" thickBot="1" x14ac:dyDescent="0.35">
      <c r="H59" s="50" t="s">
        <v>516</v>
      </c>
      <c r="I59" s="44">
        <f>VLOOKUP(H59,'100thDay'!B:F,5,FALSE)</f>
        <v>8236</v>
      </c>
      <c r="J59" s="44">
        <f t="shared" si="101"/>
        <v>387.09199999999998</v>
      </c>
      <c r="K59" s="45" t="e">
        <f>VLOOKUP(H59,DaysSince100!C:G,5,FALSE)</f>
        <v>#N/A</v>
      </c>
      <c r="L59" s="58" t="e">
        <f t="shared" ref="L59:L60" si="105">LOG((O59/J59),K59)</f>
        <v>#N/A</v>
      </c>
      <c r="M59" s="74">
        <v>10.6</v>
      </c>
      <c r="N59" s="47">
        <f t="shared" ref="N59:N60" si="106">VLOOKUP(H59,$S$29:$T$263,2,FALSE)</f>
        <v>51269185</v>
      </c>
      <c r="O59" s="49">
        <f t="shared" ref="O59:O60" si="107">(N59/100000)*M59</f>
        <v>5434.5336100000004</v>
      </c>
      <c r="S59" s="19" t="s">
        <v>524</v>
      </c>
      <c r="T59" s="31">
        <v>45741007</v>
      </c>
      <c r="AI59" s="32"/>
      <c r="AJ59" s="33"/>
      <c r="AK59" s="34"/>
      <c r="AL59" s="33"/>
      <c r="AM59" s="33"/>
      <c r="AN59" s="34"/>
      <c r="AO59" s="34"/>
      <c r="AP59" s="35"/>
      <c r="AQ59" s="32"/>
    </row>
    <row r="60" spans="8:43" ht="15" thickBot="1" x14ac:dyDescent="0.35">
      <c r="H60" s="50" t="s">
        <v>84</v>
      </c>
      <c r="I60" s="44">
        <f>VLOOKUP(H60,'100thDay'!B:F,5,FALSE)</f>
        <v>119</v>
      </c>
      <c r="J60" s="44">
        <f t="shared" si="101"/>
        <v>5.593</v>
      </c>
      <c r="K60" s="45">
        <f>VLOOKUP(H60,DaysSince100!C:G,5,FALSE)</f>
        <v>1.0313103064775451</v>
      </c>
      <c r="L60" s="58">
        <f t="shared" si="105"/>
        <v>280.36919348842372</v>
      </c>
      <c r="M60" s="74">
        <v>2.2999999999999998</v>
      </c>
      <c r="N60" s="47">
        <f t="shared" si="106"/>
        <v>1380004385</v>
      </c>
      <c r="O60" s="49">
        <f t="shared" si="107"/>
        <v>31740.100854999997</v>
      </c>
      <c r="S60" s="19" t="s">
        <v>150</v>
      </c>
      <c r="T60" s="31">
        <v>45195774</v>
      </c>
      <c r="AI60" s="32"/>
      <c r="AJ60" s="33"/>
      <c r="AK60" s="34"/>
      <c r="AL60" s="33"/>
      <c r="AM60" s="33"/>
      <c r="AN60" s="34"/>
      <c r="AO60" s="34"/>
      <c r="AP60" s="35"/>
      <c r="AQ60" s="32"/>
    </row>
    <row r="61" spans="8:43" ht="15" thickBot="1" x14ac:dyDescent="0.35">
      <c r="N61" s="30"/>
      <c r="S61" s="19" t="s">
        <v>102</v>
      </c>
      <c r="T61" s="31">
        <v>43851044</v>
      </c>
      <c r="AI61" s="32"/>
      <c r="AJ61" s="33"/>
      <c r="AK61" s="34"/>
      <c r="AL61" s="33"/>
      <c r="AM61" s="33"/>
      <c r="AN61" s="34"/>
      <c r="AO61" s="34"/>
      <c r="AP61" s="35"/>
      <c r="AQ61" s="32"/>
    </row>
    <row r="62" spans="8:43" ht="15" thickBot="1" x14ac:dyDescent="0.35">
      <c r="N62" s="30"/>
      <c r="S62" s="19" t="s">
        <v>448</v>
      </c>
      <c r="T62" s="31">
        <v>43849260</v>
      </c>
      <c r="AI62" s="32"/>
      <c r="AJ62" s="33"/>
      <c r="AK62" s="34"/>
      <c r="AL62" s="33"/>
      <c r="AM62" s="33"/>
      <c r="AN62" s="34"/>
      <c r="AO62" s="34"/>
      <c r="AP62" s="35"/>
      <c r="AQ62" s="32"/>
    </row>
    <row r="63" spans="8:43" ht="15" thickBot="1" x14ac:dyDescent="0.35">
      <c r="N63" s="30"/>
      <c r="S63" s="19" t="s">
        <v>156</v>
      </c>
      <c r="T63" s="31">
        <v>43733762</v>
      </c>
      <c r="AI63" s="32"/>
      <c r="AJ63" s="33"/>
      <c r="AK63" s="34"/>
      <c r="AL63" s="33"/>
      <c r="AM63" s="33"/>
      <c r="AN63" s="34"/>
      <c r="AO63" s="34"/>
      <c r="AP63" s="35"/>
      <c r="AQ63" s="32"/>
    </row>
    <row r="64" spans="8:43" ht="15" thickBot="1" x14ac:dyDescent="0.35">
      <c r="N64" s="30"/>
      <c r="S64" s="19" t="s">
        <v>97</v>
      </c>
      <c r="T64" s="31">
        <v>40222493</v>
      </c>
      <c r="AI64" s="32"/>
      <c r="AJ64" s="33"/>
      <c r="AK64" s="34"/>
      <c r="AL64" s="33"/>
      <c r="AM64" s="33"/>
      <c r="AN64" s="34"/>
      <c r="AO64" s="34"/>
      <c r="AP64" s="35"/>
      <c r="AQ64" s="32"/>
    </row>
    <row r="65" spans="14:43" ht="15" thickBot="1" x14ac:dyDescent="0.35">
      <c r="N65" s="30"/>
      <c r="S65" s="19" t="s">
        <v>99</v>
      </c>
      <c r="T65" s="31">
        <v>38928346</v>
      </c>
      <c r="AI65" s="32"/>
      <c r="AJ65" s="33"/>
      <c r="AK65" s="34"/>
      <c r="AL65" s="33"/>
      <c r="AM65" s="33"/>
      <c r="AN65" s="34"/>
      <c r="AO65" s="34"/>
      <c r="AP65" s="35"/>
      <c r="AQ65" s="32"/>
    </row>
    <row r="66" spans="14:43" ht="15" thickBot="1" x14ac:dyDescent="0.35">
      <c r="N66" s="30"/>
      <c r="S66" s="19" t="s">
        <v>164</v>
      </c>
      <c r="T66" s="31">
        <v>37846611</v>
      </c>
      <c r="AI66" s="32"/>
      <c r="AJ66" s="33"/>
      <c r="AK66" s="34"/>
      <c r="AL66" s="33"/>
      <c r="AM66" s="33"/>
      <c r="AN66" s="34"/>
      <c r="AO66" s="34"/>
      <c r="AP66" s="35"/>
      <c r="AQ66" s="32"/>
    </row>
    <row r="67" spans="14:43" ht="15" thickBot="1" x14ac:dyDescent="0.35">
      <c r="N67" s="30"/>
      <c r="S67" s="19" t="s">
        <v>72</v>
      </c>
      <c r="T67" s="31">
        <v>37742154</v>
      </c>
      <c r="AI67" s="32"/>
      <c r="AJ67" s="33"/>
      <c r="AK67" s="34"/>
      <c r="AL67" s="33"/>
      <c r="AM67" s="33"/>
      <c r="AN67" s="34"/>
      <c r="AO67" s="34"/>
      <c r="AP67" s="35"/>
      <c r="AQ67" s="32"/>
    </row>
    <row r="68" spans="14:43" ht="15" thickBot="1" x14ac:dyDescent="0.35">
      <c r="N68" s="30"/>
      <c r="S68" s="19" t="s">
        <v>139</v>
      </c>
      <c r="T68" s="31">
        <v>36910560</v>
      </c>
      <c r="AI68" s="32"/>
      <c r="AJ68" s="33"/>
      <c r="AK68" s="34"/>
      <c r="AL68" s="33"/>
      <c r="AM68" s="33"/>
      <c r="AN68" s="34"/>
      <c r="AO68" s="34"/>
      <c r="AP68" s="35"/>
      <c r="AQ68" s="32"/>
    </row>
    <row r="69" spans="14:43" ht="15" thickBot="1" x14ac:dyDescent="0.35">
      <c r="N69" s="30"/>
      <c r="S69" s="19" t="s">
        <v>140</v>
      </c>
      <c r="T69" s="31">
        <v>34813871</v>
      </c>
      <c r="AI69" s="32"/>
      <c r="AJ69" s="33"/>
      <c r="AK69" s="34"/>
      <c r="AL69" s="33"/>
      <c r="AM69" s="33"/>
      <c r="AN69" s="34"/>
      <c r="AO69" s="34"/>
      <c r="AP69" s="35"/>
      <c r="AQ69" s="32"/>
    </row>
    <row r="70" spans="14:43" ht="15" thickBot="1" x14ac:dyDescent="0.35">
      <c r="N70" s="30"/>
      <c r="S70" s="19" t="s">
        <v>500</v>
      </c>
      <c r="T70" s="31">
        <v>33469203</v>
      </c>
      <c r="AI70" s="32"/>
      <c r="AJ70" s="33"/>
      <c r="AK70" s="34"/>
      <c r="AL70" s="33"/>
      <c r="AM70" s="33"/>
      <c r="AN70" s="34"/>
      <c r="AO70" s="34"/>
      <c r="AP70" s="35"/>
      <c r="AQ70" s="32"/>
    </row>
    <row r="71" spans="14:43" ht="15" thickBot="1" x14ac:dyDescent="0.35">
      <c r="N71" s="30"/>
      <c r="S71" s="19" t="s">
        <v>187</v>
      </c>
      <c r="T71" s="31">
        <v>32971854</v>
      </c>
      <c r="AI71" s="32"/>
      <c r="AJ71" s="33"/>
      <c r="AK71" s="34"/>
      <c r="AL71" s="33"/>
      <c r="AM71" s="33"/>
      <c r="AN71" s="34"/>
      <c r="AO71" s="34"/>
      <c r="AP71" s="35"/>
      <c r="AQ71" s="32"/>
    </row>
    <row r="72" spans="14:43" ht="15" thickBot="1" x14ac:dyDescent="0.35">
      <c r="N72" s="30"/>
      <c r="S72" s="19" t="s">
        <v>525</v>
      </c>
      <c r="T72" s="31">
        <v>32866272</v>
      </c>
      <c r="AI72" s="32"/>
      <c r="AJ72" s="33"/>
      <c r="AK72" s="34"/>
      <c r="AL72" s="33"/>
      <c r="AM72" s="33"/>
      <c r="AN72" s="34"/>
      <c r="AO72" s="34"/>
      <c r="AP72" s="35"/>
      <c r="AQ72" s="32"/>
    </row>
    <row r="73" spans="14:43" ht="15" thickBot="1" x14ac:dyDescent="0.35">
      <c r="N73" s="30"/>
      <c r="S73" s="19" t="s">
        <v>70</v>
      </c>
      <c r="T73" s="31">
        <v>32365999</v>
      </c>
      <c r="AI73" s="32"/>
      <c r="AJ73" s="33"/>
      <c r="AK73" s="34"/>
      <c r="AL73" s="33"/>
      <c r="AM73" s="33"/>
      <c r="AN73" s="34"/>
      <c r="AO73" s="34"/>
      <c r="AP73" s="35"/>
      <c r="AQ73" s="32"/>
    </row>
    <row r="74" spans="14:43" ht="15" thickBot="1" x14ac:dyDescent="0.35">
      <c r="N74" s="30"/>
      <c r="S74" s="19" t="s">
        <v>526</v>
      </c>
      <c r="T74" s="31">
        <v>31255435</v>
      </c>
      <c r="AI74" s="32"/>
      <c r="AJ74" s="33"/>
      <c r="AK74" s="34"/>
      <c r="AL74" s="33"/>
      <c r="AM74" s="33"/>
      <c r="AN74" s="34"/>
      <c r="AO74" s="34"/>
      <c r="AP74" s="35"/>
      <c r="AQ74" s="32"/>
    </row>
    <row r="75" spans="14:43" ht="15" thickBot="1" x14ac:dyDescent="0.35">
      <c r="N75" s="30"/>
      <c r="S75" s="19" t="s">
        <v>464</v>
      </c>
      <c r="T75" s="31">
        <v>31072940</v>
      </c>
      <c r="AI75" s="32"/>
      <c r="AJ75" s="33"/>
      <c r="AK75" s="34"/>
      <c r="AL75" s="33"/>
      <c r="AM75" s="33"/>
      <c r="AN75" s="34"/>
      <c r="AO75" s="34"/>
      <c r="AP75" s="35"/>
      <c r="AQ75" s="32"/>
    </row>
    <row r="76" spans="14:43" ht="15" thickBot="1" x14ac:dyDescent="0.35">
      <c r="N76" s="30"/>
      <c r="S76" s="19" t="s">
        <v>527</v>
      </c>
      <c r="T76" s="31">
        <v>29825964</v>
      </c>
      <c r="AI76" s="32"/>
      <c r="AJ76" s="33"/>
      <c r="AK76" s="34"/>
      <c r="AL76" s="33"/>
      <c r="AM76" s="33"/>
      <c r="AN76" s="34"/>
      <c r="AO76" s="34"/>
      <c r="AP76" s="35"/>
      <c r="AQ76" s="32"/>
    </row>
    <row r="77" spans="14:43" ht="15" thickBot="1" x14ac:dyDescent="0.35">
      <c r="N77" s="30"/>
      <c r="S77" s="19" t="s">
        <v>69</v>
      </c>
      <c r="T77" s="31">
        <v>29136808</v>
      </c>
      <c r="AI77" s="32"/>
      <c r="AJ77" s="33"/>
      <c r="AK77" s="34"/>
      <c r="AL77" s="33"/>
      <c r="AM77" s="33"/>
      <c r="AN77" s="34"/>
      <c r="AO77" s="34"/>
      <c r="AP77" s="35"/>
      <c r="AQ77" s="32"/>
    </row>
    <row r="78" spans="14:43" ht="15" thickBot="1" x14ac:dyDescent="0.35">
      <c r="N78" s="30"/>
      <c r="S78" s="19" t="s">
        <v>470</v>
      </c>
      <c r="T78" s="31">
        <v>28435940</v>
      </c>
      <c r="AI78" s="32"/>
      <c r="AJ78" s="33"/>
      <c r="AK78" s="34"/>
      <c r="AL78" s="33"/>
      <c r="AM78" s="33"/>
      <c r="AN78" s="34"/>
      <c r="AO78" s="34"/>
      <c r="AP78" s="34"/>
      <c r="AQ78" s="32"/>
    </row>
    <row r="79" spans="14:43" ht="15" thickBot="1" x14ac:dyDescent="0.35">
      <c r="N79" s="30"/>
      <c r="S79" s="19" t="s">
        <v>528</v>
      </c>
      <c r="T79" s="31">
        <v>27691018</v>
      </c>
      <c r="AI79" s="32"/>
      <c r="AJ79" s="33"/>
      <c r="AK79" s="34"/>
      <c r="AL79" s="33"/>
      <c r="AM79" s="33"/>
      <c r="AN79" s="34"/>
      <c r="AO79" s="34"/>
      <c r="AP79" s="35"/>
      <c r="AQ79" s="32"/>
    </row>
    <row r="80" spans="14:43" ht="15" thickBot="1" x14ac:dyDescent="0.35">
      <c r="N80" s="30"/>
      <c r="S80" s="19" t="s">
        <v>184</v>
      </c>
      <c r="T80" s="31">
        <v>26545863</v>
      </c>
      <c r="AI80" s="32"/>
      <c r="AJ80" s="33"/>
      <c r="AK80" s="34"/>
      <c r="AL80" s="33"/>
      <c r="AM80" s="33"/>
      <c r="AN80" s="34"/>
      <c r="AO80" s="34"/>
      <c r="AP80" s="35"/>
      <c r="AQ80" s="32"/>
    </row>
    <row r="81" spans="14:43" ht="15" thickBot="1" x14ac:dyDescent="0.35">
      <c r="N81" s="30"/>
      <c r="S81" s="19" t="s">
        <v>529</v>
      </c>
      <c r="T81" s="31">
        <v>26378274</v>
      </c>
      <c r="AI81" s="32"/>
      <c r="AJ81" s="33"/>
      <c r="AK81" s="34"/>
      <c r="AL81" s="33"/>
      <c r="AM81" s="33"/>
      <c r="AN81" s="34"/>
      <c r="AO81" s="34"/>
      <c r="AP81" s="35"/>
      <c r="AQ81" s="32"/>
    </row>
    <row r="82" spans="14:43" ht="15" thickBot="1" x14ac:dyDescent="0.35">
      <c r="N82" s="30"/>
      <c r="S82" s="19" t="s">
        <v>530</v>
      </c>
      <c r="T82" s="31">
        <v>25778816</v>
      </c>
      <c r="AI82" s="32"/>
      <c r="AJ82" s="33"/>
      <c r="AK82" s="34"/>
      <c r="AL82" s="33"/>
      <c r="AM82" s="33"/>
      <c r="AN82" s="34"/>
      <c r="AO82" s="34"/>
      <c r="AP82" s="35"/>
      <c r="AQ82" s="32"/>
    </row>
    <row r="83" spans="14:43" ht="15" thickBot="1" x14ac:dyDescent="0.35">
      <c r="N83" s="30"/>
      <c r="S83" s="19" t="s">
        <v>75</v>
      </c>
      <c r="T83" s="31">
        <v>25499884</v>
      </c>
      <c r="AI83" s="32"/>
      <c r="AJ83" s="33"/>
      <c r="AK83" s="34"/>
      <c r="AL83" s="33"/>
      <c r="AM83" s="33"/>
      <c r="AN83" s="34"/>
      <c r="AO83" s="34"/>
      <c r="AP83" s="35"/>
      <c r="AQ83" s="32"/>
    </row>
    <row r="84" spans="14:43" ht="15" thickBot="1" x14ac:dyDescent="0.35">
      <c r="N84" s="30"/>
      <c r="S84" s="19" t="s">
        <v>531</v>
      </c>
      <c r="T84" s="31">
        <v>24206644</v>
      </c>
      <c r="AI84" s="32"/>
      <c r="AJ84" s="33"/>
      <c r="AK84" s="34"/>
      <c r="AL84" s="33"/>
      <c r="AM84" s="33"/>
      <c r="AN84" s="34"/>
      <c r="AO84" s="34"/>
      <c r="AP84" s="35"/>
      <c r="AQ84" s="32"/>
    </row>
    <row r="85" spans="14:43" ht="15" thickBot="1" x14ac:dyDescent="0.35">
      <c r="N85" s="30"/>
      <c r="S85" s="19" t="s">
        <v>532</v>
      </c>
      <c r="T85" s="31">
        <v>23816775</v>
      </c>
      <c r="AI85" s="32"/>
      <c r="AJ85" s="33"/>
      <c r="AK85" s="34"/>
      <c r="AL85" s="33"/>
      <c r="AM85" s="33"/>
      <c r="AN85" s="34"/>
      <c r="AO85" s="34"/>
      <c r="AP85" s="35"/>
      <c r="AQ85" s="32"/>
    </row>
    <row r="86" spans="14:43" ht="15" thickBot="1" x14ac:dyDescent="0.35">
      <c r="N86" s="30"/>
      <c r="S86" s="19" t="s">
        <v>79</v>
      </c>
      <c r="T86" s="31">
        <v>21413249</v>
      </c>
      <c r="AI86" s="32"/>
      <c r="AJ86" s="33"/>
      <c r="AK86" s="34"/>
      <c r="AL86" s="33"/>
      <c r="AM86" s="33"/>
      <c r="AN86" s="34"/>
      <c r="AO86" s="34"/>
      <c r="AP86" s="35"/>
      <c r="AQ86" s="32"/>
    </row>
    <row r="87" spans="14:43" ht="15" thickBot="1" x14ac:dyDescent="0.35">
      <c r="N87" s="30"/>
      <c r="S87" s="19" t="s">
        <v>306</v>
      </c>
      <c r="T87" s="31">
        <v>20903273</v>
      </c>
      <c r="AI87" s="32"/>
      <c r="AJ87" s="33"/>
      <c r="AK87" s="34"/>
      <c r="AL87" s="33"/>
      <c r="AM87" s="33"/>
      <c r="AN87" s="34"/>
      <c r="AO87" s="34"/>
      <c r="AP87" s="35"/>
      <c r="AQ87" s="32"/>
    </row>
    <row r="88" spans="14:43" ht="15" thickBot="1" x14ac:dyDescent="0.35">
      <c r="N88" s="30"/>
      <c r="S88" s="19" t="s">
        <v>533</v>
      </c>
      <c r="T88" s="31">
        <v>20250833</v>
      </c>
      <c r="AI88" s="32"/>
      <c r="AJ88" s="33"/>
      <c r="AK88" s="34"/>
      <c r="AL88" s="33"/>
      <c r="AM88" s="33"/>
      <c r="AN88" s="34"/>
      <c r="AO88" s="34"/>
      <c r="AP88" s="35"/>
      <c r="AQ88" s="32"/>
    </row>
    <row r="89" spans="14:43" ht="15" thickBot="1" x14ac:dyDescent="0.35">
      <c r="N89" s="30"/>
      <c r="S89" s="19" t="s">
        <v>113</v>
      </c>
      <c r="T89" s="31">
        <v>19237691</v>
      </c>
      <c r="AI89" s="32"/>
      <c r="AJ89" s="33"/>
      <c r="AK89" s="34"/>
      <c r="AL89" s="33"/>
      <c r="AM89" s="33"/>
      <c r="AN89" s="34"/>
      <c r="AO89" s="34"/>
      <c r="AP89" s="35"/>
      <c r="AQ89" s="32"/>
    </row>
    <row r="90" spans="14:43" ht="15" thickBot="1" x14ac:dyDescent="0.35">
      <c r="N90" s="30"/>
      <c r="S90" s="19" t="s">
        <v>534</v>
      </c>
      <c r="T90" s="31">
        <v>19129952</v>
      </c>
      <c r="AI90" s="32"/>
      <c r="AJ90" s="33"/>
      <c r="AK90" s="34"/>
      <c r="AL90" s="33"/>
      <c r="AM90" s="33"/>
      <c r="AN90" s="34"/>
      <c r="AO90" s="34"/>
      <c r="AP90" s="35"/>
      <c r="AQ90" s="32"/>
    </row>
    <row r="91" spans="14:43" ht="15" thickBot="1" x14ac:dyDescent="0.35">
      <c r="N91" s="30"/>
      <c r="S91" s="19" t="s">
        <v>151</v>
      </c>
      <c r="T91" s="31">
        <v>19116201</v>
      </c>
      <c r="AI91" s="32"/>
      <c r="AJ91" s="33"/>
      <c r="AK91" s="34"/>
      <c r="AL91" s="33"/>
      <c r="AM91" s="33"/>
      <c r="AN91" s="34"/>
      <c r="AO91" s="34"/>
      <c r="AP91" s="35"/>
      <c r="AQ91" s="32"/>
    </row>
    <row r="92" spans="14:43" ht="15" thickBot="1" x14ac:dyDescent="0.35">
      <c r="N92" s="30"/>
      <c r="S92" s="19" t="s">
        <v>441</v>
      </c>
      <c r="T92" s="31">
        <v>18776707</v>
      </c>
      <c r="AI92" s="32"/>
      <c r="AJ92" s="33"/>
      <c r="AK92" s="34"/>
      <c r="AL92" s="33"/>
      <c r="AM92" s="33"/>
      <c r="AN92" s="34"/>
      <c r="AO92" s="34"/>
      <c r="AP92" s="35"/>
      <c r="AQ92" s="32"/>
    </row>
    <row r="93" spans="14:43" ht="15" thickBot="1" x14ac:dyDescent="0.35">
      <c r="N93" s="30"/>
      <c r="S93" s="19" t="s">
        <v>535</v>
      </c>
      <c r="T93" s="31">
        <v>18383955</v>
      </c>
      <c r="AI93" s="32"/>
      <c r="AJ93" s="33"/>
      <c r="AK93" s="34"/>
      <c r="AL93" s="33"/>
      <c r="AM93" s="33"/>
      <c r="AN93" s="34"/>
      <c r="AO93" s="34"/>
      <c r="AP93" s="35"/>
      <c r="AQ93" s="32"/>
    </row>
    <row r="94" spans="14:43" ht="15" thickBot="1" x14ac:dyDescent="0.35">
      <c r="N94" s="30"/>
      <c r="S94" s="19" t="s">
        <v>474</v>
      </c>
      <c r="T94" s="31">
        <v>17915568</v>
      </c>
      <c r="AI94" s="32"/>
      <c r="AJ94" s="33"/>
      <c r="AK94" s="34"/>
      <c r="AL94" s="33"/>
      <c r="AM94" s="33"/>
      <c r="AN94" s="34"/>
      <c r="AO94" s="34"/>
      <c r="AP94" s="35"/>
      <c r="AQ94" s="32"/>
    </row>
    <row r="95" spans="14:43" ht="15" thickBot="1" x14ac:dyDescent="0.35">
      <c r="N95" s="30"/>
      <c r="S95" s="19" t="s">
        <v>130</v>
      </c>
      <c r="T95" s="31">
        <v>17643054</v>
      </c>
      <c r="AI95" s="32"/>
      <c r="AJ95" s="33"/>
      <c r="AK95" s="34"/>
      <c r="AL95" s="33"/>
      <c r="AM95" s="33"/>
      <c r="AN95" s="34"/>
      <c r="AO95" s="34"/>
      <c r="AP95" s="35"/>
      <c r="AQ95" s="32"/>
    </row>
    <row r="96" spans="14:43" ht="15" thickBot="1" x14ac:dyDescent="0.35">
      <c r="N96" s="30"/>
      <c r="S96" s="19" t="s">
        <v>536</v>
      </c>
      <c r="T96" s="31">
        <v>17500658</v>
      </c>
      <c r="AI96" s="32"/>
      <c r="AJ96" s="33"/>
      <c r="AK96" s="34"/>
      <c r="AL96" s="33"/>
      <c r="AM96" s="33"/>
      <c r="AN96" s="34"/>
      <c r="AO96" s="34"/>
      <c r="AP96" s="35"/>
      <c r="AQ96" s="32"/>
    </row>
    <row r="97" spans="14:43" ht="15" thickBot="1" x14ac:dyDescent="0.35">
      <c r="N97" s="30"/>
      <c r="S97" s="19" t="s">
        <v>116</v>
      </c>
      <c r="T97" s="31">
        <v>17134872</v>
      </c>
      <c r="AI97" s="32"/>
      <c r="AJ97" s="33"/>
      <c r="AK97" s="34"/>
      <c r="AL97" s="33"/>
      <c r="AM97" s="33"/>
      <c r="AN97" s="34"/>
      <c r="AO97" s="34"/>
      <c r="AP97" s="35"/>
      <c r="AQ97" s="32"/>
    </row>
    <row r="98" spans="14:43" ht="15" thickBot="1" x14ac:dyDescent="0.35">
      <c r="N98" s="30"/>
      <c r="S98" s="19" t="s">
        <v>141</v>
      </c>
      <c r="T98" s="31">
        <v>16743927</v>
      </c>
      <c r="AI98" s="32"/>
      <c r="AJ98" s="33"/>
      <c r="AK98" s="34"/>
      <c r="AL98" s="33"/>
      <c r="AM98" s="33"/>
      <c r="AN98" s="34"/>
      <c r="AO98" s="34"/>
      <c r="AP98" s="35"/>
      <c r="AQ98" s="32"/>
    </row>
    <row r="99" spans="14:43" ht="15" thickBot="1" x14ac:dyDescent="0.35">
      <c r="N99" s="30"/>
      <c r="S99" s="19" t="s">
        <v>78</v>
      </c>
      <c r="T99" s="31">
        <v>16718965</v>
      </c>
      <c r="AI99" s="32"/>
      <c r="AJ99" s="33"/>
      <c r="AK99" s="34"/>
      <c r="AL99" s="33"/>
      <c r="AM99" s="33"/>
      <c r="AN99" s="34"/>
      <c r="AO99" s="34"/>
      <c r="AP99" s="35"/>
      <c r="AQ99" s="32"/>
    </row>
    <row r="100" spans="14:43" ht="15" thickBot="1" x14ac:dyDescent="0.35">
      <c r="N100" s="30"/>
      <c r="S100" s="19" t="s">
        <v>537</v>
      </c>
      <c r="T100" s="31">
        <v>16425864</v>
      </c>
      <c r="AI100" s="32"/>
      <c r="AJ100" s="33"/>
      <c r="AK100" s="34"/>
      <c r="AL100" s="33"/>
      <c r="AM100" s="33"/>
      <c r="AN100" s="34"/>
      <c r="AO100" s="34"/>
      <c r="AP100" s="35"/>
      <c r="AQ100" s="32"/>
    </row>
    <row r="101" spans="14:43" ht="15" thickBot="1" x14ac:dyDescent="0.35">
      <c r="N101" s="30"/>
      <c r="S101" s="19" t="s">
        <v>510</v>
      </c>
      <c r="T101" s="31">
        <v>15893222</v>
      </c>
      <c r="AI101" s="32"/>
      <c r="AJ101" s="33"/>
      <c r="AK101" s="34"/>
      <c r="AL101" s="33"/>
      <c r="AM101" s="33"/>
      <c r="AN101" s="34"/>
      <c r="AO101" s="34"/>
      <c r="AP101" s="35"/>
      <c r="AQ101" s="32"/>
    </row>
    <row r="102" spans="14:43" ht="15" thickBot="1" x14ac:dyDescent="0.35">
      <c r="N102" s="30"/>
      <c r="S102" s="19" t="s">
        <v>538</v>
      </c>
      <c r="T102" s="31">
        <v>14862924</v>
      </c>
      <c r="AI102" s="32"/>
      <c r="AJ102" s="33"/>
      <c r="AK102" s="34"/>
      <c r="AL102" s="33"/>
      <c r="AM102" s="33"/>
      <c r="AN102" s="34"/>
      <c r="AO102" s="34"/>
      <c r="AP102" s="35"/>
      <c r="AQ102" s="32"/>
    </row>
    <row r="103" spans="14:43" ht="15" thickBot="1" x14ac:dyDescent="0.35">
      <c r="N103" s="30"/>
      <c r="S103" s="19" t="s">
        <v>449</v>
      </c>
      <c r="T103" s="31">
        <v>13132795</v>
      </c>
      <c r="AI103" s="32"/>
      <c r="AJ103" s="33"/>
      <c r="AK103" s="34"/>
      <c r="AL103" s="33"/>
      <c r="AM103" s="33"/>
      <c r="AN103" s="34"/>
      <c r="AO103" s="34"/>
      <c r="AP103" s="35"/>
      <c r="AQ103" s="32"/>
    </row>
    <row r="104" spans="14:43" ht="15" thickBot="1" x14ac:dyDescent="0.35">
      <c r="N104" s="30"/>
      <c r="S104" s="19" t="s">
        <v>477</v>
      </c>
      <c r="T104" s="31">
        <v>12952218</v>
      </c>
      <c r="AI104" s="32"/>
      <c r="AJ104" s="33"/>
      <c r="AK104" s="34"/>
      <c r="AL104" s="33"/>
      <c r="AM104" s="33"/>
      <c r="AN104" s="34"/>
      <c r="AO104" s="34"/>
      <c r="AP104" s="35"/>
      <c r="AQ104" s="32"/>
    </row>
    <row r="105" spans="14:43" ht="15" thickBot="1" x14ac:dyDescent="0.35">
      <c r="N105" s="30"/>
      <c r="S105" s="19" t="s">
        <v>506</v>
      </c>
      <c r="T105" s="31">
        <v>12123200</v>
      </c>
      <c r="AI105" s="32"/>
      <c r="AJ105" s="33"/>
      <c r="AK105" s="34"/>
      <c r="AL105" s="33"/>
      <c r="AM105" s="33"/>
      <c r="AN105" s="34"/>
      <c r="AO105" s="34"/>
      <c r="AP105" s="35"/>
      <c r="AQ105" s="32"/>
    </row>
    <row r="106" spans="14:43" ht="15" thickBot="1" x14ac:dyDescent="0.35">
      <c r="N106" s="30"/>
      <c r="S106" s="19" t="s">
        <v>539</v>
      </c>
      <c r="T106" s="31">
        <v>11890784</v>
      </c>
      <c r="AI106" s="32"/>
      <c r="AJ106" s="33"/>
      <c r="AK106" s="34"/>
      <c r="AL106" s="33"/>
      <c r="AM106" s="33"/>
      <c r="AN106" s="34"/>
      <c r="AO106" s="34"/>
      <c r="AP106" s="35"/>
      <c r="AQ106" s="32"/>
    </row>
    <row r="107" spans="14:43" ht="15" thickBot="1" x14ac:dyDescent="0.35">
      <c r="N107" s="30"/>
      <c r="S107" s="19" t="s">
        <v>165</v>
      </c>
      <c r="T107" s="31">
        <v>11818619</v>
      </c>
      <c r="AI107" s="32"/>
      <c r="AJ107" s="33"/>
      <c r="AK107" s="34"/>
      <c r="AL107" s="33"/>
      <c r="AM107" s="33"/>
      <c r="AN107" s="34"/>
      <c r="AO107" s="34"/>
      <c r="AP107" s="35"/>
      <c r="AQ107" s="32"/>
    </row>
    <row r="108" spans="14:43" ht="15" thickBot="1" x14ac:dyDescent="0.35">
      <c r="N108" s="30"/>
      <c r="S108" s="19" t="s">
        <v>374</v>
      </c>
      <c r="T108" s="31">
        <v>11673021</v>
      </c>
      <c r="AI108" s="32"/>
      <c r="AJ108" s="33"/>
      <c r="AK108" s="34"/>
      <c r="AL108" s="33"/>
      <c r="AM108" s="33"/>
      <c r="AN108" s="34"/>
      <c r="AO108" s="34"/>
      <c r="AP108" s="35"/>
      <c r="AQ108" s="32"/>
    </row>
    <row r="109" spans="14:43" ht="15" thickBot="1" x14ac:dyDescent="0.35">
      <c r="N109" s="30"/>
      <c r="S109" s="19" t="s">
        <v>90</v>
      </c>
      <c r="T109" s="31">
        <v>11589623</v>
      </c>
      <c r="AI109" s="32"/>
      <c r="AJ109" s="33"/>
      <c r="AK109" s="34"/>
      <c r="AL109" s="33"/>
      <c r="AM109" s="33"/>
      <c r="AN109" s="34"/>
      <c r="AO109" s="34"/>
      <c r="AP109" s="35"/>
      <c r="AQ109" s="32"/>
    </row>
    <row r="110" spans="14:43" ht="15" thickBot="1" x14ac:dyDescent="0.35">
      <c r="N110" s="30"/>
      <c r="S110" s="19" t="s">
        <v>540</v>
      </c>
      <c r="T110" s="31">
        <v>11402528</v>
      </c>
      <c r="AI110" s="32"/>
      <c r="AJ110" s="33"/>
      <c r="AK110" s="34"/>
      <c r="AL110" s="33"/>
      <c r="AM110" s="33"/>
      <c r="AN110" s="34"/>
      <c r="AO110" s="34"/>
      <c r="AP110" s="35"/>
      <c r="AQ110" s="32"/>
    </row>
    <row r="111" spans="14:43" ht="15" thickBot="1" x14ac:dyDescent="0.35">
      <c r="N111" s="30"/>
      <c r="S111" s="19" t="s">
        <v>438</v>
      </c>
      <c r="T111" s="31">
        <v>11326616</v>
      </c>
      <c r="AI111" s="32"/>
      <c r="AJ111" s="33"/>
      <c r="AK111" s="34"/>
      <c r="AL111" s="33"/>
      <c r="AM111" s="33"/>
      <c r="AN111" s="34"/>
      <c r="AO111" s="34"/>
      <c r="AP111" s="35"/>
      <c r="AQ111" s="32"/>
    </row>
    <row r="112" spans="14:43" ht="15" thickBot="1" x14ac:dyDescent="0.35">
      <c r="N112" s="30"/>
      <c r="S112" s="19" t="s">
        <v>541</v>
      </c>
      <c r="T112" s="31">
        <v>11193725</v>
      </c>
      <c r="AI112" s="32"/>
      <c r="AJ112" s="33"/>
      <c r="AK112" s="34"/>
      <c r="AL112" s="33"/>
      <c r="AM112" s="33"/>
      <c r="AN112" s="34"/>
      <c r="AO112" s="34"/>
      <c r="AP112" s="35"/>
      <c r="AQ112" s="32"/>
    </row>
    <row r="113" spans="14:43" ht="15" thickBot="1" x14ac:dyDescent="0.35">
      <c r="N113" s="30"/>
      <c r="S113" s="19" t="s">
        <v>133</v>
      </c>
      <c r="T113" s="31">
        <v>10847910</v>
      </c>
      <c r="AI113" s="32"/>
      <c r="AJ113" s="33"/>
      <c r="AK113" s="34"/>
      <c r="AL113" s="33"/>
      <c r="AM113" s="33"/>
      <c r="AN113" s="34"/>
      <c r="AO113" s="34"/>
      <c r="AP113" s="35"/>
      <c r="AQ113" s="32"/>
    </row>
    <row r="114" spans="14:43" ht="15" thickBot="1" x14ac:dyDescent="0.35">
      <c r="N114" s="30"/>
      <c r="S114" s="19" t="s">
        <v>521</v>
      </c>
      <c r="T114" s="31">
        <v>10708981</v>
      </c>
      <c r="AI114" s="32"/>
      <c r="AJ114" s="33"/>
      <c r="AK114" s="34"/>
      <c r="AL114" s="33"/>
      <c r="AM114" s="33"/>
      <c r="AN114" s="34"/>
      <c r="AO114" s="34"/>
      <c r="AP114" s="35"/>
      <c r="AQ114" s="32"/>
    </row>
    <row r="115" spans="14:43" ht="15" thickBot="1" x14ac:dyDescent="0.35">
      <c r="N115" s="30"/>
      <c r="S115" s="19" t="s">
        <v>110</v>
      </c>
      <c r="T115" s="31">
        <v>10423054</v>
      </c>
      <c r="AI115" s="32"/>
      <c r="AJ115" s="33"/>
      <c r="AK115" s="34"/>
      <c r="AL115" s="33"/>
      <c r="AM115" s="33"/>
      <c r="AN115" s="34"/>
      <c r="AO115" s="34"/>
      <c r="AP115" s="35"/>
      <c r="AQ115" s="32"/>
    </row>
    <row r="116" spans="14:43" ht="15" thickBot="1" x14ac:dyDescent="0.35">
      <c r="N116" s="30"/>
      <c r="S116" s="19" t="s">
        <v>152</v>
      </c>
      <c r="T116" s="31">
        <v>10203134</v>
      </c>
      <c r="AI116" s="32"/>
      <c r="AJ116" s="33"/>
      <c r="AK116" s="34"/>
      <c r="AL116" s="33"/>
      <c r="AM116" s="33"/>
      <c r="AN116" s="34"/>
      <c r="AO116" s="34"/>
      <c r="AP116" s="35"/>
      <c r="AQ116" s="32"/>
    </row>
    <row r="117" spans="14:43" ht="15" thickBot="1" x14ac:dyDescent="0.35">
      <c r="N117" s="30"/>
      <c r="S117" s="19" t="s">
        <v>135</v>
      </c>
      <c r="T117" s="31">
        <v>10196709</v>
      </c>
      <c r="AI117" s="32"/>
      <c r="AJ117" s="33"/>
      <c r="AK117" s="34"/>
      <c r="AL117" s="33"/>
      <c r="AM117" s="33"/>
      <c r="AN117" s="34"/>
      <c r="AO117" s="34"/>
      <c r="AP117" s="35"/>
      <c r="AQ117" s="32"/>
    </row>
    <row r="118" spans="14:43" ht="15" thickBot="1" x14ac:dyDescent="0.35">
      <c r="N118" s="30"/>
      <c r="S118" s="19" t="s">
        <v>131</v>
      </c>
      <c r="T118" s="31">
        <v>10139177</v>
      </c>
      <c r="AI118" s="32"/>
      <c r="AJ118" s="33"/>
      <c r="AK118" s="34"/>
      <c r="AL118" s="33"/>
      <c r="AM118" s="33"/>
      <c r="AN118" s="34"/>
      <c r="AO118" s="34"/>
      <c r="AP118" s="35"/>
      <c r="AQ118" s="32"/>
    </row>
    <row r="119" spans="14:43" ht="15" thickBot="1" x14ac:dyDescent="0.35">
      <c r="N119" s="30"/>
      <c r="S119" s="19" t="s">
        <v>86</v>
      </c>
      <c r="T119" s="31">
        <v>10099265</v>
      </c>
      <c r="AI119" s="32"/>
      <c r="AJ119" s="33"/>
      <c r="AK119" s="34"/>
      <c r="AL119" s="33"/>
      <c r="AM119" s="33"/>
      <c r="AN119" s="34"/>
      <c r="AO119" s="34"/>
      <c r="AP119" s="35"/>
      <c r="AQ119" s="32"/>
    </row>
    <row r="120" spans="14:43" ht="15" thickBot="1" x14ac:dyDescent="0.35">
      <c r="N120" s="30"/>
      <c r="S120" s="19" t="s">
        <v>376</v>
      </c>
      <c r="T120" s="31">
        <v>9904607</v>
      </c>
      <c r="AI120" s="32"/>
      <c r="AJ120" s="33"/>
      <c r="AK120" s="34"/>
      <c r="AL120" s="33"/>
      <c r="AM120" s="33"/>
      <c r="AN120" s="34"/>
      <c r="AO120" s="34"/>
      <c r="AP120" s="35"/>
      <c r="AQ120" s="32"/>
    </row>
    <row r="121" spans="14:43" ht="15" thickBot="1" x14ac:dyDescent="0.35">
      <c r="N121" s="30"/>
      <c r="S121" s="19" t="s">
        <v>82</v>
      </c>
      <c r="T121" s="31">
        <v>9890402</v>
      </c>
      <c r="AI121" s="32"/>
      <c r="AJ121" s="33"/>
      <c r="AK121" s="34"/>
      <c r="AL121" s="33"/>
      <c r="AM121" s="33"/>
      <c r="AN121" s="34"/>
      <c r="AO121" s="34"/>
      <c r="AP121" s="35"/>
      <c r="AQ121" s="32"/>
    </row>
    <row r="122" spans="14:43" ht="15" thickBot="1" x14ac:dyDescent="0.35">
      <c r="N122" s="30"/>
      <c r="S122" s="19" t="s">
        <v>159</v>
      </c>
      <c r="T122" s="31">
        <v>9660351</v>
      </c>
      <c r="AI122" s="32"/>
      <c r="AJ122" s="33"/>
      <c r="AK122" s="34"/>
      <c r="AL122" s="33"/>
      <c r="AM122" s="33"/>
      <c r="AN122" s="34"/>
      <c r="AO122" s="34"/>
      <c r="AP122" s="35"/>
      <c r="AQ122" s="32"/>
    </row>
    <row r="123" spans="14:43" ht="15" thickBot="1" x14ac:dyDescent="0.35">
      <c r="N123" s="30"/>
      <c r="S123" s="19" t="s">
        <v>542</v>
      </c>
      <c r="T123" s="31">
        <v>9537645</v>
      </c>
      <c r="AI123" s="32"/>
      <c r="AJ123" s="33"/>
      <c r="AK123" s="34"/>
      <c r="AL123" s="33"/>
      <c r="AM123" s="33"/>
      <c r="AN123" s="34"/>
      <c r="AO123" s="34"/>
      <c r="AP123" s="35"/>
      <c r="AQ123" s="32"/>
    </row>
    <row r="124" spans="14:43" ht="15" thickBot="1" x14ac:dyDescent="0.35">
      <c r="N124" s="30"/>
      <c r="S124" s="19" t="s">
        <v>118</v>
      </c>
      <c r="T124" s="31">
        <v>9449323</v>
      </c>
      <c r="AI124" s="32"/>
      <c r="AJ124" s="33"/>
      <c r="AK124" s="34"/>
      <c r="AL124" s="33"/>
      <c r="AM124" s="33"/>
      <c r="AN124" s="34"/>
      <c r="AO124" s="34"/>
      <c r="AP124" s="35"/>
      <c r="AQ124" s="32"/>
    </row>
    <row r="125" spans="14:43" ht="15" thickBot="1" x14ac:dyDescent="0.35">
      <c r="N125" s="30"/>
      <c r="S125" s="19" t="s">
        <v>105</v>
      </c>
      <c r="T125" s="31">
        <v>9006398</v>
      </c>
      <c r="AI125" s="32"/>
      <c r="AJ125" s="33"/>
      <c r="AK125" s="34"/>
      <c r="AL125" s="33"/>
      <c r="AM125" s="33"/>
      <c r="AN125" s="34"/>
      <c r="AO125" s="34"/>
      <c r="AP125" s="35"/>
      <c r="AQ125" s="32"/>
    </row>
    <row r="126" spans="14:43" ht="15" thickBot="1" x14ac:dyDescent="0.35">
      <c r="N126" s="30"/>
      <c r="S126" s="19" t="s">
        <v>543</v>
      </c>
      <c r="T126" s="31">
        <v>8947024</v>
      </c>
      <c r="AI126" s="32"/>
      <c r="AJ126" s="33"/>
      <c r="AK126" s="34"/>
      <c r="AL126" s="33"/>
      <c r="AM126" s="34"/>
      <c r="AN126" s="34"/>
      <c r="AO126" s="34"/>
      <c r="AP126" s="35"/>
      <c r="AQ126" s="32"/>
    </row>
    <row r="127" spans="14:43" ht="15" thickBot="1" x14ac:dyDescent="0.35">
      <c r="N127" s="30"/>
      <c r="S127" s="19" t="s">
        <v>188</v>
      </c>
      <c r="T127" s="31">
        <v>8737371</v>
      </c>
      <c r="AI127" s="32"/>
      <c r="AJ127" s="33"/>
      <c r="AK127" s="34"/>
      <c r="AL127" s="33"/>
      <c r="AM127" s="33"/>
      <c r="AN127" s="34"/>
      <c r="AO127" s="34"/>
      <c r="AP127" s="35"/>
      <c r="AQ127" s="32"/>
    </row>
    <row r="128" spans="14:43" ht="15" thickBot="1" x14ac:dyDescent="0.35">
      <c r="N128" s="30"/>
      <c r="S128" s="19" t="s">
        <v>106</v>
      </c>
      <c r="T128" s="31">
        <v>8655535</v>
      </c>
      <c r="AI128" s="32"/>
      <c r="AJ128" s="33"/>
      <c r="AK128" s="34"/>
      <c r="AL128" s="33"/>
      <c r="AM128" s="33"/>
      <c r="AN128" s="34"/>
      <c r="AO128" s="34"/>
      <c r="AP128" s="35"/>
      <c r="AQ128" s="32"/>
    </row>
    <row r="129" spans="14:43" ht="15" thickBot="1" x14ac:dyDescent="0.35">
      <c r="N129" s="30"/>
      <c r="S129" s="19" t="s">
        <v>104</v>
      </c>
      <c r="T129" s="31">
        <v>8654622</v>
      </c>
      <c r="AI129" s="32"/>
      <c r="AJ129" s="33"/>
      <c r="AK129" s="34"/>
      <c r="AL129" s="33"/>
      <c r="AM129" s="33"/>
      <c r="AN129" s="34"/>
      <c r="AO129" s="34"/>
      <c r="AP129" s="35"/>
      <c r="AQ129" s="32"/>
    </row>
    <row r="130" spans="14:43" ht="15" thickBot="1" x14ac:dyDescent="0.35">
      <c r="N130" s="30"/>
      <c r="S130" s="19" t="s">
        <v>190</v>
      </c>
      <c r="T130" s="31">
        <v>8278724</v>
      </c>
      <c r="AI130" s="32"/>
      <c r="AJ130" s="33"/>
      <c r="AK130" s="34"/>
      <c r="AL130" s="33"/>
      <c r="AM130" s="33"/>
      <c r="AN130" s="34"/>
      <c r="AO130" s="34"/>
      <c r="AP130" s="35"/>
      <c r="AQ130" s="32"/>
    </row>
    <row r="131" spans="14:43" ht="15" thickBot="1" x14ac:dyDescent="0.35">
      <c r="N131" s="30"/>
      <c r="S131" s="19" t="s">
        <v>544</v>
      </c>
      <c r="T131" s="31">
        <v>7976983</v>
      </c>
      <c r="AI131" s="32"/>
      <c r="AJ131" s="33"/>
      <c r="AK131" s="34"/>
      <c r="AL131" s="33"/>
      <c r="AM131" s="33"/>
      <c r="AN131" s="34"/>
      <c r="AO131" s="34"/>
      <c r="AP131" s="35"/>
      <c r="AQ131" s="32"/>
    </row>
    <row r="132" spans="14:43" ht="15" thickBot="1" x14ac:dyDescent="0.35">
      <c r="N132" s="30"/>
      <c r="S132" s="19" t="s">
        <v>273</v>
      </c>
      <c r="T132" s="31">
        <v>7496981</v>
      </c>
      <c r="AI132" s="32"/>
      <c r="AJ132" s="33"/>
      <c r="AK132" s="33"/>
      <c r="AL132" s="33"/>
      <c r="AM132" s="33"/>
      <c r="AN132" s="34"/>
      <c r="AO132" s="34"/>
      <c r="AP132" s="34"/>
      <c r="AQ132" s="32"/>
    </row>
    <row r="133" spans="14:43" ht="15" thickBot="1" x14ac:dyDescent="0.35">
      <c r="N133" s="30"/>
      <c r="S133" s="19" t="s">
        <v>545</v>
      </c>
      <c r="T133" s="31">
        <v>7275560</v>
      </c>
      <c r="AI133" s="32"/>
      <c r="AJ133" s="33"/>
      <c r="AK133" s="34"/>
      <c r="AL133" s="33"/>
      <c r="AM133" s="33"/>
      <c r="AN133" s="34"/>
      <c r="AO133" s="34"/>
      <c r="AP133" s="35"/>
      <c r="AQ133" s="32"/>
    </row>
    <row r="134" spans="14:43" ht="15" thickBot="1" x14ac:dyDescent="0.35">
      <c r="N134" s="30"/>
      <c r="S134" s="19" t="s">
        <v>233</v>
      </c>
      <c r="T134" s="31">
        <v>7132538</v>
      </c>
      <c r="AI134" s="32"/>
      <c r="AJ134" s="33"/>
      <c r="AK134" s="34"/>
      <c r="AL134" s="33"/>
      <c r="AM134" s="33"/>
      <c r="AN134" s="34"/>
      <c r="AO134" s="34"/>
      <c r="AP134" s="35"/>
      <c r="AQ134" s="32"/>
    </row>
    <row r="135" spans="14:43" ht="15" thickBot="1" x14ac:dyDescent="0.35">
      <c r="N135" s="30"/>
      <c r="S135" s="19" t="s">
        <v>226</v>
      </c>
      <c r="T135" s="31">
        <v>6948445</v>
      </c>
      <c r="AI135" s="32"/>
      <c r="AJ135" s="33"/>
      <c r="AK135" s="34"/>
      <c r="AL135" s="33"/>
      <c r="AM135" s="33"/>
      <c r="AN135" s="34"/>
      <c r="AO135" s="34"/>
      <c r="AP135" s="35"/>
      <c r="AQ135" s="32"/>
    </row>
    <row r="136" spans="14:43" ht="15" thickBot="1" x14ac:dyDescent="0.35">
      <c r="N136" s="30"/>
      <c r="S136" s="19" t="s">
        <v>546</v>
      </c>
      <c r="T136" s="31">
        <v>6871292</v>
      </c>
      <c r="AI136" s="32"/>
      <c r="AJ136" s="33"/>
      <c r="AK136" s="34"/>
      <c r="AL136" s="33"/>
      <c r="AM136" s="33"/>
      <c r="AN136" s="34"/>
      <c r="AO136" s="34"/>
      <c r="AP136" s="35"/>
      <c r="AQ136" s="32"/>
    </row>
    <row r="137" spans="14:43" ht="15" thickBot="1" x14ac:dyDescent="0.35">
      <c r="N137" s="30"/>
      <c r="S137" s="19" t="s">
        <v>94</v>
      </c>
      <c r="T137" s="31">
        <v>6825445</v>
      </c>
      <c r="AI137" s="32"/>
      <c r="AJ137" s="33"/>
      <c r="AK137" s="34"/>
      <c r="AL137" s="33"/>
      <c r="AM137" s="33"/>
      <c r="AN137" s="34"/>
      <c r="AO137" s="34"/>
      <c r="AP137" s="35"/>
      <c r="AQ137" s="32"/>
    </row>
    <row r="138" spans="14:43" ht="15" thickBot="1" x14ac:dyDescent="0.35">
      <c r="N138" s="30"/>
      <c r="S138" s="19" t="s">
        <v>547</v>
      </c>
      <c r="T138" s="31">
        <v>6624554</v>
      </c>
      <c r="AI138" s="32"/>
      <c r="AJ138" s="33"/>
      <c r="AK138" s="34"/>
      <c r="AL138" s="33"/>
      <c r="AM138" s="33"/>
      <c r="AN138" s="34"/>
      <c r="AO138" s="34"/>
      <c r="AP138" s="35"/>
      <c r="AQ138" s="32"/>
    </row>
    <row r="139" spans="14:43" ht="15" thickBot="1" x14ac:dyDescent="0.35">
      <c r="N139" s="30"/>
      <c r="S139" s="19" t="s">
        <v>548</v>
      </c>
      <c r="T139" s="31">
        <v>6524195</v>
      </c>
      <c r="AI139" s="32"/>
      <c r="AJ139" s="33"/>
      <c r="AK139" s="34"/>
      <c r="AL139" s="33"/>
      <c r="AM139" s="33"/>
      <c r="AN139" s="34"/>
      <c r="AO139" s="34"/>
      <c r="AP139" s="35"/>
      <c r="AQ139" s="32"/>
    </row>
    <row r="140" spans="14:43" ht="15" thickBot="1" x14ac:dyDescent="0.35">
      <c r="N140" s="30"/>
      <c r="S140" s="19" t="s">
        <v>549</v>
      </c>
      <c r="T140" s="31">
        <v>6486205</v>
      </c>
      <c r="AI140" s="32"/>
      <c r="AJ140" s="33"/>
      <c r="AK140" s="34"/>
      <c r="AL140" s="33"/>
      <c r="AM140" s="33"/>
      <c r="AN140" s="34"/>
      <c r="AO140" s="34"/>
      <c r="AP140" s="35"/>
      <c r="AQ140" s="32"/>
    </row>
    <row r="141" spans="14:43" ht="15" thickBot="1" x14ac:dyDescent="0.35">
      <c r="N141" s="30"/>
      <c r="S141" s="19" t="s">
        <v>550</v>
      </c>
      <c r="T141" s="31">
        <v>6031200</v>
      </c>
      <c r="AI141" s="32"/>
      <c r="AJ141" s="33"/>
      <c r="AK141" s="34"/>
      <c r="AL141" s="33"/>
      <c r="AM141" s="33"/>
      <c r="AN141" s="34"/>
      <c r="AO141" s="34"/>
      <c r="AP141" s="35"/>
      <c r="AQ141" s="32"/>
    </row>
    <row r="142" spans="14:43" ht="15" thickBot="1" x14ac:dyDescent="0.35">
      <c r="N142" s="30"/>
      <c r="S142" s="19" t="s">
        <v>67</v>
      </c>
      <c r="T142" s="31">
        <v>5850342</v>
      </c>
      <c r="AI142" s="32"/>
      <c r="AJ142" s="33"/>
      <c r="AK142" s="33"/>
      <c r="AL142" s="34"/>
      <c r="AM142" s="33"/>
      <c r="AN142" s="34"/>
      <c r="AO142" s="34"/>
      <c r="AP142" s="34"/>
      <c r="AQ142" s="32"/>
    </row>
    <row r="143" spans="14:43" ht="15" thickBot="1" x14ac:dyDescent="0.35">
      <c r="N143" s="30"/>
      <c r="S143" s="19" t="s">
        <v>114</v>
      </c>
      <c r="T143" s="31">
        <v>5792202</v>
      </c>
      <c r="AI143" s="32"/>
      <c r="AJ143" s="33"/>
      <c r="AK143" s="34"/>
      <c r="AL143" s="33"/>
      <c r="AM143" s="33"/>
      <c r="AN143" s="34"/>
      <c r="AO143" s="34"/>
      <c r="AP143" s="35"/>
      <c r="AQ143" s="32"/>
    </row>
    <row r="144" spans="14:43" ht="15" thickBot="1" x14ac:dyDescent="0.35">
      <c r="N144" s="30"/>
      <c r="S144" s="19" t="s">
        <v>81</v>
      </c>
      <c r="T144" s="31">
        <v>5540720</v>
      </c>
      <c r="AI144" s="32"/>
      <c r="AJ144" s="33"/>
      <c r="AK144" s="34"/>
      <c r="AL144" s="33"/>
      <c r="AM144" s="33"/>
      <c r="AN144" s="34"/>
      <c r="AO144" s="34"/>
      <c r="AP144" s="35"/>
      <c r="AQ144" s="32"/>
    </row>
    <row r="145" spans="14:43" ht="15" thickBot="1" x14ac:dyDescent="0.35">
      <c r="N145" s="30"/>
      <c r="S145" s="19" t="s">
        <v>551</v>
      </c>
      <c r="T145" s="31">
        <v>5518087</v>
      </c>
      <c r="AI145" s="32"/>
      <c r="AJ145" s="33"/>
      <c r="AK145" s="34"/>
      <c r="AL145" s="33"/>
      <c r="AM145" s="33"/>
      <c r="AN145" s="34"/>
      <c r="AO145" s="34"/>
      <c r="AP145" s="35"/>
      <c r="AQ145" s="32"/>
    </row>
    <row r="146" spans="14:43" ht="15" thickBot="1" x14ac:dyDescent="0.35">
      <c r="N146" s="30"/>
      <c r="S146" s="19" t="s">
        <v>189</v>
      </c>
      <c r="T146" s="31">
        <v>5459642</v>
      </c>
      <c r="AI146" s="32"/>
      <c r="AJ146" s="33"/>
      <c r="AK146" s="34"/>
      <c r="AL146" s="33"/>
      <c r="AM146" s="33"/>
      <c r="AN146" s="34"/>
      <c r="AO146" s="34"/>
      <c r="AP146" s="35"/>
      <c r="AQ146" s="32"/>
    </row>
    <row r="147" spans="14:43" ht="15" thickBot="1" x14ac:dyDescent="0.35">
      <c r="N147" s="30"/>
      <c r="S147" s="19" t="s">
        <v>112</v>
      </c>
      <c r="T147" s="31">
        <v>5421241</v>
      </c>
      <c r="AI147" s="32"/>
      <c r="AJ147" s="33"/>
      <c r="AK147" s="34"/>
      <c r="AL147" s="33"/>
      <c r="AM147" s="33"/>
      <c r="AN147" s="34"/>
      <c r="AO147" s="34"/>
      <c r="AP147" s="35"/>
      <c r="AQ147" s="32"/>
    </row>
    <row r="148" spans="14:43" ht="15" thickBot="1" x14ac:dyDescent="0.35">
      <c r="N148" s="30"/>
      <c r="S148" s="19" t="s">
        <v>98</v>
      </c>
      <c r="T148" s="31">
        <v>5106626</v>
      </c>
      <c r="AI148" s="32"/>
      <c r="AJ148" s="33"/>
      <c r="AK148" s="34"/>
      <c r="AL148" s="33"/>
      <c r="AM148" s="33"/>
      <c r="AN148" s="34"/>
      <c r="AO148" s="34"/>
      <c r="AP148" s="35"/>
      <c r="AQ148" s="32"/>
    </row>
    <row r="149" spans="14:43" ht="15" thickBot="1" x14ac:dyDescent="0.35">
      <c r="N149" s="30"/>
      <c r="S149" s="19" t="s">
        <v>552</v>
      </c>
      <c r="T149" s="31">
        <v>5101414</v>
      </c>
      <c r="AI149" s="32"/>
      <c r="AJ149" s="33"/>
      <c r="AK149" s="34"/>
      <c r="AL149" s="33"/>
      <c r="AM149" s="33"/>
      <c r="AN149" s="34"/>
      <c r="AO149" s="34"/>
      <c r="AP149" s="35"/>
      <c r="AQ149" s="32"/>
    </row>
    <row r="150" spans="14:43" ht="15" thickBot="1" x14ac:dyDescent="0.35">
      <c r="N150" s="30"/>
      <c r="S150" s="19" t="s">
        <v>186</v>
      </c>
      <c r="T150" s="31">
        <v>5094118</v>
      </c>
      <c r="AI150" s="32"/>
      <c r="AJ150" s="33"/>
      <c r="AK150" s="34"/>
      <c r="AL150" s="33"/>
      <c r="AM150" s="33"/>
      <c r="AN150" s="34"/>
      <c r="AO150" s="34"/>
      <c r="AP150" s="35"/>
      <c r="AQ150" s="32"/>
    </row>
    <row r="151" spans="14:43" ht="15" thickBot="1" x14ac:dyDescent="0.35">
      <c r="N151" s="30"/>
      <c r="S151" s="19" t="s">
        <v>508</v>
      </c>
      <c r="T151" s="31">
        <v>5057681</v>
      </c>
      <c r="AI151" s="32"/>
      <c r="AJ151" s="33"/>
      <c r="AK151" s="34"/>
      <c r="AL151" s="33"/>
      <c r="AM151" s="33"/>
      <c r="AN151" s="34"/>
      <c r="AO151" s="34"/>
      <c r="AP151" s="35"/>
      <c r="AQ151" s="32"/>
    </row>
    <row r="152" spans="14:43" ht="15" thickBot="1" x14ac:dyDescent="0.35">
      <c r="N152" s="30"/>
      <c r="S152" s="19" t="s">
        <v>125</v>
      </c>
      <c r="T152" s="31">
        <v>4937786</v>
      </c>
      <c r="AI152" s="32"/>
      <c r="AJ152" s="33"/>
      <c r="AK152" s="34"/>
      <c r="AL152" s="33"/>
      <c r="AM152" s="33"/>
      <c r="AN152" s="34"/>
      <c r="AO152" s="34"/>
      <c r="AP152" s="35"/>
      <c r="AQ152" s="32"/>
    </row>
    <row r="153" spans="14:43" ht="15" thickBot="1" x14ac:dyDescent="0.35">
      <c r="N153" s="30"/>
      <c r="S153" s="19" t="s">
        <v>496</v>
      </c>
      <c r="T153" s="31">
        <v>4829767</v>
      </c>
      <c r="AI153" s="32"/>
      <c r="AJ153" s="33"/>
      <c r="AK153" s="34"/>
      <c r="AL153" s="33"/>
      <c r="AM153" s="33"/>
      <c r="AN153" s="34"/>
      <c r="AO153" s="34"/>
      <c r="AP153" s="35"/>
      <c r="AQ153" s="32"/>
    </row>
    <row r="154" spans="14:43" ht="15" thickBot="1" x14ac:dyDescent="0.35">
      <c r="N154" s="30"/>
      <c r="S154" s="19" t="s">
        <v>122</v>
      </c>
      <c r="T154" s="31">
        <v>4822233</v>
      </c>
      <c r="AI154" s="32"/>
      <c r="AJ154" s="33"/>
      <c r="AK154" s="34"/>
      <c r="AL154" s="33"/>
      <c r="AM154" s="33"/>
      <c r="AN154" s="34"/>
      <c r="AO154" s="34"/>
      <c r="AP154" s="35"/>
      <c r="AQ154" s="32"/>
    </row>
    <row r="155" spans="14:43" ht="15" thickBot="1" x14ac:dyDescent="0.35">
      <c r="N155" s="30"/>
      <c r="S155" s="19" t="s">
        <v>476</v>
      </c>
      <c r="T155" s="31">
        <v>4649658</v>
      </c>
      <c r="AI155" s="32"/>
      <c r="AJ155" s="33"/>
      <c r="AK155" s="34"/>
      <c r="AL155" s="33"/>
      <c r="AM155" s="33"/>
      <c r="AN155" s="34"/>
      <c r="AO155" s="34"/>
      <c r="AP155" s="35"/>
      <c r="AQ155" s="32"/>
    </row>
    <row r="156" spans="14:43" ht="15" thickBot="1" x14ac:dyDescent="0.35">
      <c r="N156" s="30"/>
      <c r="S156" s="19" t="s">
        <v>310</v>
      </c>
      <c r="T156" s="31">
        <v>4314767</v>
      </c>
      <c r="AI156" s="32"/>
      <c r="AJ156" s="33"/>
      <c r="AK156" s="34"/>
      <c r="AL156" s="33"/>
      <c r="AM156" s="33"/>
      <c r="AN156" s="34"/>
      <c r="AO156" s="34"/>
      <c r="AP156" s="35"/>
      <c r="AQ156" s="32"/>
    </row>
    <row r="157" spans="14:43" ht="15" thickBot="1" x14ac:dyDescent="0.35">
      <c r="N157" s="30"/>
      <c r="S157" s="19" t="s">
        <v>101</v>
      </c>
      <c r="T157" s="31">
        <v>4270571</v>
      </c>
      <c r="AI157" s="32"/>
      <c r="AJ157" s="33"/>
      <c r="AK157" s="34"/>
      <c r="AL157" s="33"/>
      <c r="AM157" s="33"/>
      <c r="AN157" s="34"/>
      <c r="AO157" s="34"/>
      <c r="AP157" s="34"/>
      <c r="AQ157" s="32"/>
    </row>
    <row r="158" spans="14:43" ht="15" thickBot="1" x14ac:dyDescent="0.35">
      <c r="N158" s="30"/>
      <c r="S158" s="19" t="s">
        <v>103</v>
      </c>
      <c r="T158" s="31">
        <v>4105267</v>
      </c>
      <c r="AI158" s="32"/>
      <c r="AJ158" s="33"/>
      <c r="AK158" s="34"/>
      <c r="AL158" s="33"/>
      <c r="AM158" s="33"/>
      <c r="AN158" s="34"/>
      <c r="AO158" s="34"/>
      <c r="AP158" s="35"/>
      <c r="AQ158" s="32"/>
    </row>
    <row r="159" spans="14:43" ht="15" thickBot="1" x14ac:dyDescent="0.35">
      <c r="N159" s="30"/>
      <c r="S159" s="19" t="s">
        <v>373</v>
      </c>
      <c r="T159" s="31">
        <v>4033963</v>
      </c>
      <c r="AI159" s="32"/>
      <c r="AJ159" s="33"/>
      <c r="AK159" s="34"/>
      <c r="AL159" s="33"/>
      <c r="AM159" s="33"/>
      <c r="AN159" s="34"/>
      <c r="AO159" s="34"/>
      <c r="AP159" s="35"/>
      <c r="AQ159" s="32"/>
    </row>
    <row r="160" spans="14:43" ht="15" thickBot="1" x14ac:dyDescent="0.35">
      <c r="N160" s="30"/>
      <c r="S160" s="19" t="s">
        <v>109</v>
      </c>
      <c r="T160" s="31">
        <v>3989167</v>
      </c>
      <c r="AI160" s="32"/>
      <c r="AJ160" s="33"/>
      <c r="AK160" s="34"/>
      <c r="AL160" s="33"/>
      <c r="AM160" s="33"/>
      <c r="AN160" s="34"/>
      <c r="AO160" s="34"/>
      <c r="AP160" s="35"/>
      <c r="AQ160" s="32"/>
    </row>
    <row r="161" spans="14:43" ht="15" thickBot="1" x14ac:dyDescent="0.35">
      <c r="N161" s="30"/>
      <c r="S161" s="19" t="s">
        <v>553</v>
      </c>
      <c r="T161" s="31">
        <v>3546421</v>
      </c>
      <c r="AI161" s="32"/>
      <c r="AJ161" s="33"/>
      <c r="AK161" s="34"/>
      <c r="AL161" s="33"/>
      <c r="AM161" s="33"/>
      <c r="AN161" s="34"/>
      <c r="AO161" s="34"/>
      <c r="AP161" s="35"/>
      <c r="AQ161" s="32"/>
    </row>
    <row r="162" spans="14:43" ht="15" thickBot="1" x14ac:dyDescent="0.35">
      <c r="N162" s="30"/>
      <c r="S162" s="19" t="s">
        <v>463</v>
      </c>
      <c r="T162" s="31">
        <v>3473730</v>
      </c>
      <c r="AI162" s="32"/>
      <c r="AJ162" s="33"/>
      <c r="AK162" s="34"/>
      <c r="AL162" s="33"/>
      <c r="AM162" s="33"/>
      <c r="AN162" s="34"/>
      <c r="AO162" s="34"/>
      <c r="AP162" s="35"/>
      <c r="AQ162" s="32"/>
    </row>
    <row r="163" spans="14:43" ht="15" thickBot="1" x14ac:dyDescent="0.35">
      <c r="N163" s="30"/>
      <c r="S163" s="19" t="s">
        <v>167</v>
      </c>
      <c r="T163" s="31">
        <v>3280819</v>
      </c>
      <c r="AI163" s="32"/>
      <c r="AJ163" s="33"/>
      <c r="AK163" s="34"/>
      <c r="AL163" s="33"/>
      <c r="AM163" s="33"/>
      <c r="AN163" s="34"/>
      <c r="AO163" s="34"/>
      <c r="AP163" s="35"/>
      <c r="AQ163" s="32"/>
    </row>
    <row r="164" spans="14:43" ht="15" thickBot="1" x14ac:dyDescent="0.35">
      <c r="N164" s="30"/>
      <c r="S164" s="19" t="s">
        <v>309</v>
      </c>
      <c r="T164" s="31">
        <v>3278290</v>
      </c>
      <c r="AI164" s="32"/>
      <c r="AJ164" s="33"/>
      <c r="AK164" s="34"/>
      <c r="AL164" s="33"/>
      <c r="AM164" s="34"/>
      <c r="AN164" s="34"/>
      <c r="AO164" s="34"/>
      <c r="AP164" s="35"/>
      <c r="AQ164" s="32"/>
    </row>
    <row r="165" spans="14:43" ht="15" thickBot="1" x14ac:dyDescent="0.35">
      <c r="N165" s="30"/>
      <c r="S165" s="19" t="s">
        <v>132</v>
      </c>
      <c r="T165" s="31">
        <v>2963243</v>
      </c>
      <c r="AI165" s="32"/>
      <c r="AJ165" s="33"/>
      <c r="AK165" s="34"/>
      <c r="AL165" s="33"/>
      <c r="AM165" s="33"/>
      <c r="AN165" s="34"/>
      <c r="AO165" s="34"/>
      <c r="AP165" s="35"/>
      <c r="AQ165" s="32"/>
    </row>
    <row r="166" spans="14:43" ht="15" thickBot="1" x14ac:dyDescent="0.35">
      <c r="N166" s="30"/>
      <c r="S166" s="19" t="s">
        <v>381</v>
      </c>
      <c r="T166" s="31">
        <v>2961167</v>
      </c>
      <c r="AI166" s="32"/>
      <c r="AJ166" s="33"/>
      <c r="AK166" s="34"/>
      <c r="AL166" s="33"/>
      <c r="AM166" s="33"/>
      <c r="AN166" s="34"/>
      <c r="AO166" s="34"/>
      <c r="AP166" s="35"/>
      <c r="AQ166" s="32"/>
    </row>
    <row r="167" spans="14:43" ht="15" thickBot="1" x14ac:dyDescent="0.35">
      <c r="N167" s="30"/>
      <c r="S167" s="19" t="s">
        <v>128</v>
      </c>
      <c r="T167" s="31">
        <v>2881053</v>
      </c>
      <c r="AI167" s="32"/>
      <c r="AJ167" s="33"/>
      <c r="AK167" s="34"/>
      <c r="AL167" s="33"/>
      <c r="AM167" s="33"/>
      <c r="AN167" s="34"/>
      <c r="AO167" s="34"/>
      <c r="AP167" s="35"/>
      <c r="AQ167" s="32"/>
    </row>
    <row r="168" spans="14:43" ht="15" thickBot="1" x14ac:dyDescent="0.35">
      <c r="N168" s="30"/>
      <c r="S168" s="19" t="s">
        <v>257</v>
      </c>
      <c r="T168" s="31">
        <v>2877797</v>
      </c>
      <c r="AI168" s="32"/>
      <c r="AJ168" s="33"/>
      <c r="AK168" s="34"/>
      <c r="AL168" s="33"/>
      <c r="AM168" s="33"/>
      <c r="AN168" s="34"/>
      <c r="AO168" s="34"/>
      <c r="AP168" s="35"/>
      <c r="AQ168" s="32"/>
    </row>
    <row r="169" spans="14:43" ht="15" thickBot="1" x14ac:dyDescent="0.35">
      <c r="N169" s="30"/>
      <c r="S169" s="19" t="s">
        <v>465</v>
      </c>
      <c r="T169" s="31">
        <v>2860853</v>
      </c>
      <c r="AI169" s="32"/>
      <c r="AJ169" s="33"/>
      <c r="AK169" s="34"/>
      <c r="AL169" s="33"/>
      <c r="AM169" s="33"/>
      <c r="AN169" s="34"/>
      <c r="AO169" s="34"/>
      <c r="AP169" s="34"/>
      <c r="AQ169" s="32"/>
    </row>
    <row r="170" spans="14:43" ht="15" thickBot="1" x14ac:dyDescent="0.35">
      <c r="N170" s="30"/>
      <c r="S170" s="19" t="s">
        <v>120</v>
      </c>
      <c r="T170" s="31">
        <v>2722289</v>
      </c>
      <c r="AI170" s="32"/>
      <c r="AJ170" s="33"/>
      <c r="AK170" s="34"/>
      <c r="AL170" s="33"/>
      <c r="AM170" s="33"/>
      <c r="AN170" s="34"/>
      <c r="AO170" s="34"/>
      <c r="AP170" s="35"/>
      <c r="AQ170" s="32"/>
    </row>
    <row r="171" spans="14:43" ht="15" thickBot="1" x14ac:dyDescent="0.35">
      <c r="N171" s="30"/>
      <c r="S171" s="19" t="s">
        <v>467</v>
      </c>
      <c r="T171" s="31">
        <v>2540905</v>
      </c>
      <c r="AI171" s="32"/>
      <c r="AJ171" s="33"/>
      <c r="AK171" s="34"/>
      <c r="AL171" s="33"/>
      <c r="AM171" s="33"/>
      <c r="AN171" s="34"/>
      <c r="AO171" s="34"/>
      <c r="AP171" s="35"/>
      <c r="AQ171" s="32"/>
    </row>
    <row r="172" spans="14:43" ht="15" thickBot="1" x14ac:dyDescent="0.35">
      <c r="N172" s="30"/>
      <c r="S172" s="19" t="s">
        <v>554</v>
      </c>
      <c r="T172" s="31">
        <v>2416668</v>
      </c>
      <c r="AI172" s="32"/>
      <c r="AJ172" s="33"/>
      <c r="AK172" s="34"/>
      <c r="AL172" s="33"/>
      <c r="AM172" s="33"/>
      <c r="AN172" s="34"/>
      <c r="AO172" s="34"/>
      <c r="AP172" s="35"/>
      <c r="AQ172" s="32"/>
    </row>
    <row r="173" spans="14:43" ht="15" thickBot="1" x14ac:dyDescent="0.35">
      <c r="N173" s="30"/>
      <c r="S173" s="19" t="s">
        <v>555</v>
      </c>
      <c r="T173" s="31">
        <v>2351627</v>
      </c>
      <c r="AI173" s="32"/>
      <c r="AJ173" s="33"/>
      <c r="AK173" s="34"/>
      <c r="AL173" s="33"/>
      <c r="AM173" s="33"/>
      <c r="AN173" s="34"/>
      <c r="AO173" s="34"/>
      <c r="AP173" s="35"/>
      <c r="AQ173" s="32"/>
    </row>
    <row r="174" spans="14:43" ht="15" thickBot="1" x14ac:dyDescent="0.35">
      <c r="N174" s="30"/>
      <c r="S174" s="19" t="s">
        <v>473</v>
      </c>
      <c r="T174" s="31">
        <v>2225734</v>
      </c>
      <c r="AI174" s="32"/>
      <c r="AJ174" s="33"/>
      <c r="AK174" s="34"/>
      <c r="AL174" s="33"/>
      <c r="AM174" s="33"/>
      <c r="AN174" s="34"/>
      <c r="AO174" s="34"/>
      <c r="AP174" s="35"/>
      <c r="AQ174" s="32"/>
    </row>
    <row r="175" spans="14:43" ht="15" thickBot="1" x14ac:dyDescent="0.35">
      <c r="N175" s="30"/>
      <c r="S175" s="19" t="s">
        <v>556</v>
      </c>
      <c r="T175" s="31">
        <v>2142249</v>
      </c>
      <c r="AI175" s="32"/>
      <c r="AJ175" s="33"/>
      <c r="AK175" s="34"/>
      <c r="AL175" s="33"/>
      <c r="AM175" s="33"/>
      <c r="AN175" s="34"/>
      <c r="AO175" s="34"/>
      <c r="AP175" s="35"/>
      <c r="AQ175" s="32"/>
    </row>
    <row r="176" spans="14:43" ht="15" thickBot="1" x14ac:dyDescent="0.35">
      <c r="N176" s="30"/>
      <c r="S176" s="19" t="s">
        <v>111</v>
      </c>
      <c r="T176" s="31">
        <v>2083374</v>
      </c>
      <c r="AI176" s="32"/>
      <c r="AJ176" s="34"/>
      <c r="AK176" s="34"/>
      <c r="AL176" s="33"/>
      <c r="AM176" s="33"/>
      <c r="AN176" s="34"/>
      <c r="AO176" s="34"/>
      <c r="AP176" s="35"/>
      <c r="AQ176" s="32"/>
    </row>
    <row r="177" spans="14:43" ht="15" thickBot="1" x14ac:dyDescent="0.35">
      <c r="N177" s="30"/>
      <c r="S177" s="19" t="s">
        <v>168</v>
      </c>
      <c r="T177" s="31">
        <v>2078938</v>
      </c>
      <c r="AI177" s="32"/>
      <c r="AJ177" s="34"/>
      <c r="AK177" s="34"/>
      <c r="AL177" s="33"/>
      <c r="AM177" s="33"/>
      <c r="AN177" s="34"/>
      <c r="AO177" s="34"/>
      <c r="AP177" s="35"/>
      <c r="AQ177" s="32"/>
    </row>
    <row r="178" spans="14:43" ht="15" thickBot="1" x14ac:dyDescent="0.35">
      <c r="N178" s="30"/>
      <c r="S178" s="19" t="s">
        <v>557</v>
      </c>
      <c r="T178" s="31">
        <v>1968001</v>
      </c>
      <c r="AI178" s="32"/>
      <c r="AJ178" s="33"/>
      <c r="AK178" s="34"/>
      <c r="AL178" s="33"/>
      <c r="AM178" s="33"/>
      <c r="AN178" s="34"/>
      <c r="AO178" s="34"/>
      <c r="AP178" s="35"/>
      <c r="AQ178" s="32"/>
    </row>
    <row r="179" spans="14:43" ht="15" thickBot="1" x14ac:dyDescent="0.35">
      <c r="N179" s="30"/>
      <c r="S179" s="19" t="s">
        <v>138</v>
      </c>
      <c r="T179" s="31">
        <v>1886198</v>
      </c>
      <c r="AI179" s="32"/>
      <c r="AJ179" s="33"/>
      <c r="AK179" s="34"/>
      <c r="AL179" s="33"/>
      <c r="AM179" s="33"/>
      <c r="AN179" s="34"/>
      <c r="AO179" s="34"/>
      <c r="AP179" s="35"/>
      <c r="AQ179" s="32"/>
    </row>
    <row r="180" spans="14:43" ht="15" thickBot="1" x14ac:dyDescent="0.35">
      <c r="N180" s="30"/>
      <c r="S180" s="19" t="s">
        <v>100</v>
      </c>
      <c r="T180" s="31">
        <v>1701575</v>
      </c>
      <c r="AI180" s="32"/>
      <c r="AJ180" s="33"/>
      <c r="AK180" s="33"/>
      <c r="AL180" s="34"/>
      <c r="AM180" s="33"/>
      <c r="AN180" s="34"/>
      <c r="AO180" s="34"/>
      <c r="AP180" s="35"/>
      <c r="AQ180" s="32"/>
    </row>
    <row r="181" spans="14:43" ht="15" thickBot="1" x14ac:dyDescent="0.35">
      <c r="N181" s="30"/>
      <c r="S181" s="19" t="s">
        <v>498</v>
      </c>
      <c r="T181" s="31">
        <v>1402985</v>
      </c>
      <c r="AI181" s="32"/>
      <c r="AJ181" s="33"/>
      <c r="AK181" s="34"/>
      <c r="AL181" s="33"/>
      <c r="AM181" s="33"/>
      <c r="AN181" s="34"/>
      <c r="AO181" s="34"/>
      <c r="AP181" s="35"/>
      <c r="AQ181" s="32"/>
    </row>
    <row r="182" spans="14:43" ht="15" thickBot="1" x14ac:dyDescent="0.35">
      <c r="N182" s="30"/>
      <c r="S182" s="19" t="s">
        <v>469</v>
      </c>
      <c r="T182" s="31">
        <v>1399488</v>
      </c>
      <c r="AI182" s="32"/>
      <c r="AJ182" s="33"/>
      <c r="AK182" s="34"/>
      <c r="AL182" s="33"/>
      <c r="AM182" s="34"/>
      <c r="AN182" s="34"/>
      <c r="AO182" s="34"/>
      <c r="AP182" s="35"/>
      <c r="AQ182" s="32"/>
    </row>
    <row r="183" spans="14:43" ht="15" thickBot="1" x14ac:dyDescent="0.35">
      <c r="N183" s="30"/>
      <c r="S183" s="19" t="s">
        <v>115</v>
      </c>
      <c r="T183" s="31">
        <v>1326535</v>
      </c>
      <c r="AI183" s="32"/>
      <c r="AJ183" s="34"/>
      <c r="AK183" s="34"/>
      <c r="AL183" s="33"/>
      <c r="AM183" s="33"/>
      <c r="AN183" s="34"/>
      <c r="AO183" s="34"/>
      <c r="AP183" s="35"/>
      <c r="AQ183" s="32"/>
    </row>
    <row r="184" spans="14:43" ht="15" thickBot="1" x14ac:dyDescent="0.35">
      <c r="N184" s="30"/>
      <c r="S184" s="19" t="s">
        <v>558</v>
      </c>
      <c r="T184" s="31">
        <v>1318445</v>
      </c>
      <c r="AI184" s="32"/>
      <c r="AJ184" s="33"/>
      <c r="AK184" s="34"/>
      <c r="AL184" s="33"/>
      <c r="AM184" s="33"/>
      <c r="AN184" s="34"/>
      <c r="AO184" s="34"/>
      <c r="AP184" s="35"/>
      <c r="AQ184" s="32"/>
    </row>
    <row r="185" spans="14:43" ht="15" thickBot="1" x14ac:dyDescent="0.35">
      <c r="N185" s="30"/>
      <c r="S185" s="19" t="s">
        <v>559</v>
      </c>
      <c r="T185" s="31">
        <v>1271768</v>
      </c>
      <c r="AI185" s="32"/>
      <c r="AJ185" s="33"/>
      <c r="AK185" s="34"/>
      <c r="AL185" s="33"/>
      <c r="AM185" s="34"/>
      <c r="AN185" s="34"/>
      <c r="AO185" s="34"/>
      <c r="AP185" s="35"/>
      <c r="AQ185" s="32"/>
    </row>
    <row r="186" spans="14:43" ht="15" thickBot="1" x14ac:dyDescent="0.35">
      <c r="N186" s="30"/>
      <c r="S186" s="19" t="s">
        <v>258</v>
      </c>
      <c r="T186" s="31">
        <v>1207359</v>
      </c>
      <c r="AI186" s="32"/>
      <c r="AJ186" s="33"/>
      <c r="AK186" s="34"/>
      <c r="AL186" s="33"/>
      <c r="AM186" s="33"/>
      <c r="AN186" s="34"/>
      <c r="AO186" s="34"/>
      <c r="AP186" s="35"/>
      <c r="AQ186" s="32"/>
    </row>
    <row r="187" spans="14:43" ht="15" thickBot="1" x14ac:dyDescent="0.35">
      <c r="N187" s="30"/>
      <c r="S187" s="19" t="s">
        <v>472</v>
      </c>
      <c r="T187" s="31">
        <v>1160164</v>
      </c>
      <c r="AI187" s="32"/>
      <c r="AJ187" s="33"/>
      <c r="AK187" s="34"/>
      <c r="AL187" s="33"/>
      <c r="AM187" s="33"/>
      <c r="AN187" s="34"/>
      <c r="AO187" s="34"/>
      <c r="AP187" s="35"/>
      <c r="AQ187" s="32"/>
    </row>
    <row r="188" spans="14:43" ht="15" thickBot="1" x14ac:dyDescent="0.35">
      <c r="N188" s="30"/>
      <c r="S188" s="19" t="s">
        <v>560</v>
      </c>
      <c r="T188" s="31">
        <v>988000</v>
      </c>
      <c r="AI188" s="32"/>
      <c r="AJ188" s="33"/>
      <c r="AK188" s="34"/>
      <c r="AL188" s="33"/>
      <c r="AM188" s="34"/>
      <c r="AN188" s="34"/>
      <c r="AO188" s="34"/>
      <c r="AP188" s="35"/>
      <c r="AQ188" s="32"/>
    </row>
    <row r="189" spans="14:43" ht="15" thickBot="1" x14ac:dyDescent="0.35">
      <c r="N189" s="30"/>
      <c r="S189" s="19" t="s">
        <v>561</v>
      </c>
      <c r="T189" s="31">
        <v>896445</v>
      </c>
      <c r="AI189" s="32"/>
      <c r="AJ189" s="33"/>
      <c r="AK189" s="34"/>
      <c r="AL189" s="33"/>
      <c r="AM189" s="33"/>
      <c r="AN189" s="34"/>
      <c r="AO189" s="34"/>
      <c r="AP189" s="35"/>
      <c r="AQ189" s="32"/>
    </row>
    <row r="190" spans="14:43" ht="15" thickBot="1" x14ac:dyDescent="0.35">
      <c r="N190" s="30"/>
      <c r="S190" s="19" t="s">
        <v>562</v>
      </c>
      <c r="T190" s="31">
        <v>895312</v>
      </c>
      <c r="AI190" s="32"/>
      <c r="AJ190" s="33"/>
      <c r="AK190" s="34"/>
      <c r="AL190" s="33"/>
      <c r="AM190" s="33"/>
      <c r="AN190" s="34"/>
      <c r="AO190" s="34"/>
      <c r="AP190" s="35"/>
      <c r="AQ190" s="32"/>
    </row>
    <row r="191" spans="14:43" ht="15" thickBot="1" x14ac:dyDescent="0.35">
      <c r="N191" s="30"/>
      <c r="S191" s="19" t="s">
        <v>563</v>
      </c>
      <c r="T191" s="31">
        <v>869601</v>
      </c>
      <c r="AI191" s="32"/>
      <c r="AJ191" s="33"/>
      <c r="AK191" s="34"/>
      <c r="AL191" s="33"/>
      <c r="AM191" s="33"/>
      <c r="AN191" s="34"/>
      <c r="AO191" s="34"/>
      <c r="AP191" s="35"/>
      <c r="AQ191" s="32"/>
    </row>
    <row r="192" spans="14:43" ht="15" thickBot="1" x14ac:dyDescent="0.35">
      <c r="N192" s="30"/>
      <c r="S192" s="19" t="s">
        <v>439</v>
      </c>
      <c r="T192" s="31">
        <v>786552</v>
      </c>
      <c r="AI192" s="32"/>
      <c r="AJ192" s="33"/>
      <c r="AK192" s="34"/>
      <c r="AL192" s="33"/>
      <c r="AM192" s="33"/>
      <c r="AN192" s="34"/>
      <c r="AO192" s="34"/>
      <c r="AP192" s="35"/>
      <c r="AQ192" s="32"/>
    </row>
    <row r="193" spans="14:43" ht="15" thickBot="1" x14ac:dyDescent="0.35">
      <c r="N193" s="30"/>
      <c r="S193" s="19" t="s">
        <v>183</v>
      </c>
      <c r="T193" s="31">
        <v>771608</v>
      </c>
      <c r="AI193" s="32"/>
      <c r="AJ193" s="33"/>
      <c r="AK193" s="34"/>
      <c r="AL193" s="33"/>
      <c r="AM193" s="34"/>
      <c r="AN193" s="34"/>
      <c r="AO193" s="34"/>
      <c r="AP193" s="35"/>
      <c r="AQ193" s="32"/>
    </row>
    <row r="194" spans="14:43" ht="15" thickBot="1" x14ac:dyDescent="0.35">
      <c r="N194" s="30"/>
      <c r="S194" s="19" t="s">
        <v>564</v>
      </c>
      <c r="T194" s="31">
        <v>686884</v>
      </c>
      <c r="AI194" s="32"/>
      <c r="AJ194" s="33"/>
      <c r="AK194" s="34"/>
      <c r="AL194" s="33"/>
      <c r="AM194" s="33"/>
      <c r="AN194" s="34"/>
      <c r="AO194" s="34"/>
      <c r="AP194" s="35"/>
      <c r="AQ194" s="32"/>
    </row>
    <row r="195" spans="14:43" ht="15" thickBot="1" x14ac:dyDescent="0.35">
      <c r="N195" s="30"/>
      <c r="S195" s="19" t="s">
        <v>565</v>
      </c>
      <c r="T195" s="31">
        <v>649335</v>
      </c>
      <c r="AI195" s="32"/>
      <c r="AJ195" s="33"/>
      <c r="AK195" s="33"/>
      <c r="AL195" s="34"/>
      <c r="AM195" s="33"/>
      <c r="AN195" s="34"/>
      <c r="AO195" s="34"/>
      <c r="AP195" s="34"/>
      <c r="AQ195" s="32"/>
    </row>
    <row r="196" spans="14:43" ht="15" thickBot="1" x14ac:dyDescent="0.35">
      <c r="N196" s="30"/>
      <c r="S196" s="19" t="s">
        <v>566</v>
      </c>
      <c r="T196" s="31">
        <v>628066</v>
      </c>
      <c r="AI196" s="32"/>
      <c r="AJ196" s="34"/>
      <c r="AK196" s="34"/>
      <c r="AL196" s="33"/>
      <c r="AM196" s="34"/>
      <c r="AN196" s="34"/>
      <c r="AO196" s="34"/>
      <c r="AP196" s="35"/>
      <c r="AQ196" s="32"/>
    </row>
    <row r="197" spans="14:43" ht="15" thickBot="1" x14ac:dyDescent="0.35">
      <c r="N197" s="30"/>
      <c r="S197" s="19" t="s">
        <v>126</v>
      </c>
      <c r="T197" s="31">
        <v>625978</v>
      </c>
      <c r="AI197" s="32"/>
      <c r="AJ197" s="33"/>
      <c r="AK197" s="34"/>
      <c r="AL197" s="33"/>
      <c r="AM197" s="33"/>
      <c r="AN197" s="34"/>
      <c r="AO197" s="34"/>
      <c r="AP197" s="35"/>
      <c r="AQ197" s="32"/>
    </row>
    <row r="198" spans="14:43" ht="15" thickBot="1" x14ac:dyDescent="0.35">
      <c r="N198" s="30"/>
      <c r="S198" s="19" t="s">
        <v>567</v>
      </c>
      <c r="T198" s="31">
        <v>597339</v>
      </c>
      <c r="AI198" s="32"/>
      <c r="AJ198" s="33"/>
      <c r="AK198" s="34"/>
      <c r="AL198" s="33"/>
      <c r="AM198" s="33"/>
      <c r="AN198" s="34"/>
      <c r="AO198" s="34"/>
      <c r="AP198" s="35"/>
      <c r="AQ198" s="32"/>
    </row>
    <row r="199" spans="14:43" ht="15" thickBot="1" x14ac:dyDescent="0.35">
      <c r="N199" s="30"/>
      <c r="S199" s="19" t="s">
        <v>480</v>
      </c>
      <c r="T199" s="31">
        <v>586632</v>
      </c>
      <c r="AI199" s="32"/>
      <c r="AJ199" s="33"/>
      <c r="AK199" s="34"/>
      <c r="AL199" s="33"/>
      <c r="AM199" s="33"/>
      <c r="AN199" s="34"/>
      <c r="AO199" s="34"/>
      <c r="AP199" s="35"/>
      <c r="AQ199" s="32"/>
    </row>
    <row r="200" spans="14:43" ht="15" thickBot="1" x14ac:dyDescent="0.35">
      <c r="N200" s="30"/>
      <c r="S200" s="19" t="s">
        <v>568</v>
      </c>
      <c r="T200" s="31">
        <v>555987</v>
      </c>
      <c r="AI200" s="32"/>
      <c r="AJ200" s="33"/>
      <c r="AK200" s="34"/>
      <c r="AL200" s="33"/>
      <c r="AM200" s="33"/>
      <c r="AN200" s="34"/>
      <c r="AO200" s="34"/>
      <c r="AP200" s="35"/>
      <c r="AQ200" s="32"/>
    </row>
    <row r="201" spans="14:43" ht="15" thickBot="1" x14ac:dyDescent="0.35">
      <c r="N201" s="30"/>
      <c r="S201" s="19" t="s">
        <v>227</v>
      </c>
      <c r="T201" s="31">
        <v>540544</v>
      </c>
      <c r="AI201" s="32"/>
      <c r="AJ201" s="33"/>
      <c r="AK201" s="33"/>
      <c r="AL201" s="34"/>
      <c r="AM201" s="33"/>
      <c r="AN201" s="34"/>
      <c r="AO201" s="34"/>
      <c r="AP201" s="35"/>
      <c r="AQ201" s="32"/>
    </row>
    <row r="202" spans="14:43" ht="15" thickBot="1" x14ac:dyDescent="0.35">
      <c r="N202" s="30"/>
      <c r="S202" s="19" t="s">
        <v>204</v>
      </c>
      <c r="T202" s="31">
        <v>441543</v>
      </c>
      <c r="AI202" s="32"/>
      <c r="AJ202" s="33"/>
      <c r="AK202" s="33"/>
      <c r="AL202" s="34"/>
      <c r="AM202" s="34"/>
      <c r="AN202" s="34"/>
      <c r="AO202" s="34"/>
      <c r="AP202" s="35"/>
      <c r="AQ202" s="32"/>
    </row>
    <row r="203" spans="14:43" ht="15" thickBot="1" x14ac:dyDescent="0.35">
      <c r="N203" s="30"/>
      <c r="S203" s="19" t="s">
        <v>260</v>
      </c>
      <c r="T203" s="31">
        <v>437479</v>
      </c>
      <c r="AI203" s="32"/>
      <c r="AJ203" s="33"/>
      <c r="AK203" s="34"/>
      <c r="AL203" s="33"/>
      <c r="AM203" s="34"/>
      <c r="AN203" s="34"/>
      <c r="AO203" s="34"/>
      <c r="AP203" s="35"/>
      <c r="AQ203" s="32"/>
    </row>
    <row r="204" spans="14:43" ht="15" thickBot="1" x14ac:dyDescent="0.35">
      <c r="N204" s="30"/>
      <c r="S204" s="19" t="s">
        <v>444</v>
      </c>
      <c r="T204" s="31">
        <v>400124</v>
      </c>
      <c r="AI204" s="32"/>
      <c r="AJ204" s="34"/>
      <c r="AK204" s="34"/>
      <c r="AL204" s="33"/>
      <c r="AM204" s="33"/>
      <c r="AN204" s="34"/>
      <c r="AO204" s="34"/>
      <c r="AP204" s="34"/>
      <c r="AQ204" s="32"/>
    </row>
    <row r="205" spans="14:43" ht="15" thickBot="1" x14ac:dyDescent="0.35">
      <c r="N205" s="30"/>
      <c r="S205" s="19" t="s">
        <v>569</v>
      </c>
      <c r="T205" s="31">
        <v>397628</v>
      </c>
      <c r="AI205" s="32"/>
      <c r="AJ205" s="33"/>
      <c r="AK205" s="34"/>
      <c r="AL205" s="33"/>
      <c r="AM205" s="33"/>
      <c r="AN205" s="34"/>
      <c r="AO205" s="34"/>
      <c r="AP205" s="35"/>
      <c r="AQ205" s="32"/>
    </row>
    <row r="206" spans="14:43" ht="15" thickBot="1" x14ac:dyDescent="0.35">
      <c r="N206" s="30"/>
      <c r="S206" s="19" t="s">
        <v>570</v>
      </c>
      <c r="T206" s="31">
        <v>393244</v>
      </c>
      <c r="AI206" s="32"/>
      <c r="AJ206" s="33"/>
      <c r="AK206" s="34"/>
      <c r="AL206" s="33"/>
      <c r="AM206" s="33"/>
      <c r="AN206" s="34"/>
      <c r="AO206" s="34"/>
      <c r="AP206" s="35"/>
      <c r="AQ206" s="32"/>
    </row>
    <row r="207" spans="14:43" ht="15" thickBot="1" x14ac:dyDescent="0.35">
      <c r="N207" s="30"/>
      <c r="S207" s="19" t="s">
        <v>207</v>
      </c>
      <c r="T207" s="31">
        <v>375265</v>
      </c>
      <c r="AI207" s="32"/>
      <c r="AJ207" s="34"/>
      <c r="AK207" s="34"/>
      <c r="AL207" s="33"/>
      <c r="AM207" s="34"/>
      <c r="AN207" s="34"/>
      <c r="AO207" s="34"/>
      <c r="AP207" s="35"/>
      <c r="AQ207" s="32"/>
    </row>
    <row r="208" spans="14:43" ht="15" thickBot="1" x14ac:dyDescent="0.35">
      <c r="N208" s="30"/>
      <c r="S208" s="19" t="s">
        <v>119</v>
      </c>
      <c r="T208" s="31">
        <v>341243</v>
      </c>
      <c r="AI208" s="32"/>
      <c r="AJ208" s="33"/>
      <c r="AK208" s="34"/>
      <c r="AL208" s="33"/>
      <c r="AM208" s="34"/>
      <c r="AN208" s="34"/>
      <c r="AO208" s="34"/>
      <c r="AP208" s="35"/>
      <c r="AQ208" s="32"/>
    </row>
    <row r="209" spans="14:43" ht="15" thickBot="1" x14ac:dyDescent="0.35">
      <c r="N209" s="30"/>
      <c r="S209" s="19" t="s">
        <v>571</v>
      </c>
      <c r="T209" s="31">
        <v>307145</v>
      </c>
      <c r="AI209" s="32"/>
      <c r="AJ209" s="33"/>
      <c r="AK209" s="34"/>
      <c r="AL209" s="33"/>
      <c r="AM209" s="34"/>
      <c r="AN209" s="34"/>
      <c r="AO209" s="34"/>
      <c r="AP209" s="35"/>
      <c r="AQ209" s="32"/>
    </row>
    <row r="210" spans="14:43" ht="15" thickBot="1" x14ac:dyDescent="0.35">
      <c r="N210" s="30"/>
      <c r="S210" s="19" t="s">
        <v>203</v>
      </c>
      <c r="T210" s="31">
        <v>298682</v>
      </c>
      <c r="AI210" s="32"/>
      <c r="AJ210" s="33"/>
      <c r="AK210" s="34"/>
      <c r="AL210" s="33"/>
      <c r="AM210" s="33"/>
      <c r="AN210" s="34"/>
      <c r="AO210" s="34"/>
      <c r="AP210" s="35"/>
      <c r="AQ210" s="32"/>
    </row>
    <row r="211" spans="14:43" ht="15" thickBot="1" x14ac:dyDescent="0.35">
      <c r="N211" s="30"/>
      <c r="S211" s="19" t="s">
        <v>572</v>
      </c>
      <c r="T211" s="31">
        <v>287375</v>
      </c>
      <c r="AI211" s="32"/>
      <c r="AJ211" s="34"/>
      <c r="AK211" s="34"/>
      <c r="AL211" s="34"/>
      <c r="AM211" s="34"/>
      <c r="AN211" s="34"/>
      <c r="AO211" s="34"/>
      <c r="AP211" s="35"/>
      <c r="AQ211" s="32"/>
    </row>
    <row r="212" spans="14:43" ht="15" thickBot="1" x14ac:dyDescent="0.35">
      <c r="N212" s="30"/>
      <c r="S212" s="19" t="s">
        <v>573</v>
      </c>
      <c r="T212" s="31">
        <v>285498</v>
      </c>
      <c r="AI212" s="32"/>
      <c r="AJ212" s="33"/>
      <c r="AK212" s="34"/>
      <c r="AL212" s="33"/>
      <c r="AM212" s="34"/>
      <c r="AN212" s="34"/>
      <c r="AO212" s="34"/>
      <c r="AP212" s="35"/>
      <c r="AQ212" s="32"/>
    </row>
    <row r="213" spans="14:43" ht="15" thickBot="1" x14ac:dyDescent="0.35">
      <c r="N213" s="30"/>
      <c r="S213" s="19" t="s">
        <v>442</v>
      </c>
      <c r="T213" s="31">
        <v>280908</v>
      </c>
      <c r="AI213" s="32"/>
      <c r="AJ213" s="33"/>
      <c r="AK213" s="34"/>
      <c r="AL213" s="33"/>
      <c r="AM213" s="33"/>
      <c r="AN213" s="34"/>
      <c r="AO213" s="34"/>
      <c r="AP213" s="35"/>
      <c r="AQ213" s="32"/>
    </row>
    <row r="214" spans="14:43" ht="15" thickBot="1" x14ac:dyDescent="0.35">
      <c r="N214" s="30"/>
      <c r="S214" s="19" t="s">
        <v>499</v>
      </c>
      <c r="T214" s="31">
        <v>272815</v>
      </c>
      <c r="AI214" s="32"/>
      <c r="AJ214" s="33"/>
      <c r="AK214" s="34"/>
      <c r="AL214" s="34"/>
      <c r="AM214" s="34"/>
      <c r="AN214" s="34"/>
      <c r="AO214" s="34"/>
      <c r="AP214" s="35"/>
      <c r="AQ214" s="32"/>
    </row>
    <row r="215" spans="14:43" ht="15" thickBot="1" x14ac:dyDescent="0.35">
      <c r="N215" s="30"/>
      <c r="S215" s="19" t="s">
        <v>574</v>
      </c>
      <c r="T215" s="31">
        <v>219159</v>
      </c>
      <c r="AI215" s="32"/>
      <c r="AJ215" s="33"/>
      <c r="AK215" s="34"/>
      <c r="AL215" s="34"/>
      <c r="AM215" s="33"/>
      <c r="AN215" s="34"/>
      <c r="AO215" s="34"/>
      <c r="AP215" s="35"/>
      <c r="AQ215" s="32"/>
    </row>
    <row r="216" spans="14:43" ht="15" thickBot="1" x14ac:dyDescent="0.35">
      <c r="N216" s="30"/>
      <c r="S216" s="19" t="s">
        <v>575</v>
      </c>
      <c r="T216" s="31">
        <v>198414</v>
      </c>
      <c r="AI216" s="32"/>
      <c r="AJ216" s="33"/>
      <c r="AK216" s="34"/>
      <c r="AL216" s="33"/>
      <c r="AM216" s="33"/>
      <c r="AN216" s="34"/>
      <c r="AO216" s="34"/>
      <c r="AP216" s="35"/>
      <c r="AQ216" s="32"/>
    </row>
    <row r="217" spans="14:43" ht="15" thickBot="1" x14ac:dyDescent="0.35">
      <c r="N217" s="30"/>
      <c r="S217" s="19" t="s">
        <v>478</v>
      </c>
      <c r="T217" s="31">
        <v>183627</v>
      </c>
      <c r="AI217" s="32"/>
      <c r="AJ217" s="34"/>
      <c r="AK217" s="34"/>
      <c r="AL217" s="34"/>
      <c r="AM217" s="34"/>
      <c r="AN217" s="34"/>
      <c r="AO217" s="34"/>
      <c r="AP217" s="35"/>
      <c r="AQ217" s="32"/>
    </row>
    <row r="218" spans="14:43" ht="15" thickBot="1" x14ac:dyDescent="0.35">
      <c r="N218" s="30"/>
      <c r="S218" s="19" t="s">
        <v>307</v>
      </c>
      <c r="T218" s="31">
        <v>173863</v>
      </c>
      <c r="AI218" s="32"/>
      <c r="AJ218" s="33"/>
      <c r="AK218" s="34"/>
      <c r="AL218" s="34"/>
      <c r="AM218" s="33"/>
      <c r="AN218" s="34"/>
      <c r="AO218" s="34"/>
      <c r="AP218" s="35"/>
      <c r="AQ218" s="32"/>
    </row>
    <row r="219" spans="14:43" ht="15" thickBot="1" x14ac:dyDescent="0.35">
      <c r="N219" s="30"/>
      <c r="S219" s="19" t="s">
        <v>492</v>
      </c>
      <c r="T219" s="31">
        <v>168775</v>
      </c>
      <c r="AI219" s="32"/>
      <c r="AJ219" s="33"/>
      <c r="AK219" s="34"/>
      <c r="AL219" s="34"/>
      <c r="AM219" s="34"/>
      <c r="AN219" s="34"/>
      <c r="AO219" s="34"/>
      <c r="AP219" s="35"/>
      <c r="AQ219" s="32"/>
    </row>
    <row r="220" spans="14:43" ht="15" thickBot="1" x14ac:dyDescent="0.35">
      <c r="N220" s="30"/>
      <c r="S220" s="19" t="s">
        <v>576</v>
      </c>
      <c r="T220" s="31">
        <v>164093</v>
      </c>
      <c r="AI220" s="32"/>
      <c r="AJ220" s="34"/>
      <c r="AK220" s="34"/>
      <c r="AL220" s="34"/>
      <c r="AM220" s="34"/>
      <c r="AN220" s="34"/>
      <c r="AO220" s="34"/>
      <c r="AP220" s="35"/>
      <c r="AQ220" s="32"/>
    </row>
    <row r="221" spans="14:43" ht="15" thickBot="1" x14ac:dyDescent="0.35">
      <c r="N221" s="30"/>
      <c r="S221" s="19" t="s">
        <v>577</v>
      </c>
      <c r="T221" s="31">
        <v>119449</v>
      </c>
      <c r="AI221" s="32"/>
      <c r="AJ221" s="33"/>
      <c r="AK221" s="34"/>
      <c r="AL221" s="34"/>
      <c r="AM221" s="34"/>
      <c r="AN221" s="34"/>
      <c r="AO221" s="34"/>
      <c r="AP221" s="35"/>
      <c r="AQ221" s="32"/>
    </row>
    <row r="222" spans="14:43" ht="15" thickBot="1" x14ac:dyDescent="0.35">
      <c r="N222" s="30"/>
      <c r="S222" s="19" t="s">
        <v>578</v>
      </c>
      <c r="T222" s="31">
        <v>115023</v>
      </c>
      <c r="AI222" s="32"/>
      <c r="AJ222" s="33"/>
      <c r="AK222" s="34"/>
      <c r="AL222" s="34"/>
      <c r="AM222" s="34"/>
      <c r="AN222" s="34"/>
      <c r="AO222" s="34"/>
      <c r="AP222" s="35"/>
      <c r="AQ222" s="32"/>
    </row>
    <row r="223" spans="14:43" ht="15" thickBot="1" x14ac:dyDescent="0.35">
      <c r="N223" s="30"/>
      <c r="S223" s="19" t="s">
        <v>579</v>
      </c>
      <c r="T223" s="31">
        <v>112523</v>
      </c>
      <c r="AI223" s="32"/>
      <c r="AJ223" s="34"/>
      <c r="AK223" s="34"/>
      <c r="AL223" s="34"/>
      <c r="AM223" s="34"/>
      <c r="AN223" s="34"/>
      <c r="AO223" s="34"/>
      <c r="AP223" s="35"/>
      <c r="AQ223" s="32"/>
    </row>
    <row r="224" spans="14:43" ht="15" thickBot="1" x14ac:dyDescent="0.35">
      <c r="N224" s="30"/>
      <c r="S224" s="19" t="s">
        <v>580</v>
      </c>
      <c r="T224" s="31">
        <v>110940</v>
      </c>
      <c r="AI224" s="32"/>
      <c r="AJ224" s="34"/>
      <c r="AK224" s="34"/>
      <c r="AL224" s="34"/>
      <c r="AM224" s="34"/>
      <c r="AN224" s="34"/>
      <c r="AO224" s="34"/>
      <c r="AP224" s="35"/>
      <c r="AQ224" s="32"/>
    </row>
    <row r="225" spans="14:43" ht="15" thickBot="1" x14ac:dyDescent="0.35">
      <c r="N225" s="30"/>
      <c r="S225" s="19" t="s">
        <v>450</v>
      </c>
      <c r="T225" s="31">
        <v>106766</v>
      </c>
      <c r="AI225" s="32"/>
      <c r="AJ225" s="34"/>
      <c r="AK225" s="34"/>
      <c r="AL225" s="34"/>
      <c r="AM225" s="34"/>
      <c r="AN225" s="34"/>
      <c r="AO225" s="34"/>
      <c r="AP225" s="35"/>
      <c r="AQ225" s="32"/>
    </row>
    <row r="226" spans="14:43" ht="15" thickBot="1" x14ac:dyDescent="0.35">
      <c r="N226" s="30"/>
      <c r="S226" s="19" t="s">
        <v>581</v>
      </c>
      <c r="T226" s="31">
        <v>105695</v>
      </c>
      <c r="AI226" s="32"/>
      <c r="AJ226" s="33"/>
      <c r="AK226" s="34"/>
      <c r="AL226" s="34"/>
      <c r="AM226" s="34"/>
      <c r="AN226" s="34"/>
      <c r="AO226" s="34"/>
      <c r="AP226" s="35"/>
      <c r="AQ226" s="32"/>
    </row>
    <row r="227" spans="14:43" ht="15" thickBot="1" x14ac:dyDescent="0.35">
      <c r="N227" s="30"/>
      <c r="S227" s="19" t="s">
        <v>582</v>
      </c>
      <c r="T227" s="31">
        <v>104425</v>
      </c>
      <c r="AI227" s="32"/>
      <c r="AJ227" s="34"/>
      <c r="AK227" s="34"/>
      <c r="AL227" s="34"/>
      <c r="AM227" s="34"/>
      <c r="AN227" s="34"/>
      <c r="AO227" s="34"/>
      <c r="AP227" s="35"/>
      <c r="AQ227" s="32"/>
    </row>
    <row r="228" spans="14:43" ht="15" thickBot="1" x14ac:dyDescent="0.35">
      <c r="N228" s="30"/>
      <c r="S228" s="19" t="s">
        <v>468</v>
      </c>
      <c r="T228" s="31">
        <v>98347</v>
      </c>
      <c r="AI228" s="32"/>
      <c r="AJ228" s="34"/>
      <c r="AK228" s="34"/>
      <c r="AL228" s="34"/>
      <c r="AM228" s="34"/>
      <c r="AN228" s="34"/>
      <c r="AO228" s="34"/>
      <c r="AP228" s="35"/>
      <c r="AQ228" s="32"/>
    </row>
    <row r="229" spans="14:43" ht="15" thickBot="1" x14ac:dyDescent="0.35">
      <c r="N229" s="30"/>
      <c r="S229" s="19" t="s">
        <v>452</v>
      </c>
      <c r="T229" s="31">
        <v>97929</v>
      </c>
      <c r="AI229" s="32"/>
      <c r="AJ229" s="34"/>
      <c r="AK229" s="34"/>
      <c r="AL229" s="34"/>
      <c r="AM229" s="34"/>
      <c r="AN229" s="34"/>
      <c r="AO229" s="34"/>
      <c r="AP229" s="35"/>
      <c r="AQ229" s="32"/>
    </row>
    <row r="230" spans="14:43" ht="15" thickBot="1" x14ac:dyDescent="0.35">
      <c r="N230" s="30"/>
      <c r="S230" s="19" t="s">
        <v>583</v>
      </c>
      <c r="T230" s="31">
        <v>85033</v>
      </c>
      <c r="AI230" s="32"/>
      <c r="AJ230" s="34"/>
      <c r="AK230" s="34"/>
      <c r="AL230" s="34"/>
      <c r="AM230" s="34"/>
      <c r="AN230" s="34"/>
      <c r="AO230" s="34"/>
      <c r="AP230" s="35"/>
      <c r="AQ230" s="32"/>
    </row>
    <row r="231" spans="14:43" ht="15" thickBot="1" x14ac:dyDescent="0.35">
      <c r="N231" s="30"/>
      <c r="S231" s="19" t="s">
        <v>136</v>
      </c>
      <c r="T231" s="31">
        <v>77265</v>
      </c>
      <c r="AI231" s="32"/>
      <c r="AJ231" s="34"/>
      <c r="AK231" s="34"/>
      <c r="AL231" s="34"/>
      <c r="AM231" s="34"/>
      <c r="AN231" s="34"/>
      <c r="AO231" s="34"/>
      <c r="AP231" s="35"/>
      <c r="AQ231" s="32"/>
    </row>
    <row r="232" spans="14:43" ht="15" thickBot="1" x14ac:dyDescent="0.35">
      <c r="N232" s="30"/>
      <c r="S232" s="19" t="s">
        <v>584</v>
      </c>
      <c r="T232" s="31">
        <v>71986</v>
      </c>
      <c r="AI232" s="32"/>
      <c r="AJ232" s="34"/>
      <c r="AK232" s="34"/>
      <c r="AL232" s="34"/>
      <c r="AM232" s="34"/>
      <c r="AN232" s="34"/>
      <c r="AO232" s="34"/>
      <c r="AP232" s="35"/>
      <c r="AQ232" s="32"/>
    </row>
    <row r="233" spans="14:43" ht="15" thickBot="1" x14ac:dyDescent="0.35">
      <c r="N233" s="30"/>
      <c r="S233" s="19" t="s">
        <v>443</v>
      </c>
      <c r="T233" s="31">
        <v>65722</v>
      </c>
      <c r="AI233" s="32"/>
      <c r="AJ233" s="34"/>
      <c r="AK233" s="34"/>
      <c r="AL233" s="34"/>
      <c r="AM233" s="34"/>
      <c r="AN233" s="34"/>
      <c r="AO233" s="34"/>
      <c r="AP233" s="35"/>
      <c r="AQ233" s="32"/>
    </row>
    <row r="234" spans="14:43" ht="15" thickBot="1" x14ac:dyDescent="0.35">
      <c r="N234" s="30"/>
      <c r="S234" s="19" t="s">
        <v>585</v>
      </c>
      <c r="T234" s="31">
        <v>62278</v>
      </c>
      <c r="AI234" s="32"/>
      <c r="AJ234" s="34"/>
      <c r="AK234" s="33"/>
      <c r="AL234" s="34"/>
      <c r="AM234" s="34"/>
      <c r="AN234" s="34"/>
      <c r="AO234" s="34"/>
      <c r="AP234" s="35"/>
      <c r="AQ234" s="32"/>
    </row>
    <row r="235" spans="14:43" ht="15" thickBot="1" x14ac:dyDescent="0.35">
      <c r="N235" s="30"/>
      <c r="S235" s="19" t="s">
        <v>586</v>
      </c>
      <c r="T235" s="31">
        <v>59190</v>
      </c>
      <c r="AI235" s="32"/>
      <c r="AJ235" s="34"/>
      <c r="AK235" s="34"/>
      <c r="AL235" s="34"/>
      <c r="AM235" s="34"/>
      <c r="AN235" s="34"/>
      <c r="AO235" s="34"/>
      <c r="AP235" s="35"/>
      <c r="AQ235" s="32"/>
    </row>
    <row r="236" spans="14:43" ht="15" thickBot="1" x14ac:dyDescent="0.35">
      <c r="N236" s="30"/>
      <c r="S236" s="19" t="s">
        <v>587</v>
      </c>
      <c r="T236" s="31">
        <v>57559</v>
      </c>
      <c r="AI236" s="32"/>
      <c r="AJ236" s="34"/>
      <c r="AK236" s="34"/>
      <c r="AL236" s="34"/>
      <c r="AM236" s="34"/>
      <c r="AN236" s="34"/>
      <c r="AO236" s="34"/>
      <c r="AP236" s="35"/>
      <c r="AQ236" s="32"/>
    </row>
    <row r="237" spans="14:43" ht="15" thickBot="1" x14ac:dyDescent="0.35">
      <c r="N237" s="30"/>
      <c r="S237" s="19" t="s">
        <v>507</v>
      </c>
      <c r="T237" s="31">
        <v>56770</v>
      </c>
      <c r="AI237" s="32"/>
      <c r="AJ237" s="34"/>
      <c r="AK237" s="34"/>
      <c r="AL237" s="33"/>
      <c r="AM237" s="34"/>
      <c r="AN237" s="34"/>
      <c r="AO237" s="34"/>
      <c r="AP237" s="35"/>
      <c r="AQ237" s="32"/>
    </row>
    <row r="238" spans="14:43" ht="15" thickBot="1" x14ac:dyDescent="0.35">
      <c r="N238" s="30"/>
      <c r="S238" s="19" t="s">
        <v>588</v>
      </c>
      <c r="T238" s="31">
        <v>55191</v>
      </c>
      <c r="AI238" s="32"/>
      <c r="AJ238" s="34"/>
      <c r="AK238" s="34"/>
      <c r="AL238" s="34"/>
      <c r="AM238" s="34"/>
      <c r="AN238" s="34"/>
      <c r="AO238" s="34"/>
      <c r="AP238" s="35"/>
      <c r="AQ238" s="32"/>
    </row>
    <row r="239" spans="14:43" ht="15" thickBot="1" x14ac:dyDescent="0.35">
      <c r="N239" s="30"/>
      <c r="S239" s="19" t="s">
        <v>589</v>
      </c>
      <c r="T239" s="31">
        <v>53199</v>
      </c>
      <c r="AI239" s="32"/>
      <c r="AJ239" s="34"/>
      <c r="AK239" s="34"/>
      <c r="AL239" s="34"/>
      <c r="AM239" s="34"/>
      <c r="AN239" s="34"/>
      <c r="AO239" s="34"/>
      <c r="AP239" s="35"/>
      <c r="AQ239" s="32"/>
    </row>
    <row r="240" spans="14:43" ht="15" thickBot="1" x14ac:dyDescent="0.35">
      <c r="N240" s="30"/>
      <c r="S240" s="19" t="s">
        <v>590</v>
      </c>
      <c r="T240" s="31">
        <v>48863</v>
      </c>
      <c r="AI240" s="32"/>
      <c r="AJ240" s="34"/>
      <c r="AK240" s="34"/>
      <c r="AL240" s="33"/>
      <c r="AM240" s="34"/>
      <c r="AN240" s="34"/>
      <c r="AO240" s="34"/>
      <c r="AP240" s="35"/>
      <c r="AQ240" s="32"/>
    </row>
    <row r="241" spans="14:43" ht="15" thickBot="1" x14ac:dyDescent="0.35">
      <c r="N241" s="30"/>
      <c r="S241" s="19" t="s">
        <v>591</v>
      </c>
      <c r="T241" s="31">
        <v>42876</v>
      </c>
      <c r="AI241" s="32"/>
      <c r="AJ241" s="34"/>
      <c r="AK241" s="33"/>
      <c r="AL241" s="34"/>
      <c r="AM241" s="34"/>
      <c r="AN241" s="34"/>
      <c r="AO241" s="34"/>
      <c r="AP241" s="35"/>
      <c r="AQ241" s="32"/>
    </row>
    <row r="242" spans="14:43" ht="15" thickBot="1" x14ac:dyDescent="0.35">
      <c r="N242" s="30"/>
      <c r="S242" s="19" t="s">
        <v>127</v>
      </c>
      <c r="T242" s="31">
        <v>39242</v>
      </c>
      <c r="AI242" s="32"/>
      <c r="AJ242" s="34"/>
      <c r="AK242" s="33"/>
      <c r="AL242" s="34"/>
      <c r="AM242" s="34"/>
      <c r="AN242" s="34"/>
      <c r="AO242" s="34"/>
      <c r="AP242" s="34"/>
      <c r="AQ242" s="32"/>
    </row>
    <row r="243" spans="14:43" ht="15" thickBot="1" x14ac:dyDescent="0.35">
      <c r="N243" s="30"/>
      <c r="S243" s="19" t="s">
        <v>592</v>
      </c>
      <c r="T243" s="31">
        <v>38717</v>
      </c>
      <c r="AI243" s="32"/>
      <c r="AJ243" s="34"/>
      <c r="AK243" s="34"/>
      <c r="AL243" s="34"/>
      <c r="AM243" s="34"/>
      <c r="AN243" s="34"/>
      <c r="AO243" s="34"/>
      <c r="AP243" s="35"/>
      <c r="AQ243" s="32"/>
    </row>
    <row r="244" spans="14:43" ht="15" thickBot="1" x14ac:dyDescent="0.35">
      <c r="N244" s="30"/>
      <c r="S244" s="19" t="s">
        <v>593</v>
      </c>
      <c r="T244" s="31">
        <v>38666</v>
      </c>
      <c r="AI244" s="32"/>
      <c r="AJ244" s="34"/>
      <c r="AK244" s="34"/>
      <c r="AL244" s="34"/>
      <c r="AM244" s="34"/>
      <c r="AN244" s="34"/>
      <c r="AO244" s="34"/>
      <c r="AP244" s="35"/>
      <c r="AQ244" s="32"/>
    </row>
    <row r="245" spans="14:43" ht="15" thickBot="1" x14ac:dyDescent="0.35">
      <c r="N245" s="30"/>
      <c r="S245" s="19" t="s">
        <v>163</v>
      </c>
      <c r="T245" s="31">
        <v>38128</v>
      </c>
      <c r="AI245" s="32"/>
      <c r="AJ245" s="34"/>
      <c r="AK245" s="34"/>
      <c r="AL245" s="34"/>
      <c r="AM245" s="34"/>
      <c r="AN245" s="34"/>
      <c r="AO245" s="34"/>
      <c r="AP245" s="35"/>
      <c r="AQ245" s="32"/>
    </row>
    <row r="246" spans="14:43" ht="15" thickBot="1" x14ac:dyDescent="0.35">
      <c r="N246" s="30"/>
      <c r="S246" s="19" t="s">
        <v>117</v>
      </c>
      <c r="T246" s="31">
        <v>33931</v>
      </c>
      <c r="AI246" s="32"/>
      <c r="AJ246" s="34"/>
      <c r="AK246" s="34"/>
      <c r="AL246" s="34"/>
      <c r="AM246" s="34"/>
      <c r="AN246" s="34"/>
      <c r="AO246" s="34"/>
      <c r="AP246" s="35"/>
      <c r="AQ246" s="32"/>
    </row>
    <row r="247" spans="14:43" ht="15" thickBot="1" x14ac:dyDescent="0.35">
      <c r="N247" s="30"/>
      <c r="S247" s="19" t="s">
        <v>162</v>
      </c>
      <c r="T247" s="31">
        <v>33691</v>
      </c>
      <c r="AI247" s="32"/>
      <c r="AJ247" s="34"/>
      <c r="AK247" s="33"/>
      <c r="AL247" s="34"/>
      <c r="AM247" s="34"/>
      <c r="AN247" s="34"/>
      <c r="AO247" s="34"/>
      <c r="AP247" s="34"/>
      <c r="AQ247" s="32"/>
    </row>
    <row r="248" spans="14:43" ht="15" thickBot="1" x14ac:dyDescent="0.35">
      <c r="N248" s="30"/>
      <c r="S248" s="19" t="s">
        <v>594</v>
      </c>
      <c r="T248" s="31">
        <v>30231</v>
      </c>
      <c r="AI248" s="32"/>
      <c r="AJ248" s="34"/>
      <c r="AK248" s="34"/>
      <c r="AL248" s="34"/>
      <c r="AM248" s="34"/>
      <c r="AN248" s="34"/>
      <c r="AO248" s="34"/>
      <c r="AP248" s="35"/>
      <c r="AQ248" s="32"/>
    </row>
    <row r="249" spans="14:43" ht="15" thickBot="1" x14ac:dyDescent="0.35">
      <c r="N249" s="30"/>
      <c r="S249" s="19" t="s">
        <v>595</v>
      </c>
      <c r="T249" s="31">
        <v>26223</v>
      </c>
      <c r="AI249" s="32"/>
      <c r="AJ249" s="34"/>
      <c r="AK249" s="34"/>
      <c r="AL249" s="34"/>
      <c r="AM249" s="34"/>
      <c r="AN249" s="34"/>
      <c r="AO249" s="34"/>
      <c r="AP249" s="35"/>
      <c r="AQ249" s="32"/>
    </row>
    <row r="250" spans="14:43" ht="15" thickBot="1" x14ac:dyDescent="0.35">
      <c r="N250" s="30"/>
      <c r="S250" s="19" t="s">
        <v>596</v>
      </c>
      <c r="T250" s="31">
        <v>18094</v>
      </c>
      <c r="AI250" s="32"/>
      <c r="AJ250" s="34"/>
      <c r="AK250" s="34"/>
      <c r="AL250" s="34"/>
      <c r="AM250" s="34"/>
      <c r="AN250" s="34"/>
      <c r="AO250" s="34"/>
      <c r="AP250" s="34"/>
      <c r="AQ250" s="32"/>
    </row>
    <row r="251" spans="14:43" ht="15" thickBot="1" x14ac:dyDescent="0.35">
      <c r="N251" s="30"/>
      <c r="S251" s="19" t="s">
        <v>597</v>
      </c>
      <c r="T251" s="31">
        <v>17564</v>
      </c>
      <c r="AI251" s="32"/>
      <c r="AJ251" s="34"/>
      <c r="AK251" s="34"/>
      <c r="AL251" s="34"/>
      <c r="AM251" s="34"/>
      <c r="AN251" s="34"/>
      <c r="AO251" s="34"/>
      <c r="AP251" s="35"/>
      <c r="AQ251" s="32"/>
    </row>
    <row r="252" spans="14:43" ht="15" thickBot="1" x14ac:dyDescent="0.35">
      <c r="N252" s="30"/>
      <c r="S252" s="19" t="s">
        <v>598</v>
      </c>
      <c r="T252" s="31">
        <v>15003</v>
      </c>
      <c r="AI252" s="32"/>
      <c r="AJ252" s="34"/>
      <c r="AK252" s="34"/>
      <c r="AL252" s="34"/>
      <c r="AM252" s="34"/>
      <c r="AN252" s="34"/>
      <c r="AO252" s="34"/>
      <c r="AP252" s="34"/>
      <c r="AQ252" s="32"/>
    </row>
    <row r="253" spans="14:43" ht="15" thickBot="1" x14ac:dyDescent="0.35">
      <c r="N253" s="30"/>
      <c r="S253" s="19" t="s">
        <v>599</v>
      </c>
      <c r="T253" s="31">
        <v>11792</v>
      </c>
      <c r="AI253" s="32"/>
      <c r="AJ253" s="34"/>
      <c r="AK253" s="34"/>
      <c r="AL253" s="34"/>
      <c r="AM253" s="34"/>
      <c r="AN253" s="34"/>
      <c r="AO253" s="34"/>
      <c r="AP253" s="35"/>
      <c r="AQ253" s="32"/>
    </row>
    <row r="254" spans="14:43" ht="15" thickBot="1" x14ac:dyDescent="0.35">
      <c r="N254" s="30"/>
      <c r="S254" s="19" t="s">
        <v>600</v>
      </c>
      <c r="T254" s="31">
        <v>11239</v>
      </c>
      <c r="AI254" s="32"/>
      <c r="AJ254" s="34"/>
      <c r="AK254" s="34"/>
      <c r="AL254" s="34"/>
      <c r="AM254" s="34"/>
      <c r="AN254" s="34"/>
      <c r="AO254" s="34"/>
      <c r="AP254" s="35"/>
      <c r="AQ254" s="32"/>
    </row>
    <row r="255" spans="14:43" ht="15" thickBot="1" x14ac:dyDescent="0.35">
      <c r="N255" s="30"/>
      <c r="S255" s="19" t="s">
        <v>601</v>
      </c>
      <c r="T255" s="31">
        <v>10824</v>
      </c>
      <c r="AI255" s="32"/>
      <c r="AJ255" s="34"/>
      <c r="AK255" s="34"/>
      <c r="AL255" s="34"/>
      <c r="AM255" s="34"/>
      <c r="AN255" s="34"/>
      <c r="AO255" s="34"/>
      <c r="AP255" s="34"/>
      <c r="AQ255" s="32"/>
    </row>
    <row r="256" spans="14:43" ht="15" thickBot="1" x14ac:dyDescent="0.35">
      <c r="N256" s="30"/>
      <c r="S256" s="19" t="s">
        <v>157</v>
      </c>
      <c r="T256" s="31">
        <v>9877</v>
      </c>
      <c r="AI256" s="32"/>
      <c r="AJ256" s="34"/>
      <c r="AK256" s="34"/>
      <c r="AL256" s="34"/>
      <c r="AM256" s="34"/>
      <c r="AN256" s="34"/>
      <c r="AO256" s="34"/>
      <c r="AP256" s="35"/>
      <c r="AQ256" s="32"/>
    </row>
    <row r="257" spans="14:43" ht="15" thickBot="1" x14ac:dyDescent="0.35">
      <c r="N257" s="30"/>
      <c r="S257" s="19" t="s">
        <v>602</v>
      </c>
      <c r="T257" s="31">
        <v>6077</v>
      </c>
      <c r="AI257" s="32"/>
      <c r="AJ257" s="34"/>
      <c r="AK257" s="34"/>
      <c r="AL257" s="34"/>
      <c r="AM257" s="34"/>
      <c r="AN257" s="34"/>
      <c r="AO257" s="34"/>
      <c r="AP257" s="35"/>
      <c r="AQ257" s="32"/>
    </row>
    <row r="258" spans="14:43" ht="15" thickBot="1" x14ac:dyDescent="0.35">
      <c r="N258" s="30"/>
      <c r="S258" s="19" t="s">
        <v>603</v>
      </c>
      <c r="T258" s="31">
        <v>5794</v>
      </c>
      <c r="AI258" s="32"/>
      <c r="AJ258" s="34"/>
      <c r="AK258" s="34"/>
      <c r="AL258" s="34"/>
      <c r="AM258" s="34"/>
      <c r="AN258" s="34"/>
      <c r="AO258" s="34"/>
      <c r="AP258" s="35"/>
      <c r="AQ258" s="32"/>
    </row>
    <row r="259" spans="14:43" ht="15" thickBot="1" x14ac:dyDescent="0.35">
      <c r="N259" s="30"/>
      <c r="S259" s="19" t="s">
        <v>604</v>
      </c>
      <c r="T259" s="31">
        <v>4992</v>
      </c>
      <c r="AI259" s="32"/>
      <c r="AJ259" s="34"/>
      <c r="AK259" s="34"/>
      <c r="AL259" s="34"/>
      <c r="AM259" s="34"/>
      <c r="AN259" s="34"/>
      <c r="AO259" s="34"/>
      <c r="AP259" s="35"/>
      <c r="AQ259" s="32"/>
    </row>
    <row r="260" spans="14:43" ht="15" thickBot="1" x14ac:dyDescent="0.35">
      <c r="N260" s="30"/>
      <c r="S260" s="19" t="s">
        <v>605</v>
      </c>
      <c r="T260" s="31">
        <v>3480</v>
      </c>
      <c r="AI260" s="32"/>
      <c r="AJ260" s="34"/>
      <c r="AK260" s="34"/>
      <c r="AL260" s="33"/>
      <c r="AM260" s="34"/>
      <c r="AN260" s="34"/>
      <c r="AO260" s="34"/>
      <c r="AP260" s="35"/>
      <c r="AQ260" s="32"/>
    </row>
    <row r="261" spans="14:43" ht="15" thickBot="1" x14ac:dyDescent="0.35">
      <c r="N261" s="30"/>
      <c r="S261" s="19" t="s">
        <v>606</v>
      </c>
      <c r="T261" s="31">
        <v>1626</v>
      </c>
      <c r="AI261" s="32"/>
      <c r="AJ261" s="34"/>
      <c r="AK261" s="34"/>
      <c r="AL261" s="34"/>
      <c r="AM261" s="34"/>
      <c r="AN261" s="34"/>
      <c r="AO261" s="34"/>
      <c r="AP261" s="35"/>
      <c r="AQ261" s="32"/>
    </row>
    <row r="262" spans="14:43" ht="15" thickBot="1" x14ac:dyDescent="0.35">
      <c r="N262" s="30"/>
      <c r="S262" s="19" t="s">
        <v>607</v>
      </c>
      <c r="T262" s="31">
        <v>1357</v>
      </c>
      <c r="AI262" s="32"/>
      <c r="AJ262" s="34"/>
      <c r="AK262" s="34"/>
      <c r="AL262" s="34"/>
      <c r="AM262" s="34"/>
      <c r="AN262" s="34"/>
      <c r="AO262" s="34"/>
      <c r="AP262" s="35"/>
      <c r="AQ262" s="32"/>
    </row>
    <row r="263" spans="14:43" ht="15" thickBot="1" x14ac:dyDescent="0.35">
      <c r="N263" s="37"/>
      <c r="S263" s="19" t="s">
        <v>308</v>
      </c>
      <c r="T263" s="38">
        <v>801</v>
      </c>
      <c r="AI263" s="39"/>
      <c r="AJ263" s="40"/>
      <c r="AK263" s="41"/>
      <c r="AL263" s="40"/>
      <c r="AM263" s="40"/>
      <c r="AN263" s="40"/>
      <c r="AO263" s="40"/>
      <c r="AP263" s="40"/>
      <c r="AQ263" s="39"/>
    </row>
  </sheetData>
  <autoFilter ref="H28:O28" xr:uid="{F075D66D-5483-4F79-88AF-2BDF789BD866}">
    <sortState xmlns:xlrd2="http://schemas.microsoft.com/office/spreadsheetml/2017/richdata2" ref="H33:O60">
      <sortCondition ref="L32"/>
    </sortState>
  </autoFilter>
  <conditionalFormatting sqref="H29:H60 M59:M60 J29:O56">
    <cfRule type="expression" dxfId="1" priority="2">
      <formula>ISEVEN(ROW())</formula>
    </cfRule>
  </conditionalFormatting>
  <conditionalFormatting sqref="J57:O58 J59:L60 N59:O60 I29:I60">
    <cfRule type="expression" dxfId="0" priority="1">
      <formula>ISEVEN(ROW())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G32" sqref="G32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454</v>
      </c>
      <c r="S4" s="6">
        <v>100</v>
      </c>
    </row>
    <row r="5" spans="12:19" x14ac:dyDescent="0.3">
      <c r="R5" t="s">
        <v>455</v>
      </c>
      <c r="S5" s="6">
        <v>30000</v>
      </c>
    </row>
    <row r="6" spans="12:19" x14ac:dyDescent="0.3">
      <c r="L6" s="6"/>
    </row>
    <row r="7" spans="12:19" x14ac:dyDescent="0.3">
      <c r="R7" t="s">
        <v>456</v>
      </c>
      <c r="S7" s="6">
        <v>0</v>
      </c>
    </row>
    <row r="8" spans="12:19" x14ac:dyDescent="0.3">
      <c r="R8" t="s">
        <v>457</v>
      </c>
      <c r="S8" s="6">
        <v>25</v>
      </c>
    </row>
    <row r="10" spans="12:19" x14ac:dyDescent="0.3">
      <c r="R10">
        <v>1</v>
      </c>
      <c r="S10" t="s">
        <v>377</v>
      </c>
    </row>
    <row r="11" spans="12:19" x14ac:dyDescent="0.3">
      <c r="R11">
        <v>2</v>
      </c>
      <c r="S11" t="s">
        <v>65</v>
      </c>
    </row>
    <row r="12" spans="12:19" x14ac:dyDescent="0.3">
      <c r="R12">
        <v>3</v>
      </c>
      <c r="S12" s="18" t="s">
        <v>85</v>
      </c>
    </row>
    <row r="13" spans="12:19" x14ac:dyDescent="0.3">
      <c r="R13">
        <v>4</v>
      </c>
      <c r="S13" s="18" t="s">
        <v>365</v>
      </c>
    </row>
    <row r="14" spans="12:19" x14ac:dyDescent="0.3">
      <c r="R14">
        <v>5</v>
      </c>
    </row>
    <row r="15" spans="12:19" x14ac:dyDescent="0.3">
      <c r="R15">
        <v>6</v>
      </c>
    </row>
    <row r="16" spans="12:19" x14ac:dyDescent="0.3">
      <c r="R16">
        <v>7</v>
      </c>
    </row>
    <row r="17" spans="18:18" x14ac:dyDescent="0.3">
      <c r="R17">
        <v>8</v>
      </c>
    </row>
    <row r="18" spans="18:18" x14ac:dyDescent="0.3">
      <c r="R18">
        <v>9</v>
      </c>
    </row>
    <row r="19" spans="18:18" x14ac:dyDescent="0.3">
      <c r="R19">
        <v>10</v>
      </c>
    </row>
    <row r="20" spans="18:18" x14ac:dyDescent="0.3">
      <c r="R20">
        <v>11</v>
      </c>
    </row>
    <row r="21" spans="18:18" x14ac:dyDescent="0.3">
      <c r="R21">
        <f>R20+1</f>
        <v>12</v>
      </c>
    </row>
    <row r="22" spans="18:18" x14ac:dyDescent="0.3">
      <c r="R22">
        <f t="shared" ref="R22:R29" si="0">R21+1</f>
        <v>13</v>
      </c>
    </row>
    <row r="23" spans="18:18" x14ac:dyDescent="0.3">
      <c r="R23">
        <f t="shared" si="0"/>
        <v>14</v>
      </c>
    </row>
    <row r="24" spans="18:18" x14ac:dyDescent="0.3">
      <c r="R24">
        <f t="shared" si="0"/>
        <v>15</v>
      </c>
    </row>
    <row r="25" spans="18:18" x14ac:dyDescent="0.3">
      <c r="R25">
        <f t="shared" si="0"/>
        <v>16</v>
      </c>
    </row>
    <row r="26" spans="18:18" x14ac:dyDescent="0.3">
      <c r="R26">
        <f t="shared" si="0"/>
        <v>17</v>
      </c>
    </row>
    <row r="27" spans="18:18" x14ac:dyDescent="0.3">
      <c r="R27">
        <f t="shared" si="0"/>
        <v>18</v>
      </c>
    </row>
    <row r="28" spans="18:18" x14ac:dyDescent="0.3">
      <c r="R28">
        <f t="shared" si="0"/>
        <v>19</v>
      </c>
    </row>
    <row r="29" spans="18:18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123"/>
  <sheetViews>
    <sheetView topLeftCell="AS1" zoomScale="94" workbookViewId="0">
      <selection activeCell="BN5" sqref="BN5"/>
    </sheetView>
  </sheetViews>
  <sheetFormatPr defaultRowHeight="12" x14ac:dyDescent="0.25"/>
  <cols>
    <col min="1" max="1" width="3.33203125" style="10" bestFit="1" customWidth="1"/>
    <col min="2" max="2" width="1.6640625" style="10" bestFit="1" customWidth="1"/>
    <col min="3" max="3" width="17.33203125" style="10" bestFit="1" customWidth="1"/>
    <col min="4" max="6" width="12.33203125" style="11" bestFit="1" customWidth="1"/>
    <col min="7" max="7" width="4.6640625" style="13" bestFit="1" customWidth="1"/>
    <col min="8" max="8" width="17.33203125" style="14" bestFit="1" customWidth="1"/>
    <col min="9" max="9" width="4" style="10" bestFit="1" customWidth="1"/>
    <col min="10" max="14" width="4.21875" style="10" bestFit="1" customWidth="1"/>
    <col min="15" max="20" width="5.5546875" style="10" bestFit="1" customWidth="1"/>
    <col min="21" max="26" width="6.33203125" style="10" bestFit="1" customWidth="1"/>
    <col min="27" max="31" width="7.21875" style="10" bestFit="1" customWidth="1"/>
    <col min="32" max="37" width="8.5546875" style="10" bestFit="1" customWidth="1"/>
    <col min="38" max="43" width="9.33203125" style="10" bestFit="1" customWidth="1"/>
    <col min="44" max="48" width="10.109375" style="10" bestFit="1" customWidth="1"/>
    <col min="49" max="54" width="11.44140625" style="10" bestFit="1" customWidth="1"/>
    <col min="55" max="60" width="12.33203125" style="10" bestFit="1" customWidth="1"/>
    <col min="61" max="65" width="5" style="10" bestFit="1" customWidth="1"/>
    <col min="66" max="99" width="4.88671875" style="10" bestFit="1" customWidth="1"/>
    <col min="100" max="16384" width="8.88671875" style="10"/>
  </cols>
  <sheetData>
    <row r="1" spans="1:307" x14ac:dyDescent="0.25">
      <c r="F1" s="12">
        <f>'Projections Data'!C7</f>
        <v>5</v>
      </c>
      <c r="I1" s="15">
        <v>0</v>
      </c>
      <c r="J1" s="15">
        <f>I1+1</f>
        <v>1</v>
      </c>
      <c r="K1" s="15">
        <f t="shared" ref="K1:BH1" si="0">J1+1</f>
        <v>2</v>
      </c>
      <c r="L1" s="15">
        <f t="shared" si="0"/>
        <v>3</v>
      </c>
      <c r="M1" s="15">
        <f t="shared" si="0"/>
        <v>4</v>
      </c>
      <c r="N1" s="15">
        <f t="shared" si="0"/>
        <v>5</v>
      </c>
      <c r="O1" s="15">
        <f t="shared" si="0"/>
        <v>6</v>
      </c>
      <c r="P1" s="15">
        <f t="shared" si="0"/>
        <v>7</v>
      </c>
      <c r="Q1" s="15">
        <f t="shared" si="0"/>
        <v>8</v>
      </c>
      <c r="R1" s="15">
        <f t="shared" si="0"/>
        <v>9</v>
      </c>
      <c r="S1" s="15">
        <f t="shared" si="0"/>
        <v>10</v>
      </c>
      <c r="T1" s="15">
        <f t="shared" si="0"/>
        <v>11</v>
      </c>
      <c r="U1" s="15">
        <f t="shared" si="0"/>
        <v>12</v>
      </c>
      <c r="V1" s="15">
        <f t="shared" si="0"/>
        <v>13</v>
      </c>
      <c r="W1" s="15">
        <f t="shared" si="0"/>
        <v>14</v>
      </c>
      <c r="X1" s="15">
        <f t="shared" si="0"/>
        <v>15</v>
      </c>
      <c r="Y1" s="15">
        <f t="shared" si="0"/>
        <v>16</v>
      </c>
      <c r="Z1" s="15">
        <f t="shared" si="0"/>
        <v>17</v>
      </c>
      <c r="AA1" s="15">
        <f t="shared" si="0"/>
        <v>18</v>
      </c>
      <c r="AB1" s="15">
        <f t="shared" si="0"/>
        <v>19</v>
      </c>
      <c r="AC1" s="15">
        <f t="shared" si="0"/>
        <v>20</v>
      </c>
      <c r="AD1" s="15">
        <f t="shared" si="0"/>
        <v>21</v>
      </c>
      <c r="AE1" s="15">
        <f t="shared" si="0"/>
        <v>22</v>
      </c>
      <c r="AF1" s="15">
        <f t="shared" si="0"/>
        <v>23</v>
      </c>
      <c r="AG1" s="15">
        <f t="shared" si="0"/>
        <v>24</v>
      </c>
      <c r="AH1" s="15">
        <f t="shared" si="0"/>
        <v>25</v>
      </c>
      <c r="AI1" s="15">
        <f t="shared" si="0"/>
        <v>26</v>
      </c>
      <c r="AJ1" s="15">
        <f t="shared" si="0"/>
        <v>27</v>
      </c>
      <c r="AK1" s="15">
        <f t="shared" si="0"/>
        <v>28</v>
      </c>
      <c r="AL1" s="15">
        <f t="shared" si="0"/>
        <v>29</v>
      </c>
      <c r="AM1" s="15">
        <f t="shared" si="0"/>
        <v>30</v>
      </c>
      <c r="AN1" s="15">
        <f t="shared" si="0"/>
        <v>31</v>
      </c>
      <c r="AO1" s="15">
        <f t="shared" si="0"/>
        <v>32</v>
      </c>
      <c r="AP1" s="15">
        <f t="shared" si="0"/>
        <v>33</v>
      </c>
      <c r="AQ1" s="15">
        <f t="shared" si="0"/>
        <v>34</v>
      </c>
      <c r="AR1" s="15">
        <f t="shared" si="0"/>
        <v>35</v>
      </c>
      <c r="AS1" s="15">
        <f t="shared" si="0"/>
        <v>36</v>
      </c>
      <c r="AT1" s="15">
        <f t="shared" si="0"/>
        <v>37</v>
      </c>
      <c r="AU1" s="15">
        <f t="shared" si="0"/>
        <v>38</v>
      </c>
      <c r="AV1" s="15">
        <f t="shared" si="0"/>
        <v>39</v>
      </c>
      <c r="AW1" s="15">
        <f t="shared" si="0"/>
        <v>40</v>
      </c>
      <c r="AX1" s="15">
        <f t="shared" si="0"/>
        <v>41</v>
      </c>
      <c r="AY1" s="15">
        <f t="shared" si="0"/>
        <v>42</v>
      </c>
      <c r="AZ1" s="15">
        <f t="shared" si="0"/>
        <v>43</v>
      </c>
      <c r="BA1" s="15">
        <f t="shared" si="0"/>
        <v>44</v>
      </c>
      <c r="BB1" s="15">
        <f t="shared" si="0"/>
        <v>45</v>
      </c>
      <c r="BC1" s="15">
        <f t="shared" si="0"/>
        <v>46</v>
      </c>
      <c r="BD1" s="15">
        <f t="shared" si="0"/>
        <v>47</v>
      </c>
      <c r="BE1" s="15">
        <f t="shared" si="0"/>
        <v>48</v>
      </c>
      <c r="BF1" s="15">
        <f t="shared" si="0"/>
        <v>49</v>
      </c>
      <c r="BG1" s="15">
        <f t="shared" si="0"/>
        <v>50</v>
      </c>
      <c r="BH1" s="15">
        <f t="shared" si="0"/>
        <v>51</v>
      </c>
      <c r="BI1" s="15">
        <f t="shared" ref="BI1:DT1" si="1">BH1+1</f>
        <v>52</v>
      </c>
      <c r="BJ1" s="15">
        <f t="shared" si="1"/>
        <v>53</v>
      </c>
      <c r="BK1" s="15">
        <f t="shared" si="1"/>
        <v>54</v>
      </c>
      <c r="BL1" s="15">
        <f t="shared" si="1"/>
        <v>55</v>
      </c>
      <c r="BM1" s="15">
        <f t="shared" si="1"/>
        <v>56</v>
      </c>
      <c r="BN1" s="15">
        <f t="shared" si="1"/>
        <v>57</v>
      </c>
      <c r="BO1" s="15">
        <f t="shared" si="1"/>
        <v>58</v>
      </c>
      <c r="BP1" s="15">
        <f t="shared" si="1"/>
        <v>59</v>
      </c>
      <c r="BQ1" s="15">
        <f t="shared" si="1"/>
        <v>60</v>
      </c>
      <c r="BR1" s="15">
        <f t="shared" si="1"/>
        <v>61</v>
      </c>
      <c r="BS1" s="15">
        <f t="shared" si="1"/>
        <v>62</v>
      </c>
      <c r="BT1" s="15">
        <f t="shared" si="1"/>
        <v>63</v>
      </c>
      <c r="BU1" s="15">
        <f t="shared" si="1"/>
        <v>64</v>
      </c>
      <c r="BV1" s="15">
        <f t="shared" si="1"/>
        <v>65</v>
      </c>
      <c r="BW1" s="15">
        <f t="shared" si="1"/>
        <v>66</v>
      </c>
      <c r="BX1" s="15">
        <f t="shared" si="1"/>
        <v>67</v>
      </c>
      <c r="BY1" s="15">
        <f t="shared" si="1"/>
        <v>68</v>
      </c>
      <c r="BZ1" s="15">
        <f t="shared" si="1"/>
        <v>69</v>
      </c>
      <c r="CA1" s="15">
        <f t="shared" si="1"/>
        <v>70</v>
      </c>
      <c r="CB1" s="15">
        <f t="shared" si="1"/>
        <v>71</v>
      </c>
      <c r="CC1" s="15">
        <f t="shared" si="1"/>
        <v>72</v>
      </c>
      <c r="CD1" s="15">
        <f t="shared" si="1"/>
        <v>73</v>
      </c>
      <c r="CE1" s="15">
        <f t="shared" si="1"/>
        <v>74</v>
      </c>
      <c r="CF1" s="15">
        <f t="shared" si="1"/>
        <v>75</v>
      </c>
      <c r="CG1" s="15">
        <f t="shared" si="1"/>
        <v>76</v>
      </c>
      <c r="CH1" s="15">
        <f t="shared" si="1"/>
        <v>77</v>
      </c>
      <c r="CI1" s="15">
        <f t="shared" si="1"/>
        <v>78</v>
      </c>
      <c r="CJ1" s="15">
        <f t="shared" si="1"/>
        <v>79</v>
      </c>
      <c r="CK1" s="15">
        <f t="shared" si="1"/>
        <v>80</v>
      </c>
      <c r="CL1" s="15">
        <f t="shared" si="1"/>
        <v>81</v>
      </c>
      <c r="CM1" s="15">
        <f t="shared" si="1"/>
        <v>82</v>
      </c>
      <c r="CN1" s="15">
        <f t="shared" si="1"/>
        <v>83</v>
      </c>
      <c r="CO1" s="15">
        <f t="shared" si="1"/>
        <v>84</v>
      </c>
      <c r="CP1" s="15">
        <f t="shared" si="1"/>
        <v>85</v>
      </c>
      <c r="CQ1" s="15">
        <f t="shared" si="1"/>
        <v>86</v>
      </c>
      <c r="CR1" s="15">
        <f t="shared" si="1"/>
        <v>87</v>
      </c>
      <c r="CS1" s="15">
        <f t="shared" si="1"/>
        <v>88</v>
      </c>
      <c r="CT1" s="15">
        <f t="shared" si="1"/>
        <v>89</v>
      </c>
      <c r="CU1" s="15">
        <f t="shared" si="1"/>
        <v>90</v>
      </c>
      <c r="CV1" s="15">
        <f t="shared" si="1"/>
        <v>91</v>
      </c>
      <c r="CW1" s="15">
        <f t="shared" si="1"/>
        <v>92</v>
      </c>
      <c r="CX1" s="15">
        <f t="shared" si="1"/>
        <v>93</v>
      </c>
      <c r="CY1" s="15">
        <f t="shared" si="1"/>
        <v>94</v>
      </c>
      <c r="CZ1" s="15">
        <f t="shared" si="1"/>
        <v>95</v>
      </c>
      <c r="DA1" s="15">
        <f t="shared" si="1"/>
        <v>96</v>
      </c>
      <c r="DB1" s="15">
        <f t="shared" si="1"/>
        <v>97</v>
      </c>
      <c r="DC1" s="15">
        <f t="shared" si="1"/>
        <v>98</v>
      </c>
      <c r="DD1" s="15">
        <f t="shared" si="1"/>
        <v>99</v>
      </c>
      <c r="DE1" s="15">
        <f t="shared" si="1"/>
        <v>100</v>
      </c>
      <c r="DF1" s="15">
        <f t="shared" si="1"/>
        <v>101</v>
      </c>
      <c r="DG1" s="15">
        <f t="shared" si="1"/>
        <v>102</v>
      </c>
      <c r="DH1" s="15">
        <f t="shared" si="1"/>
        <v>103</v>
      </c>
      <c r="DI1" s="15">
        <f t="shared" si="1"/>
        <v>104</v>
      </c>
      <c r="DJ1" s="15">
        <f t="shared" si="1"/>
        <v>105</v>
      </c>
      <c r="DK1" s="15">
        <f t="shared" si="1"/>
        <v>106</v>
      </c>
      <c r="DL1" s="15">
        <f t="shared" si="1"/>
        <v>107</v>
      </c>
      <c r="DM1" s="15">
        <f t="shared" si="1"/>
        <v>108</v>
      </c>
      <c r="DN1" s="15">
        <f t="shared" si="1"/>
        <v>109</v>
      </c>
      <c r="DO1" s="15">
        <f t="shared" si="1"/>
        <v>110</v>
      </c>
      <c r="DP1" s="15">
        <f t="shared" si="1"/>
        <v>111</v>
      </c>
      <c r="DQ1" s="15">
        <f t="shared" si="1"/>
        <v>112</v>
      </c>
      <c r="DR1" s="15">
        <f t="shared" si="1"/>
        <v>113</v>
      </c>
      <c r="DS1" s="15">
        <f t="shared" si="1"/>
        <v>114</v>
      </c>
      <c r="DT1" s="15">
        <f t="shared" si="1"/>
        <v>115</v>
      </c>
      <c r="DU1" s="15">
        <f t="shared" ref="DU1:GF1" si="2">DT1+1</f>
        <v>116</v>
      </c>
      <c r="DV1" s="15">
        <f t="shared" si="2"/>
        <v>117</v>
      </c>
      <c r="DW1" s="15">
        <f t="shared" si="2"/>
        <v>118</v>
      </c>
      <c r="DX1" s="15">
        <f t="shared" si="2"/>
        <v>119</v>
      </c>
      <c r="DY1" s="15">
        <f t="shared" si="2"/>
        <v>120</v>
      </c>
      <c r="DZ1" s="15">
        <f t="shared" si="2"/>
        <v>121</v>
      </c>
      <c r="EA1" s="15">
        <f t="shared" si="2"/>
        <v>122</v>
      </c>
      <c r="EB1" s="15">
        <f t="shared" si="2"/>
        <v>123</v>
      </c>
      <c r="EC1" s="15">
        <f t="shared" si="2"/>
        <v>124</v>
      </c>
      <c r="ED1" s="15">
        <f t="shared" si="2"/>
        <v>125</v>
      </c>
      <c r="EE1" s="15">
        <f t="shared" si="2"/>
        <v>126</v>
      </c>
      <c r="EF1" s="15">
        <f t="shared" si="2"/>
        <v>127</v>
      </c>
      <c r="EG1" s="15">
        <f t="shared" si="2"/>
        <v>128</v>
      </c>
      <c r="EH1" s="15">
        <f t="shared" si="2"/>
        <v>129</v>
      </c>
      <c r="EI1" s="15">
        <f t="shared" si="2"/>
        <v>130</v>
      </c>
      <c r="EJ1" s="15">
        <f t="shared" si="2"/>
        <v>131</v>
      </c>
      <c r="EK1" s="15">
        <f t="shared" si="2"/>
        <v>132</v>
      </c>
      <c r="EL1" s="15">
        <f t="shared" si="2"/>
        <v>133</v>
      </c>
      <c r="EM1" s="15">
        <f t="shared" si="2"/>
        <v>134</v>
      </c>
      <c r="EN1" s="15">
        <f t="shared" si="2"/>
        <v>135</v>
      </c>
      <c r="EO1" s="15">
        <f t="shared" si="2"/>
        <v>136</v>
      </c>
      <c r="EP1" s="15">
        <f t="shared" si="2"/>
        <v>137</v>
      </c>
      <c r="EQ1" s="15">
        <f t="shared" si="2"/>
        <v>138</v>
      </c>
      <c r="ER1" s="15">
        <f t="shared" si="2"/>
        <v>139</v>
      </c>
      <c r="ES1" s="15">
        <f t="shared" si="2"/>
        <v>140</v>
      </c>
      <c r="ET1" s="15">
        <f t="shared" si="2"/>
        <v>141</v>
      </c>
      <c r="EU1" s="15">
        <f t="shared" si="2"/>
        <v>142</v>
      </c>
      <c r="EV1" s="15">
        <f t="shared" si="2"/>
        <v>143</v>
      </c>
      <c r="EW1" s="15">
        <f t="shared" si="2"/>
        <v>144</v>
      </c>
      <c r="EX1" s="15">
        <f t="shared" si="2"/>
        <v>145</v>
      </c>
      <c r="EY1" s="15">
        <f t="shared" si="2"/>
        <v>146</v>
      </c>
      <c r="EZ1" s="15">
        <f t="shared" si="2"/>
        <v>147</v>
      </c>
      <c r="FA1" s="15">
        <f t="shared" si="2"/>
        <v>148</v>
      </c>
      <c r="FB1" s="15">
        <f t="shared" si="2"/>
        <v>149</v>
      </c>
      <c r="FC1" s="15">
        <f t="shared" si="2"/>
        <v>150</v>
      </c>
      <c r="FD1" s="15">
        <f t="shared" si="2"/>
        <v>151</v>
      </c>
      <c r="FE1" s="15">
        <f t="shared" si="2"/>
        <v>152</v>
      </c>
      <c r="FF1" s="15">
        <f t="shared" si="2"/>
        <v>153</v>
      </c>
      <c r="FG1" s="15">
        <f t="shared" si="2"/>
        <v>154</v>
      </c>
      <c r="FH1" s="15">
        <f t="shared" si="2"/>
        <v>155</v>
      </c>
      <c r="FI1" s="15">
        <f t="shared" si="2"/>
        <v>156</v>
      </c>
      <c r="FJ1" s="15">
        <f t="shared" si="2"/>
        <v>157</v>
      </c>
      <c r="FK1" s="15">
        <f t="shared" si="2"/>
        <v>158</v>
      </c>
      <c r="FL1" s="15">
        <f t="shared" si="2"/>
        <v>159</v>
      </c>
      <c r="FM1" s="15">
        <f t="shared" si="2"/>
        <v>160</v>
      </c>
      <c r="FN1" s="15">
        <f t="shared" si="2"/>
        <v>161</v>
      </c>
      <c r="FO1" s="15">
        <f t="shared" si="2"/>
        <v>162</v>
      </c>
      <c r="FP1" s="15">
        <f t="shared" si="2"/>
        <v>163</v>
      </c>
      <c r="FQ1" s="15">
        <f t="shared" si="2"/>
        <v>164</v>
      </c>
      <c r="FR1" s="15">
        <f t="shared" si="2"/>
        <v>165</v>
      </c>
      <c r="FS1" s="15">
        <f t="shared" si="2"/>
        <v>166</v>
      </c>
      <c r="FT1" s="15">
        <f t="shared" si="2"/>
        <v>167</v>
      </c>
      <c r="FU1" s="15">
        <f t="shared" si="2"/>
        <v>168</v>
      </c>
      <c r="FV1" s="15">
        <f t="shared" si="2"/>
        <v>169</v>
      </c>
      <c r="FW1" s="15">
        <f t="shared" si="2"/>
        <v>170</v>
      </c>
      <c r="FX1" s="15">
        <f t="shared" si="2"/>
        <v>171</v>
      </c>
      <c r="FY1" s="15">
        <f t="shared" si="2"/>
        <v>172</v>
      </c>
      <c r="FZ1" s="15">
        <f t="shared" si="2"/>
        <v>173</v>
      </c>
      <c r="GA1" s="15">
        <f t="shared" si="2"/>
        <v>174</v>
      </c>
      <c r="GB1" s="15">
        <f t="shared" si="2"/>
        <v>175</v>
      </c>
      <c r="GC1" s="15">
        <f t="shared" si="2"/>
        <v>176</v>
      </c>
      <c r="GD1" s="15">
        <f t="shared" si="2"/>
        <v>177</v>
      </c>
      <c r="GE1" s="15">
        <f t="shared" si="2"/>
        <v>178</v>
      </c>
      <c r="GF1" s="15">
        <f t="shared" si="2"/>
        <v>179</v>
      </c>
      <c r="GG1" s="15">
        <f t="shared" ref="GG1:IR1" si="3">GF1+1</f>
        <v>180</v>
      </c>
      <c r="GH1" s="15">
        <f t="shared" si="3"/>
        <v>181</v>
      </c>
      <c r="GI1" s="15">
        <f t="shared" si="3"/>
        <v>182</v>
      </c>
      <c r="GJ1" s="15">
        <f t="shared" si="3"/>
        <v>183</v>
      </c>
      <c r="GK1" s="15">
        <f t="shared" si="3"/>
        <v>184</v>
      </c>
      <c r="GL1" s="15">
        <f t="shared" si="3"/>
        <v>185</v>
      </c>
      <c r="GM1" s="15">
        <f t="shared" si="3"/>
        <v>186</v>
      </c>
      <c r="GN1" s="15">
        <f t="shared" si="3"/>
        <v>187</v>
      </c>
      <c r="GO1" s="15">
        <f t="shared" si="3"/>
        <v>188</v>
      </c>
      <c r="GP1" s="15">
        <f t="shared" si="3"/>
        <v>189</v>
      </c>
      <c r="GQ1" s="15">
        <f t="shared" si="3"/>
        <v>190</v>
      </c>
      <c r="GR1" s="15">
        <f t="shared" si="3"/>
        <v>191</v>
      </c>
      <c r="GS1" s="15">
        <f t="shared" si="3"/>
        <v>192</v>
      </c>
      <c r="GT1" s="15">
        <f t="shared" si="3"/>
        <v>193</v>
      </c>
      <c r="GU1" s="15">
        <f t="shared" si="3"/>
        <v>194</v>
      </c>
      <c r="GV1" s="15">
        <f t="shared" si="3"/>
        <v>195</v>
      </c>
      <c r="GW1" s="15">
        <f t="shared" si="3"/>
        <v>196</v>
      </c>
      <c r="GX1" s="15">
        <f t="shared" si="3"/>
        <v>197</v>
      </c>
      <c r="GY1" s="15">
        <f t="shared" si="3"/>
        <v>198</v>
      </c>
      <c r="GZ1" s="15">
        <f t="shared" si="3"/>
        <v>199</v>
      </c>
      <c r="HA1" s="15">
        <f t="shared" si="3"/>
        <v>200</v>
      </c>
      <c r="HB1" s="15">
        <f t="shared" si="3"/>
        <v>201</v>
      </c>
      <c r="HC1" s="15">
        <f t="shared" si="3"/>
        <v>202</v>
      </c>
      <c r="HD1" s="15">
        <f t="shared" si="3"/>
        <v>203</v>
      </c>
      <c r="HE1" s="15">
        <f t="shared" si="3"/>
        <v>204</v>
      </c>
      <c r="HF1" s="15">
        <f t="shared" si="3"/>
        <v>205</v>
      </c>
      <c r="HG1" s="15">
        <f t="shared" si="3"/>
        <v>206</v>
      </c>
      <c r="HH1" s="15">
        <f t="shared" si="3"/>
        <v>207</v>
      </c>
      <c r="HI1" s="15">
        <f t="shared" si="3"/>
        <v>208</v>
      </c>
      <c r="HJ1" s="15">
        <f t="shared" si="3"/>
        <v>209</v>
      </c>
      <c r="HK1" s="15">
        <f t="shared" si="3"/>
        <v>210</v>
      </c>
      <c r="HL1" s="15">
        <f t="shared" si="3"/>
        <v>211</v>
      </c>
      <c r="HM1" s="15">
        <f t="shared" si="3"/>
        <v>212</v>
      </c>
      <c r="HN1" s="15">
        <f t="shared" si="3"/>
        <v>213</v>
      </c>
      <c r="HO1" s="15">
        <f t="shared" si="3"/>
        <v>214</v>
      </c>
      <c r="HP1" s="15">
        <f t="shared" si="3"/>
        <v>215</v>
      </c>
      <c r="HQ1" s="15">
        <f t="shared" si="3"/>
        <v>216</v>
      </c>
      <c r="HR1" s="15">
        <f t="shared" si="3"/>
        <v>217</v>
      </c>
      <c r="HS1" s="15">
        <f t="shared" si="3"/>
        <v>218</v>
      </c>
      <c r="HT1" s="15">
        <f t="shared" si="3"/>
        <v>219</v>
      </c>
      <c r="HU1" s="15">
        <f t="shared" si="3"/>
        <v>220</v>
      </c>
      <c r="HV1" s="15">
        <f t="shared" si="3"/>
        <v>221</v>
      </c>
      <c r="HW1" s="15">
        <f t="shared" si="3"/>
        <v>222</v>
      </c>
      <c r="HX1" s="15">
        <f t="shared" si="3"/>
        <v>223</v>
      </c>
      <c r="HY1" s="15">
        <f t="shared" si="3"/>
        <v>224</v>
      </c>
      <c r="HZ1" s="15">
        <f t="shared" si="3"/>
        <v>225</v>
      </c>
      <c r="IA1" s="15">
        <f t="shared" si="3"/>
        <v>226</v>
      </c>
      <c r="IB1" s="15">
        <f t="shared" si="3"/>
        <v>227</v>
      </c>
      <c r="IC1" s="15">
        <f t="shared" si="3"/>
        <v>228</v>
      </c>
      <c r="ID1" s="15">
        <f t="shared" si="3"/>
        <v>229</v>
      </c>
      <c r="IE1" s="15">
        <f t="shared" si="3"/>
        <v>230</v>
      </c>
      <c r="IF1" s="15">
        <f t="shared" si="3"/>
        <v>231</v>
      </c>
      <c r="IG1" s="15">
        <f t="shared" si="3"/>
        <v>232</v>
      </c>
      <c r="IH1" s="15">
        <f t="shared" si="3"/>
        <v>233</v>
      </c>
      <c r="II1" s="15">
        <f t="shared" si="3"/>
        <v>234</v>
      </c>
      <c r="IJ1" s="15">
        <f t="shared" si="3"/>
        <v>235</v>
      </c>
      <c r="IK1" s="15">
        <f t="shared" si="3"/>
        <v>236</v>
      </c>
      <c r="IL1" s="15">
        <f t="shared" si="3"/>
        <v>237</v>
      </c>
      <c r="IM1" s="15">
        <f t="shared" si="3"/>
        <v>238</v>
      </c>
      <c r="IN1" s="15">
        <f t="shared" si="3"/>
        <v>239</v>
      </c>
      <c r="IO1" s="15">
        <f t="shared" si="3"/>
        <v>240</v>
      </c>
      <c r="IP1" s="15">
        <f t="shared" si="3"/>
        <v>241</v>
      </c>
      <c r="IQ1" s="15">
        <f t="shared" si="3"/>
        <v>242</v>
      </c>
      <c r="IR1" s="15">
        <f t="shared" si="3"/>
        <v>243</v>
      </c>
      <c r="IS1" s="15">
        <f t="shared" ref="IS1:KU1" si="4">IR1+1</f>
        <v>244</v>
      </c>
      <c r="IT1" s="15">
        <f t="shared" si="4"/>
        <v>245</v>
      </c>
      <c r="IU1" s="15">
        <f t="shared" si="4"/>
        <v>246</v>
      </c>
      <c r="IV1" s="15">
        <f t="shared" si="4"/>
        <v>247</v>
      </c>
      <c r="IW1" s="15">
        <f t="shared" si="4"/>
        <v>248</v>
      </c>
      <c r="IX1" s="15">
        <f t="shared" si="4"/>
        <v>249</v>
      </c>
      <c r="IY1" s="15">
        <f t="shared" si="4"/>
        <v>250</v>
      </c>
      <c r="IZ1" s="15">
        <f t="shared" si="4"/>
        <v>251</v>
      </c>
      <c r="JA1" s="15">
        <f t="shared" si="4"/>
        <v>252</v>
      </c>
      <c r="JB1" s="15">
        <f t="shared" si="4"/>
        <v>253</v>
      </c>
      <c r="JC1" s="15">
        <f t="shared" si="4"/>
        <v>254</v>
      </c>
      <c r="JD1" s="15">
        <f t="shared" si="4"/>
        <v>255</v>
      </c>
      <c r="JE1" s="15">
        <f t="shared" si="4"/>
        <v>256</v>
      </c>
      <c r="JF1" s="15">
        <f t="shared" si="4"/>
        <v>257</v>
      </c>
      <c r="JG1" s="15">
        <f t="shared" si="4"/>
        <v>258</v>
      </c>
      <c r="JH1" s="15">
        <f t="shared" si="4"/>
        <v>259</v>
      </c>
      <c r="JI1" s="15">
        <f t="shared" si="4"/>
        <v>260</v>
      </c>
      <c r="JJ1" s="15">
        <f t="shared" si="4"/>
        <v>261</v>
      </c>
      <c r="JK1" s="15">
        <f t="shared" si="4"/>
        <v>262</v>
      </c>
      <c r="JL1" s="15">
        <f t="shared" si="4"/>
        <v>263</v>
      </c>
      <c r="JM1" s="15">
        <f t="shared" si="4"/>
        <v>264</v>
      </c>
      <c r="JN1" s="15">
        <f t="shared" si="4"/>
        <v>265</v>
      </c>
      <c r="JO1" s="15">
        <f t="shared" si="4"/>
        <v>266</v>
      </c>
      <c r="JP1" s="15">
        <f t="shared" si="4"/>
        <v>267</v>
      </c>
      <c r="JQ1" s="15">
        <f t="shared" si="4"/>
        <v>268</v>
      </c>
      <c r="JR1" s="15">
        <f t="shared" si="4"/>
        <v>269</v>
      </c>
      <c r="JS1" s="15">
        <f t="shared" si="4"/>
        <v>270</v>
      </c>
      <c r="JT1" s="15">
        <f t="shared" si="4"/>
        <v>271</v>
      </c>
      <c r="JU1" s="15">
        <f t="shared" si="4"/>
        <v>272</v>
      </c>
      <c r="JV1" s="15">
        <f t="shared" si="4"/>
        <v>273</v>
      </c>
      <c r="JW1" s="15">
        <f t="shared" si="4"/>
        <v>274</v>
      </c>
      <c r="JX1" s="15">
        <f t="shared" si="4"/>
        <v>275</v>
      </c>
      <c r="JY1" s="15">
        <f t="shared" si="4"/>
        <v>276</v>
      </c>
      <c r="JZ1" s="15">
        <f t="shared" si="4"/>
        <v>277</v>
      </c>
      <c r="KA1" s="15">
        <f t="shared" si="4"/>
        <v>278</v>
      </c>
      <c r="KB1" s="15">
        <f t="shared" si="4"/>
        <v>279</v>
      </c>
      <c r="KC1" s="15">
        <f t="shared" si="4"/>
        <v>280</v>
      </c>
      <c r="KD1" s="15">
        <f t="shared" si="4"/>
        <v>281</v>
      </c>
      <c r="KE1" s="15">
        <f t="shared" si="4"/>
        <v>282</v>
      </c>
      <c r="KF1" s="15">
        <f t="shared" si="4"/>
        <v>283</v>
      </c>
      <c r="KG1" s="15">
        <f t="shared" si="4"/>
        <v>284</v>
      </c>
      <c r="KH1" s="15">
        <f t="shared" si="4"/>
        <v>285</v>
      </c>
      <c r="KI1" s="15">
        <f t="shared" si="4"/>
        <v>286</v>
      </c>
      <c r="KJ1" s="15">
        <f t="shared" si="4"/>
        <v>287</v>
      </c>
      <c r="KK1" s="15">
        <f t="shared" si="4"/>
        <v>288</v>
      </c>
      <c r="KL1" s="15">
        <f t="shared" si="4"/>
        <v>289</v>
      </c>
      <c r="KM1" s="15">
        <f t="shared" si="4"/>
        <v>290</v>
      </c>
      <c r="KN1" s="15">
        <f t="shared" si="4"/>
        <v>291</v>
      </c>
      <c r="KO1" s="15">
        <f t="shared" si="4"/>
        <v>292</v>
      </c>
      <c r="KP1" s="15">
        <f t="shared" si="4"/>
        <v>293</v>
      </c>
      <c r="KQ1" s="15">
        <f t="shared" si="4"/>
        <v>294</v>
      </c>
      <c r="KR1" s="15">
        <f t="shared" si="4"/>
        <v>295</v>
      </c>
      <c r="KS1" s="15">
        <f t="shared" si="4"/>
        <v>296</v>
      </c>
      <c r="KT1" s="15">
        <f t="shared" si="4"/>
        <v>297</v>
      </c>
      <c r="KU1" s="15">
        <f t="shared" si="4"/>
        <v>298</v>
      </c>
    </row>
    <row r="2" spans="1:307" x14ac:dyDescent="0.25">
      <c r="A2" s="10">
        <v>1</v>
      </c>
      <c r="B2" s="10">
        <v>1</v>
      </c>
      <c r="C2" s="10" t="str">
        <f t="shared" ref="C2:C33" si="5">H2</f>
        <v>50% Daily Increase</v>
      </c>
      <c r="D2" s="7">
        <f>MAX(I2:CL2)</f>
        <v>95643225032.107452</v>
      </c>
      <c r="E2" s="7">
        <f>IF(COUNTIF(I2:XFD2,"&gt;"&amp;0)=0,,HLOOKUP(COUNTIF(I2:XFD2,"&gt;"&amp;0)-1,I$1:XFD2,A2+1,FALSE))</f>
        <v>95643225032.107452</v>
      </c>
      <c r="F2" s="8">
        <f>IF(COUNTIF(I2:XFD2,"&gt;"&amp;0)=0,,HLOOKUP(COUNTIF(I2:XFD2,"&gt;"&amp;0)-MIN($F$1+1,COUNTIF(I2:XFD2,"&gt;"&amp;0)),I$1:XFD2,A2+1,FALSE))</f>
        <v>12594992596.820734</v>
      </c>
      <c r="G2" s="9">
        <f t="shared" ref="G2:G40" si="6">IF(COUNTIF(I2:XFD2,"&gt;"&amp;0)=0,,(E2/F2)^(1/$F$1))</f>
        <v>1.5</v>
      </c>
      <c r="H2" s="16" t="s">
        <v>458</v>
      </c>
      <c r="I2" s="10">
        <v>100</v>
      </c>
      <c r="J2" s="11">
        <f t="shared" ref="J2:AO2" si="7">I2*1.5</f>
        <v>150</v>
      </c>
      <c r="K2" s="11">
        <f t="shared" si="7"/>
        <v>225</v>
      </c>
      <c r="L2" s="11">
        <f t="shared" si="7"/>
        <v>337.5</v>
      </c>
      <c r="M2" s="11">
        <f t="shared" si="7"/>
        <v>506.25</v>
      </c>
      <c r="N2" s="11">
        <f t="shared" si="7"/>
        <v>759.375</v>
      </c>
      <c r="O2" s="11">
        <f t="shared" si="7"/>
        <v>1139.0625</v>
      </c>
      <c r="P2" s="11">
        <f t="shared" si="7"/>
        <v>1708.59375</v>
      </c>
      <c r="Q2" s="11">
        <f t="shared" si="7"/>
        <v>2562.890625</v>
      </c>
      <c r="R2" s="11">
        <f t="shared" si="7"/>
        <v>3844.3359375</v>
      </c>
      <c r="S2" s="11">
        <f t="shared" si="7"/>
        <v>5766.50390625</v>
      </c>
      <c r="T2" s="11">
        <f t="shared" si="7"/>
        <v>8649.755859375</v>
      </c>
      <c r="U2" s="11">
        <f t="shared" si="7"/>
        <v>12974.6337890625</v>
      </c>
      <c r="V2" s="11">
        <f t="shared" si="7"/>
        <v>19461.95068359375</v>
      </c>
      <c r="W2" s="11">
        <f t="shared" si="7"/>
        <v>29192.926025390625</v>
      </c>
      <c r="X2" s="11">
        <f t="shared" si="7"/>
        <v>43789.389038085938</v>
      </c>
      <c r="Y2" s="11">
        <f t="shared" si="7"/>
        <v>65684.083557128906</v>
      </c>
      <c r="Z2" s="11">
        <f t="shared" si="7"/>
        <v>98526.125335693359</v>
      </c>
      <c r="AA2" s="11">
        <f t="shared" si="7"/>
        <v>147789.18800354004</v>
      </c>
      <c r="AB2" s="11">
        <f t="shared" si="7"/>
        <v>221683.78200531006</v>
      </c>
      <c r="AC2" s="11">
        <f t="shared" si="7"/>
        <v>332525.67300796509</v>
      </c>
      <c r="AD2" s="11">
        <f t="shared" si="7"/>
        <v>498788.50951194763</v>
      </c>
      <c r="AE2" s="11">
        <f t="shared" si="7"/>
        <v>748182.76426792145</v>
      </c>
      <c r="AF2" s="11">
        <f t="shared" si="7"/>
        <v>1122274.1464018822</v>
      </c>
      <c r="AG2" s="11">
        <f t="shared" si="7"/>
        <v>1683411.2196028233</v>
      </c>
      <c r="AH2" s="11">
        <f t="shared" si="7"/>
        <v>2525116.8294042349</v>
      </c>
      <c r="AI2" s="11">
        <f t="shared" si="7"/>
        <v>3787675.2441063523</v>
      </c>
      <c r="AJ2" s="11">
        <f t="shared" si="7"/>
        <v>5681512.8661595285</v>
      </c>
      <c r="AK2" s="11">
        <f t="shared" si="7"/>
        <v>8522269.2992392927</v>
      </c>
      <c r="AL2" s="11">
        <f t="shared" si="7"/>
        <v>12783403.948858939</v>
      </c>
      <c r="AM2" s="11">
        <f t="shared" si="7"/>
        <v>19175105.923288409</v>
      </c>
      <c r="AN2" s="11">
        <f t="shared" si="7"/>
        <v>28762658.884932615</v>
      </c>
      <c r="AO2" s="11">
        <f t="shared" si="7"/>
        <v>43143988.327398926</v>
      </c>
      <c r="AP2" s="11">
        <f t="shared" ref="AP2:BH2" si="8">AO2*1.5</f>
        <v>64715982.491098389</v>
      </c>
      <c r="AQ2" s="11">
        <f t="shared" si="8"/>
        <v>97073973.736647576</v>
      </c>
      <c r="AR2" s="11">
        <f t="shared" si="8"/>
        <v>145610960.60497135</v>
      </c>
      <c r="AS2" s="11">
        <f t="shared" si="8"/>
        <v>218416440.90745702</v>
      </c>
      <c r="AT2" s="11">
        <f t="shared" si="8"/>
        <v>327624661.36118555</v>
      </c>
      <c r="AU2" s="11">
        <f t="shared" si="8"/>
        <v>491436992.04177833</v>
      </c>
      <c r="AV2" s="11">
        <f t="shared" si="8"/>
        <v>737155488.06266749</v>
      </c>
      <c r="AW2" s="11">
        <f t="shared" si="8"/>
        <v>1105733232.0940013</v>
      </c>
      <c r="AX2" s="11">
        <f t="shared" si="8"/>
        <v>1658599848.1410019</v>
      </c>
      <c r="AY2" s="11">
        <f t="shared" si="8"/>
        <v>2487899772.211503</v>
      </c>
      <c r="AZ2" s="11">
        <f t="shared" si="8"/>
        <v>3731849658.3172545</v>
      </c>
      <c r="BA2" s="11">
        <f t="shared" si="8"/>
        <v>5597774487.4758816</v>
      </c>
      <c r="BB2" s="11">
        <f t="shared" si="8"/>
        <v>8396661731.2138224</v>
      </c>
      <c r="BC2" s="11">
        <f t="shared" si="8"/>
        <v>12594992596.820734</v>
      </c>
      <c r="BD2" s="11">
        <f t="shared" si="8"/>
        <v>18892488895.231102</v>
      </c>
      <c r="BE2" s="11">
        <f t="shared" si="8"/>
        <v>28338733342.846653</v>
      </c>
      <c r="BF2" s="11">
        <f t="shared" si="8"/>
        <v>42508100014.269981</v>
      </c>
      <c r="BG2" s="11">
        <f t="shared" si="8"/>
        <v>63762150021.404968</v>
      </c>
      <c r="BH2" s="11">
        <f t="shared" si="8"/>
        <v>95643225032.107452</v>
      </c>
    </row>
    <row r="3" spans="1:307" x14ac:dyDescent="0.25">
      <c r="A3" s="10">
        <v>2</v>
      </c>
      <c r="B3" s="10">
        <v>1</v>
      </c>
      <c r="C3" s="10" t="str">
        <f t="shared" si="5"/>
        <v>40% Daily Increase</v>
      </c>
      <c r="D3" s="7">
        <f>MAX(I3:CL3)</f>
        <v>2834848273.5670052</v>
      </c>
      <c r="E3" s="7">
        <f>IF(COUNTIF(I3:XFD3,"&gt;"&amp;0)=0,,HLOOKUP(COUNTIF(I3:XFD3,"&gt;"&amp;0)-1,I$1:XFD3,A3+1,FALSE))</f>
        <v>2834848273.5670052</v>
      </c>
      <c r="F3" s="8">
        <f>IF(COUNTIF(I3:XFD3,"&gt;"&amp;0)=0,,HLOOKUP(COUNTIF(I3:XFD3,"&gt;"&amp;0)-MIN($F$1+1,COUNTIF(I3:XFD3,"&gt;"&amp;0)),I$1:XFD3,A3+1,FALSE))</f>
        <v>527095903.78395271</v>
      </c>
      <c r="G3" s="9">
        <f t="shared" si="6"/>
        <v>1.4000000000000001</v>
      </c>
      <c r="H3" s="16" t="s">
        <v>459</v>
      </c>
      <c r="I3" s="10">
        <v>100</v>
      </c>
      <c r="J3" s="11">
        <f t="shared" ref="J3:AO3" si="9">I3*1.4</f>
        <v>140</v>
      </c>
      <c r="K3" s="11">
        <f t="shared" si="9"/>
        <v>196</v>
      </c>
      <c r="L3" s="11">
        <f t="shared" si="9"/>
        <v>274.39999999999998</v>
      </c>
      <c r="M3" s="11">
        <f t="shared" si="9"/>
        <v>384.15999999999997</v>
      </c>
      <c r="N3" s="11">
        <f t="shared" si="9"/>
        <v>537.82399999999996</v>
      </c>
      <c r="O3" s="11">
        <f t="shared" si="9"/>
        <v>752.95359999999994</v>
      </c>
      <c r="P3" s="11">
        <f t="shared" si="9"/>
        <v>1054.1350399999999</v>
      </c>
      <c r="Q3" s="11">
        <f t="shared" si="9"/>
        <v>1475.7890559999998</v>
      </c>
      <c r="R3" s="11">
        <f t="shared" si="9"/>
        <v>2066.1046783999996</v>
      </c>
      <c r="S3" s="11">
        <f t="shared" si="9"/>
        <v>2892.5465497599994</v>
      </c>
      <c r="T3" s="11">
        <f t="shared" si="9"/>
        <v>4049.5651696639989</v>
      </c>
      <c r="U3" s="11">
        <f t="shared" si="9"/>
        <v>5669.3912375295977</v>
      </c>
      <c r="V3" s="11">
        <f t="shared" si="9"/>
        <v>7937.1477325414362</v>
      </c>
      <c r="W3" s="11">
        <f t="shared" si="9"/>
        <v>11112.00682555801</v>
      </c>
      <c r="X3" s="11">
        <f t="shared" si="9"/>
        <v>15556.809555781212</v>
      </c>
      <c r="Y3" s="11">
        <f t="shared" si="9"/>
        <v>21779.533378093696</v>
      </c>
      <c r="Z3" s="11">
        <f t="shared" si="9"/>
        <v>30491.346729331173</v>
      </c>
      <c r="AA3" s="11">
        <f t="shared" si="9"/>
        <v>42687.885421063642</v>
      </c>
      <c r="AB3" s="11">
        <f t="shared" si="9"/>
        <v>59763.039589489097</v>
      </c>
      <c r="AC3" s="11">
        <f t="shared" si="9"/>
        <v>83668.255425284733</v>
      </c>
      <c r="AD3" s="11">
        <f t="shared" si="9"/>
        <v>117135.55759539861</v>
      </c>
      <c r="AE3" s="11">
        <f t="shared" si="9"/>
        <v>163989.78063355805</v>
      </c>
      <c r="AF3" s="11">
        <f t="shared" si="9"/>
        <v>229585.69288698127</v>
      </c>
      <c r="AG3" s="11">
        <f t="shared" si="9"/>
        <v>321419.97004177375</v>
      </c>
      <c r="AH3" s="11">
        <f t="shared" si="9"/>
        <v>449987.9580584832</v>
      </c>
      <c r="AI3" s="11">
        <f t="shared" si="9"/>
        <v>629983.14128187648</v>
      </c>
      <c r="AJ3" s="11">
        <f t="shared" si="9"/>
        <v>881976.397794627</v>
      </c>
      <c r="AK3" s="11">
        <f t="shared" si="9"/>
        <v>1234766.9569124777</v>
      </c>
      <c r="AL3" s="11">
        <f t="shared" si="9"/>
        <v>1728673.7396774688</v>
      </c>
      <c r="AM3" s="11">
        <f t="shared" si="9"/>
        <v>2420143.2355484562</v>
      </c>
      <c r="AN3" s="11">
        <f t="shared" si="9"/>
        <v>3388200.5297678383</v>
      </c>
      <c r="AO3" s="11">
        <f t="shared" si="9"/>
        <v>4743480.7416749736</v>
      </c>
      <c r="AP3" s="11">
        <f t="shared" ref="AP3:BH3" si="10">AO3*1.4</f>
        <v>6640873.0383449625</v>
      </c>
      <c r="AQ3" s="11">
        <f t="shared" si="10"/>
        <v>9297222.2536829468</v>
      </c>
      <c r="AR3" s="11">
        <f t="shared" si="10"/>
        <v>13016111.155156124</v>
      </c>
      <c r="AS3" s="11">
        <f t="shared" si="10"/>
        <v>18222555.617218573</v>
      </c>
      <c r="AT3" s="11">
        <f t="shared" si="10"/>
        <v>25511577.864105999</v>
      </c>
      <c r="AU3" s="11">
        <f t="shared" si="10"/>
        <v>35716209.009748399</v>
      </c>
      <c r="AV3" s="11">
        <f t="shared" si="10"/>
        <v>50002692.613647759</v>
      </c>
      <c r="AW3" s="11">
        <f t="shared" si="10"/>
        <v>70003769.659106866</v>
      </c>
      <c r="AX3" s="11">
        <f t="shared" si="10"/>
        <v>98005277.522749603</v>
      </c>
      <c r="AY3" s="11">
        <f t="shared" si="10"/>
        <v>137207388.53184944</v>
      </c>
      <c r="AZ3" s="11">
        <f t="shared" si="10"/>
        <v>192090343.9445892</v>
      </c>
      <c r="BA3" s="11">
        <f t="shared" si="10"/>
        <v>268926481.52242488</v>
      </c>
      <c r="BB3" s="11">
        <f t="shared" si="10"/>
        <v>376497074.1313948</v>
      </c>
      <c r="BC3" s="11">
        <f t="shared" si="10"/>
        <v>527095903.78395271</v>
      </c>
      <c r="BD3" s="11">
        <f t="shared" si="10"/>
        <v>737934265.29753375</v>
      </c>
      <c r="BE3" s="11">
        <f t="shared" si="10"/>
        <v>1033107971.4165472</v>
      </c>
      <c r="BF3" s="11">
        <f t="shared" si="10"/>
        <v>1446351159.983166</v>
      </c>
      <c r="BG3" s="11">
        <f t="shared" si="10"/>
        <v>2024891623.9764323</v>
      </c>
      <c r="BH3" s="11">
        <f t="shared" si="10"/>
        <v>2834848273.5670052</v>
      </c>
    </row>
    <row r="4" spans="1:307" x14ac:dyDescent="0.25">
      <c r="A4" s="10">
        <v>3</v>
      </c>
      <c r="B4" s="10">
        <v>1</v>
      </c>
      <c r="C4" s="10" t="str">
        <f t="shared" si="5"/>
        <v>30% Daily Increase</v>
      </c>
      <c r="D4" s="7">
        <f>MAX(I4:CL4)</f>
        <v>64730798.98728662</v>
      </c>
      <c r="E4" s="7">
        <f>IF(COUNTIF(I4:XFD4,"&gt;"&amp;0)=0,,HLOOKUP(COUNTIF(I4:XFD4,"&gt;"&amp;0)-1,I$1:XFD4,A4+1,FALSE))</f>
        <v>64730798.98728662</v>
      </c>
      <c r="F4" s="8">
        <f>IF(COUNTIF(I4:XFD4,"&gt;"&amp;0)=0,,HLOOKUP(COUNTIF(I4:XFD4,"&gt;"&amp;0)-MIN($F$1+1,COUNTIF(I4:XFD4,"&gt;"&amp;0)),I$1:XFD4,A4+1,FALSE))</f>
        <v>17433886.172722515</v>
      </c>
      <c r="G4" s="9">
        <f t="shared" si="6"/>
        <v>1.3</v>
      </c>
      <c r="H4" s="16" t="s">
        <v>460</v>
      </c>
      <c r="I4" s="10">
        <v>100</v>
      </c>
      <c r="J4" s="11">
        <f t="shared" ref="J4:AO4" si="11">I4*1.3</f>
        <v>130</v>
      </c>
      <c r="K4" s="11">
        <f t="shared" si="11"/>
        <v>169</v>
      </c>
      <c r="L4" s="11">
        <f t="shared" si="11"/>
        <v>219.70000000000002</v>
      </c>
      <c r="M4" s="11">
        <f t="shared" si="11"/>
        <v>285.61</v>
      </c>
      <c r="N4" s="11">
        <f t="shared" si="11"/>
        <v>371.29300000000001</v>
      </c>
      <c r="O4" s="11">
        <f t="shared" si="11"/>
        <v>482.68090000000001</v>
      </c>
      <c r="P4" s="11">
        <f t="shared" si="11"/>
        <v>627.48517000000004</v>
      </c>
      <c r="Q4" s="11">
        <f t="shared" si="11"/>
        <v>815.73072100000013</v>
      </c>
      <c r="R4" s="11">
        <f t="shared" si="11"/>
        <v>1060.4499373000001</v>
      </c>
      <c r="S4" s="11">
        <f t="shared" si="11"/>
        <v>1378.5849184900003</v>
      </c>
      <c r="T4" s="11">
        <f t="shared" si="11"/>
        <v>1792.1603940370005</v>
      </c>
      <c r="U4" s="11">
        <f t="shared" si="11"/>
        <v>2329.8085122481007</v>
      </c>
      <c r="V4" s="11">
        <f t="shared" si="11"/>
        <v>3028.7510659225309</v>
      </c>
      <c r="W4" s="11">
        <f t="shared" si="11"/>
        <v>3937.37638569929</v>
      </c>
      <c r="X4" s="11">
        <f t="shared" si="11"/>
        <v>5118.5893014090771</v>
      </c>
      <c r="Y4" s="11">
        <f t="shared" si="11"/>
        <v>6654.1660918318003</v>
      </c>
      <c r="Z4" s="11">
        <f t="shared" si="11"/>
        <v>8650.4159193813412</v>
      </c>
      <c r="AA4" s="11">
        <f t="shared" si="11"/>
        <v>11245.540695195745</v>
      </c>
      <c r="AB4" s="11">
        <f t="shared" si="11"/>
        <v>14619.202903754469</v>
      </c>
      <c r="AC4" s="11">
        <f t="shared" si="11"/>
        <v>19004.963774880809</v>
      </c>
      <c r="AD4" s="11">
        <f t="shared" si="11"/>
        <v>24706.452907345054</v>
      </c>
      <c r="AE4" s="11">
        <f t="shared" si="11"/>
        <v>32118.388779548572</v>
      </c>
      <c r="AF4" s="11">
        <f t="shared" si="11"/>
        <v>41753.905413413144</v>
      </c>
      <c r="AG4" s="11">
        <f t="shared" si="11"/>
        <v>54280.077037437091</v>
      </c>
      <c r="AH4" s="11">
        <f t="shared" si="11"/>
        <v>70564.100148668222</v>
      </c>
      <c r="AI4" s="11">
        <f t="shared" si="11"/>
        <v>91733.330193268688</v>
      </c>
      <c r="AJ4" s="11">
        <f t="shared" si="11"/>
        <v>119253.32925124929</v>
      </c>
      <c r="AK4" s="11">
        <f t="shared" si="11"/>
        <v>155029.32802662408</v>
      </c>
      <c r="AL4" s="11">
        <f t="shared" si="11"/>
        <v>201538.1264346113</v>
      </c>
      <c r="AM4" s="11">
        <f t="shared" si="11"/>
        <v>261999.5643649947</v>
      </c>
      <c r="AN4" s="11">
        <f t="shared" si="11"/>
        <v>340599.43367449311</v>
      </c>
      <c r="AO4" s="11">
        <f t="shared" si="11"/>
        <v>442779.26377684105</v>
      </c>
      <c r="AP4" s="11">
        <f t="shared" ref="AP4:BH4" si="12">AO4*1.3</f>
        <v>575613.04290989344</v>
      </c>
      <c r="AQ4" s="11">
        <f t="shared" si="12"/>
        <v>748296.95578286145</v>
      </c>
      <c r="AR4" s="11">
        <f t="shared" si="12"/>
        <v>972786.04251771991</v>
      </c>
      <c r="AS4" s="11">
        <f t="shared" si="12"/>
        <v>1264621.8552730358</v>
      </c>
      <c r="AT4" s="11">
        <f t="shared" si="12"/>
        <v>1644008.4118549465</v>
      </c>
      <c r="AU4" s="11">
        <f t="shared" si="12"/>
        <v>2137210.9354114304</v>
      </c>
      <c r="AV4" s="11">
        <f t="shared" si="12"/>
        <v>2778374.2160348599</v>
      </c>
      <c r="AW4" s="11">
        <f t="shared" si="12"/>
        <v>3611886.4808453182</v>
      </c>
      <c r="AX4" s="11">
        <f t="shared" si="12"/>
        <v>4695452.4250989137</v>
      </c>
      <c r="AY4" s="11">
        <f t="shared" si="12"/>
        <v>6104088.1526285885</v>
      </c>
      <c r="AZ4" s="11">
        <f t="shared" si="12"/>
        <v>7935314.5984171657</v>
      </c>
      <c r="BA4" s="11">
        <f t="shared" si="12"/>
        <v>10315908.977942316</v>
      </c>
      <c r="BB4" s="11">
        <f t="shared" si="12"/>
        <v>13410681.671325011</v>
      </c>
      <c r="BC4" s="11">
        <f t="shared" si="12"/>
        <v>17433886.172722515</v>
      </c>
      <c r="BD4" s="11">
        <f t="shared" si="12"/>
        <v>22664052.02453927</v>
      </c>
      <c r="BE4" s="11">
        <f t="shared" si="12"/>
        <v>29463267.631901052</v>
      </c>
      <c r="BF4" s="11">
        <f t="shared" si="12"/>
        <v>38302247.921471372</v>
      </c>
      <c r="BG4" s="11">
        <f t="shared" si="12"/>
        <v>49792922.297912784</v>
      </c>
      <c r="BH4" s="11">
        <f t="shared" si="12"/>
        <v>64730798.98728662</v>
      </c>
    </row>
    <row r="5" spans="1:307" x14ac:dyDescent="0.25">
      <c r="A5" s="10">
        <v>4</v>
      </c>
      <c r="B5" s="10">
        <f t="array" ref="B5">IF(OR(H5=Current!$S$10:$S$27),1,0)</f>
        <v>1</v>
      </c>
      <c r="C5" s="10" t="str">
        <f t="shared" si="5"/>
        <v>China</v>
      </c>
      <c r="D5" s="7">
        <f>MAX(I5:CL5)</f>
        <v>81033</v>
      </c>
      <c r="E5" s="7">
        <f>IF(COUNTIF(I5:XFD5,"&gt;"&amp;0)=0,,HLOOKUP(COUNTIF(I5:XFD5,"&gt;"&amp;0)-1,I$1:XFD5,A5+1,FALSE))</f>
        <v>81033</v>
      </c>
      <c r="F5" s="8">
        <f>IF(COUNTIF(I5:XFD5,"&gt;"&amp;0)=0,,HLOOKUP(COUNTIF(I5:XFD5,"&gt;"&amp;0)-MIN($F$1+1,COUNTIF(I5:XFD5,"&gt;"&amp;0)),I$1:XFD5,A5+1,FALSE))</f>
        <v>80921</v>
      </c>
      <c r="G5" s="9">
        <f>IF(COUNTIF(I5:XFD5,"&gt;"&amp;0)=0,,(E5/F5)^(1/$F$1))</f>
        <v>1.0002766600642314</v>
      </c>
      <c r="H5" s="16" t="s">
        <v>365</v>
      </c>
      <c r="I5" s="10">
        <v>548</v>
      </c>
      <c r="J5" s="10">
        <v>643</v>
      </c>
      <c r="K5" s="10">
        <v>920</v>
      </c>
      <c r="L5" s="10">
        <v>1406</v>
      </c>
      <c r="M5" s="10">
        <v>2075</v>
      </c>
      <c r="N5" s="10">
        <v>2877</v>
      </c>
      <c r="O5" s="10">
        <v>5509</v>
      </c>
      <c r="P5" s="10">
        <v>6087</v>
      </c>
      <c r="Q5" s="10">
        <v>8141</v>
      </c>
      <c r="R5" s="10">
        <v>9802</v>
      </c>
      <c r="S5" s="10">
        <v>11891</v>
      </c>
      <c r="T5" s="10">
        <v>16630</v>
      </c>
      <c r="U5" s="10">
        <v>19716</v>
      </c>
      <c r="V5" s="10">
        <v>23707</v>
      </c>
      <c r="W5" s="10">
        <v>27440</v>
      </c>
      <c r="X5" s="10">
        <v>30587</v>
      </c>
      <c r="Y5" s="10">
        <v>34110</v>
      </c>
      <c r="Z5" s="10">
        <v>36814</v>
      </c>
      <c r="AA5" s="10">
        <v>39829</v>
      </c>
      <c r="AB5" s="10">
        <v>42354</v>
      </c>
      <c r="AC5" s="10">
        <v>44386</v>
      </c>
      <c r="AD5" s="10">
        <v>44759</v>
      </c>
      <c r="AE5" s="10">
        <v>59895</v>
      </c>
      <c r="AF5" s="10">
        <v>66358</v>
      </c>
      <c r="AG5" s="10">
        <v>68413</v>
      </c>
      <c r="AH5" s="10">
        <v>70513</v>
      </c>
      <c r="AI5" s="10">
        <v>72434</v>
      </c>
      <c r="AJ5" s="10">
        <v>74211</v>
      </c>
      <c r="AK5" s="10">
        <v>74619</v>
      </c>
      <c r="AL5" s="10">
        <v>75077</v>
      </c>
      <c r="AM5" s="10">
        <v>75550</v>
      </c>
      <c r="AN5" s="10">
        <v>77001</v>
      </c>
      <c r="AO5" s="10">
        <v>77022</v>
      </c>
      <c r="AP5" s="10">
        <v>77241</v>
      </c>
      <c r="AQ5" s="10">
        <v>77754</v>
      </c>
      <c r="AR5" s="10">
        <v>78166</v>
      </c>
      <c r="AS5" s="10">
        <v>78600</v>
      </c>
      <c r="AT5" s="10">
        <v>78928</v>
      </c>
      <c r="AU5" s="10">
        <v>79356</v>
      </c>
      <c r="AV5" s="10">
        <v>79932</v>
      </c>
      <c r="AW5" s="10">
        <v>80136</v>
      </c>
      <c r="AX5" s="10">
        <v>80261</v>
      </c>
      <c r="AY5" s="10">
        <v>80386</v>
      </c>
      <c r="AZ5" s="10">
        <v>80537</v>
      </c>
      <c r="BA5" s="10">
        <v>80690</v>
      </c>
      <c r="BB5" s="10">
        <v>80770</v>
      </c>
      <c r="BC5" s="10">
        <v>80823</v>
      </c>
      <c r="BD5" s="10">
        <v>80860</v>
      </c>
      <c r="BE5" s="10">
        <v>80887</v>
      </c>
      <c r="BF5" s="10">
        <v>80921</v>
      </c>
      <c r="BG5" s="10">
        <v>80932</v>
      </c>
      <c r="BH5" s="10">
        <v>80945</v>
      </c>
      <c r="BI5" s="10">
        <v>80977</v>
      </c>
      <c r="BJ5" s="10">
        <v>81003</v>
      </c>
      <c r="BK5" s="10">
        <v>81033</v>
      </c>
    </row>
    <row r="6" spans="1:307" x14ac:dyDescent="0.25">
      <c r="A6" s="10">
        <v>5</v>
      </c>
      <c r="B6" s="10">
        <f t="array" ref="B6">IF(OR(H6=Current!$S$10:$S$27),1,0)</f>
        <v>1</v>
      </c>
      <c r="C6" s="10" t="str">
        <f t="shared" si="5"/>
        <v>Italy</v>
      </c>
      <c r="D6" s="7">
        <f>MAX(I6:BF6)</f>
        <v>27980</v>
      </c>
      <c r="E6" s="7">
        <f>IF(COUNTIF(I6:XFD6,"&gt;"&amp;0)=0,,HLOOKUP(COUNTIF(I6:XFD6,"&gt;"&amp;0)-1,I$1:XFD6,A6+1,FALSE))</f>
        <v>27980</v>
      </c>
      <c r="F6" s="8">
        <f>IF(COUNTIF(I6:XFD6,"&gt;"&amp;0)=0,,HLOOKUP(COUNTIF(I6:XFD6,"&gt;"&amp;0)-MIN($F$1+1,COUNTIF(I6:XFD6,"&gt;"&amp;0)),I$1:XFD6,A6+1,FALSE))</f>
        <v>12462</v>
      </c>
      <c r="G6" s="9">
        <f t="shared" si="6"/>
        <v>1.1755794688665722</v>
      </c>
      <c r="H6" s="16" t="s">
        <v>85</v>
      </c>
      <c r="I6" s="10">
        <v>155</v>
      </c>
      <c r="J6" s="10">
        <v>229</v>
      </c>
      <c r="K6" s="10">
        <v>322</v>
      </c>
      <c r="L6" s="10">
        <v>453</v>
      </c>
      <c r="M6" s="10">
        <v>655</v>
      </c>
      <c r="N6" s="10">
        <v>888</v>
      </c>
      <c r="O6" s="10">
        <v>1128</v>
      </c>
      <c r="P6" s="10">
        <v>1694</v>
      </c>
      <c r="Q6" s="10">
        <v>2036</v>
      </c>
      <c r="R6" s="10">
        <v>2502</v>
      </c>
      <c r="S6" s="10">
        <v>3089</v>
      </c>
      <c r="T6" s="10">
        <v>3858</v>
      </c>
      <c r="U6" s="10">
        <v>4636</v>
      </c>
      <c r="V6" s="10">
        <v>5883</v>
      </c>
      <c r="W6" s="10">
        <v>7375</v>
      </c>
      <c r="X6" s="10">
        <v>9172</v>
      </c>
      <c r="Y6" s="10">
        <v>10149</v>
      </c>
      <c r="Z6" s="10">
        <v>12462</v>
      </c>
      <c r="AA6" s="10">
        <v>14000</v>
      </c>
      <c r="AB6" s="10">
        <v>17660</v>
      </c>
      <c r="AC6" s="10">
        <v>21157</v>
      </c>
      <c r="AD6" s="10">
        <v>24747</v>
      </c>
      <c r="AE6" s="10">
        <v>27980</v>
      </c>
    </row>
    <row r="7" spans="1:307" x14ac:dyDescent="0.25">
      <c r="A7" s="10">
        <v>6</v>
      </c>
      <c r="B7" s="10">
        <f t="array" ref="B7">IF(OR(H7=Current!$S$10:$S$27),1,0)</f>
        <v>1</v>
      </c>
      <c r="C7" s="10" t="str">
        <f t="shared" si="5"/>
        <v>US</v>
      </c>
      <c r="D7" s="7">
        <f>MAX(I7:AW7)</f>
        <v>5988</v>
      </c>
      <c r="E7" s="7">
        <f>IF(COUNTIF(I7:XFD7,"&gt;"&amp;0)=0,,HLOOKUP(COUNTIF(I7:XFD7,"&gt;"&amp;0)-1,I$1:XFD7,A7+1,FALSE))</f>
        <v>5988</v>
      </c>
      <c r="F7" s="8">
        <f>IF(COUNTIF(I7:XFD7,"&gt;"&amp;0)=0,,HLOOKUP(COUNTIF(I7:XFD7,"&gt;"&amp;0)-MIN($F$1+1,COUNTIF(I7:XFD7,"&gt;"&amp;0)),I$1:XFD7,A7+1,FALSE))</f>
        <v>1663</v>
      </c>
      <c r="G7" s="9">
        <f t="shared" si="6"/>
        <v>1.2920457995100529</v>
      </c>
      <c r="H7" s="14" t="s">
        <v>65</v>
      </c>
      <c r="I7" s="10">
        <v>118</v>
      </c>
      <c r="J7" s="10">
        <v>149</v>
      </c>
      <c r="K7" s="10">
        <v>217</v>
      </c>
      <c r="L7" s="10">
        <v>262</v>
      </c>
      <c r="M7" s="10">
        <v>402</v>
      </c>
      <c r="N7" s="10">
        <v>518</v>
      </c>
      <c r="O7" s="10">
        <v>583</v>
      </c>
      <c r="P7" s="10">
        <v>959</v>
      </c>
      <c r="Q7" s="10">
        <v>1281</v>
      </c>
      <c r="R7" s="10">
        <v>1663</v>
      </c>
      <c r="S7" s="10">
        <v>2179</v>
      </c>
      <c r="T7" s="10">
        <v>2727</v>
      </c>
      <c r="U7" s="10">
        <v>3499</v>
      </c>
      <c r="V7" s="10">
        <v>4632</v>
      </c>
      <c r="W7" s="10">
        <v>5988</v>
      </c>
    </row>
    <row r="8" spans="1:307" x14ac:dyDescent="0.25">
      <c r="A8" s="10">
        <v>7</v>
      </c>
      <c r="B8" s="10">
        <f t="array" ref="B8">IF(OR(H8=Current!$S$10:$S$27),1,0)</f>
        <v>1</v>
      </c>
      <c r="C8" s="10" t="str">
        <f t="shared" si="5"/>
        <v>United Kingdom</v>
      </c>
      <c r="D8" s="7">
        <f>MAX(I8:AU8)</f>
        <v>1950</v>
      </c>
      <c r="E8" s="7">
        <f>IF(COUNTIF(I8:XFD8,"&gt;"&amp;0)=0,,HLOOKUP(COUNTIF(I8:XFD8,"&gt;"&amp;0)-1,I$1:XFD8,A8+1,FALSE))</f>
        <v>1950</v>
      </c>
      <c r="F8" s="8">
        <f>IF(COUNTIF(I8:XFD8,"&gt;"&amp;0)=0,,HLOOKUP(COUNTIF(I8:XFD8,"&gt;"&amp;0)-MIN($F$1+1,COUNTIF(I8:XFD8,"&gt;"&amp;0)),I$1:XFD8,A8+1,FALSE))</f>
        <v>590</v>
      </c>
      <c r="G8" s="9">
        <f t="shared" si="6"/>
        <v>1.2700959171475079</v>
      </c>
      <c r="H8" s="14" t="s">
        <v>377</v>
      </c>
      <c r="I8" s="10">
        <v>116</v>
      </c>
      <c r="J8" s="10">
        <v>164</v>
      </c>
      <c r="K8" s="10">
        <v>207</v>
      </c>
      <c r="L8" s="10">
        <v>274</v>
      </c>
      <c r="M8" s="10">
        <v>322</v>
      </c>
      <c r="N8" s="10">
        <v>384</v>
      </c>
      <c r="O8" s="10">
        <v>459</v>
      </c>
      <c r="P8" s="10">
        <v>590</v>
      </c>
      <c r="Q8" s="10">
        <v>802</v>
      </c>
      <c r="R8" s="10">
        <v>1144</v>
      </c>
      <c r="S8" s="10">
        <v>1355</v>
      </c>
      <c r="T8" s="10">
        <v>1551</v>
      </c>
      <c r="U8" s="10">
        <v>1950</v>
      </c>
    </row>
    <row r="9" spans="1:307" x14ac:dyDescent="0.25">
      <c r="A9" s="10">
        <v>8</v>
      </c>
      <c r="B9" s="10">
        <f t="array" ref="B9">IF(OR(H9=Current!$S$10:$S$27),1,0)</f>
        <v>0</v>
      </c>
      <c r="C9" s="10" t="str">
        <f t="shared" si="5"/>
        <v>Iran</v>
      </c>
      <c r="D9" s="7">
        <f>MAX(I9:BC9)</f>
        <v>14991</v>
      </c>
      <c r="E9" s="7">
        <f>IF(COUNTIF(I9:XFD9,"&gt;"&amp;0)=0,,HLOOKUP(COUNTIF(I9:XFD9,"&gt;"&amp;0)-1,I$1:XFD9,A9+1,FALSE))</f>
        <v>14991</v>
      </c>
      <c r="F9" s="8">
        <f>IF(COUNTIF(I9:XFD9,"&gt;"&amp;0)=0,,HLOOKUP(COUNTIF(I9:XFD9,"&gt;"&amp;0)-MIN($F$1+1,COUNTIF(I9:XFD9,"&gt;"&amp;0)),I$1:XFD9,A9+1,FALSE))</f>
        <v>9000</v>
      </c>
      <c r="G9" s="9">
        <f t="shared" si="6"/>
        <v>1.1074334033777014</v>
      </c>
      <c r="H9" s="16" t="s">
        <v>366</v>
      </c>
      <c r="I9" s="10">
        <v>139</v>
      </c>
      <c r="J9" s="10">
        <v>245</v>
      </c>
      <c r="K9" s="10">
        <v>388</v>
      </c>
      <c r="L9" s="10">
        <v>593</v>
      </c>
      <c r="M9" s="10">
        <v>978</v>
      </c>
      <c r="N9" s="10">
        <v>1501</v>
      </c>
      <c r="O9" s="10">
        <v>2336</v>
      </c>
      <c r="P9" s="10">
        <v>2922</v>
      </c>
      <c r="Q9" s="10">
        <v>3513</v>
      </c>
      <c r="R9" s="10">
        <v>4747</v>
      </c>
      <c r="S9" s="10">
        <v>5823</v>
      </c>
      <c r="T9" s="10">
        <v>6566</v>
      </c>
      <c r="U9" s="10">
        <v>7161</v>
      </c>
      <c r="V9" s="10">
        <v>8042</v>
      </c>
      <c r="W9" s="10">
        <v>9000</v>
      </c>
      <c r="X9" s="10">
        <v>10075</v>
      </c>
      <c r="Y9" s="10">
        <v>11364</v>
      </c>
      <c r="Z9" s="10">
        <v>12729</v>
      </c>
      <c r="AA9" s="10">
        <v>13938</v>
      </c>
      <c r="AB9" s="10">
        <v>14991</v>
      </c>
    </row>
    <row r="10" spans="1:307" x14ac:dyDescent="0.25">
      <c r="A10" s="10">
        <v>9</v>
      </c>
      <c r="B10" s="10">
        <f t="array" ref="B10">IF(OR(H10=Current!$S$10:$S$27),1,0)</f>
        <v>0</v>
      </c>
      <c r="C10" s="10" t="str">
        <f t="shared" si="5"/>
        <v>Spain</v>
      </c>
      <c r="D10" s="7">
        <f>MAX(I10:AX10)</f>
        <v>9942</v>
      </c>
      <c r="E10" s="7">
        <f>IF(COUNTIF(I10:XFD10,"&gt;"&amp;0)=0,,HLOOKUP(COUNTIF(I10:XFD10,"&gt;"&amp;0)-1,I$1:XFD10,A10+1,FALSE))</f>
        <v>9942</v>
      </c>
      <c r="F10" s="8">
        <f>IF(COUNTIF(I10:XFD10,"&gt;"&amp;0)=0,,HLOOKUP(COUNTIF(I10:XFD10,"&gt;"&amp;0)-MIN($F$1+1,COUNTIF(I10:XFD10,"&gt;"&amp;0)),I$1:XFD10,A10+1,FALSE))</f>
        <v>2277</v>
      </c>
      <c r="G10" s="9">
        <f t="shared" si="6"/>
        <v>1.3428334334431355</v>
      </c>
      <c r="H10" s="14" t="s">
        <v>87</v>
      </c>
      <c r="I10" s="10">
        <v>120</v>
      </c>
      <c r="J10" s="10">
        <v>165</v>
      </c>
      <c r="K10" s="10">
        <v>222</v>
      </c>
      <c r="L10" s="10">
        <v>259</v>
      </c>
      <c r="M10" s="10">
        <v>400</v>
      </c>
      <c r="N10" s="10">
        <v>500</v>
      </c>
      <c r="O10" s="10">
        <v>673</v>
      </c>
      <c r="P10" s="10">
        <v>1073</v>
      </c>
      <c r="Q10" s="10">
        <v>1695</v>
      </c>
      <c r="R10" s="10">
        <v>2277</v>
      </c>
      <c r="S10" s="10">
        <v>2277</v>
      </c>
      <c r="T10" s="10">
        <v>5232</v>
      </c>
      <c r="U10" s="10">
        <v>6391</v>
      </c>
      <c r="V10" s="10">
        <v>7798</v>
      </c>
      <c r="W10" s="10">
        <v>9942</v>
      </c>
    </row>
    <row r="11" spans="1:307" x14ac:dyDescent="0.25">
      <c r="A11" s="10">
        <v>10</v>
      </c>
      <c r="B11" s="10">
        <f t="array" ref="B11">IF(OR(H11=Current!$S$10:$S$27),1,0)</f>
        <v>0</v>
      </c>
      <c r="C11" s="10" t="str">
        <f t="shared" si="5"/>
        <v>Korea, South</v>
      </c>
      <c r="D11" s="7">
        <f>MAX(I11:BI11)</f>
        <v>8236</v>
      </c>
      <c r="E11" s="7">
        <f>IF(COUNTIF(I11:XFD11,"&gt;"&amp;0)=0,,HLOOKUP(COUNTIF(I11:XFD11,"&gt;"&amp;0)-1,I$1:XFD11,A11+1,FALSE))</f>
        <v>8236</v>
      </c>
      <c r="F11" s="8">
        <f>IF(COUNTIF(I11:XFD11,"&gt;"&amp;0)=0,,HLOOKUP(COUNTIF(I11:XFD11,"&gt;"&amp;0)-MIN($F$1+1,COUNTIF(I11:XFD11,"&gt;"&amp;0)),I$1:XFD11,A11+1,FALSE))</f>
        <v>7755</v>
      </c>
      <c r="G11" s="9">
        <f t="shared" si="6"/>
        <v>1.0121081153485911</v>
      </c>
      <c r="H11" s="16" t="s">
        <v>367</v>
      </c>
      <c r="I11" s="10">
        <v>104</v>
      </c>
      <c r="J11" s="10">
        <v>204</v>
      </c>
      <c r="K11" s="10">
        <v>433</v>
      </c>
      <c r="L11" s="10">
        <v>602</v>
      </c>
      <c r="M11" s="10">
        <v>833</v>
      </c>
      <c r="N11" s="10">
        <v>977</v>
      </c>
      <c r="O11" s="10">
        <v>1261</v>
      </c>
      <c r="P11" s="10">
        <v>1766</v>
      </c>
      <c r="Q11" s="10">
        <v>2337</v>
      </c>
      <c r="R11" s="10">
        <v>3150</v>
      </c>
      <c r="S11" s="10">
        <v>3736</v>
      </c>
      <c r="T11" s="10">
        <v>4335</v>
      </c>
      <c r="U11" s="10">
        <v>5186</v>
      </c>
      <c r="V11" s="10">
        <v>5621</v>
      </c>
      <c r="W11" s="10">
        <v>6088</v>
      </c>
      <c r="X11" s="10">
        <v>6593</v>
      </c>
      <c r="Y11" s="10">
        <v>7041</v>
      </c>
      <c r="Z11" s="10">
        <v>7314</v>
      </c>
      <c r="AA11" s="10">
        <v>7478</v>
      </c>
      <c r="AB11" s="10">
        <v>7513</v>
      </c>
      <c r="AC11" s="10">
        <v>7755</v>
      </c>
      <c r="AD11" s="10">
        <v>7869</v>
      </c>
      <c r="AE11" s="10">
        <v>7979</v>
      </c>
      <c r="AF11" s="10">
        <v>8086</v>
      </c>
      <c r="AG11" s="10">
        <v>8162</v>
      </c>
      <c r="AH11" s="10">
        <v>8236</v>
      </c>
    </row>
    <row r="12" spans="1:307" x14ac:dyDescent="0.25">
      <c r="A12" s="10">
        <v>11</v>
      </c>
      <c r="B12" s="10">
        <f t="array" ref="B12">IF(OR(H12=Current!$S$10:$S$27),1,0)</f>
        <v>0</v>
      </c>
      <c r="C12" s="10" t="str">
        <f t="shared" si="5"/>
        <v>Germany</v>
      </c>
      <c r="D12" s="7">
        <f>MAX(I12:AY12)</f>
        <v>7272</v>
      </c>
      <c r="E12" s="7">
        <f>IF(COUNTIF(I12:XFD12,"&gt;"&amp;0)=0,,HLOOKUP(COUNTIF(I12:XFD12,"&gt;"&amp;0)-1,I$1:XFD12,A12+1,FALSE))</f>
        <v>7272</v>
      </c>
      <c r="F12" s="8">
        <f>IF(COUNTIF(I12:XFD12,"&gt;"&amp;0)=0,,HLOOKUP(COUNTIF(I12:XFD12,"&gt;"&amp;0)-MIN($F$1+1,COUNTIF(I12:XFD12,"&gt;"&amp;0)),I$1:XFD12,A12+1,FALSE))</f>
        <v>1908</v>
      </c>
      <c r="G12" s="9">
        <f t="shared" si="6"/>
        <v>1.3068179764971626</v>
      </c>
      <c r="H12" s="14" t="s">
        <v>80</v>
      </c>
      <c r="I12" s="10">
        <v>130</v>
      </c>
      <c r="J12" s="10">
        <v>159</v>
      </c>
      <c r="K12" s="10">
        <v>196</v>
      </c>
      <c r="L12" s="10">
        <v>262</v>
      </c>
      <c r="M12" s="10">
        <v>482</v>
      </c>
      <c r="N12" s="10">
        <v>670</v>
      </c>
      <c r="O12" s="10">
        <v>799</v>
      </c>
      <c r="P12" s="10">
        <v>1040</v>
      </c>
      <c r="Q12" s="10">
        <v>1176</v>
      </c>
      <c r="R12" s="10">
        <v>1457</v>
      </c>
      <c r="S12" s="10">
        <v>1908</v>
      </c>
      <c r="T12" s="10">
        <v>2078</v>
      </c>
      <c r="U12" s="10">
        <v>3675</v>
      </c>
      <c r="V12" s="10">
        <v>4585</v>
      </c>
      <c r="W12" s="10">
        <v>5795</v>
      </c>
      <c r="X12" s="10">
        <v>7272</v>
      </c>
    </row>
    <row r="13" spans="1:307" x14ac:dyDescent="0.25">
      <c r="A13" s="10">
        <v>12</v>
      </c>
      <c r="B13" s="10">
        <f t="array" ref="B13">IF(OR(H13=Current!$S$10:$S$27),1,0)</f>
        <v>0</v>
      </c>
      <c r="C13" s="10" t="str">
        <f t="shared" si="5"/>
        <v>France</v>
      </c>
      <c r="D13" s="7">
        <f>MAX(I13:AY13)</f>
        <v>6650</v>
      </c>
      <c r="E13" s="7">
        <f>IF(COUNTIF(I13:XFD13,"&gt;"&amp;0)=0,,HLOOKUP(COUNTIF(I13:XFD13,"&gt;"&amp;0)-1,I$1:XFD13,A13+1,FALSE))</f>
        <v>6650</v>
      </c>
      <c r="F13" s="8">
        <f>IF(COUNTIF(I13:XFD13,"&gt;"&amp;0)=0,,HLOOKUP(COUNTIF(I13:XFD13,"&gt;"&amp;0)-MIN($F$1+1,COUNTIF(I13:XFD13,"&gt;"&amp;0)),I$1:XFD13,A13+1,FALSE))</f>
        <v>2289</v>
      </c>
      <c r="G13" s="9">
        <f t="shared" si="6"/>
        <v>1.2377563713098563</v>
      </c>
      <c r="H13" s="14" t="s">
        <v>68</v>
      </c>
      <c r="I13" s="10">
        <v>130</v>
      </c>
      <c r="J13" s="10">
        <v>191</v>
      </c>
      <c r="K13" s="10">
        <v>204</v>
      </c>
      <c r="L13" s="10">
        <v>288</v>
      </c>
      <c r="M13" s="10">
        <v>380</v>
      </c>
      <c r="N13" s="10">
        <v>656</v>
      </c>
      <c r="O13" s="10">
        <v>957</v>
      </c>
      <c r="P13" s="10">
        <v>1134</v>
      </c>
      <c r="Q13" s="10">
        <v>1217</v>
      </c>
      <c r="R13" s="10">
        <v>1792</v>
      </c>
      <c r="S13" s="10">
        <v>2289</v>
      </c>
      <c r="T13" s="10">
        <v>2289</v>
      </c>
      <c r="U13" s="10">
        <v>3672</v>
      </c>
      <c r="V13" s="10">
        <v>4480</v>
      </c>
      <c r="W13" s="10">
        <v>4513</v>
      </c>
      <c r="X13" s="10">
        <v>6650</v>
      </c>
    </row>
    <row r="14" spans="1:307" x14ac:dyDescent="0.25">
      <c r="A14" s="10">
        <v>13</v>
      </c>
      <c r="B14" s="10">
        <f t="array" ref="B14">IF(OR(H14=Current!$S$10:$S$27),1,0)</f>
        <v>0</v>
      </c>
      <c r="C14" s="10" t="str">
        <f t="shared" si="5"/>
        <v>Switzerland</v>
      </c>
      <c r="D14" s="7">
        <f>MAX(I14:AU14)</f>
        <v>2200</v>
      </c>
      <c r="E14" s="7">
        <f>IF(COUNTIF(I14:XFD14,"&gt;"&amp;0)=0,,HLOOKUP(COUNTIF(I14:XFD14,"&gt;"&amp;0)-1,I$1:XFD14,A14+1,FALSE))</f>
        <v>2200</v>
      </c>
      <c r="F14" s="8">
        <f>IF(COUNTIF(I14:XFD14,"&gt;"&amp;0)=0,,HLOOKUP(COUNTIF(I14:XFD14,"&gt;"&amp;0)-MIN($F$1+1,COUNTIF(I14:XFD14,"&gt;"&amp;0)),I$1:XFD14,A14+1,FALSE))</f>
        <v>652</v>
      </c>
      <c r="G14" s="9">
        <f t="shared" si="6"/>
        <v>1.2753665346890597</v>
      </c>
      <c r="H14" s="14" t="s">
        <v>104</v>
      </c>
      <c r="I14" s="10">
        <v>114</v>
      </c>
      <c r="J14" s="10">
        <v>214</v>
      </c>
      <c r="K14" s="10">
        <v>268</v>
      </c>
      <c r="L14" s="10">
        <v>337</v>
      </c>
      <c r="M14" s="10">
        <v>374</v>
      </c>
      <c r="N14" s="10">
        <v>491</v>
      </c>
      <c r="O14" s="10">
        <v>652</v>
      </c>
      <c r="P14" s="10">
        <v>652</v>
      </c>
      <c r="Q14" s="10">
        <v>1139</v>
      </c>
      <c r="R14" s="10">
        <v>1359</v>
      </c>
      <c r="S14" s="10">
        <v>2200</v>
      </c>
      <c r="T14" s="10">
        <v>2200</v>
      </c>
    </row>
    <row r="15" spans="1:307" x14ac:dyDescent="0.25">
      <c r="A15" s="10">
        <v>14</v>
      </c>
      <c r="B15" s="10">
        <f t="array" ref="B15">IF(OR(H15=Current!$S$10:$S$27),1,0)</f>
        <v>0</v>
      </c>
      <c r="C15" s="10" t="str">
        <f t="shared" si="5"/>
        <v>Netherlands</v>
      </c>
      <c r="D15" s="7">
        <f>MAX(I15:AT15)</f>
        <v>1705</v>
      </c>
      <c r="E15" s="7">
        <f>IF(COUNTIF(I15:XFD15,"&gt;"&amp;0)=0,,HLOOKUP(COUNTIF(I15:XFD15,"&gt;"&amp;0)-1,I$1:XFD15,A15+1,FALSE))</f>
        <v>1705</v>
      </c>
      <c r="F15" s="8">
        <f>IF(COUNTIF(I15:XFD15,"&gt;"&amp;0)=0,,HLOOKUP(COUNTIF(I15:XFD15,"&gt;"&amp;0)-MIN($F$1+1,COUNTIF(I15:XFD15,"&gt;"&amp;0)),I$1:XFD15,A15+1,FALSE))</f>
        <v>503</v>
      </c>
      <c r="G15" s="9">
        <f t="shared" si="6"/>
        <v>1.2765307464354396</v>
      </c>
      <c r="H15" s="14" t="s">
        <v>116</v>
      </c>
      <c r="I15" s="10">
        <v>128</v>
      </c>
      <c r="J15" s="10">
        <v>188</v>
      </c>
      <c r="K15" s="10">
        <v>265</v>
      </c>
      <c r="L15" s="10">
        <v>321</v>
      </c>
      <c r="M15" s="10">
        <v>382</v>
      </c>
      <c r="N15" s="10">
        <v>503</v>
      </c>
      <c r="O15" s="10">
        <v>503</v>
      </c>
      <c r="P15" s="10">
        <v>804</v>
      </c>
      <c r="Q15" s="10">
        <v>960</v>
      </c>
      <c r="R15" s="10">
        <v>1136</v>
      </c>
      <c r="S15" s="10">
        <v>1414</v>
      </c>
      <c r="T15" s="10">
        <v>1705</v>
      </c>
    </row>
    <row r="16" spans="1:307" x14ac:dyDescent="0.25">
      <c r="A16" s="10">
        <v>15</v>
      </c>
      <c r="B16" s="10">
        <f t="array" ref="B16">IF(OR(H16=Current!$S$10:$S$27),1,0)</f>
        <v>0</v>
      </c>
      <c r="C16" s="10" t="str">
        <f t="shared" si="5"/>
        <v>Norway</v>
      </c>
      <c r="D16" s="7">
        <f>MAX(I16:AT16)</f>
        <v>1333</v>
      </c>
      <c r="E16" s="7">
        <f>IF(COUNTIF(I16:XFD16,"&gt;"&amp;0)=0,,HLOOKUP(COUNTIF(I16:XFD16,"&gt;"&amp;0)-1,I$1:XFD16,A16+1,FALSE))</f>
        <v>1333</v>
      </c>
      <c r="F16" s="8">
        <f>IF(COUNTIF(I16:XFD16,"&gt;"&amp;0)=0,,HLOOKUP(COUNTIF(I16:XFD16,"&gt;"&amp;0)-MIN($F$1+1,COUNTIF(I16:XFD16,"&gt;"&amp;0)),I$1:XFD16,A16+1,FALSE))</f>
        <v>598</v>
      </c>
      <c r="G16" s="9">
        <f t="shared" si="6"/>
        <v>1.1738856483893008</v>
      </c>
      <c r="H16" s="14" t="s">
        <v>112</v>
      </c>
      <c r="I16" s="10">
        <v>108</v>
      </c>
      <c r="J16" s="10">
        <v>147</v>
      </c>
      <c r="K16" s="10">
        <v>176</v>
      </c>
      <c r="L16" s="10">
        <v>205</v>
      </c>
      <c r="M16" s="10">
        <v>400</v>
      </c>
      <c r="N16" s="10">
        <v>598</v>
      </c>
      <c r="O16" s="10">
        <v>702</v>
      </c>
      <c r="P16" s="10">
        <v>996</v>
      </c>
      <c r="Q16" s="10">
        <v>1090</v>
      </c>
      <c r="R16" s="10">
        <v>1221</v>
      </c>
      <c r="S16" s="10">
        <v>1333</v>
      </c>
    </row>
    <row r="17" spans="1:44" x14ac:dyDescent="0.25">
      <c r="A17" s="10">
        <v>16</v>
      </c>
      <c r="B17" s="10">
        <f t="array" ref="B17">IF(OR(H17=Current!$S$10:$S$27),1,0)</f>
        <v>0</v>
      </c>
      <c r="C17" s="10" t="str">
        <f t="shared" si="5"/>
        <v>Sweden</v>
      </c>
      <c r="D17" s="7">
        <f>MAX(I17:AT17)</f>
        <v>1103</v>
      </c>
      <c r="E17" s="7">
        <f>IF(COUNTIF(I17:XFD17,"&gt;"&amp;0)=0,,HLOOKUP(COUNTIF(I17:XFD17,"&gt;"&amp;0)-1,I$1:XFD17,A17+1,FALSE))</f>
        <v>1103</v>
      </c>
      <c r="F17" s="8">
        <f>IF(COUNTIF(I17:XFD17,"&gt;"&amp;0)=0,,HLOOKUP(COUNTIF(I17:XFD17,"&gt;"&amp;0)-MIN($F$1+1,COUNTIF(I17:XFD17,"&gt;"&amp;0)),I$1:XFD17,A17+1,FALSE))</f>
        <v>500</v>
      </c>
      <c r="G17" s="9">
        <f t="shared" si="6"/>
        <v>1.1714428382870514</v>
      </c>
      <c r="H17" s="14" t="s">
        <v>86</v>
      </c>
      <c r="I17" s="10">
        <v>101</v>
      </c>
      <c r="J17" s="10">
        <v>161</v>
      </c>
      <c r="K17" s="10">
        <v>203</v>
      </c>
      <c r="L17" s="10">
        <v>248</v>
      </c>
      <c r="M17" s="10">
        <v>355</v>
      </c>
      <c r="N17" s="10">
        <v>500</v>
      </c>
      <c r="O17" s="10">
        <v>599</v>
      </c>
      <c r="P17" s="10">
        <v>814</v>
      </c>
      <c r="Q17" s="10">
        <v>961</v>
      </c>
      <c r="R17" s="10">
        <v>1022</v>
      </c>
      <c r="S17" s="10">
        <v>1103</v>
      </c>
    </row>
    <row r="18" spans="1:44" x14ac:dyDescent="0.25">
      <c r="A18" s="10">
        <v>17</v>
      </c>
      <c r="B18" s="10">
        <f t="array" ref="B18">IF(OR(H18=Current!$S$10:$S$27),1,0)</f>
        <v>0</v>
      </c>
      <c r="C18" s="10" t="str">
        <f t="shared" si="5"/>
        <v>Belgium</v>
      </c>
      <c r="D18" s="7">
        <f>MAX(I18:AT18)</f>
        <v>1058</v>
      </c>
      <c r="E18" s="7">
        <f>IF(COUNTIF(I18:XFD18,"&gt;"&amp;0)=0,,HLOOKUP(COUNTIF(I18:XFD18,"&gt;"&amp;0)-1,I$1:XFD18,A18+1,FALSE))</f>
        <v>1058</v>
      </c>
      <c r="F18" s="8">
        <f>IF(COUNTIF(I18:XFD18,"&gt;"&amp;0)=0,,HLOOKUP(COUNTIF(I18:XFD18,"&gt;"&amp;0)-MIN($F$1+1,COUNTIF(I18:XFD18,"&gt;"&amp;0)),I$1:XFD18,A18+1,FALSE))</f>
        <v>314</v>
      </c>
      <c r="G18" s="9">
        <f t="shared" si="6"/>
        <v>1.2750029920353119</v>
      </c>
      <c r="H18" s="14" t="s">
        <v>90</v>
      </c>
      <c r="I18" s="10">
        <v>109</v>
      </c>
      <c r="J18" s="10">
        <v>169</v>
      </c>
      <c r="K18" s="10">
        <v>200</v>
      </c>
      <c r="L18" s="10">
        <v>239</v>
      </c>
      <c r="M18" s="10">
        <v>267</v>
      </c>
      <c r="N18" s="10">
        <v>314</v>
      </c>
      <c r="O18" s="10">
        <v>314</v>
      </c>
      <c r="P18" s="10">
        <v>559</v>
      </c>
      <c r="Q18" s="10">
        <v>689</v>
      </c>
      <c r="R18" s="10">
        <v>886</v>
      </c>
      <c r="S18" s="10">
        <v>1058</v>
      </c>
    </row>
    <row r="19" spans="1:44" x14ac:dyDescent="0.25">
      <c r="A19" s="10">
        <v>18</v>
      </c>
      <c r="B19" s="10">
        <f t="array" ref="B19">IF(OR(H19=Current!$S$10:$S$27),1,0)</f>
        <v>0</v>
      </c>
      <c r="C19" s="10" t="str">
        <f t="shared" si="5"/>
        <v>Austria</v>
      </c>
      <c r="D19" s="7">
        <f>MAX(I19:AR19)</f>
        <v>1018</v>
      </c>
      <c r="E19" s="7">
        <f>IF(COUNTIF(I19:XFD19,"&gt;"&amp;0)=0,,HLOOKUP(COUNTIF(I19:XFD19,"&gt;"&amp;0)-1,I$1:XFD19,A19+1,FALSE))</f>
        <v>1018</v>
      </c>
      <c r="F19" s="8">
        <f>IF(COUNTIF(I19:XFD19,"&gt;"&amp;0)=0,,HLOOKUP(COUNTIF(I19:XFD19,"&gt;"&amp;0)-MIN($F$1+1,COUNTIF(I19:XFD19,"&gt;"&amp;0)),I$1:XFD19,A19+1,FALSE))</f>
        <v>246</v>
      </c>
      <c r="G19" s="9">
        <f t="shared" si="6"/>
        <v>1.3285029838381177</v>
      </c>
      <c r="H19" s="14" t="s">
        <v>105</v>
      </c>
      <c r="I19" s="10">
        <v>104</v>
      </c>
      <c r="J19" s="10">
        <v>131</v>
      </c>
      <c r="K19" s="10">
        <v>182</v>
      </c>
      <c r="L19" s="10">
        <v>246</v>
      </c>
      <c r="M19" s="10">
        <v>302</v>
      </c>
      <c r="N19" s="10">
        <v>504</v>
      </c>
      <c r="O19" s="10">
        <v>655</v>
      </c>
      <c r="P19" s="10">
        <v>860</v>
      </c>
      <c r="Q19" s="10">
        <v>1018</v>
      </c>
    </row>
    <row r="20" spans="1:44" x14ac:dyDescent="0.25">
      <c r="A20" s="10">
        <v>19</v>
      </c>
      <c r="B20" s="10">
        <f t="array" ref="B20">IF(OR(H20=Current!$S$10:$S$27),1,0)</f>
        <v>0</v>
      </c>
      <c r="C20" s="10" t="str">
        <f t="shared" si="5"/>
        <v>Denmark</v>
      </c>
      <c r="D20" s="7">
        <f>MAX(I20:AP20)</f>
        <v>932</v>
      </c>
      <c r="E20" s="7">
        <f>IF(COUNTIF(I20:XFD20,"&gt;"&amp;0)=0,,HLOOKUP(COUNTIF(I20:XFD20,"&gt;"&amp;0)-1,I$1:XFD20,A20+1,FALSE))</f>
        <v>932</v>
      </c>
      <c r="F20" s="8">
        <f>IF(COUNTIF(I20:XFD20,"&gt;"&amp;0)=0,,HLOOKUP(COUNTIF(I20:XFD20,"&gt;"&amp;0)-MIN($F$1+1,COUNTIF(I20:XFD20,"&gt;"&amp;0)),I$1:XFD20,A20+1,FALSE))</f>
        <v>444</v>
      </c>
      <c r="G20" s="9">
        <f t="shared" si="6"/>
        <v>1.1598627167098035</v>
      </c>
      <c r="H20" s="14" t="s">
        <v>114</v>
      </c>
      <c r="I20" s="10">
        <v>264</v>
      </c>
      <c r="J20" s="10">
        <v>444</v>
      </c>
      <c r="K20" s="10">
        <v>617</v>
      </c>
      <c r="L20" s="10">
        <v>804</v>
      </c>
      <c r="M20" s="10">
        <v>836</v>
      </c>
      <c r="N20" s="10">
        <v>875</v>
      </c>
      <c r="O20" s="10">
        <v>932</v>
      </c>
    </row>
    <row r="21" spans="1:44" x14ac:dyDescent="0.25">
      <c r="A21" s="10">
        <v>20</v>
      </c>
      <c r="B21" s="10">
        <f t="array" ref="B21">IF(OR(H21=Current!$S$10:$S$27),1,0)</f>
        <v>0</v>
      </c>
      <c r="C21" s="10" t="str">
        <f t="shared" si="5"/>
        <v>Japan</v>
      </c>
      <c r="D21" s="7">
        <f>MAX(I21:BH21)</f>
        <v>839</v>
      </c>
      <c r="E21" s="7">
        <f>IF(COUNTIF(I21:XFD21,"&gt;"&amp;0)=0,,HLOOKUP(COUNTIF(I21:XFD21,"&gt;"&amp;0)-1,I$1:XFD21,A21+1,FALSE))</f>
        <v>825</v>
      </c>
      <c r="F21" s="8">
        <f>IF(COUNTIF(I21:XFD21,"&gt;"&amp;0)=0,,HLOOKUP(COUNTIF(I21:XFD21,"&gt;"&amp;0)-MIN($F$1+1,COUNTIF(I21:XFD21,"&gt;"&amp;0)),I$1:XFD21,A21+1,FALSE))</f>
        <v>639</v>
      </c>
      <c r="G21" s="9">
        <f t="shared" si="6"/>
        <v>1.0524236963234725</v>
      </c>
      <c r="H21" s="14" t="s">
        <v>63</v>
      </c>
      <c r="I21" s="10">
        <v>105</v>
      </c>
      <c r="J21" s="10">
        <v>122</v>
      </c>
      <c r="K21" s="10">
        <v>147</v>
      </c>
      <c r="L21" s="10">
        <v>159</v>
      </c>
      <c r="M21" s="10">
        <v>170</v>
      </c>
      <c r="N21" s="10">
        <v>189</v>
      </c>
      <c r="O21" s="10">
        <v>214</v>
      </c>
      <c r="P21" s="10">
        <v>228</v>
      </c>
      <c r="Q21" s="10">
        <v>241</v>
      </c>
      <c r="R21" s="10">
        <v>256</v>
      </c>
      <c r="S21" s="10">
        <v>274</v>
      </c>
      <c r="T21" s="10">
        <v>293</v>
      </c>
      <c r="U21" s="10">
        <v>331</v>
      </c>
      <c r="V21" s="10">
        <v>360</v>
      </c>
      <c r="W21" s="10">
        <v>420</v>
      </c>
      <c r="X21" s="10">
        <v>461</v>
      </c>
      <c r="Y21" s="10">
        <v>502</v>
      </c>
      <c r="Z21" s="10">
        <v>511</v>
      </c>
      <c r="AA21" s="10">
        <v>581</v>
      </c>
      <c r="AB21" s="10">
        <v>639</v>
      </c>
      <c r="AC21" s="10">
        <v>639</v>
      </c>
      <c r="AD21" s="10">
        <v>701</v>
      </c>
      <c r="AE21" s="10">
        <v>773</v>
      </c>
      <c r="AF21" s="10">
        <v>839</v>
      </c>
      <c r="AG21" s="10">
        <v>825</v>
      </c>
    </row>
    <row r="22" spans="1:44" x14ac:dyDescent="0.25">
      <c r="A22" s="10">
        <v>21</v>
      </c>
      <c r="B22" s="10">
        <f t="array" ref="B22">IF(OR(H22=Current!$S$10:$S$27),1,0)</f>
        <v>0</v>
      </c>
      <c r="C22" s="10" t="str">
        <f t="shared" si="5"/>
        <v>Cruise Ship</v>
      </c>
      <c r="D22" s="7">
        <f>MAX(I22:BS22)</f>
        <v>706</v>
      </c>
      <c r="E22" s="7">
        <f>IF(COUNTIF(I22:XFD22,"&gt;"&amp;0)=0,,HLOOKUP(COUNTIF(I22:XFD22,"&gt;"&amp;0)-1,I$1:XFD22,A22+1,FALSE))</f>
        <v>696</v>
      </c>
      <c r="F22" s="8">
        <f>IF(COUNTIF(I22:XFD22,"&gt;"&amp;0)=0,,HLOOKUP(COUNTIF(I22:XFD22,"&gt;"&amp;0)-MIN($F$1+1,COUNTIF(I22:XFD22,"&gt;"&amp;0)),I$1:XFD22,A22+1,FALSE))</f>
        <v>696</v>
      </c>
      <c r="G22" s="9">
        <f t="shared" si="6"/>
        <v>1</v>
      </c>
      <c r="H22" s="14" t="s">
        <v>368</v>
      </c>
      <c r="I22" s="10">
        <v>135</v>
      </c>
      <c r="J22" s="10">
        <v>135</v>
      </c>
      <c r="K22" s="10">
        <v>175</v>
      </c>
      <c r="L22" s="10">
        <v>175</v>
      </c>
      <c r="M22" s="10">
        <v>218</v>
      </c>
      <c r="N22" s="10">
        <v>285</v>
      </c>
      <c r="O22" s="10">
        <v>355</v>
      </c>
      <c r="P22" s="10">
        <v>454</v>
      </c>
      <c r="Q22" s="10">
        <v>542</v>
      </c>
      <c r="R22" s="10">
        <v>621</v>
      </c>
      <c r="S22" s="10">
        <v>634</v>
      </c>
      <c r="T22" s="10">
        <v>634</v>
      </c>
      <c r="U22" s="10">
        <v>634</v>
      </c>
      <c r="V22" s="10">
        <v>691</v>
      </c>
      <c r="W22" s="10">
        <v>691</v>
      </c>
      <c r="X22" s="10">
        <v>691</v>
      </c>
      <c r="Y22" s="10">
        <v>705</v>
      </c>
      <c r="Z22" s="10">
        <v>705</v>
      </c>
      <c r="AA22" s="10">
        <v>705</v>
      </c>
      <c r="AB22" s="10">
        <v>705</v>
      </c>
      <c r="AC22" s="10">
        <v>705</v>
      </c>
      <c r="AD22" s="10">
        <v>705</v>
      </c>
      <c r="AE22" s="10">
        <v>706</v>
      </c>
      <c r="AF22" s="10">
        <v>706</v>
      </c>
      <c r="AG22" s="10">
        <v>706</v>
      </c>
      <c r="AH22" s="10">
        <v>696</v>
      </c>
      <c r="AI22" s="10">
        <v>696</v>
      </c>
      <c r="AJ22" s="10">
        <v>696</v>
      </c>
      <c r="AK22" s="10">
        <v>696</v>
      </c>
      <c r="AL22" s="10">
        <v>696</v>
      </c>
      <c r="AM22" s="10">
        <v>696</v>
      </c>
      <c r="AN22" s="10">
        <v>696</v>
      </c>
      <c r="AO22" s="10">
        <v>696</v>
      </c>
      <c r="AP22" s="10">
        <v>696</v>
      </c>
      <c r="AQ22" s="10">
        <v>696</v>
      </c>
      <c r="AR22" s="10">
        <v>696</v>
      </c>
    </row>
    <row r="23" spans="1:44" x14ac:dyDescent="0.25">
      <c r="A23" s="10">
        <v>22</v>
      </c>
      <c r="B23" s="10">
        <f t="array" ref="B23">IF(OR(H23=Current!$S$10:$S$27),1,0)</f>
        <v>0</v>
      </c>
      <c r="C23" s="10" t="str">
        <f t="shared" si="5"/>
        <v>Malaysia</v>
      </c>
      <c r="D23" s="7">
        <f>MAX(I23:AQ23)</f>
        <v>566</v>
      </c>
      <c r="E23" s="7">
        <f>IF(COUNTIF(I23:XFD23,"&gt;"&amp;0)=0,,HLOOKUP(COUNTIF(I23:XFD23,"&gt;"&amp;0)-1,I$1:XFD23,A23+1,FALSE))</f>
        <v>566</v>
      </c>
      <c r="F23" s="8">
        <f>IF(COUNTIF(I23:XFD23,"&gt;"&amp;0)=0,,HLOOKUP(COUNTIF(I23:XFD23,"&gt;"&amp;0)-MIN($F$1+1,COUNTIF(I23:XFD23,"&gt;"&amp;0)),I$1:XFD23,A23+1,FALSE))</f>
        <v>149</v>
      </c>
      <c r="G23" s="9">
        <f t="shared" si="6"/>
        <v>1.3059484448356939</v>
      </c>
      <c r="H23" s="14" t="s">
        <v>70</v>
      </c>
      <c r="I23" s="10">
        <v>117</v>
      </c>
      <c r="J23" s="10">
        <v>129</v>
      </c>
      <c r="K23" s="10">
        <v>149</v>
      </c>
      <c r="L23" s="10">
        <v>149</v>
      </c>
      <c r="M23" s="10">
        <v>197</v>
      </c>
      <c r="N23" s="10">
        <v>238</v>
      </c>
      <c r="O23" s="10">
        <v>428</v>
      </c>
      <c r="P23" s="10">
        <v>566</v>
      </c>
    </row>
    <row r="24" spans="1:44" x14ac:dyDescent="0.25">
      <c r="A24" s="10">
        <v>23</v>
      </c>
      <c r="B24" s="10">
        <f t="array" ref="B24">IF(OR(H24=Current!$S$10:$S$27),1,0)</f>
        <v>0</v>
      </c>
      <c r="C24" s="10" t="str">
        <f t="shared" si="5"/>
        <v>Qatar</v>
      </c>
      <c r="D24" s="7">
        <f>MAX(I24:AO24)</f>
        <v>439</v>
      </c>
      <c r="E24" s="7">
        <f>IF(COUNTIF(I24:XFD24,"&gt;"&amp;0)=0,,HLOOKUP(COUNTIF(I24:XFD24,"&gt;"&amp;0)-1,I$1:XFD24,A24+1,FALSE))</f>
        <v>439</v>
      </c>
      <c r="F24" s="8">
        <f>IF(COUNTIF(I24:XFD24,"&gt;"&amp;0)=0,,HLOOKUP(COUNTIF(I24:XFD24,"&gt;"&amp;0)-MIN($F$1+1,COUNTIF(I24:XFD24,"&gt;"&amp;0)),I$1:XFD24,A24+1,FALSE))</f>
        <v>262</v>
      </c>
      <c r="G24" s="9">
        <f t="shared" si="6"/>
        <v>1.1087474800593278</v>
      </c>
      <c r="H24" s="14" t="s">
        <v>128</v>
      </c>
      <c r="I24" s="10">
        <v>262</v>
      </c>
      <c r="J24" s="10">
        <v>262</v>
      </c>
      <c r="K24" s="10">
        <v>320</v>
      </c>
      <c r="L24" s="10">
        <v>337</v>
      </c>
      <c r="M24" s="10">
        <v>401</v>
      </c>
      <c r="N24" s="10">
        <v>439</v>
      </c>
    </row>
    <row r="25" spans="1:44" x14ac:dyDescent="0.25">
      <c r="A25" s="10">
        <v>24</v>
      </c>
      <c r="B25" s="10">
        <f t="array" ref="B25">IF(OR(H25=Current!$S$10:$S$27),1,0)</f>
        <v>0</v>
      </c>
      <c r="C25" s="10" t="str">
        <f t="shared" si="5"/>
        <v>Canada</v>
      </c>
      <c r="D25" s="7">
        <f>MAX(I25:AO25)</f>
        <v>415</v>
      </c>
      <c r="E25" s="7">
        <f>IF(COUNTIF(I25:XFD25,"&gt;"&amp;0)=0,,HLOOKUP(COUNTIF(I25:XFD25,"&gt;"&amp;0)-1,I$1:XFD25,A25+1,FALSE))</f>
        <v>415</v>
      </c>
      <c r="F25" s="8">
        <f>IF(COUNTIF(I25:XFD25,"&gt;"&amp;0)=0,,HLOOKUP(COUNTIF(I25:XFD25,"&gt;"&amp;0)-MIN($F$1+1,COUNTIF(I25:XFD25,"&gt;"&amp;0)),I$1:XFD25,A25+1,FALSE))</f>
        <v>108</v>
      </c>
      <c r="G25" s="9">
        <f t="shared" si="6"/>
        <v>1.3089554577046882</v>
      </c>
      <c r="H25" s="14" t="s">
        <v>72</v>
      </c>
      <c r="I25" s="10">
        <v>108</v>
      </c>
      <c r="J25" s="10">
        <v>117</v>
      </c>
      <c r="K25" s="10">
        <v>193</v>
      </c>
      <c r="L25" s="10">
        <v>198</v>
      </c>
      <c r="M25" s="10">
        <v>252</v>
      </c>
      <c r="N25" s="10">
        <v>415</v>
      </c>
    </row>
    <row r="26" spans="1:44" x14ac:dyDescent="0.25">
      <c r="A26" s="10">
        <v>25</v>
      </c>
      <c r="B26" s="10">
        <f t="array" ref="B26">IF(OR(H26=Current!$S$10:$S$27),1,0)</f>
        <v>0</v>
      </c>
      <c r="C26" s="10" t="str">
        <f t="shared" si="5"/>
        <v>Australia</v>
      </c>
      <c r="D26" s="7">
        <f>MAX(I26:AP26)</f>
        <v>377</v>
      </c>
      <c r="E26" s="7">
        <f>IF(COUNTIF(I26:XFD26,"&gt;"&amp;0)=0,,HLOOKUP(COUNTIF(I26:XFD26,"&gt;"&amp;0)-1,I$1:XFD26,A26+1,FALSE))</f>
        <v>377</v>
      </c>
      <c r="F26" s="8">
        <f>IF(COUNTIF(I26:XFD26,"&gt;"&amp;0)=0,,HLOOKUP(COUNTIF(I26:XFD26,"&gt;"&amp;0)-MIN($F$1+1,COUNTIF(I26:XFD26,"&gt;"&amp;0)),I$1:XFD26,A26+1,FALSE))</f>
        <v>128</v>
      </c>
      <c r="G26" s="9">
        <f t="shared" si="6"/>
        <v>1.2411557285677497</v>
      </c>
      <c r="H26" s="14" t="s">
        <v>75</v>
      </c>
      <c r="I26" s="10">
        <v>107</v>
      </c>
      <c r="J26" s="10">
        <v>128</v>
      </c>
      <c r="K26" s="10">
        <v>128</v>
      </c>
      <c r="L26" s="10">
        <v>200</v>
      </c>
      <c r="M26" s="10">
        <v>250</v>
      </c>
      <c r="N26" s="10">
        <v>297</v>
      </c>
      <c r="O26" s="10">
        <v>377</v>
      </c>
    </row>
    <row r="27" spans="1:44" x14ac:dyDescent="0.25">
      <c r="A27" s="10">
        <v>26</v>
      </c>
      <c r="B27" s="10">
        <f t="array" ref="B27">IF(OR(H27=Current!$S$10:$S$27),1,0)</f>
        <v>0</v>
      </c>
      <c r="C27" s="10" t="str">
        <f t="shared" si="5"/>
        <v>Greece</v>
      </c>
      <c r="D27" s="7">
        <f>MAX(I27:AM27)</f>
        <v>331</v>
      </c>
      <c r="E27" s="7">
        <f>IF(COUNTIF(I27:XFD27,"&gt;"&amp;0)=0,,HLOOKUP(COUNTIF(I27:XFD27,"&gt;"&amp;0)-1,I$1:XFD27,A27+1,FALSE))</f>
        <v>331</v>
      </c>
      <c r="F27" s="8">
        <f>IF(COUNTIF(I27:XFD27,"&gt;"&amp;0)=0,,HLOOKUP(COUNTIF(I27:XFD27,"&gt;"&amp;0)-MIN($F$1+1,COUNTIF(I27:XFD27,"&gt;"&amp;0)),I$1:XFD27,A27+1,FALSE))</f>
        <v>190</v>
      </c>
      <c r="G27" s="9">
        <f t="shared" si="6"/>
        <v>1.117415981839982</v>
      </c>
      <c r="H27" s="14" t="s">
        <v>110</v>
      </c>
      <c r="I27" s="10">
        <v>190</v>
      </c>
      <c r="J27" s="10">
        <v>228</v>
      </c>
      <c r="K27" s="10">
        <v>331</v>
      </c>
      <c r="L27" s="10">
        <v>331</v>
      </c>
    </row>
    <row r="28" spans="1:44" x14ac:dyDescent="0.25">
      <c r="A28" s="10">
        <v>27</v>
      </c>
      <c r="B28" s="10">
        <f t="array" ref="B28">IF(OR(H28=Current!$S$10:$S$27),1,0)</f>
        <v>0</v>
      </c>
      <c r="C28" s="10" t="str">
        <f t="shared" si="5"/>
        <v>Portugal</v>
      </c>
      <c r="D28" s="7">
        <f>MAX(I28:AM28)</f>
        <v>331</v>
      </c>
      <c r="E28" s="7">
        <f>IF(COUNTIF(I28:XFD28,"&gt;"&amp;0)=0,,HLOOKUP(COUNTIF(I28:XFD28,"&gt;"&amp;0)-1,I$1:XFD28,A28+1,FALSE))</f>
        <v>331</v>
      </c>
      <c r="F28" s="8">
        <f>IF(COUNTIF(I28:XFD28,"&gt;"&amp;0)=0,,HLOOKUP(COUNTIF(I28:XFD28,"&gt;"&amp;0)-MIN($F$1+1,COUNTIF(I28:XFD28,"&gt;"&amp;0)),I$1:XFD28,A28+1,FALSE))</f>
        <v>112</v>
      </c>
      <c r="G28" s="9">
        <f t="shared" si="6"/>
        <v>1.2420011392934649</v>
      </c>
      <c r="H28" s="14" t="s">
        <v>135</v>
      </c>
      <c r="I28" s="10">
        <v>112</v>
      </c>
      <c r="J28" s="10">
        <v>169</v>
      </c>
      <c r="K28" s="10">
        <v>245</v>
      </c>
      <c r="L28" s="10">
        <v>331</v>
      </c>
    </row>
    <row r="29" spans="1:44" x14ac:dyDescent="0.25">
      <c r="A29" s="10">
        <v>28</v>
      </c>
      <c r="B29" s="10">
        <f t="array" ref="B29">IF(OR(H29=Current!$S$10:$S$27),1,0)</f>
        <v>0</v>
      </c>
      <c r="C29" s="10" t="str">
        <f t="shared" si="5"/>
        <v>Czechia</v>
      </c>
      <c r="D29" s="7">
        <f>MAX(I29:AM29)</f>
        <v>298</v>
      </c>
      <c r="E29" s="7">
        <f>IF(COUNTIF(I29:XFD29,"&gt;"&amp;0)=0,,HLOOKUP(COUNTIF(I29:XFD29,"&gt;"&amp;0)-1,I$1:XFD29,A29+1,FALSE))</f>
        <v>298</v>
      </c>
      <c r="F29" s="8">
        <f>IF(COUNTIF(I29:XFD29,"&gt;"&amp;0)=0,,HLOOKUP(COUNTIF(I29:XFD29,"&gt;"&amp;0)-MIN($F$1+1,COUNTIF(I29:XFD29,"&gt;"&amp;0)),I$1:XFD29,A29+1,FALSE))</f>
        <v>141</v>
      </c>
      <c r="G29" s="9">
        <f t="shared" si="6"/>
        <v>1.1614470902307905</v>
      </c>
      <c r="H29" s="14" t="s">
        <v>369</v>
      </c>
      <c r="I29" s="10">
        <v>141</v>
      </c>
      <c r="J29" s="10">
        <v>189</v>
      </c>
      <c r="K29" s="10">
        <v>253</v>
      </c>
      <c r="L29" s="10">
        <v>298</v>
      </c>
    </row>
    <row r="30" spans="1:44" x14ac:dyDescent="0.25">
      <c r="A30" s="10">
        <v>29</v>
      </c>
      <c r="B30" s="10">
        <f t="array" ref="B30">IF(OR(H30=Current!$S$10:$S$27),1,0)</f>
        <v>0</v>
      </c>
      <c r="C30" s="10" t="str">
        <f t="shared" si="5"/>
        <v>Finland</v>
      </c>
      <c r="D30" s="7">
        <f>MAX(I30:AM30)</f>
        <v>277</v>
      </c>
      <c r="E30" s="7">
        <f>IF(COUNTIF(I30:XFD30,"&gt;"&amp;0)=0,,HLOOKUP(COUNTIF(I30:XFD30,"&gt;"&amp;0)-1,I$1:XFD30,A30+1,FALSE))</f>
        <v>277</v>
      </c>
      <c r="F30" s="8">
        <f>IF(COUNTIF(I30:XFD30,"&gt;"&amp;0)=0,,HLOOKUP(COUNTIF(I30:XFD30,"&gt;"&amp;0)-MIN($F$1+1,COUNTIF(I30:XFD30,"&gt;"&amp;0)),I$1:XFD30,A30+1,FALSE))</f>
        <v>155</v>
      </c>
      <c r="G30" s="9">
        <f t="shared" si="6"/>
        <v>1.1231289301558662</v>
      </c>
      <c r="H30" s="14" t="s">
        <v>81</v>
      </c>
      <c r="I30" s="10">
        <v>155</v>
      </c>
      <c r="J30" s="10">
        <v>225</v>
      </c>
      <c r="K30" s="10">
        <v>244</v>
      </c>
      <c r="L30" s="10">
        <v>277</v>
      </c>
    </row>
    <row r="31" spans="1:44" x14ac:dyDescent="0.25">
      <c r="A31" s="10">
        <v>30</v>
      </c>
      <c r="B31" s="10">
        <f t="array" ref="B31">IF(OR(H31=Current!$S$10:$S$27),1,0)</f>
        <v>0</v>
      </c>
      <c r="C31" s="10" t="str">
        <f t="shared" si="5"/>
        <v>Israel</v>
      </c>
      <c r="D31" s="7">
        <f>MAX(I31:AO31)</f>
        <v>255</v>
      </c>
      <c r="E31" s="7">
        <f>IF(COUNTIF(I31:XFD31,"&gt;"&amp;0)=0,,HLOOKUP(COUNTIF(I31:XFD31,"&gt;"&amp;0)-1,I$1:XFD31,A31+1,FALSE))</f>
        <v>255</v>
      </c>
      <c r="F31" s="8">
        <f>IF(COUNTIF(I31:XFD31,"&gt;"&amp;0)=0,,HLOOKUP(COUNTIF(I31:XFD31,"&gt;"&amp;0)-MIN($F$1+1,COUNTIF(I31:XFD31,"&gt;"&amp;0)),I$1:XFD31,A31+1,FALSE))</f>
        <v>109</v>
      </c>
      <c r="G31" s="9">
        <f t="shared" si="6"/>
        <v>1.1852848584611664</v>
      </c>
      <c r="H31" s="14" t="s">
        <v>106</v>
      </c>
      <c r="I31" s="10">
        <v>109</v>
      </c>
      <c r="J31" s="10">
        <v>131</v>
      </c>
      <c r="K31" s="10">
        <v>161</v>
      </c>
      <c r="L31" s="10">
        <v>193</v>
      </c>
      <c r="M31" s="10">
        <v>251</v>
      </c>
      <c r="N31" s="10">
        <v>255</v>
      </c>
    </row>
    <row r="32" spans="1:44" x14ac:dyDescent="0.25">
      <c r="A32" s="10">
        <v>31</v>
      </c>
      <c r="B32" s="10">
        <f t="array" ref="B32">IF(OR(H32=Current!$S$10:$S$27),1,0)</f>
        <v>0</v>
      </c>
      <c r="C32" s="10" t="str">
        <f t="shared" si="5"/>
        <v>Slovenia</v>
      </c>
      <c r="D32" s="7">
        <f>MAX(I32:AM32)</f>
        <v>253</v>
      </c>
      <c r="E32" s="7">
        <f>IF(COUNTIF(I32:XFD32,"&gt;"&amp;0)=0,,HLOOKUP(COUNTIF(I32:XFD32,"&gt;"&amp;0)-1,I$1:XFD32,A32+1,FALSE))</f>
        <v>253</v>
      </c>
      <c r="F32" s="8">
        <f>IF(COUNTIF(I32:XFD32,"&gt;"&amp;0)=0,,HLOOKUP(COUNTIF(I32:XFD32,"&gt;"&amp;0)-MIN($F$1+1,COUNTIF(I32:XFD32,"&gt;"&amp;0)),I$1:XFD32,A32+1,FALSE))</f>
        <v>141</v>
      </c>
      <c r="G32" s="9">
        <f t="shared" si="6"/>
        <v>1.124036157636529</v>
      </c>
      <c r="H32" s="14" t="s">
        <v>168</v>
      </c>
      <c r="I32" s="10">
        <v>141</v>
      </c>
      <c r="J32" s="10">
        <v>181</v>
      </c>
      <c r="K32" s="10">
        <v>219</v>
      </c>
      <c r="L32" s="10">
        <v>253</v>
      </c>
    </row>
    <row r="33" spans="1:25" x14ac:dyDescent="0.25">
      <c r="A33" s="10">
        <v>32</v>
      </c>
      <c r="B33" s="10">
        <f t="array" ref="B33">IF(OR(H33=Current!$S$10:$S$27),1,0)</f>
        <v>0</v>
      </c>
      <c r="C33" s="10" t="str">
        <f t="shared" si="5"/>
        <v>Singapore</v>
      </c>
      <c r="D33" s="7">
        <f>MAX(I33:AZ33)</f>
        <v>243</v>
      </c>
      <c r="E33" s="7">
        <f>IF(COUNTIF(I33:XFD33,"&gt;"&amp;0)=0,,HLOOKUP(COUNTIF(I33:XFD33,"&gt;"&amp;0)-1,I$1:XFD33,A33+1,FALSE))</f>
        <v>243</v>
      </c>
      <c r="F33" s="8">
        <f>IF(COUNTIF(I33:XFD33,"&gt;"&amp;0)=0,,HLOOKUP(COUNTIF(I33:XFD33,"&gt;"&amp;0)-MIN($F$1+1,COUNTIF(I33:XFD33,"&gt;"&amp;0)),I$1:XFD33,A33+1,FALSE))</f>
        <v>178</v>
      </c>
      <c r="G33" s="9">
        <f t="shared" si="6"/>
        <v>1.0642343054970618</v>
      </c>
      <c r="H33" s="14" t="s">
        <v>67</v>
      </c>
      <c r="I33" s="10">
        <v>102</v>
      </c>
      <c r="J33" s="10">
        <v>106</v>
      </c>
      <c r="K33" s="10">
        <v>108</v>
      </c>
      <c r="L33" s="10">
        <v>110</v>
      </c>
      <c r="M33" s="10">
        <v>110</v>
      </c>
      <c r="N33" s="10">
        <v>117</v>
      </c>
      <c r="O33" s="10">
        <v>130</v>
      </c>
      <c r="P33" s="10">
        <v>138</v>
      </c>
      <c r="Q33" s="10">
        <v>150</v>
      </c>
      <c r="R33" s="10">
        <v>150</v>
      </c>
      <c r="S33" s="10">
        <v>160</v>
      </c>
      <c r="T33" s="10">
        <v>178</v>
      </c>
      <c r="U33" s="10">
        <v>178</v>
      </c>
      <c r="V33" s="10">
        <v>200</v>
      </c>
      <c r="W33" s="10">
        <v>212</v>
      </c>
      <c r="X33" s="10">
        <v>226</v>
      </c>
      <c r="Y33" s="10">
        <v>243</v>
      </c>
    </row>
    <row r="34" spans="1:25" x14ac:dyDescent="0.25">
      <c r="A34" s="10">
        <v>33</v>
      </c>
      <c r="B34" s="10">
        <f t="array" ref="B34">IF(OR(H34=Current!$S$10:$S$27),1,0)</f>
        <v>0</v>
      </c>
      <c r="C34" s="10" t="str">
        <f t="shared" ref="C34:C52" si="13">H34</f>
        <v>Bahrain</v>
      </c>
      <c r="D34" s="7">
        <f>MAX(I34:AP34)</f>
        <v>214</v>
      </c>
      <c r="E34" s="7">
        <f>IF(COUNTIF(I34:XFD34,"&gt;"&amp;0)=0,,HLOOKUP(COUNTIF(I34:XFD34,"&gt;"&amp;0)-1,I$1:XFD34,A34+1,FALSE))</f>
        <v>214</v>
      </c>
      <c r="F34" s="8">
        <f>IF(COUNTIF(I34:XFD34,"&gt;"&amp;0)=0,,HLOOKUP(COUNTIF(I34:XFD34,"&gt;"&amp;0)-MIN($F$1+1,COUNTIF(I34:XFD34,"&gt;"&amp;0)),I$1:XFD34,A34+1,FALSE))</f>
        <v>195</v>
      </c>
      <c r="G34" s="9">
        <f t="shared" si="6"/>
        <v>1.0187692603829761</v>
      </c>
      <c r="H34" s="14" t="s">
        <v>100</v>
      </c>
      <c r="I34" s="10">
        <v>110</v>
      </c>
      <c r="J34" s="10">
        <v>195</v>
      </c>
      <c r="K34" s="10">
        <v>195</v>
      </c>
      <c r="L34" s="10">
        <v>189</v>
      </c>
      <c r="M34" s="10">
        <v>210</v>
      </c>
      <c r="N34" s="10">
        <v>214</v>
      </c>
      <c r="O34" s="10">
        <v>214</v>
      </c>
    </row>
    <row r="35" spans="1:25" x14ac:dyDescent="0.25">
      <c r="A35" s="10">
        <v>34</v>
      </c>
      <c r="B35" s="10">
        <f t="array" ref="B35">IF(OR(H35=Current!$S$10:$S$27),1,0)</f>
        <v>0</v>
      </c>
      <c r="C35" s="10" t="str">
        <f t="shared" si="13"/>
        <v>Estonia</v>
      </c>
      <c r="D35" s="7">
        <f>MAX(I35:AL35)</f>
        <v>205</v>
      </c>
      <c r="E35" s="7">
        <f>IF(COUNTIF(I35:XFD35,"&gt;"&amp;0)=0,,HLOOKUP(COUNTIF(I35:XFD35,"&gt;"&amp;0)-1,I$1:XFD35,A35+1,FALSE))</f>
        <v>205</v>
      </c>
      <c r="F35" s="8">
        <f>IF(COUNTIF(I35:XFD35,"&gt;"&amp;0)=0,,HLOOKUP(COUNTIF(I35:XFD35,"&gt;"&amp;0)-MIN($F$1+1,COUNTIF(I35:XFD35,"&gt;"&amp;0)),I$1:XFD35,A35+1,FALSE))</f>
        <v>115</v>
      </c>
      <c r="G35" s="9">
        <f t="shared" si="6"/>
        <v>1.1225642419753035</v>
      </c>
      <c r="H35" s="14" t="s">
        <v>115</v>
      </c>
      <c r="I35" s="10">
        <v>115</v>
      </c>
      <c r="J35" s="10">
        <v>171</v>
      </c>
      <c r="K35" s="10">
        <v>205</v>
      </c>
    </row>
    <row r="36" spans="1:25" x14ac:dyDescent="0.25">
      <c r="A36" s="10">
        <v>35</v>
      </c>
      <c r="B36" s="10">
        <f t="array" ref="B36">IF(OR(H36=Current!$S$10:$S$27),1,0)</f>
        <v>0</v>
      </c>
      <c r="C36" s="10" t="str">
        <f t="shared" si="13"/>
        <v>Brazil</v>
      </c>
      <c r="D36" s="7">
        <f>MAX(I36:AM36)</f>
        <v>200</v>
      </c>
      <c r="E36" s="7">
        <f>IF(COUNTIF(I36:XFD36,"&gt;"&amp;0)=0,,HLOOKUP(COUNTIF(I36:XFD36,"&gt;"&amp;0)-1,I$1:XFD36,A36+1,FALSE))</f>
        <v>200</v>
      </c>
      <c r="F36" s="8">
        <f>IF(COUNTIF(I36:XFD36,"&gt;"&amp;0)=0,,HLOOKUP(COUNTIF(I36:XFD36,"&gt;"&amp;0)-MIN($F$1+1,COUNTIF(I36:XFD36,"&gt;"&amp;0)),I$1:XFD36,A36+1,FALSE))</f>
        <v>151</v>
      </c>
      <c r="G36" s="9">
        <f t="shared" si="6"/>
        <v>1.0578171643160958</v>
      </c>
      <c r="H36" s="14" t="s">
        <v>108</v>
      </c>
      <c r="I36" s="10">
        <v>151</v>
      </c>
      <c r="J36" s="10">
        <v>151</v>
      </c>
      <c r="K36" s="10">
        <v>162</v>
      </c>
      <c r="L36" s="10">
        <v>200</v>
      </c>
    </row>
    <row r="37" spans="1:25" x14ac:dyDescent="0.25">
      <c r="A37" s="10">
        <v>36</v>
      </c>
      <c r="B37" s="10">
        <f t="array" ref="B37">IF(OR(H37=Current!$S$10:$S$27),1,0)</f>
        <v>0</v>
      </c>
      <c r="C37" s="10" t="str">
        <f t="shared" si="13"/>
        <v>Iceland</v>
      </c>
      <c r="D37" s="7">
        <f>MAX(I37:AN37)</f>
        <v>180</v>
      </c>
      <c r="E37" s="7">
        <f>IF(COUNTIF(I37:XFD37,"&gt;"&amp;0)=0,,HLOOKUP(COUNTIF(I37:XFD37,"&gt;"&amp;0)-1,I$1:XFD37,A37+1,FALSE))</f>
        <v>180</v>
      </c>
      <c r="F37" s="8">
        <f>IF(COUNTIF(I37:XFD37,"&gt;"&amp;0)=0,,HLOOKUP(COUNTIF(I37:XFD37,"&gt;"&amp;0)-MIN($F$1+1,COUNTIF(I37:XFD37,"&gt;"&amp;0)),I$1:XFD37,A37+1,FALSE))</f>
        <v>103</v>
      </c>
      <c r="G37" s="9">
        <f t="shared" si="6"/>
        <v>1.1181164992088892</v>
      </c>
      <c r="H37" s="14" t="s">
        <v>119</v>
      </c>
      <c r="I37" s="10">
        <v>103</v>
      </c>
      <c r="J37" s="10">
        <v>134</v>
      </c>
      <c r="K37" s="10">
        <v>156</v>
      </c>
      <c r="L37" s="10">
        <v>171</v>
      </c>
      <c r="M37" s="10">
        <v>180</v>
      </c>
    </row>
    <row r="38" spans="1:25" x14ac:dyDescent="0.25">
      <c r="A38" s="10">
        <v>37</v>
      </c>
      <c r="B38" s="10">
        <f t="array" ref="B38">IF(OR(H38=Current!$S$10:$S$27),1,0)</f>
        <v>0</v>
      </c>
      <c r="C38" s="10" t="str">
        <f t="shared" si="13"/>
        <v>Poland</v>
      </c>
      <c r="D38" s="7">
        <f>MAX(I38:AL38)</f>
        <v>177</v>
      </c>
      <c r="E38" s="7">
        <f>IF(COUNTIF(I38:XFD38,"&gt;"&amp;0)=0,,HLOOKUP(COUNTIF(I38:XFD38,"&gt;"&amp;0)-1,I$1:XFD38,A38+1,FALSE))</f>
        <v>177</v>
      </c>
      <c r="F38" s="8">
        <f>IF(COUNTIF(I38:XFD38,"&gt;"&amp;0)=0,,HLOOKUP(COUNTIF(I38:XFD38,"&gt;"&amp;0)-MIN($F$1+1,COUNTIF(I38:XFD38,"&gt;"&amp;0)),I$1:XFD38,A38+1,FALSE))</f>
        <v>103</v>
      </c>
      <c r="G38" s="9">
        <f t="shared" si="6"/>
        <v>1.114364345771842</v>
      </c>
      <c r="H38" s="14" t="s">
        <v>164</v>
      </c>
      <c r="I38" s="10">
        <v>103</v>
      </c>
      <c r="J38" s="10">
        <v>119</v>
      </c>
      <c r="K38" s="10">
        <v>177</v>
      </c>
    </row>
    <row r="39" spans="1:25" x14ac:dyDescent="0.25">
      <c r="A39" s="10">
        <v>38</v>
      </c>
      <c r="B39" s="10">
        <f t="array" ref="B39">IF(OR(H39=Current!$S$10:$S$27),1,0)</f>
        <v>0</v>
      </c>
      <c r="C39" s="10" t="str">
        <f t="shared" si="13"/>
        <v>Ireland</v>
      </c>
      <c r="D39" s="7">
        <f>MAX(I39:AL39)</f>
        <v>169</v>
      </c>
      <c r="E39" s="7">
        <f>IF(COUNTIF(I39:XFD39,"&gt;"&amp;0)=0,,HLOOKUP(COUNTIF(I39:XFD39,"&gt;"&amp;0)-1,I$1:XFD39,A39+1,FALSE))</f>
        <v>169</v>
      </c>
      <c r="F39" s="8">
        <f>IF(COUNTIF(I39:XFD39,"&gt;"&amp;0)=0,,HLOOKUP(COUNTIF(I39:XFD39,"&gt;"&amp;0)-MIN($F$1+1,COUNTIF(I39:XFD39,"&gt;"&amp;0)),I$1:XFD39,A39+1,FALSE))</f>
        <v>129</v>
      </c>
      <c r="G39" s="9">
        <f t="shared" si="6"/>
        <v>1.0555028222060503</v>
      </c>
      <c r="H39" s="14" t="s">
        <v>125</v>
      </c>
      <c r="I39" s="10">
        <v>129</v>
      </c>
      <c r="J39" s="10">
        <v>129</v>
      </c>
      <c r="K39" s="10">
        <v>169</v>
      </c>
    </row>
    <row r="40" spans="1:25" x14ac:dyDescent="0.25">
      <c r="A40" s="10">
        <v>39</v>
      </c>
      <c r="B40" s="10">
        <f t="array" ref="B40">IF(OR(H40=Current!$S$10:$S$27),1,0)</f>
        <v>0</v>
      </c>
      <c r="C40" s="10" t="str">
        <f t="shared" si="13"/>
        <v>Romania</v>
      </c>
      <c r="D40" s="7">
        <f>MAX(I40:AL40)</f>
        <v>158</v>
      </c>
      <c r="E40" s="7">
        <f>IF(COUNTIF(I40:XFD40,"&gt;"&amp;0)=0,,HLOOKUP(COUNTIF(I40:XFD40,"&gt;"&amp;0)-1,I$1:XFD40,A40+1,FALSE))</f>
        <v>158</v>
      </c>
      <c r="F40" s="8">
        <f>IF(COUNTIF(I40:XFD40,"&gt;"&amp;0)=0,,HLOOKUP(COUNTIF(I40:XFD40,"&gt;"&amp;0)-MIN($F$1+1,COUNTIF(I40:XFD40,"&gt;"&amp;0)),I$1:XFD40,A40+1,FALSE))</f>
        <v>123</v>
      </c>
      <c r="G40" s="9">
        <f t="shared" si="6"/>
        <v>1.0513574466318185</v>
      </c>
      <c r="H40" s="14" t="s">
        <v>113</v>
      </c>
      <c r="I40" s="10">
        <v>123</v>
      </c>
      <c r="J40" s="10">
        <v>131</v>
      </c>
      <c r="K40" s="10">
        <v>158</v>
      </c>
    </row>
    <row r="41" spans="1:25" x14ac:dyDescent="0.25">
      <c r="A41" s="10">
        <v>40</v>
      </c>
      <c r="B41" s="10">
        <f t="array" ref="B41">IF(OR(H41=Current!$S$10:$S$27),1,0)</f>
        <v>0</v>
      </c>
      <c r="C41" s="10" t="str">
        <f t="shared" si="13"/>
        <v>Chile</v>
      </c>
      <c r="D41" s="7">
        <f>MAX(I41:AJ41)</f>
        <v>260</v>
      </c>
      <c r="E41" s="7">
        <f>IF(COUNTIF(I41:XFD41,"&gt;"&amp;0)=0,,HLOOKUP(COUNTIF(I41:XFD41,"&gt;"&amp;0)-1,I$1:XFD41,A41+1,FALSE))</f>
        <v>260</v>
      </c>
      <c r="F41" s="8">
        <f>IF(COUNTIF(I41:XFD41,"&gt;"&amp;0)=0,,HLOOKUP(COUNTIF(I41:XFD41,"&gt;"&amp;0)-MIN($F$1+1,COUNTIF(I41:XFD41,"&gt;"&amp;0)),I$1:XFD41,A41+1,FALSE))</f>
        <v>155</v>
      </c>
      <c r="G41" s="9">
        <f>IF(COUNTIF(I41:XFD41,"&gt;"&amp;0)=0,,(E41/F41)^(1/2))</f>
        <v>1.2951522516054665</v>
      </c>
      <c r="H41" s="14" t="s">
        <v>151</v>
      </c>
      <c r="I41" s="10">
        <v>155</v>
      </c>
      <c r="J41" s="10">
        <v>260</v>
      </c>
    </row>
    <row r="42" spans="1:25" x14ac:dyDescent="0.25">
      <c r="A42" s="10">
        <v>41</v>
      </c>
      <c r="B42" s="10">
        <f t="array" ref="B42">IF(OR(H42=Current!$S$10:$S$27),1,0)</f>
        <v>0</v>
      </c>
      <c r="C42" s="10" t="str">
        <f t="shared" si="13"/>
        <v>Egypt</v>
      </c>
      <c r="D42" s="7">
        <f>MAX(I42:AL42)</f>
        <v>150</v>
      </c>
      <c r="E42" s="7">
        <f>IF(COUNTIF(I42:XFD42,"&gt;"&amp;0)=0,,HLOOKUP(COUNTIF(I42:XFD42,"&gt;"&amp;0)-1,I$1:XFD42,A42+1,FALSE))</f>
        <v>150</v>
      </c>
      <c r="F42" s="8">
        <f>IF(COUNTIF(I42:XFD42,"&gt;"&amp;0)=0,,HLOOKUP(COUNTIF(I42:XFD42,"&gt;"&amp;0)-MIN($F$1+1,COUNTIF(I42:XFD42,"&gt;"&amp;0)),I$1:XFD42,A42+1,FALSE))</f>
        <v>109</v>
      </c>
      <c r="G42" s="9">
        <f t="shared" ref="G42:G73" si="14">IF(COUNTIF(I42:XFD42,"&gt;"&amp;0)=0,,(E42/F42)^(1/$F$1))</f>
        <v>1.0659404726294543</v>
      </c>
      <c r="H42" s="14" t="s">
        <v>92</v>
      </c>
      <c r="I42" s="10">
        <v>109</v>
      </c>
      <c r="J42" s="10">
        <v>110</v>
      </c>
      <c r="K42" s="10">
        <v>150</v>
      </c>
    </row>
    <row r="43" spans="1:25" x14ac:dyDescent="0.25">
      <c r="A43" s="10">
        <v>42</v>
      </c>
      <c r="B43" s="10">
        <f t="array" ref="B43">IF(OR(H43=Current!$S$10:$S$27),1,0)</f>
        <v>0</v>
      </c>
      <c r="C43" s="10" t="str">
        <f t="shared" si="13"/>
        <v>Thailand</v>
      </c>
      <c r="D43" s="7">
        <f>MAX(I43:AK43)</f>
        <v>147</v>
      </c>
      <c r="E43" s="7">
        <f>IF(COUNTIF(I43:XFD43,"&gt;"&amp;0)=0,,HLOOKUP(COUNTIF(I43:XFD43,"&gt;"&amp;0)-1,I$1:XFD43,A43+1,FALSE))</f>
        <v>147</v>
      </c>
      <c r="F43" s="8">
        <f>IF(COUNTIF(I43:XFD43,"&gt;"&amp;0)=0,,HLOOKUP(COUNTIF(I43:XFD43,"&gt;"&amp;0)-MIN($F$1+1,COUNTIF(I43:XFD43,"&gt;"&amp;0)),I$1:XFD43,A43+1,FALSE))</f>
        <v>114</v>
      </c>
      <c r="G43" s="9">
        <f t="shared" si="14"/>
        <v>1.0521617188849774</v>
      </c>
      <c r="H43" s="14" t="s">
        <v>62</v>
      </c>
      <c r="I43" s="10">
        <v>114</v>
      </c>
      <c r="J43" s="10">
        <v>147</v>
      </c>
    </row>
    <row r="44" spans="1:25" x14ac:dyDescent="0.25">
      <c r="A44" s="10">
        <v>43</v>
      </c>
      <c r="B44" s="10">
        <f t="array" ref="B44">IF(OR(H44=Current!$S$10:$S$27),1,0)</f>
        <v>0</v>
      </c>
      <c r="C44" s="10" t="str">
        <f t="shared" si="13"/>
        <v>Philippines</v>
      </c>
      <c r="D44" s="7">
        <f>MAX(I44:AL44)</f>
        <v>142</v>
      </c>
      <c r="E44" s="7">
        <f>IF(COUNTIF(I44:XFD44,"&gt;"&amp;0)=0,,HLOOKUP(COUNTIF(I44:XFD44,"&gt;"&amp;0)-1,I$1:XFD44,A44+1,FALSE))</f>
        <v>142</v>
      </c>
      <c r="F44" s="8">
        <f>IF(COUNTIF(I44:XFD44,"&gt;"&amp;0)=0,,HLOOKUP(COUNTIF(I44:XFD44,"&gt;"&amp;0)-MIN($F$1+1,COUNTIF(I44:XFD44,"&gt;"&amp;0)),I$1:XFD44,A44+1,FALSE))</f>
        <v>111</v>
      </c>
      <c r="G44" s="9">
        <f t="shared" si="14"/>
        <v>1.0504927830423785</v>
      </c>
      <c r="H44" s="14" t="s">
        <v>83</v>
      </c>
      <c r="I44" s="10">
        <v>111</v>
      </c>
      <c r="J44" s="10">
        <v>140</v>
      </c>
      <c r="K44" s="10">
        <v>142</v>
      </c>
    </row>
    <row r="45" spans="1:25" x14ac:dyDescent="0.25">
      <c r="A45" s="10">
        <v>44</v>
      </c>
      <c r="B45" s="10">
        <f t="array" ref="B45">IF(OR(H45=Current!$S$10:$S$27),1,0)</f>
        <v>0</v>
      </c>
      <c r="C45" s="10" t="str">
        <f t="shared" si="13"/>
        <v>Pakistan</v>
      </c>
      <c r="D45" s="7">
        <f>MAX(I45:AJ45)</f>
        <v>136</v>
      </c>
      <c r="E45" s="7">
        <f>IF(COUNTIF(I45:XFD45,"&gt;"&amp;0)=0,,HLOOKUP(COUNTIF(I45:XFD45,"&gt;"&amp;0)-1,I$1:XFD45,A45+1,FALSE))</f>
        <v>136</v>
      </c>
      <c r="F45" s="8">
        <f>IF(COUNTIF(I45:XFD45,"&gt;"&amp;0)=0,,HLOOKUP(COUNTIF(I45:XFD45,"&gt;"&amp;0)-MIN($F$1+1,COUNTIF(I45:XFD45,"&gt;"&amp;0)),I$1:XFD45,A45+1,FALSE))</f>
        <v>136</v>
      </c>
      <c r="G45" s="9">
        <f t="shared" si="14"/>
        <v>1</v>
      </c>
      <c r="H45" s="14" t="s">
        <v>107</v>
      </c>
      <c r="I45" s="10">
        <v>136</v>
      </c>
    </row>
    <row r="46" spans="1:25" x14ac:dyDescent="0.25">
      <c r="A46" s="10">
        <v>45</v>
      </c>
      <c r="B46" s="10">
        <f t="array" ref="B46">IF(OR(H46=Current!$S$10:$S$27),1,0)</f>
        <v>0</v>
      </c>
      <c r="C46" s="10" t="str">
        <f t="shared" si="13"/>
        <v>Indonesia</v>
      </c>
      <c r="D46" s="7">
        <f>MAX(I46:AK46)</f>
        <v>134</v>
      </c>
      <c r="E46" s="7">
        <f>IF(COUNTIF(I46:XFD46,"&gt;"&amp;0)=0,,HLOOKUP(COUNTIF(I46:XFD46,"&gt;"&amp;0)-1,I$1:XFD46,A46+1,FALSE))</f>
        <v>134</v>
      </c>
      <c r="F46" s="8">
        <f>IF(COUNTIF(I46:XFD46,"&gt;"&amp;0)=0,,HLOOKUP(COUNTIF(I46:XFD46,"&gt;"&amp;0)-MIN($F$1+1,COUNTIF(I46:XFD46,"&gt;"&amp;0)),I$1:XFD46,A46+1,FALSE))</f>
        <v>117</v>
      </c>
      <c r="G46" s="9">
        <f t="shared" si="14"/>
        <v>1.0275046295579733</v>
      </c>
      <c r="H46" s="14" t="s">
        <v>134</v>
      </c>
      <c r="I46" s="10">
        <v>117</v>
      </c>
      <c r="J46" s="10">
        <v>134</v>
      </c>
    </row>
    <row r="47" spans="1:25" x14ac:dyDescent="0.25">
      <c r="A47" s="10">
        <v>46</v>
      </c>
      <c r="B47" s="10">
        <f t="array" ref="B47">IF(OR(H47=Current!$S$10:$S$27),1,0)</f>
        <v>0</v>
      </c>
      <c r="C47" s="10" t="str">
        <f t="shared" si="13"/>
        <v>Iraq</v>
      </c>
      <c r="D47" s="7">
        <f>MAX(I47:AM47)</f>
        <v>124</v>
      </c>
      <c r="E47" s="7">
        <f>IF(COUNTIF(I47:XFD47,"&gt;"&amp;0)=0,,HLOOKUP(COUNTIF(I47:XFD47,"&gt;"&amp;0)-1,I$1:XFD47,A47+1,FALSE))</f>
        <v>124</v>
      </c>
      <c r="F47" s="8">
        <f>IF(COUNTIF(I47:XFD47,"&gt;"&amp;0)=0,,HLOOKUP(COUNTIF(I47:XFD47,"&gt;"&amp;0)-MIN($F$1+1,COUNTIF(I47:XFD47,"&gt;"&amp;0)),I$1:XFD47,A47+1,FALSE))</f>
        <v>101</v>
      </c>
      <c r="G47" s="9">
        <f t="shared" si="14"/>
        <v>1.041885663884657</v>
      </c>
      <c r="H47" s="14" t="s">
        <v>97</v>
      </c>
      <c r="I47" s="10">
        <v>101</v>
      </c>
      <c r="J47" s="10">
        <v>110</v>
      </c>
      <c r="K47" s="10">
        <v>116</v>
      </c>
      <c r="L47" s="10">
        <v>124</v>
      </c>
    </row>
    <row r="48" spans="1:25" x14ac:dyDescent="0.25">
      <c r="A48" s="10">
        <v>47</v>
      </c>
      <c r="B48" s="10">
        <f t="array" ref="B48">IF(OR(H48=Current!$S$10:$S$27),1,0)</f>
        <v>0</v>
      </c>
      <c r="C48" s="10" t="str">
        <f t="shared" si="13"/>
        <v>Kuwait</v>
      </c>
      <c r="D48" s="7">
        <f>MAX(I48:AL48)</f>
        <v>123</v>
      </c>
      <c r="E48" s="7">
        <f>IF(COUNTIF(I48:XFD48,"&gt;"&amp;0)=0,,HLOOKUP(COUNTIF(I48:XFD48,"&gt;"&amp;0)-1,I$1:XFD48,A48+1,FALSE))</f>
        <v>123</v>
      </c>
      <c r="F48" s="8">
        <f>IF(COUNTIF(I48:XFD48,"&gt;"&amp;0)=0,,HLOOKUP(COUNTIF(I48:XFD48,"&gt;"&amp;0)-MIN($F$1+1,COUNTIF(I48:XFD48,"&gt;"&amp;0)),I$1:XFD48,A48+1,FALSE))</f>
        <v>104</v>
      </c>
      <c r="G48" s="9">
        <f t="shared" si="14"/>
        <v>1.0341281362142565</v>
      </c>
      <c r="H48" s="14" t="s">
        <v>101</v>
      </c>
      <c r="I48" s="10">
        <v>104</v>
      </c>
      <c r="J48" s="10">
        <v>112</v>
      </c>
      <c r="K48" s="10">
        <v>123</v>
      </c>
    </row>
    <row r="49" spans="1:11" x14ac:dyDescent="0.25">
      <c r="A49" s="10">
        <v>48</v>
      </c>
      <c r="B49" s="10">
        <f t="array" ref="B49">IF(OR(H49=Current!$S$10:$S$27),1,0)</f>
        <v>0</v>
      </c>
      <c r="C49" s="10" t="str">
        <f t="shared" si="13"/>
        <v>India</v>
      </c>
      <c r="D49" s="7">
        <f>MAX(I49:AL49)</f>
        <v>119</v>
      </c>
      <c r="E49" s="7">
        <f>IF(COUNTIF(I49:XFD49,"&gt;"&amp;0)=0,,HLOOKUP(COUNTIF(I49:XFD49,"&gt;"&amp;0)-1,I$1:XFD49,A49+1,FALSE))</f>
        <v>119</v>
      </c>
      <c r="F49" s="8">
        <f>IF(COUNTIF(I49:XFD49,"&gt;"&amp;0)=0,,HLOOKUP(COUNTIF(I49:XFD49,"&gt;"&amp;0)-MIN($F$1+1,COUNTIF(I49:XFD49,"&gt;"&amp;0)),I$1:XFD49,A49+1,FALSE))</f>
        <v>102</v>
      </c>
      <c r="G49" s="9">
        <f t="shared" si="14"/>
        <v>1.0313103064775451</v>
      </c>
      <c r="H49" s="14" t="s">
        <v>84</v>
      </c>
      <c r="I49" s="10">
        <v>102</v>
      </c>
      <c r="J49" s="10">
        <v>113</v>
      </c>
      <c r="K49" s="10">
        <v>119</v>
      </c>
    </row>
    <row r="50" spans="1:11" x14ac:dyDescent="0.25">
      <c r="A50" s="10">
        <v>49</v>
      </c>
      <c r="B50" s="10">
        <f t="array" ref="B50">IF(OR(H50=Current!$S$10:$S$27),1,0)</f>
        <v>0</v>
      </c>
      <c r="C50" s="10" t="str">
        <f t="shared" si="13"/>
        <v>Saudi Arabia</v>
      </c>
      <c r="D50" s="7">
        <f>MAX(I50:AL50)</f>
        <v>118</v>
      </c>
      <c r="E50" s="7">
        <f>IF(COUNTIF(I50:XFD50,"&gt;"&amp;0)=0,,HLOOKUP(COUNTIF(I50:XFD50,"&gt;"&amp;0)-1,I$1:XFD50,A50+1,FALSE))</f>
        <v>118</v>
      </c>
      <c r="F50" s="8">
        <f>IF(COUNTIF(I50:XFD50,"&gt;"&amp;0)=0,,HLOOKUP(COUNTIF(I50:XFD50,"&gt;"&amp;0)-MIN($F$1+1,COUNTIF(I50:XFD50,"&gt;"&amp;0)),I$1:XFD50,A50+1,FALSE))</f>
        <v>103</v>
      </c>
      <c r="G50" s="9">
        <f t="shared" si="14"/>
        <v>1.0275641795093751</v>
      </c>
      <c r="H50" s="14" t="s">
        <v>140</v>
      </c>
      <c r="I50" s="10">
        <v>103</v>
      </c>
      <c r="J50" s="10">
        <v>103</v>
      </c>
      <c r="K50" s="10">
        <v>118</v>
      </c>
    </row>
    <row r="51" spans="1:11" x14ac:dyDescent="0.25">
      <c r="A51" s="10">
        <v>50</v>
      </c>
      <c r="B51" s="10">
        <f t="array" ref="B51">IF(OR(H51=Current!$S$10:$S$27),1,0)</f>
        <v>0</v>
      </c>
      <c r="C51" s="10" t="str">
        <f t="shared" si="13"/>
        <v>Lebanon</v>
      </c>
      <c r="D51" s="7">
        <f>MAX(I51:AK51)</f>
        <v>110</v>
      </c>
      <c r="E51" s="7">
        <f>IF(COUNTIF(I51:XFD51,"&gt;"&amp;0)=0,,HLOOKUP(COUNTIF(I51:XFD51,"&gt;"&amp;0)-1,I$1:XFD51,A51+1,FALSE))</f>
        <v>99</v>
      </c>
      <c r="F51" s="8">
        <f>IF(COUNTIF(I51:XFD51,"&gt;"&amp;0)=0,,HLOOKUP(COUNTIF(I51:XFD51,"&gt;"&amp;0)-MIN($F$1+1,COUNTIF(I51:XFD51,"&gt;"&amp;0)),I$1:XFD51,A51+1,FALSE))</f>
        <v>110</v>
      </c>
      <c r="G51" s="9">
        <f t="shared" si="14"/>
        <v>0.9791483623609768</v>
      </c>
      <c r="H51" s="14" t="s">
        <v>94</v>
      </c>
      <c r="I51" s="10">
        <v>110</v>
      </c>
      <c r="J51" s="10">
        <v>99</v>
      </c>
    </row>
    <row r="52" spans="1:11" x14ac:dyDescent="0.25">
      <c r="A52" s="10">
        <v>51</v>
      </c>
      <c r="B52" s="10">
        <f t="array" ref="B52">IF(OR(H52=Current!$S$10:$S$27),1,0)</f>
        <v>0</v>
      </c>
      <c r="C52" s="10" t="str">
        <f t="shared" si="13"/>
        <v>San Marino</v>
      </c>
      <c r="D52" s="7">
        <f>MAX(I52:AK52)</f>
        <v>109</v>
      </c>
      <c r="E52" s="7">
        <f>IF(COUNTIF(I52:XFD52,"&gt;"&amp;0)=0,,HLOOKUP(COUNTIF(I52:XFD52,"&gt;"&amp;0)-1,I$1:XFD52,A52+1,FALSE))</f>
        <v>109</v>
      </c>
      <c r="F52" s="8">
        <f>IF(COUNTIF(I52:XFD52,"&gt;"&amp;0)=0,,HLOOKUP(COUNTIF(I52:XFD52,"&gt;"&amp;0)-MIN($F$1+1,COUNTIF(I52:XFD52,"&gt;"&amp;0)),I$1:XFD52,A52+1,FALSE))</f>
        <v>101</v>
      </c>
      <c r="G52" s="9">
        <f t="shared" si="14"/>
        <v>1.0153622781301315</v>
      </c>
      <c r="H52" s="14" t="s">
        <v>117</v>
      </c>
      <c r="I52" s="10">
        <v>101</v>
      </c>
      <c r="J52" s="10">
        <v>109</v>
      </c>
    </row>
    <row r="53" spans="1:11" x14ac:dyDescent="0.25">
      <c r="D53" s="7">
        <f t="shared" ref="D53:D84" si="15">MAX(I53:CL53)</f>
        <v>0</v>
      </c>
      <c r="E53" s="7">
        <f>IF(COUNTIF(I53:XFD53,"&gt;"&amp;0)=0,,HLOOKUP(COUNTIF(I53:XFD53,"&gt;"&amp;0)-1,I$1:XFD53,A53+1,FALSE))</f>
        <v>0</v>
      </c>
      <c r="F53" s="8">
        <f>IF(COUNTIF(I53:XFD53,"&gt;"&amp;0)=0,,HLOOKUP(COUNTIF(I53:XFD53,"&gt;"&amp;0)-MIN($F$1+1,COUNTIF(I53:XFD53,"&gt;"&amp;0)),I$1:XFD53,A53+1,FALSE))</f>
        <v>0</v>
      </c>
      <c r="G53" s="9">
        <f t="shared" si="14"/>
        <v>0</v>
      </c>
    </row>
    <row r="54" spans="1:11" x14ac:dyDescent="0.25">
      <c r="D54" s="7">
        <f t="shared" si="15"/>
        <v>0</v>
      </c>
      <c r="E54" s="7">
        <f>IF(COUNTIF(I54:XFD54,"&gt;"&amp;0)=0,,HLOOKUP(COUNTIF(I54:XFD54,"&gt;"&amp;0)-1,I$1:XFD54,A54+1,FALSE))</f>
        <v>0</v>
      </c>
      <c r="F54" s="8">
        <f>IF(COUNTIF(I54:XFD54,"&gt;"&amp;0)=0,,HLOOKUP(COUNTIF(I54:XFD54,"&gt;"&amp;0)-MIN($F$1+1,COUNTIF(I54:XFD54,"&gt;"&amp;0)),I$1:XFD54,A54+1,FALSE))</f>
        <v>0</v>
      </c>
      <c r="G54" s="9">
        <f t="shared" si="14"/>
        <v>0</v>
      </c>
    </row>
    <row r="55" spans="1:11" x14ac:dyDescent="0.25">
      <c r="D55" s="7">
        <f t="shared" si="15"/>
        <v>0</v>
      </c>
      <c r="E55" s="7">
        <f>IF(COUNTIF(I55:XFD55,"&gt;"&amp;0)=0,,HLOOKUP(COUNTIF(I55:XFD55,"&gt;"&amp;0)-1,I$1:XFD55,A55+1,FALSE))</f>
        <v>0</v>
      </c>
      <c r="F55" s="8">
        <f>IF(COUNTIF(I55:XFD55,"&gt;"&amp;0)=0,,HLOOKUP(COUNTIF(I55:XFD55,"&gt;"&amp;0)-MIN($F$1+1,COUNTIF(I55:XFD55,"&gt;"&amp;0)),I$1:XFD55,A55+1,FALSE))</f>
        <v>0</v>
      </c>
      <c r="G55" s="9">
        <f t="shared" si="14"/>
        <v>0</v>
      </c>
    </row>
    <row r="56" spans="1:11" x14ac:dyDescent="0.25">
      <c r="D56" s="7">
        <f t="shared" si="15"/>
        <v>0</v>
      </c>
      <c r="E56" s="7">
        <f>IF(COUNTIF(I56:XFD56,"&gt;"&amp;0)=0,,HLOOKUP(COUNTIF(I56:XFD56,"&gt;"&amp;0)-1,I$1:XFD56,A56+1,FALSE))</f>
        <v>0</v>
      </c>
      <c r="F56" s="8">
        <f>IF(COUNTIF(I56:XFD56,"&gt;"&amp;0)=0,,HLOOKUP(COUNTIF(I56:XFD56,"&gt;"&amp;0)-MIN($F$1+1,COUNTIF(I56:XFD56,"&gt;"&amp;0)),I$1:XFD56,A56+1,FALSE))</f>
        <v>0</v>
      </c>
      <c r="G56" s="9">
        <f t="shared" si="14"/>
        <v>0</v>
      </c>
    </row>
    <row r="57" spans="1:11" x14ac:dyDescent="0.25">
      <c r="D57" s="7">
        <f t="shared" si="15"/>
        <v>0</v>
      </c>
      <c r="E57" s="7">
        <f>IF(COUNTIF(I57:XFD57,"&gt;"&amp;0)=0,,HLOOKUP(COUNTIF(I57:XFD57,"&gt;"&amp;0)-1,I$1:XFD57,A57+1,FALSE))</f>
        <v>0</v>
      </c>
      <c r="F57" s="8">
        <f>IF(COUNTIF(I57:XFD57,"&gt;"&amp;0)=0,,HLOOKUP(COUNTIF(I57:XFD57,"&gt;"&amp;0)-MIN($F$1+1,COUNTIF(I57:XFD57,"&gt;"&amp;0)),I$1:XFD57,A57+1,FALSE))</f>
        <v>0</v>
      </c>
      <c r="G57" s="9">
        <f t="shared" si="14"/>
        <v>0</v>
      </c>
    </row>
    <row r="58" spans="1:11" x14ac:dyDescent="0.25">
      <c r="D58" s="7">
        <f t="shared" si="15"/>
        <v>0</v>
      </c>
      <c r="E58" s="7">
        <f>IF(COUNTIF(I58:XFD58,"&gt;"&amp;0)=0,,HLOOKUP(COUNTIF(I58:XFD58,"&gt;"&amp;0)-1,I$1:XFD58,A58+1,FALSE))</f>
        <v>0</v>
      </c>
      <c r="F58" s="8">
        <f>IF(COUNTIF(I58:XFD58,"&gt;"&amp;0)=0,,HLOOKUP(COUNTIF(I58:XFD58,"&gt;"&amp;0)-MIN($F$1+1,COUNTIF(I58:XFD58,"&gt;"&amp;0)),I$1:XFD58,A58+1,FALSE))</f>
        <v>0</v>
      </c>
      <c r="G58" s="9">
        <f t="shared" si="14"/>
        <v>0</v>
      </c>
    </row>
    <row r="59" spans="1:11" x14ac:dyDescent="0.25">
      <c r="D59" s="7">
        <f t="shared" si="15"/>
        <v>0</v>
      </c>
      <c r="E59" s="7">
        <f>IF(COUNTIF(I59:XFD59,"&gt;"&amp;0)=0,,HLOOKUP(COUNTIF(I59:XFD59,"&gt;"&amp;0)-1,I$1:XFD59,A59+1,FALSE))</f>
        <v>0</v>
      </c>
      <c r="F59" s="8">
        <f>IF(COUNTIF(I59:XFD59,"&gt;"&amp;0)=0,,HLOOKUP(COUNTIF(I59:XFD59,"&gt;"&amp;0)-MIN($F$1+1,COUNTIF(I59:XFD59,"&gt;"&amp;0)),I$1:XFD59,A59+1,FALSE))</f>
        <v>0</v>
      </c>
      <c r="G59" s="9">
        <f t="shared" si="14"/>
        <v>0</v>
      </c>
    </row>
    <row r="60" spans="1:11" x14ac:dyDescent="0.25">
      <c r="D60" s="7">
        <f t="shared" si="15"/>
        <v>0</v>
      </c>
      <c r="E60" s="7">
        <f>IF(COUNTIF(I60:XFD60,"&gt;"&amp;0)=0,,HLOOKUP(COUNTIF(I60:XFD60,"&gt;"&amp;0)-1,I$1:XFD60,A60+1,FALSE))</f>
        <v>0</v>
      </c>
      <c r="F60" s="8">
        <f>IF(COUNTIF(I60:XFD60,"&gt;"&amp;0)=0,,HLOOKUP(COUNTIF(I60:XFD60,"&gt;"&amp;0)-MIN($F$1+1,COUNTIF(I60:XFD60,"&gt;"&amp;0)),I$1:XFD60,A60+1,FALSE))</f>
        <v>0</v>
      </c>
      <c r="G60" s="9">
        <f t="shared" si="14"/>
        <v>0</v>
      </c>
    </row>
    <row r="61" spans="1:11" x14ac:dyDescent="0.25">
      <c r="D61" s="7">
        <f t="shared" si="15"/>
        <v>0</v>
      </c>
      <c r="E61" s="7">
        <f>IF(COUNTIF(I61:XFD61,"&gt;"&amp;0)=0,,HLOOKUP(COUNTIF(I61:XFD61,"&gt;"&amp;0)-1,I$1:XFD61,A61+1,FALSE))</f>
        <v>0</v>
      </c>
      <c r="F61" s="8">
        <f>IF(COUNTIF(I61:XFD61,"&gt;"&amp;0)=0,,HLOOKUP(COUNTIF(I61:XFD61,"&gt;"&amp;0)-MIN($F$1+1,COUNTIF(I61:XFD61,"&gt;"&amp;0)),I$1:XFD61,A61+1,FALSE))</f>
        <v>0</v>
      </c>
      <c r="G61" s="9">
        <f t="shared" si="14"/>
        <v>0</v>
      </c>
    </row>
    <row r="62" spans="1:11" x14ac:dyDescent="0.25">
      <c r="D62" s="7">
        <f t="shared" si="15"/>
        <v>0</v>
      </c>
      <c r="E62" s="7">
        <f>IF(COUNTIF(I62:XFD62,"&gt;"&amp;0)=0,,HLOOKUP(COUNTIF(I62:XFD62,"&gt;"&amp;0)-1,I$1:XFD62,A62+1,FALSE))</f>
        <v>0</v>
      </c>
      <c r="F62" s="8">
        <f>IF(COUNTIF(I62:XFD62,"&gt;"&amp;0)=0,,HLOOKUP(COUNTIF(I62:XFD62,"&gt;"&amp;0)-MIN($F$1+1,COUNTIF(I62:XFD62,"&gt;"&amp;0)),I$1:XFD62,A62+1,FALSE))</f>
        <v>0</v>
      </c>
      <c r="G62" s="9">
        <f t="shared" si="14"/>
        <v>0</v>
      </c>
    </row>
    <row r="63" spans="1:11" x14ac:dyDescent="0.25">
      <c r="D63" s="7">
        <f t="shared" si="15"/>
        <v>0</v>
      </c>
      <c r="E63" s="7">
        <f>IF(COUNTIF(I63:XFD63,"&gt;"&amp;0)=0,,HLOOKUP(COUNTIF(I63:XFD63,"&gt;"&amp;0)-1,I$1:XFD63,A63+1,FALSE))</f>
        <v>0</v>
      </c>
      <c r="F63" s="8">
        <f>IF(COUNTIF(I63:XFD63,"&gt;"&amp;0)=0,,HLOOKUP(COUNTIF(I63:XFD63,"&gt;"&amp;0)-MIN($F$1+1,COUNTIF(I63:XFD63,"&gt;"&amp;0)),I$1:XFD63,A63+1,FALSE))</f>
        <v>0</v>
      </c>
      <c r="G63" s="9">
        <f t="shared" si="14"/>
        <v>0</v>
      </c>
    </row>
    <row r="64" spans="1:11" x14ac:dyDescent="0.25">
      <c r="D64" s="7">
        <f t="shared" si="15"/>
        <v>0</v>
      </c>
      <c r="E64" s="7">
        <f>IF(COUNTIF(I64:XFD64,"&gt;"&amp;0)=0,,HLOOKUP(COUNTIF(I64:XFD64,"&gt;"&amp;0)-1,I$1:XFD64,A64+1,FALSE))</f>
        <v>0</v>
      </c>
      <c r="F64" s="8">
        <f>IF(COUNTIF(I64:XFD64,"&gt;"&amp;0)=0,,HLOOKUP(COUNTIF(I64:XFD64,"&gt;"&amp;0)-MIN($F$1+1,COUNTIF(I64:XFD64,"&gt;"&amp;0)),I$1:XFD64,A64+1,FALSE))</f>
        <v>0</v>
      </c>
      <c r="G64" s="9">
        <f t="shared" si="14"/>
        <v>0</v>
      </c>
    </row>
    <row r="65" spans="4:7" x14ac:dyDescent="0.25">
      <c r="D65" s="7">
        <f t="shared" si="15"/>
        <v>0</v>
      </c>
      <c r="E65" s="7">
        <f>IF(COUNTIF(I65:XFD65,"&gt;"&amp;0)=0,,HLOOKUP(COUNTIF(I65:XFD65,"&gt;"&amp;0)-1,I$1:XFD65,A65+1,FALSE))</f>
        <v>0</v>
      </c>
      <c r="F65" s="8">
        <f>IF(COUNTIF(I65:XFD65,"&gt;"&amp;0)=0,,HLOOKUP(COUNTIF(I65:XFD65,"&gt;"&amp;0)-MIN($F$1+1,COUNTIF(I65:XFD65,"&gt;"&amp;0)),I$1:XFD65,A65+1,FALSE))</f>
        <v>0</v>
      </c>
      <c r="G65" s="9">
        <f t="shared" si="14"/>
        <v>0</v>
      </c>
    </row>
    <row r="66" spans="4:7" x14ac:dyDescent="0.25">
      <c r="D66" s="7">
        <f t="shared" si="15"/>
        <v>0</v>
      </c>
      <c r="E66" s="7">
        <f>IF(COUNTIF(I66:XFD66,"&gt;"&amp;0)=0,,HLOOKUP(COUNTIF(I66:XFD66,"&gt;"&amp;0)-1,I$1:XFD66,A66+1,FALSE))</f>
        <v>0</v>
      </c>
      <c r="F66" s="8">
        <f>IF(COUNTIF(I66:XFD66,"&gt;"&amp;0)=0,,HLOOKUP(COUNTIF(I66:XFD66,"&gt;"&amp;0)-MIN($F$1+1,COUNTIF(I66:XFD66,"&gt;"&amp;0)),I$1:XFD66,A66+1,FALSE))</f>
        <v>0</v>
      </c>
      <c r="G66" s="9">
        <f t="shared" si="14"/>
        <v>0</v>
      </c>
    </row>
    <row r="67" spans="4:7" x14ac:dyDescent="0.25">
      <c r="D67" s="7">
        <f t="shared" si="15"/>
        <v>0</v>
      </c>
      <c r="E67" s="7">
        <f>IF(COUNTIF(I67:XFD67,"&gt;"&amp;0)=0,,HLOOKUP(COUNTIF(I67:XFD67,"&gt;"&amp;0)-1,I$1:XFD67,A67+1,FALSE))</f>
        <v>0</v>
      </c>
      <c r="F67" s="8">
        <f>IF(COUNTIF(I67:XFD67,"&gt;"&amp;0)=0,,HLOOKUP(COUNTIF(I67:XFD67,"&gt;"&amp;0)-MIN($F$1+1,COUNTIF(I67:XFD67,"&gt;"&amp;0)),I$1:XFD67,A67+1,FALSE))</f>
        <v>0</v>
      </c>
      <c r="G67" s="9">
        <f t="shared" si="14"/>
        <v>0</v>
      </c>
    </row>
    <row r="68" spans="4:7" x14ac:dyDescent="0.25">
      <c r="D68" s="7">
        <f t="shared" si="15"/>
        <v>0</v>
      </c>
      <c r="E68" s="7">
        <f>IF(COUNTIF(I68:XFD68,"&gt;"&amp;0)=0,,HLOOKUP(COUNTIF(I68:XFD68,"&gt;"&amp;0)-1,I$1:XFD68,A68+1,FALSE))</f>
        <v>0</v>
      </c>
      <c r="F68" s="8">
        <f>IF(COUNTIF(I68:XFD68,"&gt;"&amp;0)=0,,HLOOKUP(COUNTIF(I68:XFD68,"&gt;"&amp;0)-MIN($F$1+1,COUNTIF(I68:XFD68,"&gt;"&amp;0)),I$1:XFD68,A68+1,FALSE))</f>
        <v>0</v>
      </c>
      <c r="G68" s="9">
        <f t="shared" si="14"/>
        <v>0</v>
      </c>
    </row>
    <row r="69" spans="4:7" x14ac:dyDescent="0.25">
      <c r="D69" s="7">
        <f t="shared" si="15"/>
        <v>0</v>
      </c>
      <c r="E69" s="7">
        <f>IF(COUNTIF(I69:XFD69,"&gt;"&amp;0)=0,,HLOOKUP(COUNTIF(I69:XFD69,"&gt;"&amp;0)-1,I$1:XFD69,A69+1,FALSE))</f>
        <v>0</v>
      </c>
      <c r="F69" s="8">
        <f>IF(COUNTIF(I69:XFD69,"&gt;"&amp;0)=0,,HLOOKUP(COUNTIF(I69:XFD69,"&gt;"&amp;0)-MIN($F$1+1,COUNTIF(I69:XFD69,"&gt;"&amp;0)),I$1:XFD69,A69+1,FALSE))</f>
        <v>0</v>
      </c>
      <c r="G69" s="9">
        <f t="shared" si="14"/>
        <v>0</v>
      </c>
    </row>
    <row r="70" spans="4:7" x14ac:dyDescent="0.25">
      <c r="D70" s="7">
        <f t="shared" si="15"/>
        <v>0</v>
      </c>
      <c r="E70" s="7">
        <f>IF(COUNTIF(I70:XFD70,"&gt;"&amp;0)=0,,HLOOKUP(COUNTIF(I70:XFD70,"&gt;"&amp;0)-1,I$1:XFD70,A70+1,FALSE))</f>
        <v>0</v>
      </c>
      <c r="F70" s="8">
        <f>IF(COUNTIF(I70:XFD70,"&gt;"&amp;0)=0,,HLOOKUP(COUNTIF(I70:XFD70,"&gt;"&amp;0)-MIN($F$1+1,COUNTIF(I70:XFD70,"&gt;"&amp;0)),I$1:XFD70,A70+1,FALSE))</f>
        <v>0</v>
      </c>
      <c r="G70" s="9">
        <f t="shared" si="14"/>
        <v>0</v>
      </c>
    </row>
    <row r="71" spans="4:7" x14ac:dyDescent="0.25">
      <c r="D71" s="7">
        <f t="shared" si="15"/>
        <v>0</v>
      </c>
      <c r="E71" s="7">
        <f>IF(COUNTIF(I71:XFD71,"&gt;"&amp;0)=0,,HLOOKUP(COUNTIF(I71:XFD71,"&gt;"&amp;0)-1,I$1:XFD71,A71+1,FALSE))</f>
        <v>0</v>
      </c>
      <c r="F71" s="8">
        <f>IF(COUNTIF(I71:XFD71,"&gt;"&amp;0)=0,,HLOOKUP(COUNTIF(I71:XFD71,"&gt;"&amp;0)-MIN($F$1+1,COUNTIF(I71:XFD71,"&gt;"&amp;0)),I$1:XFD71,A71+1,FALSE))</f>
        <v>0</v>
      </c>
      <c r="G71" s="9">
        <f t="shared" si="14"/>
        <v>0</v>
      </c>
    </row>
    <row r="72" spans="4:7" x14ac:dyDescent="0.25">
      <c r="D72" s="7">
        <f t="shared" si="15"/>
        <v>0</v>
      </c>
      <c r="E72" s="7">
        <f>IF(COUNTIF(I72:XFD72,"&gt;"&amp;0)=0,,HLOOKUP(COUNTIF(I72:XFD72,"&gt;"&amp;0)-1,I$1:XFD72,A72+1,FALSE))</f>
        <v>0</v>
      </c>
      <c r="F72" s="8">
        <f>IF(COUNTIF(I72:XFD72,"&gt;"&amp;0)=0,,HLOOKUP(COUNTIF(I72:XFD72,"&gt;"&amp;0)-MIN($F$1+1,COUNTIF(I72:XFD72,"&gt;"&amp;0)),I$1:XFD72,A72+1,FALSE))</f>
        <v>0</v>
      </c>
      <c r="G72" s="9">
        <f t="shared" si="14"/>
        <v>0</v>
      </c>
    </row>
    <row r="73" spans="4:7" x14ac:dyDescent="0.25">
      <c r="D73" s="7">
        <f t="shared" si="15"/>
        <v>0</v>
      </c>
      <c r="E73" s="7">
        <f>IF(COUNTIF(I73:XFD73,"&gt;"&amp;0)=0,,HLOOKUP(COUNTIF(I73:XFD73,"&gt;"&amp;0)-1,I$1:XFD73,A73+1,FALSE))</f>
        <v>0</v>
      </c>
      <c r="F73" s="8">
        <f>IF(COUNTIF(I73:XFD73,"&gt;"&amp;0)=0,,HLOOKUP(COUNTIF(I73:XFD73,"&gt;"&amp;0)-MIN($F$1+1,COUNTIF(I73:XFD73,"&gt;"&amp;0)),I$1:XFD73,A73+1,FALSE))</f>
        <v>0</v>
      </c>
      <c r="G73" s="9">
        <f t="shared" si="14"/>
        <v>0</v>
      </c>
    </row>
    <row r="74" spans="4:7" x14ac:dyDescent="0.25">
      <c r="D74" s="7">
        <f t="shared" si="15"/>
        <v>0</v>
      </c>
      <c r="E74" s="7">
        <f>IF(COUNTIF(I74:XFD74,"&gt;"&amp;0)=0,,HLOOKUP(COUNTIF(I74:XFD74,"&gt;"&amp;0)-1,I$1:XFD74,A74+1,FALSE))</f>
        <v>0</v>
      </c>
      <c r="F74" s="8">
        <f>IF(COUNTIF(I74:XFD74,"&gt;"&amp;0)=0,,HLOOKUP(COUNTIF(I74:XFD74,"&gt;"&amp;0)-MIN($F$1+1,COUNTIF(I74:XFD74,"&gt;"&amp;0)),I$1:XFD74,A74+1,FALSE))</f>
        <v>0</v>
      </c>
      <c r="G74" s="9">
        <f t="shared" ref="G74:G105" si="16">IF(COUNTIF(I74:XFD74,"&gt;"&amp;0)=0,,(E74/F74)^(1/$F$1))</f>
        <v>0</v>
      </c>
    </row>
    <row r="75" spans="4:7" x14ac:dyDescent="0.25">
      <c r="D75" s="7">
        <f t="shared" si="15"/>
        <v>0</v>
      </c>
      <c r="E75" s="7">
        <f>IF(COUNTIF(I75:XFD75,"&gt;"&amp;0)=0,,HLOOKUP(COUNTIF(I75:XFD75,"&gt;"&amp;0)-1,I$1:XFD75,A75+1,FALSE))</f>
        <v>0</v>
      </c>
      <c r="F75" s="8">
        <f>IF(COUNTIF(I75:XFD75,"&gt;"&amp;0)=0,,HLOOKUP(COUNTIF(I75:XFD75,"&gt;"&amp;0)-MIN($F$1+1,COUNTIF(I75:XFD75,"&gt;"&amp;0)),I$1:XFD75,A75+1,FALSE))</f>
        <v>0</v>
      </c>
      <c r="G75" s="9">
        <f t="shared" si="16"/>
        <v>0</v>
      </c>
    </row>
    <row r="76" spans="4:7" x14ac:dyDescent="0.25">
      <c r="D76" s="7">
        <f t="shared" si="15"/>
        <v>0</v>
      </c>
      <c r="E76" s="7">
        <f>IF(COUNTIF(I76:XFD76,"&gt;"&amp;0)=0,,HLOOKUP(COUNTIF(I76:XFD76,"&gt;"&amp;0)-1,I$1:XFD76,A76+1,FALSE))</f>
        <v>0</v>
      </c>
      <c r="F76" s="8">
        <f>IF(COUNTIF(I76:XFD76,"&gt;"&amp;0)=0,,HLOOKUP(COUNTIF(I76:XFD76,"&gt;"&amp;0)-MIN($F$1+1,COUNTIF(I76:XFD76,"&gt;"&amp;0)),I$1:XFD76,A76+1,FALSE))</f>
        <v>0</v>
      </c>
      <c r="G76" s="9">
        <f t="shared" si="16"/>
        <v>0</v>
      </c>
    </row>
    <row r="77" spans="4:7" x14ac:dyDescent="0.25">
      <c r="D77" s="7">
        <f t="shared" si="15"/>
        <v>0</v>
      </c>
      <c r="E77" s="7">
        <f>IF(COUNTIF(I77:XFD77,"&gt;"&amp;0)=0,,HLOOKUP(COUNTIF(I77:XFD77,"&gt;"&amp;0)-1,I$1:XFD77,A77+1,FALSE))</f>
        <v>0</v>
      </c>
      <c r="F77" s="8">
        <f>IF(COUNTIF(I77:XFD77,"&gt;"&amp;0)=0,,HLOOKUP(COUNTIF(I77:XFD77,"&gt;"&amp;0)-MIN($F$1+1,COUNTIF(I77:XFD77,"&gt;"&amp;0)),I$1:XFD77,A77+1,FALSE))</f>
        <v>0</v>
      </c>
      <c r="G77" s="9">
        <f t="shared" si="16"/>
        <v>0</v>
      </c>
    </row>
    <row r="78" spans="4:7" x14ac:dyDescent="0.25">
      <c r="D78" s="7">
        <f t="shared" si="15"/>
        <v>0</v>
      </c>
      <c r="E78" s="7">
        <f>IF(COUNTIF(I78:XFD78,"&gt;"&amp;0)=0,,HLOOKUP(COUNTIF(I78:XFD78,"&gt;"&amp;0)-1,I$1:XFD78,A78+1,FALSE))</f>
        <v>0</v>
      </c>
      <c r="F78" s="8">
        <f>IF(COUNTIF(I78:XFD78,"&gt;"&amp;0)=0,,HLOOKUP(COUNTIF(I78:XFD78,"&gt;"&amp;0)-MIN($F$1+1,COUNTIF(I78:XFD78,"&gt;"&amp;0)),I$1:XFD78,A78+1,FALSE))</f>
        <v>0</v>
      </c>
      <c r="G78" s="9">
        <f t="shared" si="16"/>
        <v>0</v>
      </c>
    </row>
    <row r="79" spans="4:7" x14ac:dyDescent="0.25">
      <c r="D79" s="7">
        <f t="shared" si="15"/>
        <v>0</v>
      </c>
      <c r="E79" s="7">
        <f>IF(COUNTIF(I79:XFD79,"&gt;"&amp;0)=0,,HLOOKUP(COUNTIF(I79:XFD79,"&gt;"&amp;0)-1,I$1:XFD79,A79+1,FALSE))</f>
        <v>0</v>
      </c>
      <c r="F79" s="8">
        <f>IF(COUNTIF(I79:XFD79,"&gt;"&amp;0)=0,,HLOOKUP(COUNTIF(I79:XFD79,"&gt;"&amp;0)-MIN($F$1+1,COUNTIF(I79:XFD79,"&gt;"&amp;0)),I$1:XFD79,A79+1,FALSE))</f>
        <v>0</v>
      </c>
      <c r="G79" s="9">
        <f t="shared" si="16"/>
        <v>0</v>
      </c>
    </row>
    <row r="80" spans="4:7" x14ac:dyDescent="0.25">
      <c r="D80" s="7">
        <f t="shared" si="15"/>
        <v>0</v>
      </c>
      <c r="E80" s="7">
        <f>IF(COUNTIF(I80:XFD80,"&gt;"&amp;0)=0,,HLOOKUP(COUNTIF(I80:XFD80,"&gt;"&amp;0)-1,I$1:XFD80,A80+1,FALSE))</f>
        <v>0</v>
      </c>
      <c r="F80" s="8">
        <f>IF(COUNTIF(I80:XFD80,"&gt;"&amp;0)=0,,HLOOKUP(COUNTIF(I80:XFD80,"&gt;"&amp;0)-MIN($F$1+1,COUNTIF(I80:XFD80,"&gt;"&amp;0)),I$1:XFD80,A80+1,FALSE))</f>
        <v>0</v>
      </c>
      <c r="G80" s="9">
        <f t="shared" si="16"/>
        <v>0</v>
      </c>
    </row>
    <row r="81" spans="4:7" x14ac:dyDescent="0.25">
      <c r="D81" s="7">
        <f t="shared" si="15"/>
        <v>0</v>
      </c>
      <c r="E81" s="7">
        <f>IF(COUNTIF(I81:XFD81,"&gt;"&amp;0)=0,,HLOOKUP(COUNTIF(I81:XFD81,"&gt;"&amp;0)-1,I$1:XFD81,A81+1,FALSE))</f>
        <v>0</v>
      </c>
      <c r="F81" s="8">
        <f>IF(COUNTIF(I81:XFD81,"&gt;"&amp;0)=0,,HLOOKUP(COUNTIF(I81:XFD81,"&gt;"&amp;0)-MIN($F$1+1,COUNTIF(I81:XFD81,"&gt;"&amp;0)),I$1:XFD81,A81+1,FALSE))</f>
        <v>0</v>
      </c>
      <c r="G81" s="9">
        <f t="shared" si="16"/>
        <v>0</v>
      </c>
    </row>
    <row r="82" spans="4:7" x14ac:dyDescent="0.25">
      <c r="D82" s="7">
        <f t="shared" si="15"/>
        <v>0</v>
      </c>
      <c r="E82" s="7">
        <f>IF(COUNTIF(I82:XFD82,"&gt;"&amp;0)=0,,HLOOKUP(COUNTIF(I82:XFD82,"&gt;"&amp;0)-1,I$1:XFD82,A82+1,FALSE))</f>
        <v>0</v>
      </c>
      <c r="F82" s="8">
        <f>IF(COUNTIF(I82:XFD82,"&gt;"&amp;0)=0,,HLOOKUP(COUNTIF(I82:XFD82,"&gt;"&amp;0)-MIN($F$1+1,COUNTIF(I82:XFD82,"&gt;"&amp;0)),I$1:XFD82,A82+1,FALSE))</f>
        <v>0</v>
      </c>
      <c r="G82" s="9">
        <f t="shared" si="16"/>
        <v>0</v>
      </c>
    </row>
    <row r="83" spans="4:7" x14ac:dyDescent="0.25">
      <c r="D83" s="7">
        <f t="shared" si="15"/>
        <v>0</v>
      </c>
      <c r="E83" s="7">
        <f>IF(COUNTIF(I83:XFD83,"&gt;"&amp;0)=0,,HLOOKUP(COUNTIF(I83:XFD83,"&gt;"&amp;0)-1,I$1:XFD83,A83+1,FALSE))</f>
        <v>0</v>
      </c>
      <c r="F83" s="8">
        <f>IF(COUNTIF(I83:XFD83,"&gt;"&amp;0)=0,,HLOOKUP(COUNTIF(I83:XFD83,"&gt;"&amp;0)-MIN($F$1+1,COUNTIF(I83:XFD83,"&gt;"&amp;0)),I$1:XFD83,A83+1,FALSE))</f>
        <v>0</v>
      </c>
      <c r="G83" s="9">
        <f t="shared" si="16"/>
        <v>0</v>
      </c>
    </row>
    <row r="84" spans="4:7" x14ac:dyDescent="0.25">
      <c r="D84" s="7">
        <f t="shared" si="15"/>
        <v>0</v>
      </c>
      <c r="E84" s="7">
        <f>IF(COUNTIF(I84:XFD84,"&gt;"&amp;0)=0,,HLOOKUP(COUNTIF(I84:XFD84,"&gt;"&amp;0)-1,I$1:XFD84,A84+1,FALSE))</f>
        <v>0</v>
      </c>
      <c r="F84" s="8">
        <f>IF(COUNTIF(I84:XFD84,"&gt;"&amp;0)=0,,HLOOKUP(COUNTIF(I84:XFD84,"&gt;"&amp;0)-MIN($F$1+1,COUNTIF(I84:XFD84,"&gt;"&amp;0)),I$1:XFD84,A84+1,FALSE))</f>
        <v>0</v>
      </c>
      <c r="G84" s="9">
        <f t="shared" si="16"/>
        <v>0</v>
      </c>
    </row>
    <row r="85" spans="4:7" x14ac:dyDescent="0.25">
      <c r="D85" s="7">
        <f t="shared" ref="D85:D116" si="17">MAX(I85:CL85)</f>
        <v>0</v>
      </c>
      <c r="E85" s="7">
        <f>IF(COUNTIF(I85:XFD85,"&gt;"&amp;0)=0,,HLOOKUP(COUNTIF(I85:XFD85,"&gt;"&amp;0)-1,I$1:XFD85,A85+1,FALSE))</f>
        <v>0</v>
      </c>
      <c r="F85" s="8">
        <f>IF(COUNTIF(I85:XFD85,"&gt;"&amp;0)=0,,HLOOKUP(COUNTIF(I85:XFD85,"&gt;"&amp;0)-MIN($F$1+1,COUNTIF(I85:XFD85,"&gt;"&amp;0)),I$1:XFD85,A85+1,FALSE))</f>
        <v>0</v>
      </c>
      <c r="G85" s="9">
        <f t="shared" si="16"/>
        <v>0</v>
      </c>
    </row>
    <row r="86" spans="4:7" x14ac:dyDescent="0.25">
      <c r="D86" s="7">
        <f t="shared" si="17"/>
        <v>0</v>
      </c>
      <c r="E86" s="7">
        <f>IF(COUNTIF(I86:XFD86,"&gt;"&amp;0)=0,,HLOOKUP(COUNTIF(I86:XFD86,"&gt;"&amp;0)-1,I$1:XFD86,A86+1,FALSE))</f>
        <v>0</v>
      </c>
      <c r="F86" s="8">
        <f>IF(COUNTIF(I86:XFD86,"&gt;"&amp;0)=0,,HLOOKUP(COUNTIF(I86:XFD86,"&gt;"&amp;0)-MIN($F$1+1,COUNTIF(I86:XFD86,"&gt;"&amp;0)),I$1:XFD86,A86+1,FALSE))</f>
        <v>0</v>
      </c>
      <c r="G86" s="9">
        <f t="shared" si="16"/>
        <v>0</v>
      </c>
    </row>
    <row r="87" spans="4:7" x14ac:dyDescent="0.25">
      <c r="D87" s="7">
        <f t="shared" si="17"/>
        <v>0</v>
      </c>
      <c r="E87" s="7">
        <f>IF(COUNTIF(I87:XFD87,"&gt;"&amp;0)=0,,HLOOKUP(COUNTIF(I87:XFD87,"&gt;"&amp;0)-1,I$1:XFD87,A87+1,FALSE))</f>
        <v>0</v>
      </c>
      <c r="F87" s="8">
        <f>IF(COUNTIF(I87:XFD87,"&gt;"&amp;0)=0,,HLOOKUP(COUNTIF(I87:XFD87,"&gt;"&amp;0)-MIN($F$1+1,COUNTIF(I87:XFD87,"&gt;"&amp;0)),I$1:XFD87,A87+1,FALSE))</f>
        <v>0</v>
      </c>
      <c r="G87" s="9">
        <f t="shared" si="16"/>
        <v>0</v>
      </c>
    </row>
    <row r="88" spans="4:7" x14ac:dyDescent="0.25">
      <c r="D88" s="7">
        <f t="shared" si="17"/>
        <v>0</v>
      </c>
      <c r="E88" s="7">
        <f>IF(COUNTIF(I88:XFD88,"&gt;"&amp;0)=0,,HLOOKUP(COUNTIF(I88:XFD88,"&gt;"&amp;0)-1,I$1:XFD88,A88+1,FALSE))</f>
        <v>0</v>
      </c>
      <c r="F88" s="8">
        <f>IF(COUNTIF(I88:XFD88,"&gt;"&amp;0)=0,,HLOOKUP(COUNTIF(I88:XFD88,"&gt;"&amp;0)-MIN($F$1+1,COUNTIF(I88:XFD88,"&gt;"&amp;0)),I$1:XFD88,A88+1,FALSE))</f>
        <v>0</v>
      </c>
      <c r="G88" s="9">
        <f t="shared" si="16"/>
        <v>0</v>
      </c>
    </row>
    <row r="89" spans="4:7" x14ac:dyDescent="0.25">
      <c r="D89" s="7">
        <f t="shared" si="17"/>
        <v>0</v>
      </c>
      <c r="E89" s="7">
        <f>IF(COUNTIF(I89:XFD89,"&gt;"&amp;0)=0,,HLOOKUP(COUNTIF(I89:XFD89,"&gt;"&amp;0)-1,I$1:XFD89,A89+1,FALSE))</f>
        <v>0</v>
      </c>
      <c r="F89" s="8">
        <f>IF(COUNTIF(I89:XFD89,"&gt;"&amp;0)=0,,HLOOKUP(COUNTIF(I89:XFD89,"&gt;"&amp;0)-MIN($F$1+1,COUNTIF(I89:XFD89,"&gt;"&amp;0)),I$1:XFD89,A89+1,FALSE))</f>
        <v>0</v>
      </c>
      <c r="G89" s="9">
        <f t="shared" si="16"/>
        <v>0</v>
      </c>
    </row>
    <row r="90" spans="4:7" x14ac:dyDescent="0.25">
      <c r="D90" s="7">
        <f t="shared" si="17"/>
        <v>0</v>
      </c>
      <c r="E90" s="7">
        <f>IF(COUNTIF(I90:XFD90,"&gt;"&amp;0)=0,,HLOOKUP(COUNTIF(I90:XFD90,"&gt;"&amp;0)-1,I$1:XFD90,A90+1,FALSE))</f>
        <v>0</v>
      </c>
      <c r="F90" s="8">
        <f>IF(COUNTIF(I90:XFD90,"&gt;"&amp;0)=0,,HLOOKUP(COUNTIF(I90:XFD90,"&gt;"&amp;0)-MIN($F$1+1,COUNTIF(I90:XFD90,"&gt;"&amp;0)),I$1:XFD90,A90+1,FALSE))</f>
        <v>0</v>
      </c>
      <c r="G90" s="9">
        <f t="shared" si="16"/>
        <v>0</v>
      </c>
    </row>
    <row r="91" spans="4:7" x14ac:dyDescent="0.25">
      <c r="D91" s="7">
        <f t="shared" si="17"/>
        <v>0</v>
      </c>
      <c r="E91" s="7">
        <f>IF(COUNTIF(I91:XFD91,"&gt;"&amp;0)=0,,HLOOKUP(COUNTIF(I91:XFD91,"&gt;"&amp;0)-1,I$1:XFD91,A91+1,FALSE))</f>
        <v>0</v>
      </c>
      <c r="F91" s="8">
        <f>IF(COUNTIF(I91:XFD91,"&gt;"&amp;0)=0,,HLOOKUP(COUNTIF(I91:XFD91,"&gt;"&amp;0)-MIN($F$1+1,COUNTIF(I91:XFD91,"&gt;"&amp;0)),I$1:XFD91,A91+1,FALSE))</f>
        <v>0</v>
      </c>
      <c r="G91" s="9">
        <f t="shared" si="16"/>
        <v>0</v>
      </c>
    </row>
    <row r="92" spans="4:7" x14ac:dyDescent="0.25">
      <c r="D92" s="7">
        <f t="shared" si="17"/>
        <v>0</v>
      </c>
      <c r="E92" s="7">
        <f>IF(COUNTIF(I92:XFD92,"&gt;"&amp;0)=0,,HLOOKUP(COUNTIF(I92:XFD92,"&gt;"&amp;0)-1,I$1:XFD92,A92+1,FALSE))</f>
        <v>0</v>
      </c>
      <c r="F92" s="8">
        <f>IF(COUNTIF(I92:XFD92,"&gt;"&amp;0)=0,,HLOOKUP(COUNTIF(I92:XFD92,"&gt;"&amp;0)-MIN($F$1+1,COUNTIF(I92:XFD92,"&gt;"&amp;0)),I$1:XFD92,A92+1,FALSE))</f>
        <v>0</v>
      </c>
      <c r="G92" s="9">
        <f t="shared" si="16"/>
        <v>0</v>
      </c>
    </row>
    <row r="93" spans="4:7" x14ac:dyDescent="0.25">
      <c r="D93" s="7">
        <f t="shared" si="17"/>
        <v>0</v>
      </c>
      <c r="E93" s="7">
        <f>IF(COUNTIF(I93:XFD93,"&gt;"&amp;0)=0,,HLOOKUP(COUNTIF(I93:XFD93,"&gt;"&amp;0)-1,I$1:XFD93,A93+1,FALSE))</f>
        <v>0</v>
      </c>
      <c r="F93" s="8">
        <f>IF(COUNTIF(I93:XFD93,"&gt;"&amp;0)=0,,HLOOKUP(COUNTIF(I93:XFD93,"&gt;"&amp;0)-MIN($F$1+1,COUNTIF(I93:XFD93,"&gt;"&amp;0)),I$1:XFD93,A93+1,FALSE))</f>
        <v>0</v>
      </c>
      <c r="G93" s="9">
        <f t="shared" si="16"/>
        <v>0</v>
      </c>
    </row>
    <row r="94" spans="4:7" x14ac:dyDescent="0.25">
      <c r="D94" s="7">
        <f t="shared" si="17"/>
        <v>0</v>
      </c>
      <c r="E94" s="7">
        <f>IF(COUNTIF(I94:XFD94,"&gt;"&amp;0)=0,,HLOOKUP(COUNTIF(I94:XFD94,"&gt;"&amp;0)-1,I$1:XFD94,A94+1,FALSE))</f>
        <v>0</v>
      </c>
      <c r="F94" s="8">
        <f>IF(COUNTIF(I94:XFD94,"&gt;"&amp;0)=0,,HLOOKUP(COUNTIF(I94:XFD94,"&gt;"&amp;0)-MIN($F$1+1,COUNTIF(I94:XFD94,"&gt;"&amp;0)),I$1:XFD94,A94+1,FALSE))</f>
        <v>0</v>
      </c>
      <c r="G94" s="9">
        <f t="shared" si="16"/>
        <v>0</v>
      </c>
    </row>
    <row r="95" spans="4:7" x14ac:dyDescent="0.25">
      <c r="D95" s="7">
        <f t="shared" si="17"/>
        <v>0</v>
      </c>
      <c r="E95" s="7">
        <f>IF(COUNTIF(I95:XFD95,"&gt;"&amp;0)=0,,HLOOKUP(COUNTIF(I95:XFD95,"&gt;"&amp;0)-1,I$1:XFD95,A95+1,FALSE))</f>
        <v>0</v>
      </c>
      <c r="F95" s="8">
        <f>IF(COUNTIF(I95:XFD95,"&gt;"&amp;0)=0,,HLOOKUP(COUNTIF(I95:XFD95,"&gt;"&amp;0)-MIN($F$1+1,COUNTIF(I95:XFD95,"&gt;"&amp;0)),I$1:XFD95,A95+1,FALSE))</f>
        <v>0</v>
      </c>
      <c r="G95" s="9">
        <f t="shared" si="16"/>
        <v>0</v>
      </c>
    </row>
    <row r="96" spans="4:7" x14ac:dyDescent="0.25">
      <c r="D96" s="7">
        <f t="shared" si="17"/>
        <v>0</v>
      </c>
      <c r="E96" s="7">
        <f>IF(COUNTIF(I96:XFD96,"&gt;"&amp;0)=0,,HLOOKUP(COUNTIF(I96:XFD96,"&gt;"&amp;0)-1,I$1:XFD96,A96+1,FALSE))</f>
        <v>0</v>
      </c>
      <c r="F96" s="8">
        <f>IF(COUNTIF(I96:XFD96,"&gt;"&amp;0)=0,,HLOOKUP(COUNTIF(I96:XFD96,"&gt;"&amp;0)-MIN($F$1+1,COUNTIF(I96:XFD96,"&gt;"&amp;0)),I$1:XFD96,A96+1,FALSE))</f>
        <v>0</v>
      </c>
      <c r="G96" s="9">
        <f t="shared" si="16"/>
        <v>0</v>
      </c>
    </row>
    <row r="97" spans="4:7" x14ac:dyDescent="0.25">
      <c r="D97" s="7">
        <f t="shared" si="17"/>
        <v>0</v>
      </c>
      <c r="E97" s="7">
        <f>IF(COUNTIF(I97:XFD97,"&gt;"&amp;0)=0,,HLOOKUP(COUNTIF(I97:XFD97,"&gt;"&amp;0)-1,I$1:XFD97,A97+1,FALSE))</f>
        <v>0</v>
      </c>
      <c r="F97" s="8">
        <f>IF(COUNTIF(I97:XFD97,"&gt;"&amp;0)=0,,HLOOKUP(COUNTIF(I97:XFD97,"&gt;"&amp;0)-MIN($F$1+1,COUNTIF(I97:XFD97,"&gt;"&amp;0)),I$1:XFD97,A97+1,FALSE))</f>
        <v>0</v>
      </c>
      <c r="G97" s="9">
        <f t="shared" si="16"/>
        <v>0</v>
      </c>
    </row>
    <row r="98" spans="4:7" x14ac:dyDescent="0.25">
      <c r="D98" s="7">
        <f t="shared" si="17"/>
        <v>0</v>
      </c>
      <c r="E98" s="7">
        <f>IF(COUNTIF(I98:XFD98,"&gt;"&amp;0)=0,,HLOOKUP(COUNTIF(I98:XFD98,"&gt;"&amp;0)-1,I$1:XFD98,A98+1,FALSE))</f>
        <v>0</v>
      </c>
      <c r="F98" s="8">
        <f>IF(COUNTIF(I98:XFD98,"&gt;"&amp;0)=0,,HLOOKUP(COUNTIF(I98:XFD98,"&gt;"&amp;0)-MIN($F$1+1,COUNTIF(I98:XFD98,"&gt;"&amp;0)),I$1:XFD98,A98+1,FALSE))</f>
        <v>0</v>
      </c>
      <c r="G98" s="9">
        <f t="shared" si="16"/>
        <v>0</v>
      </c>
    </row>
    <row r="99" spans="4:7" x14ac:dyDescent="0.25">
      <c r="D99" s="7">
        <f t="shared" si="17"/>
        <v>0</v>
      </c>
      <c r="E99" s="7">
        <f>IF(COUNTIF(I99:XFD99,"&gt;"&amp;0)=0,,HLOOKUP(COUNTIF(I99:XFD99,"&gt;"&amp;0)-1,I$1:XFD99,A99+1,FALSE))</f>
        <v>0</v>
      </c>
      <c r="F99" s="8">
        <f>IF(COUNTIF(I99:XFD99,"&gt;"&amp;0)=0,,HLOOKUP(COUNTIF(I99:XFD99,"&gt;"&amp;0)-MIN($F$1+1,COUNTIF(I99:XFD99,"&gt;"&amp;0)),I$1:XFD99,A99+1,FALSE))</f>
        <v>0</v>
      </c>
      <c r="G99" s="9">
        <f t="shared" si="16"/>
        <v>0</v>
      </c>
    </row>
    <row r="100" spans="4:7" x14ac:dyDescent="0.25">
      <c r="D100" s="7">
        <f t="shared" si="17"/>
        <v>0</v>
      </c>
      <c r="E100" s="7">
        <f>IF(COUNTIF(I100:XFD100,"&gt;"&amp;0)=0,,HLOOKUP(COUNTIF(I100:XFD100,"&gt;"&amp;0)-1,I$1:XFD100,A100+1,FALSE))</f>
        <v>0</v>
      </c>
      <c r="F100" s="8">
        <f>IF(COUNTIF(I100:XFD100,"&gt;"&amp;0)=0,,HLOOKUP(COUNTIF(I100:XFD100,"&gt;"&amp;0)-MIN($F$1+1,COUNTIF(I100:XFD100,"&gt;"&amp;0)),I$1:XFD100,A100+1,FALSE))</f>
        <v>0</v>
      </c>
      <c r="G100" s="9">
        <f t="shared" si="16"/>
        <v>0</v>
      </c>
    </row>
    <row r="101" spans="4:7" x14ac:dyDescent="0.25">
      <c r="D101" s="7">
        <f t="shared" si="17"/>
        <v>0</v>
      </c>
      <c r="E101" s="7">
        <f>IF(COUNTIF(I101:XFD101,"&gt;"&amp;0)=0,,HLOOKUP(COUNTIF(I101:XFD101,"&gt;"&amp;0)-1,I$1:XFD101,A101+1,FALSE))</f>
        <v>0</v>
      </c>
      <c r="F101" s="8">
        <f>IF(COUNTIF(I101:XFD101,"&gt;"&amp;0)=0,,HLOOKUP(COUNTIF(I101:XFD101,"&gt;"&amp;0)-MIN($F$1+1,COUNTIF(I101:XFD101,"&gt;"&amp;0)),I$1:XFD101,A101+1,FALSE))</f>
        <v>0</v>
      </c>
      <c r="G101" s="9">
        <f t="shared" si="16"/>
        <v>0</v>
      </c>
    </row>
    <row r="102" spans="4:7" x14ac:dyDescent="0.25">
      <c r="D102" s="7">
        <f t="shared" si="17"/>
        <v>0</v>
      </c>
      <c r="E102" s="7">
        <f>IF(COUNTIF(I102:XFD102,"&gt;"&amp;0)=0,,HLOOKUP(COUNTIF(I102:XFD102,"&gt;"&amp;0)-1,I$1:XFD102,A102+1,FALSE))</f>
        <v>0</v>
      </c>
      <c r="F102" s="8">
        <f>IF(COUNTIF(I102:XFD102,"&gt;"&amp;0)=0,,HLOOKUP(COUNTIF(I102:XFD102,"&gt;"&amp;0)-MIN($F$1+1,COUNTIF(I102:XFD102,"&gt;"&amp;0)),I$1:XFD102,A102+1,FALSE))</f>
        <v>0</v>
      </c>
      <c r="G102" s="9">
        <f t="shared" si="16"/>
        <v>0</v>
      </c>
    </row>
    <row r="103" spans="4:7" x14ac:dyDescent="0.25">
      <c r="D103" s="7">
        <f t="shared" si="17"/>
        <v>0</v>
      </c>
      <c r="E103" s="7">
        <f>IF(COUNTIF(I103:XFD103,"&gt;"&amp;0)=0,,HLOOKUP(COUNTIF(I103:XFD103,"&gt;"&amp;0)-1,I$1:XFD103,A103+1,FALSE))</f>
        <v>0</v>
      </c>
      <c r="F103" s="8">
        <f>IF(COUNTIF(I103:XFD103,"&gt;"&amp;0)=0,,HLOOKUP(COUNTIF(I103:XFD103,"&gt;"&amp;0)-MIN($F$1+1,COUNTIF(I103:XFD103,"&gt;"&amp;0)),I$1:XFD103,A103+1,FALSE))</f>
        <v>0</v>
      </c>
      <c r="G103" s="9">
        <f t="shared" si="16"/>
        <v>0</v>
      </c>
    </row>
    <row r="104" spans="4:7" x14ac:dyDescent="0.25">
      <c r="D104" s="7">
        <f t="shared" si="17"/>
        <v>0</v>
      </c>
      <c r="E104" s="7">
        <f>IF(COUNTIF(I104:XFD104,"&gt;"&amp;0)=0,,HLOOKUP(COUNTIF(I104:XFD104,"&gt;"&amp;0)-1,I$1:XFD104,A104+1,FALSE))</f>
        <v>0</v>
      </c>
      <c r="F104" s="8">
        <f>IF(COUNTIF(I104:XFD104,"&gt;"&amp;0)=0,,HLOOKUP(COUNTIF(I104:XFD104,"&gt;"&amp;0)-MIN($F$1+1,COUNTIF(I104:XFD104,"&gt;"&amp;0)),I$1:XFD104,A104+1,FALSE))</f>
        <v>0</v>
      </c>
      <c r="G104" s="9">
        <f t="shared" si="16"/>
        <v>0</v>
      </c>
    </row>
    <row r="105" spans="4:7" x14ac:dyDescent="0.25">
      <c r="D105" s="7">
        <f t="shared" si="17"/>
        <v>0</v>
      </c>
      <c r="E105" s="7">
        <f>IF(COUNTIF(I105:XFD105,"&gt;"&amp;0)=0,,HLOOKUP(COUNTIF(I105:XFD105,"&gt;"&amp;0)-1,I$1:XFD105,A105+1,FALSE))</f>
        <v>0</v>
      </c>
      <c r="F105" s="8">
        <f>IF(COUNTIF(I105:XFD105,"&gt;"&amp;0)=0,,HLOOKUP(COUNTIF(I105:XFD105,"&gt;"&amp;0)-MIN($F$1+1,COUNTIF(I105:XFD105,"&gt;"&amp;0)),I$1:XFD105,A105+1,FALSE))</f>
        <v>0</v>
      </c>
      <c r="G105" s="9">
        <f t="shared" si="16"/>
        <v>0</v>
      </c>
    </row>
    <row r="106" spans="4:7" x14ac:dyDescent="0.25">
      <c r="D106" s="7">
        <f t="shared" si="17"/>
        <v>0</v>
      </c>
      <c r="E106" s="7">
        <f>IF(COUNTIF(I106:XFD106,"&gt;"&amp;0)=0,,HLOOKUP(COUNTIF(I106:XFD106,"&gt;"&amp;0)-1,I$1:XFD106,A106+1,FALSE))</f>
        <v>0</v>
      </c>
      <c r="F106" s="8">
        <f>IF(COUNTIF(I106:XFD106,"&gt;"&amp;0)=0,,HLOOKUP(COUNTIF(I106:XFD106,"&gt;"&amp;0)-MIN($F$1+1,COUNTIF(I106:XFD106,"&gt;"&amp;0)),I$1:XFD106,A106+1,FALSE))</f>
        <v>0</v>
      </c>
      <c r="G106" s="9">
        <f t="shared" ref="G106:G123" si="18">IF(COUNTIF(I106:XFD106,"&gt;"&amp;0)=0,,(E106/F106)^(1/$F$1))</f>
        <v>0</v>
      </c>
    </row>
    <row r="107" spans="4:7" x14ac:dyDescent="0.25">
      <c r="D107" s="7">
        <f t="shared" si="17"/>
        <v>0</v>
      </c>
      <c r="E107" s="7">
        <f>IF(COUNTIF(I107:XFD107,"&gt;"&amp;0)=0,,HLOOKUP(COUNTIF(I107:XFD107,"&gt;"&amp;0)-1,I$1:XFD107,A107+1,FALSE))</f>
        <v>0</v>
      </c>
      <c r="F107" s="8">
        <f>IF(COUNTIF(I107:XFD107,"&gt;"&amp;0)=0,,HLOOKUP(COUNTIF(I107:XFD107,"&gt;"&amp;0)-MIN($F$1+1,COUNTIF(I107:XFD107,"&gt;"&amp;0)),I$1:XFD107,A107+1,FALSE))</f>
        <v>0</v>
      </c>
      <c r="G107" s="9">
        <f t="shared" si="18"/>
        <v>0</v>
      </c>
    </row>
    <row r="108" spans="4:7" x14ac:dyDescent="0.25">
      <c r="D108" s="7">
        <f t="shared" si="17"/>
        <v>0</v>
      </c>
      <c r="E108" s="7">
        <f>IF(COUNTIF(I108:XFD108,"&gt;"&amp;0)=0,,HLOOKUP(COUNTIF(I108:XFD108,"&gt;"&amp;0)-1,I$1:XFD108,A108+1,FALSE))</f>
        <v>0</v>
      </c>
      <c r="F108" s="8">
        <f>IF(COUNTIF(I108:XFD108,"&gt;"&amp;0)=0,,HLOOKUP(COUNTIF(I108:XFD108,"&gt;"&amp;0)-MIN($F$1+1,COUNTIF(I108:XFD108,"&gt;"&amp;0)),I$1:XFD108,A108+1,FALSE))</f>
        <v>0</v>
      </c>
      <c r="G108" s="9">
        <f t="shared" si="18"/>
        <v>0</v>
      </c>
    </row>
    <row r="109" spans="4:7" x14ac:dyDescent="0.25">
      <c r="D109" s="7">
        <f t="shared" si="17"/>
        <v>0</v>
      </c>
      <c r="E109" s="7">
        <f>IF(COUNTIF(I109:XFD109,"&gt;"&amp;0)=0,,HLOOKUP(COUNTIF(I109:XFD109,"&gt;"&amp;0)-1,I$1:XFD109,A109+1,FALSE))</f>
        <v>0</v>
      </c>
      <c r="F109" s="8">
        <f>IF(COUNTIF(I109:XFD109,"&gt;"&amp;0)=0,,HLOOKUP(COUNTIF(I109:XFD109,"&gt;"&amp;0)-MIN($F$1+1,COUNTIF(I109:XFD109,"&gt;"&amp;0)),I$1:XFD109,A109+1,FALSE))</f>
        <v>0</v>
      </c>
      <c r="G109" s="9">
        <f t="shared" si="18"/>
        <v>0</v>
      </c>
    </row>
    <row r="110" spans="4:7" x14ac:dyDescent="0.25">
      <c r="D110" s="7">
        <f t="shared" si="17"/>
        <v>0</v>
      </c>
      <c r="E110" s="7">
        <f>IF(COUNTIF(I110:XFD110,"&gt;"&amp;0)=0,,HLOOKUP(COUNTIF(I110:XFD110,"&gt;"&amp;0)-1,I$1:XFD110,A110+1,FALSE))</f>
        <v>0</v>
      </c>
      <c r="F110" s="8">
        <f>IF(COUNTIF(I110:XFD110,"&gt;"&amp;0)=0,,HLOOKUP(COUNTIF(I110:XFD110,"&gt;"&amp;0)-MIN($F$1+1,COUNTIF(I110:XFD110,"&gt;"&amp;0)),I$1:XFD110,A110+1,FALSE))</f>
        <v>0</v>
      </c>
      <c r="G110" s="9">
        <f t="shared" si="18"/>
        <v>0</v>
      </c>
    </row>
    <row r="111" spans="4:7" x14ac:dyDescent="0.25">
      <c r="D111" s="7">
        <f t="shared" si="17"/>
        <v>0</v>
      </c>
      <c r="E111" s="7">
        <f>IF(COUNTIF(I111:XFD111,"&gt;"&amp;0)=0,,HLOOKUP(COUNTIF(I111:XFD111,"&gt;"&amp;0)-1,I$1:XFD111,A111+1,FALSE))</f>
        <v>0</v>
      </c>
      <c r="F111" s="8">
        <f>IF(COUNTIF(I111:XFD111,"&gt;"&amp;0)=0,,HLOOKUP(COUNTIF(I111:XFD111,"&gt;"&amp;0)-MIN($F$1+1,COUNTIF(I111:XFD111,"&gt;"&amp;0)),I$1:XFD111,A111+1,FALSE))</f>
        <v>0</v>
      </c>
      <c r="G111" s="9">
        <f t="shared" si="18"/>
        <v>0</v>
      </c>
    </row>
    <row r="112" spans="4:7" x14ac:dyDescent="0.25">
      <c r="D112" s="7">
        <f t="shared" si="17"/>
        <v>0</v>
      </c>
      <c r="E112" s="7">
        <f>IF(COUNTIF(I112:XFD112,"&gt;"&amp;0)=0,,HLOOKUP(COUNTIF(I112:XFD112,"&gt;"&amp;0)-1,I$1:XFD112,A112+1,FALSE))</f>
        <v>0</v>
      </c>
      <c r="F112" s="8">
        <f>IF(COUNTIF(I112:XFD112,"&gt;"&amp;0)=0,,HLOOKUP(COUNTIF(I112:XFD112,"&gt;"&amp;0)-MIN($F$1+1,COUNTIF(I112:XFD112,"&gt;"&amp;0)),I$1:XFD112,A112+1,FALSE))</f>
        <v>0</v>
      </c>
      <c r="G112" s="9">
        <f t="shared" si="18"/>
        <v>0</v>
      </c>
    </row>
    <row r="113" spans="4:7" x14ac:dyDescent="0.25">
      <c r="D113" s="7">
        <f t="shared" si="17"/>
        <v>0</v>
      </c>
      <c r="E113" s="7">
        <f>IF(COUNTIF(I113:XFD113,"&gt;"&amp;0)=0,,HLOOKUP(COUNTIF(I113:XFD113,"&gt;"&amp;0)-1,I$1:XFD113,A113+1,FALSE))</f>
        <v>0</v>
      </c>
      <c r="F113" s="8">
        <f>IF(COUNTIF(I113:XFD113,"&gt;"&amp;0)=0,,HLOOKUP(COUNTIF(I113:XFD113,"&gt;"&amp;0)-MIN($F$1+1,COUNTIF(I113:XFD113,"&gt;"&amp;0)),I$1:XFD113,A113+1,FALSE))</f>
        <v>0</v>
      </c>
      <c r="G113" s="9">
        <f t="shared" si="18"/>
        <v>0</v>
      </c>
    </row>
    <row r="114" spans="4:7" x14ac:dyDescent="0.25">
      <c r="D114" s="7">
        <f t="shared" si="17"/>
        <v>0</v>
      </c>
      <c r="E114" s="7">
        <f>IF(COUNTIF(I114:XFD114,"&gt;"&amp;0)=0,,HLOOKUP(COUNTIF(I114:XFD114,"&gt;"&amp;0)-1,I$1:XFD114,A114+1,FALSE))</f>
        <v>0</v>
      </c>
      <c r="F114" s="8">
        <f>IF(COUNTIF(I114:XFD114,"&gt;"&amp;0)=0,,HLOOKUP(COUNTIF(I114:XFD114,"&gt;"&amp;0)-MIN($F$1+1,COUNTIF(I114:XFD114,"&gt;"&amp;0)),I$1:XFD114,A114+1,FALSE))</f>
        <v>0</v>
      </c>
      <c r="G114" s="9">
        <f t="shared" si="18"/>
        <v>0</v>
      </c>
    </row>
    <row r="115" spans="4:7" x14ac:dyDescent="0.25">
      <c r="D115" s="7">
        <f t="shared" si="17"/>
        <v>0</v>
      </c>
      <c r="E115" s="7">
        <f>IF(COUNTIF(I115:XFD115,"&gt;"&amp;0)=0,,HLOOKUP(COUNTIF(I115:XFD115,"&gt;"&amp;0)-1,I$1:XFD115,A115+1,FALSE))</f>
        <v>0</v>
      </c>
      <c r="F115" s="8">
        <f>IF(COUNTIF(I115:XFD115,"&gt;"&amp;0)=0,,HLOOKUP(COUNTIF(I115:XFD115,"&gt;"&amp;0)-MIN($F$1+1,COUNTIF(I115:XFD115,"&gt;"&amp;0)),I$1:XFD115,A115+1,FALSE))</f>
        <v>0</v>
      </c>
      <c r="G115" s="9">
        <f t="shared" si="18"/>
        <v>0</v>
      </c>
    </row>
    <row r="116" spans="4:7" x14ac:dyDescent="0.25">
      <c r="D116" s="7">
        <f t="shared" si="17"/>
        <v>0</v>
      </c>
      <c r="E116" s="7">
        <f>IF(COUNTIF(I116:XFD116,"&gt;"&amp;0)=0,,HLOOKUP(COUNTIF(I116:XFD116,"&gt;"&amp;0)-1,I$1:XFD116,A116+1,FALSE))</f>
        <v>0</v>
      </c>
      <c r="F116" s="8">
        <f>IF(COUNTIF(I116:XFD116,"&gt;"&amp;0)=0,,HLOOKUP(COUNTIF(I116:XFD116,"&gt;"&amp;0)-MIN($F$1+1,COUNTIF(I116:XFD116,"&gt;"&amp;0)),I$1:XFD116,A116+1,FALSE))</f>
        <v>0</v>
      </c>
      <c r="G116" s="9">
        <f t="shared" si="18"/>
        <v>0</v>
      </c>
    </row>
    <row r="117" spans="4:7" x14ac:dyDescent="0.25">
      <c r="D117" s="7">
        <f t="shared" ref="D117:D123" si="19">MAX(I117:CL117)</f>
        <v>0</v>
      </c>
      <c r="E117" s="7">
        <f>IF(COUNTIF(I117:XFD117,"&gt;"&amp;0)=0,,HLOOKUP(COUNTIF(I117:XFD117,"&gt;"&amp;0)-1,I$1:XFD117,A117+1,FALSE))</f>
        <v>0</v>
      </c>
      <c r="F117" s="8">
        <f>IF(COUNTIF(I117:XFD117,"&gt;"&amp;0)=0,,HLOOKUP(COUNTIF(I117:XFD117,"&gt;"&amp;0)-MIN($F$1+1,COUNTIF(I117:XFD117,"&gt;"&amp;0)),I$1:XFD117,A117+1,FALSE))</f>
        <v>0</v>
      </c>
      <c r="G117" s="9">
        <f t="shared" si="18"/>
        <v>0</v>
      </c>
    </row>
    <row r="118" spans="4:7" x14ac:dyDescent="0.25">
      <c r="D118" s="7">
        <f t="shared" si="19"/>
        <v>0</v>
      </c>
      <c r="E118" s="7">
        <f>IF(COUNTIF(I118:XFD118,"&gt;"&amp;0)=0,,HLOOKUP(COUNTIF(I118:XFD118,"&gt;"&amp;0)-1,I$1:XFD118,A118+1,FALSE))</f>
        <v>0</v>
      </c>
      <c r="F118" s="8">
        <f>IF(COUNTIF(I118:XFD118,"&gt;"&amp;0)=0,,HLOOKUP(COUNTIF(I118:XFD118,"&gt;"&amp;0)-MIN($F$1+1,COUNTIF(I118:XFD118,"&gt;"&amp;0)),I$1:XFD118,A118+1,FALSE))</f>
        <v>0</v>
      </c>
      <c r="G118" s="9">
        <f t="shared" si="18"/>
        <v>0</v>
      </c>
    </row>
    <row r="119" spans="4:7" x14ac:dyDescent="0.25">
      <c r="D119" s="7">
        <f t="shared" si="19"/>
        <v>0</v>
      </c>
      <c r="E119" s="7">
        <f>IF(COUNTIF(I119:XFD119,"&gt;"&amp;0)=0,,HLOOKUP(COUNTIF(I119:XFD119,"&gt;"&amp;0)-1,I$1:XFD119,A119+1,FALSE))</f>
        <v>0</v>
      </c>
      <c r="F119" s="8">
        <f>IF(COUNTIF(I119:XFD119,"&gt;"&amp;0)=0,,HLOOKUP(COUNTIF(I119:XFD119,"&gt;"&amp;0)-MIN($F$1+1,COUNTIF(I119:XFD119,"&gt;"&amp;0)),I$1:XFD119,A119+1,FALSE))</f>
        <v>0</v>
      </c>
      <c r="G119" s="9">
        <f t="shared" si="18"/>
        <v>0</v>
      </c>
    </row>
    <row r="120" spans="4:7" x14ac:dyDescent="0.25">
      <c r="D120" s="7">
        <f t="shared" si="19"/>
        <v>0</v>
      </c>
      <c r="E120" s="7">
        <f>IF(COUNTIF(I120:XFD120,"&gt;"&amp;0)=0,,HLOOKUP(COUNTIF(I120:XFD120,"&gt;"&amp;0)-1,I$1:XFD120,A120+1,FALSE))</f>
        <v>0</v>
      </c>
      <c r="F120" s="8">
        <f>IF(COUNTIF(I120:XFD120,"&gt;"&amp;0)=0,,HLOOKUP(COUNTIF(I120:XFD120,"&gt;"&amp;0)-MIN($F$1+1,COUNTIF(I120:XFD120,"&gt;"&amp;0)),I$1:XFD120,A120+1,FALSE))</f>
        <v>0</v>
      </c>
      <c r="G120" s="9">
        <f t="shared" si="18"/>
        <v>0</v>
      </c>
    </row>
    <row r="121" spans="4:7" x14ac:dyDescent="0.25">
      <c r="D121" s="7">
        <f t="shared" si="19"/>
        <v>0</v>
      </c>
      <c r="E121" s="7">
        <f>IF(COUNTIF(I121:XFD121,"&gt;"&amp;0)=0,,HLOOKUP(COUNTIF(I121:XFD121,"&gt;"&amp;0)-1,I$1:XFD121,A121+1,FALSE))</f>
        <v>0</v>
      </c>
      <c r="F121" s="8">
        <f>IF(COUNTIF(I121:XFD121,"&gt;"&amp;0)=0,,HLOOKUP(COUNTIF(I121:XFD121,"&gt;"&amp;0)-MIN($F$1+1,COUNTIF(I121:XFD121,"&gt;"&amp;0)),I$1:XFD121,A121+1,FALSE))</f>
        <v>0</v>
      </c>
      <c r="G121" s="9">
        <f t="shared" si="18"/>
        <v>0</v>
      </c>
    </row>
    <row r="122" spans="4:7" x14ac:dyDescent="0.25">
      <c r="D122" s="7">
        <f t="shared" si="19"/>
        <v>0</v>
      </c>
      <c r="E122" s="7">
        <f>IF(COUNTIF(I122:XFD122,"&gt;"&amp;0)=0,,HLOOKUP(COUNTIF(I122:XFD122,"&gt;"&amp;0)-1,I$1:XFD122,A122+1,FALSE))</f>
        <v>0</v>
      </c>
      <c r="F122" s="8">
        <f>IF(COUNTIF(I122:XFD122,"&gt;"&amp;0)=0,,HLOOKUP(COUNTIF(I122:XFD122,"&gt;"&amp;0)-MIN($F$1+1,COUNTIF(I122:XFD122,"&gt;"&amp;0)),I$1:XFD122,A122+1,FALSE))</f>
        <v>0</v>
      </c>
      <c r="G122" s="9">
        <f t="shared" si="18"/>
        <v>0</v>
      </c>
    </row>
    <row r="123" spans="4:7" x14ac:dyDescent="0.25">
      <c r="D123" s="7">
        <f t="shared" si="19"/>
        <v>0</v>
      </c>
      <c r="E123" s="7">
        <f>IF(COUNTIF(I123:XFD123,"&gt;"&amp;0)=0,,HLOOKUP(COUNTIF(I123:XFD123,"&gt;"&amp;0)-1,I$1:XFD123,A123+1,FALSE))</f>
        <v>0</v>
      </c>
      <c r="F123" s="8">
        <f>IF(COUNTIF(I123:XFD123,"&gt;"&amp;0)=0,,HLOOKUP(COUNTIF(I123:XFD123,"&gt;"&amp;0)-MIN($F$1+1,COUNTIF(I123:XFD123,"&gt;"&amp;0)),I$1:XFD123,A123+1,FALSE))</f>
        <v>0</v>
      </c>
      <c r="G123" s="9">
        <f t="shared" si="18"/>
        <v>0</v>
      </c>
    </row>
  </sheetData>
  <autoFilter ref="B1:CU1" xr:uid="{A13DDBA3-FED6-4D82-BBD5-9B71C68B67F1}">
    <sortState xmlns:xlrd2="http://schemas.microsoft.com/office/spreadsheetml/2017/richdata2" ref="B2:CU123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F127"/>
  <sheetViews>
    <sheetView workbookViewId="0">
      <selection activeCell="I21" sqref="I21"/>
    </sheetView>
  </sheetViews>
  <sheetFormatPr defaultRowHeight="14.4" x14ac:dyDescent="0.3"/>
  <cols>
    <col min="4" max="5" width="10.5546875" bestFit="1" customWidth="1"/>
  </cols>
  <sheetData>
    <row r="1" spans="1:6" ht="15" thickBot="1" x14ac:dyDescent="0.35">
      <c r="C1" t="s">
        <v>518</v>
      </c>
      <c r="D1">
        <v>100</v>
      </c>
      <c r="E1" t="s">
        <v>608</v>
      </c>
      <c r="F1" t="s">
        <v>481</v>
      </c>
    </row>
    <row r="2" spans="1:6" ht="15" thickBot="1" x14ac:dyDescent="0.35">
      <c r="A2">
        <v>1</v>
      </c>
      <c r="B2" s="4" t="s">
        <v>365</v>
      </c>
      <c r="C2" s="4" t="s">
        <v>365</v>
      </c>
      <c r="D2">
        <v>548</v>
      </c>
      <c r="E2" s="17">
        <f ca="1">OFFSET(CumulativeAll!A2,-A2,MATCH('100thDay'!D2,CumulativeAll!B2:BT2,0))</f>
        <v>43852</v>
      </c>
      <c r="F2" s="6">
        <f>MAX(CumulativeAll!2:2)</f>
        <v>81033</v>
      </c>
    </row>
    <row r="3" spans="1:6" ht="15" thickBot="1" x14ac:dyDescent="0.35">
      <c r="A3">
        <v>2</v>
      </c>
      <c r="B3" s="4" t="s">
        <v>85</v>
      </c>
      <c r="C3" s="4" t="s">
        <v>85</v>
      </c>
      <c r="D3">
        <f>VLOOKUP(C3,DaysSince100!H:I,2,FALSE)</f>
        <v>155</v>
      </c>
      <c r="E3" s="17">
        <f ca="1">OFFSET(CumulativeAll!A3,-A3,MATCH('100thDay'!D3,CumulativeAll!B3:BT3,0))</f>
        <v>43884</v>
      </c>
      <c r="F3" s="6">
        <f>MAX(CumulativeAll!3:3)</f>
        <v>27980</v>
      </c>
    </row>
    <row r="4" spans="1:6" ht="15" thickBot="1" x14ac:dyDescent="0.35">
      <c r="A4">
        <v>3</v>
      </c>
      <c r="B4" s="5" t="s">
        <v>366</v>
      </c>
      <c r="C4" s="5" t="s">
        <v>366</v>
      </c>
      <c r="D4">
        <f>VLOOKUP(C4,DaysSince100!H:I,2,FALSE)</f>
        <v>139</v>
      </c>
      <c r="E4" s="17">
        <f ca="1">OFFSET(CumulativeAll!A4,-A4,MATCH('100thDay'!D4,CumulativeAll!B4:BT4,0))</f>
        <v>43887</v>
      </c>
      <c r="F4" s="6">
        <f>MAX(CumulativeAll!4:4)</f>
        <v>14991</v>
      </c>
    </row>
    <row r="5" spans="1:6" ht="15" thickBot="1" x14ac:dyDescent="0.35">
      <c r="A5">
        <v>4</v>
      </c>
      <c r="B5" s="4" t="s">
        <v>516</v>
      </c>
      <c r="C5" s="4" t="s">
        <v>367</v>
      </c>
      <c r="D5">
        <f>VLOOKUP(C5,DaysSince100!H:I,2,FALSE)</f>
        <v>104</v>
      </c>
      <c r="E5" s="17">
        <f ca="1">OFFSET(CumulativeAll!A5,-A5,MATCH('100thDay'!D5,CumulativeAll!B5:BT5,0))</f>
        <v>43881</v>
      </c>
      <c r="F5" s="6">
        <f>MAX(CumulativeAll!5:5)</f>
        <v>8236</v>
      </c>
    </row>
    <row r="6" spans="1:6" ht="15" thickBot="1" x14ac:dyDescent="0.35">
      <c r="A6">
        <v>5</v>
      </c>
      <c r="B6" s="4" t="s">
        <v>87</v>
      </c>
      <c r="C6" s="4" t="s">
        <v>87</v>
      </c>
      <c r="D6">
        <f>VLOOKUP(C6,DaysSince100!H:I,2,FALSE)</f>
        <v>120</v>
      </c>
      <c r="E6" s="17">
        <f ca="1">OFFSET(CumulativeAll!A6,-A6,MATCH('100thDay'!D6,CumulativeAll!B6:BT6,0))</f>
        <v>43892</v>
      </c>
      <c r="F6" s="6">
        <f>MAX(CumulativeAll!6:6)</f>
        <v>9942</v>
      </c>
    </row>
    <row r="7" spans="1:6" ht="15" thickBot="1" x14ac:dyDescent="0.35">
      <c r="A7">
        <v>6</v>
      </c>
      <c r="B7" s="5" t="s">
        <v>80</v>
      </c>
      <c r="C7" s="5" t="s">
        <v>80</v>
      </c>
      <c r="D7">
        <f>VLOOKUP(C7,DaysSince100!H:I,2,FALSE)</f>
        <v>130</v>
      </c>
      <c r="E7" s="17">
        <f ca="1">OFFSET(CumulativeAll!A7,-A7,MATCH('100thDay'!D7,CumulativeAll!B7:BT7,0))</f>
        <v>43891</v>
      </c>
      <c r="F7" s="6">
        <f>MAX(CumulativeAll!7:7)</f>
        <v>7272</v>
      </c>
    </row>
    <row r="8" spans="1:6" ht="15" thickBot="1" x14ac:dyDescent="0.35">
      <c r="A8">
        <v>7</v>
      </c>
      <c r="B8" s="5" t="s">
        <v>68</v>
      </c>
      <c r="C8" s="5" t="s">
        <v>68</v>
      </c>
      <c r="D8">
        <f>VLOOKUP(C8,DaysSince100!H:I,2,FALSE)</f>
        <v>130</v>
      </c>
      <c r="E8" s="17">
        <f ca="1">OFFSET(CumulativeAll!A8,-A8,MATCH('100thDay'!D8,CumulativeAll!B8:BT8,0))</f>
        <v>43891</v>
      </c>
      <c r="F8" s="6">
        <f>MAX(CumulativeAll!8:8)</f>
        <v>6650</v>
      </c>
    </row>
    <row r="9" spans="1:6" ht="15" thickBot="1" x14ac:dyDescent="0.35">
      <c r="A9">
        <v>8</v>
      </c>
      <c r="B9" s="4" t="s">
        <v>65</v>
      </c>
      <c r="C9" s="4" t="s">
        <v>65</v>
      </c>
      <c r="D9">
        <f>VLOOKUP(C9,DaysSince100!H:I,2,FALSE)</f>
        <v>118</v>
      </c>
      <c r="E9" s="17">
        <f ca="1">OFFSET(CumulativeAll!A9,-A9,MATCH('100thDay'!D9,CumulativeAll!B9:BT9,0))</f>
        <v>43893</v>
      </c>
      <c r="F9" s="6">
        <f>MAX(CumulativeAll!9:9)</f>
        <v>4632</v>
      </c>
    </row>
    <row r="10" spans="1:6" ht="15" thickBot="1" x14ac:dyDescent="0.35">
      <c r="A10">
        <v>9</v>
      </c>
      <c r="B10" s="5" t="s">
        <v>104</v>
      </c>
      <c r="C10" s="5" t="s">
        <v>104</v>
      </c>
      <c r="D10">
        <f>VLOOKUP(C10,DaysSince100!H:I,2,FALSE)</f>
        <v>114</v>
      </c>
      <c r="E10" s="17">
        <f ca="1">OFFSET(CumulativeAll!A10,-A10,MATCH('100thDay'!D10,CumulativeAll!B10:BT10,0))</f>
        <v>43895</v>
      </c>
      <c r="F10" s="6">
        <f>MAX(CumulativeAll!10:10)</f>
        <v>2200</v>
      </c>
    </row>
    <row r="11" spans="1:6" ht="15" thickBot="1" x14ac:dyDescent="0.35">
      <c r="A11">
        <v>10</v>
      </c>
      <c r="B11" s="5" t="s">
        <v>112</v>
      </c>
      <c r="C11" s="5" t="s">
        <v>112</v>
      </c>
      <c r="D11">
        <f>VLOOKUP(C11,DaysSince100!H:I,2,FALSE)</f>
        <v>108</v>
      </c>
      <c r="E11" s="17">
        <f ca="1">OFFSET(CumulativeAll!A11,-A11,MATCH('100thDay'!D11,CumulativeAll!B11:BT11,0))</f>
        <v>43896</v>
      </c>
      <c r="F11" s="6">
        <f>MAX(CumulativeAll!11:11)</f>
        <v>1333</v>
      </c>
    </row>
    <row r="12" spans="1:6" ht="15" thickBot="1" x14ac:dyDescent="0.35">
      <c r="A12">
        <v>11</v>
      </c>
      <c r="B12" s="5" t="s">
        <v>86</v>
      </c>
      <c r="C12" s="5" t="s">
        <v>86</v>
      </c>
      <c r="D12">
        <f>VLOOKUP(C12,DaysSince100!H:I,2,FALSE)</f>
        <v>101</v>
      </c>
      <c r="E12" s="17">
        <f ca="1">OFFSET(CumulativeAll!A12,-A12,MATCH('100thDay'!D12,CumulativeAll!B12:BT12,0))</f>
        <v>43896</v>
      </c>
      <c r="F12" s="6">
        <f>MAX(CumulativeAll!12:12)</f>
        <v>1103</v>
      </c>
    </row>
    <row r="13" spans="1:6" ht="15" thickBot="1" x14ac:dyDescent="0.35">
      <c r="A13">
        <v>12</v>
      </c>
      <c r="B13" s="4" t="s">
        <v>114</v>
      </c>
      <c r="C13" s="4" t="s">
        <v>114</v>
      </c>
      <c r="D13">
        <f>VLOOKUP(C13,DaysSince100!H:I,2,FALSE)</f>
        <v>264</v>
      </c>
      <c r="E13" s="17">
        <f ca="1">OFFSET(CumulativeAll!A13,-A13,MATCH('100thDay'!D13,CumulativeAll!B13:BT13,0))</f>
        <v>43900</v>
      </c>
      <c r="F13" s="6">
        <f>MAX(CumulativeAll!13:13)</f>
        <v>932</v>
      </c>
    </row>
    <row r="14" spans="1:6" ht="15" thickBot="1" x14ac:dyDescent="0.35">
      <c r="A14">
        <v>13</v>
      </c>
      <c r="B14" s="4" t="s">
        <v>116</v>
      </c>
      <c r="C14" s="4" t="s">
        <v>116</v>
      </c>
      <c r="D14">
        <f>VLOOKUP(C14,DaysSince100!H:I,2,FALSE)</f>
        <v>128</v>
      </c>
      <c r="E14" s="17">
        <f ca="1">OFFSET(CumulativeAll!A14,-A14,MATCH('100thDay'!D14,CumulativeAll!B14:BT14,0))</f>
        <v>43896</v>
      </c>
      <c r="F14" s="6">
        <f>MAX(CumulativeAll!14:14)</f>
        <v>1414</v>
      </c>
    </row>
    <row r="15" spans="1:6" ht="15" thickBot="1" x14ac:dyDescent="0.35">
      <c r="A15">
        <v>14</v>
      </c>
      <c r="B15" s="4" t="s">
        <v>377</v>
      </c>
      <c r="C15" s="4" t="s">
        <v>377</v>
      </c>
      <c r="D15">
        <f>VLOOKUP(C15,DaysSince100!H:I,2,FALSE)</f>
        <v>116</v>
      </c>
      <c r="E15" s="17">
        <f ca="1">OFFSET(CumulativeAll!A15,-A15,MATCH('100thDay'!D15,CumulativeAll!B15:BT15,0))</f>
        <v>43895</v>
      </c>
      <c r="F15" s="6">
        <f>MAX(CumulativeAll!15:15)</f>
        <v>1950</v>
      </c>
    </row>
    <row r="16" spans="1:6" ht="15" thickBot="1" x14ac:dyDescent="0.35">
      <c r="A16">
        <v>15</v>
      </c>
      <c r="B16" s="5" t="s">
        <v>63</v>
      </c>
      <c r="C16" s="5" t="s">
        <v>63</v>
      </c>
      <c r="D16">
        <f>VLOOKUP(C16,DaysSince100!H:I,2,FALSE)</f>
        <v>105</v>
      </c>
      <c r="E16" s="17">
        <f ca="1">OFFSET(CumulativeAll!A16,-A16,MATCH('100thDay'!D16,CumulativeAll!B16:BT16,0))</f>
        <v>43882</v>
      </c>
      <c r="F16" s="6">
        <f>MAX(CumulativeAll!16:16)</f>
        <v>839</v>
      </c>
    </row>
    <row r="17" spans="1:6" ht="15" thickBot="1" x14ac:dyDescent="0.35">
      <c r="A17">
        <v>16</v>
      </c>
      <c r="B17" s="5" t="s">
        <v>368</v>
      </c>
      <c r="C17" s="5" t="s">
        <v>368</v>
      </c>
      <c r="D17">
        <f>VLOOKUP(C17,DaysSince100!H:I,2,FALSE)</f>
        <v>135</v>
      </c>
      <c r="E17" s="17">
        <f ca="1">OFFSET(CumulativeAll!A17,-A17,MATCH('100thDay'!D17,CumulativeAll!B17:BT17,0))</f>
        <v>43871</v>
      </c>
      <c r="F17" s="6">
        <f>MAX(CumulativeAll!17:17)</f>
        <v>706</v>
      </c>
    </row>
    <row r="18" spans="1:6" ht="15" thickBot="1" x14ac:dyDescent="0.35">
      <c r="A18">
        <v>17</v>
      </c>
      <c r="B18" s="4" t="s">
        <v>90</v>
      </c>
      <c r="C18" s="4" t="s">
        <v>90</v>
      </c>
      <c r="D18">
        <f>VLOOKUP(C18,DaysSince100!H:I,2,FALSE)</f>
        <v>109</v>
      </c>
      <c r="E18" s="17">
        <f ca="1">OFFSET(CumulativeAll!A18,-A18,MATCH('100thDay'!D18,CumulativeAll!B18:BT18,0))</f>
        <v>43896</v>
      </c>
      <c r="F18" s="6">
        <f>MAX(CumulativeAll!18:18)</f>
        <v>1058</v>
      </c>
    </row>
    <row r="19" spans="1:6" ht="15" thickBot="1" x14ac:dyDescent="0.35">
      <c r="A19">
        <v>18</v>
      </c>
      <c r="B19" s="4" t="s">
        <v>105</v>
      </c>
      <c r="C19" s="4" t="s">
        <v>105</v>
      </c>
      <c r="D19">
        <f>VLOOKUP(C19,DaysSince100!H:I,2,FALSE)</f>
        <v>104</v>
      </c>
      <c r="E19" s="17">
        <f ca="1">OFFSET(CumulativeAll!A19,-A19,MATCH('100thDay'!D19,CumulativeAll!B19:BT19,0))</f>
        <v>43898</v>
      </c>
      <c r="F19" s="6">
        <f>MAX(CumulativeAll!19:19)</f>
        <v>1018</v>
      </c>
    </row>
    <row r="20" spans="1:6" ht="15" thickBot="1" x14ac:dyDescent="0.35">
      <c r="A20">
        <v>19</v>
      </c>
      <c r="B20" s="4" t="s">
        <v>128</v>
      </c>
      <c r="C20" s="4" t="s">
        <v>128</v>
      </c>
      <c r="D20">
        <f>VLOOKUP(C20,DaysSince100!H:I,2,FALSE)</f>
        <v>262</v>
      </c>
      <c r="E20" s="17">
        <f ca="1">OFFSET(CumulativeAll!A20,-A20,MATCH('100thDay'!D20,CumulativeAll!B20:BT20,0))</f>
        <v>43901</v>
      </c>
      <c r="F20" s="6">
        <f>MAX(CumulativeAll!20:20)</f>
        <v>439</v>
      </c>
    </row>
    <row r="21" spans="1:6" ht="15" thickBot="1" x14ac:dyDescent="0.35">
      <c r="A21">
        <v>20</v>
      </c>
      <c r="B21" s="4" t="s">
        <v>75</v>
      </c>
      <c r="C21" s="4" t="s">
        <v>75</v>
      </c>
      <c r="D21">
        <f>VLOOKUP(C21,DaysSince100!H:I,2,FALSE)</f>
        <v>107</v>
      </c>
      <c r="E21" s="17">
        <f ca="1">OFFSET(CumulativeAll!A21,-A21,MATCH('100thDay'!D21,CumulativeAll!B21:BT21,0))</f>
        <v>43900</v>
      </c>
      <c r="F21" s="6">
        <f>MAX(CumulativeAll!21:21)</f>
        <v>377</v>
      </c>
    </row>
    <row r="22" spans="1:6" ht="15" thickBot="1" x14ac:dyDescent="0.35">
      <c r="A22">
        <v>21</v>
      </c>
      <c r="B22" s="4" t="s">
        <v>67</v>
      </c>
      <c r="C22" s="4" t="s">
        <v>67</v>
      </c>
      <c r="D22">
        <f>VLOOKUP(C22,DaysSince100!H:I,2,FALSE)</f>
        <v>102</v>
      </c>
      <c r="E22" s="17">
        <f ca="1">OFFSET(CumulativeAll!A22,-A22,MATCH('100thDay'!D22,CumulativeAll!B22:BT22,0))</f>
        <v>43890</v>
      </c>
      <c r="F22" s="6">
        <f>MAX(CumulativeAll!22:22)</f>
        <v>243</v>
      </c>
    </row>
    <row r="23" spans="1:6" ht="15" thickBot="1" x14ac:dyDescent="0.35">
      <c r="A23">
        <v>22</v>
      </c>
      <c r="B23" s="4" t="s">
        <v>70</v>
      </c>
      <c r="C23" s="4" t="s">
        <v>70</v>
      </c>
      <c r="D23">
        <f>VLOOKUP(C23,DaysSince100!H:I,2,FALSE)</f>
        <v>117</v>
      </c>
      <c r="E23" s="17">
        <f ca="1">OFFSET(CumulativeAll!A23,-A23,MATCH('100thDay'!D23,CumulativeAll!B23:BT23,0))</f>
        <v>43899</v>
      </c>
      <c r="F23" s="6">
        <f>MAX(CumulativeAll!23:23)</f>
        <v>566</v>
      </c>
    </row>
    <row r="24" spans="1:6" ht="15" thickBot="1" x14ac:dyDescent="0.35">
      <c r="A24">
        <v>23</v>
      </c>
      <c r="B24" s="5" t="s">
        <v>72</v>
      </c>
      <c r="C24" s="5" t="s">
        <v>72</v>
      </c>
      <c r="D24">
        <f>VLOOKUP(C24,DaysSince100!H:I,2,FALSE)</f>
        <v>108</v>
      </c>
      <c r="E24" s="17">
        <f ca="1">OFFSET(CumulativeAll!A24,-A24,MATCH('100thDay'!D24,CumulativeAll!B24:BT24,0))</f>
        <v>43901</v>
      </c>
      <c r="F24" s="6">
        <f>MAX(CumulativeAll!24:24)</f>
        <v>415</v>
      </c>
    </row>
    <row r="25" spans="1:6" ht="15" thickBot="1" x14ac:dyDescent="0.35">
      <c r="A25">
        <v>24</v>
      </c>
      <c r="B25" s="5" t="s">
        <v>110</v>
      </c>
      <c r="C25" s="5" t="s">
        <v>110</v>
      </c>
      <c r="D25">
        <f>VLOOKUP(C25,DaysSince100!H:I,2,FALSE)</f>
        <v>190</v>
      </c>
      <c r="E25" s="17">
        <f ca="1">OFFSET(CumulativeAll!A25,-A25,MATCH('100thDay'!D25,CumulativeAll!B25:BT25,0))</f>
        <v>43903</v>
      </c>
      <c r="F25" s="6">
        <f>MAX(CumulativeAll!25:25)</f>
        <v>331</v>
      </c>
    </row>
    <row r="26" spans="1:6" ht="15" thickBot="1" x14ac:dyDescent="0.35">
      <c r="A26">
        <v>25</v>
      </c>
      <c r="B26" s="5" t="s">
        <v>100</v>
      </c>
      <c r="C26" s="5" t="s">
        <v>100</v>
      </c>
      <c r="D26">
        <f>VLOOKUP(C26,DaysSince100!H:I,2,FALSE)</f>
        <v>110</v>
      </c>
      <c r="E26" s="17">
        <f ca="1">OFFSET(CumulativeAll!A26,-A26,MATCH('100thDay'!D26,CumulativeAll!B26:BT26,0))</f>
        <v>43900</v>
      </c>
      <c r="F26" s="6">
        <f>MAX(CumulativeAll!26:26)</f>
        <v>214</v>
      </c>
    </row>
    <row r="27" spans="1:6" ht="15" thickBot="1" x14ac:dyDescent="0.35">
      <c r="A27">
        <v>26</v>
      </c>
      <c r="B27" s="5" t="s">
        <v>106</v>
      </c>
      <c r="C27" s="5" t="s">
        <v>106</v>
      </c>
      <c r="D27">
        <f>VLOOKUP(C27,DaysSince100!H:I,2,FALSE)</f>
        <v>109</v>
      </c>
      <c r="E27" s="17">
        <f ca="1">OFFSET(CumulativeAll!A27,-A27,MATCH('100thDay'!D27,CumulativeAll!B27:BT27,0))</f>
        <v>43901</v>
      </c>
      <c r="F27" s="6">
        <f>MAX(CumulativeAll!27:27)</f>
        <v>255</v>
      </c>
    </row>
    <row r="28" spans="1:6" ht="15" thickBot="1" x14ac:dyDescent="0.35">
      <c r="A28">
        <v>27</v>
      </c>
      <c r="B28" s="4" t="s">
        <v>81</v>
      </c>
      <c r="C28" s="4" t="s">
        <v>81</v>
      </c>
      <c r="D28">
        <f>VLOOKUP(C28,DaysSince100!H:I,2,FALSE)</f>
        <v>155</v>
      </c>
      <c r="E28" s="17">
        <f ca="1">OFFSET(CumulativeAll!A28,-A28,MATCH('100thDay'!D28,CumulativeAll!B28:BT28,0))</f>
        <v>43903</v>
      </c>
      <c r="F28" s="6">
        <f>MAX(CumulativeAll!28:28)</f>
        <v>277</v>
      </c>
    </row>
    <row r="29" spans="1:6" ht="15" thickBot="1" x14ac:dyDescent="0.35">
      <c r="A29">
        <v>28</v>
      </c>
      <c r="B29" s="5" t="s">
        <v>108</v>
      </c>
      <c r="C29" s="5" t="s">
        <v>108</v>
      </c>
      <c r="D29">
        <f>VLOOKUP(C29,DaysSince100!H:I,2,FALSE)</f>
        <v>151</v>
      </c>
      <c r="E29" s="17">
        <f ca="1">OFFSET(CumulativeAll!A29,-A29,MATCH('100thDay'!D29,CumulativeAll!B29:BT29,0))</f>
        <v>43903</v>
      </c>
      <c r="F29" s="6">
        <f>MAX(CumulativeAll!29:29)</f>
        <v>200</v>
      </c>
    </row>
    <row r="30" spans="1:6" ht="15" thickBot="1" x14ac:dyDescent="0.35">
      <c r="A30">
        <v>29</v>
      </c>
      <c r="B30" s="4" t="s">
        <v>521</v>
      </c>
      <c r="C30" s="4" t="s">
        <v>369</v>
      </c>
      <c r="D30">
        <f>VLOOKUP(C30,DaysSince100!H:I,2,FALSE)</f>
        <v>141</v>
      </c>
      <c r="E30" s="17">
        <f ca="1">OFFSET(CumulativeAll!A30,-A30,MATCH('100thDay'!D30,CumulativeAll!B30:BT30,0))</f>
        <v>43903</v>
      </c>
      <c r="F30" s="6">
        <f>MAX(CumulativeAll!30:30)</f>
        <v>298</v>
      </c>
    </row>
    <row r="31" spans="1:6" ht="15" thickBot="1" x14ac:dyDescent="0.35">
      <c r="A31">
        <v>30</v>
      </c>
      <c r="B31" s="5" t="s">
        <v>168</v>
      </c>
      <c r="C31" s="5" t="s">
        <v>168</v>
      </c>
      <c r="D31">
        <f>VLOOKUP(C31,DaysSince100!H:I,2,FALSE)</f>
        <v>141</v>
      </c>
      <c r="E31" s="17">
        <f ca="1">OFFSET(CumulativeAll!A31,-A31,MATCH('100thDay'!D31,CumulativeAll!B31:BT31,0))</f>
        <v>43903</v>
      </c>
      <c r="F31" s="6">
        <f>MAX(CumulativeAll!31:31)</f>
        <v>253</v>
      </c>
    </row>
    <row r="32" spans="1:6" ht="15" thickBot="1" x14ac:dyDescent="0.35">
      <c r="A32">
        <v>31</v>
      </c>
      <c r="B32" s="5" t="s">
        <v>119</v>
      </c>
      <c r="C32" s="5" t="s">
        <v>119</v>
      </c>
      <c r="D32">
        <f>VLOOKUP(C32,DaysSince100!H:I,2,FALSE)</f>
        <v>103</v>
      </c>
      <c r="E32" s="17">
        <f ca="1">OFFSET(CumulativeAll!A32,-A32,MATCH('100thDay'!D32,CumulativeAll!B32:BT32,0))</f>
        <v>43902</v>
      </c>
      <c r="F32" s="6">
        <f>MAX(CumulativeAll!32:32)</f>
        <v>180</v>
      </c>
    </row>
    <row r="33" spans="1:6" ht="15" thickBot="1" x14ac:dyDescent="0.35">
      <c r="A33">
        <v>32</v>
      </c>
      <c r="B33" s="4" t="s">
        <v>135</v>
      </c>
      <c r="C33" s="4" t="s">
        <v>135</v>
      </c>
      <c r="D33">
        <f>VLOOKUP(C33,DaysSince100!H:I,2,FALSE)</f>
        <v>112</v>
      </c>
      <c r="E33" s="17">
        <f ca="1">OFFSET(CumulativeAll!A33,-A33,MATCH('100thDay'!D33,CumulativeAll!B33:BT33,0))</f>
        <v>43903</v>
      </c>
      <c r="F33" s="6">
        <f>MAX(CumulativeAll!33:33)</f>
        <v>331</v>
      </c>
    </row>
    <row r="34" spans="1:6" ht="15" thickBot="1" x14ac:dyDescent="0.35">
      <c r="A34">
        <v>33</v>
      </c>
      <c r="B34" s="4" t="s">
        <v>97</v>
      </c>
      <c r="C34" s="4" t="s">
        <v>97</v>
      </c>
      <c r="D34">
        <f>VLOOKUP(C34,DaysSince100!H:I,2,FALSE)</f>
        <v>101</v>
      </c>
      <c r="E34" s="17">
        <f ca="1">OFFSET(CumulativeAll!A34,-A34,MATCH('100thDay'!D34,CumulativeAll!B34:BT34,0))</f>
        <v>43903</v>
      </c>
      <c r="F34" s="6">
        <f>MAX(CumulativeAll!34:34)</f>
        <v>124</v>
      </c>
    </row>
    <row r="35" spans="1:6" ht="15" thickBot="1" x14ac:dyDescent="0.35">
      <c r="A35">
        <v>34</v>
      </c>
      <c r="B35" s="5" t="s">
        <v>125</v>
      </c>
      <c r="C35" s="5" t="s">
        <v>125</v>
      </c>
      <c r="D35">
        <f>VLOOKUP(C35,DaysSince100!H:I,2,FALSE)</f>
        <v>129</v>
      </c>
      <c r="E35" s="17">
        <f ca="1">OFFSET(CumulativeAll!A35,-A35,MATCH('100thDay'!D35,CumulativeAll!B35:BT35,0))</f>
        <v>43904</v>
      </c>
      <c r="F35" s="6">
        <f>MAX(CumulativeAll!35:35)</f>
        <v>169</v>
      </c>
    </row>
    <row r="36" spans="1:6" ht="15" thickBot="1" x14ac:dyDescent="0.35">
      <c r="A36">
        <v>35</v>
      </c>
      <c r="B36" s="4" t="s">
        <v>113</v>
      </c>
      <c r="C36" s="4" t="s">
        <v>113</v>
      </c>
      <c r="D36">
        <f>VLOOKUP(C36,DaysSince100!H:I,2,FALSE)</f>
        <v>123</v>
      </c>
      <c r="E36" s="17">
        <f ca="1">OFFSET(CumulativeAll!A36,-A36,MATCH('100thDay'!D36,CumulativeAll!B36:BT36,0))</f>
        <v>43904</v>
      </c>
      <c r="F36" s="6">
        <f>MAX(CumulativeAll!36:36)</f>
        <v>158</v>
      </c>
    </row>
    <row r="37" spans="1:6" ht="15" thickBot="1" x14ac:dyDescent="0.35">
      <c r="A37">
        <v>36</v>
      </c>
      <c r="B37" s="5" t="s">
        <v>140</v>
      </c>
      <c r="C37" s="5" t="s">
        <v>140</v>
      </c>
      <c r="D37">
        <f>VLOOKUP(C37,DaysSince100!H:I,2,FALSE)</f>
        <v>103</v>
      </c>
      <c r="E37" s="17">
        <f ca="1">OFFSET(CumulativeAll!A37,-A37,MATCH('100thDay'!D37,CumulativeAll!B37:BT37,0))</f>
        <v>43904</v>
      </c>
      <c r="F37" s="6">
        <f>MAX(CumulativeAll!37:37)</f>
        <v>118</v>
      </c>
    </row>
    <row r="38" spans="1:6" ht="15" thickBot="1" x14ac:dyDescent="0.35">
      <c r="A38">
        <v>37</v>
      </c>
      <c r="B38" s="5" t="s">
        <v>82</v>
      </c>
      <c r="C38" s="5" t="s">
        <v>82</v>
      </c>
      <c r="D38" t="e">
        <f>VLOOKUP(C38,DaysSince100!H:I,2,FALSE)</f>
        <v>#N/A</v>
      </c>
      <c r="E38" s="17" t="e">
        <f ca="1">OFFSET(CumulativeAll!A38,-A38,MATCH('100thDay'!D38,CumulativeAll!B38:BT38,0))</f>
        <v>#N/A</v>
      </c>
      <c r="F38" s="6">
        <f>MAX(CumulativeAll!38:38)</f>
        <v>98</v>
      </c>
    </row>
    <row r="39" spans="1:6" ht="15" thickBot="1" x14ac:dyDescent="0.35">
      <c r="A39">
        <v>38</v>
      </c>
      <c r="B39" s="5" t="s">
        <v>84</v>
      </c>
      <c r="C39" s="5" t="s">
        <v>84</v>
      </c>
      <c r="D39">
        <f>VLOOKUP(C39,DaysSince100!H:I,2,FALSE)</f>
        <v>102</v>
      </c>
      <c r="E39" s="17">
        <f ca="1">OFFSET(CumulativeAll!A39,-A39,MATCH('100thDay'!D39,CumulativeAll!B39:BT39,0))</f>
        <v>43904</v>
      </c>
      <c r="F39" s="6">
        <f>MAX(CumulativeAll!39:39)</f>
        <v>119</v>
      </c>
    </row>
    <row r="40" spans="1:6" ht="15" thickBot="1" x14ac:dyDescent="0.35">
      <c r="A40">
        <v>39</v>
      </c>
      <c r="B40" s="5" t="s">
        <v>92</v>
      </c>
      <c r="C40" s="5" t="s">
        <v>92</v>
      </c>
      <c r="D40">
        <f>VLOOKUP(C40,DaysSince100!H:I,2,FALSE)</f>
        <v>109</v>
      </c>
      <c r="E40" s="17">
        <f ca="1">OFFSET(CumulativeAll!A40,-A40,MATCH('100thDay'!D40,CumulativeAll!B40:BT40,0))</f>
        <v>43904</v>
      </c>
      <c r="F40" s="6">
        <f>MAX(CumulativeAll!40:40)</f>
        <v>150</v>
      </c>
    </row>
    <row r="41" spans="1:6" ht="15" thickBot="1" x14ac:dyDescent="0.35">
      <c r="A41">
        <v>40</v>
      </c>
      <c r="B41" s="4" t="s">
        <v>101</v>
      </c>
      <c r="C41" s="4" t="s">
        <v>101</v>
      </c>
      <c r="D41">
        <f>VLOOKUP(C41,DaysSince100!H:I,2,FALSE)</f>
        <v>104</v>
      </c>
      <c r="E41" s="17">
        <f ca="1">OFFSET(CumulativeAll!A41,-A41,MATCH('100thDay'!D41,CumulativeAll!B41:BT41,0))</f>
        <v>43904</v>
      </c>
      <c r="F41" s="6">
        <f>MAX(CumulativeAll!41:41)</f>
        <v>123</v>
      </c>
    </row>
    <row r="42" spans="1:6" ht="15" thickBot="1" x14ac:dyDescent="0.35">
      <c r="A42">
        <v>41</v>
      </c>
      <c r="B42" s="5" t="s">
        <v>117</v>
      </c>
      <c r="C42" s="5" t="s">
        <v>117</v>
      </c>
      <c r="D42">
        <f>VLOOKUP(C42,DaysSince100!H:I,2,FALSE)</f>
        <v>101</v>
      </c>
      <c r="E42" s="17">
        <f ca="1">OFFSET(CumulativeAll!A42,-A42,MATCH('100thDay'!D42,CumulativeAll!B42:BT42,0))</f>
        <v>43905</v>
      </c>
      <c r="F42" s="6">
        <f>MAX(CumulativeAll!42:42)</f>
        <v>109</v>
      </c>
    </row>
    <row r="43" spans="1:6" ht="15" thickBot="1" x14ac:dyDescent="0.35">
      <c r="A43">
        <v>42</v>
      </c>
      <c r="B43" s="5" t="s">
        <v>115</v>
      </c>
      <c r="C43" s="5" t="s">
        <v>115</v>
      </c>
      <c r="D43">
        <f>VLOOKUP(C43,DaysSince100!H:I,2,FALSE)</f>
        <v>115</v>
      </c>
      <c r="E43" s="17">
        <f ca="1">OFFSET(CumulativeAll!A43,-A43,MATCH('100thDay'!D43,CumulativeAll!B43:BT43,0))</f>
        <v>43904</v>
      </c>
      <c r="F43" s="6">
        <f>MAX(CumulativeAll!43:43)</f>
        <v>205</v>
      </c>
    </row>
    <row r="44" spans="1:6" ht="15" thickBot="1" x14ac:dyDescent="0.35">
      <c r="A44">
        <v>43</v>
      </c>
      <c r="B44" s="5" t="s">
        <v>94</v>
      </c>
      <c r="C44" s="5" t="s">
        <v>94</v>
      </c>
      <c r="D44">
        <f>VLOOKUP(C44,DaysSince100!H:I,2,FALSE)</f>
        <v>110</v>
      </c>
      <c r="E44" s="17">
        <f ca="1">OFFSET(CumulativeAll!A44,-A44,MATCH('100thDay'!D44,CumulativeAll!B44:BT44,0))</f>
        <v>43905</v>
      </c>
      <c r="F44" s="6">
        <f>MAX(CumulativeAll!44:44)</f>
        <v>110</v>
      </c>
    </row>
    <row r="45" spans="1:6" ht="15" thickBot="1" x14ac:dyDescent="0.35">
      <c r="A45">
        <v>44</v>
      </c>
      <c r="B45" s="4" t="s">
        <v>62</v>
      </c>
      <c r="C45" s="4" t="s">
        <v>62</v>
      </c>
      <c r="D45">
        <f>VLOOKUP(C45,DaysSince100!H:I,2,FALSE)</f>
        <v>114</v>
      </c>
      <c r="E45" s="17">
        <f ca="1">OFFSET(CumulativeAll!A45,-A45,MATCH('100thDay'!D45,CumulativeAll!B45:BT45,0))</f>
        <v>43905</v>
      </c>
      <c r="F45" s="6">
        <f>MAX(CumulativeAll!45:45)</f>
        <v>147</v>
      </c>
    </row>
    <row r="46" spans="1:6" ht="15" thickBot="1" x14ac:dyDescent="0.35">
      <c r="A46">
        <v>45</v>
      </c>
      <c r="B46" s="5" t="s">
        <v>134</v>
      </c>
      <c r="C46" s="5" t="s">
        <v>134</v>
      </c>
      <c r="D46">
        <f>VLOOKUP(C46,DaysSince100!H:I,2,FALSE)</f>
        <v>117</v>
      </c>
      <c r="E46" s="17">
        <f ca="1">OFFSET(CumulativeAll!A46,-A46,MATCH('100thDay'!D46,CumulativeAll!B46:BT46,0))</f>
        <v>43905</v>
      </c>
      <c r="F46" s="6">
        <f>MAX(CumulativeAll!46:46)</f>
        <v>134</v>
      </c>
    </row>
    <row r="47" spans="1:6" ht="15" thickBot="1" x14ac:dyDescent="0.35">
      <c r="A47">
        <v>46</v>
      </c>
      <c r="B47" s="4" t="s">
        <v>164</v>
      </c>
      <c r="C47" s="4" t="s">
        <v>164</v>
      </c>
      <c r="D47">
        <f>VLOOKUP(C47,DaysSince100!H:I,2,FALSE)</f>
        <v>103</v>
      </c>
      <c r="E47" s="17">
        <f ca="1">OFFSET(CumulativeAll!A47,-A47,MATCH('100thDay'!D47,CumulativeAll!B47:BT47,0))</f>
        <v>43904</v>
      </c>
      <c r="F47" s="6">
        <f>MAX(CumulativeAll!47:47)</f>
        <v>177</v>
      </c>
    </row>
    <row r="48" spans="1:6" ht="15" thickBot="1" x14ac:dyDescent="0.35">
      <c r="A48">
        <v>47</v>
      </c>
      <c r="B48" s="4" t="s">
        <v>83</v>
      </c>
      <c r="C48" s="4" t="s">
        <v>83</v>
      </c>
      <c r="D48">
        <f>VLOOKUP(C48,DaysSince100!H:I,2,FALSE)</f>
        <v>111</v>
      </c>
      <c r="E48" s="17">
        <f ca="1">OFFSET(CumulativeAll!A48,-A48,MATCH('100thDay'!D48,CumulativeAll!B48:BT48,0))</f>
        <v>43904</v>
      </c>
      <c r="F48" s="6">
        <f>MAX(CumulativeAll!48:48)</f>
        <v>142</v>
      </c>
    </row>
    <row r="49" spans="1:6" ht="15" thickBot="1" x14ac:dyDescent="0.35">
      <c r="A49">
        <v>48</v>
      </c>
      <c r="B49" s="4" t="s">
        <v>370</v>
      </c>
      <c r="C49" s="4" t="s">
        <v>370</v>
      </c>
      <c r="D49" t="e">
        <f>VLOOKUP(C49,DaysSince100!H:I,2,FALSE)</f>
        <v>#N/A</v>
      </c>
      <c r="E49" s="17" t="e">
        <f ca="1">OFFSET(CumulativeAll!A49,-A49,MATCH('100thDay'!D49,CumulativeAll!B49:BT49,0))</f>
        <v>#N/A</v>
      </c>
      <c r="F49" s="6">
        <f>MAX(CumulativeAll!49:49)</f>
        <v>67</v>
      </c>
    </row>
    <row r="50" spans="1:6" ht="15" thickBot="1" x14ac:dyDescent="0.35">
      <c r="A50">
        <v>49</v>
      </c>
      <c r="B50" s="5" t="s">
        <v>371</v>
      </c>
      <c r="C50" s="5" t="s">
        <v>371</v>
      </c>
      <c r="D50" t="e">
        <f>VLOOKUP(C50,DaysSince100!H:I,2,FALSE)</f>
        <v>#N/A</v>
      </c>
      <c r="E50" s="17" t="e">
        <f ca="1">OFFSET(CumulativeAll!A50,-A50,MATCH('100thDay'!D50,CumulativeAll!B50:BT50,0))</f>
        <v>#N/A</v>
      </c>
      <c r="F50" s="6">
        <f>MAX(CumulativeAll!50:50)</f>
        <v>61</v>
      </c>
    </row>
    <row r="51" spans="1:6" ht="15" thickBot="1" x14ac:dyDescent="0.35">
      <c r="A51">
        <v>50</v>
      </c>
      <c r="B51" s="4" t="s">
        <v>372</v>
      </c>
      <c r="C51" s="4" t="s">
        <v>372</v>
      </c>
      <c r="D51" t="e">
        <f>VLOOKUP(C51,DaysSince100!H:I,2,FALSE)</f>
        <v>#N/A</v>
      </c>
      <c r="E51" s="17" t="e">
        <f ca="1">OFFSET(CumulativeAll!A51,-A51,MATCH('100thDay'!D51,CumulativeAll!B51:BT51,0))</f>
        <v>#N/A</v>
      </c>
      <c r="F51" s="6">
        <f>MAX(CumulativeAll!51:51)</f>
        <v>90</v>
      </c>
    </row>
    <row r="52" spans="1:6" ht="15" thickBot="1" x14ac:dyDescent="0.35">
      <c r="A52">
        <v>51</v>
      </c>
      <c r="B52" s="4" t="s">
        <v>151</v>
      </c>
      <c r="C52" s="4" t="s">
        <v>151</v>
      </c>
      <c r="D52">
        <f>VLOOKUP(C52,DaysSince100!H:I,2,FALSE)</f>
        <v>155</v>
      </c>
      <c r="E52" s="17">
        <f ca="1">OFFSET(CumulativeAll!A52,-A52,MATCH('100thDay'!D52,CumulativeAll!B52:BT52,0))</f>
        <v>43906</v>
      </c>
      <c r="F52" s="6">
        <f>MAX(CumulativeAll!52:52)</f>
        <v>155</v>
      </c>
    </row>
    <row r="53" spans="1:6" ht="15" thickBot="1" x14ac:dyDescent="0.35">
      <c r="A53">
        <v>52</v>
      </c>
      <c r="B53" s="5" t="s">
        <v>260</v>
      </c>
      <c r="C53" s="5" t="s">
        <v>260</v>
      </c>
      <c r="D53" t="e">
        <f>VLOOKUP(C53,DaysSince100!H:I,2,FALSE)</f>
        <v>#N/A</v>
      </c>
      <c r="E53" s="17" t="e">
        <f ca="1">OFFSET(CumulativeAll!A53,-A53,MATCH('100thDay'!D53,CumulativeAll!B53:BT53,0))</f>
        <v>#N/A</v>
      </c>
      <c r="F53" s="6">
        <f>MAX(CumulativeAll!53:53)</f>
        <v>54</v>
      </c>
    </row>
    <row r="54" spans="1:6" ht="15" thickBot="1" x14ac:dyDescent="0.35">
      <c r="A54">
        <v>53</v>
      </c>
      <c r="B54" s="4" t="s">
        <v>188</v>
      </c>
      <c r="C54" s="4" t="s">
        <v>188</v>
      </c>
      <c r="D54" t="e">
        <f>VLOOKUP(C54,DaysSince100!H:I,2,FALSE)</f>
        <v>#N/A</v>
      </c>
      <c r="E54" s="17" t="e">
        <f ca="1">OFFSET(CumulativeAll!A54,-A54,MATCH('100thDay'!D54,CumulativeAll!B54:BT54,0))</f>
        <v>#N/A</v>
      </c>
      <c r="F54" s="6">
        <f>MAX(CumulativeAll!54:54)</f>
        <v>55</v>
      </c>
    </row>
    <row r="55" spans="1:6" ht="15" thickBot="1" x14ac:dyDescent="0.35">
      <c r="A55">
        <v>54</v>
      </c>
      <c r="B55" s="4" t="s">
        <v>126</v>
      </c>
      <c r="C55" s="4" t="s">
        <v>126</v>
      </c>
      <c r="D55" t="e">
        <f>VLOOKUP(C55,DaysSince100!H:I,2,FALSE)</f>
        <v>#N/A</v>
      </c>
      <c r="E55" s="17" t="e">
        <f ca="1">OFFSET(CumulativeAll!A55,-A55,MATCH('100thDay'!D55,CumulativeAll!B55:BT55,0))</f>
        <v>#N/A</v>
      </c>
      <c r="F55" s="6">
        <f>MAX(CumulativeAll!55:55)</f>
        <v>77</v>
      </c>
    </row>
    <row r="56" spans="1:6" ht="15" thickBot="1" x14ac:dyDescent="0.35">
      <c r="A56">
        <v>55</v>
      </c>
      <c r="B56" s="5" t="s">
        <v>257</v>
      </c>
      <c r="C56" s="5" t="s">
        <v>257</v>
      </c>
      <c r="D56" t="e">
        <f>VLOOKUP(C56,DaysSince100!H:I,2,FALSE)</f>
        <v>#N/A</v>
      </c>
      <c r="E56" s="17" t="e">
        <f ca="1">OFFSET(CumulativeAll!A56,-A56,MATCH('100thDay'!D56,CumulativeAll!B56:BT56,0))</f>
        <v>#N/A</v>
      </c>
      <c r="F56" s="6">
        <f>MAX(CumulativeAll!56:56)</f>
        <v>51</v>
      </c>
    </row>
    <row r="57" spans="1:6" ht="15" thickBot="1" x14ac:dyDescent="0.35">
      <c r="A57">
        <v>56</v>
      </c>
      <c r="B57" s="4" t="s">
        <v>103</v>
      </c>
      <c r="C57" s="4" t="s">
        <v>103</v>
      </c>
      <c r="D57" t="e">
        <f>VLOOKUP(C57,DaysSince100!H:I,2,FALSE)</f>
        <v>#N/A</v>
      </c>
      <c r="E57" s="17" t="e">
        <f ca="1">OFFSET(CumulativeAll!A57,-A57,MATCH('100thDay'!D57,CumulativeAll!B57:BT57,0))</f>
        <v>#N/A</v>
      </c>
      <c r="F57" s="6">
        <f>MAX(CumulativeAll!57:57)</f>
        <v>57</v>
      </c>
    </row>
    <row r="58" spans="1:6" ht="15" thickBot="1" x14ac:dyDescent="0.35">
      <c r="A58">
        <v>57</v>
      </c>
      <c r="B58" s="5" t="s">
        <v>189</v>
      </c>
      <c r="C58" s="5" t="s">
        <v>189</v>
      </c>
      <c r="D58" t="e">
        <f>VLOOKUP(C58,DaysSince100!H:I,2,FALSE)</f>
        <v>#N/A</v>
      </c>
      <c r="E58" s="17" t="e">
        <f ca="1">OFFSET(CumulativeAll!A58,-A58,MATCH('100thDay'!D58,CumulativeAll!B58:BT58,0))</f>
        <v>#N/A</v>
      </c>
      <c r="F58" s="6">
        <f>MAX(CumulativeAll!58:58)</f>
        <v>63</v>
      </c>
    </row>
    <row r="59" spans="1:6" ht="15" thickBot="1" x14ac:dyDescent="0.35">
      <c r="A59">
        <v>58</v>
      </c>
      <c r="B59" s="5" t="s">
        <v>150</v>
      </c>
      <c r="C59" s="5" t="s">
        <v>150</v>
      </c>
      <c r="D59" t="e">
        <f>VLOOKUP(C59,DaysSince100!H:I,2,FALSE)</f>
        <v>#N/A</v>
      </c>
      <c r="E59" s="17" t="e">
        <f ca="1">OFFSET(CumulativeAll!A59,-A59,MATCH('100thDay'!D59,CumulativeAll!B59:BT59,0))</f>
        <v>#N/A</v>
      </c>
      <c r="F59" s="6">
        <f>MAX(CumulativeAll!59:59)</f>
        <v>56</v>
      </c>
    </row>
    <row r="60" spans="1:6" ht="15" thickBot="1" x14ac:dyDescent="0.35">
      <c r="A60">
        <v>59</v>
      </c>
      <c r="B60" s="4" t="s">
        <v>107</v>
      </c>
      <c r="C60" s="4" t="s">
        <v>107</v>
      </c>
      <c r="D60">
        <f>VLOOKUP(C60,DaysSince100!H:I,2,FALSE)</f>
        <v>136</v>
      </c>
      <c r="E60" s="17">
        <f ca="1">OFFSET(CumulativeAll!A60,-A60,MATCH('100thDay'!D60,CumulativeAll!B60:BT60,0))</f>
        <v>43906</v>
      </c>
      <c r="F60" s="6">
        <f>MAX(CumulativeAll!60:60)</f>
        <v>136</v>
      </c>
    </row>
    <row r="61" spans="1:6" ht="15" thickBot="1" x14ac:dyDescent="0.35">
      <c r="A61">
        <v>60</v>
      </c>
      <c r="B61" s="5" t="s">
        <v>187</v>
      </c>
      <c r="C61" s="5" t="s">
        <v>187</v>
      </c>
      <c r="D61" t="e">
        <f>VLOOKUP(C61,DaysSince100!H:I,2,FALSE)</f>
        <v>#N/A</v>
      </c>
      <c r="E61" s="17" t="e">
        <f ca="1">OFFSET(CumulativeAll!A61,-A61,MATCH('100thDay'!D61,CumulativeAll!B61:BT61,0))</f>
        <v>#N/A</v>
      </c>
      <c r="F61" s="6">
        <f>MAX(CumulativeAll!61:61)</f>
        <v>86</v>
      </c>
    </row>
    <row r="62" spans="1:6" ht="15" thickBot="1" x14ac:dyDescent="0.35">
      <c r="A62">
        <v>61</v>
      </c>
      <c r="B62" s="4" t="s">
        <v>118</v>
      </c>
      <c r="C62" s="4" t="s">
        <v>118</v>
      </c>
      <c r="D62" t="e">
        <f>VLOOKUP(C62,DaysSince100!H:I,2,FALSE)</f>
        <v>#N/A</v>
      </c>
      <c r="E62" s="17" t="e">
        <f ca="1">OFFSET(CumulativeAll!A62,-A62,MATCH('100thDay'!D62,CumulativeAll!B62:BT62,0))</f>
        <v>#N/A</v>
      </c>
      <c r="F62" s="6">
        <f>MAX(CumulativeAll!62:62)</f>
        <v>36</v>
      </c>
    </row>
    <row r="63" spans="1:6" ht="15" thickBot="1" x14ac:dyDescent="0.35">
      <c r="A63">
        <v>62</v>
      </c>
      <c r="B63" s="4" t="s">
        <v>310</v>
      </c>
      <c r="C63" s="4" t="s">
        <v>310</v>
      </c>
      <c r="D63" t="e">
        <f>VLOOKUP(C63,DaysSince100!H:I,2,FALSE)</f>
        <v>#N/A</v>
      </c>
      <c r="E63" s="17" t="e">
        <f ca="1">OFFSET(CumulativeAll!A63,-A63,MATCH('100thDay'!D63,CumulativeAll!B63:BT63,0))</f>
        <v>#N/A</v>
      </c>
      <c r="F63" s="6">
        <f>MAX(CumulativeAll!63:63)</f>
        <v>55</v>
      </c>
    </row>
    <row r="64" spans="1:6" ht="15" thickBot="1" x14ac:dyDescent="0.35">
      <c r="A64">
        <v>63</v>
      </c>
      <c r="B64" s="5" t="s">
        <v>102</v>
      </c>
      <c r="C64" s="5" t="s">
        <v>102</v>
      </c>
      <c r="D64" t="e">
        <f>VLOOKUP(C64,DaysSince100!H:I,2,FALSE)</f>
        <v>#N/A</v>
      </c>
      <c r="E64" s="17" t="e">
        <f ca="1">OFFSET(CumulativeAll!A64,-A64,MATCH('100thDay'!D64,CumulativeAll!B64:BT64,0))</f>
        <v>#N/A</v>
      </c>
      <c r="F64" s="6">
        <f>MAX(CumulativeAll!64:64)</f>
        <v>54</v>
      </c>
    </row>
    <row r="65" spans="1:6" ht="15" thickBot="1" x14ac:dyDescent="0.35">
      <c r="A65">
        <v>64</v>
      </c>
      <c r="B65" s="4" t="s">
        <v>109</v>
      </c>
      <c r="C65" s="4" t="s">
        <v>109</v>
      </c>
      <c r="D65" t="e">
        <f>VLOOKUP(C65,DaysSince100!H:I,2,FALSE)</f>
        <v>#N/A</v>
      </c>
      <c r="E65" s="17" t="e">
        <f ca="1">OFFSET(CumulativeAll!A65,-A65,MATCH('100thDay'!D65,CumulativeAll!B65:BT65,0))</f>
        <v>#N/A</v>
      </c>
      <c r="F65" s="6">
        <f>MAX(CumulativeAll!65:65)</f>
        <v>33</v>
      </c>
    </row>
    <row r="66" spans="1:6" ht="15" thickBot="1" x14ac:dyDescent="0.35">
      <c r="A66">
        <v>65</v>
      </c>
      <c r="B66" s="4" t="s">
        <v>172</v>
      </c>
      <c r="C66" s="4" t="s">
        <v>172</v>
      </c>
      <c r="D66" t="e">
        <f>VLOOKUP(C66,DaysSince100!H:I,2,FALSE)</f>
        <v>#N/A</v>
      </c>
      <c r="E66" s="17" t="e">
        <f ca="1">OFFSET(CumulativeAll!A66,-A66,MATCH('100thDay'!D66,CumulativeAll!B66:BT66,0))</f>
        <v>#N/A</v>
      </c>
      <c r="F66" s="6">
        <f>MAX(CumulativeAll!66:66)</f>
        <v>62</v>
      </c>
    </row>
    <row r="67" spans="1:6" ht="15" thickBot="1" x14ac:dyDescent="0.35">
      <c r="A67">
        <v>66</v>
      </c>
      <c r="B67" s="4" t="s">
        <v>226</v>
      </c>
      <c r="C67" s="4" t="s">
        <v>226</v>
      </c>
      <c r="D67" t="e">
        <f>VLOOKUP(C67,DaysSince100!H:I,2,FALSE)</f>
        <v>#N/A</v>
      </c>
      <c r="E67" s="17" t="e">
        <f ca="1">OFFSET(CumulativeAll!A67,-A67,MATCH('100thDay'!D67,CumulativeAll!B67:BT67,0))</f>
        <v>#N/A</v>
      </c>
      <c r="F67" s="6">
        <f>MAX(CumulativeAll!67:67)</f>
        <v>52</v>
      </c>
    </row>
    <row r="68" spans="1:6" ht="15" thickBot="1" x14ac:dyDescent="0.35">
      <c r="A68">
        <v>67</v>
      </c>
      <c r="B68" s="4" t="s">
        <v>186</v>
      </c>
      <c r="C68" s="4" t="s">
        <v>186</v>
      </c>
      <c r="D68" t="e">
        <f>VLOOKUP(C68,DaysSince100!H:I,2,FALSE)</f>
        <v>#N/A</v>
      </c>
      <c r="E68" s="17" t="e">
        <f ca="1">OFFSET(CumulativeAll!A68,-A68,MATCH('100thDay'!D68,CumulativeAll!B68:BT68,0))</f>
        <v>#N/A</v>
      </c>
      <c r="F68" s="6">
        <f>MAX(CumulativeAll!68:68)</f>
        <v>35</v>
      </c>
    </row>
    <row r="69" spans="1:6" ht="15" thickBot="1" x14ac:dyDescent="0.35">
      <c r="A69">
        <v>68</v>
      </c>
      <c r="B69" s="5" t="s">
        <v>159</v>
      </c>
      <c r="C69" s="5" t="s">
        <v>159</v>
      </c>
      <c r="D69" t="e">
        <f>VLOOKUP(C69,DaysSince100!H:I,2,FALSE)</f>
        <v>#N/A</v>
      </c>
      <c r="E69" s="17" t="e">
        <f ca="1">OFFSET(CumulativeAll!A69,-A69,MATCH('100thDay'!D69,CumulativeAll!B69:BT69,0))</f>
        <v>#N/A</v>
      </c>
      <c r="F69" s="6">
        <f>MAX(CumulativeAll!69:69)</f>
        <v>39</v>
      </c>
    </row>
    <row r="70" spans="1:6" ht="15" thickBot="1" x14ac:dyDescent="0.35">
      <c r="A70">
        <v>69</v>
      </c>
      <c r="B70" s="5" t="s">
        <v>98</v>
      </c>
      <c r="C70" s="5" t="s">
        <v>98</v>
      </c>
      <c r="D70" t="e">
        <f>VLOOKUP(C70,DaysSince100!H:I,2,FALSE)</f>
        <v>#N/A</v>
      </c>
      <c r="E70" s="17" t="e">
        <f ca="1">OFFSET(CumulativeAll!A70,-A70,MATCH('100thDay'!D70,CumulativeAll!B70:BT70,0))</f>
        <v>#N/A</v>
      </c>
      <c r="F70" s="6">
        <f>MAX(CumulativeAll!70:70)</f>
        <v>22</v>
      </c>
    </row>
    <row r="71" spans="1:6" ht="15" thickBot="1" x14ac:dyDescent="0.35">
      <c r="A71">
        <v>70</v>
      </c>
      <c r="B71" s="5" t="s">
        <v>130</v>
      </c>
      <c r="C71" s="5" t="s">
        <v>130</v>
      </c>
      <c r="D71" t="e">
        <f>VLOOKUP(C71,DaysSince100!H:I,2,FALSE)</f>
        <v>#N/A</v>
      </c>
      <c r="E71" s="17" t="e">
        <f ca="1">OFFSET(CumulativeAll!A71,-A71,MATCH('100thDay'!D71,CumulativeAll!B71:BT71,0))</f>
        <v>#N/A</v>
      </c>
      <c r="F71" s="6">
        <f>MAX(CumulativeAll!71:71)</f>
        <v>37</v>
      </c>
    </row>
    <row r="72" spans="1:6" ht="15" thickBot="1" x14ac:dyDescent="0.35">
      <c r="A72">
        <v>71</v>
      </c>
      <c r="B72" s="5" t="s">
        <v>138</v>
      </c>
      <c r="C72" s="5" t="s">
        <v>138</v>
      </c>
      <c r="D72" t="e">
        <f>VLOOKUP(C72,DaysSince100!H:I,2,FALSE)</f>
        <v>#N/A</v>
      </c>
      <c r="E72" s="17" t="e">
        <f ca="1">OFFSET(CumulativeAll!A72,-A72,MATCH('100thDay'!D72,CumulativeAll!B72:BT72,0))</f>
        <v>#N/A</v>
      </c>
      <c r="F72" s="6">
        <f>MAX(CumulativeAll!72:72)</f>
        <v>34</v>
      </c>
    </row>
    <row r="73" spans="1:6" ht="15" thickBot="1" x14ac:dyDescent="0.35">
      <c r="A73">
        <v>72</v>
      </c>
      <c r="B73" s="5" t="s">
        <v>165</v>
      </c>
      <c r="C73" s="5" t="s">
        <v>165</v>
      </c>
      <c r="D73" t="e">
        <f>VLOOKUP(C73,DaysSince100!H:I,2,FALSE)</f>
        <v>#N/A</v>
      </c>
      <c r="E73" s="17" t="e">
        <f ca="1">OFFSET(CumulativeAll!A73,-A73,MATCH('100thDay'!D73,CumulativeAll!B73:BT73,0))</f>
        <v>#N/A</v>
      </c>
      <c r="F73" s="6">
        <f>MAX(CumulativeAll!73:73)</f>
        <v>20</v>
      </c>
    </row>
    <row r="74" spans="1:6" ht="15" thickBot="1" x14ac:dyDescent="0.35">
      <c r="A74">
        <v>73</v>
      </c>
      <c r="B74" s="4" t="s">
        <v>131</v>
      </c>
      <c r="C74" s="4" t="s">
        <v>131</v>
      </c>
      <c r="D74" t="e">
        <f>VLOOKUP(C74,DaysSince100!H:I,2,FALSE)</f>
        <v>#N/A</v>
      </c>
      <c r="E74" s="17" t="e">
        <f ca="1">OFFSET(CumulativeAll!A74,-A74,MATCH('100thDay'!D74,CumulativeAll!B74:BT74,0))</f>
        <v>#N/A</v>
      </c>
      <c r="F74" s="6">
        <f>MAX(CumulativeAll!74:74)</f>
        <v>23</v>
      </c>
    </row>
    <row r="75" spans="1:6" ht="15" thickBot="1" x14ac:dyDescent="0.35">
      <c r="A75">
        <v>74</v>
      </c>
      <c r="B75" s="4" t="s">
        <v>258</v>
      </c>
      <c r="C75" s="4" t="s">
        <v>258</v>
      </c>
      <c r="D75" t="e">
        <f>VLOOKUP(C75,DaysSince100!H:I,2,FALSE)</f>
        <v>#N/A</v>
      </c>
      <c r="E75" s="17" t="e">
        <f ca="1">OFFSET(CumulativeAll!A75,-A75,MATCH('100thDay'!D75,CumulativeAll!B75:BT75,0))</f>
        <v>#N/A</v>
      </c>
      <c r="F75" s="6">
        <f>MAX(CumulativeAll!75:75)</f>
        <v>33</v>
      </c>
    </row>
    <row r="76" spans="1:6" ht="15" thickBot="1" x14ac:dyDescent="0.35">
      <c r="A76">
        <v>75</v>
      </c>
      <c r="B76" s="4" t="s">
        <v>111</v>
      </c>
      <c r="C76" s="4" t="s">
        <v>111</v>
      </c>
      <c r="D76" t="e">
        <f>VLOOKUP(C76,DaysSince100!H:I,2,FALSE)</f>
        <v>#N/A</v>
      </c>
      <c r="E76" s="17" t="e">
        <f ca="1">OFFSET(CumulativeAll!A76,-A76,MATCH('100thDay'!D76,CumulativeAll!B76:BT76,0))</f>
        <v>#N/A</v>
      </c>
      <c r="F76" s="6">
        <f>MAX(CumulativeAll!76:76)</f>
        <v>18</v>
      </c>
    </row>
    <row r="77" spans="1:6" ht="15" thickBot="1" x14ac:dyDescent="0.35">
      <c r="A77">
        <v>76</v>
      </c>
      <c r="B77" s="4" t="s">
        <v>167</v>
      </c>
      <c r="C77" s="4" t="s">
        <v>167</v>
      </c>
      <c r="D77" t="e">
        <f>VLOOKUP(C77,DaysSince100!H:I,2,FALSE)</f>
        <v>#N/A</v>
      </c>
      <c r="E77" s="17" t="e">
        <f ca="1">OFFSET(CumulativeAll!A77,-A77,MATCH('100thDay'!D77,CumulativeAll!B77:BT77,0))</f>
        <v>#N/A</v>
      </c>
      <c r="F77" s="6">
        <f>MAX(CumulativeAll!77:77)</f>
        <v>25</v>
      </c>
    </row>
    <row r="78" spans="1:6" ht="15" thickBot="1" x14ac:dyDescent="0.35">
      <c r="A78">
        <v>77</v>
      </c>
      <c r="B78" s="5" t="s">
        <v>185</v>
      </c>
      <c r="C78" s="5" t="s">
        <v>185</v>
      </c>
      <c r="D78" t="e">
        <f>VLOOKUP(C78,DaysSince100!H:I,2,FALSE)</f>
        <v>#N/A</v>
      </c>
      <c r="E78" s="17" t="e">
        <f ca="1">OFFSET(CumulativeAll!A78,-A78,MATCH('100thDay'!D78,CumulativeAll!B78:BT78,0))</f>
        <v>#N/A</v>
      </c>
      <c r="F78" s="6">
        <f>MAX(CumulativeAll!78:78)</f>
        <v>54</v>
      </c>
    </row>
    <row r="79" spans="1:6" ht="15" thickBot="1" x14ac:dyDescent="0.35">
      <c r="A79">
        <v>78</v>
      </c>
      <c r="B79" s="4" t="s">
        <v>204</v>
      </c>
      <c r="C79" s="4" t="s">
        <v>204</v>
      </c>
      <c r="D79" t="e">
        <f>VLOOKUP(C79,DaysSince100!H:I,2,FALSE)</f>
        <v>#N/A</v>
      </c>
      <c r="E79" s="17" t="e">
        <f ca="1">OFFSET(CumulativeAll!A79,-A79,MATCH('100thDay'!D79,CumulativeAll!B79:BT79,0))</f>
        <v>#N/A</v>
      </c>
      <c r="F79" s="6">
        <f>MAX(CumulativeAll!79:79)</f>
        <v>30</v>
      </c>
    </row>
    <row r="80" spans="1:6" ht="15" thickBot="1" x14ac:dyDescent="0.35">
      <c r="A80">
        <v>79</v>
      </c>
      <c r="B80" s="5" t="s">
        <v>121</v>
      </c>
      <c r="C80" s="5" t="s">
        <v>121</v>
      </c>
      <c r="D80" t="e">
        <f>VLOOKUP(C80,DaysSince100!H:I,2,FALSE)</f>
        <v>#N/A</v>
      </c>
      <c r="E80" s="17" t="e">
        <f ca="1">OFFSET(CumulativeAll!A80,-A80,MATCH('100thDay'!D80,CumulativeAll!B80:BT80,0))</f>
        <v>#N/A</v>
      </c>
      <c r="F80" s="6">
        <f>MAX(CumulativeAll!80:80)</f>
        <v>53</v>
      </c>
    </row>
    <row r="81" spans="1:6" ht="15" thickBot="1" x14ac:dyDescent="0.35">
      <c r="A81">
        <v>80</v>
      </c>
      <c r="B81" s="4" t="s">
        <v>141</v>
      </c>
      <c r="C81" s="4" t="s">
        <v>141</v>
      </c>
      <c r="D81" t="e">
        <f>VLOOKUP(C81,DaysSince100!H:I,2,FALSE)</f>
        <v>#N/A</v>
      </c>
      <c r="E81" s="17" t="e">
        <f ca="1">OFFSET(CumulativeAll!A81,-A81,MATCH('100thDay'!D81,CumulativeAll!B81:BT81,0))</f>
        <v>#N/A</v>
      </c>
      <c r="F81" s="6">
        <f>MAX(CumulativeAll!81:81)</f>
        <v>24</v>
      </c>
    </row>
    <row r="82" spans="1:6" ht="15" thickBot="1" x14ac:dyDescent="0.35">
      <c r="A82">
        <v>81</v>
      </c>
      <c r="B82" s="5" t="s">
        <v>227</v>
      </c>
      <c r="C82" s="5" t="s">
        <v>227</v>
      </c>
      <c r="D82" t="e">
        <f>VLOOKUP(C82,DaysSince100!H:I,2,FALSE)</f>
        <v>#N/A</v>
      </c>
      <c r="E82" s="17" t="e">
        <f ca="1">OFFSET(CumulativeAll!A82,-A82,MATCH('100thDay'!D82,CumulativeAll!B82:BT82,0))</f>
        <v>#N/A</v>
      </c>
      <c r="F82" s="6">
        <f>MAX(CumulativeAll!82:82)</f>
        <v>13</v>
      </c>
    </row>
    <row r="83" spans="1:6" ht="15" thickBot="1" x14ac:dyDescent="0.35">
      <c r="A83">
        <v>82</v>
      </c>
      <c r="B83" s="5" t="s">
        <v>132</v>
      </c>
      <c r="C83" s="5" t="s">
        <v>132</v>
      </c>
      <c r="D83" t="e">
        <f>VLOOKUP(C83,DaysSince100!H:I,2,FALSE)</f>
        <v>#N/A</v>
      </c>
      <c r="E83" s="17" t="e">
        <f ca="1">OFFSET(CumulativeAll!A83,-A83,MATCH('100thDay'!D83,CumulativeAll!B83:BT83,0))</f>
        <v>#N/A</v>
      </c>
      <c r="F83" s="6">
        <f>MAX(CumulativeAll!83:83)</f>
        <v>52</v>
      </c>
    </row>
    <row r="84" spans="1:6" ht="15" thickBot="1" x14ac:dyDescent="0.35">
      <c r="A84">
        <v>83</v>
      </c>
      <c r="B84" s="4" t="s">
        <v>381</v>
      </c>
      <c r="C84" s="4" t="s">
        <v>381</v>
      </c>
      <c r="D84" t="e">
        <f>VLOOKUP(C84,DaysSince100!H:I,2,FALSE)</f>
        <v>#N/A</v>
      </c>
      <c r="E84" s="17" t="e">
        <f ca="1">OFFSET(CumulativeAll!A84,-A84,MATCH('100thDay'!D84,CumulativeAll!B84:BT84,0))</f>
        <v>#N/A</v>
      </c>
      <c r="F84" s="6">
        <f>MAX(CumulativeAll!84:84)</f>
        <v>10</v>
      </c>
    </row>
    <row r="85" spans="1:6" ht="15" thickBot="1" x14ac:dyDescent="0.35">
      <c r="A85">
        <v>84</v>
      </c>
      <c r="B85" s="4" t="s">
        <v>99</v>
      </c>
      <c r="C85" s="4" t="s">
        <v>99</v>
      </c>
      <c r="D85" t="e">
        <f>VLOOKUP(C85,DaysSince100!H:I,2,FALSE)</f>
        <v>#N/A</v>
      </c>
      <c r="E85" s="17" t="e">
        <f ca="1">OFFSET(CumulativeAll!A85,-A85,MATCH('100thDay'!D85,CumulativeAll!B85:BT85,0))</f>
        <v>#N/A</v>
      </c>
      <c r="F85" s="6">
        <f>MAX(CumulativeAll!85:85)</f>
        <v>21</v>
      </c>
    </row>
    <row r="86" spans="1:6" ht="15" thickBot="1" x14ac:dyDescent="0.35">
      <c r="A86">
        <v>85</v>
      </c>
      <c r="B86" s="4" t="s">
        <v>139</v>
      </c>
      <c r="C86" s="4" t="s">
        <v>139</v>
      </c>
      <c r="D86" t="e">
        <f>VLOOKUP(C86,DaysSince100!H:I,2,FALSE)</f>
        <v>#N/A</v>
      </c>
      <c r="E86" s="17" t="e">
        <f ca="1">OFFSET(CumulativeAll!A86,-A86,MATCH('100thDay'!D86,CumulativeAll!B86:BT86,0))</f>
        <v>#N/A</v>
      </c>
      <c r="F86" s="6">
        <f>MAX(CumulativeAll!86:86)</f>
        <v>29</v>
      </c>
    </row>
    <row r="87" spans="1:6" ht="15" thickBot="1" x14ac:dyDescent="0.35">
      <c r="A87">
        <v>86</v>
      </c>
      <c r="B87" s="4" t="s">
        <v>120</v>
      </c>
      <c r="C87" s="4" t="s">
        <v>120</v>
      </c>
      <c r="D87" t="e">
        <f>VLOOKUP(C87,DaysSince100!H:I,2,FALSE)</f>
        <v>#N/A</v>
      </c>
      <c r="E87" s="17" t="e">
        <f ca="1">OFFSET(CumulativeAll!A87,-A87,MATCH('100thDay'!D87,CumulativeAll!B87:BT87,0))</f>
        <v>#N/A</v>
      </c>
      <c r="F87" s="6">
        <f>MAX(CumulativeAll!87:87)</f>
        <v>17</v>
      </c>
    </row>
    <row r="88" spans="1:6" ht="15" thickBot="1" x14ac:dyDescent="0.35">
      <c r="A88">
        <v>87</v>
      </c>
      <c r="B88" s="5" t="s">
        <v>373</v>
      </c>
      <c r="C88" s="5" t="s">
        <v>373</v>
      </c>
      <c r="D88" t="e">
        <f>VLOOKUP(C88,DaysSince100!H:I,2,FALSE)</f>
        <v>#N/A</v>
      </c>
      <c r="E88" s="17" t="e">
        <f ca="1">OFFSET(CumulativeAll!A88,-A88,MATCH('100thDay'!D88,CumulativeAll!B88:BT88,0))</f>
        <v>#N/A</v>
      </c>
      <c r="F88" s="6">
        <f>MAX(CumulativeAll!88:88)</f>
        <v>23</v>
      </c>
    </row>
    <row r="89" spans="1:6" ht="15" thickBot="1" x14ac:dyDescent="0.35">
      <c r="A89">
        <v>88</v>
      </c>
      <c r="B89" s="5" t="s">
        <v>233</v>
      </c>
      <c r="C89" s="5" t="s">
        <v>233</v>
      </c>
      <c r="D89" t="e">
        <f>VLOOKUP(C89,DaysSince100!H:I,2,FALSE)</f>
        <v>#N/A</v>
      </c>
      <c r="E89" s="17" t="e">
        <f ca="1">OFFSET(CumulativeAll!A89,-A89,MATCH('100thDay'!D89,CumulativeAll!B89:BT89,0))</f>
        <v>#N/A</v>
      </c>
      <c r="F89" s="6">
        <f>MAX(CumulativeAll!89:89)</f>
        <v>8</v>
      </c>
    </row>
    <row r="90" spans="1:6" ht="15" thickBot="1" x14ac:dyDescent="0.35">
      <c r="A90">
        <v>89</v>
      </c>
      <c r="B90" s="4" t="s">
        <v>79</v>
      </c>
      <c r="C90" s="4" t="s">
        <v>79</v>
      </c>
      <c r="D90" t="e">
        <f>VLOOKUP(C90,DaysSince100!H:I,2,FALSE)</f>
        <v>#N/A</v>
      </c>
      <c r="E90" s="17" t="e">
        <f ca="1">OFFSET(CumulativeAll!A90,-A90,MATCH('100thDay'!D90,CumulativeAll!B90:BT90,0))</f>
        <v>#N/A</v>
      </c>
      <c r="F90" s="6">
        <f>MAX(CumulativeAll!90:90)</f>
        <v>28</v>
      </c>
    </row>
    <row r="91" spans="1:6" ht="15" thickBot="1" x14ac:dyDescent="0.35">
      <c r="A91">
        <v>90</v>
      </c>
      <c r="B91" s="5" t="s">
        <v>78</v>
      </c>
      <c r="C91" s="5" t="s">
        <v>78</v>
      </c>
      <c r="D91" t="e">
        <f>VLOOKUP(C91,DaysSince100!H:I,2,FALSE)</f>
        <v>#N/A</v>
      </c>
      <c r="E91" s="17" t="e">
        <f ca="1">OFFSET(CumulativeAll!A91,-A91,MATCH('100thDay'!D91,CumulativeAll!B91:BT91,0))</f>
        <v>#N/A</v>
      </c>
      <c r="F91" s="6">
        <f>MAX(CumulativeAll!91:91)</f>
        <v>7</v>
      </c>
    </row>
    <row r="92" spans="1:6" ht="15" thickBot="1" x14ac:dyDescent="0.35">
      <c r="A92">
        <v>91</v>
      </c>
      <c r="B92" s="4" t="s">
        <v>133</v>
      </c>
      <c r="C92" s="4" t="s">
        <v>133</v>
      </c>
      <c r="D92" t="e">
        <f>VLOOKUP(C92,DaysSince100!H:I,2,FALSE)</f>
        <v>#N/A</v>
      </c>
      <c r="E92" s="17" t="e">
        <f ca="1">OFFSET(CumulativeAll!A92,-A92,MATCH('100thDay'!D92,CumulativeAll!B92:BT92,0))</f>
        <v>#N/A</v>
      </c>
      <c r="F92" s="6">
        <f>MAX(CumulativeAll!92:92)</f>
        <v>11</v>
      </c>
    </row>
    <row r="93" spans="1:6" ht="15" thickBot="1" x14ac:dyDescent="0.35">
      <c r="A93">
        <v>92</v>
      </c>
      <c r="B93" s="5" t="s">
        <v>203</v>
      </c>
      <c r="C93" s="5" t="s">
        <v>203</v>
      </c>
      <c r="D93" t="e">
        <f>VLOOKUP(C93,DaysSince100!H:I,2,FALSE)</f>
        <v>#N/A</v>
      </c>
      <c r="E93" s="17" t="e">
        <f ca="1">OFFSET(CumulativeAll!A93,-A93,MATCH('100thDay'!D93,CumulativeAll!B93:BT93,0))</f>
        <v>#N/A</v>
      </c>
      <c r="F93" s="6">
        <f>MAX(CumulativeAll!93:93)</f>
        <v>11</v>
      </c>
    </row>
    <row r="94" spans="1:6" ht="15" thickBot="1" x14ac:dyDescent="0.35">
      <c r="A94">
        <v>93</v>
      </c>
      <c r="B94" s="4" t="s">
        <v>122</v>
      </c>
      <c r="C94" s="4" t="s">
        <v>122</v>
      </c>
      <c r="D94" t="e">
        <f>VLOOKUP(C94,DaysSince100!H:I,2,FALSE)</f>
        <v>#N/A</v>
      </c>
      <c r="E94" s="17" t="e">
        <f ca="1">OFFSET(CumulativeAll!A94,-A94,MATCH('100thDay'!D94,CumulativeAll!B94:BT94,0))</f>
        <v>#N/A</v>
      </c>
      <c r="F94" s="6">
        <f>MAX(CumulativeAll!94:94)</f>
        <v>8</v>
      </c>
    </row>
    <row r="95" spans="1:6" ht="15" thickBot="1" x14ac:dyDescent="0.35">
      <c r="A95">
        <v>94</v>
      </c>
      <c r="B95" s="5" t="s">
        <v>382</v>
      </c>
      <c r="C95" s="5" t="s">
        <v>382</v>
      </c>
      <c r="D95" t="e">
        <f>VLOOKUP(C95,DaysSince100!H:I,2,FALSE)</f>
        <v>#N/A</v>
      </c>
      <c r="E95" s="17" t="e">
        <f ca="1">OFFSET(CumulativeAll!A95,-A95,MATCH('100thDay'!D95,CumulativeAll!B95:BT95,0))</f>
        <v>#N/A</v>
      </c>
      <c r="F95" s="6">
        <f>MAX(CumulativeAll!95:95)</f>
        <v>9</v>
      </c>
    </row>
    <row r="96" spans="1:6" ht="15" thickBot="1" x14ac:dyDescent="0.35">
      <c r="A96">
        <v>95</v>
      </c>
      <c r="B96" s="4" t="s">
        <v>383</v>
      </c>
      <c r="C96" s="4" t="s">
        <v>383</v>
      </c>
      <c r="D96" t="e">
        <f>VLOOKUP(C96,DaysSince100!H:I,2,FALSE)</f>
        <v>#N/A</v>
      </c>
      <c r="E96" s="17" t="e">
        <f ca="1">OFFSET(CumulativeAll!A96,-A96,MATCH('100thDay'!D96,CumulativeAll!B96:BT96,0))</f>
        <v>#N/A</v>
      </c>
      <c r="F96" s="6">
        <f>MAX(CumulativeAll!96:96)</f>
        <v>18</v>
      </c>
    </row>
    <row r="97" spans="1:6" ht="15" thickBot="1" x14ac:dyDescent="0.35">
      <c r="A97">
        <v>96</v>
      </c>
      <c r="B97" s="5" t="s">
        <v>438</v>
      </c>
      <c r="C97" s="5" t="s">
        <v>438</v>
      </c>
      <c r="D97" t="e">
        <f>VLOOKUP(C97,DaysSince100!H:I,2,FALSE)</f>
        <v>#N/A</v>
      </c>
      <c r="E97" s="17" t="e">
        <f ca="1">OFFSET(CumulativeAll!A97,-A97,MATCH('100thDay'!D97,CumulativeAll!B97:BT97,0))</f>
        <v>#N/A</v>
      </c>
      <c r="F97" s="6">
        <f>MAX(CumulativeAll!97:97)</f>
        <v>4</v>
      </c>
    </row>
    <row r="98" spans="1:6" ht="15" thickBot="1" x14ac:dyDescent="0.35">
      <c r="A98">
        <v>97</v>
      </c>
      <c r="B98" s="5" t="s">
        <v>441</v>
      </c>
      <c r="C98" s="5" t="s">
        <v>441</v>
      </c>
      <c r="D98" t="e">
        <f>VLOOKUP(C98,DaysSince100!H:I,2,FALSE)</f>
        <v>#N/A</v>
      </c>
      <c r="E98" s="17" t="e">
        <f ca="1">OFFSET(CumulativeAll!A98,-A98,MATCH('100thDay'!D98,CumulativeAll!B98:BT98,0))</f>
        <v>#N/A</v>
      </c>
      <c r="F98" s="6">
        <f>MAX(CumulativeAll!98:98)</f>
        <v>10</v>
      </c>
    </row>
    <row r="99" spans="1:6" ht="15" thickBot="1" x14ac:dyDescent="0.35">
      <c r="A99">
        <v>98</v>
      </c>
      <c r="B99" s="4" t="s">
        <v>229</v>
      </c>
      <c r="C99" s="4" t="s">
        <v>229</v>
      </c>
      <c r="D99" t="e">
        <f>VLOOKUP(C99,DaysSince100!H:I,2,FALSE)</f>
        <v>#N/A</v>
      </c>
      <c r="E99" s="17" t="e">
        <f ca="1">OFFSET(CumulativeAll!A99,-A99,MATCH('100thDay'!D99,CumulativeAll!B99:BT99,0))</f>
        <v>#N/A</v>
      </c>
      <c r="F99" s="6">
        <f>MAX(CumulativeAll!99:99)</f>
        <v>8</v>
      </c>
    </row>
    <row r="100" spans="1:6" ht="15" thickBot="1" x14ac:dyDescent="0.35">
      <c r="A100">
        <v>99</v>
      </c>
      <c r="B100" s="4" t="s">
        <v>374</v>
      </c>
      <c r="C100" s="4" t="s">
        <v>374</v>
      </c>
      <c r="D100" t="e">
        <f>VLOOKUP(C100,DaysSince100!H:I,2,FALSE)</f>
        <v>#N/A</v>
      </c>
      <c r="E100" s="17" t="e">
        <f ca="1">OFFSET(CumulativeAll!A100,-A100,MATCH('100thDay'!D100,CumulativeAll!B100:BT100,0))</f>
        <v>#N/A</v>
      </c>
      <c r="F100" s="6">
        <f>MAX(CumulativeAll!100:100)</f>
        <v>11</v>
      </c>
    </row>
    <row r="101" spans="1:6" ht="15" thickBot="1" x14ac:dyDescent="0.35">
      <c r="A101">
        <v>100</v>
      </c>
      <c r="B101" s="5" t="s">
        <v>207</v>
      </c>
      <c r="C101" s="5" t="s">
        <v>207</v>
      </c>
      <c r="D101" t="e">
        <f>VLOOKUP(C101,DaysSince100!H:I,2,FALSE)</f>
        <v>#N/A</v>
      </c>
      <c r="E101" s="17" t="e">
        <f ca="1">OFFSET(CumulativeAll!A101,-A101,MATCH('100thDay'!D101,CumulativeAll!B101:BT101,0))</f>
        <v>#N/A</v>
      </c>
      <c r="F101" s="6">
        <f>MAX(CumulativeAll!101:101)</f>
        <v>15</v>
      </c>
    </row>
    <row r="102" spans="1:6" ht="15" thickBot="1" x14ac:dyDescent="0.35">
      <c r="A102">
        <v>101</v>
      </c>
      <c r="B102" s="4" t="s">
        <v>156</v>
      </c>
      <c r="C102" s="4" t="s">
        <v>156</v>
      </c>
      <c r="D102" t="e">
        <f>VLOOKUP(C102,DaysSince100!H:I,2,FALSE)</f>
        <v>#N/A</v>
      </c>
      <c r="E102" s="17" t="e">
        <f ca="1">OFFSET(CumulativeAll!A102,-A102,MATCH('100thDay'!D102,CumulativeAll!B102:BT102,0))</f>
        <v>#N/A</v>
      </c>
      <c r="F102" s="6">
        <f>MAX(CumulativeAll!102:102)</f>
        <v>7</v>
      </c>
    </row>
    <row r="103" spans="1:6" ht="15" thickBot="1" x14ac:dyDescent="0.35">
      <c r="A103">
        <v>102</v>
      </c>
      <c r="B103" s="4" t="s">
        <v>450</v>
      </c>
      <c r="C103" s="4" t="s">
        <v>450</v>
      </c>
      <c r="D103" t="e">
        <f>VLOOKUP(C103,DaysSince100!H:I,2,FALSE)</f>
        <v>#N/A</v>
      </c>
      <c r="E103" s="17" t="e">
        <f ca="1">OFFSET(CumulativeAll!A103,-A103,MATCH('100thDay'!D103,CumulativeAll!B103:BT103,0))</f>
        <v>#N/A</v>
      </c>
      <c r="F103" s="6">
        <f>MAX(CumulativeAll!103:103)</f>
        <v>2</v>
      </c>
    </row>
    <row r="104" spans="1:6" ht="15" thickBot="1" x14ac:dyDescent="0.35">
      <c r="A104">
        <v>103</v>
      </c>
      <c r="B104" s="5" t="s">
        <v>306</v>
      </c>
      <c r="C104" s="5" t="s">
        <v>306</v>
      </c>
      <c r="D104" t="e">
        <f>VLOOKUP(C104,DaysSince100!H:I,2,FALSE)</f>
        <v>#N/A</v>
      </c>
      <c r="E104" s="17" t="e">
        <f ca="1">OFFSET(CumulativeAll!A104,-A104,MATCH('100thDay'!D104,CumulativeAll!B104:BT104,0))</f>
        <v>#N/A</v>
      </c>
      <c r="F104" s="6">
        <f>MAX(CumulativeAll!104:104)</f>
        <v>15</v>
      </c>
    </row>
    <row r="105" spans="1:6" ht="15" thickBot="1" x14ac:dyDescent="0.35">
      <c r="A105">
        <v>104</v>
      </c>
      <c r="B105" s="4" t="s">
        <v>184</v>
      </c>
      <c r="C105" s="4" t="s">
        <v>184</v>
      </c>
      <c r="D105" t="e">
        <f>VLOOKUP(C105,DaysSince100!H:I,2,FALSE)</f>
        <v>#N/A</v>
      </c>
      <c r="E105" s="17" t="e">
        <f ca="1">OFFSET(CumulativeAll!A105,-A105,MATCH('100thDay'!D105,CumulativeAll!B105:BT105,0))</f>
        <v>#N/A</v>
      </c>
      <c r="F105" s="6">
        <f>MAX(CumulativeAll!105:105)</f>
        <v>4</v>
      </c>
    </row>
    <row r="106" spans="1:6" ht="15" thickBot="1" x14ac:dyDescent="0.35">
      <c r="A106">
        <v>105</v>
      </c>
      <c r="B106" s="5" t="s">
        <v>379</v>
      </c>
      <c r="C106" s="5" t="s">
        <v>379</v>
      </c>
      <c r="D106" t="e">
        <f>VLOOKUP(C106,DaysSince100!H:I,2,FALSE)</f>
        <v>#N/A</v>
      </c>
      <c r="E106" s="17" t="e">
        <f ca="1">OFFSET(CumulativeAll!A106,-A106,MATCH('100thDay'!D106,CumulativeAll!B106:BT106,0))</f>
        <v>#N/A</v>
      </c>
      <c r="F106" s="6">
        <f>MAX(CumulativeAll!106:106)</f>
        <v>2</v>
      </c>
    </row>
    <row r="107" spans="1:6" ht="15" thickBot="1" x14ac:dyDescent="0.35">
      <c r="A107">
        <v>106</v>
      </c>
      <c r="B107" s="5" t="s">
        <v>376</v>
      </c>
      <c r="C107" s="5" t="s">
        <v>376</v>
      </c>
      <c r="D107" t="e">
        <f>VLOOKUP(C107,DaysSince100!H:I,2,FALSE)</f>
        <v>#N/A</v>
      </c>
      <c r="E107" s="17" t="e">
        <f ca="1">OFFSET(CumulativeAll!A107,-A107,MATCH('100thDay'!D107,CumulativeAll!B107:BT107,0))</f>
        <v>#N/A</v>
      </c>
      <c r="F107" s="6">
        <f>MAX(CumulativeAll!107:107)</f>
        <v>6</v>
      </c>
    </row>
    <row r="108" spans="1:6" ht="15" thickBot="1" x14ac:dyDescent="0.35">
      <c r="A108">
        <v>107</v>
      </c>
      <c r="B108" s="5" t="s">
        <v>127</v>
      </c>
      <c r="C108" s="5" t="s">
        <v>127</v>
      </c>
      <c r="D108" t="e">
        <f>VLOOKUP(C108,DaysSince100!H:I,2,FALSE)</f>
        <v>#N/A</v>
      </c>
      <c r="E108" s="17" t="e">
        <f ca="1">OFFSET(CumulativeAll!A108,-A108,MATCH('100thDay'!D108,CumulativeAll!B108:BT108,0))</f>
        <v>#N/A</v>
      </c>
      <c r="F108" s="6">
        <f>MAX(CumulativeAll!108:108)</f>
        <v>7</v>
      </c>
    </row>
    <row r="109" spans="1:6" ht="15" thickBot="1" x14ac:dyDescent="0.35">
      <c r="A109">
        <v>108</v>
      </c>
      <c r="B109" s="5" t="s">
        <v>123</v>
      </c>
      <c r="C109" s="5" t="s">
        <v>123</v>
      </c>
      <c r="D109" t="e">
        <f>VLOOKUP(C109,DaysSince100!H:I,2,FALSE)</f>
        <v>#N/A</v>
      </c>
      <c r="E109" s="17" t="e">
        <f ca="1">OFFSET(CumulativeAll!A109,-A109,MATCH('100thDay'!D109,CumulativeAll!B109:BT109,0))</f>
        <v>#N/A</v>
      </c>
      <c r="F109" s="6">
        <f>MAX(CumulativeAll!109:109)</f>
        <v>2</v>
      </c>
    </row>
    <row r="110" spans="1:6" ht="15" thickBot="1" x14ac:dyDescent="0.35">
      <c r="A110">
        <v>109</v>
      </c>
      <c r="B110" s="5" t="s">
        <v>136</v>
      </c>
      <c r="C110" s="5" t="s">
        <v>136</v>
      </c>
      <c r="D110" t="e">
        <f>VLOOKUP(C110,DaysSince100!H:I,2,FALSE)</f>
        <v>#N/A</v>
      </c>
      <c r="E110" s="17" t="e">
        <f ca="1">OFFSET(CumulativeAll!A110,-A110,MATCH('100thDay'!D110,CumulativeAll!B110:BT110,0))</f>
        <v>#N/A</v>
      </c>
      <c r="F110" s="6">
        <f>MAX(CumulativeAll!110:110)</f>
        <v>2</v>
      </c>
    </row>
    <row r="111" spans="1:6" ht="15" thickBot="1" x14ac:dyDescent="0.35">
      <c r="A111">
        <v>110</v>
      </c>
      <c r="B111" s="5" t="s">
        <v>452</v>
      </c>
      <c r="C111" s="5" t="s">
        <v>452</v>
      </c>
      <c r="D111" t="e">
        <f>VLOOKUP(C111,DaysSince100!H:I,2,FALSE)</f>
        <v>#N/A</v>
      </c>
      <c r="E111" s="17" t="e">
        <f ca="1">OFFSET(CumulativeAll!A111,-A111,MATCH('100thDay'!D111,CumulativeAll!B111:BT111,0))</f>
        <v>#N/A</v>
      </c>
      <c r="F111" s="6">
        <f>MAX(CumulativeAll!111:111)</f>
        <v>1</v>
      </c>
    </row>
    <row r="112" spans="1:6" ht="15" thickBot="1" x14ac:dyDescent="0.35">
      <c r="A112">
        <v>111</v>
      </c>
      <c r="B112" s="5" t="s">
        <v>183</v>
      </c>
      <c r="C112" s="5" t="s">
        <v>183</v>
      </c>
      <c r="D112" t="e">
        <f>VLOOKUP(C112,DaysSince100!H:I,2,FALSE)</f>
        <v>#N/A</v>
      </c>
      <c r="E112" s="17" t="e">
        <f ca="1">OFFSET(CumulativeAll!A112,-A112,MATCH('100thDay'!D112,CumulativeAll!B112:BT112,0))</f>
        <v>#N/A</v>
      </c>
      <c r="F112" s="6">
        <f>MAX(CumulativeAll!112:112)</f>
        <v>1</v>
      </c>
    </row>
    <row r="113" spans="1:6" ht="15" thickBot="1" x14ac:dyDescent="0.35">
      <c r="A113">
        <v>112</v>
      </c>
      <c r="B113" s="5" t="s">
        <v>443</v>
      </c>
      <c r="C113" s="5" t="s">
        <v>443</v>
      </c>
      <c r="D113" t="e">
        <f>VLOOKUP(C113,DaysSince100!H:I,2,FALSE)</f>
        <v>#N/A</v>
      </c>
      <c r="E113" s="17" t="e">
        <f ca="1">OFFSET(CumulativeAll!A113,-A113,MATCH('100thDay'!D113,CumulativeAll!B113:BT113,0))</f>
        <v>#N/A</v>
      </c>
      <c r="F113" s="6">
        <f>MAX(CumulativeAll!113:113)</f>
        <v>0</v>
      </c>
    </row>
    <row r="114" spans="1:6" ht="15" thickBot="1" x14ac:dyDescent="0.35">
      <c r="A114">
        <v>113</v>
      </c>
      <c r="B114" s="4" t="s">
        <v>380</v>
      </c>
      <c r="C114" s="4" t="s">
        <v>380</v>
      </c>
      <c r="D114" t="e">
        <f>VLOOKUP(C114,DaysSince100!H:I,2,FALSE)</f>
        <v>#N/A</v>
      </c>
      <c r="E114" s="17" t="e">
        <f ca="1">OFFSET(CumulativeAll!A114,-A114,MATCH('100thDay'!D114,CumulativeAll!B114:BT114,0))</f>
        <v>#N/A</v>
      </c>
      <c r="F114" s="6">
        <f>MAX(CumulativeAll!114:114)</f>
        <v>1</v>
      </c>
    </row>
    <row r="115" spans="1:6" ht="15" thickBot="1" x14ac:dyDescent="0.35">
      <c r="A115">
        <v>114</v>
      </c>
      <c r="B115" s="5" t="s">
        <v>447</v>
      </c>
      <c r="C115" s="5" t="s">
        <v>447</v>
      </c>
      <c r="D115" t="e">
        <f>VLOOKUP(C115,DaysSince100!H:I,2,FALSE)</f>
        <v>#N/A</v>
      </c>
      <c r="E115" s="17" t="e">
        <f ca="1">OFFSET(CumulativeAll!A115,-A115,MATCH('100thDay'!D115,CumulativeAll!B115:BT115,0))</f>
        <v>#N/A</v>
      </c>
      <c r="F115" s="6">
        <f>MAX(CumulativeAll!115:115)</f>
        <v>5</v>
      </c>
    </row>
    <row r="116" spans="1:6" ht="15" thickBot="1" x14ac:dyDescent="0.35">
      <c r="A116">
        <v>115</v>
      </c>
      <c r="B116" s="4" t="s">
        <v>444</v>
      </c>
      <c r="C116" s="4" t="s">
        <v>444</v>
      </c>
      <c r="D116" t="e">
        <f>VLOOKUP(C116,DaysSince100!H:I,2,FALSE)</f>
        <v>#N/A</v>
      </c>
      <c r="E116" s="17" t="e">
        <f ca="1">OFFSET(CumulativeAll!A116,-A116,MATCH('100thDay'!D116,CumulativeAll!B116:BT116,0))</f>
        <v>#N/A</v>
      </c>
      <c r="F116" s="6">
        <f>MAX(CumulativeAll!116:116)</f>
        <v>6</v>
      </c>
    </row>
    <row r="117" spans="1:6" ht="15" thickBot="1" x14ac:dyDescent="0.35">
      <c r="A117">
        <v>116</v>
      </c>
      <c r="B117" s="5" t="s">
        <v>449</v>
      </c>
      <c r="C117" s="5" t="s">
        <v>449</v>
      </c>
      <c r="D117" t="e">
        <f>VLOOKUP(C117,DaysSince100!H:I,2,FALSE)</f>
        <v>#N/A</v>
      </c>
      <c r="E117" s="17" t="e">
        <f ca="1">OFFSET(CumulativeAll!A117,-A117,MATCH('100thDay'!D117,CumulativeAll!B117:BT117,0))</f>
        <v>#N/A</v>
      </c>
      <c r="F117" s="6">
        <f>MAX(CumulativeAll!117:117)</f>
        <v>1</v>
      </c>
    </row>
    <row r="118" spans="1:6" ht="15" thickBot="1" x14ac:dyDescent="0.35">
      <c r="A118">
        <v>117</v>
      </c>
      <c r="B118" s="4" t="s">
        <v>439</v>
      </c>
      <c r="C118" s="4" t="s">
        <v>439</v>
      </c>
      <c r="D118" t="e">
        <f>VLOOKUP(C118,DaysSince100!H:I,2,FALSE)</f>
        <v>#N/A</v>
      </c>
      <c r="E118" s="17" t="e">
        <f ca="1">OFFSET(CumulativeAll!A118,-A118,MATCH('100thDay'!D118,CumulativeAll!B118:BT118,0))</f>
        <v>#N/A</v>
      </c>
      <c r="F118" s="6">
        <f>MAX(CumulativeAll!118:118)</f>
        <v>4</v>
      </c>
    </row>
    <row r="119" spans="1:6" ht="15" thickBot="1" x14ac:dyDescent="0.35">
      <c r="A119">
        <v>118</v>
      </c>
      <c r="B119" s="4" t="s">
        <v>308</v>
      </c>
      <c r="C119" s="4" t="s">
        <v>308</v>
      </c>
      <c r="D119" t="e">
        <f>VLOOKUP(C119,DaysSince100!H:I,2,FALSE)</f>
        <v>#N/A</v>
      </c>
      <c r="E119" s="17" t="e">
        <f ca="1">OFFSET(CumulativeAll!A119,-A119,MATCH('100thDay'!D119,CumulativeAll!B119:BT119,0))</f>
        <v>#N/A</v>
      </c>
      <c r="F119" s="6">
        <f>MAX(CumulativeAll!119:119)</f>
        <v>1</v>
      </c>
    </row>
    <row r="120" spans="1:6" ht="15" thickBot="1" x14ac:dyDescent="0.35">
      <c r="A120">
        <v>119</v>
      </c>
      <c r="B120" s="5" t="s">
        <v>152</v>
      </c>
      <c r="C120" s="5" t="s">
        <v>152</v>
      </c>
      <c r="D120" t="e">
        <f>VLOOKUP(C120,DaysSince100!H:I,2,FALSE)</f>
        <v>#N/A</v>
      </c>
      <c r="E120" s="17" t="e">
        <f ca="1">OFFSET(CumulativeAll!A120,-A120,MATCH('100thDay'!D120,CumulativeAll!B120:BT120,0))</f>
        <v>#N/A</v>
      </c>
      <c r="F120" s="6">
        <f>MAX(CumulativeAll!120:120)</f>
        <v>17</v>
      </c>
    </row>
    <row r="121" spans="1:6" ht="15" thickBot="1" x14ac:dyDescent="0.35">
      <c r="A121">
        <v>120</v>
      </c>
      <c r="B121" s="4" t="s">
        <v>451</v>
      </c>
      <c r="C121" s="4" t="s">
        <v>451</v>
      </c>
      <c r="D121" t="e">
        <f>VLOOKUP(C121,DaysSince100!H:I,2,FALSE)</f>
        <v>#N/A</v>
      </c>
      <c r="E121" s="17" t="e">
        <f ca="1">OFFSET(CumulativeAll!A121,-A121,MATCH('100thDay'!D121,CumulativeAll!B121:BT121,0))</f>
        <v>#N/A</v>
      </c>
      <c r="F121" s="6">
        <f>MAX(CumulativeAll!121:121)</f>
        <v>3</v>
      </c>
    </row>
    <row r="122" spans="1:6" ht="15" thickBot="1" x14ac:dyDescent="0.35">
      <c r="A122">
        <v>121</v>
      </c>
      <c r="B122" s="5" t="s">
        <v>163</v>
      </c>
      <c r="C122" s="5" t="s">
        <v>163</v>
      </c>
      <c r="D122" t="e">
        <f>VLOOKUP(C122,DaysSince100!H:I,2,FALSE)</f>
        <v>#N/A</v>
      </c>
      <c r="E122" s="17" t="e">
        <f ca="1">OFFSET(CumulativeAll!A122,-A122,MATCH('100thDay'!D122,CumulativeAll!B122:BT122,0))</f>
        <v>#N/A</v>
      </c>
      <c r="F122" s="6">
        <f>MAX(CumulativeAll!122:122)</f>
        <v>4</v>
      </c>
    </row>
    <row r="123" spans="1:6" ht="15" thickBot="1" x14ac:dyDescent="0.35">
      <c r="A123">
        <v>122</v>
      </c>
      <c r="B123" s="5" t="s">
        <v>309</v>
      </c>
      <c r="C123" s="5" t="s">
        <v>309</v>
      </c>
      <c r="D123" t="e">
        <f>VLOOKUP(C123,DaysSince100!H:I,2,FALSE)</f>
        <v>#N/A</v>
      </c>
      <c r="E123" s="17" t="e">
        <f ca="1">OFFSET(CumulativeAll!A123,-A123,MATCH('100thDay'!D123,CumulativeAll!B123:BT123,0))</f>
        <v>#N/A</v>
      </c>
      <c r="F123" s="6">
        <f>MAX(CumulativeAll!123:123)</f>
        <v>1</v>
      </c>
    </row>
    <row r="124" spans="1:6" ht="15" thickBot="1" x14ac:dyDescent="0.35">
      <c r="A124">
        <v>123</v>
      </c>
      <c r="B124" s="5" t="s">
        <v>69</v>
      </c>
      <c r="C124" s="5" t="s">
        <v>69</v>
      </c>
      <c r="D124" t="e">
        <f>VLOOKUP(C124,DaysSince100!H:I,2,FALSE)</f>
        <v>#N/A</v>
      </c>
      <c r="E124" s="17" t="e">
        <f ca="1">OFFSET(CumulativeAll!A124,-A124,MATCH('100thDay'!D124,CumulativeAll!B124:BT124,0))</f>
        <v>#N/A</v>
      </c>
      <c r="F124" s="6">
        <f>MAX(CumulativeAll!124:124)</f>
        <v>1</v>
      </c>
    </row>
    <row r="125" spans="1:6" ht="15" thickBot="1" x14ac:dyDescent="0.35">
      <c r="A125">
        <v>124</v>
      </c>
      <c r="B125" s="4" t="s">
        <v>448</v>
      </c>
      <c r="C125" s="4" t="s">
        <v>448</v>
      </c>
      <c r="D125" t="e">
        <f>VLOOKUP(C125,DaysSince100!H:I,2,FALSE)</f>
        <v>#N/A</v>
      </c>
      <c r="E125" s="17" t="e">
        <f ca="1">OFFSET(CumulativeAll!A125,-A125,MATCH('100thDay'!D125,CumulativeAll!B125:BT125,0))</f>
        <v>#N/A</v>
      </c>
      <c r="F125" s="6">
        <f>MAX(CumulativeAll!125:125)</f>
        <v>1</v>
      </c>
    </row>
    <row r="126" spans="1:6" ht="15" thickBot="1" x14ac:dyDescent="0.35">
      <c r="A126">
        <v>125</v>
      </c>
      <c r="B126" t="e">
        <f>VLOOKUP(A125,DaysSince100!G:H,2,FALSE)</f>
        <v>#N/A</v>
      </c>
      <c r="C126" t="e">
        <f>VLOOKUP(B127,DaysSince100!H:I,2,FALSE)</f>
        <v>#N/A</v>
      </c>
      <c r="D126" s="17" t="e">
        <f ca="1">OFFSET(CumulativeAll!A126,-A126,MATCH('100thDay'!C126,CumulativeAll!B126:BT126,0))</f>
        <v>#N/A</v>
      </c>
      <c r="E126" s="6">
        <f>MAX(CumulativeAll!126:126)</f>
        <v>1</v>
      </c>
    </row>
    <row r="127" spans="1:6" ht="15" thickBot="1" x14ac:dyDescent="0.35">
      <c r="B127" s="4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T2" activePane="bottomRight" state="frozen"/>
      <selection pane="topRight" activeCell="B1" sqref="B1"/>
      <selection pane="bottomLeft" activeCell="A2" sqref="A2"/>
      <selection pane="bottomRight" activeCell="H58" sqref="H58"/>
    </sheetView>
  </sheetViews>
  <sheetFormatPr defaultRowHeight="14.4" x14ac:dyDescent="0.3"/>
  <cols>
    <col min="1" max="1" width="13.77734375" style="3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4" t="s">
        <v>365</v>
      </c>
      <c r="B2">
        <f>SUMIF(RawData!$C:$C,$A2,RawData!F:F)</f>
        <v>548</v>
      </c>
      <c r="C2">
        <f>SUMIF(RawData!$C:$C,$A2,RawData!G:G)</f>
        <v>643</v>
      </c>
      <c r="D2">
        <f>SUMIF(RawData!$C:$C,$A2,RawData!H:H)</f>
        <v>920</v>
      </c>
      <c r="E2">
        <f>SUMIF(RawData!$C:$C,$A2,RawData!I:I)</f>
        <v>1406</v>
      </c>
      <c r="F2">
        <f>SUMIF(RawData!$C:$C,$A2,RawData!J:J)</f>
        <v>2075</v>
      </c>
      <c r="G2">
        <f>SUMIF(RawData!$C:$C,$A2,RawData!K:K)</f>
        <v>2877</v>
      </c>
      <c r="H2">
        <f>SUMIF(RawData!$C:$C,$A2,RawData!L:L)</f>
        <v>5509</v>
      </c>
      <c r="I2">
        <f>SUMIF(RawData!$C:$C,$A2,RawData!M:M)</f>
        <v>6087</v>
      </c>
      <c r="J2">
        <f>SUMIF(RawData!$C:$C,$A2,RawData!N:N)</f>
        <v>8141</v>
      </c>
      <c r="K2">
        <f>SUMIF(RawData!$C:$C,$A2,RawData!O:O)</f>
        <v>9802</v>
      </c>
      <c r="L2">
        <f>SUMIF(RawData!$C:$C,$A2,RawData!P:P)</f>
        <v>11891</v>
      </c>
      <c r="M2">
        <f>SUMIF(RawData!$C:$C,$A2,RawData!Q:Q)</f>
        <v>16630</v>
      </c>
      <c r="N2">
        <f>SUMIF(RawData!$C:$C,$A2,RawData!R:R)</f>
        <v>19716</v>
      </c>
      <c r="O2">
        <f>SUMIF(RawData!$C:$C,$A2,RawData!S:S)</f>
        <v>23707</v>
      </c>
      <c r="P2">
        <f>SUMIF(RawData!$C:$C,$A2,RawData!T:T)</f>
        <v>27440</v>
      </c>
      <c r="Q2">
        <f>SUMIF(RawData!$C:$C,$A2,RawData!U:U)</f>
        <v>30587</v>
      </c>
      <c r="R2">
        <f>SUMIF(RawData!$C:$C,$A2,RawData!V:V)</f>
        <v>34110</v>
      </c>
      <c r="S2">
        <f>SUMIF(RawData!$C:$C,$A2,RawData!W:W)</f>
        <v>36814</v>
      </c>
      <c r="T2">
        <f>SUMIF(RawData!$C:$C,$A2,RawData!X:X)</f>
        <v>39829</v>
      </c>
      <c r="U2">
        <f>SUMIF(RawData!$C:$C,$A2,RawData!Y:Y)</f>
        <v>42354</v>
      </c>
      <c r="V2">
        <f>SUMIF(RawData!$C:$C,$A2,RawData!Z:Z)</f>
        <v>44386</v>
      </c>
      <c r="W2">
        <f>SUMIF(RawData!$C:$C,$A2,RawData!AA:AA)</f>
        <v>44759</v>
      </c>
      <c r="X2">
        <f>SUMIF(RawData!$C:$C,$A2,RawData!AB:AB)</f>
        <v>59895</v>
      </c>
      <c r="Y2">
        <f>SUMIF(RawData!$C:$C,$A2,RawData!AC:AC)</f>
        <v>66358</v>
      </c>
      <c r="Z2">
        <f>SUMIF(RawData!$C:$C,$A2,RawData!AD:AD)</f>
        <v>68413</v>
      </c>
      <c r="AA2">
        <f>SUMIF(RawData!$C:$C,$A2,RawData!AE:AE)</f>
        <v>70513</v>
      </c>
      <c r="AB2">
        <f>SUMIF(RawData!$C:$C,$A2,RawData!AF:AF)</f>
        <v>72434</v>
      </c>
      <c r="AC2">
        <f>SUMIF(RawData!$C:$C,$A2,RawData!AG:AG)</f>
        <v>74211</v>
      </c>
      <c r="AD2">
        <f>SUMIF(RawData!$C:$C,$A2,RawData!AH:AH)</f>
        <v>74619</v>
      </c>
      <c r="AE2">
        <f>SUMIF(RawData!$C:$C,$A2,RawData!AI:AI)</f>
        <v>75077</v>
      </c>
      <c r="AF2">
        <f>SUMIF(RawData!$C:$C,$A2,RawData!AJ:AJ)</f>
        <v>75550</v>
      </c>
      <c r="AG2">
        <f>SUMIF(RawData!$C:$C,$A2,RawData!AK:AK)</f>
        <v>77001</v>
      </c>
      <c r="AH2">
        <f>SUMIF(RawData!$C:$C,$A2,RawData!AL:AL)</f>
        <v>77022</v>
      </c>
      <c r="AI2">
        <f>SUMIF(RawData!$C:$C,$A2,RawData!AM:AM)</f>
        <v>77241</v>
      </c>
      <c r="AJ2">
        <f>SUMIF(RawData!$C:$C,$A2,RawData!AN:AN)</f>
        <v>77754</v>
      </c>
      <c r="AK2">
        <f>SUMIF(RawData!$C:$C,$A2,RawData!AO:AO)</f>
        <v>78166</v>
      </c>
      <c r="AL2">
        <f>SUMIF(RawData!$C:$C,$A2,RawData!AP:AP)</f>
        <v>78600</v>
      </c>
      <c r="AM2">
        <f>SUMIF(RawData!$C:$C,$A2,RawData!AQ:AQ)</f>
        <v>78928</v>
      </c>
      <c r="AN2">
        <f>SUMIF(RawData!$C:$C,$A2,RawData!AR:AR)</f>
        <v>79356</v>
      </c>
      <c r="AO2">
        <f>SUMIF(RawData!$C:$C,$A2,RawData!AS:AS)</f>
        <v>79932</v>
      </c>
      <c r="AP2">
        <f>SUMIF(RawData!$C:$C,$A2,RawData!AT:AT)</f>
        <v>80136</v>
      </c>
      <c r="AQ2">
        <f>SUMIF(RawData!$C:$C,$A2,RawData!AU:AU)</f>
        <v>80261</v>
      </c>
      <c r="AR2">
        <f>SUMIF(RawData!$C:$C,$A2,RawData!AV:AV)</f>
        <v>80386</v>
      </c>
      <c r="AS2">
        <f>SUMIF(RawData!$C:$C,$A2,RawData!AW:AW)</f>
        <v>80537</v>
      </c>
      <c r="AT2">
        <f>SUMIF(RawData!$C:$C,$A2,RawData!AX:AX)</f>
        <v>80690</v>
      </c>
      <c r="AU2">
        <f>SUMIF(RawData!$C:$C,$A2,RawData!AY:AY)</f>
        <v>80770</v>
      </c>
      <c r="AV2">
        <f>SUMIF(RawData!$C:$C,$A2,RawData!AZ:AZ)</f>
        <v>80823</v>
      </c>
      <c r="AW2">
        <f>SUMIF(RawData!$C:$C,$A2,RawData!BA:BA)</f>
        <v>80860</v>
      </c>
      <c r="AX2">
        <f>SUMIF(RawData!$C:$C,$A2,RawData!BB:BB)</f>
        <v>80887</v>
      </c>
      <c r="AY2">
        <f>SUMIF(RawData!$C:$C,$A2,RawData!BC:BC)</f>
        <v>80921</v>
      </c>
      <c r="AZ2">
        <f>SUMIF(RawData!$C:$C,$A2,RawData!BD:BD)</f>
        <v>80932</v>
      </c>
      <c r="BA2">
        <f>SUMIF(RawData!$C:$C,$A2,RawData!BE:BE)</f>
        <v>80945</v>
      </c>
      <c r="BB2">
        <f>SUMIF(RawData!$C:$C,$A2,RawData!BF:BF)</f>
        <v>80977</v>
      </c>
      <c r="BC2">
        <f>SUMIF(RawData!$C:$C,$A2,RawData!BG:BG)</f>
        <v>81003</v>
      </c>
      <c r="BD2">
        <f>SUMIF(RawData!$C:$C,$A2,RawData!BH:BH)</f>
        <v>81033</v>
      </c>
      <c r="BE2">
        <f>SUMIF(RawData!$C:$C,$A2,RawData!BI:BI)</f>
        <v>0</v>
      </c>
      <c r="BF2">
        <f>SUMIF(RawData!$C:$C,$A2,RawData!BJ:BJ)</f>
        <v>0</v>
      </c>
      <c r="BG2">
        <f>SUMIF(RawData!$C:$C,$A2,RawData!BK:BK)</f>
        <v>0</v>
      </c>
      <c r="BH2">
        <f>SUMIF(RawData!$C:$C,$A2,RawData!BL:BL)</f>
        <v>0</v>
      </c>
      <c r="BI2">
        <f>SUMIF(RawData!$C:$C,$A2,RawData!BM:BM)</f>
        <v>0</v>
      </c>
      <c r="BJ2">
        <f>SUMIF(RawData!$C:$C,$A2,RawData!BN:BN)</f>
        <v>0</v>
      </c>
      <c r="BK2">
        <f>SUMIF(RawData!$C:$C,$A2,RawData!BO:BO)</f>
        <v>0</v>
      </c>
      <c r="BL2">
        <f>SUMIF(RawData!$C:$C,$A2,RawData!BP:BP)</f>
        <v>0</v>
      </c>
      <c r="BM2">
        <f>SUMIF(RawData!$C:$C,$A2,RawData!BQ:BQ)</f>
        <v>0</v>
      </c>
      <c r="BN2">
        <f>SUMIF(RawData!$C:$C,$A2,RawData!BR:BR)</f>
        <v>0</v>
      </c>
      <c r="BO2">
        <f>SUMIF(RawData!$C:$C,$A2,RawData!BS:BS)</f>
        <v>0</v>
      </c>
      <c r="BP2">
        <f>SUMIF(RawData!$C:$C,$A2,RawData!BT:BT)</f>
        <v>0</v>
      </c>
      <c r="BQ2">
        <f>SUMIF(RawData!$C:$C,$A2,RawData!BU:BU)</f>
        <v>0</v>
      </c>
      <c r="BR2">
        <f>SUMIF(RawData!$C:$C,$A2,RawData!BV:BV)</f>
        <v>0</v>
      </c>
      <c r="BS2">
        <f>SUMIF(RawData!$C:$C,$A2,RawData!BW:BW)</f>
        <v>0</v>
      </c>
      <c r="BT2">
        <f>SUMIF(RawData!$C:$C,$A2,RawData!BX:BX)</f>
        <v>0</v>
      </c>
    </row>
    <row r="3" spans="1:72" ht="15" thickBot="1" x14ac:dyDescent="0.35">
      <c r="A3" s="4" t="s">
        <v>85</v>
      </c>
      <c r="B3">
        <f>SUMIF(RawData!$C:$C,$A3,RawData!F:F)</f>
        <v>0</v>
      </c>
      <c r="C3">
        <f>SUMIF(RawData!$C:$C,$A3,RawData!G:G)</f>
        <v>0</v>
      </c>
      <c r="D3">
        <f>SUMIF(RawData!$C:$C,$A3,RawData!H:H)</f>
        <v>0</v>
      </c>
      <c r="E3">
        <f>SUMIF(RawData!$C:$C,$A3,RawData!I:I)</f>
        <v>0</v>
      </c>
      <c r="F3">
        <f>SUMIF(RawData!$C:$C,$A3,RawData!J:J)</f>
        <v>0</v>
      </c>
      <c r="G3">
        <f>SUMIF(RawData!$C:$C,$A3,RawData!K:K)</f>
        <v>0</v>
      </c>
      <c r="H3">
        <f>SUMIF(RawData!$C:$C,$A3,RawData!L:L)</f>
        <v>0</v>
      </c>
      <c r="I3">
        <f>SUMIF(RawData!$C:$C,$A3,RawData!M:M)</f>
        <v>0</v>
      </c>
      <c r="J3">
        <f>SUMIF(RawData!$C:$C,$A3,RawData!N:N)</f>
        <v>0</v>
      </c>
      <c r="K3">
        <f>SUMIF(RawData!$C:$C,$A3,RawData!O:O)</f>
        <v>2</v>
      </c>
      <c r="L3">
        <f>SUMIF(RawData!$C:$C,$A3,RawData!P:P)</f>
        <v>2</v>
      </c>
      <c r="M3">
        <f>SUMIF(RawData!$C:$C,$A3,RawData!Q:Q)</f>
        <v>2</v>
      </c>
      <c r="N3">
        <f>SUMIF(RawData!$C:$C,$A3,RawData!R:R)</f>
        <v>2</v>
      </c>
      <c r="O3">
        <f>SUMIF(RawData!$C:$C,$A3,RawData!S:S)</f>
        <v>2</v>
      </c>
      <c r="P3">
        <f>SUMIF(RawData!$C:$C,$A3,RawData!T:T)</f>
        <v>2</v>
      </c>
      <c r="Q3">
        <f>SUMIF(RawData!$C:$C,$A3,RawData!U:U)</f>
        <v>2</v>
      </c>
      <c r="R3">
        <f>SUMIF(RawData!$C:$C,$A3,RawData!V:V)</f>
        <v>3</v>
      </c>
      <c r="S3">
        <f>SUMIF(RawData!$C:$C,$A3,RawData!W:W)</f>
        <v>3</v>
      </c>
      <c r="T3">
        <f>SUMIF(RawData!$C:$C,$A3,RawData!X:X)</f>
        <v>3</v>
      </c>
      <c r="U3">
        <f>SUMIF(RawData!$C:$C,$A3,RawData!Y:Y)</f>
        <v>3</v>
      </c>
      <c r="V3">
        <f>SUMIF(RawData!$C:$C,$A3,RawData!Z:Z)</f>
        <v>3</v>
      </c>
      <c r="W3">
        <f>SUMIF(RawData!$C:$C,$A3,RawData!AA:AA)</f>
        <v>3</v>
      </c>
      <c r="X3">
        <f>SUMIF(RawData!$C:$C,$A3,RawData!AB:AB)</f>
        <v>3</v>
      </c>
      <c r="Y3">
        <f>SUMIF(RawData!$C:$C,$A3,RawData!AC:AC)</f>
        <v>3</v>
      </c>
      <c r="Z3">
        <f>SUMIF(RawData!$C:$C,$A3,RawData!AD:AD)</f>
        <v>3</v>
      </c>
      <c r="AA3">
        <f>SUMIF(RawData!$C:$C,$A3,RawData!AE:AE)</f>
        <v>3</v>
      </c>
      <c r="AB3">
        <f>SUMIF(RawData!$C:$C,$A3,RawData!AF:AF)</f>
        <v>3</v>
      </c>
      <c r="AC3">
        <f>SUMIF(RawData!$C:$C,$A3,RawData!AG:AG)</f>
        <v>3</v>
      </c>
      <c r="AD3">
        <f>SUMIF(RawData!$C:$C,$A3,RawData!AH:AH)</f>
        <v>3</v>
      </c>
      <c r="AE3">
        <f>SUMIF(RawData!$C:$C,$A3,RawData!AI:AI)</f>
        <v>3</v>
      </c>
      <c r="AF3">
        <f>SUMIF(RawData!$C:$C,$A3,RawData!AJ:AJ)</f>
        <v>20</v>
      </c>
      <c r="AG3">
        <f>SUMIF(RawData!$C:$C,$A3,RawData!AK:AK)</f>
        <v>62</v>
      </c>
      <c r="AH3">
        <f>SUMIF(RawData!$C:$C,$A3,RawData!AL:AL)</f>
        <v>155</v>
      </c>
      <c r="AI3">
        <f>SUMIF(RawData!$C:$C,$A3,RawData!AM:AM)</f>
        <v>229</v>
      </c>
      <c r="AJ3">
        <f>SUMIF(RawData!$C:$C,$A3,RawData!AN:AN)</f>
        <v>322</v>
      </c>
      <c r="AK3">
        <f>SUMIF(RawData!$C:$C,$A3,RawData!AO:AO)</f>
        <v>453</v>
      </c>
      <c r="AL3">
        <f>SUMIF(RawData!$C:$C,$A3,RawData!AP:AP)</f>
        <v>655</v>
      </c>
      <c r="AM3">
        <f>SUMIF(RawData!$C:$C,$A3,RawData!AQ:AQ)</f>
        <v>888</v>
      </c>
      <c r="AN3">
        <f>SUMIF(RawData!$C:$C,$A3,RawData!AR:AR)</f>
        <v>1128</v>
      </c>
      <c r="AO3">
        <f>SUMIF(RawData!$C:$C,$A3,RawData!AS:AS)</f>
        <v>1694</v>
      </c>
      <c r="AP3">
        <f>SUMIF(RawData!$C:$C,$A3,RawData!AT:AT)</f>
        <v>2036</v>
      </c>
      <c r="AQ3">
        <f>SUMIF(RawData!$C:$C,$A3,RawData!AU:AU)</f>
        <v>2502</v>
      </c>
      <c r="AR3">
        <f>SUMIF(RawData!$C:$C,$A3,RawData!AV:AV)</f>
        <v>3089</v>
      </c>
      <c r="AS3">
        <f>SUMIF(RawData!$C:$C,$A3,RawData!AW:AW)</f>
        <v>3858</v>
      </c>
      <c r="AT3">
        <f>SUMIF(RawData!$C:$C,$A3,RawData!AX:AX)</f>
        <v>4636</v>
      </c>
      <c r="AU3">
        <f>SUMIF(RawData!$C:$C,$A3,RawData!AY:AY)</f>
        <v>5883</v>
      </c>
      <c r="AV3">
        <f>SUMIF(RawData!$C:$C,$A3,RawData!AZ:AZ)</f>
        <v>7375</v>
      </c>
      <c r="AW3">
        <f>SUMIF(RawData!$C:$C,$A3,RawData!BA:BA)</f>
        <v>9172</v>
      </c>
      <c r="AX3">
        <f>SUMIF(RawData!$C:$C,$A3,RawData!BB:BB)</f>
        <v>10149</v>
      </c>
      <c r="AY3">
        <f>SUMIF(RawData!$C:$C,$A3,RawData!BC:BC)</f>
        <v>12462</v>
      </c>
      <c r="AZ3">
        <f>SUMIF(RawData!$C:$C,$A3,RawData!BD:BD)</f>
        <v>12462</v>
      </c>
      <c r="BA3">
        <f>SUMIF(RawData!$C:$C,$A3,RawData!BE:BE)</f>
        <v>17660</v>
      </c>
      <c r="BB3">
        <f>SUMIF(RawData!$C:$C,$A3,RawData!BF:BF)</f>
        <v>21157</v>
      </c>
      <c r="BC3">
        <f>SUMIF(RawData!$C:$C,$A3,RawData!BG:BG)</f>
        <v>24747</v>
      </c>
      <c r="BD3">
        <f>SUMIF(RawData!$C:$C,$A3,RawData!BH:BH)</f>
        <v>27980</v>
      </c>
      <c r="BE3">
        <f>SUMIF(RawData!$C:$C,$A3,RawData!BI:BI)</f>
        <v>0</v>
      </c>
      <c r="BF3">
        <f>SUMIF(RawData!$C:$C,$A3,RawData!BJ:BJ)</f>
        <v>0</v>
      </c>
      <c r="BG3">
        <f>SUMIF(RawData!$C:$C,$A3,RawData!BK:BK)</f>
        <v>0</v>
      </c>
      <c r="BH3">
        <f>SUMIF(RawData!$C:$C,$A3,RawData!BL:BL)</f>
        <v>0</v>
      </c>
      <c r="BI3">
        <f>SUMIF(RawData!$C:$C,$A3,RawData!BM:BM)</f>
        <v>0</v>
      </c>
      <c r="BJ3">
        <f>SUMIF(RawData!$C:$C,$A3,RawData!BN:BN)</f>
        <v>0</v>
      </c>
      <c r="BK3">
        <f>SUMIF(RawData!$C:$C,$A3,RawData!BO:BO)</f>
        <v>0</v>
      </c>
      <c r="BL3">
        <f>SUMIF(RawData!$C:$C,$A3,RawData!BP:BP)</f>
        <v>0</v>
      </c>
      <c r="BM3">
        <f>SUMIF(RawData!$C:$C,$A3,RawData!BQ:BQ)</f>
        <v>0</v>
      </c>
      <c r="BN3">
        <f>SUMIF(RawData!$C:$C,$A3,RawData!BR:BR)</f>
        <v>0</v>
      </c>
      <c r="BO3">
        <f>SUMIF(RawData!$C:$C,$A3,RawData!BS:BS)</f>
        <v>0</v>
      </c>
      <c r="BP3">
        <f>SUMIF(RawData!$C:$C,$A3,RawData!BT:BT)</f>
        <v>0</v>
      </c>
      <c r="BQ3">
        <f>SUMIF(RawData!$C:$C,$A3,RawData!BU:BU)</f>
        <v>0</v>
      </c>
      <c r="BR3">
        <f>SUMIF(RawData!$C:$C,$A3,RawData!BV:BV)</f>
        <v>0</v>
      </c>
      <c r="BS3">
        <f>SUMIF(RawData!$C:$C,$A3,RawData!BW:BW)</f>
        <v>0</v>
      </c>
      <c r="BT3">
        <f>SUMIF(RawData!$C:$C,$A3,RawData!BX:BX)</f>
        <v>0</v>
      </c>
    </row>
    <row r="4" spans="1:72" ht="15" thickBot="1" x14ac:dyDescent="0.35">
      <c r="A4" s="5" t="s">
        <v>366</v>
      </c>
      <c r="B4">
        <f>SUMIF(RawData!$C:$C,$A4,RawData!F:F)</f>
        <v>0</v>
      </c>
      <c r="C4">
        <f>SUMIF(RawData!$C:$C,$A4,RawData!G:G)</f>
        <v>0</v>
      </c>
      <c r="D4">
        <f>SUMIF(RawData!$C:$C,$A4,RawData!H:H)</f>
        <v>0</v>
      </c>
      <c r="E4">
        <f>SUMIF(RawData!$C:$C,$A4,RawData!I:I)</f>
        <v>0</v>
      </c>
      <c r="F4">
        <f>SUMIF(RawData!$C:$C,$A4,RawData!J:J)</f>
        <v>0</v>
      </c>
      <c r="G4">
        <f>SUMIF(RawData!$C:$C,$A4,RawData!K:K)</f>
        <v>0</v>
      </c>
      <c r="H4">
        <f>SUMIF(RawData!$C:$C,$A4,RawData!L:L)</f>
        <v>0</v>
      </c>
      <c r="I4">
        <f>SUMIF(RawData!$C:$C,$A4,RawData!M:M)</f>
        <v>0</v>
      </c>
      <c r="J4">
        <f>SUMIF(RawData!$C:$C,$A4,RawData!N:N)</f>
        <v>0</v>
      </c>
      <c r="K4">
        <f>SUMIF(RawData!$C:$C,$A4,RawData!O:O)</f>
        <v>0</v>
      </c>
      <c r="L4">
        <f>SUMIF(RawData!$C:$C,$A4,RawData!P:P)</f>
        <v>0</v>
      </c>
      <c r="M4">
        <f>SUMIF(RawData!$C:$C,$A4,RawData!Q:Q)</f>
        <v>0</v>
      </c>
      <c r="N4">
        <f>SUMIF(RawData!$C:$C,$A4,RawData!R:R)</f>
        <v>0</v>
      </c>
      <c r="O4">
        <f>SUMIF(RawData!$C:$C,$A4,RawData!S:S)</f>
        <v>0</v>
      </c>
      <c r="P4">
        <f>SUMIF(RawData!$C:$C,$A4,RawData!T:T)</f>
        <v>0</v>
      </c>
      <c r="Q4">
        <f>SUMIF(RawData!$C:$C,$A4,RawData!U:U)</f>
        <v>0</v>
      </c>
      <c r="R4">
        <f>SUMIF(RawData!$C:$C,$A4,RawData!V:V)</f>
        <v>0</v>
      </c>
      <c r="S4">
        <f>SUMIF(RawData!$C:$C,$A4,RawData!W:W)</f>
        <v>0</v>
      </c>
      <c r="T4">
        <f>SUMIF(RawData!$C:$C,$A4,RawData!X:X)</f>
        <v>0</v>
      </c>
      <c r="U4">
        <f>SUMIF(RawData!$C:$C,$A4,RawData!Y:Y)</f>
        <v>0</v>
      </c>
      <c r="V4">
        <f>SUMIF(RawData!$C:$C,$A4,RawData!Z:Z)</f>
        <v>0</v>
      </c>
      <c r="W4">
        <f>SUMIF(RawData!$C:$C,$A4,RawData!AA:AA)</f>
        <v>0</v>
      </c>
      <c r="X4">
        <f>SUMIF(RawData!$C:$C,$A4,RawData!AB:AB)</f>
        <v>0</v>
      </c>
      <c r="Y4">
        <f>SUMIF(RawData!$C:$C,$A4,RawData!AC:AC)</f>
        <v>0</v>
      </c>
      <c r="Z4">
        <f>SUMIF(RawData!$C:$C,$A4,RawData!AD:AD)</f>
        <v>0</v>
      </c>
      <c r="AA4">
        <f>SUMIF(RawData!$C:$C,$A4,RawData!AE:AE)</f>
        <v>0</v>
      </c>
      <c r="AB4">
        <f>SUMIF(RawData!$C:$C,$A4,RawData!AF:AF)</f>
        <v>0</v>
      </c>
      <c r="AC4">
        <f>SUMIF(RawData!$C:$C,$A4,RawData!AG:AG)</f>
        <v>0</v>
      </c>
      <c r="AD4">
        <f>SUMIF(RawData!$C:$C,$A4,RawData!AH:AH)</f>
        <v>2</v>
      </c>
      <c r="AE4">
        <f>SUMIF(RawData!$C:$C,$A4,RawData!AI:AI)</f>
        <v>5</v>
      </c>
      <c r="AF4">
        <f>SUMIF(RawData!$C:$C,$A4,RawData!AJ:AJ)</f>
        <v>18</v>
      </c>
      <c r="AG4">
        <f>SUMIF(RawData!$C:$C,$A4,RawData!AK:AK)</f>
        <v>28</v>
      </c>
      <c r="AH4">
        <f>SUMIF(RawData!$C:$C,$A4,RawData!AL:AL)</f>
        <v>43</v>
      </c>
      <c r="AI4">
        <f>SUMIF(RawData!$C:$C,$A4,RawData!AM:AM)</f>
        <v>61</v>
      </c>
      <c r="AJ4">
        <f>SUMIF(RawData!$C:$C,$A4,RawData!AN:AN)</f>
        <v>95</v>
      </c>
      <c r="AK4">
        <f>SUMIF(RawData!$C:$C,$A4,RawData!AO:AO)</f>
        <v>139</v>
      </c>
      <c r="AL4">
        <f>SUMIF(RawData!$C:$C,$A4,RawData!AP:AP)</f>
        <v>245</v>
      </c>
      <c r="AM4">
        <f>SUMIF(RawData!$C:$C,$A4,RawData!AQ:AQ)</f>
        <v>388</v>
      </c>
      <c r="AN4">
        <f>SUMIF(RawData!$C:$C,$A4,RawData!AR:AR)</f>
        <v>593</v>
      </c>
      <c r="AO4">
        <f>SUMIF(RawData!$C:$C,$A4,RawData!AS:AS)</f>
        <v>978</v>
      </c>
      <c r="AP4">
        <f>SUMIF(RawData!$C:$C,$A4,RawData!AT:AT)</f>
        <v>1501</v>
      </c>
      <c r="AQ4">
        <f>SUMIF(RawData!$C:$C,$A4,RawData!AU:AU)</f>
        <v>2336</v>
      </c>
      <c r="AR4">
        <f>SUMIF(RawData!$C:$C,$A4,RawData!AV:AV)</f>
        <v>2922</v>
      </c>
      <c r="AS4">
        <f>SUMIF(RawData!$C:$C,$A4,RawData!AW:AW)</f>
        <v>3513</v>
      </c>
      <c r="AT4">
        <f>SUMIF(RawData!$C:$C,$A4,RawData!AX:AX)</f>
        <v>4747</v>
      </c>
      <c r="AU4">
        <f>SUMIF(RawData!$C:$C,$A4,RawData!AY:AY)</f>
        <v>5823</v>
      </c>
      <c r="AV4">
        <f>SUMIF(RawData!$C:$C,$A4,RawData!AZ:AZ)</f>
        <v>6566</v>
      </c>
      <c r="AW4">
        <f>SUMIF(RawData!$C:$C,$A4,RawData!BA:BA)</f>
        <v>7161</v>
      </c>
      <c r="AX4">
        <f>SUMIF(RawData!$C:$C,$A4,RawData!BB:BB)</f>
        <v>8042</v>
      </c>
      <c r="AY4">
        <f>SUMIF(RawData!$C:$C,$A4,RawData!BC:BC)</f>
        <v>9000</v>
      </c>
      <c r="AZ4">
        <f>SUMIF(RawData!$C:$C,$A4,RawData!BD:BD)</f>
        <v>10075</v>
      </c>
      <c r="BA4">
        <f>SUMIF(RawData!$C:$C,$A4,RawData!BE:BE)</f>
        <v>11364</v>
      </c>
      <c r="BB4">
        <f>SUMIF(RawData!$C:$C,$A4,RawData!BF:BF)</f>
        <v>12729</v>
      </c>
      <c r="BC4">
        <f>SUMIF(RawData!$C:$C,$A4,RawData!BG:BG)</f>
        <v>13938</v>
      </c>
      <c r="BD4">
        <f>SUMIF(RawData!$C:$C,$A4,RawData!BH:BH)</f>
        <v>14991</v>
      </c>
      <c r="BE4">
        <f>SUMIF(RawData!$C:$C,$A4,RawData!BI:BI)</f>
        <v>0</v>
      </c>
      <c r="BF4">
        <f>SUMIF(RawData!$C:$C,$A4,RawData!BJ:BJ)</f>
        <v>0</v>
      </c>
      <c r="BG4">
        <f>SUMIF(RawData!$C:$C,$A4,RawData!BK:BK)</f>
        <v>0</v>
      </c>
      <c r="BH4">
        <f>SUMIF(RawData!$C:$C,$A4,RawData!BL:BL)</f>
        <v>0</v>
      </c>
      <c r="BI4">
        <f>SUMIF(RawData!$C:$C,$A4,RawData!BM:BM)</f>
        <v>0</v>
      </c>
      <c r="BJ4">
        <f>SUMIF(RawData!$C:$C,$A4,RawData!BN:BN)</f>
        <v>0</v>
      </c>
      <c r="BK4">
        <f>SUMIF(RawData!$C:$C,$A4,RawData!BO:BO)</f>
        <v>0</v>
      </c>
      <c r="BL4">
        <f>SUMIF(RawData!$C:$C,$A4,RawData!BP:BP)</f>
        <v>0</v>
      </c>
      <c r="BM4">
        <f>SUMIF(RawData!$C:$C,$A4,RawData!BQ:BQ)</f>
        <v>0</v>
      </c>
      <c r="BN4">
        <f>SUMIF(RawData!$C:$C,$A4,RawData!BR:BR)</f>
        <v>0</v>
      </c>
      <c r="BO4">
        <f>SUMIF(RawData!$C:$C,$A4,RawData!BS:BS)</f>
        <v>0</v>
      </c>
      <c r="BP4">
        <f>SUMIF(RawData!$C:$C,$A4,RawData!BT:BT)</f>
        <v>0</v>
      </c>
      <c r="BQ4">
        <f>SUMIF(RawData!$C:$C,$A4,RawData!BU:BU)</f>
        <v>0</v>
      </c>
      <c r="BR4">
        <f>SUMIF(RawData!$C:$C,$A4,RawData!BV:BV)</f>
        <v>0</v>
      </c>
      <c r="BS4">
        <f>SUMIF(RawData!$C:$C,$A4,RawData!BW:BW)</f>
        <v>0</v>
      </c>
      <c r="BT4">
        <f>SUMIF(RawData!$C:$C,$A4,RawData!BX:BX)</f>
        <v>0</v>
      </c>
    </row>
    <row r="5" spans="1:72" ht="15" thickBot="1" x14ac:dyDescent="0.35">
      <c r="A5" s="4" t="s">
        <v>367</v>
      </c>
      <c r="B5">
        <f>SUMIF(RawData!$C:$C,$A5,RawData!F:F)</f>
        <v>1</v>
      </c>
      <c r="C5">
        <f>SUMIF(RawData!$C:$C,$A5,RawData!G:G)</f>
        <v>1</v>
      </c>
      <c r="D5">
        <f>SUMIF(RawData!$C:$C,$A5,RawData!H:H)</f>
        <v>2</v>
      </c>
      <c r="E5">
        <f>SUMIF(RawData!$C:$C,$A5,RawData!I:I)</f>
        <v>2</v>
      </c>
      <c r="F5">
        <f>SUMIF(RawData!$C:$C,$A5,RawData!J:J)</f>
        <v>3</v>
      </c>
      <c r="G5">
        <f>SUMIF(RawData!$C:$C,$A5,RawData!K:K)</f>
        <v>4</v>
      </c>
      <c r="H5">
        <f>SUMIF(RawData!$C:$C,$A5,RawData!L:L)</f>
        <v>4</v>
      </c>
      <c r="I5">
        <f>SUMIF(RawData!$C:$C,$A5,RawData!M:M)</f>
        <v>4</v>
      </c>
      <c r="J5">
        <f>SUMIF(RawData!$C:$C,$A5,RawData!N:N)</f>
        <v>4</v>
      </c>
      <c r="K5">
        <f>SUMIF(RawData!$C:$C,$A5,RawData!O:O)</f>
        <v>11</v>
      </c>
      <c r="L5">
        <f>SUMIF(RawData!$C:$C,$A5,RawData!P:P)</f>
        <v>12</v>
      </c>
      <c r="M5">
        <f>SUMIF(RawData!$C:$C,$A5,RawData!Q:Q)</f>
        <v>15</v>
      </c>
      <c r="N5">
        <f>SUMIF(RawData!$C:$C,$A5,RawData!R:R)</f>
        <v>15</v>
      </c>
      <c r="O5">
        <f>SUMIF(RawData!$C:$C,$A5,RawData!S:S)</f>
        <v>16</v>
      </c>
      <c r="P5">
        <f>SUMIF(RawData!$C:$C,$A5,RawData!T:T)</f>
        <v>19</v>
      </c>
      <c r="Q5">
        <f>SUMIF(RawData!$C:$C,$A5,RawData!U:U)</f>
        <v>23</v>
      </c>
      <c r="R5">
        <f>SUMIF(RawData!$C:$C,$A5,RawData!V:V)</f>
        <v>24</v>
      </c>
      <c r="S5">
        <f>SUMIF(RawData!$C:$C,$A5,RawData!W:W)</f>
        <v>24</v>
      </c>
      <c r="T5">
        <f>SUMIF(RawData!$C:$C,$A5,RawData!X:X)</f>
        <v>25</v>
      </c>
      <c r="U5">
        <f>SUMIF(RawData!$C:$C,$A5,RawData!Y:Y)</f>
        <v>27</v>
      </c>
      <c r="V5">
        <f>SUMIF(RawData!$C:$C,$A5,RawData!Z:Z)</f>
        <v>28</v>
      </c>
      <c r="W5">
        <f>SUMIF(RawData!$C:$C,$A5,RawData!AA:AA)</f>
        <v>28</v>
      </c>
      <c r="X5">
        <f>SUMIF(RawData!$C:$C,$A5,RawData!AB:AB)</f>
        <v>28</v>
      </c>
      <c r="Y5">
        <f>SUMIF(RawData!$C:$C,$A5,RawData!AC:AC)</f>
        <v>28</v>
      </c>
      <c r="Z5">
        <f>SUMIF(RawData!$C:$C,$A5,RawData!AD:AD)</f>
        <v>28</v>
      </c>
      <c r="AA5">
        <f>SUMIF(RawData!$C:$C,$A5,RawData!AE:AE)</f>
        <v>29</v>
      </c>
      <c r="AB5">
        <f>SUMIF(RawData!$C:$C,$A5,RawData!AF:AF)</f>
        <v>30</v>
      </c>
      <c r="AC5">
        <f>SUMIF(RawData!$C:$C,$A5,RawData!AG:AG)</f>
        <v>31</v>
      </c>
      <c r="AD5">
        <f>SUMIF(RawData!$C:$C,$A5,RawData!AH:AH)</f>
        <v>31</v>
      </c>
      <c r="AE5">
        <f>SUMIF(RawData!$C:$C,$A5,RawData!AI:AI)</f>
        <v>104</v>
      </c>
      <c r="AF5">
        <f>SUMIF(RawData!$C:$C,$A5,RawData!AJ:AJ)</f>
        <v>204</v>
      </c>
      <c r="AG5">
        <f>SUMIF(RawData!$C:$C,$A5,RawData!AK:AK)</f>
        <v>433</v>
      </c>
      <c r="AH5">
        <f>SUMIF(RawData!$C:$C,$A5,RawData!AL:AL)</f>
        <v>602</v>
      </c>
      <c r="AI5">
        <f>SUMIF(RawData!$C:$C,$A5,RawData!AM:AM)</f>
        <v>833</v>
      </c>
      <c r="AJ5">
        <f>SUMIF(RawData!$C:$C,$A5,RawData!AN:AN)</f>
        <v>977</v>
      </c>
      <c r="AK5">
        <f>SUMIF(RawData!$C:$C,$A5,RawData!AO:AO)</f>
        <v>1261</v>
      </c>
      <c r="AL5">
        <f>SUMIF(RawData!$C:$C,$A5,RawData!AP:AP)</f>
        <v>1766</v>
      </c>
      <c r="AM5">
        <f>SUMIF(RawData!$C:$C,$A5,RawData!AQ:AQ)</f>
        <v>2337</v>
      </c>
      <c r="AN5">
        <f>SUMIF(RawData!$C:$C,$A5,RawData!AR:AR)</f>
        <v>3150</v>
      </c>
      <c r="AO5">
        <f>SUMIF(RawData!$C:$C,$A5,RawData!AS:AS)</f>
        <v>3736</v>
      </c>
      <c r="AP5">
        <f>SUMIF(RawData!$C:$C,$A5,RawData!AT:AT)</f>
        <v>4335</v>
      </c>
      <c r="AQ5">
        <f>SUMIF(RawData!$C:$C,$A5,RawData!AU:AU)</f>
        <v>5186</v>
      </c>
      <c r="AR5">
        <f>SUMIF(RawData!$C:$C,$A5,RawData!AV:AV)</f>
        <v>5621</v>
      </c>
      <c r="AS5">
        <f>SUMIF(RawData!$C:$C,$A5,RawData!AW:AW)</f>
        <v>6088</v>
      </c>
      <c r="AT5">
        <f>SUMIF(RawData!$C:$C,$A5,RawData!AX:AX)</f>
        <v>6593</v>
      </c>
      <c r="AU5">
        <f>SUMIF(RawData!$C:$C,$A5,RawData!AY:AY)</f>
        <v>7041</v>
      </c>
      <c r="AV5">
        <f>SUMIF(RawData!$C:$C,$A5,RawData!AZ:AZ)</f>
        <v>7314</v>
      </c>
      <c r="AW5">
        <f>SUMIF(RawData!$C:$C,$A5,RawData!BA:BA)</f>
        <v>7478</v>
      </c>
      <c r="AX5">
        <f>SUMIF(RawData!$C:$C,$A5,RawData!BB:BB)</f>
        <v>7513</v>
      </c>
      <c r="AY5">
        <f>SUMIF(RawData!$C:$C,$A5,RawData!BC:BC)</f>
        <v>7755</v>
      </c>
      <c r="AZ5">
        <f>SUMIF(RawData!$C:$C,$A5,RawData!BD:BD)</f>
        <v>7869</v>
      </c>
      <c r="BA5">
        <f>SUMIF(RawData!$C:$C,$A5,RawData!BE:BE)</f>
        <v>7979</v>
      </c>
      <c r="BB5">
        <f>SUMIF(RawData!$C:$C,$A5,RawData!BF:BF)</f>
        <v>8086</v>
      </c>
      <c r="BC5">
        <f>SUMIF(RawData!$C:$C,$A5,RawData!BG:BG)</f>
        <v>8162</v>
      </c>
      <c r="BD5">
        <f>SUMIF(RawData!$C:$C,$A5,RawData!BH:BH)</f>
        <v>8236</v>
      </c>
      <c r="BE5">
        <f>SUMIF(RawData!$C:$C,$A5,RawData!BI:BI)</f>
        <v>0</v>
      </c>
      <c r="BF5">
        <f>SUMIF(RawData!$C:$C,$A5,RawData!BJ:BJ)</f>
        <v>0</v>
      </c>
      <c r="BG5">
        <f>SUMIF(RawData!$C:$C,$A5,RawData!BK:BK)</f>
        <v>0</v>
      </c>
      <c r="BH5">
        <f>SUMIF(RawData!$C:$C,$A5,RawData!BL:BL)</f>
        <v>0</v>
      </c>
      <c r="BI5">
        <f>SUMIF(RawData!$C:$C,$A5,RawData!BM:BM)</f>
        <v>0</v>
      </c>
      <c r="BJ5">
        <f>SUMIF(RawData!$C:$C,$A5,RawData!BN:BN)</f>
        <v>0</v>
      </c>
      <c r="BK5">
        <f>SUMIF(RawData!$C:$C,$A5,RawData!BO:BO)</f>
        <v>0</v>
      </c>
      <c r="BL5">
        <f>SUMIF(RawData!$C:$C,$A5,RawData!BP:BP)</f>
        <v>0</v>
      </c>
      <c r="BM5">
        <f>SUMIF(RawData!$C:$C,$A5,RawData!BQ:BQ)</f>
        <v>0</v>
      </c>
      <c r="BN5">
        <f>SUMIF(RawData!$C:$C,$A5,RawData!BR:BR)</f>
        <v>0</v>
      </c>
      <c r="BO5">
        <f>SUMIF(RawData!$C:$C,$A5,RawData!BS:BS)</f>
        <v>0</v>
      </c>
      <c r="BP5">
        <f>SUMIF(RawData!$C:$C,$A5,RawData!BT:BT)</f>
        <v>0</v>
      </c>
      <c r="BQ5">
        <f>SUMIF(RawData!$C:$C,$A5,RawData!BU:BU)</f>
        <v>0</v>
      </c>
      <c r="BR5">
        <f>SUMIF(RawData!$C:$C,$A5,RawData!BV:BV)</f>
        <v>0</v>
      </c>
      <c r="BS5">
        <f>SUMIF(RawData!$C:$C,$A5,RawData!BW:BW)</f>
        <v>0</v>
      </c>
      <c r="BT5">
        <f>SUMIF(RawData!$C:$C,$A5,RawData!BX:BX)</f>
        <v>0</v>
      </c>
    </row>
    <row r="6" spans="1:72" ht="15" thickBot="1" x14ac:dyDescent="0.35">
      <c r="A6" s="4" t="s">
        <v>87</v>
      </c>
      <c r="B6">
        <f>SUMIF(RawData!$C:$C,$A6,RawData!F:F)</f>
        <v>0</v>
      </c>
      <c r="C6">
        <f>SUMIF(RawData!$C:$C,$A6,RawData!G:G)</f>
        <v>0</v>
      </c>
      <c r="D6">
        <f>SUMIF(RawData!$C:$C,$A6,RawData!H:H)</f>
        <v>0</v>
      </c>
      <c r="E6">
        <f>SUMIF(RawData!$C:$C,$A6,RawData!I:I)</f>
        <v>0</v>
      </c>
      <c r="F6">
        <f>SUMIF(RawData!$C:$C,$A6,RawData!J:J)</f>
        <v>0</v>
      </c>
      <c r="G6">
        <f>SUMIF(RawData!$C:$C,$A6,RawData!K:K)</f>
        <v>0</v>
      </c>
      <c r="H6">
        <f>SUMIF(RawData!$C:$C,$A6,RawData!L:L)</f>
        <v>0</v>
      </c>
      <c r="I6">
        <f>SUMIF(RawData!$C:$C,$A6,RawData!M:M)</f>
        <v>0</v>
      </c>
      <c r="J6">
        <f>SUMIF(RawData!$C:$C,$A6,RawData!N:N)</f>
        <v>0</v>
      </c>
      <c r="K6">
        <f>SUMIF(RawData!$C:$C,$A6,RawData!O:O)</f>
        <v>0</v>
      </c>
      <c r="L6">
        <f>SUMIF(RawData!$C:$C,$A6,RawData!P:P)</f>
        <v>1</v>
      </c>
      <c r="M6">
        <f>SUMIF(RawData!$C:$C,$A6,RawData!Q:Q)</f>
        <v>1</v>
      </c>
      <c r="N6">
        <f>SUMIF(RawData!$C:$C,$A6,RawData!R:R)</f>
        <v>1</v>
      </c>
      <c r="O6">
        <f>SUMIF(RawData!$C:$C,$A6,RawData!S:S)</f>
        <v>1</v>
      </c>
      <c r="P6">
        <f>SUMIF(RawData!$C:$C,$A6,RawData!T:T)</f>
        <v>1</v>
      </c>
      <c r="Q6">
        <f>SUMIF(RawData!$C:$C,$A6,RawData!U:U)</f>
        <v>1</v>
      </c>
      <c r="R6">
        <f>SUMIF(RawData!$C:$C,$A6,RawData!V:V)</f>
        <v>1</v>
      </c>
      <c r="S6">
        <f>SUMIF(RawData!$C:$C,$A6,RawData!W:W)</f>
        <v>1</v>
      </c>
      <c r="T6">
        <f>SUMIF(RawData!$C:$C,$A6,RawData!X:X)</f>
        <v>2</v>
      </c>
      <c r="U6">
        <f>SUMIF(RawData!$C:$C,$A6,RawData!Y:Y)</f>
        <v>2</v>
      </c>
      <c r="V6">
        <f>SUMIF(RawData!$C:$C,$A6,RawData!Z:Z)</f>
        <v>2</v>
      </c>
      <c r="W6">
        <f>SUMIF(RawData!$C:$C,$A6,RawData!AA:AA)</f>
        <v>2</v>
      </c>
      <c r="X6">
        <f>SUMIF(RawData!$C:$C,$A6,RawData!AB:AB)</f>
        <v>2</v>
      </c>
      <c r="Y6">
        <f>SUMIF(RawData!$C:$C,$A6,RawData!AC:AC)</f>
        <v>2</v>
      </c>
      <c r="Z6">
        <f>SUMIF(RawData!$C:$C,$A6,RawData!AD:AD)</f>
        <v>2</v>
      </c>
      <c r="AA6">
        <f>SUMIF(RawData!$C:$C,$A6,RawData!AE:AE)</f>
        <v>2</v>
      </c>
      <c r="AB6">
        <f>SUMIF(RawData!$C:$C,$A6,RawData!AF:AF)</f>
        <v>2</v>
      </c>
      <c r="AC6">
        <f>SUMIF(RawData!$C:$C,$A6,RawData!AG:AG)</f>
        <v>2</v>
      </c>
      <c r="AD6">
        <f>SUMIF(RawData!$C:$C,$A6,RawData!AH:AH)</f>
        <v>2</v>
      </c>
      <c r="AE6">
        <f>SUMIF(RawData!$C:$C,$A6,RawData!AI:AI)</f>
        <v>2</v>
      </c>
      <c r="AF6">
        <f>SUMIF(RawData!$C:$C,$A6,RawData!AJ:AJ)</f>
        <v>2</v>
      </c>
      <c r="AG6">
        <f>SUMIF(RawData!$C:$C,$A6,RawData!AK:AK)</f>
        <v>2</v>
      </c>
      <c r="AH6">
        <f>SUMIF(RawData!$C:$C,$A6,RawData!AL:AL)</f>
        <v>2</v>
      </c>
      <c r="AI6">
        <f>SUMIF(RawData!$C:$C,$A6,RawData!AM:AM)</f>
        <v>2</v>
      </c>
      <c r="AJ6">
        <f>SUMIF(RawData!$C:$C,$A6,RawData!AN:AN)</f>
        <v>6</v>
      </c>
      <c r="AK6">
        <f>SUMIF(RawData!$C:$C,$A6,RawData!AO:AO)</f>
        <v>13</v>
      </c>
      <c r="AL6">
        <f>SUMIF(RawData!$C:$C,$A6,RawData!AP:AP)</f>
        <v>15</v>
      </c>
      <c r="AM6">
        <f>SUMIF(RawData!$C:$C,$A6,RawData!AQ:AQ)</f>
        <v>32</v>
      </c>
      <c r="AN6">
        <f>SUMIF(RawData!$C:$C,$A6,RawData!AR:AR)</f>
        <v>45</v>
      </c>
      <c r="AO6">
        <f>SUMIF(RawData!$C:$C,$A6,RawData!AS:AS)</f>
        <v>84</v>
      </c>
      <c r="AP6">
        <f>SUMIF(RawData!$C:$C,$A6,RawData!AT:AT)</f>
        <v>120</v>
      </c>
      <c r="AQ6">
        <f>SUMIF(RawData!$C:$C,$A6,RawData!AU:AU)</f>
        <v>165</v>
      </c>
      <c r="AR6">
        <f>SUMIF(RawData!$C:$C,$A6,RawData!AV:AV)</f>
        <v>222</v>
      </c>
      <c r="AS6">
        <f>SUMIF(RawData!$C:$C,$A6,RawData!AW:AW)</f>
        <v>259</v>
      </c>
      <c r="AT6">
        <f>SUMIF(RawData!$C:$C,$A6,RawData!AX:AX)</f>
        <v>400</v>
      </c>
      <c r="AU6">
        <f>SUMIF(RawData!$C:$C,$A6,RawData!AY:AY)</f>
        <v>500</v>
      </c>
      <c r="AV6">
        <f>SUMIF(RawData!$C:$C,$A6,RawData!AZ:AZ)</f>
        <v>673</v>
      </c>
      <c r="AW6">
        <f>SUMIF(RawData!$C:$C,$A6,RawData!BA:BA)</f>
        <v>1073</v>
      </c>
      <c r="AX6">
        <f>SUMIF(RawData!$C:$C,$A6,RawData!BB:BB)</f>
        <v>1695</v>
      </c>
      <c r="AY6">
        <f>SUMIF(RawData!$C:$C,$A6,RawData!BC:BC)</f>
        <v>2277</v>
      </c>
      <c r="AZ6">
        <f>SUMIF(RawData!$C:$C,$A6,RawData!BD:BD)</f>
        <v>2277</v>
      </c>
      <c r="BA6">
        <f>SUMIF(RawData!$C:$C,$A6,RawData!BE:BE)</f>
        <v>5232</v>
      </c>
      <c r="BB6">
        <f>SUMIF(RawData!$C:$C,$A6,RawData!BF:BF)</f>
        <v>6391</v>
      </c>
      <c r="BC6">
        <f>SUMIF(RawData!$C:$C,$A6,RawData!BG:BG)</f>
        <v>7798</v>
      </c>
      <c r="BD6">
        <f>SUMIF(RawData!$C:$C,$A6,RawData!BH:BH)</f>
        <v>9942</v>
      </c>
      <c r="BE6">
        <f>SUMIF(RawData!$C:$C,$A6,RawData!BI:BI)</f>
        <v>0</v>
      </c>
      <c r="BF6">
        <f>SUMIF(RawData!$C:$C,$A6,RawData!BJ:BJ)</f>
        <v>0</v>
      </c>
      <c r="BG6">
        <f>SUMIF(RawData!$C:$C,$A6,RawData!BK:BK)</f>
        <v>0</v>
      </c>
      <c r="BH6">
        <f>SUMIF(RawData!$C:$C,$A6,RawData!BL:BL)</f>
        <v>0</v>
      </c>
      <c r="BI6">
        <f>SUMIF(RawData!$C:$C,$A6,RawData!BM:BM)</f>
        <v>0</v>
      </c>
      <c r="BJ6">
        <f>SUMIF(RawData!$C:$C,$A6,RawData!BN:BN)</f>
        <v>0</v>
      </c>
      <c r="BK6">
        <f>SUMIF(RawData!$C:$C,$A6,RawData!BO:BO)</f>
        <v>0</v>
      </c>
      <c r="BL6">
        <f>SUMIF(RawData!$C:$C,$A6,RawData!BP:BP)</f>
        <v>0</v>
      </c>
      <c r="BM6">
        <f>SUMIF(RawData!$C:$C,$A6,RawData!BQ:BQ)</f>
        <v>0</v>
      </c>
      <c r="BN6">
        <f>SUMIF(RawData!$C:$C,$A6,RawData!BR:BR)</f>
        <v>0</v>
      </c>
      <c r="BO6">
        <f>SUMIF(RawData!$C:$C,$A6,RawData!BS:BS)</f>
        <v>0</v>
      </c>
      <c r="BP6">
        <f>SUMIF(RawData!$C:$C,$A6,RawData!BT:BT)</f>
        <v>0</v>
      </c>
      <c r="BQ6">
        <f>SUMIF(RawData!$C:$C,$A6,RawData!BU:BU)</f>
        <v>0</v>
      </c>
      <c r="BR6">
        <f>SUMIF(RawData!$C:$C,$A6,RawData!BV:BV)</f>
        <v>0</v>
      </c>
      <c r="BS6">
        <f>SUMIF(RawData!$C:$C,$A6,RawData!BW:BW)</f>
        <v>0</v>
      </c>
      <c r="BT6">
        <f>SUMIF(RawData!$C:$C,$A6,RawData!BX:BX)</f>
        <v>0</v>
      </c>
    </row>
    <row r="7" spans="1:72" ht="15" thickBot="1" x14ac:dyDescent="0.35">
      <c r="A7" s="5" t="s">
        <v>80</v>
      </c>
      <c r="B7">
        <f>SUMIF(RawData!$C:$C,$A7,RawData!F:F)</f>
        <v>0</v>
      </c>
      <c r="C7">
        <f>SUMIF(RawData!$C:$C,$A7,RawData!G:G)</f>
        <v>0</v>
      </c>
      <c r="D7">
        <f>SUMIF(RawData!$C:$C,$A7,RawData!H:H)</f>
        <v>0</v>
      </c>
      <c r="E7">
        <f>SUMIF(RawData!$C:$C,$A7,RawData!I:I)</f>
        <v>0</v>
      </c>
      <c r="F7">
        <f>SUMIF(RawData!$C:$C,$A7,RawData!J:J)</f>
        <v>0</v>
      </c>
      <c r="G7">
        <f>SUMIF(RawData!$C:$C,$A7,RawData!K:K)</f>
        <v>1</v>
      </c>
      <c r="H7">
        <f>SUMIF(RawData!$C:$C,$A7,RawData!L:L)</f>
        <v>4</v>
      </c>
      <c r="I7">
        <f>SUMIF(RawData!$C:$C,$A7,RawData!M:M)</f>
        <v>4</v>
      </c>
      <c r="J7">
        <f>SUMIF(RawData!$C:$C,$A7,RawData!N:N)</f>
        <v>4</v>
      </c>
      <c r="K7">
        <f>SUMIF(RawData!$C:$C,$A7,RawData!O:O)</f>
        <v>5</v>
      </c>
      <c r="L7">
        <f>SUMIF(RawData!$C:$C,$A7,RawData!P:P)</f>
        <v>8</v>
      </c>
      <c r="M7">
        <f>SUMIF(RawData!$C:$C,$A7,RawData!Q:Q)</f>
        <v>10</v>
      </c>
      <c r="N7">
        <f>SUMIF(RawData!$C:$C,$A7,RawData!R:R)</f>
        <v>12</v>
      </c>
      <c r="O7">
        <f>SUMIF(RawData!$C:$C,$A7,RawData!S:S)</f>
        <v>12</v>
      </c>
      <c r="P7">
        <f>SUMIF(RawData!$C:$C,$A7,RawData!T:T)</f>
        <v>12</v>
      </c>
      <c r="Q7">
        <f>SUMIF(RawData!$C:$C,$A7,RawData!U:U)</f>
        <v>12</v>
      </c>
      <c r="R7">
        <f>SUMIF(RawData!$C:$C,$A7,RawData!V:V)</f>
        <v>13</v>
      </c>
      <c r="S7">
        <f>SUMIF(RawData!$C:$C,$A7,RawData!W:W)</f>
        <v>13</v>
      </c>
      <c r="T7">
        <f>SUMIF(RawData!$C:$C,$A7,RawData!X:X)</f>
        <v>14</v>
      </c>
      <c r="U7">
        <f>SUMIF(RawData!$C:$C,$A7,RawData!Y:Y)</f>
        <v>14</v>
      </c>
      <c r="V7">
        <f>SUMIF(RawData!$C:$C,$A7,RawData!Z:Z)</f>
        <v>16</v>
      </c>
      <c r="W7">
        <f>SUMIF(RawData!$C:$C,$A7,RawData!AA:AA)</f>
        <v>16</v>
      </c>
      <c r="X7">
        <f>SUMIF(RawData!$C:$C,$A7,RawData!AB:AB)</f>
        <v>16</v>
      </c>
      <c r="Y7">
        <f>SUMIF(RawData!$C:$C,$A7,RawData!AC:AC)</f>
        <v>16</v>
      </c>
      <c r="Z7">
        <f>SUMIF(RawData!$C:$C,$A7,RawData!AD:AD)</f>
        <v>16</v>
      </c>
      <c r="AA7">
        <f>SUMIF(RawData!$C:$C,$A7,RawData!AE:AE)</f>
        <v>16</v>
      </c>
      <c r="AB7">
        <f>SUMIF(RawData!$C:$C,$A7,RawData!AF:AF)</f>
        <v>16</v>
      </c>
      <c r="AC7">
        <f>SUMIF(RawData!$C:$C,$A7,RawData!AG:AG)</f>
        <v>16</v>
      </c>
      <c r="AD7">
        <f>SUMIF(RawData!$C:$C,$A7,RawData!AH:AH)</f>
        <v>16</v>
      </c>
      <c r="AE7">
        <f>SUMIF(RawData!$C:$C,$A7,RawData!AI:AI)</f>
        <v>16</v>
      </c>
      <c r="AF7">
        <f>SUMIF(RawData!$C:$C,$A7,RawData!AJ:AJ)</f>
        <v>16</v>
      </c>
      <c r="AG7">
        <f>SUMIF(RawData!$C:$C,$A7,RawData!AK:AK)</f>
        <v>16</v>
      </c>
      <c r="AH7">
        <f>SUMIF(RawData!$C:$C,$A7,RawData!AL:AL)</f>
        <v>16</v>
      </c>
      <c r="AI7">
        <f>SUMIF(RawData!$C:$C,$A7,RawData!AM:AM)</f>
        <v>16</v>
      </c>
      <c r="AJ7">
        <f>SUMIF(RawData!$C:$C,$A7,RawData!AN:AN)</f>
        <v>17</v>
      </c>
      <c r="AK7">
        <f>SUMIF(RawData!$C:$C,$A7,RawData!AO:AO)</f>
        <v>27</v>
      </c>
      <c r="AL7">
        <f>SUMIF(RawData!$C:$C,$A7,RawData!AP:AP)</f>
        <v>46</v>
      </c>
      <c r="AM7">
        <f>SUMIF(RawData!$C:$C,$A7,RawData!AQ:AQ)</f>
        <v>48</v>
      </c>
      <c r="AN7">
        <f>SUMIF(RawData!$C:$C,$A7,RawData!AR:AR)</f>
        <v>79</v>
      </c>
      <c r="AO7">
        <f>SUMIF(RawData!$C:$C,$A7,RawData!AS:AS)</f>
        <v>130</v>
      </c>
      <c r="AP7">
        <f>SUMIF(RawData!$C:$C,$A7,RawData!AT:AT)</f>
        <v>159</v>
      </c>
      <c r="AQ7">
        <f>SUMIF(RawData!$C:$C,$A7,RawData!AU:AU)</f>
        <v>196</v>
      </c>
      <c r="AR7">
        <f>SUMIF(RawData!$C:$C,$A7,RawData!AV:AV)</f>
        <v>262</v>
      </c>
      <c r="AS7">
        <f>SUMIF(RawData!$C:$C,$A7,RawData!AW:AW)</f>
        <v>482</v>
      </c>
      <c r="AT7">
        <f>SUMIF(RawData!$C:$C,$A7,RawData!AX:AX)</f>
        <v>670</v>
      </c>
      <c r="AU7">
        <f>SUMIF(RawData!$C:$C,$A7,RawData!AY:AY)</f>
        <v>799</v>
      </c>
      <c r="AV7">
        <f>SUMIF(RawData!$C:$C,$A7,RawData!AZ:AZ)</f>
        <v>1040</v>
      </c>
      <c r="AW7">
        <f>SUMIF(RawData!$C:$C,$A7,RawData!BA:BA)</f>
        <v>1176</v>
      </c>
      <c r="AX7">
        <f>SUMIF(RawData!$C:$C,$A7,RawData!BB:BB)</f>
        <v>1457</v>
      </c>
      <c r="AY7">
        <f>SUMIF(RawData!$C:$C,$A7,RawData!BC:BC)</f>
        <v>1908</v>
      </c>
      <c r="AZ7">
        <f>SUMIF(RawData!$C:$C,$A7,RawData!BD:BD)</f>
        <v>2078</v>
      </c>
      <c r="BA7">
        <f>SUMIF(RawData!$C:$C,$A7,RawData!BE:BE)</f>
        <v>3675</v>
      </c>
      <c r="BB7">
        <f>SUMIF(RawData!$C:$C,$A7,RawData!BF:BF)</f>
        <v>4585</v>
      </c>
      <c r="BC7">
        <f>SUMIF(RawData!$C:$C,$A7,RawData!BG:BG)</f>
        <v>5795</v>
      </c>
      <c r="BD7">
        <f>SUMIF(RawData!$C:$C,$A7,RawData!BH:BH)</f>
        <v>7272</v>
      </c>
      <c r="BE7">
        <f>SUMIF(RawData!$C:$C,$A7,RawData!BI:BI)</f>
        <v>0</v>
      </c>
      <c r="BF7">
        <f>SUMIF(RawData!$C:$C,$A7,RawData!BJ:BJ)</f>
        <v>0</v>
      </c>
      <c r="BG7">
        <f>SUMIF(RawData!$C:$C,$A7,RawData!BK:BK)</f>
        <v>0</v>
      </c>
      <c r="BH7">
        <f>SUMIF(RawData!$C:$C,$A7,RawData!BL:BL)</f>
        <v>0</v>
      </c>
      <c r="BI7">
        <f>SUMIF(RawData!$C:$C,$A7,RawData!BM:BM)</f>
        <v>0</v>
      </c>
      <c r="BJ7">
        <f>SUMIF(RawData!$C:$C,$A7,RawData!BN:BN)</f>
        <v>0</v>
      </c>
      <c r="BK7">
        <f>SUMIF(RawData!$C:$C,$A7,RawData!BO:BO)</f>
        <v>0</v>
      </c>
      <c r="BL7">
        <f>SUMIF(RawData!$C:$C,$A7,RawData!BP:BP)</f>
        <v>0</v>
      </c>
      <c r="BM7">
        <f>SUMIF(RawData!$C:$C,$A7,RawData!BQ:BQ)</f>
        <v>0</v>
      </c>
      <c r="BN7">
        <f>SUMIF(RawData!$C:$C,$A7,RawData!BR:BR)</f>
        <v>0</v>
      </c>
      <c r="BO7">
        <f>SUMIF(RawData!$C:$C,$A7,RawData!BS:BS)</f>
        <v>0</v>
      </c>
      <c r="BP7">
        <f>SUMIF(RawData!$C:$C,$A7,RawData!BT:BT)</f>
        <v>0</v>
      </c>
      <c r="BQ7">
        <f>SUMIF(RawData!$C:$C,$A7,RawData!BU:BU)</f>
        <v>0</v>
      </c>
      <c r="BR7">
        <f>SUMIF(RawData!$C:$C,$A7,RawData!BV:BV)</f>
        <v>0</v>
      </c>
      <c r="BS7">
        <f>SUMIF(RawData!$C:$C,$A7,RawData!BW:BW)</f>
        <v>0</v>
      </c>
      <c r="BT7">
        <f>SUMIF(RawData!$C:$C,$A7,RawData!BX:BX)</f>
        <v>0</v>
      </c>
    </row>
    <row r="8" spans="1:72" ht="15" thickBot="1" x14ac:dyDescent="0.35">
      <c r="A8" s="5" t="s">
        <v>68</v>
      </c>
      <c r="B8">
        <f>SUMIF(RawData!$C:$C,$A8,RawData!F:F)</f>
        <v>0</v>
      </c>
      <c r="C8">
        <f>SUMIF(RawData!$C:$C,$A8,RawData!G:G)</f>
        <v>0</v>
      </c>
      <c r="D8">
        <f>SUMIF(RawData!$C:$C,$A8,RawData!H:H)</f>
        <v>2</v>
      </c>
      <c r="E8">
        <f>SUMIF(RawData!$C:$C,$A8,RawData!I:I)</f>
        <v>3</v>
      </c>
      <c r="F8">
        <f>SUMIF(RawData!$C:$C,$A8,RawData!J:J)</f>
        <v>3</v>
      </c>
      <c r="G8">
        <f>SUMIF(RawData!$C:$C,$A8,RawData!K:K)</f>
        <v>3</v>
      </c>
      <c r="H8">
        <f>SUMIF(RawData!$C:$C,$A8,RawData!L:L)</f>
        <v>4</v>
      </c>
      <c r="I8">
        <f>SUMIF(RawData!$C:$C,$A8,RawData!M:M)</f>
        <v>5</v>
      </c>
      <c r="J8">
        <f>SUMIF(RawData!$C:$C,$A8,RawData!N:N)</f>
        <v>5</v>
      </c>
      <c r="K8">
        <f>SUMIF(RawData!$C:$C,$A8,RawData!O:O)</f>
        <v>5</v>
      </c>
      <c r="L8">
        <f>SUMIF(RawData!$C:$C,$A8,RawData!P:P)</f>
        <v>6</v>
      </c>
      <c r="M8">
        <f>SUMIF(RawData!$C:$C,$A8,RawData!Q:Q)</f>
        <v>6</v>
      </c>
      <c r="N8">
        <f>SUMIF(RawData!$C:$C,$A8,RawData!R:R)</f>
        <v>6</v>
      </c>
      <c r="O8">
        <f>SUMIF(RawData!$C:$C,$A8,RawData!S:S)</f>
        <v>6</v>
      </c>
      <c r="P8">
        <f>SUMIF(RawData!$C:$C,$A8,RawData!T:T)</f>
        <v>6</v>
      </c>
      <c r="Q8">
        <f>SUMIF(RawData!$C:$C,$A8,RawData!U:U)</f>
        <v>6</v>
      </c>
      <c r="R8">
        <f>SUMIF(RawData!$C:$C,$A8,RawData!V:V)</f>
        <v>6</v>
      </c>
      <c r="S8">
        <f>SUMIF(RawData!$C:$C,$A8,RawData!W:W)</f>
        <v>11</v>
      </c>
      <c r="T8">
        <f>SUMIF(RawData!$C:$C,$A8,RawData!X:X)</f>
        <v>11</v>
      </c>
      <c r="U8">
        <f>SUMIF(RawData!$C:$C,$A8,RawData!Y:Y)</f>
        <v>11</v>
      </c>
      <c r="V8">
        <f>SUMIF(RawData!$C:$C,$A8,RawData!Z:Z)</f>
        <v>11</v>
      </c>
      <c r="W8">
        <f>SUMIF(RawData!$C:$C,$A8,RawData!AA:AA)</f>
        <v>11</v>
      </c>
      <c r="X8">
        <f>SUMIF(RawData!$C:$C,$A8,RawData!AB:AB)</f>
        <v>11</v>
      </c>
      <c r="Y8">
        <f>SUMIF(RawData!$C:$C,$A8,RawData!AC:AC)</f>
        <v>11</v>
      </c>
      <c r="Z8">
        <f>SUMIF(RawData!$C:$C,$A8,RawData!AD:AD)</f>
        <v>12</v>
      </c>
      <c r="AA8">
        <f>SUMIF(RawData!$C:$C,$A8,RawData!AE:AE)</f>
        <v>12</v>
      </c>
      <c r="AB8">
        <f>SUMIF(RawData!$C:$C,$A8,RawData!AF:AF)</f>
        <v>12</v>
      </c>
      <c r="AC8">
        <f>SUMIF(RawData!$C:$C,$A8,RawData!AG:AG)</f>
        <v>12</v>
      </c>
      <c r="AD8">
        <f>SUMIF(RawData!$C:$C,$A8,RawData!AH:AH)</f>
        <v>12</v>
      </c>
      <c r="AE8">
        <f>SUMIF(RawData!$C:$C,$A8,RawData!AI:AI)</f>
        <v>12</v>
      </c>
      <c r="AF8">
        <f>SUMIF(RawData!$C:$C,$A8,RawData!AJ:AJ)</f>
        <v>12</v>
      </c>
      <c r="AG8">
        <f>SUMIF(RawData!$C:$C,$A8,RawData!AK:AK)</f>
        <v>12</v>
      </c>
      <c r="AH8">
        <f>SUMIF(RawData!$C:$C,$A8,RawData!AL:AL)</f>
        <v>12</v>
      </c>
      <c r="AI8">
        <f>SUMIF(RawData!$C:$C,$A8,RawData!AM:AM)</f>
        <v>12</v>
      </c>
      <c r="AJ8">
        <f>SUMIF(RawData!$C:$C,$A8,RawData!AN:AN)</f>
        <v>14</v>
      </c>
      <c r="AK8">
        <f>SUMIF(RawData!$C:$C,$A8,RawData!AO:AO)</f>
        <v>18</v>
      </c>
      <c r="AL8">
        <f>SUMIF(RawData!$C:$C,$A8,RawData!AP:AP)</f>
        <v>38</v>
      </c>
      <c r="AM8">
        <f>SUMIF(RawData!$C:$C,$A8,RawData!AQ:AQ)</f>
        <v>57</v>
      </c>
      <c r="AN8">
        <f>SUMIF(RawData!$C:$C,$A8,RawData!AR:AR)</f>
        <v>100</v>
      </c>
      <c r="AO8">
        <f>SUMIF(RawData!$C:$C,$A8,RawData!AS:AS)</f>
        <v>130</v>
      </c>
      <c r="AP8">
        <f>SUMIF(RawData!$C:$C,$A8,RawData!AT:AT)</f>
        <v>191</v>
      </c>
      <c r="AQ8">
        <f>SUMIF(RawData!$C:$C,$A8,RawData!AU:AU)</f>
        <v>204</v>
      </c>
      <c r="AR8">
        <f>SUMIF(RawData!$C:$C,$A8,RawData!AV:AV)</f>
        <v>288</v>
      </c>
      <c r="AS8">
        <f>SUMIF(RawData!$C:$C,$A8,RawData!AW:AW)</f>
        <v>380</v>
      </c>
      <c r="AT8">
        <f>SUMIF(RawData!$C:$C,$A8,RawData!AX:AX)</f>
        <v>656</v>
      </c>
      <c r="AU8">
        <f>SUMIF(RawData!$C:$C,$A8,RawData!AY:AY)</f>
        <v>957</v>
      </c>
      <c r="AV8">
        <f>SUMIF(RawData!$C:$C,$A8,RawData!AZ:AZ)</f>
        <v>1134</v>
      </c>
      <c r="AW8">
        <f>SUMIF(RawData!$C:$C,$A8,RawData!BA:BA)</f>
        <v>1217</v>
      </c>
      <c r="AX8">
        <f>SUMIF(RawData!$C:$C,$A8,RawData!BB:BB)</f>
        <v>1792</v>
      </c>
      <c r="AY8">
        <f>SUMIF(RawData!$C:$C,$A8,RawData!BC:BC)</f>
        <v>2289</v>
      </c>
      <c r="AZ8">
        <f>SUMIF(RawData!$C:$C,$A8,RawData!BD:BD)</f>
        <v>2289</v>
      </c>
      <c r="BA8">
        <f>SUMIF(RawData!$C:$C,$A8,RawData!BE:BE)</f>
        <v>3672</v>
      </c>
      <c r="BB8">
        <f>SUMIF(RawData!$C:$C,$A8,RawData!BF:BF)</f>
        <v>4480</v>
      </c>
      <c r="BC8">
        <f>SUMIF(RawData!$C:$C,$A8,RawData!BG:BG)</f>
        <v>4513</v>
      </c>
      <c r="BD8">
        <f>SUMIF(RawData!$C:$C,$A8,RawData!BH:BH)</f>
        <v>6650</v>
      </c>
      <c r="BE8">
        <f>SUMIF(RawData!$C:$C,$A8,RawData!BI:BI)</f>
        <v>0</v>
      </c>
      <c r="BF8">
        <f>SUMIF(RawData!$C:$C,$A8,RawData!BJ:BJ)</f>
        <v>0</v>
      </c>
      <c r="BG8">
        <f>SUMIF(RawData!$C:$C,$A8,RawData!BK:BK)</f>
        <v>0</v>
      </c>
      <c r="BH8">
        <f>SUMIF(RawData!$C:$C,$A8,RawData!BL:BL)</f>
        <v>0</v>
      </c>
      <c r="BI8">
        <f>SUMIF(RawData!$C:$C,$A8,RawData!BM:BM)</f>
        <v>0</v>
      </c>
      <c r="BJ8">
        <f>SUMIF(RawData!$C:$C,$A8,RawData!BN:BN)</f>
        <v>0</v>
      </c>
      <c r="BK8">
        <f>SUMIF(RawData!$C:$C,$A8,RawData!BO:BO)</f>
        <v>0</v>
      </c>
      <c r="BL8">
        <f>SUMIF(RawData!$C:$C,$A8,RawData!BP:BP)</f>
        <v>0</v>
      </c>
      <c r="BM8">
        <f>SUMIF(RawData!$C:$C,$A8,RawData!BQ:BQ)</f>
        <v>0</v>
      </c>
      <c r="BN8">
        <f>SUMIF(RawData!$C:$C,$A8,RawData!BR:BR)</f>
        <v>0</v>
      </c>
      <c r="BO8">
        <f>SUMIF(RawData!$C:$C,$A8,RawData!BS:BS)</f>
        <v>0</v>
      </c>
      <c r="BP8">
        <f>SUMIF(RawData!$C:$C,$A8,RawData!BT:BT)</f>
        <v>0</v>
      </c>
      <c r="BQ8">
        <f>SUMIF(RawData!$C:$C,$A8,RawData!BU:BU)</f>
        <v>0</v>
      </c>
      <c r="BR8">
        <f>SUMIF(RawData!$C:$C,$A8,RawData!BV:BV)</f>
        <v>0</v>
      </c>
      <c r="BS8">
        <f>SUMIF(RawData!$C:$C,$A8,RawData!BW:BW)</f>
        <v>0</v>
      </c>
      <c r="BT8">
        <f>SUMIF(RawData!$C:$C,$A8,RawData!BX:BX)</f>
        <v>0</v>
      </c>
    </row>
    <row r="9" spans="1:72" ht="15" thickBot="1" x14ac:dyDescent="0.35">
      <c r="A9" s="4" t="s">
        <v>65</v>
      </c>
      <c r="B9">
        <f>SUMIF(RawData!$C:$C,$A9,RawData!F:F)</f>
        <v>1</v>
      </c>
      <c r="C9">
        <f>SUMIF(RawData!$C:$C,$A9,RawData!G:G)</f>
        <v>1</v>
      </c>
      <c r="D9">
        <f>SUMIF(RawData!$C:$C,$A9,RawData!H:H)</f>
        <v>2</v>
      </c>
      <c r="E9">
        <f>SUMIF(RawData!$C:$C,$A9,RawData!I:I)</f>
        <v>2</v>
      </c>
      <c r="F9">
        <f>SUMIF(RawData!$C:$C,$A9,RawData!J:J)</f>
        <v>5</v>
      </c>
      <c r="G9">
        <f>SUMIF(RawData!$C:$C,$A9,RawData!K:K)</f>
        <v>5</v>
      </c>
      <c r="H9">
        <f>SUMIF(RawData!$C:$C,$A9,RawData!L:L)</f>
        <v>5</v>
      </c>
      <c r="I9">
        <f>SUMIF(RawData!$C:$C,$A9,RawData!M:M)</f>
        <v>5</v>
      </c>
      <c r="J9">
        <f>SUMIF(RawData!$C:$C,$A9,RawData!N:N)</f>
        <v>5</v>
      </c>
      <c r="K9">
        <f>SUMIF(RawData!$C:$C,$A9,RawData!O:O)</f>
        <v>7</v>
      </c>
      <c r="L9">
        <f>SUMIF(RawData!$C:$C,$A9,RawData!P:P)</f>
        <v>8</v>
      </c>
      <c r="M9">
        <f>SUMIF(RawData!$C:$C,$A9,RawData!Q:Q)</f>
        <v>8</v>
      </c>
      <c r="N9">
        <f>SUMIF(RawData!$C:$C,$A9,RawData!R:R)</f>
        <v>11</v>
      </c>
      <c r="O9">
        <f>SUMIF(RawData!$C:$C,$A9,RawData!S:S)</f>
        <v>11</v>
      </c>
      <c r="P9">
        <f>SUMIF(RawData!$C:$C,$A9,RawData!T:T)</f>
        <v>11</v>
      </c>
      <c r="Q9">
        <f>SUMIF(RawData!$C:$C,$A9,RawData!U:U)</f>
        <v>11</v>
      </c>
      <c r="R9">
        <f>SUMIF(RawData!$C:$C,$A9,RawData!V:V)</f>
        <v>11</v>
      </c>
      <c r="S9">
        <f>SUMIF(RawData!$C:$C,$A9,RawData!W:W)</f>
        <v>11</v>
      </c>
      <c r="T9">
        <f>SUMIF(RawData!$C:$C,$A9,RawData!X:X)</f>
        <v>11</v>
      </c>
      <c r="U9">
        <f>SUMIF(RawData!$C:$C,$A9,RawData!Y:Y)</f>
        <v>11</v>
      </c>
      <c r="V9">
        <f>SUMIF(RawData!$C:$C,$A9,RawData!Z:Z)</f>
        <v>12</v>
      </c>
      <c r="W9">
        <f>SUMIF(RawData!$C:$C,$A9,RawData!AA:AA)</f>
        <v>12</v>
      </c>
      <c r="X9">
        <f>SUMIF(RawData!$C:$C,$A9,RawData!AB:AB)</f>
        <v>13</v>
      </c>
      <c r="Y9">
        <f>SUMIF(RawData!$C:$C,$A9,RawData!AC:AC)</f>
        <v>13</v>
      </c>
      <c r="Z9">
        <f>SUMIF(RawData!$C:$C,$A9,RawData!AD:AD)</f>
        <v>13</v>
      </c>
      <c r="AA9">
        <f>SUMIF(RawData!$C:$C,$A9,RawData!AE:AE)</f>
        <v>13</v>
      </c>
      <c r="AB9">
        <f>SUMIF(RawData!$C:$C,$A9,RawData!AF:AF)</f>
        <v>13</v>
      </c>
      <c r="AC9">
        <f>SUMIF(RawData!$C:$C,$A9,RawData!AG:AG)</f>
        <v>13</v>
      </c>
      <c r="AD9">
        <f>SUMIF(RawData!$C:$C,$A9,RawData!AH:AH)</f>
        <v>13</v>
      </c>
      <c r="AE9">
        <f>SUMIF(RawData!$C:$C,$A9,RawData!AI:AI)</f>
        <v>13</v>
      </c>
      <c r="AF9">
        <f>SUMIF(RawData!$C:$C,$A9,RawData!AJ:AJ)</f>
        <v>15</v>
      </c>
      <c r="AG9">
        <f>SUMIF(RawData!$C:$C,$A9,RawData!AK:AK)</f>
        <v>15</v>
      </c>
      <c r="AH9">
        <f>SUMIF(RawData!$C:$C,$A9,RawData!AL:AL)</f>
        <v>15</v>
      </c>
      <c r="AI9">
        <f>SUMIF(RawData!$C:$C,$A9,RawData!AM:AM)</f>
        <v>51</v>
      </c>
      <c r="AJ9">
        <f>SUMIF(RawData!$C:$C,$A9,RawData!AN:AN)</f>
        <v>51</v>
      </c>
      <c r="AK9">
        <f>SUMIF(RawData!$C:$C,$A9,RawData!AO:AO)</f>
        <v>57</v>
      </c>
      <c r="AL9">
        <f>SUMIF(RawData!$C:$C,$A9,RawData!AP:AP)</f>
        <v>58</v>
      </c>
      <c r="AM9">
        <f>SUMIF(RawData!$C:$C,$A9,RawData!AQ:AQ)</f>
        <v>60</v>
      </c>
      <c r="AN9">
        <f>SUMIF(RawData!$C:$C,$A9,RawData!AR:AR)</f>
        <v>68</v>
      </c>
      <c r="AO9">
        <f>SUMIF(RawData!$C:$C,$A9,RawData!AS:AS)</f>
        <v>74</v>
      </c>
      <c r="AP9">
        <f>SUMIF(RawData!$C:$C,$A9,RawData!AT:AT)</f>
        <v>98</v>
      </c>
      <c r="AQ9">
        <f>SUMIF(RawData!$C:$C,$A9,RawData!AU:AU)</f>
        <v>118</v>
      </c>
      <c r="AR9">
        <f>SUMIF(RawData!$C:$C,$A9,RawData!AV:AV)</f>
        <v>149</v>
      </c>
      <c r="AS9">
        <f>SUMIF(RawData!$C:$C,$A9,RawData!AW:AW)</f>
        <v>217</v>
      </c>
      <c r="AT9">
        <f>SUMIF(RawData!$C:$C,$A9,RawData!AX:AX)</f>
        <v>262</v>
      </c>
      <c r="AU9">
        <f>SUMIF(RawData!$C:$C,$A9,RawData!AY:AY)</f>
        <v>402</v>
      </c>
      <c r="AV9">
        <f>SUMIF(RawData!$C:$C,$A9,RawData!AZ:AZ)</f>
        <v>518</v>
      </c>
      <c r="AW9">
        <f>SUMIF(RawData!$C:$C,$A9,RawData!BA:BA)</f>
        <v>583</v>
      </c>
      <c r="AX9">
        <f>SUMIF(RawData!$C:$C,$A9,RawData!BB:BB)</f>
        <v>959</v>
      </c>
      <c r="AY9">
        <f>SUMIF(RawData!$C:$C,$A9,RawData!BC:BC)</f>
        <v>1281</v>
      </c>
      <c r="AZ9">
        <f>SUMIF(RawData!$C:$C,$A9,RawData!BD:BD)</f>
        <v>1663</v>
      </c>
      <c r="BA9">
        <f>SUMIF(RawData!$C:$C,$A9,RawData!BE:BE)</f>
        <v>2179</v>
      </c>
      <c r="BB9">
        <f>SUMIF(RawData!$C:$C,$A9,RawData!BF:BF)</f>
        <v>2727</v>
      </c>
      <c r="BC9">
        <f>SUMIF(RawData!$C:$C,$A9,RawData!BG:BG)</f>
        <v>3499</v>
      </c>
      <c r="BD9">
        <f>SUMIF(RawData!$C:$C,$A9,RawData!BH:BH)</f>
        <v>4632</v>
      </c>
      <c r="BE9">
        <f>SUMIF(RawData!$C:$C,$A9,RawData!BI:BI)</f>
        <v>0</v>
      </c>
      <c r="BF9">
        <f>SUMIF(RawData!$C:$C,$A9,RawData!BJ:BJ)</f>
        <v>0</v>
      </c>
      <c r="BG9">
        <f>SUMIF(RawData!$C:$C,$A9,RawData!BK:BK)</f>
        <v>0</v>
      </c>
      <c r="BH9">
        <f>SUMIF(RawData!$C:$C,$A9,RawData!BL:BL)</f>
        <v>0</v>
      </c>
      <c r="BI9">
        <f>SUMIF(RawData!$C:$C,$A9,RawData!BM:BM)</f>
        <v>0</v>
      </c>
      <c r="BJ9">
        <f>SUMIF(RawData!$C:$C,$A9,RawData!BN:BN)</f>
        <v>0</v>
      </c>
      <c r="BK9">
        <f>SUMIF(RawData!$C:$C,$A9,RawData!BO:BO)</f>
        <v>0</v>
      </c>
      <c r="BL9">
        <f>SUMIF(RawData!$C:$C,$A9,RawData!BP:BP)</f>
        <v>0</v>
      </c>
      <c r="BM9">
        <f>SUMIF(RawData!$C:$C,$A9,RawData!BQ:BQ)</f>
        <v>0</v>
      </c>
      <c r="BN9">
        <f>SUMIF(RawData!$C:$C,$A9,RawData!BR:BR)</f>
        <v>0</v>
      </c>
      <c r="BO9">
        <f>SUMIF(RawData!$C:$C,$A9,RawData!BS:BS)</f>
        <v>0</v>
      </c>
      <c r="BP9">
        <f>SUMIF(RawData!$C:$C,$A9,RawData!BT:BT)</f>
        <v>0</v>
      </c>
      <c r="BQ9">
        <f>SUMIF(RawData!$C:$C,$A9,RawData!BU:BU)</f>
        <v>0</v>
      </c>
      <c r="BR9">
        <f>SUMIF(RawData!$C:$C,$A9,RawData!BV:BV)</f>
        <v>0</v>
      </c>
      <c r="BS9">
        <f>SUMIF(RawData!$C:$C,$A9,RawData!BW:BW)</f>
        <v>0</v>
      </c>
      <c r="BT9">
        <f>SUMIF(RawData!$C:$C,$A9,RawData!BX:BX)</f>
        <v>0</v>
      </c>
    </row>
    <row r="10" spans="1:72" ht="15" thickBot="1" x14ac:dyDescent="0.35">
      <c r="A10" s="5" t="s">
        <v>104</v>
      </c>
      <c r="B10">
        <f>SUMIF(RawData!$C:$C,$A10,RawData!F:F)</f>
        <v>0</v>
      </c>
      <c r="C10">
        <f>SUMIF(RawData!$C:$C,$A10,RawData!G:G)</f>
        <v>0</v>
      </c>
      <c r="D10">
        <f>SUMIF(RawData!$C:$C,$A10,RawData!H:H)</f>
        <v>0</v>
      </c>
      <c r="E10">
        <f>SUMIF(RawData!$C:$C,$A10,RawData!I:I)</f>
        <v>0</v>
      </c>
      <c r="F10">
        <f>SUMIF(RawData!$C:$C,$A10,RawData!J:J)</f>
        <v>0</v>
      </c>
      <c r="G10">
        <f>SUMIF(RawData!$C:$C,$A10,RawData!K:K)</f>
        <v>0</v>
      </c>
      <c r="H10">
        <f>SUMIF(RawData!$C:$C,$A10,RawData!L:L)</f>
        <v>0</v>
      </c>
      <c r="I10">
        <f>SUMIF(RawData!$C:$C,$A10,RawData!M:M)</f>
        <v>0</v>
      </c>
      <c r="J10">
        <f>SUMIF(RawData!$C:$C,$A10,RawData!N:N)</f>
        <v>0</v>
      </c>
      <c r="K10">
        <f>SUMIF(RawData!$C:$C,$A10,RawData!O:O)</f>
        <v>0</v>
      </c>
      <c r="L10">
        <f>SUMIF(RawData!$C:$C,$A10,RawData!P:P)</f>
        <v>0</v>
      </c>
      <c r="M10">
        <f>SUMIF(RawData!$C:$C,$A10,RawData!Q:Q)</f>
        <v>0</v>
      </c>
      <c r="N10">
        <f>SUMIF(RawData!$C:$C,$A10,RawData!R:R)</f>
        <v>0</v>
      </c>
      <c r="O10">
        <f>SUMIF(RawData!$C:$C,$A10,RawData!S:S)</f>
        <v>0</v>
      </c>
      <c r="P10">
        <f>SUMIF(RawData!$C:$C,$A10,RawData!T:T)</f>
        <v>0</v>
      </c>
      <c r="Q10">
        <f>SUMIF(RawData!$C:$C,$A10,RawData!U:U)</f>
        <v>0</v>
      </c>
      <c r="R10">
        <f>SUMIF(RawData!$C:$C,$A10,RawData!V:V)</f>
        <v>0</v>
      </c>
      <c r="S10">
        <f>SUMIF(RawData!$C:$C,$A10,RawData!W:W)</f>
        <v>0</v>
      </c>
      <c r="T10">
        <f>SUMIF(RawData!$C:$C,$A10,RawData!X:X)</f>
        <v>0</v>
      </c>
      <c r="U10">
        <f>SUMIF(RawData!$C:$C,$A10,RawData!Y:Y)</f>
        <v>0</v>
      </c>
      <c r="V10">
        <f>SUMIF(RawData!$C:$C,$A10,RawData!Z:Z)</f>
        <v>0</v>
      </c>
      <c r="W10">
        <f>SUMIF(RawData!$C:$C,$A10,RawData!AA:AA)</f>
        <v>0</v>
      </c>
      <c r="X10">
        <f>SUMIF(RawData!$C:$C,$A10,RawData!AB:AB)</f>
        <v>0</v>
      </c>
      <c r="Y10">
        <f>SUMIF(RawData!$C:$C,$A10,RawData!AC:AC)</f>
        <v>0</v>
      </c>
      <c r="Z10">
        <f>SUMIF(RawData!$C:$C,$A10,RawData!AD:AD)</f>
        <v>0</v>
      </c>
      <c r="AA10">
        <f>SUMIF(RawData!$C:$C,$A10,RawData!AE:AE)</f>
        <v>0</v>
      </c>
      <c r="AB10">
        <f>SUMIF(RawData!$C:$C,$A10,RawData!AF:AF)</f>
        <v>0</v>
      </c>
      <c r="AC10">
        <f>SUMIF(RawData!$C:$C,$A10,RawData!AG:AG)</f>
        <v>0</v>
      </c>
      <c r="AD10">
        <f>SUMIF(RawData!$C:$C,$A10,RawData!AH:AH)</f>
        <v>0</v>
      </c>
      <c r="AE10">
        <f>SUMIF(RawData!$C:$C,$A10,RawData!AI:AI)</f>
        <v>0</v>
      </c>
      <c r="AF10">
        <f>SUMIF(RawData!$C:$C,$A10,RawData!AJ:AJ)</f>
        <v>0</v>
      </c>
      <c r="AG10">
        <f>SUMIF(RawData!$C:$C,$A10,RawData!AK:AK)</f>
        <v>0</v>
      </c>
      <c r="AH10">
        <f>SUMIF(RawData!$C:$C,$A10,RawData!AL:AL)</f>
        <v>0</v>
      </c>
      <c r="AI10">
        <f>SUMIF(RawData!$C:$C,$A10,RawData!AM:AM)</f>
        <v>0</v>
      </c>
      <c r="AJ10">
        <f>SUMIF(RawData!$C:$C,$A10,RawData!AN:AN)</f>
        <v>1</v>
      </c>
      <c r="AK10">
        <f>SUMIF(RawData!$C:$C,$A10,RawData!AO:AO)</f>
        <v>1</v>
      </c>
      <c r="AL10">
        <f>SUMIF(RawData!$C:$C,$A10,RawData!AP:AP)</f>
        <v>8</v>
      </c>
      <c r="AM10">
        <f>SUMIF(RawData!$C:$C,$A10,RawData!AQ:AQ)</f>
        <v>8</v>
      </c>
      <c r="AN10">
        <f>SUMIF(RawData!$C:$C,$A10,RawData!AR:AR)</f>
        <v>18</v>
      </c>
      <c r="AO10">
        <f>SUMIF(RawData!$C:$C,$A10,RawData!AS:AS)</f>
        <v>27</v>
      </c>
      <c r="AP10">
        <f>SUMIF(RawData!$C:$C,$A10,RawData!AT:AT)</f>
        <v>42</v>
      </c>
      <c r="AQ10">
        <f>SUMIF(RawData!$C:$C,$A10,RawData!AU:AU)</f>
        <v>56</v>
      </c>
      <c r="AR10">
        <f>SUMIF(RawData!$C:$C,$A10,RawData!AV:AV)</f>
        <v>90</v>
      </c>
      <c r="AS10">
        <f>SUMIF(RawData!$C:$C,$A10,RawData!AW:AW)</f>
        <v>114</v>
      </c>
      <c r="AT10">
        <f>SUMIF(RawData!$C:$C,$A10,RawData!AX:AX)</f>
        <v>214</v>
      </c>
      <c r="AU10">
        <f>SUMIF(RawData!$C:$C,$A10,RawData!AY:AY)</f>
        <v>268</v>
      </c>
      <c r="AV10">
        <f>SUMIF(RawData!$C:$C,$A10,RawData!AZ:AZ)</f>
        <v>337</v>
      </c>
      <c r="AW10">
        <f>SUMIF(RawData!$C:$C,$A10,RawData!BA:BA)</f>
        <v>374</v>
      </c>
      <c r="AX10">
        <f>SUMIF(RawData!$C:$C,$A10,RawData!BB:BB)</f>
        <v>491</v>
      </c>
      <c r="AY10">
        <f>SUMIF(RawData!$C:$C,$A10,RawData!BC:BC)</f>
        <v>652</v>
      </c>
      <c r="AZ10">
        <f>SUMIF(RawData!$C:$C,$A10,RawData!BD:BD)</f>
        <v>652</v>
      </c>
      <c r="BA10">
        <f>SUMIF(RawData!$C:$C,$A10,RawData!BE:BE)</f>
        <v>1139</v>
      </c>
      <c r="BB10">
        <f>SUMIF(RawData!$C:$C,$A10,RawData!BF:BF)</f>
        <v>1359</v>
      </c>
      <c r="BC10">
        <f>SUMIF(RawData!$C:$C,$A10,RawData!BG:BG)</f>
        <v>2200</v>
      </c>
      <c r="BD10">
        <f>SUMIF(RawData!$C:$C,$A10,RawData!BH:BH)</f>
        <v>2200</v>
      </c>
      <c r="BE10">
        <f>SUMIF(RawData!$C:$C,$A10,RawData!BI:BI)</f>
        <v>0</v>
      </c>
      <c r="BF10">
        <f>SUMIF(RawData!$C:$C,$A10,RawData!BJ:BJ)</f>
        <v>0</v>
      </c>
      <c r="BG10">
        <f>SUMIF(RawData!$C:$C,$A10,RawData!BK:BK)</f>
        <v>0</v>
      </c>
      <c r="BH10">
        <f>SUMIF(RawData!$C:$C,$A10,RawData!BL:BL)</f>
        <v>0</v>
      </c>
      <c r="BI10">
        <f>SUMIF(RawData!$C:$C,$A10,RawData!BM:BM)</f>
        <v>0</v>
      </c>
      <c r="BJ10">
        <f>SUMIF(RawData!$C:$C,$A10,RawData!BN:BN)</f>
        <v>0</v>
      </c>
      <c r="BK10">
        <f>SUMIF(RawData!$C:$C,$A10,RawData!BO:BO)</f>
        <v>0</v>
      </c>
      <c r="BL10">
        <f>SUMIF(RawData!$C:$C,$A10,RawData!BP:BP)</f>
        <v>0</v>
      </c>
      <c r="BM10">
        <f>SUMIF(RawData!$C:$C,$A10,RawData!BQ:BQ)</f>
        <v>0</v>
      </c>
      <c r="BN10">
        <f>SUMIF(RawData!$C:$C,$A10,RawData!BR:BR)</f>
        <v>0</v>
      </c>
      <c r="BO10">
        <f>SUMIF(RawData!$C:$C,$A10,RawData!BS:BS)</f>
        <v>0</v>
      </c>
      <c r="BP10">
        <f>SUMIF(RawData!$C:$C,$A10,RawData!BT:BT)</f>
        <v>0</v>
      </c>
      <c r="BQ10">
        <f>SUMIF(RawData!$C:$C,$A10,RawData!BU:BU)</f>
        <v>0</v>
      </c>
      <c r="BR10">
        <f>SUMIF(RawData!$C:$C,$A10,RawData!BV:BV)</f>
        <v>0</v>
      </c>
      <c r="BS10">
        <f>SUMIF(RawData!$C:$C,$A10,RawData!BW:BW)</f>
        <v>0</v>
      </c>
      <c r="BT10">
        <f>SUMIF(RawData!$C:$C,$A10,RawData!BX:BX)</f>
        <v>0</v>
      </c>
    </row>
    <row r="11" spans="1:72" ht="15" thickBot="1" x14ac:dyDescent="0.35">
      <c r="A11" s="5" t="s">
        <v>112</v>
      </c>
      <c r="B11">
        <f>SUMIF(RawData!$C:$C,$A11,RawData!F:F)</f>
        <v>0</v>
      </c>
      <c r="C11">
        <f>SUMIF(RawData!$C:$C,$A11,RawData!G:G)</f>
        <v>0</v>
      </c>
      <c r="D11">
        <f>SUMIF(RawData!$C:$C,$A11,RawData!H:H)</f>
        <v>0</v>
      </c>
      <c r="E11">
        <f>SUMIF(RawData!$C:$C,$A11,RawData!I:I)</f>
        <v>0</v>
      </c>
      <c r="F11">
        <f>SUMIF(RawData!$C:$C,$A11,RawData!J:J)</f>
        <v>0</v>
      </c>
      <c r="G11">
        <f>SUMIF(RawData!$C:$C,$A11,RawData!K:K)</f>
        <v>0</v>
      </c>
      <c r="H11">
        <f>SUMIF(RawData!$C:$C,$A11,RawData!L:L)</f>
        <v>0</v>
      </c>
      <c r="I11">
        <f>SUMIF(RawData!$C:$C,$A11,RawData!M:M)</f>
        <v>0</v>
      </c>
      <c r="J11">
        <f>SUMIF(RawData!$C:$C,$A11,RawData!N:N)</f>
        <v>0</v>
      </c>
      <c r="K11">
        <f>SUMIF(RawData!$C:$C,$A11,RawData!O:O)</f>
        <v>0</v>
      </c>
      <c r="L11">
        <f>SUMIF(RawData!$C:$C,$A11,RawData!P:P)</f>
        <v>0</v>
      </c>
      <c r="M11">
        <f>SUMIF(RawData!$C:$C,$A11,RawData!Q:Q)</f>
        <v>0</v>
      </c>
      <c r="N11">
        <f>SUMIF(RawData!$C:$C,$A11,RawData!R:R)</f>
        <v>0</v>
      </c>
      <c r="O11">
        <f>SUMIF(RawData!$C:$C,$A11,RawData!S:S)</f>
        <v>0</v>
      </c>
      <c r="P11">
        <f>SUMIF(RawData!$C:$C,$A11,RawData!T:T)</f>
        <v>0</v>
      </c>
      <c r="Q11">
        <f>SUMIF(RawData!$C:$C,$A11,RawData!U:U)</f>
        <v>0</v>
      </c>
      <c r="R11">
        <f>SUMIF(RawData!$C:$C,$A11,RawData!V:V)</f>
        <v>0</v>
      </c>
      <c r="S11">
        <f>SUMIF(RawData!$C:$C,$A11,RawData!W:W)</f>
        <v>0</v>
      </c>
      <c r="T11">
        <f>SUMIF(RawData!$C:$C,$A11,RawData!X:X)</f>
        <v>0</v>
      </c>
      <c r="U11">
        <f>SUMIF(RawData!$C:$C,$A11,RawData!Y:Y)</f>
        <v>0</v>
      </c>
      <c r="V11">
        <f>SUMIF(RawData!$C:$C,$A11,RawData!Z:Z)</f>
        <v>0</v>
      </c>
      <c r="W11">
        <f>SUMIF(RawData!$C:$C,$A11,RawData!AA:AA)</f>
        <v>0</v>
      </c>
      <c r="X11">
        <f>SUMIF(RawData!$C:$C,$A11,RawData!AB:AB)</f>
        <v>0</v>
      </c>
      <c r="Y11">
        <f>SUMIF(RawData!$C:$C,$A11,RawData!AC:AC)</f>
        <v>0</v>
      </c>
      <c r="Z11">
        <f>SUMIF(RawData!$C:$C,$A11,RawData!AD:AD)</f>
        <v>0</v>
      </c>
      <c r="AA11">
        <f>SUMIF(RawData!$C:$C,$A11,RawData!AE:AE)</f>
        <v>0</v>
      </c>
      <c r="AB11">
        <f>SUMIF(RawData!$C:$C,$A11,RawData!AF:AF)</f>
        <v>0</v>
      </c>
      <c r="AC11">
        <f>SUMIF(RawData!$C:$C,$A11,RawData!AG:AG)</f>
        <v>0</v>
      </c>
      <c r="AD11">
        <f>SUMIF(RawData!$C:$C,$A11,RawData!AH:AH)</f>
        <v>0</v>
      </c>
      <c r="AE11">
        <f>SUMIF(RawData!$C:$C,$A11,RawData!AI:AI)</f>
        <v>0</v>
      </c>
      <c r="AF11">
        <f>SUMIF(RawData!$C:$C,$A11,RawData!AJ:AJ)</f>
        <v>0</v>
      </c>
      <c r="AG11">
        <f>SUMIF(RawData!$C:$C,$A11,RawData!AK:AK)</f>
        <v>0</v>
      </c>
      <c r="AH11">
        <f>SUMIF(RawData!$C:$C,$A11,RawData!AL:AL)</f>
        <v>0</v>
      </c>
      <c r="AI11">
        <f>SUMIF(RawData!$C:$C,$A11,RawData!AM:AM)</f>
        <v>0</v>
      </c>
      <c r="AJ11">
        <f>SUMIF(RawData!$C:$C,$A11,RawData!AN:AN)</f>
        <v>0</v>
      </c>
      <c r="AK11">
        <f>SUMIF(RawData!$C:$C,$A11,RawData!AO:AO)</f>
        <v>1</v>
      </c>
      <c r="AL11">
        <f>SUMIF(RawData!$C:$C,$A11,RawData!AP:AP)</f>
        <v>1</v>
      </c>
      <c r="AM11">
        <f>SUMIF(RawData!$C:$C,$A11,RawData!AQ:AQ)</f>
        <v>6</v>
      </c>
      <c r="AN11">
        <f>SUMIF(RawData!$C:$C,$A11,RawData!AR:AR)</f>
        <v>15</v>
      </c>
      <c r="AO11">
        <f>SUMIF(RawData!$C:$C,$A11,RawData!AS:AS)</f>
        <v>19</v>
      </c>
      <c r="AP11">
        <f>SUMIF(RawData!$C:$C,$A11,RawData!AT:AT)</f>
        <v>25</v>
      </c>
      <c r="AQ11">
        <f>SUMIF(RawData!$C:$C,$A11,RawData!AU:AU)</f>
        <v>32</v>
      </c>
      <c r="AR11">
        <f>SUMIF(RawData!$C:$C,$A11,RawData!AV:AV)</f>
        <v>56</v>
      </c>
      <c r="AS11">
        <f>SUMIF(RawData!$C:$C,$A11,RawData!AW:AW)</f>
        <v>87</v>
      </c>
      <c r="AT11">
        <f>SUMIF(RawData!$C:$C,$A11,RawData!AX:AX)</f>
        <v>108</v>
      </c>
      <c r="AU11">
        <f>SUMIF(RawData!$C:$C,$A11,RawData!AY:AY)</f>
        <v>147</v>
      </c>
      <c r="AV11">
        <f>SUMIF(RawData!$C:$C,$A11,RawData!AZ:AZ)</f>
        <v>176</v>
      </c>
      <c r="AW11">
        <f>SUMIF(RawData!$C:$C,$A11,RawData!BA:BA)</f>
        <v>205</v>
      </c>
      <c r="AX11">
        <f>SUMIF(RawData!$C:$C,$A11,RawData!BB:BB)</f>
        <v>400</v>
      </c>
      <c r="AY11">
        <f>SUMIF(RawData!$C:$C,$A11,RawData!BC:BC)</f>
        <v>598</v>
      </c>
      <c r="AZ11">
        <f>SUMIF(RawData!$C:$C,$A11,RawData!BD:BD)</f>
        <v>702</v>
      </c>
      <c r="BA11">
        <f>SUMIF(RawData!$C:$C,$A11,RawData!BE:BE)</f>
        <v>996</v>
      </c>
      <c r="BB11">
        <f>SUMIF(RawData!$C:$C,$A11,RawData!BF:BF)</f>
        <v>1090</v>
      </c>
      <c r="BC11">
        <f>SUMIF(RawData!$C:$C,$A11,RawData!BG:BG)</f>
        <v>1221</v>
      </c>
      <c r="BD11">
        <f>SUMIF(RawData!$C:$C,$A11,RawData!BH:BH)</f>
        <v>1333</v>
      </c>
      <c r="BE11">
        <f>SUMIF(RawData!$C:$C,$A11,RawData!BI:BI)</f>
        <v>0</v>
      </c>
      <c r="BF11">
        <f>SUMIF(RawData!$C:$C,$A11,RawData!BJ:BJ)</f>
        <v>0</v>
      </c>
      <c r="BG11">
        <f>SUMIF(RawData!$C:$C,$A11,RawData!BK:BK)</f>
        <v>0</v>
      </c>
      <c r="BH11">
        <f>SUMIF(RawData!$C:$C,$A11,RawData!BL:BL)</f>
        <v>0</v>
      </c>
      <c r="BI11">
        <f>SUMIF(RawData!$C:$C,$A11,RawData!BM:BM)</f>
        <v>0</v>
      </c>
      <c r="BJ11">
        <f>SUMIF(RawData!$C:$C,$A11,RawData!BN:BN)</f>
        <v>0</v>
      </c>
      <c r="BK11">
        <f>SUMIF(RawData!$C:$C,$A11,RawData!BO:BO)</f>
        <v>0</v>
      </c>
      <c r="BL11">
        <f>SUMIF(RawData!$C:$C,$A11,RawData!BP:BP)</f>
        <v>0</v>
      </c>
      <c r="BM11">
        <f>SUMIF(RawData!$C:$C,$A11,RawData!BQ:BQ)</f>
        <v>0</v>
      </c>
      <c r="BN11">
        <f>SUMIF(RawData!$C:$C,$A11,RawData!BR:BR)</f>
        <v>0</v>
      </c>
      <c r="BO11">
        <f>SUMIF(RawData!$C:$C,$A11,RawData!BS:BS)</f>
        <v>0</v>
      </c>
      <c r="BP11">
        <f>SUMIF(RawData!$C:$C,$A11,RawData!BT:BT)</f>
        <v>0</v>
      </c>
      <c r="BQ11">
        <f>SUMIF(RawData!$C:$C,$A11,RawData!BU:BU)</f>
        <v>0</v>
      </c>
      <c r="BR11">
        <f>SUMIF(RawData!$C:$C,$A11,RawData!BV:BV)</f>
        <v>0</v>
      </c>
      <c r="BS11">
        <f>SUMIF(RawData!$C:$C,$A11,RawData!BW:BW)</f>
        <v>0</v>
      </c>
      <c r="BT11">
        <f>SUMIF(RawData!$C:$C,$A11,RawData!BX:BX)</f>
        <v>0</v>
      </c>
    </row>
    <row r="12" spans="1:72" ht="15" thickBot="1" x14ac:dyDescent="0.35">
      <c r="A12" s="5" t="s">
        <v>86</v>
      </c>
      <c r="B12">
        <f>SUMIF(RawData!$C:$C,$A12,RawData!F:F)</f>
        <v>0</v>
      </c>
      <c r="C12">
        <f>SUMIF(RawData!$C:$C,$A12,RawData!G:G)</f>
        <v>0</v>
      </c>
      <c r="D12">
        <f>SUMIF(RawData!$C:$C,$A12,RawData!H:H)</f>
        <v>0</v>
      </c>
      <c r="E12">
        <f>SUMIF(RawData!$C:$C,$A12,RawData!I:I)</f>
        <v>0</v>
      </c>
      <c r="F12">
        <f>SUMIF(RawData!$C:$C,$A12,RawData!J:J)</f>
        <v>0</v>
      </c>
      <c r="G12">
        <f>SUMIF(RawData!$C:$C,$A12,RawData!K:K)</f>
        <v>0</v>
      </c>
      <c r="H12">
        <f>SUMIF(RawData!$C:$C,$A12,RawData!L:L)</f>
        <v>0</v>
      </c>
      <c r="I12">
        <f>SUMIF(RawData!$C:$C,$A12,RawData!M:M)</f>
        <v>0</v>
      </c>
      <c r="J12">
        <f>SUMIF(RawData!$C:$C,$A12,RawData!N:N)</f>
        <v>0</v>
      </c>
      <c r="K12">
        <f>SUMIF(RawData!$C:$C,$A12,RawData!O:O)</f>
        <v>1</v>
      </c>
      <c r="L12">
        <f>SUMIF(RawData!$C:$C,$A12,RawData!P:P)</f>
        <v>1</v>
      </c>
      <c r="M12">
        <f>SUMIF(RawData!$C:$C,$A12,RawData!Q:Q)</f>
        <v>1</v>
      </c>
      <c r="N12">
        <f>SUMIF(RawData!$C:$C,$A12,RawData!R:R)</f>
        <v>1</v>
      </c>
      <c r="O12">
        <f>SUMIF(RawData!$C:$C,$A12,RawData!S:S)</f>
        <v>1</v>
      </c>
      <c r="P12">
        <f>SUMIF(RawData!$C:$C,$A12,RawData!T:T)</f>
        <v>1</v>
      </c>
      <c r="Q12">
        <f>SUMIF(RawData!$C:$C,$A12,RawData!U:U)</f>
        <v>1</v>
      </c>
      <c r="R12">
        <f>SUMIF(RawData!$C:$C,$A12,RawData!V:V)</f>
        <v>1</v>
      </c>
      <c r="S12">
        <f>SUMIF(RawData!$C:$C,$A12,RawData!W:W)</f>
        <v>1</v>
      </c>
      <c r="T12">
        <f>SUMIF(RawData!$C:$C,$A12,RawData!X:X)</f>
        <v>1</v>
      </c>
      <c r="U12">
        <f>SUMIF(RawData!$C:$C,$A12,RawData!Y:Y)</f>
        <v>1</v>
      </c>
      <c r="V12">
        <f>SUMIF(RawData!$C:$C,$A12,RawData!Z:Z)</f>
        <v>1</v>
      </c>
      <c r="W12">
        <f>SUMIF(RawData!$C:$C,$A12,RawData!AA:AA)</f>
        <v>1</v>
      </c>
      <c r="X12">
        <f>SUMIF(RawData!$C:$C,$A12,RawData!AB:AB)</f>
        <v>1</v>
      </c>
      <c r="Y12">
        <f>SUMIF(RawData!$C:$C,$A12,RawData!AC:AC)</f>
        <v>1</v>
      </c>
      <c r="Z12">
        <f>SUMIF(RawData!$C:$C,$A12,RawData!AD:AD)</f>
        <v>1</v>
      </c>
      <c r="AA12">
        <f>SUMIF(RawData!$C:$C,$A12,RawData!AE:AE)</f>
        <v>1</v>
      </c>
      <c r="AB12">
        <f>SUMIF(RawData!$C:$C,$A12,RawData!AF:AF)</f>
        <v>1</v>
      </c>
      <c r="AC12">
        <f>SUMIF(RawData!$C:$C,$A12,RawData!AG:AG)</f>
        <v>1</v>
      </c>
      <c r="AD12">
        <f>SUMIF(RawData!$C:$C,$A12,RawData!AH:AH)</f>
        <v>1</v>
      </c>
      <c r="AE12">
        <f>SUMIF(RawData!$C:$C,$A12,RawData!AI:AI)</f>
        <v>1</v>
      </c>
      <c r="AF12">
        <f>SUMIF(RawData!$C:$C,$A12,RawData!AJ:AJ)</f>
        <v>1</v>
      </c>
      <c r="AG12">
        <f>SUMIF(RawData!$C:$C,$A12,RawData!AK:AK)</f>
        <v>1</v>
      </c>
      <c r="AH12">
        <f>SUMIF(RawData!$C:$C,$A12,RawData!AL:AL)</f>
        <v>1</v>
      </c>
      <c r="AI12">
        <f>SUMIF(RawData!$C:$C,$A12,RawData!AM:AM)</f>
        <v>1</v>
      </c>
      <c r="AJ12">
        <f>SUMIF(RawData!$C:$C,$A12,RawData!AN:AN)</f>
        <v>1</v>
      </c>
      <c r="AK12">
        <f>SUMIF(RawData!$C:$C,$A12,RawData!AO:AO)</f>
        <v>2</v>
      </c>
      <c r="AL12">
        <f>SUMIF(RawData!$C:$C,$A12,RawData!AP:AP)</f>
        <v>7</v>
      </c>
      <c r="AM12">
        <f>SUMIF(RawData!$C:$C,$A12,RawData!AQ:AQ)</f>
        <v>7</v>
      </c>
      <c r="AN12">
        <f>SUMIF(RawData!$C:$C,$A12,RawData!AR:AR)</f>
        <v>12</v>
      </c>
      <c r="AO12">
        <f>SUMIF(RawData!$C:$C,$A12,RawData!AS:AS)</f>
        <v>14</v>
      </c>
      <c r="AP12">
        <f>SUMIF(RawData!$C:$C,$A12,RawData!AT:AT)</f>
        <v>15</v>
      </c>
      <c r="AQ12">
        <f>SUMIF(RawData!$C:$C,$A12,RawData!AU:AU)</f>
        <v>21</v>
      </c>
      <c r="AR12">
        <f>SUMIF(RawData!$C:$C,$A12,RawData!AV:AV)</f>
        <v>35</v>
      </c>
      <c r="AS12">
        <f>SUMIF(RawData!$C:$C,$A12,RawData!AW:AW)</f>
        <v>94</v>
      </c>
      <c r="AT12">
        <f>SUMIF(RawData!$C:$C,$A12,RawData!AX:AX)</f>
        <v>101</v>
      </c>
      <c r="AU12">
        <f>SUMIF(RawData!$C:$C,$A12,RawData!AY:AY)</f>
        <v>161</v>
      </c>
      <c r="AV12">
        <f>SUMIF(RawData!$C:$C,$A12,RawData!AZ:AZ)</f>
        <v>203</v>
      </c>
      <c r="AW12">
        <f>SUMIF(RawData!$C:$C,$A12,RawData!BA:BA)</f>
        <v>248</v>
      </c>
      <c r="AX12">
        <f>SUMIF(RawData!$C:$C,$A12,RawData!BB:BB)</f>
        <v>355</v>
      </c>
      <c r="AY12">
        <f>SUMIF(RawData!$C:$C,$A12,RawData!BC:BC)</f>
        <v>500</v>
      </c>
      <c r="AZ12">
        <f>SUMIF(RawData!$C:$C,$A12,RawData!BD:BD)</f>
        <v>599</v>
      </c>
      <c r="BA12">
        <f>SUMIF(RawData!$C:$C,$A12,RawData!BE:BE)</f>
        <v>814</v>
      </c>
      <c r="BB12">
        <f>SUMIF(RawData!$C:$C,$A12,RawData!BF:BF)</f>
        <v>961</v>
      </c>
      <c r="BC12">
        <f>SUMIF(RawData!$C:$C,$A12,RawData!BG:BG)</f>
        <v>1022</v>
      </c>
      <c r="BD12">
        <f>SUMIF(RawData!$C:$C,$A12,RawData!BH:BH)</f>
        <v>1103</v>
      </c>
      <c r="BE12">
        <f>SUMIF(RawData!$C:$C,$A12,RawData!BI:BI)</f>
        <v>0</v>
      </c>
      <c r="BF12">
        <f>SUMIF(RawData!$C:$C,$A12,RawData!BJ:BJ)</f>
        <v>0</v>
      </c>
      <c r="BG12">
        <f>SUMIF(RawData!$C:$C,$A12,RawData!BK:BK)</f>
        <v>0</v>
      </c>
      <c r="BH12">
        <f>SUMIF(RawData!$C:$C,$A12,RawData!BL:BL)</f>
        <v>0</v>
      </c>
      <c r="BI12">
        <f>SUMIF(RawData!$C:$C,$A12,RawData!BM:BM)</f>
        <v>0</v>
      </c>
      <c r="BJ12">
        <f>SUMIF(RawData!$C:$C,$A12,RawData!BN:BN)</f>
        <v>0</v>
      </c>
      <c r="BK12">
        <f>SUMIF(RawData!$C:$C,$A12,RawData!BO:BO)</f>
        <v>0</v>
      </c>
      <c r="BL12">
        <f>SUMIF(RawData!$C:$C,$A12,RawData!BP:BP)</f>
        <v>0</v>
      </c>
      <c r="BM12">
        <f>SUMIF(RawData!$C:$C,$A12,RawData!BQ:BQ)</f>
        <v>0</v>
      </c>
      <c r="BN12">
        <f>SUMIF(RawData!$C:$C,$A12,RawData!BR:BR)</f>
        <v>0</v>
      </c>
      <c r="BO12">
        <f>SUMIF(RawData!$C:$C,$A12,RawData!BS:BS)</f>
        <v>0</v>
      </c>
      <c r="BP12">
        <f>SUMIF(RawData!$C:$C,$A12,RawData!BT:BT)</f>
        <v>0</v>
      </c>
      <c r="BQ12">
        <f>SUMIF(RawData!$C:$C,$A12,RawData!BU:BU)</f>
        <v>0</v>
      </c>
      <c r="BR12">
        <f>SUMIF(RawData!$C:$C,$A12,RawData!BV:BV)</f>
        <v>0</v>
      </c>
      <c r="BS12">
        <f>SUMIF(RawData!$C:$C,$A12,RawData!BW:BW)</f>
        <v>0</v>
      </c>
      <c r="BT12">
        <f>SUMIF(RawData!$C:$C,$A12,RawData!BX:BX)</f>
        <v>0</v>
      </c>
    </row>
    <row r="13" spans="1:72" ht="15" thickBot="1" x14ac:dyDescent="0.35">
      <c r="A13" s="4" t="s">
        <v>114</v>
      </c>
      <c r="B13">
        <f>SUMIF(RawData!$C:$C,$A13,RawData!F:F)</f>
        <v>0</v>
      </c>
      <c r="C13">
        <f>SUMIF(RawData!$C:$C,$A13,RawData!G:G)</f>
        <v>0</v>
      </c>
      <c r="D13">
        <f>SUMIF(RawData!$C:$C,$A13,RawData!H:H)</f>
        <v>0</v>
      </c>
      <c r="E13">
        <f>SUMIF(RawData!$C:$C,$A13,RawData!I:I)</f>
        <v>0</v>
      </c>
      <c r="F13">
        <f>SUMIF(RawData!$C:$C,$A13,RawData!J:J)</f>
        <v>0</v>
      </c>
      <c r="G13">
        <f>SUMIF(RawData!$C:$C,$A13,RawData!K:K)</f>
        <v>0</v>
      </c>
      <c r="H13">
        <f>SUMIF(RawData!$C:$C,$A13,RawData!L:L)</f>
        <v>0</v>
      </c>
      <c r="I13">
        <f>SUMIF(RawData!$C:$C,$A13,RawData!M:M)</f>
        <v>0</v>
      </c>
      <c r="J13">
        <f>SUMIF(RawData!$C:$C,$A13,RawData!N:N)</f>
        <v>0</v>
      </c>
      <c r="K13">
        <f>SUMIF(RawData!$C:$C,$A13,RawData!O:O)</f>
        <v>0</v>
      </c>
      <c r="L13">
        <f>SUMIF(RawData!$C:$C,$A13,RawData!P:P)</f>
        <v>0</v>
      </c>
      <c r="M13">
        <f>SUMIF(RawData!$C:$C,$A13,RawData!Q:Q)</f>
        <v>0</v>
      </c>
      <c r="N13">
        <f>SUMIF(RawData!$C:$C,$A13,RawData!R:R)</f>
        <v>0</v>
      </c>
      <c r="O13">
        <f>SUMIF(RawData!$C:$C,$A13,RawData!S:S)</f>
        <v>0</v>
      </c>
      <c r="P13">
        <f>SUMIF(RawData!$C:$C,$A13,RawData!T:T)</f>
        <v>0</v>
      </c>
      <c r="Q13">
        <f>SUMIF(RawData!$C:$C,$A13,RawData!U:U)</f>
        <v>0</v>
      </c>
      <c r="R13">
        <f>SUMIF(RawData!$C:$C,$A13,RawData!V:V)</f>
        <v>0</v>
      </c>
      <c r="S13">
        <f>SUMIF(RawData!$C:$C,$A13,RawData!W:W)</f>
        <v>0</v>
      </c>
      <c r="T13">
        <f>SUMIF(RawData!$C:$C,$A13,RawData!X:X)</f>
        <v>0</v>
      </c>
      <c r="U13">
        <f>SUMIF(RawData!$C:$C,$A13,RawData!Y:Y)</f>
        <v>0</v>
      </c>
      <c r="V13">
        <f>SUMIF(RawData!$C:$C,$A13,RawData!Z:Z)</f>
        <v>0</v>
      </c>
      <c r="W13">
        <f>SUMIF(RawData!$C:$C,$A13,RawData!AA:AA)</f>
        <v>0</v>
      </c>
      <c r="X13">
        <f>SUMIF(RawData!$C:$C,$A13,RawData!AB:AB)</f>
        <v>0</v>
      </c>
      <c r="Y13">
        <f>SUMIF(RawData!$C:$C,$A13,RawData!AC:AC)</f>
        <v>0</v>
      </c>
      <c r="Z13">
        <f>SUMIF(RawData!$C:$C,$A13,RawData!AD:AD)</f>
        <v>0</v>
      </c>
      <c r="AA13">
        <f>SUMIF(RawData!$C:$C,$A13,RawData!AE:AE)</f>
        <v>0</v>
      </c>
      <c r="AB13">
        <f>SUMIF(RawData!$C:$C,$A13,RawData!AF:AF)</f>
        <v>0</v>
      </c>
      <c r="AC13">
        <f>SUMIF(RawData!$C:$C,$A13,RawData!AG:AG)</f>
        <v>0</v>
      </c>
      <c r="AD13">
        <f>SUMIF(RawData!$C:$C,$A13,RawData!AH:AH)</f>
        <v>0</v>
      </c>
      <c r="AE13">
        <f>SUMIF(RawData!$C:$C,$A13,RawData!AI:AI)</f>
        <v>0</v>
      </c>
      <c r="AF13">
        <f>SUMIF(RawData!$C:$C,$A13,RawData!AJ:AJ)</f>
        <v>0</v>
      </c>
      <c r="AG13">
        <f>SUMIF(RawData!$C:$C,$A13,RawData!AK:AK)</f>
        <v>0</v>
      </c>
      <c r="AH13">
        <f>SUMIF(RawData!$C:$C,$A13,RawData!AL:AL)</f>
        <v>0</v>
      </c>
      <c r="AI13">
        <f>SUMIF(RawData!$C:$C,$A13,RawData!AM:AM)</f>
        <v>0</v>
      </c>
      <c r="AJ13">
        <f>SUMIF(RawData!$C:$C,$A13,RawData!AN:AN)</f>
        <v>0</v>
      </c>
      <c r="AK13">
        <f>SUMIF(RawData!$C:$C,$A13,RawData!AO:AO)</f>
        <v>0</v>
      </c>
      <c r="AL13">
        <f>SUMIF(RawData!$C:$C,$A13,RawData!AP:AP)</f>
        <v>1</v>
      </c>
      <c r="AM13">
        <f>SUMIF(RawData!$C:$C,$A13,RawData!AQ:AQ)</f>
        <v>1</v>
      </c>
      <c r="AN13">
        <f>SUMIF(RawData!$C:$C,$A13,RawData!AR:AR)</f>
        <v>3</v>
      </c>
      <c r="AO13">
        <f>SUMIF(RawData!$C:$C,$A13,RawData!AS:AS)</f>
        <v>4</v>
      </c>
      <c r="AP13">
        <f>SUMIF(RawData!$C:$C,$A13,RawData!AT:AT)</f>
        <v>4</v>
      </c>
      <c r="AQ13">
        <f>SUMIF(RawData!$C:$C,$A13,RawData!AU:AU)</f>
        <v>6</v>
      </c>
      <c r="AR13">
        <f>SUMIF(RawData!$C:$C,$A13,RawData!AV:AV)</f>
        <v>11</v>
      </c>
      <c r="AS13">
        <f>SUMIF(RawData!$C:$C,$A13,RawData!AW:AW)</f>
        <v>11</v>
      </c>
      <c r="AT13">
        <f>SUMIF(RawData!$C:$C,$A13,RawData!AX:AX)</f>
        <v>24</v>
      </c>
      <c r="AU13">
        <f>SUMIF(RawData!$C:$C,$A13,RawData!AY:AY)</f>
        <v>24</v>
      </c>
      <c r="AV13">
        <f>SUMIF(RawData!$C:$C,$A13,RawData!AZ:AZ)</f>
        <v>37</v>
      </c>
      <c r="AW13">
        <f>SUMIF(RawData!$C:$C,$A13,RawData!BA:BA)</f>
        <v>92</v>
      </c>
      <c r="AX13">
        <f>SUMIF(RawData!$C:$C,$A13,RawData!BB:BB)</f>
        <v>264</v>
      </c>
      <c r="AY13">
        <f>SUMIF(RawData!$C:$C,$A13,RawData!BC:BC)</f>
        <v>444</v>
      </c>
      <c r="AZ13">
        <f>SUMIF(RawData!$C:$C,$A13,RawData!BD:BD)</f>
        <v>617</v>
      </c>
      <c r="BA13">
        <f>SUMIF(RawData!$C:$C,$A13,RawData!BE:BE)</f>
        <v>804</v>
      </c>
      <c r="BB13">
        <f>SUMIF(RawData!$C:$C,$A13,RawData!BF:BF)</f>
        <v>836</v>
      </c>
      <c r="BC13">
        <f>SUMIF(RawData!$C:$C,$A13,RawData!BG:BG)</f>
        <v>875</v>
      </c>
      <c r="BD13">
        <f>SUMIF(RawData!$C:$C,$A13,RawData!BH:BH)</f>
        <v>932</v>
      </c>
      <c r="BE13">
        <f>SUMIF(RawData!$C:$C,$A13,RawData!BI:BI)</f>
        <v>0</v>
      </c>
      <c r="BF13">
        <f>SUMIF(RawData!$C:$C,$A13,RawData!BJ:BJ)</f>
        <v>0</v>
      </c>
      <c r="BG13">
        <f>SUMIF(RawData!$C:$C,$A13,RawData!BK:BK)</f>
        <v>0</v>
      </c>
      <c r="BH13">
        <f>SUMIF(RawData!$C:$C,$A13,RawData!BL:BL)</f>
        <v>0</v>
      </c>
      <c r="BI13">
        <f>SUMIF(RawData!$C:$C,$A13,RawData!BM:BM)</f>
        <v>0</v>
      </c>
      <c r="BJ13">
        <f>SUMIF(RawData!$C:$C,$A13,RawData!BN:BN)</f>
        <v>0</v>
      </c>
      <c r="BK13">
        <f>SUMIF(RawData!$C:$C,$A13,RawData!BO:BO)</f>
        <v>0</v>
      </c>
      <c r="BL13">
        <f>SUMIF(RawData!$C:$C,$A13,RawData!BP:BP)</f>
        <v>0</v>
      </c>
      <c r="BM13">
        <f>SUMIF(RawData!$C:$C,$A13,RawData!BQ:BQ)</f>
        <v>0</v>
      </c>
      <c r="BN13">
        <f>SUMIF(RawData!$C:$C,$A13,RawData!BR:BR)</f>
        <v>0</v>
      </c>
      <c r="BO13">
        <f>SUMIF(RawData!$C:$C,$A13,RawData!BS:BS)</f>
        <v>0</v>
      </c>
      <c r="BP13">
        <f>SUMIF(RawData!$C:$C,$A13,RawData!BT:BT)</f>
        <v>0</v>
      </c>
      <c r="BQ13">
        <f>SUMIF(RawData!$C:$C,$A13,RawData!BU:BU)</f>
        <v>0</v>
      </c>
      <c r="BR13">
        <f>SUMIF(RawData!$C:$C,$A13,RawData!BV:BV)</f>
        <v>0</v>
      </c>
      <c r="BS13">
        <f>SUMIF(RawData!$C:$C,$A13,RawData!BW:BW)</f>
        <v>0</v>
      </c>
      <c r="BT13">
        <f>SUMIF(RawData!$C:$C,$A13,RawData!BX:BX)</f>
        <v>0</v>
      </c>
    </row>
    <row r="14" spans="1:72" ht="15" thickBot="1" x14ac:dyDescent="0.35">
      <c r="A14" s="4" t="s">
        <v>116</v>
      </c>
      <c r="B14">
        <f>SUMIF(RawData!$C:$C,$A14,RawData!F:F)</f>
        <v>0</v>
      </c>
      <c r="C14">
        <f>SUMIF(RawData!$C:$C,$A14,RawData!G:G)</f>
        <v>0</v>
      </c>
      <c r="D14">
        <f>SUMIF(RawData!$C:$C,$A14,RawData!H:H)</f>
        <v>0</v>
      </c>
      <c r="E14">
        <f>SUMIF(RawData!$C:$C,$A14,RawData!I:I)</f>
        <v>0</v>
      </c>
      <c r="F14">
        <f>SUMIF(RawData!$C:$C,$A14,RawData!J:J)</f>
        <v>0</v>
      </c>
      <c r="G14">
        <f>SUMIF(RawData!$C:$C,$A14,RawData!K:K)</f>
        <v>0</v>
      </c>
      <c r="H14">
        <f>SUMIF(RawData!$C:$C,$A14,RawData!L:L)</f>
        <v>0</v>
      </c>
      <c r="I14">
        <f>SUMIF(RawData!$C:$C,$A14,RawData!M:M)</f>
        <v>0</v>
      </c>
      <c r="J14">
        <f>SUMIF(RawData!$C:$C,$A14,RawData!N:N)</f>
        <v>0</v>
      </c>
      <c r="K14">
        <f>SUMIF(RawData!$C:$C,$A14,RawData!O:O)</f>
        <v>0</v>
      </c>
      <c r="L14">
        <f>SUMIF(RawData!$C:$C,$A14,RawData!P:P)</f>
        <v>0</v>
      </c>
      <c r="M14">
        <f>SUMIF(RawData!$C:$C,$A14,RawData!Q:Q)</f>
        <v>0</v>
      </c>
      <c r="N14">
        <f>SUMIF(RawData!$C:$C,$A14,RawData!R:R)</f>
        <v>0</v>
      </c>
      <c r="O14">
        <f>SUMIF(RawData!$C:$C,$A14,RawData!S:S)</f>
        <v>0</v>
      </c>
      <c r="P14">
        <f>SUMIF(RawData!$C:$C,$A14,RawData!T:T)</f>
        <v>0</v>
      </c>
      <c r="Q14">
        <f>SUMIF(RawData!$C:$C,$A14,RawData!U:U)</f>
        <v>0</v>
      </c>
      <c r="R14">
        <f>SUMIF(RawData!$C:$C,$A14,RawData!V:V)</f>
        <v>0</v>
      </c>
      <c r="S14">
        <f>SUMIF(RawData!$C:$C,$A14,RawData!W:W)</f>
        <v>0</v>
      </c>
      <c r="T14">
        <f>SUMIF(RawData!$C:$C,$A14,RawData!X:X)</f>
        <v>0</v>
      </c>
      <c r="U14">
        <f>SUMIF(RawData!$C:$C,$A14,RawData!Y:Y)</f>
        <v>0</v>
      </c>
      <c r="V14">
        <f>SUMIF(RawData!$C:$C,$A14,RawData!Z:Z)</f>
        <v>0</v>
      </c>
      <c r="W14">
        <f>SUMIF(RawData!$C:$C,$A14,RawData!AA:AA)</f>
        <v>0</v>
      </c>
      <c r="X14">
        <f>SUMIF(RawData!$C:$C,$A14,RawData!AB:AB)</f>
        <v>0</v>
      </c>
      <c r="Y14">
        <f>SUMIF(RawData!$C:$C,$A14,RawData!AC:AC)</f>
        <v>0</v>
      </c>
      <c r="Z14">
        <f>SUMIF(RawData!$C:$C,$A14,RawData!AD:AD)</f>
        <v>0</v>
      </c>
      <c r="AA14">
        <f>SUMIF(RawData!$C:$C,$A14,RawData!AE:AE)</f>
        <v>0</v>
      </c>
      <c r="AB14">
        <f>SUMIF(RawData!$C:$C,$A14,RawData!AF:AF)</f>
        <v>0</v>
      </c>
      <c r="AC14">
        <f>SUMIF(RawData!$C:$C,$A14,RawData!AG:AG)</f>
        <v>0</v>
      </c>
      <c r="AD14">
        <f>SUMIF(RawData!$C:$C,$A14,RawData!AH:AH)</f>
        <v>0</v>
      </c>
      <c r="AE14">
        <f>SUMIF(RawData!$C:$C,$A14,RawData!AI:AI)</f>
        <v>0</v>
      </c>
      <c r="AF14">
        <f>SUMIF(RawData!$C:$C,$A14,RawData!AJ:AJ)</f>
        <v>0</v>
      </c>
      <c r="AG14">
        <f>SUMIF(RawData!$C:$C,$A14,RawData!AK:AK)</f>
        <v>0</v>
      </c>
      <c r="AH14">
        <f>SUMIF(RawData!$C:$C,$A14,RawData!AL:AL)</f>
        <v>0</v>
      </c>
      <c r="AI14">
        <f>SUMIF(RawData!$C:$C,$A14,RawData!AM:AM)</f>
        <v>0</v>
      </c>
      <c r="AJ14">
        <f>SUMIF(RawData!$C:$C,$A14,RawData!AN:AN)</f>
        <v>0</v>
      </c>
      <c r="AK14">
        <f>SUMIF(RawData!$C:$C,$A14,RawData!AO:AO)</f>
        <v>0</v>
      </c>
      <c r="AL14">
        <f>SUMIF(RawData!$C:$C,$A14,RawData!AP:AP)</f>
        <v>1</v>
      </c>
      <c r="AM14">
        <f>SUMIF(RawData!$C:$C,$A14,RawData!AQ:AQ)</f>
        <v>1</v>
      </c>
      <c r="AN14">
        <f>SUMIF(RawData!$C:$C,$A14,RawData!AR:AR)</f>
        <v>6</v>
      </c>
      <c r="AO14">
        <f>SUMIF(RawData!$C:$C,$A14,RawData!AS:AS)</f>
        <v>10</v>
      </c>
      <c r="AP14">
        <f>SUMIF(RawData!$C:$C,$A14,RawData!AT:AT)</f>
        <v>18</v>
      </c>
      <c r="AQ14">
        <f>SUMIF(RawData!$C:$C,$A14,RawData!AU:AU)</f>
        <v>24</v>
      </c>
      <c r="AR14">
        <f>SUMIF(RawData!$C:$C,$A14,RawData!AV:AV)</f>
        <v>38</v>
      </c>
      <c r="AS14">
        <f>SUMIF(RawData!$C:$C,$A14,RawData!AW:AW)</f>
        <v>82</v>
      </c>
      <c r="AT14">
        <f>SUMIF(RawData!$C:$C,$A14,RawData!AX:AX)</f>
        <v>128</v>
      </c>
      <c r="AU14">
        <f>SUMIF(RawData!$C:$C,$A14,RawData!AY:AY)</f>
        <v>188</v>
      </c>
      <c r="AV14">
        <f>SUMIF(RawData!$C:$C,$A14,RawData!AZ:AZ)</f>
        <v>265</v>
      </c>
      <c r="AW14">
        <f>SUMIF(RawData!$C:$C,$A14,RawData!BA:BA)</f>
        <v>321</v>
      </c>
      <c r="AX14">
        <f>SUMIF(RawData!$C:$C,$A14,RawData!BB:BB)</f>
        <v>382</v>
      </c>
      <c r="AY14">
        <f>SUMIF(RawData!$C:$C,$A14,RawData!BC:BC)</f>
        <v>503</v>
      </c>
      <c r="AZ14">
        <f>SUMIF(RawData!$C:$C,$A14,RawData!BD:BD)</f>
        <v>503</v>
      </c>
      <c r="BA14">
        <f>SUMIF(RawData!$C:$C,$A14,RawData!BE:BE)</f>
        <v>804</v>
      </c>
      <c r="BB14">
        <f>SUMIF(RawData!$C:$C,$A14,RawData!BF:BF)</f>
        <v>960</v>
      </c>
      <c r="BC14">
        <f>SUMIF(RawData!$C:$C,$A14,RawData!BG:BG)</f>
        <v>1136</v>
      </c>
      <c r="BD14">
        <f>SUMIF(RawData!$C:$C,$A14,RawData!BH:BH)</f>
        <v>1414</v>
      </c>
      <c r="BE14">
        <f>SUMIF(RawData!$C:$C,$A14,RawData!BI:BI)</f>
        <v>0</v>
      </c>
      <c r="BF14">
        <f>SUMIF(RawData!$C:$C,$A14,RawData!BJ:BJ)</f>
        <v>0</v>
      </c>
      <c r="BG14">
        <f>SUMIF(RawData!$C:$C,$A14,RawData!BK:BK)</f>
        <v>0</v>
      </c>
      <c r="BH14">
        <f>SUMIF(RawData!$C:$C,$A14,RawData!BL:BL)</f>
        <v>0</v>
      </c>
      <c r="BI14">
        <f>SUMIF(RawData!$C:$C,$A14,RawData!BM:BM)</f>
        <v>0</v>
      </c>
      <c r="BJ14">
        <f>SUMIF(RawData!$C:$C,$A14,RawData!BN:BN)</f>
        <v>0</v>
      </c>
      <c r="BK14">
        <f>SUMIF(RawData!$C:$C,$A14,RawData!BO:BO)</f>
        <v>0</v>
      </c>
      <c r="BL14">
        <f>SUMIF(RawData!$C:$C,$A14,RawData!BP:BP)</f>
        <v>0</v>
      </c>
      <c r="BM14">
        <f>SUMIF(RawData!$C:$C,$A14,RawData!BQ:BQ)</f>
        <v>0</v>
      </c>
      <c r="BN14">
        <f>SUMIF(RawData!$C:$C,$A14,RawData!BR:BR)</f>
        <v>0</v>
      </c>
      <c r="BO14">
        <f>SUMIF(RawData!$C:$C,$A14,RawData!BS:BS)</f>
        <v>0</v>
      </c>
      <c r="BP14">
        <f>SUMIF(RawData!$C:$C,$A14,RawData!BT:BT)</f>
        <v>0</v>
      </c>
      <c r="BQ14">
        <f>SUMIF(RawData!$C:$C,$A14,RawData!BU:BU)</f>
        <v>0</v>
      </c>
      <c r="BR14">
        <f>SUMIF(RawData!$C:$C,$A14,RawData!BV:BV)</f>
        <v>0</v>
      </c>
      <c r="BS14">
        <f>SUMIF(RawData!$C:$C,$A14,RawData!BW:BW)</f>
        <v>0</v>
      </c>
      <c r="BT14">
        <f>SUMIF(RawData!$C:$C,$A14,RawData!BX:BX)</f>
        <v>0</v>
      </c>
    </row>
    <row r="15" spans="1:72" ht="15" thickBot="1" x14ac:dyDescent="0.35">
      <c r="A15" s="4" t="s">
        <v>377</v>
      </c>
      <c r="B15">
        <f>SUMIF(RawData!$C:$C,$A15,RawData!F:F)</f>
        <v>0</v>
      </c>
      <c r="C15">
        <f>SUMIF(RawData!$C:$C,$A15,RawData!G:G)</f>
        <v>0</v>
      </c>
      <c r="D15">
        <f>SUMIF(RawData!$C:$C,$A15,RawData!H:H)</f>
        <v>0</v>
      </c>
      <c r="E15">
        <f>SUMIF(RawData!$C:$C,$A15,RawData!I:I)</f>
        <v>0</v>
      </c>
      <c r="F15">
        <f>SUMIF(RawData!$C:$C,$A15,RawData!J:J)</f>
        <v>0</v>
      </c>
      <c r="G15">
        <f>SUMIF(RawData!$C:$C,$A15,RawData!K:K)</f>
        <v>0</v>
      </c>
      <c r="H15">
        <f>SUMIF(RawData!$C:$C,$A15,RawData!L:L)</f>
        <v>0</v>
      </c>
      <c r="I15">
        <f>SUMIF(RawData!$C:$C,$A15,RawData!M:M)</f>
        <v>0</v>
      </c>
      <c r="J15">
        <f>SUMIF(RawData!$C:$C,$A15,RawData!N:N)</f>
        <v>0</v>
      </c>
      <c r="K15">
        <f>SUMIF(RawData!$C:$C,$A15,RawData!O:O)</f>
        <v>2</v>
      </c>
      <c r="L15">
        <f>SUMIF(RawData!$C:$C,$A15,RawData!P:P)</f>
        <v>2</v>
      </c>
      <c r="M15">
        <f>SUMIF(RawData!$C:$C,$A15,RawData!Q:Q)</f>
        <v>2</v>
      </c>
      <c r="N15">
        <f>SUMIF(RawData!$C:$C,$A15,RawData!R:R)</f>
        <v>2</v>
      </c>
      <c r="O15">
        <f>SUMIF(RawData!$C:$C,$A15,RawData!S:S)</f>
        <v>2</v>
      </c>
      <c r="P15">
        <f>SUMIF(RawData!$C:$C,$A15,RawData!T:T)</f>
        <v>2</v>
      </c>
      <c r="Q15">
        <f>SUMIF(RawData!$C:$C,$A15,RawData!U:U)</f>
        <v>2</v>
      </c>
      <c r="R15">
        <f>SUMIF(RawData!$C:$C,$A15,RawData!V:V)</f>
        <v>3</v>
      </c>
      <c r="S15">
        <f>SUMIF(RawData!$C:$C,$A15,RawData!W:W)</f>
        <v>3</v>
      </c>
      <c r="T15">
        <f>SUMIF(RawData!$C:$C,$A15,RawData!X:X)</f>
        <v>3</v>
      </c>
      <c r="U15">
        <f>SUMIF(RawData!$C:$C,$A15,RawData!Y:Y)</f>
        <v>8</v>
      </c>
      <c r="V15">
        <f>SUMIF(RawData!$C:$C,$A15,RawData!Z:Z)</f>
        <v>8</v>
      </c>
      <c r="W15">
        <f>SUMIF(RawData!$C:$C,$A15,RawData!AA:AA)</f>
        <v>9</v>
      </c>
      <c r="X15">
        <f>SUMIF(RawData!$C:$C,$A15,RawData!AB:AB)</f>
        <v>9</v>
      </c>
      <c r="Y15">
        <f>SUMIF(RawData!$C:$C,$A15,RawData!AC:AC)</f>
        <v>9</v>
      </c>
      <c r="Z15">
        <f>SUMIF(RawData!$C:$C,$A15,RawData!AD:AD)</f>
        <v>9</v>
      </c>
      <c r="AA15">
        <f>SUMIF(RawData!$C:$C,$A15,RawData!AE:AE)</f>
        <v>9</v>
      </c>
      <c r="AB15">
        <f>SUMIF(RawData!$C:$C,$A15,RawData!AF:AF)</f>
        <v>9</v>
      </c>
      <c r="AC15">
        <f>SUMIF(RawData!$C:$C,$A15,RawData!AG:AG)</f>
        <v>9</v>
      </c>
      <c r="AD15">
        <f>SUMIF(RawData!$C:$C,$A15,RawData!AH:AH)</f>
        <v>9</v>
      </c>
      <c r="AE15">
        <f>SUMIF(RawData!$C:$C,$A15,RawData!AI:AI)</f>
        <v>9</v>
      </c>
      <c r="AF15">
        <f>SUMIF(RawData!$C:$C,$A15,RawData!AJ:AJ)</f>
        <v>9</v>
      </c>
      <c r="AG15">
        <f>SUMIF(RawData!$C:$C,$A15,RawData!AK:AK)</f>
        <v>9</v>
      </c>
      <c r="AH15">
        <f>SUMIF(RawData!$C:$C,$A15,RawData!AL:AL)</f>
        <v>9</v>
      </c>
      <c r="AI15">
        <f>SUMIF(RawData!$C:$C,$A15,RawData!AM:AM)</f>
        <v>13</v>
      </c>
      <c r="AJ15">
        <f>SUMIF(RawData!$C:$C,$A15,RawData!AN:AN)</f>
        <v>13</v>
      </c>
      <c r="AK15">
        <f>SUMIF(RawData!$C:$C,$A15,RawData!AO:AO)</f>
        <v>13</v>
      </c>
      <c r="AL15">
        <f>SUMIF(RawData!$C:$C,$A15,RawData!AP:AP)</f>
        <v>15</v>
      </c>
      <c r="AM15">
        <f>SUMIF(RawData!$C:$C,$A15,RawData!AQ:AQ)</f>
        <v>20</v>
      </c>
      <c r="AN15">
        <f>SUMIF(RawData!$C:$C,$A15,RawData!AR:AR)</f>
        <v>23</v>
      </c>
      <c r="AO15">
        <f>SUMIF(RawData!$C:$C,$A15,RawData!AS:AS)</f>
        <v>36</v>
      </c>
      <c r="AP15">
        <f>SUMIF(RawData!$C:$C,$A15,RawData!AT:AT)</f>
        <v>40</v>
      </c>
      <c r="AQ15">
        <f>SUMIF(RawData!$C:$C,$A15,RawData!AU:AU)</f>
        <v>51</v>
      </c>
      <c r="AR15">
        <f>SUMIF(RawData!$C:$C,$A15,RawData!AV:AV)</f>
        <v>86</v>
      </c>
      <c r="AS15">
        <f>SUMIF(RawData!$C:$C,$A15,RawData!AW:AW)</f>
        <v>116</v>
      </c>
      <c r="AT15">
        <f>SUMIF(RawData!$C:$C,$A15,RawData!AX:AX)</f>
        <v>164</v>
      </c>
      <c r="AU15">
        <f>SUMIF(RawData!$C:$C,$A15,RawData!AY:AY)</f>
        <v>207</v>
      </c>
      <c r="AV15">
        <f>SUMIF(RawData!$C:$C,$A15,RawData!AZ:AZ)</f>
        <v>274</v>
      </c>
      <c r="AW15">
        <f>SUMIF(RawData!$C:$C,$A15,RawData!BA:BA)</f>
        <v>322</v>
      </c>
      <c r="AX15">
        <f>SUMIF(RawData!$C:$C,$A15,RawData!BB:BB)</f>
        <v>384</v>
      </c>
      <c r="AY15">
        <f>SUMIF(RawData!$C:$C,$A15,RawData!BC:BC)</f>
        <v>459</v>
      </c>
      <c r="AZ15">
        <v>590</v>
      </c>
      <c r="BA15">
        <f>SUMIF(RawData!$C:$C,$A15,RawData!BE:BE)</f>
        <v>802</v>
      </c>
      <c r="BB15">
        <f>SUMIF(RawData!$C:$C,$A15,RawData!BF:BF)</f>
        <v>1144</v>
      </c>
      <c r="BC15">
        <v>1355</v>
      </c>
      <c r="BD15">
        <f>SUMIF(RawData!$C:$C,$A15,RawData!BH:BH)</f>
        <v>1551</v>
      </c>
      <c r="BE15">
        <f>SUMIF(RawData!$C:$C,$A15,RawData!BI:BI)</f>
        <v>1950</v>
      </c>
      <c r="BF15">
        <f>SUMIF(RawData!$C:$C,$A15,RawData!BJ:BJ)</f>
        <v>0</v>
      </c>
      <c r="BG15">
        <f>SUMIF(RawData!$C:$C,$A15,RawData!BK:BK)</f>
        <v>0</v>
      </c>
      <c r="BH15">
        <f>SUMIF(RawData!$C:$C,$A15,RawData!BL:BL)</f>
        <v>0</v>
      </c>
      <c r="BI15">
        <f>SUMIF(RawData!$C:$C,$A15,RawData!BM:BM)</f>
        <v>0</v>
      </c>
      <c r="BJ15">
        <f>SUMIF(RawData!$C:$C,$A15,RawData!BN:BN)</f>
        <v>0</v>
      </c>
      <c r="BK15">
        <f>SUMIF(RawData!$C:$C,$A15,RawData!BO:BO)</f>
        <v>0</v>
      </c>
      <c r="BL15">
        <f>SUMIF(RawData!$C:$C,$A15,RawData!BP:BP)</f>
        <v>0</v>
      </c>
      <c r="BM15">
        <f>SUMIF(RawData!$C:$C,$A15,RawData!BQ:BQ)</f>
        <v>0</v>
      </c>
      <c r="BN15">
        <f>SUMIF(RawData!$C:$C,$A15,RawData!BR:BR)</f>
        <v>0</v>
      </c>
      <c r="BO15">
        <f>SUMIF(RawData!$C:$C,$A15,RawData!BS:BS)</f>
        <v>0</v>
      </c>
      <c r="BP15">
        <f>SUMIF(RawData!$C:$C,$A15,RawData!BT:BT)</f>
        <v>0</v>
      </c>
      <c r="BQ15">
        <f>SUMIF(RawData!$C:$C,$A15,RawData!BU:BU)</f>
        <v>0</v>
      </c>
      <c r="BR15">
        <f>SUMIF(RawData!$C:$C,$A15,RawData!BV:BV)</f>
        <v>0</v>
      </c>
      <c r="BS15">
        <f>SUMIF(RawData!$C:$C,$A15,RawData!BW:BW)</f>
        <v>0</v>
      </c>
      <c r="BT15">
        <f>SUMIF(RawData!$C:$C,$A15,RawData!BX:BX)</f>
        <v>0</v>
      </c>
    </row>
    <row r="16" spans="1:72" ht="15" thickBot="1" x14ac:dyDescent="0.35">
      <c r="A16" s="5" t="s">
        <v>63</v>
      </c>
      <c r="B16">
        <f>SUMIF(RawData!$C:$C,$A16,RawData!F:F)</f>
        <v>2</v>
      </c>
      <c r="C16">
        <f>SUMIF(RawData!$C:$C,$A16,RawData!G:G)</f>
        <v>1</v>
      </c>
      <c r="D16">
        <f>SUMIF(RawData!$C:$C,$A16,RawData!H:H)</f>
        <v>2</v>
      </c>
      <c r="E16">
        <f>SUMIF(RawData!$C:$C,$A16,RawData!I:I)</f>
        <v>2</v>
      </c>
      <c r="F16">
        <f>SUMIF(RawData!$C:$C,$A16,RawData!J:J)</f>
        <v>4</v>
      </c>
      <c r="G16">
        <f>SUMIF(RawData!$C:$C,$A16,RawData!K:K)</f>
        <v>4</v>
      </c>
      <c r="H16">
        <f>SUMIF(RawData!$C:$C,$A16,RawData!L:L)</f>
        <v>7</v>
      </c>
      <c r="I16">
        <f>SUMIF(RawData!$C:$C,$A16,RawData!M:M)</f>
        <v>7</v>
      </c>
      <c r="J16">
        <f>SUMIF(RawData!$C:$C,$A16,RawData!N:N)</f>
        <v>11</v>
      </c>
      <c r="K16">
        <f>SUMIF(RawData!$C:$C,$A16,RawData!O:O)</f>
        <v>15</v>
      </c>
      <c r="L16">
        <f>SUMIF(RawData!$C:$C,$A16,RawData!P:P)</f>
        <v>20</v>
      </c>
      <c r="M16">
        <f>SUMIF(RawData!$C:$C,$A16,RawData!Q:Q)</f>
        <v>20</v>
      </c>
      <c r="N16">
        <f>SUMIF(RawData!$C:$C,$A16,RawData!R:R)</f>
        <v>20</v>
      </c>
      <c r="O16">
        <f>SUMIF(RawData!$C:$C,$A16,RawData!S:S)</f>
        <v>22</v>
      </c>
      <c r="P16">
        <f>SUMIF(RawData!$C:$C,$A16,RawData!T:T)</f>
        <v>22</v>
      </c>
      <c r="Q16">
        <f>SUMIF(RawData!$C:$C,$A16,RawData!U:U)</f>
        <v>45</v>
      </c>
      <c r="R16">
        <f>SUMIF(RawData!$C:$C,$A16,RawData!V:V)</f>
        <v>25</v>
      </c>
      <c r="S16">
        <f>SUMIF(RawData!$C:$C,$A16,RawData!W:W)</f>
        <v>25</v>
      </c>
      <c r="T16">
        <f>SUMIF(RawData!$C:$C,$A16,RawData!X:X)</f>
        <v>26</v>
      </c>
      <c r="U16">
        <f>SUMIF(RawData!$C:$C,$A16,RawData!Y:Y)</f>
        <v>26</v>
      </c>
      <c r="V16">
        <f>SUMIF(RawData!$C:$C,$A16,RawData!Z:Z)</f>
        <v>26</v>
      </c>
      <c r="W16">
        <f>SUMIF(RawData!$C:$C,$A16,RawData!AA:AA)</f>
        <v>28</v>
      </c>
      <c r="X16">
        <f>SUMIF(RawData!$C:$C,$A16,RawData!AB:AB)</f>
        <v>28</v>
      </c>
      <c r="Y16">
        <f>SUMIF(RawData!$C:$C,$A16,RawData!AC:AC)</f>
        <v>29</v>
      </c>
      <c r="Z16">
        <f>SUMIF(RawData!$C:$C,$A16,RawData!AD:AD)</f>
        <v>43</v>
      </c>
      <c r="AA16">
        <f>SUMIF(RawData!$C:$C,$A16,RawData!AE:AE)</f>
        <v>59</v>
      </c>
      <c r="AB16">
        <f>SUMIF(RawData!$C:$C,$A16,RawData!AF:AF)</f>
        <v>66</v>
      </c>
      <c r="AC16">
        <f>SUMIF(RawData!$C:$C,$A16,RawData!AG:AG)</f>
        <v>74</v>
      </c>
      <c r="AD16">
        <f>SUMIF(RawData!$C:$C,$A16,RawData!AH:AH)</f>
        <v>84</v>
      </c>
      <c r="AE16">
        <f>SUMIF(RawData!$C:$C,$A16,RawData!AI:AI)</f>
        <v>94</v>
      </c>
      <c r="AF16">
        <f>SUMIF(RawData!$C:$C,$A16,RawData!AJ:AJ)</f>
        <v>105</v>
      </c>
      <c r="AG16">
        <f>SUMIF(RawData!$C:$C,$A16,RawData!AK:AK)</f>
        <v>122</v>
      </c>
      <c r="AH16">
        <f>SUMIF(RawData!$C:$C,$A16,RawData!AL:AL)</f>
        <v>147</v>
      </c>
      <c r="AI16">
        <f>SUMIF(RawData!$C:$C,$A16,RawData!AM:AM)</f>
        <v>159</v>
      </c>
      <c r="AJ16">
        <f>SUMIF(RawData!$C:$C,$A16,RawData!AN:AN)</f>
        <v>170</v>
      </c>
      <c r="AK16">
        <f>SUMIF(RawData!$C:$C,$A16,RawData!AO:AO)</f>
        <v>189</v>
      </c>
      <c r="AL16">
        <f>SUMIF(RawData!$C:$C,$A16,RawData!AP:AP)</f>
        <v>214</v>
      </c>
      <c r="AM16">
        <f>SUMIF(RawData!$C:$C,$A16,RawData!AQ:AQ)</f>
        <v>228</v>
      </c>
      <c r="AN16">
        <f>SUMIF(RawData!$C:$C,$A16,RawData!AR:AR)</f>
        <v>241</v>
      </c>
      <c r="AO16">
        <f>SUMIF(RawData!$C:$C,$A16,RawData!AS:AS)</f>
        <v>256</v>
      </c>
      <c r="AP16">
        <f>SUMIF(RawData!$C:$C,$A16,RawData!AT:AT)</f>
        <v>274</v>
      </c>
      <c r="AQ16">
        <f>SUMIF(RawData!$C:$C,$A16,RawData!AU:AU)</f>
        <v>293</v>
      </c>
      <c r="AR16">
        <f>SUMIF(RawData!$C:$C,$A16,RawData!AV:AV)</f>
        <v>331</v>
      </c>
      <c r="AS16">
        <f>SUMIF(RawData!$C:$C,$A16,RawData!AW:AW)</f>
        <v>360</v>
      </c>
      <c r="AT16">
        <f>SUMIF(RawData!$C:$C,$A16,RawData!AX:AX)</f>
        <v>420</v>
      </c>
      <c r="AU16">
        <f>SUMIF(RawData!$C:$C,$A16,RawData!AY:AY)</f>
        <v>461</v>
      </c>
      <c r="AV16">
        <f>SUMIF(RawData!$C:$C,$A16,RawData!AZ:AZ)</f>
        <v>502</v>
      </c>
      <c r="AW16">
        <f>SUMIF(RawData!$C:$C,$A16,RawData!BA:BA)</f>
        <v>511</v>
      </c>
      <c r="AX16">
        <f>SUMIF(RawData!$C:$C,$A16,RawData!BB:BB)</f>
        <v>581</v>
      </c>
      <c r="AY16">
        <f>SUMIF(RawData!$C:$C,$A16,RawData!BC:BC)</f>
        <v>639</v>
      </c>
      <c r="AZ16">
        <f>SUMIF(RawData!$C:$C,$A16,RawData!BD:BD)</f>
        <v>639</v>
      </c>
      <c r="BA16">
        <f>SUMIF(RawData!$C:$C,$A16,RawData!BE:BE)</f>
        <v>701</v>
      </c>
      <c r="BB16">
        <f>SUMIF(RawData!$C:$C,$A16,RawData!BF:BF)</f>
        <v>773</v>
      </c>
      <c r="BC16">
        <f>SUMIF(RawData!$C:$C,$A16,RawData!BG:BG)</f>
        <v>839</v>
      </c>
      <c r="BD16">
        <f>SUMIF(RawData!$C:$C,$A16,RawData!BH:BH)</f>
        <v>825</v>
      </c>
      <c r="BE16">
        <f>SUMIF(RawData!$C:$C,$A16,RawData!BI:BI)</f>
        <v>0</v>
      </c>
      <c r="BF16">
        <f>SUMIF(RawData!$C:$C,$A16,RawData!BJ:BJ)</f>
        <v>0</v>
      </c>
      <c r="BG16">
        <f>SUMIF(RawData!$C:$C,$A16,RawData!BK:BK)</f>
        <v>0</v>
      </c>
      <c r="BH16">
        <f>SUMIF(RawData!$C:$C,$A16,RawData!BL:BL)</f>
        <v>0</v>
      </c>
      <c r="BI16">
        <f>SUMIF(RawData!$C:$C,$A16,RawData!BM:BM)</f>
        <v>0</v>
      </c>
      <c r="BJ16">
        <f>SUMIF(RawData!$C:$C,$A16,RawData!BN:BN)</f>
        <v>0</v>
      </c>
      <c r="BK16">
        <f>SUMIF(RawData!$C:$C,$A16,RawData!BO:BO)</f>
        <v>0</v>
      </c>
      <c r="BL16">
        <f>SUMIF(RawData!$C:$C,$A16,RawData!BP:BP)</f>
        <v>0</v>
      </c>
      <c r="BM16">
        <f>SUMIF(RawData!$C:$C,$A16,RawData!BQ:BQ)</f>
        <v>0</v>
      </c>
      <c r="BN16">
        <f>SUMIF(RawData!$C:$C,$A16,RawData!BR:BR)</f>
        <v>0</v>
      </c>
      <c r="BO16">
        <f>SUMIF(RawData!$C:$C,$A16,RawData!BS:BS)</f>
        <v>0</v>
      </c>
      <c r="BP16">
        <f>SUMIF(RawData!$C:$C,$A16,RawData!BT:BT)</f>
        <v>0</v>
      </c>
      <c r="BQ16">
        <f>SUMIF(RawData!$C:$C,$A16,RawData!BU:BU)</f>
        <v>0</v>
      </c>
      <c r="BR16">
        <f>SUMIF(RawData!$C:$C,$A16,RawData!BV:BV)</f>
        <v>0</v>
      </c>
      <c r="BS16">
        <f>SUMIF(RawData!$C:$C,$A16,RawData!BW:BW)</f>
        <v>0</v>
      </c>
      <c r="BT16">
        <f>SUMIF(RawData!$C:$C,$A16,RawData!BX:BX)</f>
        <v>0</v>
      </c>
    </row>
    <row r="17" spans="1:72" ht="15" thickBot="1" x14ac:dyDescent="0.35">
      <c r="A17" s="5" t="s">
        <v>368</v>
      </c>
      <c r="B17">
        <f>SUMIF(RawData!$C:$C,$A17,RawData!F:F)</f>
        <v>0</v>
      </c>
      <c r="C17">
        <f>SUMIF(RawData!$C:$C,$A17,RawData!G:G)</f>
        <v>0</v>
      </c>
      <c r="D17">
        <f>SUMIF(RawData!$C:$C,$A17,RawData!H:H)</f>
        <v>0</v>
      </c>
      <c r="E17">
        <f>SUMIF(RawData!$C:$C,$A17,RawData!I:I)</f>
        <v>0</v>
      </c>
      <c r="F17">
        <f>SUMIF(RawData!$C:$C,$A17,RawData!J:J)</f>
        <v>0</v>
      </c>
      <c r="G17">
        <f>SUMIF(RawData!$C:$C,$A17,RawData!K:K)</f>
        <v>0</v>
      </c>
      <c r="H17">
        <f>SUMIF(RawData!$C:$C,$A17,RawData!L:L)</f>
        <v>0</v>
      </c>
      <c r="I17">
        <f>SUMIF(RawData!$C:$C,$A17,RawData!M:M)</f>
        <v>0</v>
      </c>
      <c r="J17">
        <f>SUMIF(RawData!$C:$C,$A17,RawData!N:N)</f>
        <v>0</v>
      </c>
      <c r="K17">
        <f>SUMIF(RawData!$C:$C,$A17,RawData!O:O)</f>
        <v>0</v>
      </c>
      <c r="L17">
        <f>SUMIF(RawData!$C:$C,$A17,RawData!P:P)</f>
        <v>0</v>
      </c>
      <c r="M17">
        <f>SUMIF(RawData!$C:$C,$A17,RawData!Q:Q)</f>
        <v>0</v>
      </c>
      <c r="N17">
        <f>SUMIF(RawData!$C:$C,$A17,RawData!R:R)</f>
        <v>0</v>
      </c>
      <c r="O17">
        <f>SUMIF(RawData!$C:$C,$A17,RawData!S:S)</f>
        <v>0</v>
      </c>
      <c r="P17">
        <f>SUMIF(RawData!$C:$C,$A17,RawData!T:T)</f>
        <v>0</v>
      </c>
      <c r="Q17">
        <f>SUMIF(RawData!$C:$C,$A17,RawData!U:U)</f>
        <v>0</v>
      </c>
      <c r="R17">
        <f>SUMIF(RawData!$C:$C,$A17,RawData!V:V)</f>
        <v>61</v>
      </c>
      <c r="S17">
        <f>SUMIF(RawData!$C:$C,$A17,RawData!W:W)</f>
        <v>61</v>
      </c>
      <c r="T17">
        <f>SUMIF(RawData!$C:$C,$A17,RawData!X:X)</f>
        <v>64</v>
      </c>
      <c r="U17">
        <f>SUMIF(RawData!$C:$C,$A17,RawData!Y:Y)</f>
        <v>135</v>
      </c>
      <c r="V17">
        <f>SUMIF(RawData!$C:$C,$A17,RawData!Z:Z)</f>
        <v>135</v>
      </c>
      <c r="W17">
        <f>SUMIF(RawData!$C:$C,$A17,RawData!AA:AA)</f>
        <v>175</v>
      </c>
      <c r="X17">
        <f>SUMIF(RawData!$C:$C,$A17,RawData!AB:AB)</f>
        <v>175</v>
      </c>
      <c r="Y17">
        <f>SUMIF(RawData!$C:$C,$A17,RawData!AC:AC)</f>
        <v>218</v>
      </c>
      <c r="Z17">
        <f>SUMIF(RawData!$C:$C,$A17,RawData!AD:AD)</f>
        <v>285</v>
      </c>
      <c r="AA17">
        <f>SUMIF(RawData!$C:$C,$A17,RawData!AE:AE)</f>
        <v>355</v>
      </c>
      <c r="AB17">
        <f>SUMIF(RawData!$C:$C,$A17,RawData!AF:AF)</f>
        <v>454</v>
      </c>
      <c r="AC17">
        <f>SUMIF(RawData!$C:$C,$A17,RawData!AG:AG)</f>
        <v>542</v>
      </c>
      <c r="AD17">
        <f>SUMIF(RawData!$C:$C,$A17,RawData!AH:AH)</f>
        <v>621</v>
      </c>
      <c r="AE17">
        <f>SUMIF(RawData!$C:$C,$A17,RawData!AI:AI)</f>
        <v>634</v>
      </c>
      <c r="AF17">
        <f>SUMIF(RawData!$C:$C,$A17,RawData!AJ:AJ)</f>
        <v>634</v>
      </c>
      <c r="AG17">
        <f>SUMIF(RawData!$C:$C,$A17,RawData!AK:AK)</f>
        <v>634</v>
      </c>
      <c r="AH17">
        <f>SUMIF(RawData!$C:$C,$A17,RawData!AL:AL)</f>
        <v>691</v>
      </c>
      <c r="AI17">
        <f>SUMIF(RawData!$C:$C,$A17,RawData!AM:AM)</f>
        <v>691</v>
      </c>
      <c r="AJ17">
        <f>SUMIF(RawData!$C:$C,$A17,RawData!AN:AN)</f>
        <v>691</v>
      </c>
      <c r="AK17">
        <f>SUMIF(RawData!$C:$C,$A17,RawData!AO:AO)</f>
        <v>705</v>
      </c>
      <c r="AL17">
        <f>SUMIF(RawData!$C:$C,$A17,RawData!AP:AP)</f>
        <v>705</v>
      </c>
      <c r="AM17">
        <f>SUMIF(RawData!$C:$C,$A17,RawData!AQ:AQ)</f>
        <v>705</v>
      </c>
      <c r="AN17">
        <f>SUMIF(RawData!$C:$C,$A17,RawData!AR:AR)</f>
        <v>705</v>
      </c>
      <c r="AO17">
        <f>SUMIF(RawData!$C:$C,$A17,RawData!AS:AS)</f>
        <v>705</v>
      </c>
      <c r="AP17">
        <f>SUMIF(RawData!$C:$C,$A17,RawData!AT:AT)</f>
        <v>705</v>
      </c>
      <c r="AQ17">
        <f>SUMIF(RawData!$C:$C,$A17,RawData!AU:AU)</f>
        <v>706</v>
      </c>
      <c r="AR17">
        <f>SUMIF(RawData!$C:$C,$A17,RawData!AV:AV)</f>
        <v>706</v>
      </c>
      <c r="AS17">
        <f>SUMIF(RawData!$C:$C,$A17,RawData!AW:AW)</f>
        <v>706</v>
      </c>
      <c r="AT17">
        <f>SUMIF(RawData!$C:$C,$A17,RawData!AX:AX)</f>
        <v>696</v>
      </c>
      <c r="AU17">
        <f>SUMIF(RawData!$C:$C,$A17,RawData!AY:AY)</f>
        <v>696</v>
      </c>
      <c r="AV17">
        <f>SUMIF(RawData!$C:$C,$A17,RawData!AZ:AZ)</f>
        <v>696</v>
      </c>
      <c r="AW17">
        <f>SUMIF(RawData!$C:$C,$A17,RawData!BA:BA)</f>
        <v>696</v>
      </c>
      <c r="AX17">
        <f>SUMIF(RawData!$C:$C,$A17,RawData!BB:BB)</f>
        <v>696</v>
      </c>
      <c r="AY17">
        <f>SUMIF(RawData!$C:$C,$A17,RawData!BC:BC)</f>
        <v>696</v>
      </c>
      <c r="AZ17">
        <f>SUMIF(RawData!$C:$C,$A17,RawData!BD:BD)</f>
        <v>696</v>
      </c>
      <c r="BA17">
        <f>SUMIF(RawData!$C:$C,$A17,RawData!BE:BE)</f>
        <v>696</v>
      </c>
      <c r="BB17">
        <f>SUMIF(RawData!$C:$C,$A17,RawData!BF:BF)</f>
        <v>696</v>
      </c>
      <c r="BC17">
        <f>SUMIF(RawData!$C:$C,$A17,RawData!BG:BG)</f>
        <v>696</v>
      </c>
      <c r="BD17">
        <f>SUMIF(RawData!$C:$C,$A17,RawData!BH:BH)</f>
        <v>696</v>
      </c>
      <c r="BE17">
        <f>SUMIF(RawData!$C:$C,$A17,RawData!BI:BI)</f>
        <v>0</v>
      </c>
      <c r="BF17">
        <f>SUMIF(RawData!$C:$C,$A17,RawData!BJ:BJ)</f>
        <v>0</v>
      </c>
      <c r="BG17">
        <f>SUMIF(RawData!$C:$C,$A17,RawData!BK:BK)</f>
        <v>0</v>
      </c>
      <c r="BH17">
        <f>SUMIF(RawData!$C:$C,$A17,RawData!BL:BL)</f>
        <v>0</v>
      </c>
      <c r="BI17">
        <f>SUMIF(RawData!$C:$C,$A17,RawData!BM:BM)</f>
        <v>0</v>
      </c>
      <c r="BJ17">
        <f>SUMIF(RawData!$C:$C,$A17,RawData!BN:BN)</f>
        <v>0</v>
      </c>
      <c r="BK17">
        <f>SUMIF(RawData!$C:$C,$A17,RawData!BO:BO)</f>
        <v>0</v>
      </c>
      <c r="BL17">
        <f>SUMIF(RawData!$C:$C,$A17,RawData!BP:BP)</f>
        <v>0</v>
      </c>
      <c r="BM17">
        <f>SUMIF(RawData!$C:$C,$A17,RawData!BQ:BQ)</f>
        <v>0</v>
      </c>
      <c r="BN17">
        <f>SUMIF(RawData!$C:$C,$A17,RawData!BR:BR)</f>
        <v>0</v>
      </c>
      <c r="BO17">
        <f>SUMIF(RawData!$C:$C,$A17,RawData!BS:BS)</f>
        <v>0</v>
      </c>
      <c r="BP17">
        <f>SUMIF(RawData!$C:$C,$A17,RawData!BT:BT)</f>
        <v>0</v>
      </c>
      <c r="BQ17">
        <f>SUMIF(RawData!$C:$C,$A17,RawData!BU:BU)</f>
        <v>0</v>
      </c>
      <c r="BR17">
        <f>SUMIF(RawData!$C:$C,$A17,RawData!BV:BV)</f>
        <v>0</v>
      </c>
      <c r="BS17">
        <f>SUMIF(RawData!$C:$C,$A17,RawData!BW:BW)</f>
        <v>0</v>
      </c>
      <c r="BT17">
        <f>SUMIF(RawData!$C:$C,$A17,RawData!BX:BX)</f>
        <v>0</v>
      </c>
    </row>
    <row r="18" spans="1:72" ht="15" thickBot="1" x14ac:dyDescent="0.35">
      <c r="A18" s="4" t="s">
        <v>90</v>
      </c>
      <c r="B18">
        <f>SUMIF(RawData!$C:$C,$A18,RawData!F:F)</f>
        <v>0</v>
      </c>
      <c r="C18">
        <f>SUMIF(RawData!$C:$C,$A18,RawData!G:G)</f>
        <v>0</v>
      </c>
      <c r="D18">
        <f>SUMIF(RawData!$C:$C,$A18,RawData!H:H)</f>
        <v>0</v>
      </c>
      <c r="E18">
        <f>SUMIF(RawData!$C:$C,$A18,RawData!I:I)</f>
        <v>0</v>
      </c>
      <c r="F18">
        <f>SUMIF(RawData!$C:$C,$A18,RawData!J:J)</f>
        <v>0</v>
      </c>
      <c r="G18">
        <f>SUMIF(RawData!$C:$C,$A18,RawData!K:K)</f>
        <v>0</v>
      </c>
      <c r="H18">
        <f>SUMIF(RawData!$C:$C,$A18,RawData!L:L)</f>
        <v>0</v>
      </c>
      <c r="I18">
        <f>SUMIF(RawData!$C:$C,$A18,RawData!M:M)</f>
        <v>0</v>
      </c>
      <c r="J18">
        <f>SUMIF(RawData!$C:$C,$A18,RawData!N:N)</f>
        <v>0</v>
      </c>
      <c r="K18">
        <f>SUMIF(RawData!$C:$C,$A18,RawData!O:O)</f>
        <v>0</v>
      </c>
      <c r="L18">
        <f>SUMIF(RawData!$C:$C,$A18,RawData!P:P)</f>
        <v>0</v>
      </c>
      <c r="M18">
        <f>SUMIF(RawData!$C:$C,$A18,RawData!Q:Q)</f>
        <v>0</v>
      </c>
      <c r="N18">
        <f>SUMIF(RawData!$C:$C,$A18,RawData!R:R)</f>
        <v>0</v>
      </c>
      <c r="O18">
        <f>SUMIF(RawData!$C:$C,$A18,RawData!S:S)</f>
        <v>1</v>
      </c>
      <c r="P18">
        <f>SUMIF(RawData!$C:$C,$A18,RawData!T:T)</f>
        <v>1</v>
      </c>
      <c r="Q18">
        <f>SUMIF(RawData!$C:$C,$A18,RawData!U:U)</f>
        <v>1</v>
      </c>
      <c r="R18">
        <f>SUMIF(RawData!$C:$C,$A18,RawData!V:V)</f>
        <v>1</v>
      </c>
      <c r="S18">
        <f>SUMIF(RawData!$C:$C,$A18,RawData!W:W)</f>
        <v>1</v>
      </c>
      <c r="T18">
        <f>SUMIF(RawData!$C:$C,$A18,RawData!X:X)</f>
        <v>1</v>
      </c>
      <c r="U18">
        <f>SUMIF(RawData!$C:$C,$A18,RawData!Y:Y)</f>
        <v>1</v>
      </c>
      <c r="V18">
        <f>SUMIF(RawData!$C:$C,$A18,RawData!Z:Z)</f>
        <v>1</v>
      </c>
      <c r="W18">
        <f>SUMIF(RawData!$C:$C,$A18,RawData!AA:AA)</f>
        <v>1</v>
      </c>
      <c r="X18">
        <f>SUMIF(RawData!$C:$C,$A18,RawData!AB:AB)</f>
        <v>1</v>
      </c>
      <c r="Y18">
        <f>SUMIF(RawData!$C:$C,$A18,RawData!AC:AC)</f>
        <v>1</v>
      </c>
      <c r="Z18">
        <f>SUMIF(RawData!$C:$C,$A18,RawData!AD:AD)</f>
        <v>1</v>
      </c>
      <c r="AA18">
        <f>SUMIF(RawData!$C:$C,$A18,RawData!AE:AE)</f>
        <v>1</v>
      </c>
      <c r="AB18">
        <f>SUMIF(RawData!$C:$C,$A18,RawData!AF:AF)</f>
        <v>1</v>
      </c>
      <c r="AC18">
        <f>SUMIF(RawData!$C:$C,$A18,RawData!AG:AG)</f>
        <v>1</v>
      </c>
      <c r="AD18">
        <f>SUMIF(RawData!$C:$C,$A18,RawData!AH:AH)</f>
        <v>1</v>
      </c>
      <c r="AE18">
        <f>SUMIF(RawData!$C:$C,$A18,RawData!AI:AI)</f>
        <v>1</v>
      </c>
      <c r="AF18">
        <f>SUMIF(RawData!$C:$C,$A18,RawData!AJ:AJ)</f>
        <v>1</v>
      </c>
      <c r="AG18">
        <f>SUMIF(RawData!$C:$C,$A18,RawData!AK:AK)</f>
        <v>1</v>
      </c>
      <c r="AH18">
        <f>SUMIF(RawData!$C:$C,$A18,RawData!AL:AL)</f>
        <v>1</v>
      </c>
      <c r="AI18">
        <f>SUMIF(RawData!$C:$C,$A18,RawData!AM:AM)</f>
        <v>1</v>
      </c>
      <c r="AJ18">
        <f>SUMIF(RawData!$C:$C,$A18,RawData!AN:AN)</f>
        <v>1</v>
      </c>
      <c r="AK18">
        <f>SUMIF(RawData!$C:$C,$A18,RawData!AO:AO)</f>
        <v>1</v>
      </c>
      <c r="AL18">
        <f>SUMIF(RawData!$C:$C,$A18,RawData!AP:AP)</f>
        <v>1</v>
      </c>
      <c r="AM18">
        <f>SUMIF(RawData!$C:$C,$A18,RawData!AQ:AQ)</f>
        <v>1</v>
      </c>
      <c r="AN18">
        <f>SUMIF(RawData!$C:$C,$A18,RawData!AR:AR)</f>
        <v>1</v>
      </c>
      <c r="AO18">
        <f>SUMIF(RawData!$C:$C,$A18,RawData!AS:AS)</f>
        <v>2</v>
      </c>
      <c r="AP18">
        <f>SUMIF(RawData!$C:$C,$A18,RawData!AT:AT)</f>
        <v>8</v>
      </c>
      <c r="AQ18">
        <f>SUMIF(RawData!$C:$C,$A18,RawData!AU:AU)</f>
        <v>13</v>
      </c>
      <c r="AR18">
        <f>SUMIF(RawData!$C:$C,$A18,RawData!AV:AV)</f>
        <v>23</v>
      </c>
      <c r="AS18">
        <f>SUMIF(RawData!$C:$C,$A18,RawData!AW:AW)</f>
        <v>50</v>
      </c>
      <c r="AT18">
        <f>SUMIF(RawData!$C:$C,$A18,RawData!AX:AX)</f>
        <v>109</v>
      </c>
      <c r="AU18">
        <f>SUMIF(RawData!$C:$C,$A18,RawData!AY:AY)</f>
        <v>169</v>
      </c>
      <c r="AV18">
        <f>SUMIF(RawData!$C:$C,$A18,RawData!AZ:AZ)</f>
        <v>200</v>
      </c>
      <c r="AW18">
        <f>SUMIF(RawData!$C:$C,$A18,RawData!BA:BA)</f>
        <v>239</v>
      </c>
      <c r="AX18">
        <f>SUMIF(RawData!$C:$C,$A18,RawData!BB:BB)</f>
        <v>267</v>
      </c>
      <c r="AY18">
        <f>SUMIF(RawData!$C:$C,$A18,RawData!BC:BC)</f>
        <v>314</v>
      </c>
      <c r="AZ18">
        <f>SUMIF(RawData!$C:$C,$A18,RawData!BD:BD)</f>
        <v>314</v>
      </c>
      <c r="BA18">
        <f>SUMIF(RawData!$C:$C,$A18,RawData!BE:BE)</f>
        <v>559</v>
      </c>
      <c r="BB18">
        <f>SUMIF(RawData!$C:$C,$A18,RawData!BF:BF)</f>
        <v>689</v>
      </c>
      <c r="BC18">
        <f>SUMIF(RawData!$C:$C,$A18,RawData!BG:BG)</f>
        <v>886</v>
      </c>
      <c r="BD18">
        <f>SUMIF(RawData!$C:$C,$A18,RawData!BH:BH)</f>
        <v>1058</v>
      </c>
      <c r="BE18">
        <f>SUMIF(RawData!$C:$C,$A18,RawData!BI:BI)</f>
        <v>0</v>
      </c>
      <c r="BF18">
        <f>SUMIF(RawData!$C:$C,$A18,RawData!BJ:BJ)</f>
        <v>0</v>
      </c>
      <c r="BG18">
        <f>SUMIF(RawData!$C:$C,$A18,RawData!BK:BK)</f>
        <v>0</v>
      </c>
      <c r="BH18">
        <f>SUMIF(RawData!$C:$C,$A18,RawData!BL:BL)</f>
        <v>0</v>
      </c>
      <c r="BI18">
        <f>SUMIF(RawData!$C:$C,$A18,RawData!BM:BM)</f>
        <v>0</v>
      </c>
      <c r="BJ18">
        <f>SUMIF(RawData!$C:$C,$A18,RawData!BN:BN)</f>
        <v>0</v>
      </c>
      <c r="BK18">
        <f>SUMIF(RawData!$C:$C,$A18,RawData!BO:BO)</f>
        <v>0</v>
      </c>
      <c r="BL18">
        <f>SUMIF(RawData!$C:$C,$A18,RawData!BP:BP)</f>
        <v>0</v>
      </c>
      <c r="BM18">
        <f>SUMIF(RawData!$C:$C,$A18,RawData!BQ:BQ)</f>
        <v>0</v>
      </c>
      <c r="BN18">
        <f>SUMIF(RawData!$C:$C,$A18,RawData!BR:BR)</f>
        <v>0</v>
      </c>
      <c r="BO18">
        <f>SUMIF(RawData!$C:$C,$A18,RawData!BS:BS)</f>
        <v>0</v>
      </c>
      <c r="BP18">
        <f>SUMIF(RawData!$C:$C,$A18,RawData!BT:BT)</f>
        <v>0</v>
      </c>
      <c r="BQ18">
        <f>SUMIF(RawData!$C:$C,$A18,RawData!BU:BU)</f>
        <v>0</v>
      </c>
      <c r="BR18">
        <f>SUMIF(RawData!$C:$C,$A18,RawData!BV:BV)</f>
        <v>0</v>
      </c>
      <c r="BS18">
        <f>SUMIF(RawData!$C:$C,$A18,RawData!BW:BW)</f>
        <v>0</v>
      </c>
      <c r="BT18">
        <f>SUMIF(RawData!$C:$C,$A18,RawData!BX:BX)</f>
        <v>0</v>
      </c>
    </row>
    <row r="19" spans="1:72" ht="15" thickBot="1" x14ac:dyDescent="0.35">
      <c r="A19" s="4" t="s">
        <v>105</v>
      </c>
      <c r="B19">
        <f>SUMIF(RawData!$C:$C,$A19,RawData!F:F)</f>
        <v>0</v>
      </c>
      <c r="C19">
        <f>SUMIF(RawData!$C:$C,$A19,RawData!G:G)</f>
        <v>0</v>
      </c>
      <c r="D19">
        <f>SUMIF(RawData!$C:$C,$A19,RawData!H:H)</f>
        <v>0</v>
      </c>
      <c r="E19">
        <f>SUMIF(RawData!$C:$C,$A19,RawData!I:I)</f>
        <v>0</v>
      </c>
      <c r="F19">
        <f>SUMIF(RawData!$C:$C,$A19,RawData!J:J)</f>
        <v>0</v>
      </c>
      <c r="G19">
        <f>SUMIF(RawData!$C:$C,$A19,RawData!K:K)</f>
        <v>0</v>
      </c>
      <c r="H19">
        <f>SUMIF(RawData!$C:$C,$A19,RawData!L:L)</f>
        <v>0</v>
      </c>
      <c r="I19">
        <f>SUMIF(RawData!$C:$C,$A19,RawData!M:M)</f>
        <v>0</v>
      </c>
      <c r="J19">
        <f>SUMIF(RawData!$C:$C,$A19,RawData!N:N)</f>
        <v>0</v>
      </c>
      <c r="K19">
        <f>SUMIF(RawData!$C:$C,$A19,RawData!O:O)</f>
        <v>0</v>
      </c>
      <c r="L19">
        <f>SUMIF(RawData!$C:$C,$A19,RawData!P:P)</f>
        <v>0</v>
      </c>
      <c r="M19">
        <f>SUMIF(RawData!$C:$C,$A19,RawData!Q:Q)</f>
        <v>0</v>
      </c>
      <c r="N19">
        <f>SUMIF(RawData!$C:$C,$A19,RawData!R:R)</f>
        <v>0</v>
      </c>
      <c r="O19">
        <f>SUMIF(RawData!$C:$C,$A19,RawData!S:S)</f>
        <v>0</v>
      </c>
      <c r="P19">
        <f>SUMIF(RawData!$C:$C,$A19,RawData!T:T)</f>
        <v>0</v>
      </c>
      <c r="Q19">
        <f>SUMIF(RawData!$C:$C,$A19,RawData!U:U)</f>
        <v>0</v>
      </c>
      <c r="R19">
        <f>SUMIF(RawData!$C:$C,$A19,RawData!V:V)</f>
        <v>0</v>
      </c>
      <c r="S19">
        <f>SUMIF(RawData!$C:$C,$A19,RawData!W:W)</f>
        <v>0</v>
      </c>
      <c r="T19">
        <f>SUMIF(RawData!$C:$C,$A19,RawData!X:X)</f>
        <v>0</v>
      </c>
      <c r="U19">
        <f>SUMIF(RawData!$C:$C,$A19,RawData!Y:Y)</f>
        <v>0</v>
      </c>
      <c r="V19">
        <f>SUMIF(RawData!$C:$C,$A19,RawData!Z:Z)</f>
        <v>0</v>
      </c>
      <c r="W19">
        <f>SUMIF(RawData!$C:$C,$A19,RawData!AA:AA)</f>
        <v>0</v>
      </c>
      <c r="X19">
        <f>SUMIF(RawData!$C:$C,$A19,RawData!AB:AB)</f>
        <v>0</v>
      </c>
      <c r="Y19">
        <f>SUMIF(RawData!$C:$C,$A19,RawData!AC:AC)</f>
        <v>0</v>
      </c>
      <c r="Z19">
        <f>SUMIF(RawData!$C:$C,$A19,RawData!AD:AD)</f>
        <v>0</v>
      </c>
      <c r="AA19">
        <f>SUMIF(RawData!$C:$C,$A19,RawData!AE:AE)</f>
        <v>0</v>
      </c>
      <c r="AB19">
        <f>SUMIF(RawData!$C:$C,$A19,RawData!AF:AF)</f>
        <v>0</v>
      </c>
      <c r="AC19">
        <f>SUMIF(RawData!$C:$C,$A19,RawData!AG:AG)</f>
        <v>0</v>
      </c>
      <c r="AD19">
        <f>SUMIF(RawData!$C:$C,$A19,RawData!AH:AH)</f>
        <v>0</v>
      </c>
      <c r="AE19">
        <f>SUMIF(RawData!$C:$C,$A19,RawData!AI:AI)</f>
        <v>0</v>
      </c>
      <c r="AF19">
        <f>SUMIF(RawData!$C:$C,$A19,RawData!AJ:AJ)</f>
        <v>0</v>
      </c>
      <c r="AG19">
        <f>SUMIF(RawData!$C:$C,$A19,RawData!AK:AK)</f>
        <v>0</v>
      </c>
      <c r="AH19">
        <f>SUMIF(RawData!$C:$C,$A19,RawData!AL:AL)</f>
        <v>0</v>
      </c>
      <c r="AI19">
        <f>SUMIF(RawData!$C:$C,$A19,RawData!AM:AM)</f>
        <v>0</v>
      </c>
      <c r="AJ19">
        <f>SUMIF(RawData!$C:$C,$A19,RawData!AN:AN)</f>
        <v>2</v>
      </c>
      <c r="AK19">
        <f>SUMIF(RawData!$C:$C,$A19,RawData!AO:AO)</f>
        <v>2</v>
      </c>
      <c r="AL19">
        <f>SUMIF(RawData!$C:$C,$A19,RawData!AP:AP)</f>
        <v>3</v>
      </c>
      <c r="AM19">
        <f>SUMIF(RawData!$C:$C,$A19,RawData!AQ:AQ)</f>
        <v>3</v>
      </c>
      <c r="AN19">
        <f>SUMIF(RawData!$C:$C,$A19,RawData!AR:AR)</f>
        <v>9</v>
      </c>
      <c r="AO19">
        <f>SUMIF(RawData!$C:$C,$A19,RawData!AS:AS)</f>
        <v>14</v>
      </c>
      <c r="AP19">
        <f>SUMIF(RawData!$C:$C,$A19,RawData!AT:AT)</f>
        <v>18</v>
      </c>
      <c r="AQ19">
        <f>SUMIF(RawData!$C:$C,$A19,RawData!AU:AU)</f>
        <v>21</v>
      </c>
      <c r="AR19">
        <f>SUMIF(RawData!$C:$C,$A19,RawData!AV:AV)</f>
        <v>29</v>
      </c>
      <c r="AS19">
        <f>SUMIF(RawData!$C:$C,$A19,RawData!AW:AW)</f>
        <v>41</v>
      </c>
      <c r="AT19">
        <f>SUMIF(RawData!$C:$C,$A19,RawData!AX:AX)</f>
        <v>55</v>
      </c>
      <c r="AU19">
        <f>SUMIF(RawData!$C:$C,$A19,RawData!AY:AY)</f>
        <v>79</v>
      </c>
      <c r="AV19">
        <f>SUMIF(RawData!$C:$C,$A19,RawData!AZ:AZ)</f>
        <v>104</v>
      </c>
      <c r="AW19">
        <f>SUMIF(RawData!$C:$C,$A19,RawData!BA:BA)</f>
        <v>131</v>
      </c>
      <c r="AX19">
        <f>SUMIF(RawData!$C:$C,$A19,RawData!BB:BB)</f>
        <v>182</v>
      </c>
      <c r="AY19">
        <f>SUMIF(RawData!$C:$C,$A19,RawData!BC:BC)</f>
        <v>246</v>
      </c>
      <c r="AZ19">
        <f>SUMIF(RawData!$C:$C,$A19,RawData!BD:BD)</f>
        <v>302</v>
      </c>
      <c r="BA19">
        <f>SUMIF(RawData!$C:$C,$A19,RawData!BE:BE)</f>
        <v>504</v>
      </c>
      <c r="BB19">
        <f>SUMIF(RawData!$C:$C,$A19,RawData!BF:BF)</f>
        <v>655</v>
      </c>
      <c r="BC19">
        <f>SUMIF(RawData!$C:$C,$A19,RawData!BG:BG)</f>
        <v>860</v>
      </c>
      <c r="BD19">
        <f>SUMIF(RawData!$C:$C,$A19,RawData!BH:BH)</f>
        <v>1018</v>
      </c>
      <c r="BE19">
        <f>SUMIF(RawData!$C:$C,$A19,RawData!BI:BI)</f>
        <v>0</v>
      </c>
      <c r="BF19">
        <f>SUMIF(RawData!$C:$C,$A19,RawData!BJ:BJ)</f>
        <v>0</v>
      </c>
      <c r="BG19">
        <f>SUMIF(RawData!$C:$C,$A19,RawData!BK:BK)</f>
        <v>0</v>
      </c>
      <c r="BH19">
        <f>SUMIF(RawData!$C:$C,$A19,RawData!BL:BL)</f>
        <v>0</v>
      </c>
      <c r="BI19">
        <f>SUMIF(RawData!$C:$C,$A19,RawData!BM:BM)</f>
        <v>0</v>
      </c>
      <c r="BJ19">
        <f>SUMIF(RawData!$C:$C,$A19,RawData!BN:BN)</f>
        <v>0</v>
      </c>
      <c r="BK19">
        <f>SUMIF(RawData!$C:$C,$A19,RawData!BO:BO)</f>
        <v>0</v>
      </c>
      <c r="BL19">
        <f>SUMIF(RawData!$C:$C,$A19,RawData!BP:BP)</f>
        <v>0</v>
      </c>
      <c r="BM19">
        <f>SUMIF(RawData!$C:$C,$A19,RawData!BQ:BQ)</f>
        <v>0</v>
      </c>
      <c r="BN19">
        <f>SUMIF(RawData!$C:$C,$A19,RawData!BR:BR)</f>
        <v>0</v>
      </c>
      <c r="BO19">
        <f>SUMIF(RawData!$C:$C,$A19,RawData!BS:BS)</f>
        <v>0</v>
      </c>
      <c r="BP19">
        <f>SUMIF(RawData!$C:$C,$A19,RawData!BT:BT)</f>
        <v>0</v>
      </c>
      <c r="BQ19">
        <f>SUMIF(RawData!$C:$C,$A19,RawData!BU:BU)</f>
        <v>0</v>
      </c>
      <c r="BR19">
        <f>SUMIF(RawData!$C:$C,$A19,RawData!BV:BV)</f>
        <v>0</v>
      </c>
      <c r="BS19">
        <f>SUMIF(RawData!$C:$C,$A19,RawData!BW:BW)</f>
        <v>0</v>
      </c>
      <c r="BT19">
        <f>SUMIF(RawData!$C:$C,$A19,RawData!BX:BX)</f>
        <v>0</v>
      </c>
    </row>
    <row r="20" spans="1:72" ht="15" thickBot="1" x14ac:dyDescent="0.35">
      <c r="A20" s="4" t="s">
        <v>128</v>
      </c>
      <c r="B20">
        <f>SUMIF(RawData!$C:$C,$A20,RawData!F:F)</f>
        <v>0</v>
      </c>
      <c r="C20">
        <f>SUMIF(RawData!$C:$C,$A20,RawData!G:G)</f>
        <v>0</v>
      </c>
      <c r="D20">
        <f>SUMIF(RawData!$C:$C,$A20,RawData!H:H)</f>
        <v>0</v>
      </c>
      <c r="E20">
        <f>SUMIF(RawData!$C:$C,$A20,RawData!I:I)</f>
        <v>0</v>
      </c>
      <c r="F20">
        <f>SUMIF(RawData!$C:$C,$A20,RawData!J:J)</f>
        <v>0</v>
      </c>
      <c r="G20">
        <f>SUMIF(RawData!$C:$C,$A20,RawData!K:K)</f>
        <v>0</v>
      </c>
      <c r="H20">
        <f>SUMIF(RawData!$C:$C,$A20,RawData!L:L)</f>
        <v>0</v>
      </c>
      <c r="I20">
        <f>SUMIF(RawData!$C:$C,$A20,RawData!M:M)</f>
        <v>0</v>
      </c>
      <c r="J20">
        <f>SUMIF(RawData!$C:$C,$A20,RawData!N:N)</f>
        <v>0</v>
      </c>
      <c r="K20">
        <f>SUMIF(RawData!$C:$C,$A20,RawData!O:O)</f>
        <v>0</v>
      </c>
      <c r="L20">
        <f>SUMIF(RawData!$C:$C,$A20,RawData!P:P)</f>
        <v>0</v>
      </c>
      <c r="M20">
        <f>SUMIF(RawData!$C:$C,$A20,RawData!Q:Q)</f>
        <v>0</v>
      </c>
      <c r="N20">
        <f>SUMIF(RawData!$C:$C,$A20,RawData!R:R)</f>
        <v>0</v>
      </c>
      <c r="O20">
        <f>SUMIF(RawData!$C:$C,$A20,RawData!S:S)</f>
        <v>0</v>
      </c>
      <c r="P20">
        <f>SUMIF(RawData!$C:$C,$A20,RawData!T:T)</f>
        <v>0</v>
      </c>
      <c r="Q20">
        <f>SUMIF(RawData!$C:$C,$A20,RawData!U:U)</f>
        <v>0</v>
      </c>
      <c r="R20">
        <f>SUMIF(RawData!$C:$C,$A20,RawData!V:V)</f>
        <v>0</v>
      </c>
      <c r="S20">
        <f>SUMIF(RawData!$C:$C,$A20,RawData!W:W)</f>
        <v>0</v>
      </c>
      <c r="T20">
        <f>SUMIF(RawData!$C:$C,$A20,RawData!X:X)</f>
        <v>0</v>
      </c>
      <c r="U20">
        <f>SUMIF(RawData!$C:$C,$A20,RawData!Y:Y)</f>
        <v>0</v>
      </c>
      <c r="V20">
        <f>SUMIF(RawData!$C:$C,$A20,RawData!Z:Z)</f>
        <v>0</v>
      </c>
      <c r="W20">
        <f>SUMIF(RawData!$C:$C,$A20,RawData!AA:AA)</f>
        <v>0</v>
      </c>
      <c r="X20">
        <f>SUMIF(RawData!$C:$C,$A20,RawData!AB:AB)</f>
        <v>0</v>
      </c>
      <c r="Y20">
        <f>SUMIF(RawData!$C:$C,$A20,RawData!AC:AC)</f>
        <v>0</v>
      </c>
      <c r="Z20">
        <f>SUMIF(RawData!$C:$C,$A20,RawData!AD:AD)</f>
        <v>0</v>
      </c>
      <c r="AA20">
        <f>SUMIF(RawData!$C:$C,$A20,RawData!AE:AE)</f>
        <v>0</v>
      </c>
      <c r="AB20">
        <f>SUMIF(RawData!$C:$C,$A20,RawData!AF:AF)</f>
        <v>0</v>
      </c>
      <c r="AC20">
        <f>SUMIF(RawData!$C:$C,$A20,RawData!AG:AG)</f>
        <v>0</v>
      </c>
      <c r="AD20">
        <f>SUMIF(RawData!$C:$C,$A20,RawData!AH:AH)</f>
        <v>0</v>
      </c>
      <c r="AE20">
        <f>SUMIF(RawData!$C:$C,$A20,RawData!AI:AI)</f>
        <v>0</v>
      </c>
      <c r="AF20">
        <f>SUMIF(RawData!$C:$C,$A20,RawData!AJ:AJ)</f>
        <v>0</v>
      </c>
      <c r="AG20">
        <f>SUMIF(RawData!$C:$C,$A20,RawData!AK:AK)</f>
        <v>0</v>
      </c>
      <c r="AH20">
        <f>SUMIF(RawData!$C:$C,$A20,RawData!AL:AL)</f>
        <v>0</v>
      </c>
      <c r="AI20">
        <f>SUMIF(RawData!$C:$C,$A20,RawData!AM:AM)</f>
        <v>0</v>
      </c>
      <c r="AJ20">
        <f>SUMIF(RawData!$C:$C,$A20,RawData!AN:AN)</f>
        <v>0</v>
      </c>
      <c r="AK20">
        <f>SUMIF(RawData!$C:$C,$A20,RawData!AO:AO)</f>
        <v>0</v>
      </c>
      <c r="AL20">
        <f>SUMIF(RawData!$C:$C,$A20,RawData!AP:AP)</f>
        <v>0</v>
      </c>
      <c r="AM20">
        <f>SUMIF(RawData!$C:$C,$A20,RawData!AQ:AQ)</f>
        <v>0</v>
      </c>
      <c r="AN20">
        <f>SUMIF(RawData!$C:$C,$A20,RawData!AR:AR)</f>
        <v>1</v>
      </c>
      <c r="AO20">
        <f>SUMIF(RawData!$C:$C,$A20,RawData!AS:AS)</f>
        <v>3</v>
      </c>
      <c r="AP20">
        <f>SUMIF(RawData!$C:$C,$A20,RawData!AT:AT)</f>
        <v>3</v>
      </c>
      <c r="AQ20">
        <f>SUMIF(RawData!$C:$C,$A20,RawData!AU:AU)</f>
        <v>7</v>
      </c>
      <c r="AR20">
        <f>SUMIF(RawData!$C:$C,$A20,RawData!AV:AV)</f>
        <v>8</v>
      </c>
      <c r="AS20">
        <f>SUMIF(RawData!$C:$C,$A20,RawData!AW:AW)</f>
        <v>8</v>
      </c>
      <c r="AT20">
        <f>SUMIF(RawData!$C:$C,$A20,RawData!AX:AX)</f>
        <v>8</v>
      </c>
      <c r="AU20">
        <f>SUMIF(RawData!$C:$C,$A20,RawData!AY:AY)</f>
        <v>8</v>
      </c>
      <c r="AV20">
        <f>SUMIF(RawData!$C:$C,$A20,RawData!AZ:AZ)</f>
        <v>15</v>
      </c>
      <c r="AW20">
        <f>SUMIF(RawData!$C:$C,$A20,RawData!BA:BA)</f>
        <v>18</v>
      </c>
      <c r="AX20">
        <f>SUMIF(RawData!$C:$C,$A20,RawData!BB:BB)</f>
        <v>24</v>
      </c>
      <c r="AY20">
        <f>SUMIF(RawData!$C:$C,$A20,RawData!BC:BC)</f>
        <v>262</v>
      </c>
      <c r="AZ20">
        <f>SUMIF(RawData!$C:$C,$A20,RawData!BD:BD)</f>
        <v>262</v>
      </c>
      <c r="BA20">
        <f>SUMIF(RawData!$C:$C,$A20,RawData!BE:BE)</f>
        <v>320</v>
      </c>
      <c r="BB20">
        <f>SUMIF(RawData!$C:$C,$A20,RawData!BF:BF)</f>
        <v>337</v>
      </c>
      <c r="BC20">
        <f>SUMIF(RawData!$C:$C,$A20,RawData!BG:BG)</f>
        <v>401</v>
      </c>
      <c r="BD20">
        <f>SUMIF(RawData!$C:$C,$A20,RawData!BH:BH)</f>
        <v>439</v>
      </c>
      <c r="BE20">
        <f>SUMIF(RawData!$C:$C,$A20,RawData!BI:BI)</f>
        <v>0</v>
      </c>
      <c r="BF20">
        <f>SUMIF(RawData!$C:$C,$A20,RawData!BJ:BJ)</f>
        <v>0</v>
      </c>
      <c r="BG20">
        <f>SUMIF(RawData!$C:$C,$A20,RawData!BK:BK)</f>
        <v>0</v>
      </c>
      <c r="BH20">
        <f>SUMIF(RawData!$C:$C,$A20,RawData!BL:BL)</f>
        <v>0</v>
      </c>
      <c r="BI20">
        <f>SUMIF(RawData!$C:$C,$A20,RawData!BM:BM)</f>
        <v>0</v>
      </c>
      <c r="BJ20">
        <f>SUMIF(RawData!$C:$C,$A20,RawData!BN:BN)</f>
        <v>0</v>
      </c>
      <c r="BK20">
        <f>SUMIF(RawData!$C:$C,$A20,RawData!BO:BO)</f>
        <v>0</v>
      </c>
      <c r="BL20">
        <f>SUMIF(RawData!$C:$C,$A20,RawData!BP:BP)</f>
        <v>0</v>
      </c>
      <c r="BM20">
        <f>SUMIF(RawData!$C:$C,$A20,RawData!BQ:BQ)</f>
        <v>0</v>
      </c>
      <c r="BN20">
        <f>SUMIF(RawData!$C:$C,$A20,RawData!BR:BR)</f>
        <v>0</v>
      </c>
      <c r="BO20">
        <f>SUMIF(RawData!$C:$C,$A20,RawData!BS:BS)</f>
        <v>0</v>
      </c>
      <c r="BP20">
        <f>SUMIF(RawData!$C:$C,$A20,RawData!BT:BT)</f>
        <v>0</v>
      </c>
      <c r="BQ20">
        <f>SUMIF(RawData!$C:$C,$A20,RawData!BU:BU)</f>
        <v>0</v>
      </c>
      <c r="BR20">
        <f>SUMIF(RawData!$C:$C,$A20,RawData!BV:BV)</f>
        <v>0</v>
      </c>
      <c r="BS20">
        <f>SUMIF(RawData!$C:$C,$A20,RawData!BW:BW)</f>
        <v>0</v>
      </c>
      <c r="BT20">
        <f>SUMIF(RawData!$C:$C,$A20,RawData!BX:BX)</f>
        <v>0</v>
      </c>
    </row>
    <row r="21" spans="1:72" ht="15" thickBot="1" x14ac:dyDescent="0.35">
      <c r="A21" s="4" t="s">
        <v>75</v>
      </c>
      <c r="B21">
        <f>SUMIF(RawData!$C:$C,$A21,RawData!F:F)</f>
        <v>0</v>
      </c>
      <c r="C21">
        <f>SUMIF(RawData!$C:$C,$A21,RawData!G:G)</f>
        <v>0</v>
      </c>
      <c r="D21">
        <f>SUMIF(RawData!$C:$C,$A21,RawData!H:H)</f>
        <v>0</v>
      </c>
      <c r="E21">
        <f>SUMIF(RawData!$C:$C,$A21,RawData!I:I)</f>
        <v>0</v>
      </c>
      <c r="F21">
        <f>SUMIF(RawData!$C:$C,$A21,RawData!J:J)</f>
        <v>4</v>
      </c>
      <c r="G21">
        <f>SUMIF(RawData!$C:$C,$A21,RawData!K:K)</f>
        <v>5</v>
      </c>
      <c r="H21">
        <f>SUMIF(RawData!$C:$C,$A21,RawData!L:L)</f>
        <v>5</v>
      </c>
      <c r="I21">
        <f>SUMIF(RawData!$C:$C,$A21,RawData!M:M)</f>
        <v>6</v>
      </c>
      <c r="J21">
        <f>SUMIF(RawData!$C:$C,$A21,RawData!N:N)</f>
        <v>9</v>
      </c>
      <c r="K21">
        <f>SUMIF(RawData!$C:$C,$A21,RawData!O:O)</f>
        <v>9</v>
      </c>
      <c r="L21">
        <f>SUMIF(RawData!$C:$C,$A21,RawData!P:P)</f>
        <v>12</v>
      </c>
      <c r="M21">
        <f>SUMIF(RawData!$C:$C,$A21,RawData!Q:Q)</f>
        <v>12</v>
      </c>
      <c r="N21">
        <f>SUMIF(RawData!$C:$C,$A21,RawData!R:R)</f>
        <v>12</v>
      </c>
      <c r="O21">
        <f>SUMIF(RawData!$C:$C,$A21,RawData!S:S)</f>
        <v>13</v>
      </c>
      <c r="P21">
        <f>SUMIF(RawData!$C:$C,$A21,RawData!T:T)</f>
        <v>13</v>
      </c>
      <c r="Q21">
        <f>SUMIF(RawData!$C:$C,$A21,RawData!U:U)</f>
        <v>14</v>
      </c>
      <c r="R21">
        <f>SUMIF(RawData!$C:$C,$A21,RawData!V:V)</f>
        <v>15</v>
      </c>
      <c r="S21">
        <f>SUMIF(RawData!$C:$C,$A21,RawData!W:W)</f>
        <v>15</v>
      </c>
      <c r="T21">
        <f>SUMIF(RawData!$C:$C,$A21,RawData!X:X)</f>
        <v>15</v>
      </c>
      <c r="U21">
        <f>SUMIF(RawData!$C:$C,$A21,RawData!Y:Y)</f>
        <v>15</v>
      </c>
      <c r="V21">
        <f>SUMIF(RawData!$C:$C,$A21,RawData!Z:Z)</f>
        <v>15</v>
      </c>
      <c r="W21">
        <f>SUMIF(RawData!$C:$C,$A21,RawData!AA:AA)</f>
        <v>15</v>
      </c>
      <c r="X21">
        <f>SUMIF(RawData!$C:$C,$A21,RawData!AB:AB)</f>
        <v>15</v>
      </c>
      <c r="Y21">
        <f>SUMIF(RawData!$C:$C,$A21,RawData!AC:AC)</f>
        <v>15</v>
      </c>
      <c r="Z21">
        <f>SUMIF(RawData!$C:$C,$A21,RawData!AD:AD)</f>
        <v>15</v>
      </c>
      <c r="AA21">
        <f>SUMIF(RawData!$C:$C,$A21,RawData!AE:AE)</f>
        <v>15</v>
      </c>
      <c r="AB21">
        <f>SUMIF(RawData!$C:$C,$A21,RawData!AF:AF)</f>
        <v>15</v>
      </c>
      <c r="AC21">
        <f>SUMIF(RawData!$C:$C,$A21,RawData!AG:AG)</f>
        <v>15</v>
      </c>
      <c r="AD21">
        <f>SUMIF(RawData!$C:$C,$A21,RawData!AH:AH)</f>
        <v>15</v>
      </c>
      <c r="AE21">
        <f>SUMIF(RawData!$C:$C,$A21,RawData!AI:AI)</f>
        <v>15</v>
      </c>
      <c r="AF21">
        <f>SUMIF(RawData!$C:$C,$A21,RawData!AJ:AJ)</f>
        <v>19</v>
      </c>
      <c r="AG21">
        <f>SUMIF(RawData!$C:$C,$A21,RawData!AK:AK)</f>
        <v>22</v>
      </c>
      <c r="AH21">
        <f>SUMIF(RawData!$C:$C,$A21,RawData!AL:AL)</f>
        <v>22</v>
      </c>
      <c r="AI21">
        <f>SUMIF(RawData!$C:$C,$A21,RawData!AM:AM)</f>
        <v>22</v>
      </c>
      <c r="AJ21">
        <f>SUMIF(RawData!$C:$C,$A21,RawData!AN:AN)</f>
        <v>22</v>
      </c>
      <c r="AK21">
        <f>SUMIF(RawData!$C:$C,$A21,RawData!AO:AO)</f>
        <v>22</v>
      </c>
      <c r="AL21">
        <f>SUMIF(RawData!$C:$C,$A21,RawData!AP:AP)</f>
        <v>23</v>
      </c>
      <c r="AM21">
        <f>SUMIF(RawData!$C:$C,$A21,RawData!AQ:AQ)</f>
        <v>23</v>
      </c>
      <c r="AN21">
        <f>SUMIF(RawData!$C:$C,$A21,RawData!AR:AR)</f>
        <v>25</v>
      </c>
      <c r="AO21">
        <f>SUMIF(RawData!$C:$C,$A21,RawData!AS:AS)</f>
        <v>27</v>
      </c>
      <c r="AP21">
        <f>SUMIF(RawData!$C:$C,$A21,RawData!AT:AT)</f>
        <v>30</v>
      </c>
      <c r="AQ21">
        <f>SUMIF(RawData!$C:$C,$A21,RawData!AU:AU)</f>
        <v>39</v>
      </c>
      <c r="AR21">
        <f>SUMIF(RawData!$C:$C,$A21,RawData!AV:AV)</f>
        <v>52</v>
      </c>
      <c r="AS21">
        <f>SUMIF(RawData!$C:$C,$A21,RawData!AW:AW)</f>
        <v>55</v>
      </c>
      <c r="AT21">
        <f>SUMIF(RawData!$C:$C,$A21,RawData!AX:AX)</f>
        <v>60</v>
      </c>
      <c r="AU21">
        <f>SUMIF(RawData!$C:$C,$A21,RawData!AY:AY)</f>
        <v>63</v>
      </c>
      <c r="AV21">
        <f>SUMIF(RawData!$C:$C,$A21,RawData!AZ:AZ)</f>
        <v>76</v>
      </c>
      <c r="AW21">
        <f>SUMIF(RawData!$C:$C,$A21,RawData!BA:BA)</f>
        <v>91</v>
      </c>
      <c r="AX21">
        <f>SUMIF(RawData!$C:$C,$A21,RawData!BB:BB)</f>
        <v>107</v>
      </c>
      <c r="AY21">
        <f>SUMIF(RawData!$C:$C,$A21,RawData!BC:BC)</f>
        <v>128</v>
      </c>
      <c r="AZ21">
        <f>SUMIF(RawData!$C:$C,$A21,RawData!BD:BD)</f>
        <v>128</v>
      </c>
      <c r="BA21">
        <f>SUMIF(RawData!$C:$C,$A21,RawData!BE:BE)</f>
        <v>200</v>
      </c>
      <c r="BB21">
        <f>SUMIF(RawData!$C:$C,$A21,RawData!BF:BF)</f>
        <v>250</v>
      </c>
      <c r="BC21">
        <f>SUMIF(RawData!$C:$C,$A21,RawData!BG:BG)</f>
        <v>297</v>
      </c>
      <c r="BD21">
        <f>SUMIF(RawData!$C:$C,$A21,RawData!BH:BH)</f>
        <v>377</v>
      </c>
      <c r="BE21">
        <f>SUMIF(RawData!$C:$C,$A21,RawData!BI:BI)</f>
        <v>0</v>
      </c>
      <c r="BF21">
        <f>SUMIF(RawData!$C:$C,$A21,RawData!BJ:BJ)</f>
        <v>0</v>
      </c>
      <c r="BG21">
        <f>SUMIF(RawData!$C:$C,$A21,RawData!BK:BK)</f>
        <v>0</v>
      </c>
      <c r="BH21">
        <f>SUMIF(RawData!$C:$C,$A21,RawData!BL:BL)</f>
        <v>0</v>
      </c>
      <c r="BI21">
        <f>SUMIF(RawData!$C:$C,$A21,RawData!BM:BM)</f>
        <v>0</v>
      </c>
      <c r="BJ21">
        <f>SUMIF(RawData!$C:$C,$A21,RawData!BN:BN)</f>
        <v>0</v>
      </c>
      <c r="BK21">
        <f>SUMIF(RawData!$C:$C,$A21,RawData!BO:BO)</f>
        <v>0</v>
      </c>
      <c r="BL21">
        <f>SUMIF(RawData!$C:$C,$A21,RawData!BP:BP)</f>
        <v>0</v>
      </c>
      <c r="BM21">
        <f>SUMIF(RawData!$C:$C,$A21,RawData!BQ:BQ)</f>
        <v>0</v>
      </c>
      <c r="BN21">
        <f>SUMIF(RawData!$C:$C,$A21,RawData!BR:BR)</f>
        <v>0</v>
      </c>
      <c r="BO21">
        <f>SUMIF(RawData!$C:$C,$A21,RawData!BS:BS)</f>
        <v>0</v>
      </c>
      <c r="BP21">
        <f>SUMIF(RawData!$C:$C,$A21,RawData!BT:BT)</f>
        <v>0</v>
      </c>
      <c r="BQ21">
        <f>SUMIF(RawData!$C:$C,$A21,RawData!BU:BU)</f>
        <v>0</v>
      </c>
      <c r="BR21">
        <f>SUMIF(RawData!$C:$C,$A21,RawData!BV:BV)</f>
        <v>0</v>
      </c>
      <c r="BS21">
        <f>SUMIF(RawData!$C:$C,$A21,RawData!BW:BW)</f>
        <v>0</v>
      </c>
      <c r="BT21">
        <f>SUMIF(RawData!$C:$C,$A21,RawData!BX:BX)</f>
        <v>0</v>
      </c>
    </row>
    <row r="22" spans="1:72" ht="15" thickBot="1" x14ac:dyDescent="0.35">
      <c r="A22" s="4" t="s">
        <v>67</v>
      </c>
      <c r="B22">
        <f>SUMIF(RawData!$C:$C,$A22,RawData!F:F)</f>
        <v>0</v>
      </c>
      <c r="C22">
        <f>SUMIF(RawData!$C:$C,$A22,RawData!G:G)</f>
        <v>1</v>
      </c>
      <c r="D22">
        <f>SUMIF(RawData!$C:$C,$A22,RawData!H:H)</f>
        <v>3</v>
      </c>
      <c r="E22">
        <f>SUMIF(RawData!$C:$C,$A22,RawData!I:I)</f>
        <v>3</v>
      </c>
      <c r="F22">
        <f>SUMIF(RawData!$C:$C,$A22,RawData!J:J)</f>
        <v>4</v>
      </c>
      <c r="G22">
        <f>SUMIF(RawData!$C:$C,$A22,RawData!K:K)</f>
        <v>5</v>
      </c>
      <c r="H22">
        <f>SUMIF(RawData!$C:$C,$A22,RawData!L:L)</f>
        <v>7</v>
      </c>
      <c r="I22">
        <f>SUMIF(RawData!$C:$C,$A22,RawData!M:M)</f>
        <v>7</v>
      </c>
      <c r="J22">
        <f>SUMIF(RawData!$C:$C,$A22,RawData!N:N)</f>
        <v>10</v>
      </c>
      <c r="K22">
        <f>SUMIF(RawData!$C:$C,$A22,RawData!O:O)</f>
        <v>13</v>
      </c>
      <c r="L22">
        <f>SUMIF(RawData!$C:$C,$A22,RawData!P:P)</f>
        <v>16</v>
      </c>
      <c r="M22">
        <f>SUMIF(RawData!$C:$C,$A22,RawData!Q:Q)</f>
        <v>18</v>
      </c>
      <c r="N22">
        <f>SUMIF(RawData!$C:$C,$A22,RawData!R:R)</f>
        <v>18</v>
      </c>
      <c r="O22">
        <f>SUMIF(RawData!$C:$C,$A22,RawData!S:S)</f>
        <v>24</v>
      </c>
      <c r="P22">
        <f>SUMIF(RawData!$C:$C,$A22,RawData!T:T)</f>
        <v>28</v>
      </c>
      <c r="Q22">
        <f>SUMIF(RawData!$C:$C,$A22,RawData!U:U)</f>
        <v>28</v>
      </c>
      <c r="R22">
        <f>SUMIF(RawData!$C:$C,$A22,RawData!V:V)</f>
        <v>30</v>
      </c>
      <c r="S22">
        <f>SUMIF(RawData!$C:$C,$A22,RawData!W:W)</f>
        <v>33</v>
      </c>
      <c r="T22">
        <f>SUMIF(RawData!$C:$C,$A22,RawData!X:X)</f>
        <v>40</v>
      </c>
      <c r="U22">
        <f>SUMIF(RawData!$C:$C,$A22,RawData!Y:Y)</f>
        <v>45</v>
      </c>
      <c r="V22">
        <f>SUMIF(RawData!$C:$C,$A22,RawData!Z:Z)</f>
        <v>47</v>
      </c>
      <c r="W22">
        <f>SUMIF(RawData!$C:$C,$A22,RawData!AA:AA)</f>
        <v>50</v>
      </c>
      <c r="X22">
        <f>SUMIF(RawData!$C:$C,$A22,RawData!AB:AB)</f>
        <v>58</v>
      </c>
      <c r="Y22">
        <f>SUMIF(RawData!$C:$C,$A22,RawData!AC:AC)</f>
        <v>67</v>
      </c>
      <c r="Z22">
        <f>SUMIF(RawData!$C:$C,$A22,RawData!AD:AD)</f>
        <v>72</v>
      </c>
      <c r="AA22">
        <f>SUMIF(RawData!$C:$C,$A22,RawData!AE:AE)</f>
        <v>75</v>
      </c>
      <c r="AB22">
        <f>SUMIF(RawData!$C:$C,$A22,RawData!AF:AF)</f>
        <v>77</v>
      </c>
      <c r="AC22">
        <f>SUMIF(RawData!$C:$C,$A22,RawData!AG:AG)</f>
        <v>81</v>
      </c>
      <c r="AD22">
        <f>SUMIF(RawData!$C:$C,$A22,RawData!AH:AH)</f>
        <v>84</v>
      </c>
      <c r="AE22">
        <f>SUMIF(RawData!$C:$C,$A22,RawData!AI:AI)</f>
        <v>84</v>
      </c>
      <c r="AF22">
        <f>SUMIF(RawData!$C:$C,$A22,RawData!AJ:AJ)</f>
        <v>85</v>
      </c>
      <c r="AG22">
        <f>SUMIF(RawData!$C:$C,$A22,RawData!AK:AK)</f>
        <v>85</v>
      </c>
      <c r="AH22">
        <f>SUMIF(RawData!$C:$C,$A22,RawData!AL:AL)</f>
        <v>89</v>
      </c>
      <c r="AI22">
        <f>SUMIF(RawData!$C:$C,$A22,RawData!AM:AM)</f>
        <v>89</v>
      </c>
      <c r="AJ22">
        <f>SUMIF(RawData!$C:$C,$A22,RawData!AN:AN)</f>
        <v>91</v>
      </c>
      <c r="AK22">
        <f>SUMIF(RawData!$C:$C,$A22,RawData!AO:AO)</f>
        <v>93</v>
      </c>
      <c r="AL22">
        <f>SUMIF(RawData!$C:$C,$A22,RawData!AP:AP)</f>
        <v>93</v>
      </c>
      <c r="AM22">
        <f>SUMIF(RawData!$C:$C,$A22,RawData!AQ:AQ)</f>
        <v>93</v>
      </c>
      <c r="AN22">
        <f>SUMIF(RawData!$C:$C,$A22,RawData!AR:AR)</f>
        <v>102</v>
      </c>
      <c r="AO22">
        <f>SUMIF(RawData!$C:$C,$A22,RawData!AS:AS)</f>
        <v>106</v>
      </c>
      <c r="AP22">
        <f>SUMIF(RawData!$C:$C,$A22,RawData!AT:AT)</f>
        <v>108</v>
      </c>
      <c r="AQ22">
        <f>SUMIF(RawData!$C:$C,$A22,RawData!AU:AU)</f>
        <v>110</v>
      </c>
      <c r="AR22">
        <f>SUMIF(RawData!$C:$C,$A22,RawData!AV:AV)</f>
        <v>110</v>
      </c>
      <c r="AS22">
        <f>SUMIF(RawData!$C:$C,$A22,RawData!AW:AW)</f>
        <v>117</v>
      </c>
      <c r="AT22">
        <f>SUMIF(RawData!$C:$C,$A22,RawData!AX:AX)</f>
        <v>130</v>
      </c>
      <c r="AU22">
        <f>SUMIF(RawData!$C:$C,$A22,RawData!AY:AY)</f>
        <v>138</v>
      </c>
      <c r="AV22">
        <f>SUMIF(RawData!$C:$C,$A22,RawData!AZ:AZ)</f>
        <v>150</v>
      </c>
      <c r="AW22">
        <f>SUMIF(RawData!$C:$C,$A22,RawData!BA:BA)</f>
        <v>150</v>
      </c>
      <c r="AX22">
        <f>SUMIF(RawData!$C:$C,$A22,RawData!BB:BB)</f>
        <v>160</v>
      </c>
      <c r="AY22">
        <f>SUMIF(RawData!$C:$C,$A22,RawData!BC:BC)</f>
        <v>178</v>
      </c>
      <c r="AZ22">
        <f>SUMIF(RawData!$C:$C,$A22,RawData!BD:BD)</f>
        <v>178</v>
      </c>
      <c r="BA22">
        <f>SUMIF(RawData!$C:$C,$A22,RawData!BE:BE)</f>
        <v>200</v>
      </c>
      <c r="BB22">
        <f>SUMIF(RawData!$C:$C,$A22,RawData!BF:BF)</f>
        <v>212</v>
      </c>
      <c r="BC22">
        <f>SUMIF(RawData!$C:$C,$A22,RawData!BG:BG)</f>
        <v>226</v>
      </c>
      <c r="BD22">
        <f>SUMIF(RawData!$C:$C,$A22,RawData!BH:BH)</f>
        <v>243</v>
      </c>
      <c r="BE22">
        <f>SUMIF(RawData!$C:$C,$A22,RawData!BI:BI)</f>
        <v>0</v>
      </c>
      <c r="BF22">
        <f>SUMIF(RawData!$C:$C,$A22,RawData!BJ:BJ)</f>
        <v>0</v>
      </c>
      <c r="BG22">
        <f>SUMIF(RawData!$C:$C,$A22,RawData!BK:BK)</f>
        <v>0</v>
      </c>
      <c r="BH22">
        <f>SUMIF(RawData!$C:$C,$A22,RawData!BL:BL)</f>
        <v>0</v>
      </c>
      <c r="BI22">
        <f>SUMIF(RawData!$C:$C,$A22,RawData!BM:BM)</f>
        <v>0</v>
      </c>
      <c r="BJ22">
        <f>SUMIF(RawData!$C:$C,$A22,RawData!BN:BN)</f>
        <v>0</v>
      </c>
      <c r="BK22">
        <f>SUMIF(RawData!$C:$C,$A22,RawData!BO:BO)</f>
        <v>0</v>
      </c>
      <c r="BL22">
        <f>SUMIF(RawData!$C:$C,$A22,RawData!BP:BP)</f>
        <v>0</v>
      </c>
      <c r="BM22">
        <f>SUMIF(RawData!$C:$C,$A22,RawData!BQ:BQ)</f>
        <v>0</v>
      </c>
      <c r="BN22">
        <f>SUMIF(RawData!$C:$C,$A22,RawData!BR:BR)</f>
        <v>0</v>
      </c>
      <c r="BO22">
        <f>SUMIF(RawData!$C:$C,$A22,RawData!BS:BS)</f>
        <v>0</v>
      </c>
      <c r="BP22">
        <f>SUMIF(RawData!$C:$C,$A22,RawData!BT:BT)</f>
        <v>0</v>
      </c>
      <c r="BQ22">
        <f>SUMIF(RawData!$C:$C,$A22,RawData!BU:BU)</f>
        <v>0</v>
      </c>
      <c r="BR22">
        <f>SUMIF(RawData!$C:$C,$A22,RawData!BV:BV)</f>
        <v>0</v>
      </c>
      <c r="BS22">
        <f>SUMIF(RawData!$C:$C,$A22,RawData!BW:BW)</f>
        <v>0</v>
      </c>
      <c r="BT22">
        <f>SUMIF(RawData!$C:$C,$A22,RawData!BX:BX)</f>
        <v>0</v>
      </c>
    </row>
    <row r="23" spans="1:72" ht="15" thickBot="1" x14ac:dyDescent="0.35">
      <c r="A23" s="4" t="s">
        <v>70</v>
      </c>
      <c r="B23">
        <f>SUMIF(RawData!$C:$C,$A23,RawData!F:F)</f>
        <v>0</v>
      </c>
      <c r="C23">
        <f>SUMIF(RawData!$C:$C,$A23,RawData!G:G)</f>
        <v>0</v>
      </c>
      <c r="D23">
        <f>SUMIF(RawData!$C:$C,$A23,RawData!H:H)</f>
        <v>0</v>
      </c>
      <c r="E23">
        <f>SUMIF(RawData!$C:$C,$A23,RawData!I:I)</f>
        <v>3</v>
      </c>
      <c r="F23">
        <f>SUMIF(RawData!$C:$C,$A23,RawData!J:J)</f>
        <v>4</v>
      </c>
      <c r="G23">
        <f>SUMIF(RawData!$C:$C,$A23,RawData!K:K)</f>
        <v>4</v>
      </c>
      <c r="H23">
        <f>SUMIF(RawData!$C:$C,$A23,RawData!L:L)</f>
        <v>4</v>
      </c>
      <c r="I23">
        <f>SUMIF(RawData!$C:$C,$A23,RawData!M:M)</f>
        <v>7</v>
      </c>
      <c r="J23">
        <f>SUMIF(RawData!$C:$C,$A23,RawData!N:N)</f>
        <v>8</v>
      </c>
      <c r="K23">
        <f>SUMIF(RawData!$C:$C,$A23,RawData!O:O)</f>
        <v>8</v>
      </c>
      <c r="L23">
        <f>SUMIF(RawData!$C:$C,$A23,RawData!P:P)</f>
        <v>8</v>
      </c>
      <c r="M23">
        <f>SUMIF(RawData!$C:$C,$A23,RawData!Q:Q)</f>
        <v>8</v>
      </c>
      <c r="N23">
        <f>SUMIF(RawData!$C:$C,$A23,RawData!R:R)</f>
        <v>8</v>
      </c>
      <c r="O23">
        <f>SUMIF(RawData!$C:$C,$A23,RawData!S:S)</f>
        <v>10</v>
      </c>
      <c r="P23">
        <f>SUMIF(RawData!$C:$C,$A23,RawData!T:T)</f>
        <v>12</v>
      </c>
      <c r="Q23">
        <f>SUMIF(RawData!$C:$C,$A23,RawData!U:U)</f>
        <v>12</v>
      </c>
      <c r="R23">
        <f>SUMIF(RawData!$C:$C,$A23,RawData!V:V)</f>
        <v>12</v>
      </c>
      <c r="S23">
        <f>SUMIF(RawData!$C:$C,$A23,RawData!W:W)</f>
        <v>16</v>
      </c>
      <c r="T23">
        <f>SUMIF(RawData!$C:$C,$A23,RawData!X:X)</f>
        <v>16</v>
      </c>
      <c r="U23">
        <f>SUMIF(RawData!$C:$C,$A23,RawData!Y:Y)</f>
        <v>18</v>
      </c>
      <c r="V23">
        <f>SUMIF(RawData!$C:$C,$A23,RawData!Z:Z)</f>
        <v>18</v>
      </c>
      <c r="W23">
        <f>SUMIF(RawData!$C:$C,$A23,RawData!AA:AA)</f>
        <v>18</v>
      </c>
      <c r="X23">
        <f>SUMIF(RawData!$C:$C,$A23,RawData!AB:AB)</f>
        <v>19</v>
      </c>
      <c r="Y23">
        <f>SUMIF(RawData!$C:$C,$A23,RawData!AC:AC)</f>
        <v>19</v>
      </c>
      <c r="Z23">
        <f>SUMIF(RawData!$C:$C,$A23,RawData!AD:AD)</f>
        <v>22</v>
      </c>
      <c r="AA23">
        <f>SUMIF(RawData!$C:$C,$A23,RawData!AE:AE)</f>
        <v>22</v>
      </c>
      <c r="AB23">
        <f>SUMIF(RawData!$C:$C,$A23,RawData!AF:AF)</f>
        <v>22</v>
      </c>
      <c r="AC23">
        <f>SUMIF(RawData!$C:$C,$A23,RawData!AG:AG)</f>
        <v>22</v>
      </c>
      <c r="AD23">
        <f>SUMIF(RawData!$C:$C,$A23,RawData!AH:AH)</f>
        <v>22</v>
      </c>
      <c r="AE23">
        <f>SUMIF(RawData!$C:$C,$A23,RawData!AI:AI)</f>
        <v>22</v>
      </c>
      <c r="AF23">
        <f>SUMIF(RawData!$C:$C,$A23,RawData!AJ:AJ)</f>
        <v>22</v>
      </c>
      <c r="AG23">
        <f>SUMIF(RawData!$C:$C,$A23,RawData!AK:AK)</f>
        <v>22</v>
      </c>
      <c r="AH23">
        <f>SUMIF(RawData!$C:$C,$A23,RawData!AL:AL)</f>
        <v>22</v>
      </c>
      <c r="AI23">
        <f>SUMIF(RawData!$C:$C,$A23,RawData!AM:AM)</f>
        <v>22</v>
      </c>
      <c r="AJ23">
        <f>SUMIF(RawData!$C:$C,$A23,RawData!AN:AN)</f>
        <v>22</v>
      </c>
      <c r="AK23">
        <f>SUMIF(RawData!$C:$C,$A23,RawData!AO:AO)</f>
        <v>22</v>
      </c>
      <c r="AL23">
        <f>SUMIF(RawData!$C:$C,$A23,RawData!AP:AP)</f>
        <v>23</v>
      </c>
      <c r="AM23">
        <f>SUMIF(RawData!$C:$C,$A23,RawData!AQ:AQ)</f>
        <v>23</v>
      </c>
      <c r="AN23">
        <f>SUMIF(RawData!$C:$C,$A23,RawData!AR:AR)</f>
        <v>25</v>
      </c>
      <c r="AO23">
        <f>SUMIF(RawData!$C:$C,$A23,RawData!AS:AS)</f>
        <v>29</v>
      </c>
      <c r="AP23">
        <f>SUMIF(RawData!$C:$C,$A23,RawData!AT:AT)</f>
        <v>29</v>
      </c>
      <c r="AQ23">
        <f>SUMIF(RawData!$C:$C,$A23,RawData!AU:AU)</f>
        <v>36</v>
      </c>
      <c r="AR23">
        <f>SUMIF(RawData!$C:$C,$A23,RawData!AV:AV)</f>
        <v>50</v>
      </c>
      <c r="AS23">
        <f>SUMIF(RawData!$C:$C,$A23,RawData!AW:AW)</f>
        <v>50</v>
      </c>
      <c r="AT23">
        <f>SUMIF(RawData!$C:$C,$A23,RawData!AX:AX)</f>
        <v>83</v>
      </c>
      <c r="AU23">
        <f>SUMIF(RawData!$C:$C,$A23,RawData!AY:AY)</f>
        <v>93</v>
      </c>
      <c r="AV23">
        <f>SUMIF(RawData!$C:$C,$A23,RawData!AZ:AZ)</f>
        <v>99</v>
      </c>
      <c r="AW23">
        <f>SUMIF(RawData!$C:$C,$A23,RawData!BA:BA)</f>
        <v>117</v>
      </c>
      <c r="AX23">
        <f>SUMIF(RawData!$C:$C,$A23,RawData!BB:BB)</f>
        <v>129</v>
      </c>
      <c r="AY23">
        <f>SUMIF(RawData!$C:$C,$A23,RawData!BC:BC)</f>
        <v>149</v>
      </c>
      <c r="AZ23">
        <f>SUMIF(RawData!$C:$C,$A23,RawData!BD:BD)</f>
        <v>149</v>
      </c>
      <c r="BA23">
        <f>SUMIF(RawData!$C:$C,$A23,RawData!BE:BE)</f>
        <v>197</v>
      </c>
      <c r="BB23">
        <f>SUMIF(RawData!$C:$C,$A23,RawData!BF:BF)</f>
        <v>238</v>
      </c>
      <c r="BC23">
        <f>SUMIF(RawData!$C:$C,$A23,RawData!BG:BG)</f>
        <v>428</v>
      </c>
      <c r="BD23">
        <f>SUMIF(RawData!$C:$C,$A23,RawData!BH:BH)</f>
        <v>566</v>
      </c>
      <c r="BE23">
        <f>SUMIF(RawData!$C:$C,$A23,RawData!BI:BI)</f>
        <v>0</v>
      </c>
      <c r="BF23">
        <f>SUMIF(RawData!$C:$C,$A23,RawData!BJ:BJ)</f>
        <v>0</v>
      </c>
      <c r="BG23">
        <f>SUMIF(RawData!$C:$C,$A23,RawData!BK:BK)</f>
        <v>0</v>
      </c>
      <c r="BH23">
        <f>SUMIF(RawData!$C:$C,$A23,RawData!BL:BL)</f>
        <v>0</v>
      </c>
      <c r="BI23">
        <f>SUMIF(RawData!$C:$C,$A23,RawData!BM:BM)</f>
        <v>0</v>
      </c>
      <c r="BJ23">
        <f>SUMIF(RawData!$C:$C,$A23,RawData!BN:BN)</f>
        <v>0</v>
      </c>
      <c r="BK23">
        <f>SUMIF(RawData!$C:$C,$A23,RawData!BO:BO)</f>
        <v>0</v>
      </c>
      <c r="BL23">
        <f>SUMIF(RawData!$C:$C,$A23,RawData!BP:BP)</f>
        <v>0</v>
      </c>
      <c r="BM23">
        <f>SUMIF(RawData!$C:$C,$A23,RawData!BQ:BQ)</f>
        <v>0</v>
      </c>
      <c r="BN23">
        <f>SUMIF(RawData!$C:$C,$A23,RawData!BR:BR)</f>
        <v>0</v>
      </c>
      <c r="BO23">
        <f>SUMIF(RawData!$C:$C,$A23,RawData!BS:BS)</f>
        <v>0</v>
      </c>
      <c r="BP23">
        <f>SUMIF(RawData!$C:$C,$A23,RawData!BT:BT)</f>
        <v>0</v>
      </c>
      <c r="BQ23">
        <f>SUMIF(RawData!$C:$C,$A23,RawData!BU:BU)</f>
        <v>0</v>
      </c>
      <c r="BR23">
        <f>SUMIF(RawData!$C:$C,$A23,RawData!BV:BV)</f>
        <v>0</v>
      </c>
      <c r="BS23">
        <f>SUMIF(RawData!$C:$C,$A23,RawData!BW:BW)</f>
        <v>0</v>
      </c>
      <c r="BT23">
        <f>SUMIF(RawData!$C:$C,$A23,RawData!BX:BX)</f>
        <v>0</v>
      </c>
    </row>
    <row r="24" spans="1:72" ht="15" thickBot="1" x14ac:dyDescent="0.35">
      <c r="A24" s="5" t="s">
        <v>72</v>
      </c>
      <c r="B24">
        <f>SUMIF(RawData!$C:$C,$A24,RawData!F:F)</f>
        <v>0</v>
      </c>
      <c r="C24">
        <f>SUMIF(RawData!$C:$C,$A24,RawData!G:G)</f>
        <v>0</v>
      </c>
      <c r="D24">
        <f>SUMIF(RawData!$C:$C,$A24,RawData!H:H)</f>
        <v>0</v>
      </c>
      <c r="E24">
        <f>SUMIF(RawData!$C:$C,$A24,RawData!I:I)</f>
        <v>0</v>
      </c>
      <c r="F24">
        <f>SUMIF(RawData!$C:$C,$A24,RawData!J:J)</f>
        <v>1</v>
      </c>
      <c r="G24">
        <f>SUMIF(RawData!$C:$C,$A24,RawData!K:K)</f>
        <v>1</v>
      </c>
      <c r="H24">
        <f>SUMIF(RawData!$C:$C,$A24,RawData!L:L)</f>
        <v>2</v>
      </c>
      <c r="I24">
        <f>SUMIF(RawData!$C:$C,$A24,RawData!M:M)</f>
        <v>2</v>
      </c>
      <c r="J24">
        <f>SUMIF(RawData!$C:$C,$A24,RawData!N:N)</f>
        <v>2</v>
      </c>
      <c r="K24">
        <f>SUMIF(RawData!$C:$C,$A24,RawData!O:O)</f>
        <v>4</v>
      </c>
      <c r="L24">
        <f>SUMIF(RawData!$C:$C,$A24,RawData!P:P)</f>
        <v>4</v>
      </c>
      <c r="M24">
        <f>SUMIF(RawData!$C:$C,$A24,RawData!Q:Q)</f>
        <v>4</v>
      </c>
      <c r="N24">
        <f>SUMIF(RawData!$C:$C,$A24,RawData!R:R)</f>
        <v>4</v>
      </c>
      <c r="O24">
        <f>SUMIF(RawData!$C:$C,$A24,RawData!S:S)</f>
        <v>4</v>
      </c>
      <c r="P24">
        <f>SUMIF(RawData!$C:$C,$A24,RawData!T:T)</f>
        <v>5</v>
      </c>
      <c r="Q24">
        <f>SUMIF(RawData!$C:$C,$A24,RawData!U:U)</f>
        <v>5</v>
      </c>
      <c r="R24">
        <f>SUMIF(RawData!$C:$C,$A24,RawData!V:V)</f>
        <v>7</v>
      </c>
      <c r="S24">
        <f>SUMIF(RawData!$C:$C,$A24,RawData!W:W)</f>
        <v>7</v>
      </c>
      <c r="T24">
        <f>SUMIF(RawData!$C:$C,$A24,RawData!X:X)</f>
        <v>7</v>
      </c>
      <c r="U24">
        <f>SUMIF(RawData!$C:$C,$A24,RawData!Y:Y)</f>
        <v>7</v>
      </c>
      <c r="V24">
        <f>SUMIF(RawData!$C:$C,$A24,RawData!Z:Z)</f>
        <v>7</v>
      </c>
      <c r="W24">
        <f>SUMIF(RawData!$C:$C,$A24,RawData!AA:AA)</f>
        <v>7</v>
      </c>
      <c r="X24">
        <f>SUMIF(RawData!$C:$C,$A24,RawData!AB:AB)</f>
        <v>7</v>
      </c>
      <c r="Y24">
        <f>SUMIF(RawData!$C:$C,$A24,RawData!AC:AC)</f>
        <v>7</v>
      </c>
      <c r="Z24">
        <f>SUMIF(RawData!$C:$C,$A24,RawData!AD:AD)</f>
        <v>7</v>
      </c>
      <c r="AA24">
        <f>SUMIF(RawData!$C:$C,$A24,RawData!AE:AE)</f>
        <v>7</v>
      </c>
      <c r="AB24">
        <f>SUMIF(RawData!$C:$C,$A24,RawData!AF:AF)</f>
        <v>8</v>
      </c>
      <c r="AC24">
        <f>SUMIF(RawData!$C:$C,$A24,RawData!AG:AG)</f>
        <v>8</v>
      </c>
      <c r="AD24">
        <f>SUMIF(RawData!$C:$C,$A24,RawData!AH:AH)</f>
        <v>8</v>
      </c>
      <c r="AE24">
        <f>SUMIF(RawData!$C:$C,$A24,RawData!AI:AI)</f>
        <v>8</v>
      </c>
      <c r="AF24">
        <f>SUMIF(RawData!$C:$C,$A24,RawData!AJ:AJ)</f>
        <v>9</v>
      </c>
      <c r="AG24">
        <f>SUMIF(RawData!$C:$C,$A24,RawData!AK:AK)</f>
        <v>9</v>
      </c>
      <c r="AH24">
        <f>SUMIF(RawData!$C:$C,$A24,RawData!AL:AL)</f>
        <v>9</v>
      </c>
      <c r="AI24">
        <f>SUMIF(RawData!$C:$C,$A24,RawData!AM:AM)</f>
        <v>10</v>
      </c>
      <c r="AJ24">
        <f>SUMIF(RawData!$C:$C,$A24,RawData!AN:AN)</f>
        <v>11</v>
      </c>
      <c r="AK24">
        <f>SUMIF(RawData!$C:$C,$A24,RawData!AO:AO)</f>
        <v>11</v>
      </c>
      <c r="AL24">
        <f>SUMIF(RawData!$C:$C,$A24,RawData!AP:AP)</f>
        <v>13</v>
      </c>
      <c r="AM24">
        <f>SUMIF(RawData!$C:$C,$A24,RawData!AQ:AQ)</f>
        <v>14</v>
      </c>
      <c r="AN24">
        <f>SUMIF(RawData!$C:$C,$A24,RawData!AR:AR)</f>
        <v>20</v>
      </c>
      <c r="AO24">
        <f>SUMIF(RawData!$C:$C,$A24,RawData!AS:AS)</f>
        <v>24</v>
      </c>
      <c r="AP24">
        <f>SUMIF(RawData!$C:$C,$A24,RawData!AT:AT)</f>
        <v>27</v>
      </c>
      <c r="AQ24">
        <f>SUMIF(RawData!$C:$C,$A24,RawData!AU:AU)</f>
        <v>30</v>
      </c>
      <c r="AR24">
        <f>SUMIF(RawData!$C:$C,$A24,RawData!AV:AV)</f>
        <v>33</v>
      </c>
      <c r="AS24">
        <f>SUMIF(RawData!$C:$C,$A24,RawData!AW:AW)</f>
        <v>37</v>
      </c>
      <c r="AT24">
        <f>SUMIF(RawData!$C:$C,$A24,RawData!AX:AX)</f>
        <v>49</v>
      </c>
      <c r="AU24">
        <f>SUMIF(RawData!$C:$C,$A24,RawData!AY:AY)</f>
        <v>54</v>
      </c>
      <c r="AV24">
        <f>SUMIF(RawData!$C:$C,$A24,RawData!AZ:AZ)</f>
        <v>64</v>
      </c>
      <c r="AW24">
        <f>SUMIF(RawData!$C:$C,$A24,RawData!BA:BA)</f>
        <v>77</v>
      </c>
      <c r="AX24">
        <f>SUMIF(RawData!$C:$C,$A24,RawData!BB:BB)</f>
        <v>79</v>
      </c>
      <c r="AY24">
        <f>SUMIF(RawData!$C:$C,$A24,RawData!BC:BC)</f>
        <v>108</v>
      </c>
      <c r="AZ24">
        <f>SUMIF(RawData!$C:$C,$A24,RawData!BD:BD)</f>
        <v>117</v>
      </c>
      <c r="BA24">
        <f>SUMIF(RawData!$C:$C,$A24,RawData!BE:BE)</f>
        <v>193</v>
      </c>
      <c r="BB24">
        <f>SUMIF(RawData!$C:$C,$A24,RawData!BF:BF)</f>
        <v>198</v>
      </c>
      <c r="BC24">
        <f>SUMIF(RawData!$C:$C,$A24,RawData!BG:BG)</f>
        <v>252</v>
      </c>
      <c r="BD24">
        <f>SUMIF(RawData!$C:$C,$A24,RawData!BH:BH)</f>
        <v>415</v>
      </c>
      <c r="BE24">
        <f>SUMIF(RawData!$C:$C,$A24,RawData!BI:BI)</f>
        <v>0</v>
      </c>
      <c r="BF24">
        <f>SUMIF(RawData!$C:$C,$A24,RawData!BJ:BJ)</f>
        <v>0</v>
      </c>
      <c r="BG24">
        <f>SUMIF(RawData!$C:$C,$A24,RawData!BK:BK)</f>
        <v>0</v>
      </c>
      <c r="BH24">
        <f>SUMIF(RawData!$C:$C,$A24,RawData!BL:BL)</f>
        <v>0</v>
      </c>
      <c r="BI24">
        <f>SUMIF(RawData!$C:$C,$A24,RawData!BM:BM)</f>
        <v>0</v>
      </c>
      <c r="BJ24">
        <f>SUMIF(RawData!$C:$C,$A24,RawData!BN:BN)</f>
        <v>0</v>
      </c>
      <c r="BK24">
        <f>SUMIF(RawData!$C:$C,$A24,RawData!BO:BO)</f>
        <v>0</v>
      </c>
      <c r="BL24">
        <f>SUMIF(RawData!$C:$C,$A24,RawData!BP:BP)</f>
        <v>0</v>
      </c>
      <c r="BM24">
        <f>SUMIF(RawData!$C:$C,$A24,RawData!BQ:BQ)</f>
        <v>0</v>
      </c>
      <c r="BN24">
        <f>SUMIF(RawData!$C:$C,$A24,RawData!BR:BR)</f>
        <v>0</v>
      </c>
      <c r="BO24">
        <f>SUMIF(RawData!$C:$C,$A24,RawData!BS:BS)</f>
        <v>0</v>
      </c>
      <c r="BP24">
        <f>SUMIF(RawData!$C:$C,$A24,RawData!BT:BT)</f>
        <v>0</v>
      </c>
      <c r="BQ24">
        <f>SUMIF(RawData!$C:$C,$A24,RawData!BU:BU)</f>
        <v>0</v>
      </c>
      <c r="BR24">
        <f>SUMIF(RawData!$C:$C,$A24,RawData!BV:BV)</f>
        <v>0</v>
      </c>
      <c r="BS24">
        <f>SUMIF(RawData!$C:$C,$A24,RawData!BW:BW)</f>
        <v>0</v>
      </c>
      <c r="BT24">
        <f>SUMIF(RawData!$C:$C,$A24,RawData!BX:BX)</f>
        <v>0</v>
      </c>
    </row>
    <row r="25" spans="1:72" ht="15" thickBot="1" x14ac:dyDescent="0.35">
      <c r="A25" s="5" t="s">
        <v>110</v>
      </c>
      <c r="B25">
        <f>SUMIF(RawData!$C:$C,$A25,RawData!F:F)</f>
        <v>0</v>
      </c>
      <c r="C25">
        <f>SUMIF(RawData!$C:$C,$A25,RawData!G:G)</f>
        <v>0</v>
      </c>
      <c r="D25">
        <f>SUMIF(RawData!$C:$C,$A25,RawData!H:H)</f>
        <v>0</v>
      </c>
      <c r="E25">
        <f>SUMIF(RawData!$C:$C,$A25,RawData!I:I)</f>
        <v>0</v>
      </c>
      <c r="F25">
        <f>SUMIF(RawData!$C:$C,$A25,RawData!J:J)</f>
        <v>0</v>
      </c>
      <c r="G25">
        <f>SUMIF(RawData!$C:$C,$A25,RawData!K:K)</f>
        <v>0</v>
      </c>
      <c r="H25">
        <f>SUMIF(RawData!$C:$C,$A25,RawData!L:L)</f>
        <v>0</v>
      </c>
      <c r="I25">
        <f>SUMIF(RawData!$C:$C,$A25,RawData!M:M)</f>
        <v>0</v>
      </c>
      <c r="J25">
        <f>SUMIF(RawData!$C:$C,$A25,RawData!N:N)</f>
        <v>0</v>
      </c>
      <c r="K25">
        <f>SUMIF(RawData!$C:$C,$A25,RawData!O:O)</f>
        <v>0</v>
      </c>
      <c r="L25">
        <f>SUMIF(RawData!$C:$C,$A25,RawData!P:P)</f>
        <v>0</v>
      </c>
      <c r="M25">
        <f>SUMIF(RawData!$C:$C,$A25,RawData!Q:Q)</f>
        <v>0</v>
      </c>
      <c r="N25">
        <f>SUMIF(RawData!$C:$C,$A25,RawData!R:R)</f>
        <v>0</v>
      </c>
      <c r="O25">
        <f>SUMIF(RawData!$C:$C,$A25,RawData!S:S)</f>
        <v>0</v>
      </c>
      <c r="P25">
        <f>SUMIF(RawData!$C:$C,$A25,RawData!T:T)</f>
        <v>0</v>
      </c>
      <c r="Q25">
        <f>SUMIF(RawData!$C:$C,$A25,RawData!U:U)</f>
        <v>0</v>
      </c>
      <c r="R25">
        <f>SUMIF(RawData!$C:$C,$A25,RawData!V:V)</f>
        <v>0</v>
      </c>
      <c r="S25">
        <f>SUMIF(RawData!$C:$C,$A25,RawData!W:W)</f>
        <v>0</v>
      </c>
      <c r="T25">
        <f>SUMIF(RawData!$C:$C,$A25,RawData!X:X)</f>
        <v>0</v>
      </c>
      <c r="U25">
        <f>SUMIF(RawData!$C:$C,$A25,RawData!Y:Y)</f>
        <v>0</v>
      </c>
      <c r="V25">
        <f>SUMIF(RawData!$C:$C,$A25,RawData!Z:Z)</f>
        <v>0</v>
      </c>
      <c r="W25">
        <f>SUMIF(RawData!$C:$C,$A25,RawData!AA:AA)</f>
        <v>0</v>
      </c>
      <c r="X25">
        <f>SUMIF(RawData!$C:$C,$A25,RawData!AB:AB)</f>
        <v>0</v>
      </c>
      <c r="Y25">
        <f>SUMIF(RawData!$C:$C,$A25,RawData!AC:AC)</f>
        <v>0</v>
      </c>
      <c r="Z25">
        <f>SUMIF(RawData!$C:$C,$A25,RawData!AD:AD)</f>
        <v>0</v>
      </c>
      <c r="AA25">
        <f>SUMIF(RawData!$C:$C,$A25,RawData!AE:AE)</f>
        <v>0</v>
      </c>
      <c r="AB25">
        <f>SUMIF(RawData!$C:$C,$A25,RawData!AF:AF)</f>
        <v>0</v>
      </c>
      <c r="AC25">
        <f>SUMIF(RawData!$C:$C,$A25,RawData!AG:AG)</f>
        <v>0</v>
      </c>
      <c r="AD25">
        <f>SUMIF(RawData!$C:$C,$A25,RawData!AH:AH)</f>
        <v>0</v>
      </c>
      <c r="AE25">
        <f>SUMIF(RawData!$C:$C,$A25,RawData!AI:AI)</f>
        <v>0</v>
      </c>
      <c r="AF25">
        <f>SUMIF(RawData!$C:$C,$A25,RawData!AJ:AJ)</f>
        <v>0</v>
      </c>
      <c r="AG25">
        <f>SUMIF(RawData!$C:$C,$A25,RawData!AK:AK)</f>
        <v>0</v>
      </c>
      <c r="AH25">
        <f>SUMIF(RawData!$C:$C,$A25,RawData!AL:AL)</f>
        <v>0</v>
      </c>
      <c r="AI25">
        <f>SUMIF(RawData!$C:$C,$A25,RawData!AM:AM)</f>
        <v>0</v>
      </c>
      <c r="AJ25">
        <f>SUMIF(RawData!$C:$C,$A25,RawData!AN:AN)</f>
        <v>0</v>
      </c>
      <c r="AK25">
        <f>SUMIF(RawData!$C:$C,$A25,RawData!AO:AO)</f>
        <v>1</v>
      </c>
      <c r="AL25">
        <f>SUMIF(RawData!$C:$C,$A25,RawData!AP:AP)</f>
        <v>3</v>
      </c>
      <c r="AM25">
        <f>SUMIF(RawData!$C:$C,$A25,RawData!AQ:AQ)</f>
        <v>4</v>
      </c>
      <c r="AN25">
        <f>SUMIF(RawData!$C:$C,$A25,RawData!AR:AR)</f>
        <v>4</v>
      </c>
      <c r="AO25">
        <f>SUMIF(RawData!$C:$C,$A25,RawData!AS:AS)</f>
        <v>7</v>
      </c>
      <c r="AP25">
        <f>SUMIF(RawData!$C:$C,$A25,RawData!AT:AT)</f>
        <v>7</v>
      </c>
      <c r="AQ25">
        <f>SUMIF(RawData!$C:$C,$A25,RawData!AU:AU)</f>
        <v>7</v>
      </c>
      <c r="AR25">
        <f>SUMIF(RawData!$C:$C,$A25,RawData!AV:AV)</f>
        <v>9</v>
      </c>
      <c r="AS25">
        <f>SUMIF(RawData!$C:$C,$A25,RawData!AW:AW)</f>
        <v>31</v>
      </c>
      <c r="AT25">
        <f>SUMIF(RawData!$C:$C,$A25,RawData!AX:AX)</f>
        <v>45</v>
      </c>
      <c r="AU25">
        <f>SUMIF(RawData!$C:$C,$A25,RawData!AY:AY)</f>
        <v>46</v>
      </c>
      <c r="AV25">
        <f>SUMIF(RawData!$C:$C,$A25,RawData!AZ:AZ)</f>
        <v>73</v>
      </c>
      <c r="AW25">
        <f>SUMIF(RawData!$C:$C,$A25,RawData!BA:BA)</f>
        <v>73</v>
      </c>
      <c r="AX25">
        <f>SUMIF(RawData!$C:$C,$A25,RawData!BB:BB)</f>
        <v>89</v>
      </c>
      <c r="AY25">
        <f>SUMIF(RawData!$C:$C,$A25,RawData!BC:BC)</f>
        <v>99</v>
      </c>
      <c r="AZ25">
        <f>SUMIF(RawData!$C:$C,$A25,RawData!BD:BD)</f>
        <v>99</v>
      </c>
      <c r="BA25">
        <f>SUMIF(RawData!$C:$C,$A25,RawData!BE:BE)</f>
        <v>190</v>
      </c>
      <c r="BB25">
        <f>SUMIF(RawData!$C:$C,$A25,RawData!BF:BF)</f>
        <v>228</v>
      </c>
      <c r="BC25">
        <f>SUMIF(RawData!$C:$C,$A25,RawData!BG:BG)</f>
        <v>331</v>
      </c>
      <c r="BD25">
        <f>SUMIF(RawData!$C:$C,$A25,RawData!BH:BH)</f>
        <v>331</v>
      </c>
      <c r="BE25">
        <f>SUMIF(RawData!$C:$C,$A25,RawData!BI:BI)</f>
        <v>0</v>
      </c>
      <c r="BF25">
        <f>SUMIF(RawData!$C:$C,$A25,RawData!BJ:BJ)</f>
        <v>0</v>
      </c>
      <c r="BG25">
        <f>SUMIF(RawData!$C:$C,$A25,RawData!BK:BK)</f>
        <v>0</v>
      </c>
      <c r="BH25">
        <f>SUMIF(RawData!$C:$C,$A25,RawData!BL:BL)</f>
        <v>0</v>
      </c>
      <c r="BI25">
        <f>SUMIF(RawData!$C:$C,$A25,RawData!BM:BM)</f>
        <v>0</v>
      </c>
      <c r="BJ25">
        <f>SUMIF(RawData!$C:$C,$A25,RawData!BN:BN)</f>
        <v>0</v>
      </c>
      <c r="BK25">
        <f>SUMIF(RawData!$C:$C,$A25,RawData!BO:BO)</f>
        <v>0</v>
      </c>
      <c r="BL25">
        <f>SUMIF(RawData!$C:$C,$A25,RawData!BP:BP)</f>
        <v>0</v>
      </c>
      <c r="BM25">
        <f>SUMIF(RawData!$C:$C,$A25,RawData!BQ:BQ)</f>
        <v>0</v>
      </c>
      <c r="BN25">
        <f>SUMIF(RawData!$C:$C,$A25,RawData!BR:BR)</f>
        <v>0</v>
      </c>
      <c r="BO25">
        <f>SUMIF(RawData!$C:$C,$A25,RawData!BS:BS)</f>
        <v>0</v>
      </c>
      <c r="BP25">
        <f>SUMIF(RawData!$C:$C,$A25,RawData!BT:BT)</f>
        <v>0</v>
      </c>
      <c r="BQ25">
        <f>SUMIF(RawData!$C:$C,$A25,RawData!BU:BU)</f>
        <v>0</v>
      </c>
      <c r="BR25">
        <f>SUMIF(RawData!$C:$C,$A25,RawData!BV:BV)</f>
        <v>0</v>
      </c>
      <c r="BS25">
        <f>SUMIF(RawData!$C:$C,$A25,RawData!BW:BW)</f>
        <v>0</v>
      </c>
      <c r="BT25">
        <f>SUMIF(RawData!$C:$C,$A25,RawData!BX:BX)</f>
        <v>0</v>
      </c>
    </row>
    <row r="26" spans="1:72" ht="15" thickBot="1" x14ac:dyDescent="0.35">
      <c r="A26" s="5" t="s">
        <v>100</v>
      </c>
      <c r="B26">
        <f>SUMIF(RawData!$C:$C,$A26,RawData!F:F)</f>
        <v>0</v>
      </c>
      <c r="C26">
        <f>SUMIF(RawData!$C:$C,$A26,RawData!G:G)</f>
        <v>0</v>
      </c>
      <c r="D26">
        <f>SUMIF(RawData!$C:$C,$A26,RawData!H:H)</f>
        <v>0</v>
      </c>
      <c r="E26">
        <f>SUMIF(RawData!$C:$C,$A26,RawData!I:I)</f>
        <v>0</v>
      </c>
      <c r="F26">
        <f>SUMIF(RawData!$C:$C,$A26,RawData!J:J)</f>
        <v>0</v>
      </c>
      <c r="G26">
        <f>SUMIF(RawData!$C:$C,$A26,RawData!K:K)</f>
        <v>0</v>
      </c>
      <c r="H26">
        <f>SUMIF(RawData!$C:$C,$A26,RawData!L:L)</f>
        <v>0</v>
      </c>
      <c r="I26">
        <f>SUMIF(RawData!$C:$C,$A26,RawData!M:M)</f>
        <v>0</v>
      </c>
      <c r="J26">
        <f>SUMIF(RawData!$C:$C,$A26,RawData!N:N)</f>
        <v>0</v>
      </c>
      <c r="K26">
        <f>SUMIF(RawData!$C:$C,$A26,RawData!O:O)</f>
        <v>0</v>
      </c>
      <c r="L26">
        <f>SUMIF(RawData!$C:$C,$A26,RawData!P:P)</f>
        <v>0</v>
      </c>
      <c r="M26">
        <f>SUMIF(RawData!$C:$C,$A26,RawData!Q:Q)</f>
        <v>0</v>
      </c>
      <c r="N26">
        <f>SUMIF(RawData!$C:$C,$A26,RawData!R:R)</f>
        <v>0</v>
      </c>
      <c r="O26">
        <f>SUMIF(RawData!$C:$C,$A26,RawData!S:S)</f>
        <v>0</v>
      </c>
      <c r="P26">
        <f>SUMIF(RawData!$C:$C,$A26,RawData!T:T)</f>
        <v>0</v>
      </c>
      <c r="Q26">
        <f>SUMIF(RawData!$C:$C,$A26,RawData!U:U)</f>
        <v>0</v>
      </c>
      <c r="R26">
        <f>SUMIF(RawData!$C:$C,$A26,RawData!V:V)</f>
        <v>0</v>
      </c>
      <c r="S26">
        <f>SUMIF(RawData!$C:$C,$A26,RawData!W:W)</f>
        <v>0</v>
      </c>
      <c r="T26">
        <f>SUMIF(RawData!$C:$C,$A26,RawData!X:X)</f>
        <v>0</v>
      </c>
      <c r="U26">
        <f>SUMIF(RawData!$C:$C,$A26,RawData!Y:Y)</f>
        <v>0</v>
      </c>
      <c r="V26">
        <f>SUMIF(RawData!$C:$C,$A26,RawData!Z:Z)</f>
        <v>0</v>
      </c>
      <c r="W26">
        <f>SUMIF(RawData!$C:$C,$A26,RawData!AA:AA)</f>
        <v>0</v>
      </c>
      <c r="X26">
        <f>SUMIF(RawData!$C:$C,$A26,RawData!AB:AB)</f>
        <v>0</v>
      </c>
      <c r="Y26">
        <f>SUMIF(RawData!$C:$C,$A26,RawData!AC:AC)</f>
        <v>0</v>
      </c>
      <c r="Z26">
        <f>SUMIF(RawData!$C:$C,$A26,RawData!AD:AD)</f>
        <v>0</v>
      </c>
      <c r="AA26">
        <f>SUMIF(RawData!$C:$C,$A26,RawData!AE:AE)</f>
        <v>0</v>
      </c>
      <c r="AB26">
        <f>SUMIF(RawData!$C:$C,$A26,RawData!AF:AF)</f>
        <v>0</v>
      </c>
      <c r="AC26">
        <f>SUMIF(RawData!$C:$C,$A26,RawData!AG:AG)</f>
        <v>0</v>
      </c>
      <c r="AD26">
        <f>SUMIF(RawData!$C:$C,$A26,RawData!AH:AH)</f>
        <v>0</v>
      </c>
      <c r="AE26">
        <f>SUMIF(RawData!$C:$C,$A26,RawData!AI:AI)</f>
        <v>0</v>
      </c>
      <c r="AF26">
        <f>SUMIF(RawData!$C:$C,$A26,RawData!AJ:AJ)</f>
        <v>0</v>
      </c>
      <c r="AG26">
        <f>SUMIF(RawData!$C:$C,$A26,RawData!AK:AK)</f>
        <v>0</v>
      </c>
      <c r="AH26">
        <f>SUMIF(RawData!$C:$C,$A26,RawData!AL:AL)</f>
        <v>0</v>
      </c>
      <c r="AI26">
        <f>SUMIF(RawData!$C:$C,$A26,RawData!AM:AM)</f>
        <v>1</v>
      </c>
      <c r="AJ26">
        <f>SUMIF(RawData!$C:$C,$A26,RawData!AN:AN)</f>
        <v>23</v>
      </c>
      <c r="AK26">
        <f>SUMIF(RawData!$C:$C,$A26,RawData!AO:AO)</f>
        <v>33</v>
      </c>
      <c r="AL26">
        <f>SUMIF(RawData!$C:$C,$A26,RawData!AP:AP)</f>
        <v>33</v>
      </c>
      <c r="AM26">
        <f>SUMIF(RawData!$C:$C,$A26,RawData!AQ:AQ)</f>
        <v>36</v>
      </c>
      <c r="AN26">
        <f>SUMIF(RawData!$C:$C,$A26,RawData!AR:AR)</f>
        <v>41</v>
      </c>
      <c r="AO26">
        <f>SUMIF(RawData!$C:$C,$A26,RawData!AS:AS)</f>
        <v>47</v>
      </c>
      <c r="AP26">
        <f>SUMIF(RawData!$C:$C,$A26,RawData!AT:AT)</f>
        <v>49</v>
      </c>
      <c r="AQ26">
        <f>SUMIF(RawData!$C:$C,$A26,RawData!AU:AU)</f>
        <v>49</v>
      </c>
      <c r="AR26">
        <f>SUMIF(RawData!$C:$C,$A26,RawData!AV:AV)</f>
        <v>52</v>
      </c>
      <c r="AS26">
        <f>SUMIF(RawData!$C:$C,$A26,RawData!AW:AW)</f>
        <v>55</v>
      </c>
      <c r="AT26">
        <f>SUMIF(RawData!$C:$C,$A26,RawData!AX:AX)</f>
        <v>60</v>
      </c>
      <c r="AU26">
        <f>SUMIF(RawData!$C:$C,$A26,RawData!AY:AY)</f>
        <v>85</v>
      </c>
      <c r="AV26">
        <f>SUMIF(RawData!$C:$C,$A26,RawData!AZ:AZ)</f>
        <v>85</v>
      </c>
      <c r="AW26">
        <f>SUMIF(RawData!$C:$C,$A26,RawData!BA:BA)</f>
        <v>95</v>
      </c>
      <c r="AX26">
        <f>SUMIF(RawData!$C:$C,$A26,RawData!BB:BB)</f>
        <v>110</v>
      </c>
      <c r="AY26">
        <f>SUMIF(RawData!$C:$C,$A26,RawData!BC:BC)</f>
        <v>195</v>
      </c>
      <c r="AZ26">
        <f>SUMIF(RawData!$C:$C,$A26,RawData!BD:BD)</f>
        <v>195</v>
      </c>
      <c r="BA26">
        <f>SUMIF(RawData!$C:$C,$A26,RawData!BE:BE)</f>
        <v>189</v>
      </c>
      <c r="BB26">
        <f>SUMIF(RawData!$C:$C,$A26,RawData!BF:BF)</f>
        <v>210</v>
      </c>
      <c r="BC26">
        <f>SUMIF(RawData!$C:$C,$A26,RawData!BG:BG)</f>
        <v>214</v>
      </c>
      <c r="BD26">
        <f>SUMIF(RawData!$C:$C,$A26,RawData!BH:BH)</f>
        <v>214</v>
      </c>
      <c r="BE26">
        <f>SUMIF(RawData!$C:$C,$A26,RawData!BI:BI)</f>
        <v>0</v>
      </c>
      <c r="BF26">
        <f>SUMIF(RawData!$C:$C,$A26,RawData!BJ:BJ)</f>
        <v>0</v>
      </c>
      <c r="BG26">
        <f>SUMIF(RawData!$C:$C,$A26,RawData!BK:BK)</f>
        <v>0</v>
      </c>
      <c r="BH26">
        <f>SUMIF(RawData!$C:$C,$A26,RawData!BL:BL)</f>
        <v>0</v>
      </c>
      <c r="BI26">
        <f>SUMIF(RawData!$C:$C,$A26,RawData!BM:BM)</f>
        <v>0</v>
      </c>
      <c r="BJ26">
        <f>SUMIF(RawData!$C:$C,$A26,RawData!BN:BN)</f>
        <v>0</v>
      </c>
      <c r="BK26">
        <f>SUMIF(RawData!$C:$C,$A26,RawData!BO:BO)</f>
        <v>0</v>
      </c>
      <c r="BL26">
        <f>SUMIF(RawData!$C:$C,$A26,RawData!BP:BP)</f>
        <v>0</v>
      </c>
      <c r="BM26">
        <f>SUMIF(RawData!$C:$C,$A26,RawData!BQ:BQ)</f>
        <v>0</v>
      </c>
      <c r="BN26">
        <f>SUMIF(RawData!$C:$C,$A26,RawData!BR:BR)</f>
        <v>0</v>
      </c>
      <c r="BO26">
        <f>SUMIF(RawData!$C:$C,$A26,RawData!BS:BS)</f>
        <v>0</v>
      </c>
      <c r="BP26">
        <f>SUMIF(RawData!$C:$C,$A26,RawData!BT:BT)</f>
        <v>0</v>
      </c>
      <c r="BQ26">
        <f>SUMIF(RawData!$C:$C,$A26,RawData!BU:BU)</f>
        <v>0</v>
      </c>
      <c r="BR26">
        <f>SUMIF(RawData!$C:$C,$A26,RawData!BV:BV)</f>
        <v>0</v>
      </c>
      <c r="BS26">
        <f>SUMIF(RawData!$C:$C,$A26,RawData!BW:BW)</f>
        <v>0</v>
      </c>
      <c r="BT26">
        <f>SUMIF(RawData!$C:$C,$A26,RawData!BX:BX)</f>
        <v>0</v>
      </c>
    </row>
    <row r="27" spans="1:72" ht="15" thickBot="1" x14ac:dyDescent="0.35">
      <c r="A27" s="5" t="s">
        <v>106</v>
      </c>
      <c r="B27">
        <f>SUMIF(RawData!$C:$C,$A27,RawData!F:F)</f>
        <v>0</v>
      </c>
      <c r="C27">
        <f>SUMIF(RawData!$C:$C,$A27,RawData!G:G)</f>
        <v>0</v>
      </c>
      <c r="D27">
        <f>SUMIF(RawData!$C:$C,$A27,RawData!H:H)</f>
        <v>0</v>
      </c>
      <c r="E27">
        <f>SUMIF(RawData!$C:$C,$A27,RawData!I:I)</f>
        <v>0</v>
      </c>
      <c r="F27">
        <f>SUMIF(RawData!$C:$C,$A27,RawData!J:J)</f>
        <v>0</v>
      </c>
      <c r="G27">
        <f>SUMIF(RawData!$C:$C,$A27,RawData!K:K)</f>
        <v>0</v>
      </c>
      <c r="H27">
        <f>SUMIF(RawData!$C:$C,$A27,RawData!L:L)</f>
        <v>0</v>
      </c>
      <c r="I27">
        <f>SUMIF(RawData!$C:$C,$A27,RawData!M:M)</f>
        <v>0</v>
      </c>
      <c r="J27">
        <f>SUMIF(RawData!$C:$C,$A27,RawData!N:N)</f>
        <v>0</v>
      </c>
      <c r="K27">
        <f>SUMIF(RawData!$C:$C,$A27,RawData!O:O)</f>
        <v>0</v>
      </c>
      <c r="L27">
        <f>SUMIF(RawData!$C:$C,$A27,RawData!P:P)</f>
        <v>0</v>
      </c>
      <c r="M27">
        <f>SUMIF(RawData!$C:$C,$A27,RawData!Q:Q)</f>
        <v>0</v>
      </c>
      <c r="N27">
        <f>SUMIF(RawData!$C:$C,$A27,RawData!R:R)</f>
        <v>0</v>
      </c>
      <c r="O27">
        <f>SUMIF(RawData!$C:$C,$A27,RawData!S:S)</f>
        <v>0</v>
      </c>
      <c r="P27">
        <f>SUMIF(RawData!$C:$C,$A27,RawData!T:T)</f>
        <v>0</v>
      </c>
      <c r="Q27">
        <f>SUMIF(RawData!$C:$C,$A27,RawData!U:U)</f>
        <v>0</v>
      </c>
      <c r="R27">
        <f>SUMIF(RawData!$C:$C,$A27,RawData!V:V)</f>
        <v>0</v>
      </c>
      <c r="S27">
        <f>SUMIF(RawData!$C:$C,$A27,RawData!W:W)</f>
        <v>0</v>
      </c>
      <c r="T27">
        <f>SUMIF(RawData!$C:$C,$A27,RawData!X:X)</f>
        <v>0</v>
      </c>
      <c r="U27">
        <f>SUMIF(RawData!$C:$C,$A27,RawData!Y:Y)</f>
        <v>0</v>
      </c>
      <c r="V27">
        <f>SUMIF(RawData!$C:$C,$A27,RawData!Z:Z)</f>
        <v>0</v>
      </c>
      <c r="W27">
        <f>SUMIF(RawData!$C:$C,$A27,RawData!AA:AA)</f>
        <v>0</v>
      </c>
      <c r="X27">
        <f>SUMIF(RawData!$C:$C,$A27,RawData!AB:AB)</f>
        <v>0</v>
      </c>
      <c r="Y27">
        <f>SUMIF(RawData!$C:$C,$A27,RawData!AC:AC)</f>
        <v>0</v>
      </c>
      <c r="Z27">
        <f>SUMIF(RawData!$C:$C,$A27,RawData!AD:AD)</f>
        <v>0</v>
      </c>
      <c r="AA27">
        <f>SUMIF(RawData!$C:$C,$A27,RawData!AE:AE)</f>
        <v>0</v>
      </c>
      <c r="AB27">
        <f>SUMIF(RawData!$C:$C,$A27,RawData!AF:AF)</f>
        <v>0</v>
      </c>
      <c r="AC27">
        <f>SUMIF(RawData!$C:$C,$A27,RawData!AG:AG)</f>
        <v>0</v>
      </c>
      <c r="AD27">
        <f>SUMIF(RawData!$C:$C,$A27,RawData!AH:AH)</f>
        <v>0</v>
      </c>
      <c r="AE27">
        <f>SUMIF(RawData!$C:$C,$A27,RawData!AI:AI)</f>
        <v>0</v>
      </c>
      <c r="AF27">
        <f>SUMIF(RawData!$C:$C,$A27,RawData!AJ:AJ)</f>
        <v>1</v>
      </c>
      <c r="AG27">
        <f>SUMIF(RawData!$C:$C,$A27,RawData!AK:AK)</f>
        <v>1</v>
      </c>
      <c r="AH27">
        <f>SUMIF(RawData!$C:$C,$A27,RawData!AL:AL)</f>
        <v>1</v>
      </c>
      <c r="AI27">
        <f>SUMIF(RawData!$C:$C,$A27,RawData!AM:AM)</f>
        <v>1</v>
      </c>
      <c r="AJ27">
        <f>SUMIF(RawData!$C:$C,$A27,RawData!AN:AN)</f>
        <v>1</v>
      </c>
      <c r="AK27">
        <f>SUMIF(RawData!$C:$C,$A27,RawData!AO:AO)</f>
        <v>2</v>
      </c>
      <c r="AL27">
        <f>SUMIF(RawData!$C:$C,$A27,RawData!AP:AP)</f>
        <v>3</v>
      </c>
      <c r="AM27">
        <f>SUMIF(RawData!$C:$C,$A27,RawData!AQ:AQ)</f>
        <v>4</v>
      </c>
      <c r="AN27">
        <f>SUMIF(RawData!$C:$C,$A27,RawData!AR:AR)</f>
        <v>7</v>
      </c>
      <c r="AO27">
        <f>SUMIF(RawData!$C:$C,$A27,RawData!AS:AS)</f>
        <v>10</v>
      </c>
      <c r="AP27">
        <f>SUMIF(RawData!$C:$C,$A27,RawData!AT:AT)</f>
        <v>10</v>
      </c>
      <c r="AQ27">
        <f>SUMIF(RawData!$C:$C,$A27,RawData!AU:AU)</f>
        <v>12</v>
      </c>
      <c r="AR27">
        <f>SUMIF(RawData!$C:$C,$A27,RawData!AV:AV)</f>
        <v>15</v>
      </c>
      <c r="AS27">
        <f>SUMIF(RawData!$C:$C,$A27,RawData!AW:AW)</f>
        <v>20</v>
      </c>
      <c r="AT27">
        <f>SUMIF(RawData!$C:$C,$A27,RawData!AX:AX)</f>
        <v>37</v>
      </c>
      <c r="AU27">
        <f>SUMIF(RawData!$C:$C,$A27,RawData!AY:AY)</f>
        <v>43</v>
      </c>
      <c r="AV27">
        <f>SUMIF(RawData!$C:$C,$A27,RawData!AZ:AZ)</f>
        <v>61</v>
      </c>
      <c r="AW27">
        <f>SUMIF(RawData!$C:$C,$A27,RawData!BA:BA)</f>
        <v>61</v>
      </c>
      <c r="AX27">
        <f>SUMIF(RawData!$C:$C,$A27,RawData!BB:BB)</f>
        <v>83</v>
      </c>
      <c r="AY27">
        <f>SUMIF(RawData!$C:$C,$A27,RawData!BC:BC)</f>
        <v>109</v>
      </c>
      <c r="AZ27">
        <f>SUMIF(RawData!$C:$C,$A27,RawData!BD:BD)</f>
        <v>131</v>
      </c>
      <c r="BA27">
        <f>SUMIF(RawData!$C:$C,$A27,RawData!BE:BE)</f>
        <v>161</v>
      </c>
      <c r="BB27">
        <f>SUMIF(RawData!$C:$C,$A27,RawData!BF:BF)</f>
        <v>193</v>
      </c>
      <c r="BC27">
        <f>SUMIF(RawData!$C:$C,$A27,RawData!BG:BG)</f>
        <v>251</v>
      </c>
      <c r="BD27">
        <f>SUMIF(RawData!$C:$C,$A27,RawData!BH:BH)</f>
        <v>255</v>
      </c>
      <c r="BE27">
        <f>SUMIF(RawData!$C:$C,$A27,RawData!BI:BI)</f>
        <v>0</v>
      </c>
      <c r="BF27">
        <f>SUMIF(RawData!$C:$C,$A27,RawData!BJ:BJ)</f>
        <v>0</v>
      </c>
      <c r="BG27">
        <f>SUMIF(RawData!$C:$C,$A27,RawData!BK:BK)</f>
        <v>0</v>
      </c>
      <c r="BH27">
        <f>SUMIF(RawData!$C:$C,$A27,RawData!BL:BL)</f>
        <v>0</v>
      </c>
      <c r="BI27">
        <f>SUMIF(RawData!$C:$C,$A27,RawData!BM:BM)</f>
        <v>0</v>
      </c>
      <c r="BJ27">
        <f>SUMIF(RawData!$C:$C,$A27,RawData!BN:BN)</f>
        <v>0</v>
      </c>
      <c r="BK27">
        <f>SUMIF(RawData!$C:$C,$A27,RawData!BO:BO)</f>
        <v>0</v>
      </c>
      <c r="BL27">
        <f>SUMIF(RawData!$C:$C,$A27,RawData!BP:BP)</f>
        <v>0</v>
      </c>
      <c r="BM27">
        <f>SUMIF(RawData!$C:$C,$A27,RawData!BQ:BQ)</f>
        <v>0</v>
      </c>
      <c r="BN27">
        <f>SUMIF(RawData!$C:$C,$A27,RawData!BR:BR)</f>
        <v>0</v>
      </c>
      <c r="BO27">
        <f>SUMIF(RawData!$C:$C,$A27,RawData!BS:BS)</f>
        <v>0</v>
      </c>
      <c r="BP27">
        <f>SUMIF(RawData!$C:$C,$A27,RawData!BT:BT)</f>
        <v>0</v>
      </c>
      <c r="BQ27">
        <f>SUMIF(RawData!$C:$C,$A27,RawData!BU:BU)</f>
        <v>0</v>
      </c>
      <c r="BR27">
        <f>SUMIF(RawData!$C:$C,$A27,RawData!BV:BV)</f>
        <v>0</v>
      </c>
      <c r="BS27">
        <f>SUMIF(RawData!$C:$C,$A27,RawData!BW:BW)</f>
        <v>0</v>
      </c>
      <c r="BT27">
        <f>SUMIF(RawData!$C:$C,$A27,RawData!BX:BX)</f>
        <v>0</v>
      </c>
    </row>
    <row r="28" spans="1:72" ht="15" thickBot="1" x14ac:dyDescent="0.35">
      <c r="A28" s="4" t="s">
        <v>81</v>
      </c>
      <c r="B28">
        <f>SUMIF(RawData!$C:$C,$A28,RawData!F:F)</f>
        <v>0</v>
      </c>
      <c r="C28">
        <f>SUMIF(RawData!$C:$C,$A28,RawData!G:G)</f>
        <v>0</v>
      </c>
      <c r="D28">
        <f>SUMIF(RawData!$C:$C,$A28,RawData!H:H)</f>
        <v>0</v>
      </c>
      <c r="E28">
        <f>SUMIF(RawData!$C:$C,$A28,RawData!I:I)</f>
        <v>0</v>
      </c>
      <c r="F28">
        <f>SUMIF(RawData!$C:$C,$A28,RawData!J:J)</f>
        <v>0</v>
      </c>
      <c r="G28">
        <f>SUMIF(RawData!$C:$C,$A28,RawData!K:K)</f>
        <v>0</v>
      </c>
      <c r="H28">
        <f>SUMIF(RawData!$C:$C,$A28,RawData!L:L)</f>
        <v>0</v>
      </c>
      <c r="I28">
        <f>SUMIF(RawData!$C:$C,$A28,RawData!M:M)</f>
        <v>1</v>
      </c>
      <c r="J28">
        <f>SUMIF(RawData!$C:$C,$A28,RawData!N:N)</f>
        <v>1</v>
      </c>
      <c r="K28">
        <f>SUMIF(RawData!$C:$C,$A28,RawData!O:O)</f>
        <v>1</v>
      </c>
      <c r="L28">
        <f>SUMIF(RawData!$C:$C,$A28,RawData!P:P)</f>
        <v>1</v>
      </c>
      <c r="M28">
        <f>SUMIF(RawData!$C:$C,$A28,RawData!Q:Q)</f>
        <v>1</v>
      </c>
      <c r="N28">
        <f>SUMIF(RawData!$C:$C,$A28,RawData!R:R)</f>
        <v>1</v>
      </c>
      <c r="O28">
        <f>SUMIF(RawData!$C:$C,$A28,RawData!S:S)</f>
        <v>1</v>
      </c>
      <c r="P28">
        <f>SUMIF(RawData!$C:$C,$A28,RawData!T:T)</f>
        <v>1</v>
      </c>
      <c r="Q28">
        <f>SUMIF(RawData!$C:$C,$A28,RawData!U:U)</f>
        <v>1</v>
      </c>
      <c r="R28">
        <f>SUMIF(RawData!$C:$C,$A28,RawData!V:V)</f>
        <v>1</v>
      </c>
      <c r="S28">
        <f>SUMIF(RawData!$C:$C,$A28,RawData!W:W)</f>
        <v>1</v>
      </c>
      <c r="T28">
        <f>SUMIF(RawData!$C:$C,$A28,RawData!X:X)</f>
        <v>1</v>
      </c>
      <c r="U28">
        <f>SUMIF(RawData!$C:$C,$A28,RawData!Y:Y)</f>
        <v>1</v>
      </c>
      <c r="V28">
        <f>SUMIF(RawData!$C:$C,$A28,RawData!Z:Z)</f>
        <v>1</v>
      </c>
      <c r="W28">
        <f>SUMIF(RawData!$C:$C,$A28,RawData!AA:AA)</f>
        <v>1</v>
      </c>
      <c r="X28">
        <f>SUMIF(RawData!$C:$C,$A28,RawData!AB:AB)</f>
        <v>1</v>
      </c>
      <c r="Y28">
        <f>SUMIF(RawData!$C:$C,$A28,RawData!AC:AC)</f>
        <v>1</v>
      </c>
      <c r="Z28">
        <f>SUMIF(RawData!$C:$C,$A28,RawData!AD:AD)</f>
        <v>1</v>
      </c>
      <c r="AA28">
        <f>SUMIF(RawData!$C:$C,$A28,RawData!AE:AE)</f>
        <v>1</v>
      </c>
      <c r="AB28">
        <f>SUMIF(RawData!$C:$C,$A28,RawData!AF:AF)</f>
        <v>1</v>
      </c>
      <c r="AC28">
        <f>SUMIF(RawData!$C:$C,$A28,RawData!AG:AG)</f>
        <v>1</v>
      </c>
      <c r="AD28">
        <f>SUMIF(RawData!$C:$C,$A28,RawData!AH:AH)</f>
        <v>1</v>
      </c>
      <c r="AE28">
        <f>SUMIF(RawData!$C:$C,$A28,RawData!AI:AI)</f>
        <v>1</v>
      </c>
      <c r="AF28">
        <f>SUMIF(RawData!$C:$C,$A28,RawData!AJ:AJ)</f>
        <v>1</v>
      </c>
      <c r="AG28">
        <f>SUMIF(RawData!$C:$C,$A28,RawData!AK:AK)</f>
        <v>1</v>
      </c>
      <c r="AH28">
        <f>SUMIF(RawData!$C:$C,$A28,RawData!AL:AL)</f>
        <v>1</v>
      </c>
      <c r="AI28">
        <f>SUMIF(RawData!$C:$C,$A28,RawData!AM:AM)</f>
        <v>1</v>
      </c>
      <c r="AJ28">
        <f>SUMIF(RawData!$C:$C,$A28,RawData!AN:AN)</f>
        <v>1</v>
      </c>
      <c r="AK28">
        <f>SUMIF(RawData!$C:$C,$A28,RawData!AO:AO)</f>
        <v>2</v>
      </c>
      <c r="AL28">
        <f>SUMIF(RawData!$C:$C,$A28,RawData!AP:AP)</f>
        <v>2</v>
      </c>
      <c r="AM28">
        <f>SUMIF(RawData!$C:$C,$A28,RawData!AQ:AQ)</f>
        <v>2</v>
      </c>
      <c r="AN28">
        <f>SUMIF(RawData!$C:$C,$A28,RawData!AR:AR)</f>
        <v>3</v>
      </c>
      <c r="AO28">
        <f>SUMIF(RawData!$C:$C,$A28,RawData!AS:AS)</f>
        <v>6</v>
      </c>
      <c r="AP28">
        <f>SUMIF(RawData!$C:$C,$A28,RawData!AT:AT)</f>
        <v>6</v>
      </c>
      <c r="AQ28">
        <f>SUMIF(RawData!$C:$C,$A28,RawData!AU:AU)</f>
        <v>6</v>
      </c>
      <c r="AR28">
        <f>SUMIF(RawData!$C:$C,$A28,RawData!AV:AV)</f>
        <v>6</v>
      </c>
      <c r="AS28">
        <f>SUMIF(RawData!$C:$C,$A28,RawData!AW:AW)</f>
        <v>12</v>
      </c>
      <c r="AT28">
        <f>SUMIF(RawData!$C:$C,$A28,RawData!AX:AX)</f>
        <v>15</v>
      </c>
      <c r="AU28">
        <f>SUMIF(RawData!$C:$C,$A28,RawData!AY:AY)</f>
        <v>15</v>
      </c>
      <c r="AV28">
        <f>SUMIF(RawData!$C:$C,$A28,RawData!AZ:AZ)</f>
        <v>23</v>
      </c>
      <c r="AW28">
        <f>SUMIF(RawData!$C:$C,$A28,RawData!BA:BA)</f>
        <v>30</v>
      </c>
      <c r="AX28">
        <f>SUMIF(RawData!$C:$C,$A28,RawData!BB:BB)</f>
        <v>40</v>
      </c>
      <c r="AY28">
        <f>SUMIF(RawData!$C:$C,$A28,RawData!BC:BC)</f>
        <v>59</v>
      </c>
      <c r="AZ28">
        <f>SUMIF(RawData!$C:$C,$A28,RawData!BD:BD)</f>
        <v>59</v>
      </c>
      <c r="BA28">
        <f>SUMIF(RawData!$C:$C,$A28,RawData!BE:BE)</f>
        <v>155</v>
      </c>
      <c r="BB28">
        <f>SUMIF(RawData!$C:$C,$A28,RawData!BF:BF)</f>
        <v>225</v>
      </c>
      <c r="BC28">
        <f>SUMIF(RawData!$C:$C,$A28,RawData!BG:BG)</f>
        <v>244</v>
      </c>
      <c r="BD28">
        <f>SUMIF(RawData!$C:$C,$A28,RawData!BH:BH)</f>
        <v>277</v>
      </c>
      <c r="BE28">
        <f>SUMIF(RawData!$C:$C,$A28,RawData!BI:BI)</f>
        <v>0</v>
      </c>
      <c r="BF28">
        <f>SUMIF(RawData!$C:$C,$A28,RawData!BJ:BJ)</f>
        <v>0</v>
      </c>
      <c r="BG28">
        <f>SUMIF(RawData!$C:$C,$A28,RawData!BK:BK)</f>
        <v>0</v>
      </c>
      <c r="BH28">
        <f>SUMIF(RawData!$C:$C,$A28,RawData!BL:BL)</f>
        <v>0</v>
      </c>
      <c r="BI28">
        <f>SUMIF(RawData!$C:$C,$A28,RawData!BM:BM)</f>
        <v>0</v>
      </c>
      <c r="BJ28">
        <f>SUMIF(RawData!$C:$C,$A28,RawData!BN:BN)</f>
        <v>0</v>
      </c>
      <c r="BK28">
        <f>SUMIF(RawData!$C:$C,$A28,RawData!BO:BO)</f>
        <v>0</v>
      </c>
      <c r="BL28">
        <f>SUMIF(RawData!$C:$C,$A28,RawData!BP:BP)</f>
        <v>0</v>
      </c>
      <c r="BM28">
        <f>SUMIF(RawData!$C:$C,$A28,RawData!BQ:BQ)</f>
        <v>0</v>
      </c>
      <c r="BN28">
        <f>SUMIF(RawData!$C:$C,$A28,RawData!BR:BR)</f>
        <v>0</v>
      </c>
      <c r="BO28">
        <f>SUMIF(RawData!$C:$C,$A28,RawData!BS:BS)</f>
        <v>0</v>
      </c>
      <c r="BP28">
        <f>SUMIF(RawData!$C:$C,$A28,RawData!BT:BT)</f>
        <v>0</v>
      </c>
      <c r="BQ28">
        <f>SUMIF(RawData!$C:$C,$A28,RawData!BU:BU)</f>
        <v>0</v>
      </c>
      <c r="BR28">
        <f>SUMIF(RawData!$C:$C,$A28,RawData!BV:BV)</f>
        <v>0</v>
      </c>
      <c r="BS28">
        <f>SUMIF(RawData!$C:$C,$A28,RawData!BW:BW)</f>
        <v>0</v>
      </c>
      <c r="BT28">
        <f>SUMIF(RawData!$C:$C,$A28,RawData!BX:BX)</f>
        <v>0</v>
      </c>
    </row>
    <row r="29" spans="1:72" ht="15" thickBot="1" x14ac:dyDescent="0.35">
      <c r="A29" s="5" t="s">
        <v>108</v>
      </c>
      <c r="B29">
        <f>SUMIF(RawData!$C:$C,$A29,RawData!F:F)</f>
        <v>0</v>
      </c>
      <c r="C29">
        <f>SUMIF(RawData!$C:$C,$A29,RawData!G:G)</f>
        <v>0</v>
      </c>
      <c r="D29">
        <f>SUMIF(RawData!$C:$C,$A29,RawData!H:H)</f>
        <v>0</v>
      </c>
      <c r="E29">
        <f>SUMIF(RawData!$C:$C,$A29,RawData!I:I)</f>
        <v>0</v>
      </c>
      <c r="F29">
        <f>SUMIF(RawData!$C:$C,$A29,RawData!J:J)</f>
        <v>0</v>
      </c>
      <c r="G29">
        <f>SUMIF(RawData!$C:$C,$A29,RawData!K:K)</f>
        <v>0</v>
      </c>
      <c r="H29">
        <f>SUMIF(RawData!$C:$C,$A29,RawData!L:L)</f>
        <v>0</v>
      </c>
      <c r="I29">
        <f>SUMIF(RawData!$C:$C,$A29,RawData!M:M)</f>
        <v>0</v>
      </c>
      <c r="J29">
        <f>SUMIF(RawData!$C:$C,$A29,RawData!N:N)</f>
        <v>0</v>
      </c>
      <c r="K29">
        <f>SUMIF(RawData!$C:$C,$A29,RawData!O:O)</f>
        <v>0</v>
      </c>
      <c r="L29">
        <f>SUMIF(RawData!$C:$C,$A29,RawData!P:P)</f>
        <v>0</v>
      </c>
      <c r="M29">
        <f>SUMIF(RawData!$C:$C,$A29,RawData!Q:Q)</f>
        <v>0</v>
      </c>
      <c r="N29">
        <f>SUMIF(RawData!$C:$C,$A29,RawData!R:R)</f>
        <v>0</v>
      </c>
      <c r="O29">
        <f>SUMIF(RawData!$C:$C,$A29,RawData!S:S)</f>
        <v>0</v>
      </c>
      <c r="P29">
        <f>SUMIF(RawData!$C:$C,$A29,RawData!T:T)</f>
        <v>0</v>
      </c>
      <c r="Q29">
        <f>SUMIF(RawData!$C:$C,$A29,RawData!U:U)</f>
        <v>0</v>
      </c>
      <c r="R29">
        <f>SUMIF(RawData!$C:$C,$A29,RawData!V:V)</f>
        <v>0</v>
      </c>
      <c r="S29">
        <f>SUMIF(RawData!$C:$C,$A29,RawData!W:W)</f>
        <v>0</v>
      </c>
      <c r="T29">
        <f>SUMIF(RawData!$C:$C,$A29,RawData!X:X)</f>
        <v>0</v>
      </c>
      <c r="U29">
        <f>SUMIF(RawData!$C:$C,$A29,RawData!Y:Y)</f>
        <v>0</v>
      </c>
      <c r="V29">
        <f>SUMIF(RawData!$C:$C,$A29,RawData!Z:Z)</f>
        <v>0</v>
      </c>
      <c r="W29">
        <f>SUMIF(RawData!$C:$C,$A29,RawData!AA:AA)</f>
        <v>0</v>
      </c>
      <c r="X29">
        <f>SUMIF(RawData!$C:$C,$A29,RawData!AB:AB)</f>
        <v>0</v>
      </c>
      <c r="Y29">
        <f>SUMIF(RawData!$C:$C,$A29,RawData!AC:AC)</f>
        <v>0</v>
      </c>
      <c r="Z29">
        <f>SUMIF(RawData!$C:$C,$A29,RawData!AD:AD)</f>
        <v>0</v>
      </c>
      <c r="AA29">
        <f>SUMIF(RawData!$C:$C,$A29,RawData!AE:AE)</f>
        <v>0</v>
      </c>
      <c r="AB29">
        <f>SUMIF(RawData!$C:$C,$A29,RawData!AF:AF)</f>
        <v>0</v>
      </c>
      <c r="AC29">
        <f>SUMIF(RawData!$C:$C,$A29,RawData!AG:AG)</f>
        <v>0</v>
      </c>
      <c r="AD29">
        <f>SUMIF(RawData!$C:$C,$A29,RawData!AH:AH)</f>
        <v>0</v>
      </c>
      <c r="AE29">
        <f>SUMIF(RawData!$C:$C,$A29,RawData!AI:AI)</f>
        <v>0</v>
      </c>
      <c r="AF29">
        <f>SUMIF(RawData!$C:$C,$A29,RawData!AJ:AJ)</f>
        <v>0</v>
      </c>
      <c r="AG29">
        <f>SUMIF(RawData!$C:$C,$A29,RawData!AK:AK)</f>
        <v>0</v>
      </c>
      <c r="AH29">
        <f>SUMIF(RawData!$C:$C,$A29,RawData!AL:AL)</f>
        <v>0</v>
      </c>
      <c r="AI29">
        <f>SUMIF(RawData!$C:$C,$A29,RawData!AM:AM)</f>
        <v>0</v>
      </c>
      <c r="AJ29">
        <f>SUMIF(RawData!$C:$C,$A29,RawData!AN:AN)</f>
        <v>0</v>
      </c>
      <c r="AK29">
        <f>SUMIF(RawData!$C:$C,$A29,RawData!AO:AO)</f>
        <v>1</v>
      </c>
      <c r="AL29">
        <f>SUMIF(RawData!$C:$C,$A29,RawData!AP:AP)</f>
        <v>1</v>
      </c>
      <c r="AM29">
        <f>SUMIF(RawData!$C:$C,$A29,RawData!AQ:AQ)</f>
        <v>1</v>
      </c>
      <c r="AN29">
        <f>SUMIF(RawData!$C:$C,$A29,RawData!AR:AR)</f>
        <v>2</v>
      </c>
      <c r="AO29">
        <f>SUMIF(RawData!$C:$C,$A29,RawData!AS:AS)</f>
        <v>2</v>
      </c>
      <c r="AP29">
        <f>SUMIF(RawData!$C:$C,$A29,RawData!AT:AT)</f>
        <v>2</v>
      </c>
      <c r="AQ29">
        <f>SUMIF(RawData!$C:$C,$A29,RawData!AU:AU)</f>
        <v>2</v>
      </c>
      <c r="AR29">
        <f>SUMIF(RawData!$C:$C,$A29,RawData!AV:AV)</f>
        <v>4</v>
      </c>
      <c r="AS29">
        <f>SUMIF(RawData!$C:$C,$A29,RawData!AW:AW)</f>
        <v>4</v>
      </c>
      <c r="AT29">
        <f>SUMIF(RawData!$C:$C,$A29,RawData!AX:AX)</f>
        <v>13</v>
      </c>
      <c r="AU29">
        <f>SUMIF(RawData!$C:$C,$A29,RawData!AY:AY)</f>
        <v>13</v>
      </c>
      <c r="AV29">
        <f>SUMIF(RawData!$C:$C,$A29,RawData!AZ:AZ)</f>
        <v>20</v>
      </c>
      <c r="AW29">
        <f>SUMIF(RawData!$C:$C,$A29,RawData!BA:BA)</f>
        <v>25</v>
      </c>
      <c r="AX29">
        <f>SUMIF(RawData!$C:$C,$A29,RawData!BB:BB)</f>
        <v>31</v>
      </c>
      <c r="AY29">
        <f>SUMIF(RawData!$C:$C,$A29,RawData!BC:BC)</f>
        <v>38</v>
      </c>
      <c r="AZ29">
        <f>SUMIF(RawData!$C:$C,$A29,RawData!BD:BD)</f>
        <v>52</v>
      </c>
      <c r="BA29">
        <f>SUMIF(RawData!$C:$C,$A29,RawData!BE:BE)</f>
        <v>151</v>
      </c>
      <c r="BB29">
        <f>SUMIF(RawData!$C:$C,$A29,RawData!BF:BF)</f>
        <v>151</v>
      </c>
      <c r="BC29">
        <f>SUMIF(RawData!$C:$C,$A29,RawData!BG:BG)</f>
        <v>162</v>
      </c>
      <c r="BD29">
        <f>SUMIF(RawData!$C:$C,$A29,RawData!BH:BH)</f>
        <v>200</v>
      </c>
      <c r="BE29">
        <f>SUMIF(RawData!$C:$C,$A29,RawData!BI:BI)</f>
        <v>0</v>
      </c>
      <c r="BF29">
        <f>SUMIF(RawData!$C:$C,$A29,RawData!BJ:BJ)</f>
        <v>0</v>
      </c>
      <c r="BG29">
        <f>SUMIF(RawData!$C:$C,$A29,RawData!BK:BK)</f>
        <v>0</v>
      </c>
      <c r="BH29">
        <f>SUMIF(RawData!$C:$C,$A29,RawData!BL:BL)</f>
        <v>0</v>
      </c>
      <c r="BI29">
        <f>SUMIF(RawData!$C:$C,$A29,RawData!BM:BM)</f>
        <v>0</v>
      </c>
      <c r="BJ29">
        <f>SUMIF(RawData!$C:$C,$A29,RawData!BN:BN)</f>
        <v>0</v>
      </c>
      <c r="BK29">
        <f>SUMIF(RawData!$C:$C,$A29,RawData!BO:BO)</f>
        <v>0</v>
      </c>
      <c r="BL29">
        <f>SUMIF(RawData!$C:$C,$A29,RawData!BP:BP)</f>
        <v>0</v>
      </c>
      <c r="BM29">
        <f>SUMIF(RawData!$C:$C,$A29,RawData!BQ:BQ)</f>
        <v>0</v>
      </c>
      <c r="BN29">
        <f>SUMIF(RawData!$C:$C,$A29,RawData!BR:BR)</f>
        <v>0</v>
      </c>
      <c r="BO29">
        <f>SUMIF(RawData!$C:$C,$A29,RawData!BS:BS)</f>
        <v>0</v>
      </c>
      <c r="BP29">
        <f>SUMIF(RawData!$C:$C,$A29,RawData!BT:BT)</f>
        <v>0</v>
      </c>
      <c r="BQ29">
        <f>SUMIF(RawData!$C:$C,$A29,RawData!BU:BU)</f>
        <v>0</v>
      </c>
      <c r="BR29">
        <f>SUMIF(RawData!$C:$C,$A29,RawData!BV:BV)</f>
        <v>0</v>
      </c>
      <c r="BS29">
        <f>SUMIF(RawData!$C:$C,$A29,RawData!BW:BW)</f>
        <v>0</v>
      </c>
      <c r="BT29">
        <f>SUMIF(RawData!$C:$C,$A29,RawData!BX:BX)</f>
        <v>0</v>
      </c>
    </row>
    <row r="30" spans="1:72" ht="15" thickBot="1" x14ac:dyDescent="0.35">
      <c r="A30" s="4" t="s">
        <v>369</v>
      </c>
      <c r="B30">
        <f>SUMIF(RawData!$C:$C,$A30,RawData!F:F)</f>
        <v>0</v>
      </c>
      <c r="C30">
        <f>SUMIF(RawData!$C:$C,$A30,RawData!G:G)</f>
        <v>0</v>
      </c>
      <c r="D30">
        <f>SUMIF(RawData!$C:$C,$A30,RawData!H:H)</f>
        <v>0</v>
      </c>
      <c r="E30">
        <f>SUMIF(RawData!$C:$C,$A30,RawData!I:I)</f>
        <v>0</v>
      </c>
      <c r="F30">
        <f>SUMIF(RawData!$C:$C,$A30,RawData!J:J)</f>
        <v>0</v>
      </c>
      <c r="G30">
        <f>SUMIF(RawData!$C:$C,$A30,RawData!K:K)</f>
        <v>0</v>
      </c>
      <c r="H30">
        <f>SUMIF(RawData!$C:$C,$A30,RawData!L:L)</f>
        <v>0</v>
      </c>
      <c r="I30">
        <f>SUMIF(RawData!$C:$C,$A30,RawData!M:M)</f>
        <v>0</v>
      </c>
      <c r="J30">
        <f>SUMIF(RawData!$C:$C,$A30,RawData!N:N)</f>
        <v>0</v>
      </c>
      <c r="K30">
        <f>SUMIF(RawData!$C:$C,$A30,RawData!O:O)</f>
        <v>0</v>
      </c>
      <c r="L30">
        <f>SUMIF(RawData!$C:$C,$A30,RawData!P:P)</f>
        <v>0</v>
      </c>
      <c r="M30">
        <f>SUMIF(RawData!$C:$C,$A30,RawData!Q:Q)</f>
        <v>0</v>
      </c>
      <c r="N30">
        <f>SUMIF(RawData!$C:$C,$A30,RawData!R:R)</f>
        <v>0</v>
      </c>
      <c r="O30">
        <f>SUMIF(RawData!$C:$C,$A30,RawData!S:S)</f>
        <v>0</v>
      </c>
      <c r="P30">
        <f>SUMIF(RawData!$C:$C,$A30,RawData!T:T)</f>
        <v>0</v>
      </c>
      <c r="Q30">
        <f>SUMIF(RawData!$C:$C,$A30,RawData!U:U)</f>
        <v>0</v>
      </c>
      <c r="R30">
        <f>SUMIF(RawData!$C:$C,$A30,RawData!V:V)</f>
        <v>0</v>
      </c>
      <c r="S30">
        <f>SUMIF(RawData!$C:$C,$A30,RawData!W:W)</f>
        <v>0</v>
      </c>
      <c r="T30">
        <f>SUMIF(RawData!$C:$C,$A30,RawData!X:X)</f>
        <v>0</v>
      </c>
      <c r="U30">
        <f>SUMIF(RawData!$C:$C,$A30,RawData!Y:Y)</f>
        <v>0</v>
      </c>
      <c r="V30">
        <f>SUMIF(RawData!$C:$C,$A30,RawData!Z:Z)</f>
        <v>0</v>
      </c>
      <c r="W30">
        <f>SUMIF(RawData!$C:$C,$A30,RawData!AA:AA)</f>
        <v>0</v>
      </c>
      <c r="X30">
        <f>SUMIF(RawData!$C:$C,$A30,RawData!AB:AB)</f>
        <v>0</v>
      </c>
      <c r="Y30">
        <f>SUMIF(RawData!$C:$C,$A30,RawData!AC:AC)</f>
        <v>0</v>
      </c>
      <c r="Z30">
        <f>SUMIF(RawData!$C:$C,$A30,RawData!AD:AD)</f>
        <v>0</v>
      </c>
      <c r="AA30">
        <f>SUMIF(RawData!$C:$C,$A30,RawData!AE:AE)</f>
        <v>0</v>
      </c>
      <c r="AB30">
        <f>SUMIF(RawData!$C:$C,$A30,RawData!AF:AF)</f>
        <v>0</v>
      </c>
      <c r="AC30">
        <f>SUMIF(RawData!$C:$C,$A30,RawData!AG:AG)</f>
        <v>0</v>
      </c>
      <c r="AD30">
        <f>SUMIF(RawData!$C:$C,$A30,RawData!AH:AH)</f>
        <v>0</v>
      </c>
      <c r="AE30">
        <f>SUMIF(RawData!$C:$C,$A30,RawData!AI:AI)</f>
        <v>0</v>
      </c>
      <c r="AF30">
        <f>SUMIF(RawData!$C:$C,$A30,RawData!AJ:AJ)</f>
        <v>0</v>
      </c>
      <c r="AG30">
        <f>SUMIF(RawData!$C:$C,$A30,RawData!AK:AK)</f>
        <v>0</v>
      </c>
      <c r="AH30">
        <f>SUMIF(RawData!$C:$C,$A30,RawData!AL:AL)</f>
        <v>0</v>
      </c>
      <c r="AI30">
        <f>SUMIF(RawData!$C:$C,$A30,RawData!AM:AM)</f>
        <v>0</v>
      </c>
      <c r="AJ30">
        <f>SUMIF(RawData!$C:$C,$A30,RawData!AN:AN)</f>
        <v>0</v>
      </c>
      <c r="AK30">
        <f>SUMIF(RawData!$C:$C,$A30,RawData!AO:AO)</f>
        <v>0</v>
      </c>
      <c r="AL30">
        <f>SUMIF(RawData!$C:$C,$A30,RawData!AP:AP)</f>
        <v>0</v>
      </c>
      <c r="AM30">
        <f>SUMIF(RawData!$C:$C,$A30,RawData!AQ:AQ)</f>
        <v>0</v>
      </c>
      <c r="AN30">
        <f>SUMIF(RawData!$C:$C,$A30,RawData!AR:AR)</f>
        <v>0</v>
      </c>
      <c r="AO30">
        <f>SUMIF(RawData!$C:$C,$A30,RawData!AS:AS)</f>
        <v>3</v>
      </c>
      <c r="AP30">
        <f>SUMIF(RawData!$C:$C,$A30,RawData!AT:AT)</f>
        <v>3</v>
      </c>
      <c r="AQ30">
        <f>SUMIF(RawData!$C:$C,$A30,RawData!AU:AU)</f>
        <v>5</v>
      </c>
      <c r="AR30">
        <f>SUMIF(RawData!$C:$C,$A30,RawData!AV:AV)</f>
        <v>8</v>
      </c>
      <c r="AS30">
        <f>SUMIF(RawData!$C:$C,$A30,RawData!AW:AW)</f>
        <v>12</v>
      </c>
      <c r="AT30">
        <f>SUMIF(RawData!$C:$C,$A30,RawData!AX:AX)</f>
        <v>18</v>
      </c>
      <c r="AU30">
        <f>SUMIF(RawData!$C:$C,$A30,RawData!AY:AY)</f>
        <v>19</v>
      </c>
      <c r="AV30">
        <f>SUMIF(RawData!$C:$C,$A30,RawData!AZ:AZ)</f>
        <v>31</v>
      </c>
      <c r="AW30">
        <f>SUMIF(RawData!$C:$C,$A30,RawData!BA:BA)</f>
        <v>31</v>
      </c>
      <c r="AX30">
        <f>SUMIF(RawData!$C:$C,$A30,RawData!BB:BB)</f>
        <v>41</v>
      </c>
      <c r="AY30">
        <f>SUMIF(RawData!$C:$C,$A30,RawData!BC:BC)</f>
        <v>91</v>
      </c>
      <c r="AZ30">
        <f>SUMIF(RawData!$C:$C,$A30,RawData!BD:BD)</f>
        <v>94</v>
      </c>
      <c r="BA30">
        <f>SUMIF(RawData!$C:$C,$A30,RawData!BE:BE)</f>
        <v>141</v>
      </c>
      <c r="BB30">
        <f>SUMIF(RawData!$C:$C,$A30,RawData!BF:BF)</f>
        <v>189</v>
      </c>
      <c r="BC30">
        <f>SUMIF(RawData!$C:$C,$A30,RawData!BG:BG)</f>
        <v>253</v>
      </c>
      <c r="BD30">
        <f>SUMIF(RawData!$C:$C,$A30,RawData!BH:BH)</f>
        <v>298</v>
      </c>
      <c r="BE30">
        <f>SUMIF(RawData!$C:$C,$A30,RawData!BI:BI)</f>
        <v>0</v>
      </c>
      <c r="BF30">
        <f>SUMIF(RawData!$C:$C,$A30,RawData!BJ:BJ)</f>
        <v>0</v>
      </c>
      <c r="BG30">
        <f>SUMIF(RawData!$C:$C,$A30,RawData!BK:BK)</f>
        <v>0</v>
      </c>
      <c r="BH30">
        <f>SUMIF(RawData!$C:$C,$A30,RawData!BL:BL)</f>
        <v>0</v>
      </c>
      <c r="BI30">
        <f>SUMIF(RawData!$C:$C,$A30,RawData!BM:BM)</f>
        <v>0</v>
      </c>
      <c r="BJ30">
        <f>SUMIF(RawData!$C:$C,$A30,RawData!BN:BN)</f>
        <v>0</v>
      </c>
      <c r="BK30">
        <f>SUMIF(RawData!$C:$C,$A30,RawData!BO:BO)</f>
        <v>0</v>
      </c>
      <c r="BL30">
        <f>SUMIF(RawData!$C:$C,$A30,RawData!BP:BP)</f>
        <v>0</v>
      </c>
      <c r="BM30">
        <f>SUMIF(RawData!$C:$C,$A30,RawData!BQ:BQ)</f>
        <v>0</v>
      </c>
      <c r="BN30">
        <f>SUMIF(RawData!$C:$C,$A30,RawData!BR:BR)</f>
        <v>0</v>
      </c>
      <c r="BO30">
        <f>SUMIF(RawData!$C:$C,$A30,RawData!BS:BS)</f>
        <v>0</v>
      </c>
      <c r="BP30">
        <f>SUMIF(RawData!$C:$C,$A30,RawData!BT:BT)</f>
        <v>0</v>
      </c>
      <c r="BQ30">
        <f>SUMIF(RawData!$C:$C,$A30,RawData!BU:BU)</f>
        <v>0</v>
      </c>
      <c r="BR30">
        <f>SUMIF(RawData!$C:$C,$A30,RawData!BV:BV)</f>
        <v>0</v>
      </c>
      <c r="BS30">
        <f>SUMIF(RawData!$C:$C,$A30,RawData!BW:BW)</f>
        <v>0</v>
      </c>
      <c r="BT30">
        <f>SUMIF(RawData!$C:$C,$A30,RawData!BX:BX)</f>
        <v>0</v>
      </c>
    </row>
    <row r="31" spans="1:72" ht="15" thickBot="1" x14ac:dyDescent="0.35">
      <c r="A31" s="5" t="s">
        <v>168</v>
      </c>
      <c r="B31">
        <f>SUMIF(RawData!$C:$C,$A31,RawData!F:F)</f>
        <v>0</v>
      </c>
      <c r="C31">
        <f>SUMIF(RawData!$C:$C,$A31,RawData!G:G)</f>
        <v>0</v>
      </c>
      <c r="D31">
        <f>SUMIF(RawData!$C:$C,$A31,RawData!H:H)</f>
        <v>0</v>
      </c>
      <c r="E31">
        <f>SUMIF(RawData!$C:$C,$A31,RawData!I:I)</f>
        <v>0</v>
      </c>
      <c r="F31">
        <f>SUMIF(RawData!$C:$C,$A31,RawData!J:J)</f>
        <v>0</v>
      </c>
      <c r="G31">
        <f>SUMIF(RawData!$C:$C,$A31,RawData!K:K)</f>
        <v>0</v>
      </c>
      <c r="H31">
        <f>SUMIF(RawData!$C:$C,$A31,RawData!L:L)</f>
        <v>0</v>
      </c>
      <c r="I31">
        <f>SUMIF(RawData!$C:$C,$A31,RawData!M:M)</f>
        <v>0</v>
      </c>
      <c r="J31">
        <f>SUMIF(RawData!$C:$C,$A31,RawData!N:N)</f>
        <v>0</v>
      </c>
      <c r="K31">
        <f>SUMIF(RawData!$C:$C,$A31,RawData!O:O)</f>
        <v>0</v>
      </c>
      <c r="L31">
        <f>SUMIF(RawData!$C:$C,$A31,RawData!P:P)</f>
        <v>0</v>
      </c>
      <c r="M31">
        <f>SUMIF(RawData!$C:$C,$A31,RawData!Q:Q)</f>
        <v>0</v>
      </c>
      <c r="N31">
        <f>SUMIF(RawData!$C:$C,$A31,RawData!R:R)</f>
        <v>0</v>
      </c>
      <c r="O31">
        <f>SUMIF(RawData!$C:$C,$A31,RawData!S:S)</f>
        <v>0</v>
      </c>
      <c r="P31">
        <f>SUMIF(RawData!$C:$C,$A31,RawData!T:T)</f>
        <v>0</v>
      </c>
      <c r="Q31">
        <f>SUMIF(RawData!$C:$C,$A31,RawData!U:U)</f>
        <v>0</v>
      </c>
      <c r="R31">
        <f>SUMIF(RawData!$C:$C,$A31,RawData!V:V)</f>
        <v>0</v>
      </c>
      <c r="S31">
        <f>SUMIF(RawData!$C:$C,$A31,RawData!W:W)</f>
        <v>0</v>
      </c>
      <c r="T31">
        <f>SUMIF(RawData!$C:$C,$A31,RawData!X:X)</f>
        <v>0</v>
      </c>
      <c r="U31">
        <f>SUMIF(RawData!$C:$C,$A31,RawData!Y:Y)</f>
        <v>0</v>
      </c>
      <c r="V31">
        <f>SUMIF(RawData!$C:$C,$A31,RawData!Z:Z)</f>
        <v>0</v>
      </c>
      <c r="W31">
        <f>SUMIF(RawData!$C:$C,$A31,RawData!AA:AA)</f>
        <v>0</v>
      </c>
      <c r="X31">
        <f>SUMIF(RawData!$C:$C,$A31,RawData!AB:AB)</f>
        <v>0</v>
      </c>
      <c r="Y31">
        <f>SUMIF(RawData!$C:$C,$A31,RawData!AC:AC)</f>
        <v>0</v>
      </c>
      <c r="Z31">
        <f>SUMIF(RawData!$C:$C,$A31,RawData!AD:AD)</f>
        <v>0</v>
      </c>
      <c r="AA31">
        <f>SUMIF(RawData!$C:$C,$A31,RawData!AE:AE)</f>
        <v>0</v>
      </c>
      <c r="AB31">
        <f>SUMIF(RawData!$C:$C,$A31,RawData!AF:AF)</f>
        <v>0</v>
      </c>
      <c r="AC31">
        <f>SUMIF(RawData!$C:$C,$A31,RawData!AG:AG)</f>
        <v>0</v>
      </c>
      <c r="AD31">
        <f>SUMIF(RawData!$C:$C,$A31,RawData!AH:AH)</f>
        <v>0</v>
      </c>
      <c r="AE31">
        <f>SUMIF(RawData!$C:$C,$A31,RawData!AI:AI)</f>
        <v>0</v>
      </c>
      <c r="AF31">
        <f>SUMIF(RawData!$C:$C,$A31,RawData!AJ:AJ)</f>
        <v>0</v>
      </c>
      <c r="AG31">
        <f>SUMIF(RawData!$C:$C,$A31,RawData!AK:AK)</f>
        <v>0</v>
      </c>
      <c r="AH31">
        <f>SUMIF(RawData!$C:$C,$A31,RawData!AL:AL)</f>
        <v>0</v>
      </c>
      <c r="AI31">
        <f>SUMIF(RawData!$C:$C,$A31,RawData!AM:AM)</f>
        <v>0</v>
      </c>
      <c r="AJ31">
        <f>SUMIF(RawData!$C:$C,$A31,RawData!AN:AN)</f>
        <v>0</v>
      </c>
      <c r="AK31">
        <f>SUMIF(RawData!$C:$C,$A31,RawData!AO:AO)</f>
        <v>0</v>
      </c>
      <c r="AL31">
        <f>SUMIF(RawData!$C:$C,$A31,RawData!AP:AP)</f>
        <v>0</v>
      </c>
      <c r="AM31">
        <f>SUMIF(RawData!$C:$C,$A31,RawData!AQ:AQ)</f>
        <v>0</v>
      </c>
      <c r="AN31">
        <f>SUMIF(RawData!$C:$C,$A31,RawData!AR:AR)</f>
        <v>0</v>
      </c>
      <c r="AO31">
        <f>SUMIF(RawData!$C:$C,$A31,RawData!AS:AS)</f>
        <v>0</v>
      </c>
      <c r="AP31">
        <f>SUMIF(RawData!$C:$C,$A31,RawData!AT:AT)</f>
        <v>0</v>
      </c>
      <c r="AQ31">
        <f>SUMIF(RawData!$C:$C,$A31,RawData!AU:AU)</f>
        <v>0</v>
      </c>
      <c r="AR31">
        <f>SUMIF(RawData!$C:$C,$A31,RawData!AV:AV)</f>
        <v>0</v>
      </c>
      <c r="AS31">
        <f>SUMIF(RawData!$C:$C,$A31,RawData!AW:AW)</f>
        <v>2</v>
      </c>
      <c r="AT31">
        <f>SUMIF(RawData!$C:$C,$A31,RawData!AX:AX)</f>
        <v>7</v>
      </c>
      <c r="AU31">
        <f>SUMIF(RawData!$C:$C,$A31,RawData!AY:AY)</f>
        <v>7</v>
      </c>
      <c r="AV31">
        <f>SUMIF(RawData!$C:$C,$A31,RawData!AZ:AZ)</f>
        <v>16</v>
      </c>
      <c r="AW31">
        <f>SUMIF(RawData!$C:$C,$A31,RawData!BA:BA)</f>
        <v>16</v>
      </c>
      <c r="AX31">
        <f>SUMIF(RawData!$C:$C,$A31,RawData!BB:BB)</f>
        <v>31</v>
      </c>
      <c r="AY31">
        <f>SUMIF(RawData!$C:$C,$A31,RawData!BC:BC)</f>
        <v>57</v>
      </c>
      <c r="AZ31">
        <f>SUMIF(RawData!$C:$C,$A31,RawData!BD:BD)</f>
        <v>89</v>
      </c>
      <c r="BA31">
        <f>SUMIF(RawData!$C:$C,$A31,RawData!BE:BE)</f>
        <v>141</v>
      </c>
      <c r="BB31">
        <f>SUMIF(RawData!$C:$C,$A31,RawData!BF:BF)</f>
        <v>181</v>
      </c>
      <c r="BC31">
        <f>SUMIF(RawData!$C:$C,$A31,RawData!BG:BG)</f>
        <v>219</v>
      </c>
      <c r="BD31">
        <f>SUMIF(RawData!$C:$C,$A31,RawData!BH:BH)</f>
        <v>253</v>
      </c>
      <c r="BE31">
        <f>SUMIF(RawData!$C:$C,$A31,RawData!BI:BI)</f>
        <v>0</v>
      </c>
      <c r="BF31">
        <f>SUMIF(RawData!$C:$C,$A31,RawData!BJ:BJ)</f>
        <v>0</v>
      </c>
      <c r="BG31">
        <f>SUMIF(RawData!$C:$C,$A31,RawData!BK:BK)</f>
        <v>0</v>
      </c>
      <c r="BH31">
        <f>SUMIF(RawData!$C:$C,$A31,RawData!BL:BL)</f>
        <v>0</v>
      </c>
      <c r="BI31">
        <f>SUMIF(RawData!$C:$C,$A31,RawData!BM:BM)</f>
        <v>0</v>
      </c>
      <c r="BJ31">
        <f>SUMIF(RawData!$C:$C,$A31,RawData!BN:BN)</f>
        <v>0</v>
      </c>
      <c r="BK31">
        <f>SUMIF(RawData!$C:$C,$A31,RawData!BO:BO)</f>
        <v>0</v>
      </c>
      <c r="BL31">
        <f>SUMIF(RawData!$C:$C,$A31,RawData!BP:BP)</f>
        <v>0</v>
      </c>
      <c r="BM31">
        <f>SUMIF(RawData!$C:$C,$A31,RawData!BQ:BQ)</f>
        <v>0</v>
      </c>
      <c r="BN31">
        <f>SUMIF(RawData!$C:$C,$A31,RawData!BR:BR)</f>
        <v>0</v>
      </c>
      <c r="BO31">
        <f>SUMIF(RawData!$C:$C,$A31,RawData!BS:BS)</f>
        <v>0</v>
      </c>
      <c r="BP31">
        <f>SUMIF(RawData!$C:$C,$A31,RawData!BT:BT)</f>
        <v>0</v>
      </c>
      <c r="BQ31">
        <f>SUMIF(RawData!$C:$C,$A31,RawData!BU:BU)</f>
        <v>0</v>
      </c>
      <c r="BR31">
        <f>SUMIF(RawData!$C:$C,$A31,RawData!BV:BV)</f>
        <v>0</v>
      </c>
      <c r="BS31">
        <f>SUMIF(RawData!$C:$C,$A31,RawData!BW:BW)</f>
        <v>0</v>
      </c>
      <c r="BT31">
        <f>SUMIF(RawData!$C:$C,$A31,RawData!BX:BX)</f>
        <v>0</v>
      </c>
    </row>
    <row r="32" spans="1:72" ht="15" thickBot="1" x14ac:dyDescent="0.35">
      <c r="A32" s="5" t="s">
        <v>119</v>
      </c>
      <c r="B32">
        <f>SUMIF(RawData!$C:$C,$A32,RawData!F:F)</f>
        <v>0</v>
      </c>
      <c r="C32">
        <f>SUMIF(RawData!$C:$C,$A32,RawData!G:G)</f>
        <v>0</v>
      </c>
      <c r="D32">
        <f>SUMIF(RawData!$C:$C,$A32,RawData!H:H)</f>
        <v>0</v>
      </c>
      <c r="E32">
        <f>SUMIF(RawData!$C:$C,$A32,RawData!I:I)</f>
        <v>0</v>
      </c>
      <c r="F32">
        <f>SUMIF(RawData!$C:$C,$A32,RawData!J:J)</f>
        <v>0</v>
      </c>
      <c r="G32">
        <f>SUMIF(RawData!$C:$C,$A32,RawData!K:K)</f>
        <v>0</v>
      </c>
      <c r="H32">
        <f>SUMIF(RawData!$C:$C,$A32,RawData!L:L)</f>
        <v>0</v>
      </c>
      <c r="I32">
        <f>SUMIF(RawData!$C:$C,$A32,RawData!M:M)</f>
        <v>0</v>
      </c>
      <c r="J32">
        <f>SUMIF(RawData!$C:$C,$A32,RawData!N:N)</f>
        <v>0</v>
      </c>
      <c r="K32">
        <f>SUMIF(RawData!$C:$C,$A32,RawData!O:O)</f>
        <v>0</v>
      </c>
      <c r="L32">
        <f>SUMIF(RawData!$C:$C,$A32,RawData!P:P)</f>
        <v>0</v>
      </c>
      <c r="M32">
        <f>SUMIF(RawData!$C:$C,$A32,RawData!Q:Q)</f>
        <v>0</v>
      </c>
      <c r="N32">
        <f>SUMIF(RawData!$C:$C,$A32,RawData!R:R)</f>
        <v>0</v>
      </c>
      <c r="O32">
        <f>SUMIF(RawData!$C:$C,$A32,RawData!S:S)</f>
        <v>0</v>
      </c>
      <c r="P32">
        <f>SUMIF(RawData!$C:$C,$A32,RawData!T:T)</f>
        <v>0</v>
      </c>
      <c r="Q32">
        <f>SUMIF(RawData!$C:$C,$A32,RawData!U:U)</f>
        <v>0</v>
      </c>
      <c r="R32">
        <f>SUMIF(RawData!$C:$C,$A32,RawData!V:V)</f>
        <v>0</v>
      </c>
      <c r="S32">
        <f>SUMIF(RawData!$C:$C,$A32,RawData!W:W)</f>
        <v>0</v>
      </c>
      <c r="T32">
        <f>SUMIF(RawData!$C:$C,$A32,RawData!X:X)</f>
        <v>0</v>
      </c>
      <c r="U32">
        <f>SUMIF(RawData!$C:$C,$A32,RawData!Y:Y)</f>
        <v>0</v>
      </c>
      <c r="V32">
        <f>SUMIF(RawData!$C:$C,$A32,RawData!Z:Z)</f>
        <v>0</v>
      </c>
      <c r="W32">
        <f>SUMIF(RawData!$C:$C,$A32,RawData!AA:AA)</f>
        <v>0</v>
      </c>
      <c r="X32">
        <f>SUMIF(RawData!$C:$C,$A32,RawData!AB:AB)</f>
        <v>0</v>
      </c>
      <c r="Y32">
        <f>SUMIF(RawData!$C:$C,$A32,RawData!AC:AC)</f>
        <v>0</v>
      </c>
      <c r="Z32">
        <f>SUMIF(RawData!$C:$C,$A32,RawData!AD:AD)</f>
        <v>0</v>
      </c>
      <c r="AA32">
        <f>SUMIF(RawData!$C:$C,$A32,RawData!AE:AE)</f>
        <v>0</v>
      </c>
      <c r="AB32">
        <f>SUMIF(RawData!$C:$C,$A32,RawData!AF:AF)</f>
        <v>0</v>
      </c>
      <c r="AC32">
        <f>SUMIF(RawData!$C:$C,$A32,RawData!AG:AG)</f>
        <v>0</v>
      </c>
      <c r="AD32">
        <f>SUMIF(RawData!$C:$C,$A32,RawData!AH:AH)</f>
        <v>0</v>
      </c>
      <c r="AE32">
        <f>SUMIF(RawData!$C:$C,$A32,RawData!AI:AI)</f>
        <v>0</v>
      </c>
      <c r="AF32">
        <f>SUMIF(RawData!$C:$C,$A32,RawData!AJ:AJ)</f>
        <v>0</v>
      </c>
      <c r="AG32">
        <f>SUMIF(RawData!$C:$C,$A32,RawData!AK:AK)</f>
        <v>0</v>
      </c>
      <c r="AH32">
        <f>SUMIF(RawData!$C:$C,$A32,RawData!AL:AL)</f>
        <v>0</v>
      </c>
      <c r="AI32">
        <f>SUMIF(RawData!$C:$C,$A32,RawData!AM:AM)</f>
        <v>0</v>
      </c>
      <c r="AJ32">
        <f>SUMIF(RawData!$C:$C,$A32,RawData!AN:AN)</f>
        <v>0</v>
      </c>
      <c r="AK32">
        <f>SUMIF(RawData!$C:$C,$A32,RawData!AO:AO)</f>
        <v>0</v>
      </c>
      <c r="AL32">
        <f>SUMIF(RawData!$C:$C,$A32,RawData!AP:AP)</f>
        <v>0</v>
      </c>
      <c r="AM32">
        <f>SUMIF(RawData!$C:$C,$A32,RawData!AQ:AQ)</f>
        <v>1</v>
      </c>
      <c r="AN32">
        <f>SUMIF(RawData!$C:$C,$A32,RawData!AR:AR)</f>
        <v>1</v>
      </c>
      <c r="AO32">
        <f>SUMIF(RawData!$C:$C,$A32,RawData!AS:AS)</f>
        <v>3</v>
      </c>
      <c r="AP32">
        <f>SUMIF(RawData!$C:$C,$A32,RawData!AT:AT)</f>
        <v>6</v>
      </c>
      <c r="AQ32">
        <f>SUMIF(RawData!$C:$C,$A32,RawData!AU:AU)</f>
        <v>11</v>
      </c>
      <c r="AR32">
        <f>SUMIF(RawData!$C:$C,$A32,RawData!AV:AV)</f>
        <v>26</v>
      </c>
      <c r="AS32">
        <f>SUMIF(RawData!$C:$C,$A32,RawData!AW:AW)</f>
        <v>34</v>
      </c>
      <c r="AT32">
        <f>SUMIF(RawData!$C:$C,$A32,RawData!AX:AX)</f>
        <v>43</v>
      </c>
      <c r="AU32">
        <f>SUMIF(RawData!$C:$C,$A32,RawData!AY:AY)</f>
        <v>50</v>
      </c>
      <c r="AV32">
        <f>SUMIF(RawData!$C:$C,$A32,RawData!AZ:AZ)</f>
        <v>50</v>
      </c>
      <c r="AW32">
        <f>SUMIF(RawData!$C:$C,$A32,RawData!BA:BA)</f>
        <v>58</v>
      </c>
      <c r="AX32">
        <f>SUMIF(RawData!$C:$C,$A32,RawData!BB:BB)</f>
        <v>69</v>
      </c>
      <c r="AY32">
        <f>SUMIF(RawData!$C:$C,$A32,RawData!BC:BC)</f>
        <v>85</v>
      </c>
      <c r="AZ32">
        <f>SUMIF(RawData!$C:$C,$A32,RawData!BD:BD)</f>
        <v>103</v>
      </c>
      <c r="BA32">
        <f>SUMIF(RawData!$C:$C,$A32,RawData!BE:BE)</f>
        <v>134</v>
      </c>
      <c r="BB32">
        <f>SUMIF(RawData!$C:$C,$A32,RawData!BF:BF)</f>
        <v>156</v>
      </c>
      <c r="BC32">
        <f>SUMIF(RawData!$C:$C,$A32,RawData!BG:BG)</f>
        <v>171</v>
      </c>
      <c r="BD32">
        <f>SUMIF(RawData!$C:$C,$A32,RawData!BH:BH)</f>
        <v>180</v>
      </c>
      <c r="BE32">
        <f>SUMIF(RawData!$C:$C,$A32,RawData!BI:BI)</f>
        <v>0</v>
      </c>
      <c r="BF32">
        <f>SUMIF(RawData!$C:$C,$A32,RawData!BJ:BJ)</f>
        <v>0</v>
      </c>
      <c r="BG32">
        <f>SUMIF(RawData!$C:$C,$A32,RawData!BK:BK)</f>
        <v>0</v>
      </c>
      <c r="BH32">
        <f>SUMIF(RawData!$C:$C,$A32,RawData!BL:BL)</f>
        <v>0</v>
      </c>
      <c r="BI32">
        <f>SUMIF(RawData!$C:$C,$A32,RawData!BM:BM)</f>
        <v>0</v>
      </c>
      <c r="BJ32">
        <f>SUMIF(RawData!$C:$C,$A32,RawData!BN:BN)</f>
        <v>0</v>
      </c>
      <c r="BK32">
        <f>SUMIF(RawData!$C:$C,$A32,RawData!BO:BO)</f>
        <v>0</v>
      </c>
      <c r="BL32">
        <f>SUMIF(RawData!$C:$C,$A32,RawData!BP:BP)</f>
        <v>0</v>
      </c>
      <c r="BM32">
        <f>SUMIF(RawData!$C:$C,$A32,RawData!BQ:BQ)</f>
        <v>0</v>
      </c>
      <c r="BN32">
        <f>SUMIF(RawData!$C:$C,$A32,RawData!BR:BR)</f>
        <v>0</v>
      </c>
      <c r="BO32">
        <f>SUMIF(RawData!$C:$C,$A32,RawData!BS:BS)</f>
        <v>0</v>
      </c>
      <c r="BP32">
        <f>SUMIF(RawData!$C:$C,$A32,RawData!BT:BT)</f>
        <v>0</v>
      </c>
      <c r="BQ32">
        <f>SUMIF(RawData!$C:$C,$A32,RawData!BU:BU)</f>
        <v>0</v>
      </c>
      <c r="BR32">
        <f>SUMIF(RawData!$C:$C,$A32,RawData!BV:BV)</f>
        <v>0</v>
      </c>
      <c r="BS32">
        <f>SUMIF(RawData!$C:$C,$A32,RawData!BW:BW)</f>
        <v>0</v>
      </c>
      <c r="BT32">
        <f>SUMIF(RawData!$C:$C,$A32,RawData!BX:BX)</f>
        <v>0</v>
      </c>
    </row>
    <row r="33" spans="1:72" ht="15" thickBot="1" x14ac:dyDescent="0.35">
      <c r="A33" s="4" t="s">
        <v>135</v>
      </c>
      <c r="B33">
        <f>SUMIF(RawData!$C:$C,$A33,RawData!F:F)</f>
        <v>0</v>
      </c>
      <c r="C33">
        <f>SUMIF(RawData!$C:$C,$A33,RawData!G:G)</f>
        <v>0</v>
      </c>
      <c r="D33">
        <f>SUMIF(RawData!$C:$C,$A33,RawData!H:H)</f>
        <v>0</v>
      </c>
      <c r="E33">
        <f>SUMIF(RawData!$C:$C,$A33,RawData!I:I)</f>
        <v>0</v>
      </c>
      <c r="F33">
        <f>SUMIF(RawData!$C:$C,$A33,RawData!J:J)</f>
        <v>0</v>
      </c>
      <c r="G33">
        <f>SUMIF(RawData!$C:$C,$A33,RawData!K:K)</f>
        <v>0</v>
      </c>
      <c r="H33">
        <f>SUMIF(RawData!$C:$C,$A33,RawData!L:L)</f>
        <v>0</v>
      </c>
      <c r="I33">
        <f>SUMIF(RawData!$C:$C,$A33,RawData!M:M)</f>
        <v>0</v>
      </c>
      <c r="J33">
        <f>SUMIF(RawData!$C:$C,$A33,RawData!N:N)</f>
        <v>0</v>
      </c>
      <c r="K33">
        <f>SUMIF(RawData!$C:$C,$A33,RawData!O:O)</f>
        <v>0</v>
      </c>
      <c r="L33">
        <f>SUMIF(RawData!$C:$C,$A33,RawData!P:P)</f>
        <v>0</v>
      </c>
      <c r="M33">
        <f>SUMIF(RawData!$C:$C,$A33,RawData!Q:Q)</f>
        <v>0</v>
      </c>
      <c r="N33">
        <f>SUMIF(RawData!$C:$C,$A33,RawData!R:R)</f>
        <v>0</v>
      </c>
      <c r="O33">
        <f>SUMIF(RawData!$C:$C,$A33,RawData!S:S)</f>
        <v>0</v>
      </c>
      <c r="P33">
        <f>SUMIF(RawData!$C:$C,$A33,RawData!T:T)</f>
        <v>0</v>
      </c>
      <c r="Q33">
        <f>SUMIF(RawData!$C:$C,$A33,RawData!U:U)</f>
        <v>0</v>
      </c>
      <c r="R33">
        <f>SUMIF(RawData!$C:$C,$A33,RawData!V:V)</f>
        <v>0</v>
      </c>
      <c r="S33">
        <f>SUMIF(RawData!$C:$C,$A33,RawData!W:W)</f>
        <v>0</v>
      </c>
      <c r="T33">
        <f>SUMIF(RawData!$C:$C,$A33,RawData!X:X)</f>
        <v>0</v>
      </c>
      <c r="U33">
        <f>SUMIF(RawData!$C:$C,$A33,RawData!Y:Y)</f>
        <v>0</v>
      </c>
      <c r="V33">
        <f>SUMIF(RawData!$C:$C,$A33,RawData!Z:Z)</f>
        <v>0</v>
      </c>
      <c r="W33">
        <f>SUMIF(RawData!$C:$C,$A33,RawData!AA:AA)</f>
        <v>0</v>
      </c>
      <c r="X33">
        <f>SUMIF(RawData!$C:$C,$A33,RawData!AB:AB)</f>
        <v>0</v>
      </c>
      <c r="Y33">
        <f>SUMIF(RawData!$C:$C,$A33,RawData!AC:AC)</f>
        <v>0</v>
      </c>
      <c r="Z33">
        <f>SUMIF(RawData!$C:$C,$A33,RawData!AD:AD)</f>
        <v>0</v>
      </c>
      <c r="AA33">
        <f>SUMIF(RawData!$C:$C,$A33,RawData!AE:AE)</f>
        <v>0</v>
      </c>
      <c r="AB33">
        <f>SUMIF(RawData!$C:$C,$A33,RawData!AF:AF)</f>
        <v>0</v>
      </c>
      <c r="AC33">
        <f>SUMIF(RawData!$C:$C,$A33,RawData!AG:AG)</f>
        <v>0</v>
      </c>
      <c r="AD33">
        <f>SUMIF(RawData!$C:$C,$A33,RawData!AH:AH)</f>
        <v>0</v>
      </c>
      <c r="AE33">
        <f>SUMIF(RawData!$C:$C,$A33,RawData!AI:AI)</f>
        <v>0</v>
      </c>
      <c r="AF33">
        <f>SUMIF(RawData!$C:$C,$A33,RawData!AJ:AJ)</f>
        <v>0</v>
      </c>
      <c r="AG33">
        <f>SUMIF(RawData!$C:$C,$A33,RawData!AK:AK)</f>
        <v>0</v>
      </c>
      <c r="AH33">
        <f>SUMIF(RawData!$C:$C,$A33,RawData!AL:AL)</f>
        <v>0</v>
      </c>
      <c r="AI33">
        <f>SUMIF(RawData!$C:$C,$A33,RawData!AM:AM)</f>
        <v>0</v>
      </c>
      <c r="AJ33">
        <f>SUMIF(RawData!$C:$C,$A33,RawData!AN:AN)</f>
        <v>0</v>
      </c>
      <c r="AK33">
        <f>SUMIF(RawData!$C:$C,$A33,RawData!AO:AO)</f>
        <v>0</v>
      </c>
      <c r="AL33">
        <f>SUMIF(RawData!$C:$C,$A33,RawData!AP:AP)</f>
        <v>0</v>
      </c>
      <c r="AM33">
        <f>SUMIF(RawData!$C:$C,$A33,RawData!AQ:AQ)</f>
        <v>0</v>
      </c>
      <c r="AN33">
        <f>SUMIF(RawData!$C:$C,$A33,RawData!AR:AR)</f>
        <v>0</v>
      </c>
      <c r="AO33">
        <f>SUMIF(RawData!$C:$C,$A33,RawData!AS:AS)</f>
        <v>0</v>
      </c>
      <c r="AP33">
        <f>SUMIF(RawData!$C:$C,$A33,RawData!AT:AT)</f>
        <v>2</v>
      </c>
      <c r="AQ33">
        <f>SUMIF(RawData!$C:$C,$A33,RawData!AU:AU)</f>
        <v>2</v>
      </c>
      <c r="AR33">
        <f>SUMIF(RawData!$C:$C,$A33,RawData!AV:AV)</f>
        <v>5</v>
      </c>
      <c r="AS33">
        <f>SUMIF(RawData!$C:$C,$A33,RawData!AW:AW)</f>
        <v>8</v>
      </c>
      <c r="AT33">
        <f>SUMIF(RawData!$C:$C,$A33,RawData!AX:AX)</f>
        <v>13</v>
      </c>
      <c r="AU33">
        <f>SUMIF(RawData!$C:$C,$A33,RawData!AY:AY)</f>
        <v>20</v>
      </c>
      <c r="AV33">
        <f>SUMIF(RawData!$C:$C,$A33,RawData!AZ:AZ)</f>
        <v>30</v>
      </c>
      <c r="AW33">
        <f>SUMIF(RawData!$C:$C,$A33,RawData!BA:BA)</f>
        <v>30</v>
      </c>
      <c r="AX33">
        <f>SUMIF(RawData!$C:$C,$A33,RawData!BB:BB)</f>
        <v>41</v>
      </c>
      <c r="AY33">
        <f>SUMIF(RawData!$C:$C,$A33,RawData!BC:BC)</f>
        <v>59</v>
      </c>
      <c r="AZ33">
        <f>SUMIF(RawData!$C:$C,$A33,RawData!BD:BD)</f>
        <v>59</v>
      </c>
      <c r="BA33">
        <f>SUMIF(RawData!$C:$C,$A33,RawData!BE:BE)</f>
        <v>112</v>
      </c>
      <c r="BB33">
        <f>SUMIF(RawData!$C:$C,$A33,RawData!BF:BF)</f>
        <v>169</v>
      </c>
      <c r="BC33">
        <f>SUMIF(RawData!$C:$C,$A33,RawData!BG:BG)</f>
        <v>245</v>
      </c>
      <c r="BD33">
        <f>SUMIF(RawData!$C:$C,$A33,RawData!BH:BH)</f>
        <v>331</v>
      </c>
      <c r="BE33">
        <f>SUMIF(RawData!$C:$C,$A33,RawData!BI:BI)</f>
        <v>0</v>
      </c>
      <c r="BF33">
        <f>SUMIF(RawData!$C:$C,$A33,RawData!BJ:BJ)</f>
        <v>0</v>
      </c>
      <c r="BG33">
        <f>SUMIF(RawData!$C:$C,$A33,RawData!BK:BK)</f>
        <v>0</v>
      </c>
      <c r="BH33">
        <f>SUMIF(RawData!$C:$C,$A33,RawData!BL:BL)</f>
        <v>0</v>
      </c>
      <c r="BI33">
        <f>SUMIF(RawData!$C:$C,$A33,RawData!BM:BM)</f>
        <v>0</v>
      </c>
      <c r="BJ33">
        <f>SUMIF(RawData!$C:$C,$A33,RawData!BN:BN)</f>
        <v>0</v>
      </c>
      <c r="BK33">
        <f>SUMIF(RawData!$C:$C,$A33,RawData!BO:BO)</f>
        <v>0</v>
      </c>
      <c r="BL33">
        <f>SUMIF(RawData!$C:$C,$A33,RawData!BP:BP)</f>
        <v>0</v>
      </c>
      <c r="BM33">
        <f>SUMIF(RawData!$C:$C,$A33,RawData!BQ:BQ)</f>
        <v>0</v>
      </c>
      <c r="BN33">
        <f>SUMIF(RawData!$C:$C,$A33,RawData!BR:BR)</f>
        <v>0</v>
      </c>
      <c r="BO33">
        <f>SUMIF(RawData!$C:$C,$A33,RawData!BS:BS)</f>
        <v>0</v>
      </c>
      <c r="BP33">
        <f>SUMIF(RawData!$C:$C,$A33,RawData!BT:BT)</f>
        <v>0</v>
      </c>
      <c r="BQ33">
        <f>SUMIF(RawData!$C:$C,$A33,RawData!BU:BU)</f>
        <v>0</v>
      </c>
      <c r="BR33">
        <f>SUMIF(RawData!$C:$C,$A33,RawData!BV:BV)</f>
        <v>0</v>
      </c>
      <c r="BS33">
        <f>SUMIF(RawData!$C:$C,$A33,RawData!BW:BW)</f>
        <v>0</v>
      </c>
      <c r="BT33">
        <f>SUMIF(RawData!$C:$C,$A33,RawData!BX:BX)</f>
        <v>0</v>
      </c>
    </row>
    <row r="34" spans="1:72" ht="15" thickBot="1" x14ac:dyDescent="0.35">
      <c r="A34" s="4" t="s">
        <v>97</v>
      </c>
      <c r="B34">
        <f>SUMIF(RawData!$C:$C,$A34,RawData!F:F)</f>
        <v>0</v>
      </c>
      <c r="C34">
        <f>SUMIF(RawData!$C:$C,$A34,RawData!G:G)</f>
        <v>0</v>
      </c>
      <c r="D34">
        <f>SUMIF(RawData!$C:$C,$A34,RawData!H:H)</f>
        <v>0</v>
      </c>
      <c r="E34">
        <f>SUMIF(RawData!$C:$C,$A34,RawData!I:I)</f>
        <v>0</v>
      </c>
      <c r="F34">
        <f>SUMIF(RawData!$C:$C,$A34,RawData!J:J)</f>
        <v>0</v>
      </c>
      <c r="G34">
        <f>SUMIF(RawData!$C:$C,$A34,RawData!K:K)</f>
        <v>0</v>
      </c>
      <c r="H34">
        <f>SUMIF(RawData!$C:$C,$A34,RawData!L:L)</f>
        <v>0</v>
      </c>
      <c r="I34">
        <f>SUMIF(RawData!$C:$C,$A34,RawData!M:M)</f>
        <v>0</v>
      </c>
      <c r="J34">
        <f>SUMIF(RawData!$C:$C,$A34,RawData!N:N)</f>
        <v>0</v>
      </c>
      <c r="K34">
        <f>SUMIF(RawData!$C:$C,$A34,RawData!O:O)</f>
        <v>0</v>
      </c>
      <c r="L34">
        <f>SUMIF(RawData!$C:$C,$A34,RawData!P:P)</f>
        <v>0</v>
      </c>
      <c r="M34">
        <f>SUMIF(RawData!$C:$C,$A34,RawData!Q:Q)</f>
        <v>0</v>
      </c>
      <c r="N34">
        <f>SUMIF(RawData!$C:$C,$A34,RawData!R:R)</f>
        <v>0</v>
      </c>
      <c r="O34">
        <f>SUMIF(RawData!$C:$C,$A34,RawData!S:S)</f>
        <v>0</v>
      </c>
      <c r="P34">
        <f>SUMIF(RawData!$C:$C,$A34,RawData!T:T)</f>
        <v>0</v>
      </c>
      <c r="Q34">
        <f>SUMIF(RawData!$C:$C,$A34,RawData!U:U)</f>
        <v>0</v>
      </c>
      <c r="R34">
        <f>SUMIF(RawData!$C:$C,$A34,RawData!V:V)</f>
        <v>0</v>
      </c>
      <c r="S34">
        <f>SUMIF(RawData!$C:$C,$A34,RawData!W:W)</f>
        <v>0</v>
      </c>
      <c r="T34">
        <f>SUMIF(RawData!$C:$C,$A34,RawData!X:X)</f>
        <v>0</v>
      </c>
      <c r="U34">
        <f>SUMIF(RawData!$C:$C,$A34,RawData!Y:Y)</f>
        <v>0</v>
      </c>
      <c r="V34">
        <f>SUMIF(RawData!$C:$C,$A34,RawData!Z:Z)</f>
        <v>0</v>
      </c>
      <c r="W34">
        <f>SUMIF(RawData!$C:$C,$A34,RawData!AA:AA)</f>
        <v>0</v>
      </c>
      <c r="X34">
        <f>SUMIF(RawData!$C:$C,$A34,RawData!AB:AB)</f>
        <v>0</v>
      </c>
      <c r="Y34">
        <f>SUMIF(RawData!$C:$C,$A34,RawData!AC:AC)</f>
        <v>0</v>
      </c>
      <c r="Z34">
        <f>SUMIF(RawData!$C:$C,$A34,RawData!AD:AD)</f>
        <v>0</v>
      </c>
      <c r="AA34">
        <f>SUMIF(RawData!$C:$C,$A34,RawData!AE:AE)</f>
        <v>0</v>
      </c>
      <c r="AB34">
        <f>SUMIF(RawData!$C:$C,$A34,RawData!AF:AF)</f>
        <v>0</v>
      </c>
      <c r="AC34">
        <f>SUMIF(RawData!$C:$C,$A34,RawData!AG:AG)</f>
        <v>0</v>
      </c>
      <c r="AD34">
        <f>SUMIF(RawData!$C:$C,$A34,RawData!AH:AH)</f>
        <v>0</v>
      </c>
      <c r="AE34">
        <f>SUMIF(RawData!$C:$C,$A34,RawData!AI:AI)</f>
        <v>0</v>
      </c>
      <c r="AF34">
        <f>SUMIF(RawData!$C:$C,$A34,RawData!AJ:AJ)</f>
        <v>0</v>
      </c>
      <c r="AG34">
        <f>SUMIF(RawData!$C:$C,$A34,RawData!AK:AK)</f>
        <v>0</v>
      </c>
      <c r="AH34">
        <f>SUMIF(RawData!$C:$C,$A34,RawData!AL:AL)</f>
        <v>0</v>
      </c>
      <c r="AI34">
        <f>SUMIF(RawData!$C:$C,$A34,RawData!AM:AM)</f>
        <v>1</v>
      </c>
      <c r="AJ34">
        <f>SUMIF(RawData!$C:$C,$A34,RawData!AN:AN)</f>
        <v>1</v>
      </c>
      <c r="AK34">
        <f>SUMIF(RawData!$C:$C,$A34,RawData!AO:AO)</f>
        <v>5</v>
      </c>
      <c r="AL34">
        <f>SUMIF(RawData!$C:$C,$A34,RawData!AP:AP)</f>
        <v>7</v>
      </c>
      <c r="AM34">
        <f>SUMIF(RawData!$C:$C,$A34,RawData!AQ:AQ)</f>
        <v>7</v>
      </c>
      <c r="AN34">
        <f>SUMIF(RawData!$C:$C,$A34,RawData!AR:AR)</f>
        <v>13</v>
      </c>
      <c r="AO34">
        <f>SUMIF(RawData!$C:$C,$A34,RawData!AS:AS)</f>
        <v>19</v>
      </c>
      <c r="AP34">
        <f>SUMIF(RawData!$C:$C,$A34,RawData!AT:AT)</f>
        <v>26</v>
      </c>
      <c r="AQ34">
        <f>SUMIF(RawData!$C:$C,$A34,RawData!AU:AU)</f>
        <v>32</v>
      </c>
      <c r="AR34">
        <f>SUMIF(RawData!$C:$C,$A34,RawData!AV:AV)</f>
        <v>35</v>
      </c>
      <c r="AS34">
        <f>SUMIF(RawData!$C:$C,$A34,RawData!AW:AW)</f>
        <v>35</v>
      </c>
      <c r="AT34">
        <f>SUMIF(RawData!$C:$C,$A34,RawData!AX:AX)</f>
        <v>40</v>
      </c>
      <c r="AU34">
        <f>SUMIF(RawData!$C:$C,$A34,RawData!AY:AY)</f>
        <v>54</v>
      </c>
      <c r="AV34">
        <f>SUMIF(RawData!$C:$C,$A34,RawData!AZ:AZ)</f>
        <v>60</v>
      </c>
      <c r="AW34">
        <f>SUMIF(RawData!$C:$C,$A34,RawData!BA:BA)</f>
        <v>60</v>
      </c>
      <c r="AX34">
        <f>SUMIF(RawData!$C:$C,$A34,RawData!BB:BB)</f>
        <v>71</v>
      </c>
      <c r="AY34">
        <f>SUMIF(RawData!$C:$C,$A34,RawData!BC:BC)</f>
        <v>71</v>
      </c>
      <c r="AZ34">
        <f>SUMIF(RawData!$C:$C,$A34,RawData!BD:BD)</f>
        <v>71</v>
      </c>
      <c r="BA34">
        <f>SUMIF(RawData!$C:$C,$A34,RawData!BE:BE)</f>
        <v>101</v>
      </c>
      <c r="BB34">
        <f>SUMIF(RawData!$C:$C,$A34,RawData!BF:BF)</f>
        <v>110</v>
      </c>
      <c r="BC34">
        <f>SUMIF(RawData!$C:$C,$A34,RawData!BG:BG)</f>
        <v>116</v>
      </c>
      <c r="BD34">
        <f>SUMIF(RawData!$C:$C,$A34,RawData!BH:BH)</f>
        <v>124</v>
      </c>
      <c r="BE34">
        <f>SUMIF(RawData!$C:$C,$A34,RawData!BI:BI)</f>
        <v>0</v>
      </c>
      <c r="BF34">
        <f>SUMIF(RawData!$C:$C,$A34,RawData!BJ:BJ)</f>
        <v>0</v>
      </c>
      <c r="BG34">
        <f>SUMIF(RawData!$C:$C,$A34,RawData!BK:BK)</f>
        <v>0</v>
      </c>
      <c r="BH34">
        <f>SUMIF(RawData!$C:$C,$A34,RawData!BL:BL)</f>
        <v>0</v>
      </c>
      <c r="BI34">
        <f>SUMIF(RawData!$C:$C,$A34,RawData!BM:BM)</f>
        <v>0</v>
      </c>
      <c r="BJ34">
        <f>SUMIF(RawData!$C:$C,$A34,RawData!BN:BN)</f>
        <v>0</v>
      </c>
      <c r="BK34">
        <f>SUMIF(RawData!$C:$C,$A34,RawData!BO:BO)</f>
        <v>0</v>
      </c>
      <c r="BL34">
        <f>SUMIF(RawData!$C:$C,$A34,RawData!BP:BP)</f>
        <v>0</v>
      </c>
      <c r="BM34">
        <f>SUMIF(RawData!$C:$C,$A34,RawData!BQ:BQ)</f>
        <v>0</v>
      </c>
      <c r="BN34">
        <f>SUMIF(RawData!$C:$C,$A34,RawData!BR:BR)</f>
        <v>0</v>
      </c>
      <c r="BO34">
        <f>SUMIF(RawData!$C:$C,$A34,RawData!BS:BS)</f>
        <v>0</v>
      </c>
      <c r="BP34">
        <f>SUMIF(RawData!$C:$C,$A34,RawData!BT:BT)</f>
        <v>0</v>
      </c>
      <c r="BQ34">
        <f>SUMIF(RawData!$C:$C,$A34,RawData!BU:BU)</f>
        <v>0</v>
      </c>
      <c r="BR34">
        <f>SUMIF(RawData!$C:$C,$A34,RawData!BV:BV)</f>
        <v>0</v>
      </c>
      <c r="BS34">
        <f>SUMIF(RawData!$C:$C,$A34,RawData!BW:BW)</f>
        <v>0</v>
      </c>
      <c r="BT34">
        <f>SUMIF(RawData!$C:$C,$A34,RawData!BX:BX)</f>
        <v>0</v>
      </c>
    </row>
    <row r="35" spans="1:72" ht="15" thickBot="1" x14ac:dyDescent="0.35">
      <c r="A35" s="5" t="s">
        <v>125</v>
      </c>
      <c r="B35">
        <f>SUMIF(RawData!$C:$C,$A35,RawData!F:F)</f>
        <v>0</v>
      </c>
      <c r="C35">
        <f>SUMIF(RawData!$C:$C,$A35,RawData!G:G)</f>
        <v>0</v>
      </c>
      <c r="D35">
        <f>SUMIF(RawData!$C:$C,$A35,RawData!H:H)</f>
        <v>0</v>
      </c>
      <c r="E35">
        <f>SUMIF(RawData!$C:$C,$A35,RawData!I:I)</f>
        <v>0</v>
      </c>
      <c r="F35">
        <f>SUMIF(RawData!$C:$C,$A35,RawData!J:J)</f>
        <v>0</v>
      </c>
      <c r="G35">
        <f>SUMIF(RawData!$C:$C,$A35,RawData!K:K)</f>
        <v>0</v>
      </c>
      <c r="H35">
        <f>SUMIF(RawData!$C:$C,$A35,RawData!L:L)</f>
        <v>0</v>
      </c>
      <c r="I35">
        <f>SUMIF(RawData!$C:$C,$A35,RawData!M:M)</f>
        <v>0</v>
      </c>
      <c r="J35">
        <f>SUMIF(RawData!$C:$C,$A35,RawData!N:N)</f>
        <v>0</v>
      </c>
      <c r="K35">
        <f>SUMIF(RawData!$C:$C,$A35,RawData!O:O)</f>
        <v>0</v>
      </c>
      <c r="L35">
        <f>SUMIF(RawData!$C:$C,$A35,RawData!P:P)</f>
        <v>0</v>
      </c>
      <c r="M35">
        <f>SUMIF(RawData!$C:$C,$A35,RawData!Q:Q)</f>
        <v>0</v>
      </c>
      <c r="N35">
        <f>SUMIF(RawData!$C:$C,$A35,RawData!R:R)</f>
        <v>0</v>
      </c>
      <c r="O35">
        <f>SUMIF(RawData!$C:$C,$A35,RawData!S:S)</f>
        <v>0</v>
      </c>
      <c r="P35">
        <f>SUMIF(RawData!$C:$C,$A35,RawData!T:T)</f>
        <v>0</v>
      </c>
      <c r="Q35">
        <f>SUMIF(RawData!$C:$C,$A35,RawData!U:U)</f>
        <v>0</v>
      </c>
      <c r="R35">
        <f>SUMIF(RawData!$C:$C,$A35,RawData!V:V)</f>
        <v>0</v>
      </c>
      <c r="S35">
        <f>SUMIF(RawData!$C:$C,$A35,RawData!W:W)</f>
        <v>0</v>
      </c>
      <c r="T35">
        <f>SUMIF(RawData!$C:$C,$A35,RawData!X:X)</f>
        <v>0</v>
      </c>
      <c r="U35">
        <f>SUMIF(RawData!$C:$C,$A35,RawData!Y:Y)</f>
        <v>0</v>
      </c>
      <c r="V35">
        <f>SUMIF(RawData!$C:$C,$A35,RawData!Z:Z)</f>
        <v>0</v>
      </c>
      <c r="W35">
        <f>SUMIF(RawData!$C:$C,$A35,RawData!AA:AA)</f>
        <v>0</v>
      </c>
      <c r="X35">
        <f>SUMIF(RawData!$C:$C,$A35,RawData!AB:AB)</f>
        <v>0</v>
      </c>
      <c r="Y35">
        <f>SUMIF(RawData!$C:$C,$A35,RawData!AC:AC)</f>
        <v>0</v>
      </c>
      <c r="Z35">
        <f>SUMIF(RawData!$C:$C,$A35,RawData!AD:AD)</f>
        <v>0</v>
      </c>
      <c r="AA35">
        <f>SUMIF(RawData!$C:$C,$A35,RawData!AE:AE)</f>
        <v>0</v>
      </c>
      <c r="AB35">
        <f>SUMIF(RawData!$C:$C,$A35,RawData!AF:AF)</f>
        <v>0</v>
      </c>
      <c r="AC35">
        <f>SUMIF(RawData!$C:$C,$A35,RawData!AG:AG)</f>
        <v>0</v>
      </c>
      <c r="AD35">
        <f>SUMIF(RawData!$C:$C,$A35,RawData!AH:AH)</f>
        <v>0</v>
      </c>
      <c r="AE35">
        <f>SUMIF(RawData!$C:$C,$A35,RawData!AI:AI)</f>
        <v>0</v>
      </c>
      <c r="AF35">
        <f>SUMIF(RawData!$C:$C,$A35,RawData!AJ:AJ)</f>
        <v>0</v>
      </c>
      <c r="AG35">
        <f>SUMIF(RawData!$C:$C,$A35,RawData!AK:AK)</f>
        <v>0</v>
      </c>
      <c r="AH35">
        <f>SUMIF(RawData!$C:$C,$A35,RawData!AL:AL)</f>
        <v>0</v>
      </c>
      <c r="AI35">
        <f>SUMIF(RawData!$C:$C,$A35,RawData!AM:AM)</f>
        <v>0</v>
      </c>
      <c r="AJ35">
        <f>SUMIF(RawData!$C:$C,$A35,RawData!AN:AN)</f>
        <v>0</v>
      </c>
      <c r="AK35">
        <f>SUMIF(RawData!$C:$C,$A35,RawData!AO:AO)</f>
        <v>0</v>
      </c>
      <c r="AL35">
        <f>SUMIF(RawData!$C:$C,$A35,RawData!AP:AP)</f>
        <v>0</v>
      </c>
      <c r="AM35">
        <f>SUMIF(RawData!$C:$C,$A35,RawData!AQ:AQ)</f>
        <v>0</v>
      </c>
      <c r="AN35">
        <f>SUMIF(RawData!$C:$C,$A35,RawData!AR:AR)</f>
        <v>1</v>
      </c>
      <c r="AO35">
        <f>SUMIF(RawData!$C:$C,$A35,RawData!AS:AS)</f>
        <v>1</v>
      </c>
      <c r="AP35">
        <f>SUMIF(RawData!$C:$C,$A35,RawData!AT:AT)</f>
        <v>1</v>
      </c>
      <c r="AQ35">
        <f>SUMIF(RawData!$C:$C,$A35,RawData!AU:AU)</f>
        <v>2</v>
      </c>
      <c r="AR35">
        <f>SUMIF(RawData!$C:$C,$A35,RawData!AV:AV)</f>
        <v>6</v>
      </c>
      <c r="AS35">
        <f>SUMIF(RawData!$C:$C,$A35,RawData!AW:AW)</f>
        <v>6</v>
      </c>
      <c r="AT35">
        <f>SUMIF(RawData!$C:$C,$A35,RawData!AX:AX)</f>
        <v>18</v>
      </c>
      <c r="AU35">
        <f>SUMIF(RawData!$C:$C,$A35,RawData!AY:AY)</f>
        <v>18</v>
      </c>
      <c r="AV35">
        <f>SUMIF(RawData!$C:$C,$A35,RawData!AZ:AZ)</f>
        <v>19</v>
      </c>
      <c r="AW35">
        <f>SUMIF(RawData!$C:$C,$A35,RawData!BA:BA)</f>
        <v>21</v>
      </c>
      <c r="AX35">
        <f>SUMIF(RawData!$C:$C,$A35,RawData!BB:BB)</f>
        <v>34</v>
      </c>
      <c r="AY35">
        <f>SUMIF(RawData!$C:$C,$A35,RawData!BC:BC)</f>
        <v>43</v>
      </c>
      <c r="AZ35">
        <f>SUMIF(RawData!$C:$C,$A35,RawData!BD:BD)</f>
        <v>43</v>
      </c>
      <c r="BA35">
        <f>SUMIF(RawData!$C:$C,$A35,RawData!BE:BE)</f>
        <v>90</v>
      </c>
      <c r="BB35">
        <f>SUMIF(RawData!$C:$C,$A35,RawData!BF:BF)</f>
        <v>129</v>
      </c>
      <c r="BC35">
        <f>SUMIF(RawData!$C:$C,$A35,RawData!BG:BG)</f>
        <v>129</v>
      </c>
      <c r="BD35">
        <f>SUMIF(RawData!$C:$C,$A35,RawData!BH:BH)</f>
        <v>169</v>
      </c>
      <c r="BE35">
        <f>SUMIF(RawData!$C:$C,$A35,RawData!BI:BI)</f>
        <v>0</v>
      </c>
      <c r="BF35">
        <f>SUMIF(RawData!$C:$C,$A35,RawData!BJ:BJ)</f>
        <v>0</v>
      </c>
      <c r="BG35">
        <f>SUMIF(RawData!$C:$C,$A35,RawData!BK:BK)</f>
        <v>0</v>
      </c>
      <c r="BH35">
        <f>SUMIF(RawData!$C:$C,$A35,RawData!BL:BL)</f>
        <v>0</v>
      </c>
      <c r="BI35">
        <f>SUMIF(RawData!$C:$C,$A35,RawData!BM:BM)</f>
        <v>0</v>
      </c>
      <c r="BJ35">
        <f>SUMIF(RawData!$C:$C,$A35,RawData!BN:BN)</f>
        <v>0</v>
      </c>
      <c r="BK35">
        <f>SUMIF(RawData!$C:$C,$A35,RawData!BO:BO)</f>
        <v>0</v>
      </c>
      <c r="BL35">
        <f>SUMIF(RawData!$C:$C,$A35,RawData!BP:BP)</f>
        <v>0</v>
      </c>
      <c r="BM35">
        <f>SUMIF(RawData!$C:$C,$A35,RawData!BQ:BQ)</f>
        <v>0</v>
      </c>
      <c r="BN35">
        <f>SUMIF(RawData!$C:$C,$A35,RawData!BR:BR)</f>
        <v>0</v>
      </c>
      <c r="BO35">
        <f>SUMIF(RawData!$C:$C,$A35,RawData!BS:BS)</f>
        <v>0</v>
      </c>
      <c r="BP35">
        <f>SUMIF(RawData!$C:$C,$A35,RawData!BT:BT)</f>
        <v>0</v>
      </c>
      <c r="BQ35">
        <f>SUMIF(RawData!$C:$C,$A35,RawData!BU:BU)</f>
        <v>0</v>
      </c>
      <c r="BR35">
        <f>SUMIF(RawData!$C:$C,$A35,RawData!BV:BV)</f>
        <v>0</v>
      </c>
      <c r="BS35">
        <f>SUMIF(RawData!$C:$C,$A35,RawData!BW:BW)</f>
        <v>0</v>
      </c>
      <c r="BT35">
        <f>SUMIF(RawData!$C:$C,$A35,RawData!BX:BX)</f>
        <v>0</v>
      </c>
    </row>
    <row r="36" spans="1:72" ht="15" thickBot="1" x14ac:dyDescent="0.35">
      <c r="A36" s="4" t="s">
        <v>113</v>
      </c>
      <c r="B36">
        <f>SUMIF(RawData!$C:$C,$A36,RawData!F:F)</f>
        <v>0</v>
      </c>
      <c r="C36">
        <f>SUMIF(RawData!$C:$C,$A36,RawData!G:G)</f>
        <v>0</v>
      </c>
      <c r="D36">
        <f>SUMIF(RawData!$C:$C,$A36,RawData!H:H)</f>
        <v>0</v>
      </c>
      <c r="E36">
        <f>SUMIF(RawData!$C:$C,$A36,RawData!I:I)</f>
        <v>0</v>
      </c>
      <c r="F36">
        <f>SUMIF(RawData!$C:$C,$A36,RawData!J:J)</f>
        <v>0</v>
      </c>
      <c r="G36">
        <f>SUMIF(RawData!$C:$C,$A36,RawData!K:K)</f>
        <v>0</v>
      </c>
      <c r="H36">
        <f>SUMIF(RawData!$C:$C,$A36,RawData!L:L)</f>
        <v>0</v>
      </c>
      <c r="I36">
        <f>SUMIF(RawData!$C:$C,$A36,RawData!M:M)</f>
        <v>0</v>
      </c>
      <c r="J36">
        <f>SUMIF(RawData!$C:$C,$A36,RawData!N:N)</f>
        <v>0</v>
      </c>
      <c r="K36">
        <f>SUMIF(RawData!$C:$C,$A36,RawData!O:O)</f>
        <v>0</v>
      </c>
      <c r="L36">
        <f>SUMIF(RawData!$C:$C,$A36,RawData!P:P)</f>
        <v>0</v>
      </c>
      <c r="M36">
        <f>SUMIF(RawData!$C:$C,$A36,RawData!Q:Q)</f>
        <v>0</v>
      </c>
      <c r="N36">
        <f>SUMIF(RawData!$C:$C,$A36,RawData!R:R)</f>
        <v>0</v>
      </c>
      <c r="O36">
        <f>SUMIF(RawData!$C:$C,$A36,RawData!S:S)</f>
        <v>0</v>
      </c>
      <c r="P36">
        <f>SUMIF(RawData!$C:$C,$A36,RawData!T:T)</f>
        <v>0</v>
      </c>
      <c r="Q36">
        <f>SUMIF(RawData!$C:$C,$A36,RawData!U:U)</f>
        <v>0</v>
      </c>
      <c r="R36">
        <f>SUMIF(RawData!$C:$C,$A36,RawData!V:V)</f>
        <v>0</v>
      </c>
      <c r="S36">
        <f>SUMIF(RawData!$C:$C,$A36,RawData!W:W)</f>
        <v>0</v>
      </c>
      <c r="T36">
        <f>SUMIF(RawData!$C:$C,$A36,RawData!X:X)</f>
        <v>0</v>
      </c>
      <c r="U36">
        <f>SUMIF(RawData!$C:$C,$A36,RawData!Y:Y)</f>
        <v>0</v>
      </c>
      <c r="V36">
        <f>SUMIF(RawData!$C:$C,$A36,RawData!Z:Z)</f>
        <v>0</v>
      </c>
      <c r="W36">
        <f>SUMIF(RawData!$C:$C,$A36,RawData!AA:AA)</f>
        <v>0</v>
      </c>
      <c r="X36">
        <f>SUMIF(RawData!$C:$C,$A36,RawData!AB:AB)</f>
        <v>0</v>
      </c>
      <c r="Y36">
        <f>SUMIF(RawData!$C:$C,$A36,RawData!AC:AC)</f>
        <v>0</v>
      </c>
      <c r="Z36">
        <f>SUMIF(RawData!$C:$C,$A36,RawData!AD:AD)</f>
        <v>0</v>
      </c>
      <c r="AA36">
        <f>SUMIF(RawData!$C:$C,$A36,RawData!AE:AE)</f>
        <v>0</v>
      </c>
      <c r="AB36">
        <f>SUMIF(RawData!$C:$C,$A36,RawData!AF:AF)</f>
        <v>0</v>
      </c>
      <c r="AC36">
        <f>SUMIF(RawData!$C:$C,$A36,RawData!AG:AG)</f>
        <v>0</v>
      </c>
      <c r="AD36">
        <f>SUMIF(RawData!$C:$C,$A36,RawData!AH:AH)</f>
        <v>0</v>
      </c>
      <c r="AE36">
        <f>SUMIF(RawData!$C:$C,$A36,RawData!AI:AI)</f>
        <v>0</v>
      </c>
      <c r="AF36">
        <f>SUMIF(RawData!$C:$C,$A36,RawData!AJ:AJ)</f>
        <v>0</v>
      </c>
      <c r="AG36">
        <f>SUMIF(RawData!$C:$C,$A36,RawData!AK:AK)</f>
        <v>0</v>
      </c>
      <c r="AH36">
        <f>SUMIF(RawData!$C:$C,$A36,RawData!AL:AL)</f>
        <v>0</v>
      </c>
      <c r="AI36">
        <f>SUMIF(RawData!$C:$C,$A36,RawData!AM:AM)</f>
        <v>0</v>
      </c>
      <c r="AJ36">
        <f>SUMIF(RawData!$C:$C,$A36,RawData!AN:AN)</f>
        <v>0</v>
      </c>
      <c r="AK36">
        <f>SUMIF(RawData!$C:$C,$A36,RawData!AO:AO)</f>
        <v>1</v>
      </c>
      <c r="AL36">
        <f>SUMIF(RawData!$C:$C,$A36,RawData!AP:AP)</f>
        <v>1</v>
      </c>
      <c r="AM36">
        <f>SUMIF(RawData!$C:$C,$A36,RawData!AQ:AQ)</f>
        <v>3</v>
      </c>
      <c r="AN36">
        <f>SUMIF(RawData!$C:$C,$A36,RawData!AR:AR)</f>
        <v>3</v>
      </c>
      <c r="AO36">
        <f>SUMIF(RawData!$C:$C,$A36,RawData!AS:AS)</f>
        <v>3</v>
      </c>
      <c r="AP36">
        <f>SUMIF(RawData!$C:$C,$A36,RawData!AT:AT)</f>
        <v>3</v>
      </c>
      <c r="AQ36">
        <f>SUMIF(RawData!$C:$C,$A36,RawData!AU:AU)</f>
        <v>3</v>
      </c>
      <c r="AR36">
        <f>SUMIF(RawData!$C:$C,$A36,RawData!AV:AV)</f>
        <v>4</v>
      </c>
      <c r="AS36">
        <f>SUMIF(RawData!$C:$C,$A36,RawData!AW:AW)</f>
        <v>6</v>
      </c>
      <c r="AT36">
        <f>SUMIF(RawData!$C:$C,$A36,RawData!AX:AX)</f>
        <v>9</v>
      </c>
      <c r="AU36">
        <f>SUMIF(RawData!$C:$C,$A36,RawData!AY:AY)</f>
        <v>9</v>
      </c>
      <c r="AV36">
        <f>SUMIF(RawData!$C:$C,$A36,RawData!AZ:AZ)</f>
        <v>15</v>
      </c>
      <c r="AW36">
        <f>SUMIF(RawData!$C:$C,$A36,RawData!BA:BA)</f>
        <v>15</v>
      </c>
      <c r="AX36">
        <f>SUMIF(RawData!$C:$C,$A36,RawData!BB:BB)</f>
        <v>25</v>
      </c>
      <c r="AY36">
        <f>SUMIF(RawData!$C:$C,$A36,RawData!BC:BC)</f>
        <v>45</v>
      </c>
      <c r="AZ36">
        <f>SUMIF(RawData!$C:$C,$A36,RawData!BD:BD)</f>
        <v>49</v>
      </c>
      <c r="BA36">
        <f>SUMIF(RawData!$C:$C,$A36,RawData!BE:BE)</f>
        <v>89</v>
      </c>
      <c r="BB36">
        <f>SUMIF(RawData!$C:$C,$A36,RawData!BF:BF)</f>
        <v>123</v>
      </c>
      <c r="BC36">
        <f>SUMIF(RawData!$C:$C,$A36,RawData!BG:BG)</f>
        <v>131</v>
      </c>
      <c r="BD36">
        <f>SUMIF(RawData!$C:$C,$A36,RawData!BH:BH)</f>
        <v>158</v>
      </c>
      <c r="BE36">
        <f>SUMIF(RawData!$C:$C,$A36,RawData!BI:BI)</f>
        <v>0</v>
      </c>
      <c r="BF36">
        <f>SUMIF(RawData!$C:$C,$A36,RawData!BJ:BJ)</f>
        <v>0</v>
      </c>
      <c r="BG36">
        <f>SUMIF(RawData!$C:$C,$A36,RawData!BK:BK)</f>
        <v>0</v>
      </c>
      <c r="BH36">
        <f>SUMIF(RawData!$C:$C,$A36,RawData!BL:BL)</f>
        <v>0</v>
      </c>
      <c r="BI36">
        <f>SUMIF(RawData!$C:$C,$A36,RawData!BM:BM)</f>
        <v>0</v>
      </c>
      <c r="BJ36">
        <f>SUMIF(RawData!$C:$C,$A36,RawData!BN:BN)</f>
        <v>0</v>
      </c>
      <c r="BK36">
        <f>SUMIF(RawData!$C:$C,$A36,RawData!BO:BO)</f>
        <v>0</v>
      </c>
      <c r="BL36">
        <f>SUMIF(RawData!$C:$C,$A36,RawData!BP:BP)</f>
        <v>0</v>
      </c>
      <c r="BM36">
        <f>SUMIF(RawData!$C:$C,$A36,RawData!BQ:BQ)</f>
        <v>0</v>
      </c>
      <c r="BN36">
        <f>SUMIF(RawData!$C:$C,$A36,RawData!BR:BR)</f>
        <v>0</v>
      </c>
      <c r="BO36">
        <f>SUMIF(RawData!$C:$C,$A36,RawData!BS:BS)</f>
        <v>0</v>
      </c>
      <c r="BP36">
        <f>SUMIF(RawData!$C:$C,$A36,RawData!BT:BT)</f>
        <v>0</v>
      </c>
      <c r="BQ36">
        <f>SUMIF(RawData!$C:$C,$A36,RawData!BU:BU)</f>
        <v>0</v>
      </c>
      <c r="BR36">
        <f>SUMIF(RawData!$C:$C,$A36,RawData!BV:BV)</f>
        <v>0</v>
      </c>
      <c r="BS36">
        <f>SUMIF(RawData!$C:$C,$A36,RawData!BW:BW)</f>
        <v>0</v>
      </c>
      <c r="BT36">
        <f>SUMIF(RawData!$C:$C,$A36,RawData!BX:BX)</f>
        <v>0</v>
      </c>
    </row>
    <row r="37" spans="1:72" ht="15" thickBot="1" x14ac:dyDescent="0.35">
      <c r="A37" s="5" t="s">
        <v>140</v>
      </c>
      <c r="B37">
        <f>SUMIF(RawData!$C:$C,$A37,RawData!F:F)</f>
        <v>0</v>
      </c>
      <c r="C37">
        <f>SUMIF(RawData!$C:$C,$A37,RawData!G:G)</f>
        <v>0</v>
      </c>
      <c r="D37">
        <f>SUMIF(RawData!$C:$C,$A37,RawData!H:H)</f>
        <v>0</v>
      </c>
      <c r="E37">
        <f>SUMIF(RawData!$C:$C,$A37,RawData!I:I)</f>
        <v>0</v>
      </c>
      <c r="F37">
        <f>SUMIF(RawData!$C:$C,$A37,RawData!J:J)</f>
        <v>0</v>
      </c>
      <c r="G37">
        <f>SUMIF(RawData!$C:$C,$A37,RawData!K:K)</f>
        <v>0</v>
      </c>
      <c r="H37">
        <f>SUMIF(RawData!$C:$C,$A37,RawData!L:L)</f>
        <v>0</v>
      </c>
      <c r="I37">
        <f>SUMIF(RawData!$C:$C,$A37,RawData!M:M)</f>
        <v>0</v>
      </c>
      <c r="J37">
        <f>SUMIF(RawData!$C:$C,$A37,RawData!N:N)</f>
        <v>0</v>
      </c>
      <c r="K37">
        <f>SUMIF(RawData!$C:$C,$A37,RawData!O:O)</f>
        <v>0</v>
      </c>
      <c r="L37">
        <f>SUMIF(RawData!$C:$C,$A37,RawData!P:P)</f>
        <v>0</v>
      </c>
      <c r="M37">
        <f>SUMIF(RawData!$C:$C,$A37,RawData!Q:Q)</f>
        <v>0</v>
      </c>
      <c r="N37">
        <f>SUMIF(RawData!$C:$C,$A37,RawData!R:R)</f>
        <v>0</v>
      </c>
      <c r="O37">
        <f>SUMIF(RawData!$C:$C,$A37,RawData!S:S)</f>
        <v>0</v>
      </c>
      <c r="P37">
        <f>SUMIF(RawData!$C:$C,$A37,RawData!T:T)</f>
        <v>0</v>
      </c>
      <c r="Q37">
        <f>SUMIF(RawData!$C:$C,$A37,RawData!U:U)</f>
        <v>0</v>
      </c>
      <c r="R37">
        <f>SUMIF(RawData!$C:$C,$A37,RawData!V:V)</f>
        <v>0</v>
      </c>
      <c r="S37">
        <f>SUMIF(RawData!$C:$C,$A37,RawData!W:W)</f>
        <v>0</v>
      </c>
      <c r="T37">
        <f>SUMIF(RawData!$C:$C,$A37,RawData!X:X)</f>
        <v>0</v>
      </c>
      <c r="U37">
        <f>SUMIF(RawData!$C:$C,$A37,RawData!Y:Y)</f>
        <v>0</v>
      </c>
      <c r="V37">
        <f>SUMIF(RawData!$C:$C,$A37,RawData!Z:Z)</f>
        <v>0</v>
      </c>
      <c r="W37">
        <f>SUMIF(RawData!$C:$C,$A37,RawData!AA:AA)</f>
        <v>0</v>
      </c>
      <c r="X37">
        <f>SUMIF(RawData!$C:$C,$A37,RawData!AB:AB)</f>
        <v>0</v>
      </c>
      <c r="Y37">
        <f>SUMIF(RawData!$C:$C,$A37,RawData!AC:AC)</f>
        <v>0</v>
      </c>
      <c r="Z37">
        <f>SUMIF(RawData!$C:$C,$A37,RawData!AD:AD)</f>
        <v>0</v>
      </c>
      <c r="AA37">
        <f>SUMIF(RawData!$C:$C,$A37,RawData!AE:AE)</f>
        <v>0</v>
      </c>
      <c r="AB37">
        <f>SUMIF(RawData!$C:$C,$A37,RawData!AF:AF)</f>
        <v>0</v>
      </c>
      <c r="AC37">
        <f>SUMIF(RawData!$C:$C,$A37,RawData!AG:AG)</f>
        <v>0</v>
      </c>
      <c r="AD37">
        <f>SUMIF(RawData!$C:$C,$A37,RawData!AH:AH)</f>
        <v>0</v>
      </c>
      <c r="AE37">
        <f>SUMIF(RawData!$C:$C,$A37,RawData!AI:AI)</f>
        <v>0</v>
      </c>
      <c r="AF37">
        <f>SUMIF(RawData!$C:$C,$A37,RawData!AJ:AJ)</f>
        <v>0</v>
      </c>
      <c r="AG37">
        <f>SUMIF(RawData!$C:$C,$A37,RawData!AK:AK)</f>
        <v>0</v>
      </c>
      <c r="AH37">
        <f>SUMIF(RawData!$C:$C,$A37,RawData!AL:AL)</f>
        <v>0</v>
      </c>
      <c r="AI37">
        <f>SUMIF(RawData!$C:$C,$A37,RawData!AM:AM)</f>
        <v>0</v>
      </c>
      <c r="AJ37">
        <f>SUMIF(RawData!$C:$C,$A37,RawData!AN:AN)</f>
        <v>0</v>
      </c>
      <c r="AK37">
        <f>SUMIF(RawData!$C:$C,$A37,RawData!AO:AO)</f>
        <v>0</v>
      </c>
      <c r="AL37">
        <f>SUMIF(RawData!$C:$C,$A37,RawData!AP:AP)</f>
        <v>0</v>
      </c>
      <c r="AM37">
        <f>SUMIF(RawData!$C:$C,$A37,RawData!AQ:AQ)</f>
        <v>0</v>
      </c>
      <c r="AN37">
        <f>SUMIF(RawData!$C:$C,$A37,RawData!AR:AR)</f>
        <v>0</v>
      </c>
      <c r="AO37">
        <f>SUMIF(RawData!$C:$C,$A37,RawData!AS:AS)</f>
        <v>0</v>
      </c>
      <c r="AP37">
        <f>SUMIF(RawData!$C:$C,$A37,RawData!AT:AT)</f>
        <v>1</v>
      </c>
      <c r="AQ37">
        <f>SUMIF(RawData!$C:$C,$A37,RawData!AU:AU)</f>
        <v>1</v>
      </c>
      <c r="AR37">
        <f>SUMIF(RawData!$C:$C,$A37,RawData!AV:AV)</f>
        <v>1</v>
      </c>
      <c r="AS37">
        <f>SUMIF(RawData!$C:$C,$A37,RawData!AW:AW)</f>
        <v>5</v>
      </c>
      <c r="AT37">
        <f>SUMIF(RawData!$C:$C,$A37,RawData!AX:AX)</f>
        <v>5</v>
      </c>
      <c r="AU37">
        <f>SUMIF(RawData!$C:$C,$A37,RawData!AY:AY)</f>
        <v>5</v>
      </c>
      <c r="AV37">
        <f>SUMIF(RawData!$C:$C,$A37,RawData!AZ:AZ)</f>
        <v>11</v>
      </c>
      <c r="AW37">
        <f>SUMIF(RawData!$C:$C,$A37,RawData!BA:BA)</f>
        <v>15</v>
      </c>
      <c r="AX37">
        <f>SUMIF(RawData!$C:$C,$A37,RawData!BB:BB)</f>
        <v>20</v>
      </c>
      <c r="AY37">
        <f>SUMIF(RawData!$C:$C,$A37,RawData!BC:BC)</f>
        <v>21</v>
      </c>
      <c r="AZ37">
        <f>SUMIF(RawData!$C:$C,$A37,RawData!BD:BD)</f>
        <v>45</v>
      </c>
      <c r="BA37">
        <f>SUMIF(RawData!$C:$C,$A37,RawData!BE:BE)</f>
        <v>86</v>
      </c>
      <c r="BB37">
        <f>SUMIF(RawData!$C:$C,$A37,RawData!BF:BF)</f>
        <v>103</v>
      </c>
      <c r="BC37">
        <f>SUMIF(RawData!$C:$C,$A37,RawData!BG:BG)</f>
        <v>103</v>
      </c>
      <c r="BD37">
        <f>SUMIF(RawData!$C:$C,$A37,RawData!BH:BH)</f>
        <v>118</v>
      </c>
      <c r="BE37">
        <f>SUMIF(RawData!$C:$C,$A37,RawData!BI:BI)</f>
        <v>0</v>
      </c>
      <c r="BF37">
        <f>SUMIF(RawData!$C:$C,$A37,RawData!BJ:BJ)</f>
        <v>0</v>
      </c>
      <c r="BG37">
        <f>SUMIF(RawData!$C:$C,$A37,RawData!BK:BK)</f>
        <v>0</v>
      </c>
      <c r="BH37">
        <f>SUMIF(RawData!$C:$C,$A37,RawData!BL:BL)</f>
        <v>0</v>
      </c>
      <c r="BI37">
        <f>SUMIF(RawData!$C:$C,$A37,RawData!BM:BM)</f>
        <v>0</v>
      </c>
      <c r="BJ37">
        <f>SUMIF(RawData!$C:$C,$A37,RawData!BN:BN)</f>
        <v>0</v>
      </c>
      <c r="BK37">
        <f>SUMIF(RawData!$C:$C,$A37,RawData!BO:BO)</f>
        <v>0</v>
      </c>
      <c r="BL37">
        <f>SUMIF(RawData!$C:$C,$A37,RawData!BP:BP)</f>
        <v>0</v>
      </c>
      <c r="BM37">
        <f>SUMIF(RawData!$C:$C,$A37,RawData!BQ:BQ)</f>
        <v>0</v>
      </c>
      <c r="BN37">
        <f>SUMIF(RawData!$C:$C,$A37,RawData!BR:BR)</f>
        <v>0</v>
      </c>
      <c r="BO37">
        <f>SUMIF(RawData!$C:$C,$A37,RawData!BS:BS)</f>
        <v>0</v>
      </c>
      <c r="BP37">
        <f>SUMIF(RawData!$C:$C,$A37,RawData!BT:BT)</f>
        <v>0</v>
      </c>
      <c r="BQ37">
        <f>SUMIF(RawData!$C:$C,$A37,RawData!BU:BU)</f>
        <v>0</v>
      </c>
      <c r="BR37">
        <f>SUMIF(RawData!$C:$C,$A37,RawData!BV:BV)</f>
        <v>0</v>
      </c>
      <c r="BS37">
        <f>SUMIF(RawData!$C:$C,$A37,RawData!BW:BW)</f>
        <v>0</v>
      </c>
      <c r="BT37">
        <f>SUMIF(RawData!$C:$C,$A37,RawData!BX:BX)</f>
        <v>0</v>
      </c>
    </row>
    <row r="38" spans="1:72" ht="15" thickBot="1" x14ac:dyDescent="0.35">
      <c r="A38" s="5" t="s">
        <v>82</v>
      </c>
      <c r="B38">
        <f>SUMIF(RawData!$C:$C,$A38,RawData!F:F)</f>
        <v>0</v>
      </c>
      <c r="C38">
        <f>SUMIF(RawData!$C:$C,$A38,RawData!G:G)</f>
        <v>0</v>
      </c>
      <c r="D38">
        <f>SUMIF(RawData!$C:$C,$A38,RawData!H:H)</f>
        <v>0</v>
      </c>
      <c r="E38">
        <f>SUMIF(RawData!$C:$C,$A38,RawData!I:I)</f>
        <v>0</v>
      </c>
      <c r="F38">
        <f>SUMIF(RawData!$C:$C,$A38,RawData!J:J)</f>
        <v>0</v>
      </c>
      <c r="G38">
        <f>SUMIF(RawData!$C:$C,$A38,RawData!K:K)</f>
        <v>0</v>
      </c>
      <c r="H38">
        <f>SUMIF(RawData!$C:$C,$A38,RawData!L:L)</f>
        <v>0</v>
      </c>
      <c r="I38">
        <f>SUMIF(RawData!$C:$C,$A38,RawData!M:M)</f>
        <v>4</v>
      </c>
      <c r="J38">
        <f>SUMIF(RawData!$C:$C,$A38,RawData!N:N)</f>
        <v>4</v>
      </c>
      <c r="K38">
        <f>SUMIF(RawData!$C:$C,$A38,RawData!O:O)</f>
        <v>4</v>
      </c>
      <c r="L38">
        <f>SUMIF(RawData!$C:$C,$A38,RawData!P:P)</f>
        <v>4</v>
      </c>
      <c r="M38">
        <f>SUMIF(RawData!$C:$C,$A38,RawData!Q:Q)</f>
        <v>5</v>
      </c>
      <c r="N38">
        <f>SUMIF(RawData!$C:$C,$A38,RawData!R:R)</f>
        <v>5</v>
      </c>
      <c r="O38">
        <f>SUMIF(RawData!$C:$C,$A38,RawData!S:S)</f>
        <v>5</v>
      </c>
      <c r="P38">
        <f>SUMIF(RawData!$C:$C,$A38,RawData!T:T)</f>
        <v>5</v>
      </c>
      <c r="Q38">
        <f>SUMIF(RawData!$C:$C,$A38,RawData!U:U)</f>
        <v>5</v>
      </c>
      <c r="R38">
        <f>SUMIF(RawData!$C:$C,$A38,RawData!V:V)</f>
        <v>5</v>
      </c>
      <c r="S38">
        <f>SUMIF(RawData!$C:$C,$A38,RawData!W:W)</f>
        <v>7</v>
      </c>
      <c r="T38">
        <f>SUMIF(RawData!$C:$C,$A38,RawData!X:X)</f>
        <v>7</v>
      </c>
      <c r="U38">
        <f>SUMIF(RawData!$C:$C,$A38,RawData!Y:Y)</f>
        <v>8</v>
      </c>
      <c r="V38">
        <f>SUMIF(RawData!$C:$C,$A38,RawData!Z:Z)</f>
        <v>8</v>
      </c>
      <c r="W38">
        <f>SUMIF(RawData!$C:$C,$A38,RawData!AA:AA)</f>
        <v>8</v>
      </c>
      <c r="X38">
        <f>SUMIF(RawData!$C:$C,$A38,RawData!AB:AB)</f>
        <v>8</v>
      </c>
      <c r="Y38">
        <f>SUMIF(RawData!$C:$C,$A38,RawData!AC:AC)</f>
        <v>8</v>
      </c>
      <c r="Z38">
        <f>SUMIF(RawData!$C:$C,$A38,RawData!AD:AD)</f>
        <v>8</v>
      </c>
      <c r="AA38">
        <f>SUMIF(RawData!$C:$C,$A38,RawData!AE:AE)</f>
        <v>9</v>
      </c>
      <c r="AB38">
        <f>SUMIF(RawData!$C:$C,$A38,RawData!AF:AF)</f>
        <v>9</v>
      </c>
      <c r="AC38">
        <f>SUMIF(RawData!$C:$C,$A38,RawData!AG:AG)</f>
        <v>9</v>
      </c>
      <c r="AD38">
        <f>SUMIF(RawData!$C:$C,$A38,RawData!AH:AH)</f>
        <v>9</v>
      </c>
      <c r="AE38">
        <f>SUMIF(RawData!$C:$C,$A38,RawData!AI:AI)</f>
        <v>9</v>
      </c>
      <c r="AF38">
        <f>SUMIF(RawData!$C:$C,$A38,RawData!AJ:AJ)</f>
        <v>9</v>
      </c>
      <c r="AG38">
        <f>SUMIF(RawData!$C:$C,$A38,RawData!AK:AK)</f>
        <v>13</v>
      </c>
      <c r="AH38">
        <f>SUMIF(RawData!$C:$C,$A38,RawData!AL:AL)</f>
        <v>13</v>
      </c>
      <c r="AI38">
        <f>SUMIF(RawData!$C:$C,$A38,RawData!AM:AM)</f>
        <v>13</v>
      </c>
      <c r="AJ38">
        <f>SUMIF(RawData!$C:$C,$A38,RawData!AN:AN)</f>
        <v>13</v>
      </c>
      <c r="AK38">
        <f>SUMIF(RawData!$C:$C,$A38,RawData!AO:AO)</f>
        <v>13</v>
      </c>
      <c r="AL38">
        <f>SUMIF(RawData!$C:$C,$A38,RawData!AP:AP)</f>
        <v>13</v>
      </c>
      <c r="AM38">
        <f>SUMIF(RawData!$C:$C,$A38,RawData!AQ:AQ)</f>
        <v>19</v>
      </c>
      <c r="AN38">
        <f>SUMIF(RawData!$C:$C,$A38,RawData!AR:AR)</f>
        <v>21</v>
      </c>
      <c r="AO38">
        <f>SUMIF(RawData!$C:$C,$A38,RawData!AS:AS)</f>
        <v>21</v>
      </c>
      <c r="AP38">
        <f>SUMIF(RawData!$C:$C,$A38,RawData!AT:AT)</f>
        <v>21</v>
      </c>
      <c r="AQ38">
        <f>SUMIF(RawData!$C:$C,$A38,RawData!AU:AU)</f>
        <v>27</v>
      </c>
      <c r="AR38">
        <f>SUMIF(RawData!$C:$C,$A38,RawData!AV:AV)</f>
        <v>27</v>
      </c>
      <c r="AS38">
        <f>SUMIF(RawData!$C:$C,$A38,RawData!AW:AW)</f>
        <v>29</v>
      </c>
      <c r="AT38">
        <f>SUMIF(RawData!$C:$C,$A38,RawData!AX:AX)</f>
        <v>29</v>
      </c>
      <c r="AU38">
        <f>SUMIF(RawData!$C:$C,$A38,RawData!AY:AY)</f>
        <v>45</v>
      </c>
      <c r="AV38">
        <f>SUMIF(RawData!$C:$C,$A38,RawData!AZ:AZ)</f>
        <v>45</v>
      </c>
      <c r="AW38">
        <f>SUMIF(RawData!$C:$C,$A38,RawData!BA:BA)</f>
        <v>45</v>
      </c>
      <c r="AX38">
        <f>SUMIF(RawData!$C:$C,$A38,RawData!BB:BB)</f>
        <v>74</v>
      </c>
      <c r="AY38">
        <f>SUMIF(RawData!$C:$C,$A38,RawData!BC:BC)</f>
        <v>74</v>
      </c>
      <c r="AZ38">
        <f>SUMIF(RawData!$C:$C,$A38,RawData!BD:BD)</f>
        <v>85</v>
      </c>
      <c r="BA38">
        <f>SUMIF(RawData!$C:$C,$A38,RawData!BE:BE)</f>
        <v>85</v>
      </c>
      <c r="BB38">
        <f>SUMIF(RawData!$C:$C,$A38,RawData!BF:BF)</f>
        <v>85</v>
      </c>
      <c r="BC38">
        <f>SUMIF(RawData!$C:$C,$A38,RawData!BG:BG)</f>
        <v>98</v>
      </c>
      <c r="BD38">
        <f>SUMIF(RawData!$C:$C,$A38,RawData!BH:BH)</f>
        <v>98</v>
      </c>
      <c r="BE38">
        <f>SUMIF(RawData!$C:$C,$A38,RawData!BI:BI)</f>
        <v>0</v>
      </c>
      <c r="BF38">
        <f>SUMIF(RawData!$C:$C,$A38,RawData!BJ:BJ)</f>
        <v>0</v>
      </c>
      <c r="BG38">
        <f>SUMIF(RawData!$C:$C,$A38,RawData!BK:BK)</f>
        <v>0</v>
      </c>
      <c r="BH38">
        <f>SUMIF(RawData!$C:$C,$A38,RawData!BL:BL)</f>
        <v>0</v>
      </c>
      <c r="BI38">
        <f>SUMIF(RawData!$C:$C,$A38,RawData!BM:BM)</f>
        <v>0</v>
      </c>
      <c r="BJ38">
        <f>SUMIF(RawData!$C:$C,$A38,RawData!BN:BN)</f>
        <v>0</v>
      </c>
      <c r="BK38">
        <f>SUMIF(RawData!$C:$C,$A38,RawData!BO:BO)</f>
        <v>0</v>
      </c>
      <c r="BL38">
        <f>SUMIF(RawData!$C:$C,$A38,RawData!BP:BP)</f>
        <v>0</v>
      </c>
      <c r="BM38">
        <f>SUMIF(RawData!$C:$C,$A38,RawData!BQ:BQ)</f>
        <v>0</v>
      </c>
      <c r="BN38">
        <f>SUMIF(RawData!$C:$C,$A38,RawData!BR:BR)</f>
        <v>0</v>
      </c>
      <c r="BO38">
        <f>SUMIF(RawData!$C:$C,$A38,RawData!BS:BS)</f>
        <v>0</v>
      </c>
      <c r="BP38">
        <f>SUMIF(RawData!$C:$C,$A38,RawData!BT:BT)</f>
        <v>0</v>
      </c>
      <c r="BQ38">
        <f>SUMIF(RawData!$C:$C,$A38,RawData!BU:BU)</f>
        <v>0</v>
      </c>
      <c r="BR38">
        <f>SUMIF(RawData!$C:$C,$A38,RawData!BV:BV)</f>
        <v>0</v>
      </c>
      <c r="BS38">
        <f>SUMIF(RawData!$C:$C,$A38,RawData!BW:BW)</f>
        <v>0</v>
      </c>
      <c r="BT38">
        <f>SUMIF(RawData!$C:$C,$A38,RawData!BX:BX)</f>
        <v>0</v>
      </c>
    </row>
    <row r="39" spans="1:72" ht="15" thickBot="1" x14ac:dyDescent="0.35">
      <c r="A39" s="5" t="s">
        <v>84</v>
      </c>
      <c r="B39">
        <f>SUMIF(RawData!$C:$C,$A39,RawData!F:F)</f>
        <v>0</v>
      </c>
      <c r="C39">
        <f>SUMIF(RawData!$C:$C,$A39,RawData!G:G)</f>
        <v>0</v>
      </c>
      <c r="D39">
        <f>SUMIF(RawData!$C:$C,$A39,RawData!H:H)</f>
        <v>0</v>
      </c>
      <c r="E39">
        <f>SUMIF(RawData!$C:$C,$A39,RawData!I:I)</f>
        <v>0</v>
      </c>
      <c r="F39">
        <f>SUMIF(RawData!$C:$C,$A39,RawData!J:J)</f>
        <v>0</v>
      </c>
      <c r="G39">
        <f>SUMIF(RawData!$C:$C,$A39,RawData!K:K)</f>
        <v>0</v>
      </c>
      <c r="H39">
        <f>SUMIF(RawData!$C:$C,$A39,RawData!L:L)</f>
        <v>0</v>
      </c>
      <c r="I39">
        <f>SUMIF(RawData!$C:$C,$A39,RawData!M:M)</f>
        <v>0</v>
      </c>
      <c r="J39">
        <f>SUMIF(RawData!$C:$C,$A39,RawData!N:N)</f>
        <v>1</v>
      </c>
      <c r="K39">
        <f>SUMIF(RawData!$C:$C,$A39,RawData!O:O)</f>
        <v>1</v>
      </c>
      <c r="L39">
        <f>SUMIF(RawData!$C:$C,$A39,RawData!P:P)</f>
        <v>1</v>
      </c>
      <c r="M39">
        <f>SUMIF(RawData!$C:$C,$A39,RawData!Q:Q)</f>
        <v>2</v>
      </c>
      <c r="N39">
        <f>SUMIF(RawData!$C:$C,$A39,RawData!R:R)</f>
        <v>3</v>
      </c>
      <c r="O39">
        <f>SUMIF(RawData!$C:$C,$A39,RawData!S:S)</f>
        <v>3</v>
      </c>
      <c r="P39">
        <f>SUMIF(RawData!$C:$C,$A39,RawData!T:T)</f>
        <v>3</v>
      </c>
      <c r="Q39">
        <f>SUMIF(RawData!$C:$C,$A39,RawData!U:U)</f>
        <v>3</v>
      </c>
      <c r="R39">
        <f>SUMIF(RawData!$C:$C,$A39,RawData!V:V)</f>
        <v>3</v>
      </c>
      <c r="S39">
        <f>SUMIF(RawData!$C:$C,$A39,RawData!W:W)</f>
        <v>3</v>
      </c>
      <c r="T39">
        <f>SUMIF(RawData!$C:$C,$A39,RawData!X:X)</f>
        <v>3</v>
      </c>
      <c r="U39">
        <f>SUMIF(RawData!$C:$C,$A39,RawData!Y:Y)</f>
        <v>3</v>
      </c>
      <c r="V39">
        <f>SUMIF(RawData!$C:$C,$A39,RawData!Z:Z)</f>
        <v>3</v>
      </c>
      <c r="W39">
        <f>SUMIF(RawData!$C:$C,$A39,RawData!AA:AA)</f>
        <v>3</v>
      </c>
      <c r="X39">
        <f>SUMIF(RawData!$C:$C,$A39,RawData!AB:AB)</f>
        <v>3</v>
      </c>
      <c r="Y39">
        <f>SUMIF(RawData!$C:$C,$A39,RawData!AC:AC)</f>
        <v>3</v>
      </c>
      <c r="Z39">
        <f>SUMIF(RawData!$C:$C,$A39,RawData!AD:AD)</f>
        <v>3</v>
      </c>
      <c r="AA39">
        <f>SUMIF(RawData!$C:$C,$A39,RawData!AE:AE)</f>
        <v>3</v>
      </c>
      <c r="AB39">
        <f>SUMIF(RawData!$C:$C,$A39,RawData!AF:AF)</f>
        <v>3</v>
      </c>
      <c r="AC39">
        <f>SUMIF(RawData!$C:$C,$A39,RawData!AG:AG)</f>
        <v>3</v>
      </c>
      <c r="AD39">
        <f>SUMIF(RawData!$C:$C,$A39,RawData!AH:AH)</f>
        <v>3</v>
      </c>
      <c r="AE39">
        <f>SUMIF(RawData!$C:$C,$A39,RawData!AI:AI)</f>
        <v>3</v>
      </c>
      <c r="AF39">
        <f>SUMIF(RawData!$C:$C,$A39,RawData!AJ:AJ)</f>
        <v>3</v>
      </c>
      <c r="AG39">
        <f>SUMIF(RawData!$C:$C,$A39,RawData!AK:AK)</f>
        <v>3</v>
      </c>
      <c r="AH39">
        <f>SUMIF(RawData!$C:$C,$A39,RawData!AL:AL)</f>
        <v>3</v>
      </c>
      <c r="AI39">
        <f>SUMIF(RawData!$C:$C,$A39,RawData!AM:AM)</f>
        <v>3</v>
      </c>
      <c r="AJ39">
        <f>SUMIF(RawData!$C:$C,$A39,RawData!AN:AN)</f>
        <v>3</v>
      </c>
      <c r="AK39">
        <f>SUMIF(RawData!$C:$C,$A39,RawData!AO:AO)</f>
        <v>3</v>
      </c>
      <c r="AL39">
        <f>SUMIF(RawData!$C:$C,$A39,RawData!AP:AP)</f>
        <v>3</v>
      </c>
      <c r="AM39">
        <f>SUMIF(RawData!$C:$C,$A39,RawData!AQ:AQ)</f>
        <v>3</v>
      </c>
      <c r="AN39">
        <f>SUMIF(RawData!$C:$C,$A39,RawData!AR:AR)</f>
        <v>3</v>
      </c>
      <c r="AO39">
        <f>SUMIF(RawData!$C:$C,$A39,RawData!AS:AS)</f>
        <v>3</v>
      </c>
      <c r="AP39">
        <f>SUMIF(RawData!$C:$C,$A39,RawData!AT:AT)</f>
        <v>5</v>
      </c>
      <c r="AQ39">
        <f>SUMIF(RawData!$C:$C,$A39,RawData!AU:AU)</f>
        <v>5</v>
      </c>
      <c r="AR39">
        <f>SUMIF(RawData!$C:$C,$A39,RawData!AV:AV)</f>
        <v>28</v>
      </c>
      <c r="AS39">
        <f>SUMIF(RawData!$C:$C,$A39,RawData!AW:AW)</f>
        <v>30</v>
      </c>
      <c r="AT39">
        <f>SUMIF(RawData!$C:$C,$A39,RawData!AX:AX)</f>
        <v>31</v>
      </c>
      <c r="AU39">
        <f>SUMIF(RawData!$C:$C,$A39,RawData!AY:AY)</f>
        <v>34</v>
      </c>
      <c r="AV39">
        <f>SUMIF(RawData!$C:$C,$A39,RawData!AZ:AZ)</f>
        <v>39</v>
      </c>
      <c r="AW39">
        <f>SUMIF(RawData!$C:$C,$A39,RawData!BA:BA)</f>
        <v>43</v>
      </c>
      <c r="AX39">
        <f>SUMIF(RawData!$C:$C,$A39,RawData!BB:BB)</f>
        <v>56</v>
      </c>
      <c r="AY39">
        <f>SUMIF(RawData!$C:$C,$A39,RawData!BC:BC)</f>
        <v>62</v>
      </c>
      <c r="AZ39">
        <f>SUMIF(RawData!$C:$C,$A39,RawData!BD:BD)</f>
        <v>73</v>
      </c>
      <c r="BA39">
        <f>SUMIF(RawData!$C:$C,$A39,RawData!BE:BE)</f>
        <v>82</v>
      </c>
      <c r="BB39">
        <f>SUMIF(RawData!$C:$C,$A39,RawData!BF:BF)</f>
        <v>102</v>
      </c>
      <c r="BC39">
        <f>SUMIF(RawData!$C:$C,$A39,RawData!BG:BG)</f>
        <v>113</v>
      </c>
      <c r="BD39">
        <f>SUMIF(RawData!$C:$C,$A39,RawData!BH:BH)</f>
        <v>119</v>
      </c>
      <c r="BE39">
        <f>SUMIF(RawData!$C:$C,$A39,RawData!BI:BI)</f>
        <v>0</v>
      </c>
      <c r="BF39">
        <f>SUMIF(RawData!$C:$C,$A39,RawData!BJ:BJ)</f>
        <v>0</v>
      </c>
      <c r="BG39">
        <f>SUMIF(RawData!$C:$C,$A39,RawData!BK:BK)</f>
        <v>0</v>
      </c>
      <c r="BH39">
        <f>SUMIF(RawData!$C:$C,$A39,RawData!BL:BL)</f>
        <v>0</v>
      </c>
      <c r="BI39">
        <f>SUMIF(RawData!$C:$C,$A39,RawData!BM:BM)</f>
        <v>0</v>
      </c>
      <c r="BJ39">
        <f>SUMIF(RawData!$C:$C,$A39,RawData!BN:BN)</f>
        <v>0</v>
      </c>
      <c r="BK39">
        <f>SUMIF(RawData!$C:$C,$A39,RawData!BO:BO)</f>
        <v>0</v>
      </c>
      <c r="BL39">
        <f>SUMIF(RawData!$C:$C,$A39,RawData!BP:BP)</f>
        <v>0</v>
      </c>
      <c r="BM39">
        <f>SUMIF(RawData!$C:$C,$A39,RawData!BQ:BQ)</f>
        <v>0</v>
      </c>
      <c r="BN39">
        <f>SUMIF(RawData!$C:$C,$A39,RawData!BR:BR)</f>
        <v>0</v>
      </c>
      <c r="BO39">
        <f>SUMIF(RawData!$C:$C,$A39,RawData!BS:BS)</f>
        <v>0</v>
      </c>
      <c r="BP39">
        <f>SUMIF(RawData!$C:$C,$A39,RawData!BT:BT)</f>
        <v>0</v>
      </c>
      <c r="BQ39">
        <f>SUMIF(RawData!$C:$C,$A39,RawData!BU:BU)</f>
        <v>0</v>
      </c>
      <c r="BR39">
        <f>SUMIF(RawData!$C:$C,$A39,RawData!BV:BV)</f>
        <v>0</v>
      </c>
      <c r="BS39">
        <f>SUMIF(RawData!$C:$C,$A39,RawData!BW:BW)</f>
        <v>0</v>
      </c>
      <c r="BT39">
        <f>SUMIF(RawData!$C:$C,$A39,RawData!BX:BX)</f>
        <v>0</v>
      </c>
    </row>
    <row r="40" spans="1:72" ht="15" thickBot="1" x14ac:dyDescent="0.35">
      <c r="A40" s="5" t="s">
        <v>92</v>
      </c>
      <c r="B40">
        <f>SUMIF(RawData!$C:$C,$A40,RawData!F:F)</f>
        <v>0</v>
      </c>
      <c r="C40">
        <f>SUMIF(RawData!$C:$C,$A40,RawData!G:G)</f>
        <v>0</v>
      </c>
      <c r="D40">
        <f>SUMIF(RawData!$C:$C,$A40,RawData!H:H)</f>
        <v>0</v>
      </c>
      <c r="E40">
        <f>SUMIF(RawData!$C:$C,$A40,RawData!I:I)</f>
        <v>0</v>
      </c>
      <c r="F40">
        <f>SUMIF(RawData!$C:$C,$A40,RawData!J:J)</f>
        <v>0</v>
      </c>
      <c r="G40">
        <f>SUMIF(RawData!$C:$C,$A40,RawData!K:K)</f>
        <v>0</v>
      </c>
      <c r="H40">
        <f>SUMIF(RawData!$C:$C,$A40,RawData!L:L)</f>
        <v>0</v>
      </c>
      <c r="I40">
        <f>SUMIF(RawData!$C:$C,$A40,RawData!M:M)</f>
        <v>0</v>
      </c>
      <c r="J40">
        <f>SUMIF(RawData!$C:$C,$A40,RawData!N:N)</f>
        <v>0</v>
      </c>
      <c r="K40">
        <f>SUMIF(RawData!$C:$C,$A40,RawData!O:O)</f>
        <v>0</v>
      </c>
      <c r="L40">
        <f>SUMIF(RawData!$C:$C,$A40,RawData!P:P)</f>
        <v>0</v>
      </c>
      <c r="M40">
        <f>SUMIF(RawData!$C:$C,$A40,RawData!Q:Q)</f>
        <v>0</v>
      </c>
      <c r="N40">
        <f>SUMIF(RawData!$C:$C,$A40,RawData!R:R)</f>
        <v>0</v>
      </c>
      <c r="O40">
        <f>SUMIF(RawData!$C:$C,$A40,RawData!S:S)</f>
        <v>0</v>
      </c>
      <c r="P40">
        <f>SUMIF(RawData!$C:$C,$A40,RawData!T:T)</f>
        <v>0</v>
      </c>
      <c r="Q40">
        <f>SUMIF(RawData!$C:$C,$A40,RawData!U:U)</f>
        <v>0</v>
      </c>
      <c r="R40">
        <f>SUMIF(RawData!$C:$C,$A40,RawData!V:V)</f>
        <v>0</v>
      </c>
      <c r="S40">
        <f>SUMIF(RawData!$C:$C,$A40,RawData!W:W)</f>
        <v>0</v>
      </c>
      <c r="T40">
        <f>SUMIF(RawData!$C:$C,$A40,RawData!X:X)</f>
        <v>0</v>
      </c>
      <c r="U40">
        <f>SUMIF(RawData!$C:$C,$A40,RawData!Y:Y)</f>
        <v>0</v>
      </c>
      <c r="V40">
        <f>SUMIF(RawData!$C:$C,$A40,RawData!Z:Z)</f>
        <v>0</v>
      </c>
      <c r="W40">
        <f>SUMIF(RawData!$C:$C,$A40,RawData!AA:AA)</f>
        <v>0</v>
      </c>
      <c r="X40">
        <f>SUMIF(RawData!$C:$C,$A40,RawData!AB:AB)</f>
        <v>0</v>
      </c>
      <c r="Y40">
        <f>SUMIF(RawData!$C:$C,$A40,RawData!AC:AC)</f>
        <v>1</v>
      </c>
      <c r="Z40">
        <f>SUMIF(RawData!$C:$C,$A40,RawData!AD:AD)</f>
        <v>1</v>
      </c>
      <c r="AA40">
        <f>SUMIF(RawData!$C:$C,$A40,RawData!AE:AE)</f>
        <v>1</v>
      </c>
      <c r="AB40">
        <f>SUMIF(RawData!$C:$C,$A40,RawData!AF:AF)</f>
        <v>1</v>
      </c>
      <c r="AC40">
        <f>SUMIF(RawData!$C:$C,$A40,RawData!AG:AG)</f>
        <v>1</v>
      </c>
      <c r="AD40">
        <f>SUMIF(RawData!$C:$C,$A40,RawData!AH:AH)</f>
        <v>1</v>
      </c>
      <c r="AE40">
        <f>SUMIF(RawData!$C:$C,$A40,RawData!AI:AI)</f>
        <v>1</v>
      </c>
      <c r="AF40">
        <f>SUMIF(RawData!$C:$C,$A40,RawData!AJ:AJ)</f>
        <v>1</v>
      </c>
      <c r="AG40">
        <f>SUMIF(RawData!$C:$C,$A40,RawData!AK:AK)</f>
        <v>1</v>
      </c>
      <c r="AH40">
        <f>SUMIF(RawData!$C:$C,$A40,RawData!AL:AL)</f>
        <v>1</v>
      </c>
      <c r="AI40">
        <f>SUMIF(RawData!$C:$C,$A40,RawData!AM:AM)</f>
        <v>1</v>
      </c>
      <c r="AJ40">
        <f>SUMIF(RawData!$C:$C,$A40,RawData!AN:AN)</f>
        <v>1</v>
      </c>
      <c r="AK40">
        <f>SUMIF(RawData!$C:$C,$A40,RawData!AO:AO)</f>
        <v>1</v>
      </c>
      <c r="AL40">
        <f>SUMIF(RawData!$C:$C,$A40,RawData!AP:AP)</f>
        <v>1</v>
      </c>
      <c r="AM40">
        <f>SUMIF(RawData!$C:$C,$A40,RawData!AQ:AQ)</f>
        <v>1</v>
      </c>
      <c r="AN40">
        <f>SUMIF(RawData!$C:$C,$A40,RawData!AR:AR)</f>
        <v>1</v>
      </c>
      <c r="AO40">
        <f>SUMIF(RawData!$C:$C,$A40,RawData!AS:AS)</f>
        <v>2</v>
      </c>
      <c r="AP40">
        <f>SUMIF(RawData!$C:$C,$A40,RawData!AT:AT)</f>
        <v>2</v>
      </c>
      <c r="AQ40">
        <f>SUMIF(RawData!$C:$C,$A40,RawData!AU:AU)</f>
        <v>2</v>
      </c>
      <c r="AR40">
        <f>SUMIF(RawData!$C:$C,$A40,RawData!AV:AV)</f>
        <v>2</v>
      </c>
      <c r="AS40">
        <f>SUMIF(RawData!$C:$C,$A40,RawData!AW:AW)</f>
        <v>3</v>
      </c>
      <c r="AT40">
        <f>SUMIF(RawData!$C:$C,$A40,RawData!AX:AX)</f>
        <v>15</v>
      </c>
      <c r="AU40">
        <f>SUMIF(RawData!$C:$C,$A40,RawData!AY:AY)</f>
        <v>15</v>
      </c>
      <c r="AV40">
        <f>SUMIF(RawData!$C:$C,$A40,RawData!AZ:AZ)</f>
        <v>49</v>
      </c>
      <c r="AW40">
        <f>SUMIF(RawData!$C:$C,$A40,RawData!BA:BA)</f>
        <v>55</v>
      </c>
      <c r="AX40">
        <f>SUMIF(RawData!$C:$C,$A40,RawData!BB:BB)</f>
        <v>59</v>
      </c>
      <c r="AY40">
        <f>SUMIF(RawData!$C:$C,$A40,RawData!BC:BC)</f>
        <v>60</v>
      </c>
      <c r="AZ40">
        <f>SUMIF(RawData!$C:$C,$A40,RawData!BD:BD)</f>
        <v>67</v>
      </c>
      <c r="BA40">
        <f>SUMIF(RawData!$C:$C,$A40,RawData!BE:BE)</f>
        <v>80</v>
      </c>
      <c r="BB40">
        <f>SUMIF(RawData!$C:$C,$A40,RawData!BF:BF)</f>
        <v>109</v>
      </c>
      <c r="BC40">
        <f>SUMIF(RawData!$C:$C,$A40,RawData!BG:BG)</f>
        <v>110</v>
      </c>
      <c r="BD40">
        <f>SUMIF(RawData!$C:$C,$A40,RawData!BH:BH)</f>
        <v>150</v>
      </c>
      <c r="BE40">
        <f>SUMIF(RawData!$C:$C,$A40,RawData!BI:BI)</f>
        <v>0</v>
      </c>
      <c r="BF40">
        <f>SUMIF(RawData!$C:$C,$A40,RawData!BJ:BJ)</f>
        <v>0</v>
      </c>
      <c r="BG40">
        <f>SUMIF(RawData!$C:$C,$A40,RawData!BK:BK)</f>
        <v>0</v>
      </c>
      <c r="BH40">
        <f>SUMIF(RawData!$C:$C,$A40,RawData!BL:BL)</f>
        <v>0</v>
      </c>
      <c r="BI40">
        <f>SUMIF(RawData!$C:$C,$A40,RawData!BM:BM)</f>
        <v>0</v>
      </c>
      <c r="BJ40">
        <f>SUMIF(RawData!$C:$C,$A40,RawData!BN:BN)</f>
        <v>0</v>
      </c>
      <c r="BK40">
        <f>SUMIF(RawData!$C:$C,$A40,RawData!BO:BO)</f>
        <v>0</v>
      </c>
      <c r="BL40">
        <f>SUMIF(RawData!$C:$C,$A40,RawData!BP:BP)</f>
        <v>0</v>
      </c>
      <c r="BM40">
        <f>SUMIF(RawData!$C:$C,$A40,RawData!BQ:BQ)</f>
        <v>0</v>
      </c>
      <c r="BN40">
        <f>SUMIF(RawData!$C:$C,$A40,RawData!BR:BR)</f>
        <v>0</v>
      </c>
      <c r="BO40">
        <f>SUMIF(RawData!$C:$C,$A40,RawData!BS:BS)</f>
        <v>0</v>
      </c>
      <c r="BP40">
        <f>SUMIF(RawData!$C:$C,$A40,RawData!BT:BT)</f>
        <v>0</v>
      </c>
      <c r="BQ40">
        <f>SUMIF(RawData!$C:$C,$A40,RawData!BU:BU)</f>
        <v>0</v>
      </c>
      <c r="BR40">
        <f>SUMIF(RawData!$C:$C,$A40,RawData!BV:BV)</f>
        <v>0</v>
      </c>
      <c r="BS40">
        <f>SUMIF(RawData!$C:$C,$A40,RawData!BW:BW)</f>
        <v>0</v>
      </c>
      <c r="BT40">
        <f>SUMIF(RawData!$C:$C,$A40,RawData!BX:BX)</f>
        <v>0</v>
      </c>
    </row>
    <row r="41" spans="1:72" ht="15" thickBot="1" x14ac:dyDescent="0.35">
      <c r="A41" s="4" t="s">
        <v>101</v>
      </c>
      <c r="B41">
        <f>SUMIF(RawData!$C:$C,$A41,RawData!F:F)</f>
        <v>0</v>
      </c>
      <c r="C41">
        <f>SUMIF(RawData!$C:$C,$A41,RawData!G:G)</f>
        <v>0</v>
      </c>
      <c r="D41">
        <f>SUMIF(RawData!$C:$C,$A41,RawData!H:H)</f>
        <v>0</v>
      </c>
      <c r="E41">
        <f>SUMIF(RawData!$C:$C,$A41,RawData!I:I)</f>
        <v>0</v>
      </c>
      <c r="F41">
        <f>SUMIF(RawData!$C:$C,$A41,RawData!J:J)</f>
        <v>0</v>
      </c>
      <c r="G41">
        <f>SUMIF(RawData!$C:$C,$A41,RawData!K:K)</f>
        <v>0</v>
      </c>
      <c r="H41">
        <f>SUMIF(RawData!$C:$C,$A41,RawData!L:L)</f>
        <v>0</v>
      </c>
      <c r="I41">
        <f>SUMIF(RawData!$C:$C,$A41,RawData!M:M)</f>
        <v>0</v>
      </c>
      <c r="J41">
        <f>SUMIF(RawData!$C:$C,$A41,RawData!N:N)</f>
        <v>0</v>
      </c>
      <c r="K41">
        <f>SUMIF(RawData!$C:$C,$A41,RawData!O:O)</f>
        <v>0</v>
      </c>
      <c r="L41">
        <f>SUMIF(RawData!$C:$C,$A41,RawData!P:P)</f>
        <v>0</v>
      </c>
      <c r="M41">
        <f>SUMIF(RawData!$C:$C,$A41,RawData!Q:Q)</f>
        <v>0</v>
      </c>
      <c r="N41">
        <f>SUMIF(RawData!$C:$C,$A41,RawData!R:R)</f>
        <v>0</v>
      </c>
      <c r="O41">
        <f>SUMIF(RawData!$C:$C,$A41,RawData!S:S)</f>
        <v>0</v>
      </c>
      <c r="P41">
        <f>SUMIF(RawData!$C:$C,$A41,RawData!T:T)</f>
        <v>0</v>
      </c>
      <c r="Q41">
        <f>SUMIF(RawData!$C:$C,$A41,RawData!U:U)</f>
        <v>0</v>
      </c>
      <c r="R41">
        <f>SUMIF(RawData!$C:$C,$A41,RawData!V:V)</f>
        <v>0</v>
      </c>
      <c r="S41">
        <f>SUMIF(RawData!$C:$C,$A41,RawData!W:W)</f>
        <v>0</v>
      </c>
      <c r="T41">
        <f>SUMIF(RawData!$C:$C,$A41,RawData!X:X)</f>
        <v>0</v>
      </c>
      <c r="U41">
        <f>SUMIF(RawData!$C:$C,$A41,RawData!Y:Y)</f>
        <v>0</v>
      </c>
      <c r="V41">
        <f>SUMIF(RawData!$C:$C,$A41,RawData!Z:Z)</f>
        <v>0</v>
      </c>
      <c r="W41">
        <f>SUMIF(RawData!$C:$C,$A41,RawData!AA:AA)</f>
        <v>0</v>
      </c>
      <c r="X41">
        <f>SUMIF(RawData!$C:$C,$A41,RawData!AB:AB)</f>
        <v>0</v>
      </c>
      <c r="Y41">
        <f>SUMIF(RawData!$C:$C,$A41,RawData!AC:AC)</f>
        <v>0</v>
      </c>
      <c r="Z41">
        <f>SUMIF(RawData!$C:$C,$A41,RawData!AD:AD)</f>
        <v>0</v>
      </c>
      <c r="AA41">
        <f>SUMIF(RawData!$C:$C,$A41,RawData!AE:AE)</f>
        <v>0</v>
      </c>
      <c r="AB41">
        <f>SUMIF(RawData!$C:$C,$A41,RawData!AF:AF)</f>
        <v>0</v>
      </c>
      <c r="AC41">
        <f>SUMIF(RawData!$C:$C,$A41,RawData!AG:AG)</f>
        <v>0</v>
      </c>
      <c r="AD41">
        <f>SUMIF(RawData!$C:$C,$A41,RawData!AH:AH)</f>
        <v>0</v>
      </c>
      <c r="AE41">
        <f>SUMIF(RawData!$C:$C,$A41,RawData!AI:AI)</f>
        <v>0</v>
      </c>
      <c r="AF41">
        <f>SUMIF(RawData!$C:$C,$A41,RawData!AJ:AJ)</f>
        <v>0</v>
      </c>
      <c r="AG41">
        <f>SUMIF(RawData!$C:$C,$A41,RawData!AK:AK)</f>
        <v>0</v>
      </c>
      <c r="AH41">
        <f>SUMIF(RawData!$C:$C,$A41,RawData!AL:AL)</f>
        <v>0</v>
      </c>
      <c r="AI41">
        <f>SUMIF(RawData!$C:$C,$A41,RawData!AM:AM)</f>
        <v>1</v>
      </c>
      <c r="AJ41">
        <f>SUMIF(RawData!$C:$C,$A41,RawData!AN:AN)</f>
        <v>11</v>
      </c>
      <c r="AK41">
        <f>SUMIF(RawData!$C:$C,$A41,RawData!AO:AO)</f>
        <v>26</v>
      </c>
      <c r="AL41">
        <f>SUMIF(RawData!$C:$C,$A41,RawData!AP:AP)</f>
        <v>43</v>
      </c>
      <c r="AM41">
        <f>SUMIF(RawData!$C:$C,$A41,RawData!AQ:AQ)</f>
        <v>45</v>
      </c>
      <c r="AN41">
        <f>SUMIF(RawData!$C:$C,$A41,RawData!AR:AR)</f>
        <v>45</v>
      </c>
      <c r="AO41">
        <f>SUMIF(RawData!$C:$C,$A41,RawData!AS:AS)</f>
        <v>45</v>
      </c>
      <c r="AP41">
        <f>SUMIF(RawData!$C:$C,$A41,RawData!AT:AT)</f>
        <v>56</v>
      </c>
      <c r="AQ41">
        <f>SUMIF(RawData!$C:$C,$A41,RawData!AU:AU)</f>
        <v>56</v>
      </c>
      <c r="AR41">
        <f>SUMIF(RawData!$C:$C,$A41,RawData!AV:AV)</f>
        <v>56</v>
      </c>
      <c r="AS41">
        <f>SUMIF(RawData!$C:$C,$A41,RawData!AW:AW)</f>
        <v>58</v>
      </c>
      <c r="AT41">
        <f>SUMIF(RawData!$C:$C,$A41,RawData!AX:AX)</f>
        <v>58</v>
      </c>
      <c r="AU41">
        <f>SUMIF(RawData!$C:$C,$A41,RawData!AY:AY)</f>
        <v>61</v>
      </c>
      <c r="AV41">
        <f>SUMIF(RawData!$C:$C,$A41,RawData!AZ:AZ)</f>
        <v>64</v>
      </c>
      <c r="AW41">
        <f>SUMIF(RawData!$C:$C,$A41,RawData!BA:BA)</f>
        <v>64</v>
      </c>
      <c r="AX41">
        <f>SUMIF(RawData!$C:$C,$A41,RawData!BB:BB)</f>
        <v>69</v>
      </c>
      <c r="AY41">
        <f>SUMIF(RawData!$C:$C,$A41,RawData!BC:BC)</f>
        <v>72</v>
      </c>
      <c r="AZ41">
        <f>SUMIF(RawData!$C:$C,$A41,RawData!BD:BD)</f>
        <v>80</v>
      </c>
      <c r="BA41">
        <f>SUMIF(RawData!$C:$C,$A41,RawData!BE:BE)</f>
        <v>80</v>
      </c>
      <c r="BB41">
        <f>SUMIF(RawData!$C:$C,$A41,RawData!BF:BF)</f>
        <v>104</v>
      </c>
      <c r="BC41">
        <f>SUMIF(RawData!$C:$C,$A41,RawData!BG:BG)</f>
        <v>112</v>
      </c>
      <c r="BD41">
        <f>SUMIF(RawData!$C:$C,$A41,RawData!BH:BH)</f>
        <v>123</v>
      </c>
      <c r="BE41">
        <f>SUMIF(RawData!$C:$C,$A41,RawData!BI:BI)</f>
        <v>0</v>
      </c>
      <c r="BF41">
        <f>SUMIF(RawData!$C:$C,$A41,RawData!BJ:BJ)</f>
        <v>0</v>
      </c>
      <c r="BG41">
        <f>SUMIF(RawData!$C:$C,$A41,RawData!BK:BK)</f>
        <v>0</v>
      </c>
      <c r="BH41">
        <f>SUMIF(RawData!$C:$C,$A41,RawData!BL:BL)</f>
        <v>0</v>
      </c>
      <c r="BI41">
        <f>SUMIF(RawData!$C:$C,$A41,RawData!BM:BM)</f>
        <v>0</v>
      </c>
      <c r="BJ41">
        <f>SUMIF(RawData!$C:$C,$A41,RawData!BN:BN)</f>
        <v>0</v>
      </c>
      <c r="BK41">
        <f>SUMIF(RawData!$C:$C,$A41,RawData!BO:BO)</f>
        <v>0</v>
      </c>
      <c r="BL41">
        <f>SUMIF(RawData!$C:$C,$A41,RawData!BP:BP)</f>
        <v>0</v>
      </c>
      <c r="BM41">
        <f>SUMIF(RawData!$C:$C,$A41,RawData!BQ:BQ)</f>
        <v>0</v>
      </c>
      <c r="BN41">
        <f>SUMIF(RawData!$C:$C,$A41,RawData!BR:BR)</f>
        <v>0</v>
      </c>
      <c r="BO41">
        <f>SUMIF(RawData!$C:$C,$A41,RawData!BS:BS)</f>
        <v>0</v>
      </c>
      <c r="BP41">
        <f>SUMIF(RawData!$C:$C,$A41,RawData!BT:BT)</f>
        <v>0</v>
      </c>
      <c r="BQ41">
        <f>SUMIF(RawData!$C:$C,$A41,RawData!BU:BU)</f>
        <v>0</v>
      </c>
      <c r="BR41">
        <f>SUMIF(RawData!$C:$C,$A41,RawData!BV:BV)</f>
        <v>0</v>
      </c>
      <c r="BS41">
        <f>SUMIF(RawData!$C:$C,$A41,RawData!BW:BW)</f>
        <v>0</v>
      </c>
      <c r="BT41">
        <f>SUMIF(RawData!$C:$C,$A41,RawData!BX:BX)</f>
        <v>0</v>
      </c>
    </row>
    <row r="42" spans="1:72" ht="15" thickBot="1" x14ac:dyDescent="0.35">
      <c r="A42" s="5" t="s">
        <v>117</v>
      </c>
      <c r="B42">
        <f>SUMIF(RawData!$C:$C,$A42,RawData!F:F)</f>
        <v>0</v>
      </c>
      <c r="C42">
        <f>SUMIF(RawData!$C:$C,$A42,RawData!G:G)</f>
        <v>0</v>
      </c>
      <c r="D42">
        <f>SUMIF(RawData!$C:$C,$A42,RawData!H:H)</f>
        <v>0</v>
      </c>
      <c r="E42">
        <f>SUMIF(RawData!$C:$C,$A42,RawData!I:I)</f>
        <v>0</v>
      </c>
      <c r="F42">
        <f>SUMIF(RawData!$C:$C,$A42,RawData!J:J)</f>
        <v>0</v>
      </c>
      <c r="G42">
        <f>SUMIF(RawData!$C:$C,$A42,RawData!K:K)</f>
        <v>0</v>
      </c>
      <c r="H42">
        <f>SUMIF(RawData!$C:$C,$A42,RawData!L:L)</f>
        <v>0</v>
      </c>
      <c r="I42">
        <f>SUMIF(RawData!$C:$C,$A42,RawData!M:M)</f>
        <v>0</v>
      </c>
      <c r="J42">
        <f>SUMIF(RawData!$C:$C,$A42,RawData!N:N)</f>
        <v>0</v>
      </c>
      <c r="K42">
        <f>SUMIF(RawData!$C:$C,$A42,RawData!O:O)</f>
        <v>0</v>
      </c>
      <c r="L42">
        <f>SUMIF(RawData!$C:$C,$A42,RawData!P:P)</f>
        <v>0</v>
      </c>
      <c r="M42">
        <f>SUMIF(RawData!$C:$C,$A42,RawData!Q:Q)</f>
        <v>0</v>
      </c>
      <c r="N42">
        <f>SUMIF(RawData!$C:$C,$A42,RawData!R:R)</f>
        <v>0</v>
      </c>
      <c r="O42">
        <f>SUMIF(RawData!$C:$C,$A42,RawData!S:S)</f>
        <v>0</v>
      </c>
      <c r="P42">
        <f>SUMIF(RawData!$C:$C,$A42,RawData!T:T)</f>
        <v>0</v>
      </c>
      <c r="Q42">
        <f>SUMIF(RawData!$C:$C,$A42,RawData!U:U)</f>
        <v>0</v>
      </c>
      <c r="R42">
        <f>SUMIF(RawData!$C:$C,$A42,RawData!V:V)</f>
        <v>0</v>
      </c>
      <c r="S42">
        <f>SUMIF(RawData!$C:$C,$A42,RawData!W:W)</f>
        <v>0</v>
      </c>
      <c r="T42">
        <f>SUMIF(RawData!$C:$C,$A42,RawData!X:X)</f>
        <v>0</v>
      </c>
      <c r="U42">
        <f>SUMIF(RawData!$C:$C,$A42,RawData!Y:Y)</f>
        <v>0</v>
      </c>
      <c r="V42">
        <f>SUMIF(RawData!$C:$C,$A42,RawData!Z:Z)</f>
        <v>0</v>
      </c>
      <c r="W42">
        <f>SUMIF(RawData!$C:$C,$A42,RawData!AA:AA)</f>
        <v>0</v>
      </c>
      <c r="X42">
        <f>SUMIF(RawData!$C:$C,$A42,RawData!AB:AB)</f>
        <v>0</v>
      </c>
      <c r="Y42">
        <f>SUMIF(RawData!$C:$C,$A42,RawData!AC:AC)</f>
        <v>0</v>
      </c>
      <c r="Z42">
        <f>SUMIF(RawData!$C:$C,$A42,RawData!AD:AD)</f>
        <v>0</v>
      </c>
      <c r="AA42">
        <f>SUMIF(RawData!$C:$C,$A42,RawData!AE:AE)</f>
        <v>0</v>
      </c>
      <c r="AB42">
        <f>SUMIF(RawData!$C:$C,$A42,RawData!AF:AF)</f>
        <v>0</v>
      </c>
      <c r="AC42">
        <f>SUMIF(RawData!$C:$C,$A42,RawData!AG:AG)</f>
        <v>0</v>
      </c>
      <c r="AD42">
        <f>SUMIF(RawData!$C:$C,$A42,RawData!AH:AH)</f>
        <v>0</v>
      </c>
      <c r="AE42">
        <f>SUMIF(RawData!$C:$C,$A42,RawData!AI:AI)</f>
        <v>0</v>
      </c>
      <c r="AF42">
        <f>SUMIF(RawData!$C:$C,$A42,RawData!AJ:AJ)</f>
        <v>0</v>
      </c>
      <c r="AG42">
        <f>SUMIF(RawData!$C:$C,$A42,RawData!AK:AK)</f>
        <v>0</v>
      </c>
      <c r="AH42">
        <f>SUMIF(RawData!$C:$C,$A42,RawData!AL:AL)</f>
        <v>0</v>
      </c>
      <c r="AI42">
        <f>SUMIF(RawData!$C:$C,$A42,RawData!AM:AM)</f>
        <v>0</v>
      </c>
      <c r="AJ42">
        <f>SUMIF(RawData!$C:$C,$A42,RawData!AN:AN)</f>
        <v>0</v>
      </c>
      <c r="AK42">
        <f>SUMIF(RawData!$C:$C,$A42,RawData!AO:AO)</f>
        <v>0</v>
      </c>
      <c r="AL42">
        <f>SUMIF(RawData!$C:$C,$A42,RawData!AP:AP)</f>
        <v>1</v>
      </c>
      <c r="AM42">
        <f>SUMIF(RawData!$C:$C,$A42,RawData!AQ:AQ)</f>
        <v>1</v>
      </c>
      <c r="AN42">
        <f>SUMIF(RawData!$C:$C,$A42,RawData!AR:AR)</f>
        <v>1</v>
      </c>
      <c r="AO42">
        <f>SUMIF(RawData!$C:$C,$A42,RawData!AS:AS)</f>
        <v>1</v>
      </c>
      <c r="AP42">
        <f>SUMIF(RawData!$C:$C,$A42,RawData!AT:AT)</f>
        <v>8</v>
      </c>
      <c r="AQ42">
        <f>SUMIF(RawData!$C:$C,$A42,RawData!AU:AU)</f>
        <v>10</v>
      </c>
      <c r="AR42">
        <f>SUMIF(RawData!$C:$C,$A42,RawData!AV:AV)</f>
        <v>16</v>
      </c>
      <c r="AS42">
        <f>SUMIF(RawData!$C:$C,$A42,RawData!AW:AW)</f>
        <v>21</v>
      </c>
      <c r="AT42">
        <f>SUMIF(RawData!$C:$C,$A42,RawData!AX:AX)</f>
        <v>21</v>
      </c>
      <c r="AU42">
        <f>SUMIF(RawData!$C:$C,$A42,RawData!AY:AY)</f>
        <v>23</v>
      </c>
      <c r="AV42">
        <f>SUMIF(RawData!$C:$C,$A42,RawData!AZ:AZ)</f>
        <v>36</v>
      </c>
      <c r="AW42">
        <f>SUMIF(RawData!$C:$C,$A42,RawData!BA:BA)</f>
        <v>36</v>
      </c>
      <c r="AX42">
        <f>SUMIF(RawData!$C:$C,$A42,RawData!BB:BB)</f>
        <v>51</v>
      </c>
      <c r="AY42">
        <f>SUMIF(RawData!$C:$C,$A42,RawData!BC:BC)</f>
        <v>62</v>
      </c>
      <c r="AZ42">
        <f>SUMIF(RawData!$C:$C,$A42,RawData!BD:BD)</f>
        <v>69</v>
      </c>
      <c r="BA42">
        <f>SUMIF(RawData!$C:$C,$A42,RawData!BE:BE)</f>
        <v>80</v>
      </c>
      <c r="BB42">
        <f>SUMIF(RawData!$C:$C,$A42,RawData!BF:BF)</f>
        <v>80</v>
      </c>
      <c r="BC42">
        <f>SUMIF(RawData!$C:$C,$A42,RawData!BG:BG)</f>
        <v>101</v>
      </c>
      <c r="BD42">
        <f>SUMIF(RawData!$C:$C,$A42,RawData!BH:BH)</f>
        <v>109</v>
      </c>
      <c r="BE42">
        <f>SUMIF(RawData!$C:$C,$A42,RawData!BI:BI)</f>
        <v>0</v>
      </c>
      <c r="BF42">
        <f>SUMIF(RawData!$C:$C,$A42,RawData!BJ:BJ)</f>
        <v>0</v>
      </c>
      <c r="BG42">
        <f>SUMIF(RawData!$C:$C,$A42,RawData!BK:BK)</f>
        <v>0</v>
      </c>
      <c r="BH42">
        <f>SUMIF(RawData!$C:$C,$A42,RawData!BL:BL)</f>
        <v>0</v>
      </c>
      <c r="BI42">
        <f>SUMIF(RawData!$C:$C,$A42,RawData!BM:BM)</f>
        <v>0</v>
      </c>
      <c r="BJ42">
        <f>SUMIF(RawData!$C:$C,$A42,RawData!BN:BN)</f>
        <v>0</v>
      </c>
      <c r="BK42">
        <f>SUMIF(RawData!$C:$C,$A42,RawData!BO:BO)</f>
        <v>0</v>
      </c>
      <c r="BL42">
        <f>SUMIF(RawData!$C:$C,$A42,RawData!BP:BP)</f>
        <v>0</v>
      </c>
      <c r="BM42">
        <f>SUMIF(RawData!$C:$C,$A42,RawData!BQ:BQ)</f>
        <v>0</v>
      </c>
      <c r="BN42">
        <f>SUMIF(RawData!$C:$C,$A42,RawData!BR:BR)</f>
        <v>0</v>
      </c>
      <c r="BO42">
        <f>SUMIF(RawData!$C:$C,$A42,RawData!BS:BS)</f>
        <v>0</v>
      </c>
      <c r="BP42">
        <f>SUMIF(RawData!$C:$C,$A42,RawData!BT:BT)</f>
        <v>0</v>
      </c>
      <c r="BQ42">
        <f>SUMIF(RawData!$C:$C,$A42,RawData!BU:BU)</f>
        <v>0</v>
      </c>
      <c r="BR42">
        <f>SUMIF(RawData!$C:$C,$A42,RawData!BV:BV)</f>
        <v>0</v>
      </c>
      <c r="BS42">
        <f>SUMIF(RawData!$C:$C,$A42,RawData!BW:BW)</f>
        <v>0</v>
      </c>
      <c r="BT42">
        <f>SUMIF(RawData!$C:$C,$A42,RawData!BX:BX)</f>
        <v>0</v>
      </c>
    </row>
    <row r="43" spans="1:72" ht="15" thickBot="1" x14ac:dyDescent="0.35">
      <c r="A43" s="5" t="s">
        <v>115</v>
      </c>
      <c r="B43">
        <f>SUMIF(RawData!$C:$C,$A43,RawData!F:F)</f>
        <v>0</v>
      </c>
      <c r="C43">
        <f>SUMIF(RawData!$C:$C,$A43,RawData!G:G)</f>
        <v>0</v>
      </c>
      <c r="D43">
        <f>SUMIF(RawData!$C:$C,$A43,RawData!H:H)</f>
        <v>0</v>
      </c>
      <c r="E43">
        <f>SUMIF(RawData!$C:$C,$A43,RawData!I:I)</f>
        <v>0</v>
      </c>
      <c r="F43">
        <f>SUMIF(RawData!$C:$C,$A43,RawData!J:J)</f>
        <v>0</v>
      </c>
      <c r="G43">
        <f>SUMIF(RawData!$C:$C,$A43,RawData!K:K)</f>
        <v>0</v>
      </c>
      <c r="H43">
        <f>SUMIF(RawData!$C:$C,$A43,RawData!L:L)</f>
        <v>0</v>
      </c>
      <c r="I43">
        <f>SUMIF(RawData!$C:$C,$A43,RawData!M:M)</f>
        <v>0</v>
      </c>
      <c r="J43">
        <f>SUMIF(RawData!$C:$C,$A43,RawData!N:N)</f>
        <v>0</v>
      </c>
      <c r="K43">
        <f>SUMIF(RawData!$C:$C,$A43,RawData!O:O)</f>
        <v>0</v>
      </c>
      <c r="L43">
        <f>SUMIF(RawData!$C:$C,$A43,RawData!P:P)</f>
        <v>0</v>
      </c>
      <c r="M43">
        <f>SUMIF(RawData!$C:$C,$A43,RawData!Q:Q)</f>
        <v>0</v>
      </c>
      <c r="N43">
        <f>SUMIF(RawData!$C:$C,$A43,RawData!R:R)</f>
        <v>0</v>
      </c>
      <c r="O43">
        <f>SUMIF(RawData!$C:$C,$A43,RawData!S:S)</f>
        <v>0</v>
      </c>
      <c r="P43">
        <f>SUMIF(RawData!$C:$C,$A43,RawData!T:T)</f>
        <v>0</v>
      </c>
      <c r="Q43">
        <f>SUMIF(RawData!$C:$C,$A43,RawData!U:U)</f>
        <v>0</v>
      </c>
      <c r="R43">
        <f>SUMIF(RawData!$C:$C,$A43,RawData!V:V)</f>
        <v>0</v>
      </c>
      <c r="S43">
        <f>SUMIF(RawData!$C:$C,$A43,RawData!W:W)</f>
        <v>0</v>
      </c>
      <c r="T43">
        <f>SUMIF(RawData!$C:$C,$A43,RawData!X:X)</f>
        <v>0</v>
      </c>
      <c r="U43">
        <f>SUMIF(RawData!$C:$C,$A43,RawData!Y:Y)</f>
        <v>0</v>
      </c>
      <c r="V43">
        <f>SUMIF(RawData!$C:$C,$A43,RawData!Z:Z)</f>
        <v>0</v>
      </c>
      <c r="W43">
        <f>SUMIF(RawData!$C:$C,$A43,RawData!AA:AA)</f>
        <v>0</v>
      </c>
      <c r="X43">
        <f>SUMIF(RawData!$C:$C,$A43,RawData!AB:AB)</f>
        <v>0</v>
      </c>
      <c r="Y43">
        <f>SUMIF(RawData!$C:$C,$A43,RawData!AC:AC)</f>
        <v>0</v>
      </c>
      <c r="Z43">
        <f>SUMIF(RawData!$C:$C,$A43,RawData!AD:AD)</f>
        <v>0</v>
      </c>
      <c r="AA43">
        <f>SUMIF(RawData!$C:$C,$A43,RawData!AE:AE)</f>
        <v>0</v>
      </c>
      <c r="AB43">
        <f>SUMIF(RawData!$C:$C,$A43,RawData!AF:AF)</f>
        <v>0</v>
      </c>
      <c r="AC43">
        <f>SUMIF(RawData!$C:$C,$A43,RawData!AG:AG)</f>
        <v>0</v>
      </c>
      <c r="AD43">
        <f>SUMIF(RawData!$C:$C,$A43,RawData!AH:AH)</f>
        <v>0</v>
      </c>
      <c r="AE43">
        <f>SUMIF(RawData!$C:$C,$A43,RawData!AI:AI)</f>
        <v>0</v>
      </c>
      <c r="AF43">
        <f>SUMIF(RawData!$C:$C,$A43,RawData!AJ:AJ)</f>
        <v>0</v>
      </c>
      <c r="AG43">
        <f>SUMIF(RawData!$C:$C,$A43,RawData!AK:AK)</f>
        <v>0</v>
      </c>
      <c r="AH43">
        <f>SUMIF(RawData!$C:$C,$A43,RawData!AL:AL)</f>
        <v>0</v>
      </c>
      <c r="AI43">
        <f>SUMIF(RawData!$C:$C,$A43,RawData!AM:AM)</f>
        <v>0</v>
      </c>
      <c r="AJ43">
        <f>SUMIF(RawData!$C:$C,$A43,RawData!AN:AN)</f>
        <v>0</v>
      </c>
      <c r="AK43">
        <f>SUMIF(RawData!$C:$C,$A43,RawData!AO:AO)</f>
        <v>0</v>
      </c>
      <c r="AL43">
        <f>SUMIF(RawData!$C:$C,$A43,RawData!AP:AP)</f>
        <v>1</v>
      </c>
      <c r="AM43">
        <f>SUMIF(RawData!$C:$C,$A43,RawData!AQ:AQ)</f>
        <v>1</v>
      </c>
      <c r="AN43">
        <f>SUMIF(RawData!$C:$C,$A43,RawData!AR:AR)</f>
        <v>1</v>
      </c>
      <c r="AO43">
        <f>SUMIF(RawData!$C:$C,$A43,RawData!AS:AS)</f>
        <v>1</v>
      </c>
      <c r="AP43">
        <f>SUMIF(RawData!$C:$C,$A43,RawData!AT:AT)</f>
        <v>1</v>
      </c>
      <c r="AQ43">
        <f>SUMIF(RawData!$C:$C,$A43,RawData!AU:AU)</f>
        <v>2</v>
      </c>
      <c r="AR43">
        <f>SUMIF(RawData!$C:$C,$A43,RawData!AV:AV)</f>
        <v>2</v>
      </c>
      <c r="AS43">
        <f>SUMIF(RawData!$C:$C,$A43,RawData!AW:AW)</f>
        <v>3</v>
      </c>
      <c r="AT43">
        <f>SUMIF(RawData!$C:$C,$A43,RawData!AX:AX)</f>
        <v>10</v>
      </c>
      <c r="AU43">
        <f>SUMIF(RawData!$C:$C,$A43,RawData!AY:AY)</f>
        <v>10</v>
      </c>
      <c r="AV43">
        <f>SUMIF(RawData!$C:$C,$A43,RawData!AZ:AZ)</f>
        <v>10</v>
      </c>
      <c r="AW43">
        <f>SUMIF(RawData!$C:$C,$A43,RawData!BA:BA)</f>
        <v>10</v>
      </c>
      <c r="AX43">
        <f>SUMIF(RawData!$C:$C,$A43,RawData!BB:BB)</f>
        <v>12</v>
      </c>
      <c r="AY43">
        <f>SUMIF(RawData!$C:$C,$A43,RawData!BC:BC)</f>
        <v>16</v>
      </c>
      <c r="AZ43">
        <f>SUMIF(RawData!$C:$C,$A43,RawData!BD:BD)</f>
        <v>16</v>
      </c>
      <c r="BA43">
        <f>SUMIF(RawData!$C:$C,$A43,RawData!BE:BE)</f>
        <v>79</v>
      </c>
      <c r="BB43">
        <f>SUMIF(RawData!$C:$C,$A43,RawData!BF:BF)</f>
        <v>115</v>
      </c>
      <c r="BC43">
        <f>SUMIF(RawData!$C:$C,$A43,RawData!BG:BG)</f>
        <v>171</v>
      </c>
      <c r="BD43">
        <f>SUMIF(RawData!$C:$C,$A43,RawData!BH:BH)</f>
        <v>205</v>
      </c>
      <c r="BE43">
        <f>SUMIF(RawData!$C:$C,$A43,RawData!BI:BI)</f>
        <v>0</v>
      </c>
      <c r="BF43">
        <f>SUMIF(RawData!$C:$C,$A43,RawData!BJ:BJ)</f>
        <v>0</v>
      </c>
      <c r="BG43">
        <f>SUMIF(RawData!$C:$C,$A43,RawData!BK:BK)</f>
        <v>0</v>
      </c>
      <c r="BH43">
        <f>SUMIF(RawData!$C:$C,$A43,RawData!BL:BL)</f>
        <v>0</v>
      </c>
      <c r="BI43">
        <f>SUMIF(RawData!$C:$C,$A43,RawData!BM:BM)</f>
        <v>0</v>
      </c>
      <c r="BJ43">
        <f>SUMIF(RawData!$C:$C,$A43,RawData!BN:BN)</f>
        <v>0</v>
      </c>
      <c r="BK43">
        <f>SUMIF(RawData!$C:$C,$A43,RawData!BO:BO)</f>
        <v>0</v>
      </c>
      <c r="BL43">
        <f>SUMIF(RawData!$C:$C,$A43,RawData!BP:BP)</f>
        <v>0</v>
      </c>
      <c r="BM43">
        <f>SUMIF(RawData!$C:$C,$A43,RawData!BQ:BQ)</f>
        <v>0</v>
      </c>
      <c r="BN43">
        <f>SUMIF(RawData!$C:$C,$A43,RawData!BR:BR)</f>
        <v>0</v>
      </c>
      <c r="BO43">
        <f>SUMIF(RawData!$C:$C,$A43,RawData!BS:BS)</f>
        <v>0</v>
      </c>
      <c r="BP43">
        <f>SUMIF(RawData!$C:$C,$A43,RawData!BT:BT)</f>
        <v>0</v>
      </c>
      <c r="BQ43">
        <f>SUMIF(RawData!$C:$C,$A43,RawData!BU:BU)</f>
        <v>0</v>
      </c>
      <c r="BR43">
        <f>SUMIF(RawData!$C:$C,$A43,RawData!BV:BV)</f>
        <v>0</v>
      </c>
      <c r="BS43">
        <f>SUMIF(RawData!$C:$C,$A43,RawData!BW:BW)</f>
        <v>0</v>
      </c>
      <c r="BT43">
        <f>SUMIF(RawData!$C:$C,$A43,RawData!BX:BX)</f>
        <v>0</v>
      </c>
    </row>
    <row r="44" spans="1:72" ht="15" thickBot="1" x14ac:dyDescent="0.35">
      <c r="A44" s="5" t="s">
        <v>94</v>
      </c>
      <c r="B44">
        <f>SUMIF(RawData!$C:$C,$A44,RawData!F:F)</f>
        <v>0</v>
      </c>
      <c r="C44">
        <f>SUMIF(RawData!$C:$C,$A44,RawData!G:G)</f>
        <v>0</v>
      </c>
      <c r="D44">
        <f>SUMIF(RawData!$C:$C,$A44,RawData!H:H)</f>
        <v>0</v>
      </c>
      <c r="E44">
        <f>SUMIF(RawData!$C:$C,$A44,RawData!I:I)</f>
        <v>0</v>
      </c>
      <c r="F44">
        <f>SUMIF(RawData!$C:$C,$A44,RawData!J:J)</f>
        <v>0</v>
      </c>
      <c r="G44">
        <f>SUMIF(RawData!$C:$C,$A44,RawData!K:K)</f>
        <v>0</v>
      </c>
      <c r="H44">
        <f>SUMIF(RawData!$C:$C,$A44,RawData!L:L)</f>
        <v>0</v>
      </c>
      <c r="I44">
        <f>SUMIF(RawData!$C:$C,$A44,RawData!M:M)</f>
        <v>0</v>
      </c>
      <c r="J44">
        <f>SUMIF(RawData!$C:$C,$A44,RawData!N:N)</f>
        <v>0</v>
      </c>
      <c r="K44">
        <f>SUMIF(RawData!$C:$C,$A44,RawData!O:O)</f>
        <v>0</v>
      </c>
      <c r="L44">
        <f>SUMIF(RawData!$C:$C,$A44,RawData!P:P)</f>
        <v>0</v>
      </c>
      <c r="M44">
        <f>SUMIF(RawData!$C:$C,$A44,RawData!Q:Q)</f>
        <v>0</v>
      </c>
      <c r="N44">
        <f>SUMIF(RawData!$C:$C,$A44,RawData!R:R)</f>
        <v>0</v>
      </c>
      <c r="O44">
        <f>SUMIF(RawData!$C:$C,$A44,RawData!S:S)</f>
        <v>0</v>
      </c>
      <c r="P44">
        <f>SUMIF(RawData!$C:$C,$A44,RawData!T:T)</f>
        <v>0</v>
      </c>
      <c r="Q44">
        <f>SUMIF(RawData!$C:$C,$A44,RawData!U:U)</f>
        <v>0</v>
      </c>
      <c r="R44">
        <f>SUMIF(RawData!$C:$C,$A44,RawData!V:V)</f>
        <v>0</v>
      </c>
      <c r="S44">
        <f>SUMIF(RawData!$C:$C,$A44,RawData!W:W)</f>
        <v>0</v>
      </c>
      <c r="T44">
        <f>SUMIF(RawData!$C:$C,$A44,RawData!X:X)</f>
        <v>0</v>
      </c>
      <c r="U44">
        <f>SUMIF(RawData!$C:$C,$A44,RawData!Y:Y)</f>
        <v>0</v>
      </c>
      <c r="V44">
        <f>SUMIF(RawData!$C:$C,$A44,RawData!Z:Z)</f>
        <v>0</v>
      </c>
      <c r="W44">
        <f>SUMIF(RawData!$C:$C,$A44,RawData!AA:AA)</f>
        <v>0</v>
      </c>
      <c r="X44">
        <f>SUMIF(RawData!$C:$C,$A44,RawData!AB:AB)</f>
        <v>0</v>
      </c>
      <c r="Y44">
        <f>SUMIF(RawData!$C:$C,$A44,RawData!AC:AC)</f>
        <v>0</v>
      </c>
      <c r="Z44">
        <f>SUMIF(RawData!$C:$C,$A44,RawData!AD:AD)</f>
        <v>0</v>
      </c>
      <c r="AA44">
        <f>SUMIF(RawData!$C:$C,$A44,RawData!AE:AE)</f>
        <v>0</v>
      </c>
      <c r="AB44">
        <f>SUMIF(RawData!$C:$C,$A44,RawData!AF:AF)</f>
        <v>0</v>
      </c>
      <c r="AC44">
        <f>SUMIF(RawData!$C:$C,$A44,RawData!AG:AG)</f>
        <v>0</v>
      </c>
      <c r="AD44">
        <f>SUMIF(RawData!$C:$C,$A44,RawData!AH:AH)</f>
        <v>0</v>
      </c>
      <c r="AE44">
        <f>SUMIF(RawData!$C:$C,$A44,RawData!AI:AI)</f>
        <v>0</v>
      </c>
      <c r="AF44">
        <f>SUMIF(RawData!$C:$C,$A44,RawData!AJ:AJ)</f>
        <v>1</v>
      </c>
      <c r="AG44">
        <f>SUMIF(RawData!$C:$C,$A44,RawData!AK:AK)</f>
        <v>1</v>
      </c>
      <c r="AH44">
        <f>SUMIF(RawData!$C:$C,$A44,RawData!AL:AL)</f>
        <v>1</v>
      </c>
      <c r="AI44">
        <f>SUMIF(RawData!$C:$C,$A44,RawData!AM:AM)</f>
        <v>1</v>
      </c>
      <c r="AJ44">
        <f>SUMIF(RawData!$C:$C,$A44,RawData!AN:AN)</f>
        <v>1</v>
      </c>
      <c r="AK44">
        <f>SUMIF(RawData!$C:$C,$A44,RawData!AO:AO)</f>
        <v>2</v>
      </c>
      <c r="AL44">
        <f>SUMIF(RawData!$C:$C,$A44,RawData!AP:AP)</f>
        <v>2</v>
      </c>
      <c r="AM44">
        <f>SUMIF(RawData!$C:$C,$A44,RawData!AQ:AQ)</f>
        <v>2</v>
      </c>
      <c r="AN44">
        <f>SUMIF(RawData!$C:$C,$A44,RawData!AR:AR)</f>
        <v>4</v>
      </c>
      <c r="AO44">
        <f>SUMIF(RawData!$C:$C,$A44,RawData!AS:AS)</f>
        <v>10</v>
      </c>
      <c r="AP44">
        <f>SUMIF(RawData!$C:$C,$A44,RawData!AT:AT)</f>
        <v>13</v>
      </c>
      <c r="AQ44">
        <f>SUMIF(RawData!$C:$C,$A44,RawData!AU:AU)</f>
        <v>13</v>
      </c>
      <c r="AR44">
        <f>SUMIF(RawData!$C:$C,$A44,RawData!AV:AV)</f>
        <v>13</v>
      </c>
      <c r="AS44">
        <f>SUMIF(RawData!$C:$C,$A44,RawData!AW:AW)</f>
        <v>16</v>
      </c>
      <c r="AT44">
        <f>SUMIF(RawData!$C:$C,$A44,RawData!AX:AX)</f>
        <v>22</v>
      </c>
      <c r="AU44">
        <f>SUMIF(RawData!$C:$C,$A44,RawData!AY:AY)</f>
        <v>22</v>
      </c>
      <c r="AV44">
        <f>SUMIF(RawData!$C:$C,$A44,RawData!AZ:AZ)</f>
        <v>32</v>
      </c>
      <c r="AW44">
        <f>SUMIF(RawData!$C:$C,$A44,RawData!BA:BA)</f>
        <v>32</v>
      </c>
      <c r="AX44">
        <f>SUMIF(RawData!$C:$C,$A44,RawData!BB:BB)</f>
        <v>41</v>
      </c>
      <c r="AY44">
        <f>SUMIF(RawData!$C:$C,$A44,RawData!BC:BC)</f>
        <v>61</v>
      </c>
      <c r="AZ44">
        <f>SUMIF(RawData!$C:$C,$A44,RawData!BD:BD)</f>
        <v>61</v>
      </c>
      <c r="BA44">
        <f>SUMIF(RawData!$C:$C,$A44,RawData!BE:BE)</f>
        <v>77</v>
      </c>
      <c r="BB44">
        <f>SUMIF(RawData!$C:$C,$A44,RawData!BF:BF)</f>
        <v>93</v>
      </c>
      <c r="BC44">
        <f>SUMIF(RawData!$C:$C,$A44,RawData!BG:BG)</f>
        <v>110</v>
      </c>
      <c r="BD44">
        <f>SUMIF(RawData!$C:$C,$A44,RawData!BH:BH)</f>
        <v>99</v>
      </c>
      <c r="BE44">
        <f>SUMIF(RawData!$C:$C,$A44,RawData!BI:BI)</f>
        <v>0</v>
      </c>
      <c r="BF44">
        <f>SUMIF(RawData!$C:$C,$A44,RawData!BJ:BJ)</f>
        <v>0</v>
      </c>
      <c r="BG44">
        <f>SUMIF(RawData!$C:$C,$A44,RawData!BK:BK)</f>
        <v>0</v>
      </c>
      <c r="BH44">
        <f>SUMIF(RawData!$C:$C,$A44,RawData!BL:BL)</f>
        <v>0</v>
      </c>
      <c r="BI44">
        <f>SUMIF(RawData!$C:$C,$A44,RawData!BM:BM)</f>
        <v>0</v>
      </c>
      <c r="BJ44">
        <f>SUMIF(RawData!$C:$C,$A44,RawData!BN:BN)</f>
        <v>0</v>
      </c>
      <c r="BK44">
        <f>SUMIF(RawData!$C:$C,$A44,RawData!BO:BO)</f>
        <v>0</v>
      </c>
      <c r="BL44">
        <f>SUMIF(RawData!$C:$C,$A44,RawData!BP:BP)</f>
        <v>0</v>
      </c>
      <c r="BM44">
        <f>SUMIF(RawData!$C:$C,$A44,RawData!BQ:BQ)</f>
        <v>0</v>
      </c>
      <c r="BN44">
        <f>SUMIF(RawData!$C:$C,$A44,RawData!BR:BR)</f>
        <v>0</v>
      </c>
      <c r="BO44">
        <f>SUMIF(RawData!$C:$C,$A44,RawData!BS:BS)</f>
        <v>0</v>
      </c>
      <c r="BP44">
        <f>SUMIF(RawData!$C:$C,$A44,RawData!BT:BT)</f>
        <v>0</v>
      </c>
      <c r="BQ44">
        <f>SUMIF(RawData!$C:$C,$A44,RawData!BU:BU)</f>
        <v>0</v>
      </c>
      <c r="BR44">
        <f>SUMIF(RawData!$C:$C,$A44,RawData!BV:BV)</f>
        <v>0</v>
      </c>
      <c r="BS44">
        <f>SUMIF(RawData!$C:$C,$A44,RawData!BW:BW)</f>
        <v>0</v>
      </c>
      <c r="BT44">
        <f>SUMIF(RawData!$C:$C,$A44,RawData!BX:BX)</f>
        <v>0</v>
      </c>
    </row>
    <row r="45" spans="1:72" ht="15" thickBot="1" x14ac:dyDescent="0.35">
      <c r="A45" s="4" t="s">
        <v>62</v>
      </c>
      <c r="B45">
        <f>SUMIF(RawData!$C:$C,$A45,RawData!F:F)</f>
        <v>2</v>
      </c>
      <c r="C45">
        <f>SUMIF(RawData!$C:$C,$A45,RawData!G:G)</f>
        <v>3</v>
      </c>
      <c r="D45">
        <f>SUMIF(RawData!$C:$C,$A45,RawData!H:H)</f>
        <v>5</v>
      </c>
      <c r="E45">
        <f>SUMIF(RawData!$C:$C,$A45,RawData!I:I)</f>
        <v>7</v>
      </c>
      <c r="F45">
        <f>SUMIF(RawData!$C:$C,$A45,RawData!J:J)</f>
        <v>8</v>
      </c>
      <c r="G45">
        <f>SUMIF(RawData!$C:$C,$A45,RawData!K:K)</f>
        <v>8</v>
      </c>
      <c r="H45">
        <f>SUMIF(RawData!$C:$C,$A45,RawData!L:L)</f>
        <v>14</v>
      </c>
      <c r="I45">
        <f>SUMIF(RawData!$C:$C,$A45,RawData!M:M)</f>
        <v>14</v>
      </c>
      <c r="J45">
        <f>SUMIF(RawData!$C:$C,$A45,RawData!N:N)</f>
        <v>14</v>
      </c>
      <c r="K45">
        <f>SUMIF(RawData!$C:$C,$A45,RawData!O:O)</f>
        <v>19</v>
      </c>
      <c r="L45">
        <f>SUMIF(RawData!$C:$C,$A45,RawData!P:P)</f>
        <v>19</v>
      </c>
      <c r="M45">
        <f>SUMIF(RawData!$C:$C,$A45,RawData!Q:Q)</f>
        <v>19</v>
      </c>
      <c r="N45">
        <f>SUMIF(RawData!$C:$C,$A45,RawData!R:R)</f>
        <v>19</v>
      </c>
      <c r="O45">
        <f>SUMIF(RawData!$C:$C,$A45,RawData!S:S)</f>
        <v>25</v>
      </c>
      <c r="P45">
        <f>SUMIF(RawData!$C:$C,$A45,RawData!T:T)</f>
        <v>25</v>
      </c>
      <c r="Q45">
        <f>SUMIF(RawData!$C:$C,$A45,RawData!U:U)</f>
        <v>25</v>
      </c>
      <c r="R45">
        <f>SUMIF(RawData!$C:$C,$A45,RawData!V:V)</f>
        <v>25</v>
      </c>
      <c r="S45">
        <f>SUMIF(RawData!$C:$C,$A45,RawData!W:W)</f>
        <v>32</v>
      </c>
      <c r="T45">
        <f>SUMIF(RawData!$C:$C,$A45,RawData!X:X)</f>
        <v>32</v>
      </c>
      <c r="U45">
        <f>SUMIF(RawData!$C:$C,$A45,RawData!Y:Y)</f>
        <v>32</v>
      </c>
      <c r="V45">
        <f>SUMIF(RawData!$C:$C,$A45,RawData!Z:Z)</f>
        <v>33</v>
      </c>
      <c r="W45">
        <f>SUMIF(RawData!$C:$C,$A45,RawData!AA:AA)</f>
        <v>33</v>
      </c>
      <c r="X45">
        <f>SUMIF(RawData!$C:$C,$A45,RawData!AB:AB)</f>
        <v>33</v>
      </c>
      <c r="Y45">
        <f>SUMIF(RawData!$C:$C,$A45,RawData!AC:AC)</f>
        <v>33</v>
      </c>
      <c r="Z45">
        <f>SUMIF(RawData!$C:$C,$A45,RawData!AD:AD)</f>
        <v>33</v>
      </c>
      <c r="AA45">
        <f>SUMIF(RawData!$C:$C,$A45,RawData!AE:AE)</f>
        <v>34</v>
      </c>
      <c r="AB45">
        <f>SUMIF(RawData!$C:$C,$A45,RawData!AF:AF)</f>
        <v>35</v>
      </c>
      <c r="AC45">
        <f>SUMIF(RawData!$C:$C,$A45,RawData!AG:AG)</f>
        <v>35</v>
      </c>
      <c r="AD45">
        <f>SUMIF(RawData!$C:$C,$A45,RawData!AH:AH)</f>
        <v>35</v>
      </c>
      <c r="AE45">
        <f>SUMIF(RawData!$C:$C,$A45,RawData!AI:AI)</f>
        <v>35</v>
      </c>
      <c r="AF45">
        <f>SUMIF(RawData!$C:$C,$A45,RawData!AJ:AJ)</f>
        <v>35</v>
      </c>
      <c r="AG45">
        <f>SUMIF(RawData!$C:$C,$A45,RawData!AK:AK)</f>
        <v>35</v>
      </c>
      <c r="AH45">
        <f>SUMIF(RawData!$C:$C,$A45,RawData!AL:AL)</f>
        <v>35</v>
      </c>
      <c r="AI45">
        <f>SUMIF(RawData!$C:$C,$A45,RawData!AM:AM)</f>
        <v>35</v>
      </c>
      <c r="AJ45">
        <f>SUMIF(RawData!$C:$C,$A45,RawData!AN:AN)</f>
        <v>37</v>
      </c>
      <c r="AK45">
        <f>SUMIF(RawData!$C:$C,$A45,RawData!AO:AO)</f>
        <v>40</v>
      </c>
      <c r="AL45">
        <f>SUMIF(RawData!$C:$C,$A45,RawData!AP:AP)</f>
        <v>40</v>
      </c>
      <c r="AM45">
        <f>SUMIF(RawData!$C:$C,$A45,RawData!AQ:AQ)</f>
        <v>41</v>
      </c>
      <c r="AN45">
        <f>SUMIF(RawData!$C:$C,$A45,RawData!AR:AR)</f>
        <v>42</v>
      </c>
      <c r="AO45">
        <f>SUMIF(RawData!$C:$C,$A45,RawData!AS:AS)</f>
        <v>42</v>
      </c>
      <c r="AP45">
        <f>SUMIF(RawData!$C:$C,$A45,RawData!AT:AT)</f>
        <v>43</v>
      </c>
      <c r="AQ45">
        <f>SUMIF(RawData!$C:$C,$A45,RawData!AU:AU)</f>
        <v>43</v>
      </c>
      <c r="AR45">
        <f>SUMIF(RawData!$C:$C,$A45,RawData!AV:AV)</f>
        <v>43</v>
      </c>
      <c r="AS45">
        <f>SUMIF(RawData!$C:$C,$A45,RawData!AW:AW)</f>
        <v>47</v>
      </c>
      <c r="AT45">
        <f>SUMIF(RawData!$C:$C,$A45,RawData!AX:AX)</f>
        <v>48</v>
      </c>
      <c r="AU45">
        <f>SUMIF(RawData!$C:$C,$A45,RawData!AY:AY)</f>
        <v>50</v>
      </c>
      <c r="AV45">
        <f>SUMIF(RawData!$C:$C,$A45,RawData!AZ:AZ)</f>
        <v>50</v>
      </c>
      <c r="AW45">
        <f>SUMIF(RawData!$C:$C,$A45,RawData!BA:BA)</f>
        <v>50</v>
      </c>
      <c r="AX45">
        <f>SUMIF(RawData!$C:$C,$A45,RawData!BB:BB)</f>
        <v>53</v>
      </c>
      <c r="AY45">
        <f>SUMIF(RawData!$C:$C,$A45,RawData!BC:BC)</f>
        <v>59</v>
      </c>
      <c r="AZ45">
        <f>SUMIF(RawData!$C:$C,$A45,RawData!BD:BD)</f>
        <v>70</v>
      </c>
      <c r="BA45">
        <f>SUMIF(RawData!$C:$C,$A45,RawData!BE:BE)</f>
        <v>75</v>
      </c>
      <c r="BB45">
        <f>SUMIF(RawData!$C:$C,$A45,RawData!BF:BF)</f>
        <v>82</v>
      </c>
      <c r="BC45">
        <f>SUMIF(RawData!$C:$C,$A45,RawData!BG:BG)</f>
        <v>114</v>
      </c>
      <c r="BD45">
        <f>SUMIF(RawData!$C:$C,$A45,RawData!BH:BH)</f>
        <v>147</v>
      </c>
      <c r="BE45">
        <f>SUMIF(RawData!$C:$C,$A45,RawData!BI:BI)</f>
        <v>0</v>
      </c>
      <c r="BF45">
        <f>SUMIF(RawData!$C:$C,$A45,RawData!BJ:BJ)</f>
        <v>0</v>
      </c>
      <c r="BG45">
        <f>SUMIF(RawData!$C:$C,$A45,RawData!BK:BK)</f>
        <v>0</v>
      </c>
      <c r="BH45">
        <f>SUMIF(RawData!$C:$C,$A45,RawData!BL:BL)</f>
        <v>0</v>
      </c>
      <c r="BI45">
        <f>SUMIF(RawData!$C:$C,$A45,RawData!BM:BM)</f>
        <v>0</v>
      </c>
      <c r="BJ45">
        <f>SUMIF(RawData!$C:$C,$A45,RawData!BN:BN)</f>
        <v>0</v>
      </c>
      <c r="BK45">
        <f>SUMIF(RawData!$C:$C,$A45,RawData!BO:BO)</f>
        <v>0</v>
      </c>
      <c r="BL45">
        <f>SUMIF(RawData!$C:$C,$A45,RawData!BP:BP)</f>
        <v>0</v>
      </c>
      <c r="BM45">
        <f>SUMIF(RawData!$C:$C,$A45,RawData!BQ:BQ)</f>
        <v>0</v>
      </c>
      <c r="BN45">
        <f>SUMIF(RawData!$C:$C,$A45,RawData!BR:BR)</f>
        <v>0</v>
      </c>
      <c r="BO45">
        <f>SUMIF(RawData!$C:$C,$A45,RawData!BS:BS)</f>
        <v>0</v>
      </c>
      <c r="BP45">
        <f>SUMIF(RawData!$C:$C,$A45,RawData!BT:BT)</f>
        <v>0</v>
      </c>
      <c r="BQ45">
        <f>SUMIF(RawData!$C:$C,$A45,RawData!BU:BU)</f>
        <v>0</v>
      </c>
      <c r="BR45">
        <f>SUMIF(RawData!$C:$C,$A45,RawData!BV:BV)</f>
        <v>0</v>
      </c>
      <c r="BS45">
        <f>SUMIF(RawData!$C:$C,$A45,RawData!BW:BW)</f>
        <v>0</v>
      </c>
      <c r="BT45">
        <f>SUMIF(RawData!$C:$C,$A45,RawData!BX:BX)</f>
        <v>0</v>
      </c>
    </row>
    <row r="46" spans="1:72" ht="15" thickBot="1" x14ac:dyDescent="0.35">
      <c r="A46" s="5" t="s">
        <v>134</v>
      </c>
      <c r="B46">
        <f>SUMIF(RawData!$C:$C,$A46,RawData!F:F)</f>
        <v>0</v>
      </c>
      <c r="C46">
        <f>SUMIF(RawData!$C:$C,$A46,RawData!G:G)</f>
        <v>0</v>
      </c>
      <c r="D46">
        <f>SUMIF(RawData!$C:$C,$A46,RawData!H:H)</f>
        <v>0</v>
      </c>
      <c r="E46">
        <f>SUMIF(RawData!$C:$C,$A46,RawData!I:I)</f>
        <v>0</v>
      </c>
      <c r="F46">
        <f>SUMIF(RawData!$C:$C,$A46,RawData!J:J)</f>
        <v>0</v>
      </c>
      <c r="G46">
        <f>SUMIF(RawData!$C:$C,$A46,RawData!K:K)</f>
        <v>0</v>
      </c>
      <c r="H46">
        <f>SUMIF(RawData!$C:$C,$A46,RawData!L:L)</f>
        <v>0</v>
      </c>
      <c r="I46">
        <f>SUMIF(RawData!$C:$C,$A46,RawData!M:M)</f>
        <v>0</v>
      </c>
      <c r="J46">
        <f>SUMIF(RawData!$C:$C,$A46,RawData!N:N)</f>
        <v>0</v>
      </c>
      <c r="K46">
        <f>SUMIF(RawData!$C:$C,$A46,RawData!O:O)</f>
        <v>0</v>
      </c>
      <c r="L46">
        <f>SUMIF(RawData!$C:$C,$A46,RawData!P:P)</f>
        <v>0</v>
      </c>
      <c r="M46">
        <f>SUMIF(RawData!$C:$C,$A46,RawData!Q:Q)</f>
        <v>0</v>
      </c>
      <c r="N46">
        <f>SUMIF(RawData!$C:$C,$A46,RawData!R:R)</f>
        <v>0</v>
      </c>
      <c r="O46">
        <f>SUMIF(RawData!$C:$C,$A46,RawData!S:S)</f>
        <v>0</v>
      </c>
      <c r="P46">
        <f>SUMIF(RawData!$C:$C,$A46,RawData!T:T)</f>
        <v>0</v>
      </c>
      <c r="Q46">
        <f>SUMIF(RawData!$C:$C,$A46,RawData!U:U)</f>
        <v>0</v>
      </c>
      <c r="R46">
        <f>SUMIF(RawData!$C:$C,$A46,RawData!V:V)</f>
        <v>0</v>
      </c>
      <c r="S46">
        <f>SUMIF(RawData!$C:$C,$A46,RawData!W:W)</f>
        <v>0</v>
      </c>
      <c r="T46">
        <f>SUMIF(RawData!$C:$C,$A46,RawData!X:X)</f>
        <v>0</v>
      </c>
      <c r="U46">
        <f>SUMIF(RawData!$C:$C,$A46,RawData!Y:Y)</f>
        <v>0</v>
      </c>
      <c r="V46">
        <f>SUMIF(RawData!$C:$C,$A46,RawData!Z:Z)</f>
        <v>0</v>
      </c>
      <c r="W46">
        <f>SUMIF(RawData!$C:$C,$A46,RawData!AA:AA)</f>
        <v>0</v>
      </c>
      <c r="X46">
        <f>SUMIF(RawData!$C:$C,$A46,RawData!AB:AB)</f>
        <v>0</v>
      </c>
      <c r="Y46">
        <f>SUMIF(RawData!$C:$C,$A46,RawData!AC:AC)</f>
        <v>0</v>
      </c>
      <c r="Z46">
        <f>SUMIF(RawData!$C:$C,$A46,RawData!AD:AD)</f>
        <v>0</v>
      </c>
      <c r="AA46">
        <f>SUMIF(RawData!$C:$C,$A46,RawData!AE:AE)</f>
        <v>0</v>
      </c>
      <c r="AB46">
        <f>SUMIF(RawData!$C:$C,$A46,RawData!AF:AF)</f>
        <v>0</v>
      </c>
      <c r="AC46">
        <f>SUMIF(RawData!$C:$C,$A46,RawData!AG:AG)</f>
        <v>0</v>
      </c>
      <c r="AD46">
        <f>SUMIF(RawData!$C:$C,$A46,RawData!AH:AH)</f>
        <v>0</v>
      </c>
      <c r="AE46">
        <f>SUMIF(RawData!$C:$C,$A46,RawData!AI:AI)</f>
        <v>0</v>
      </c>
      <c r="AF46">
        <f>SUMIF(RawData!$C:$C,$A46,RawData!AJ:AJ)</f>
        <v>0</v>
      </c>
      <c r="AG46">
        <f>SUMIF(RawData!$C:$C,$A46,RawData!AK:AK)</f>
        <v>0</v>
      </c>
      <c r="AH46">
        <f>SUMIF(RawData!$C:$C,$A46,RawData!AL:AL)</f>
        <v>0</v>
      </c>
      <c r="AI46">
        <f>SUMIF(RawData!$C:$C,$A46,RawData!AM:AM)</f>
        <v>0</v>
      </c>
      <c r="AJ46">
        <f>SUMIF(RawData!$C:$C,$A46,RawData!AN:AN)</f>
        <v>0</v>
      </c>
      <c r="AK46">
        <f>SUMIF(RawData!$C:$C,$A46,RawData!AO:AO)</f>
        <v>0</v>
      </c>
      <c r="AL46">
        <f>SUMIF(RawData!$C:$C,$A46,RawData!AP:AP)</f>
        <v>0</v>
      </c>
      <c r="AM46">
        <f>SUMIF(RawData!$C:$C,$A46,RawData!AQ:AQ)</f>
        <v>0</v>
      </c>
      <c r="AN46">
        <f>SUMIF(RawData!$C:$C,$A46,RawData!AR:AR)</f>
        <v>0</v>
      </c>
      <c r="AO46">
        <f>SUMIF(RawData!$C:$C,$A46,RawData!AS:AS)</f>
        <v>0</v>
      </c>
      <c r="AP46">
        <f>SUMIF(RawData!$C:$C,$A46,RawData!AT:AT)</f>
        <v>2</v>
      </c>
      <c r="AQ46">
        <f>SUMIF(RawData!$C:$C,$A46,RawData!AU:AU)</f>
        <v>2</v>
      </c>
      <c r="AR46">
        <f>SUMIF(RawData!$C:$C,$A46,RawData!AV:AV)</f>
        <v>2</v>
      </c>
      <c r="AS46">
        <f>SUMIF(RawData!$C:$C,$A46,RawData!AW:AW)</f>
        <v>2</v>
      </c>
      <c r="AT46">
        <f>SUMIF(RawData!$C:$C,$A46,RawData!AX:AX)</f>
        <v>4</v>
      </c>
      <c r="AU46">
        <f>SUMIF(RawData!$C:$C,$A46,RawData!AY:AY)</f>
        <v>4</v>
      </c>
      <c r="AV46">
        <f>SUMIF(RawData!$C:$C,$A46,RawData!AZ:AZ)</f>
        <v>6</v>
      </c>
      <c r="AW46">
        <f>SUMIF(RawData!$C:$C,$A46,RawData!BA:BA)</f>
        <v>19</v>
      </c>
      <c r="AX46">
        <f>SUMIF(RawData!$C:$C,$A46,RawData!BB:BB)</f>
        <v>27</v>
      </c>
      <c r="AY46">
        <f>SUMIF(RawData!$C:$C,$A46,RawData!BC:BC)</f>
        <v>34</v>
      </c>
      <c r="AZ46">
        <f>SUMIF(RawData!$C:$C,$A46,RawData!BD:BD)</f>
        <v>34</v>
      </c>
      <c r="BA46">
        <f>SUMIF(RawData!$C:$C,$A46,RawData!BE:BE)</f>
        <v>69</v>
      </c>
      <c r="BB46">
        <f>SUMIF(RawData!$C:$C,$A46,RawData!BF:BF)</f>
        <v>96</v>
      </c>
      <c r="BC46">
        <f>SUMIF(RawData!$C:$C,$A46,RawData!BG:BG)</f>
        <v>117</v>
      </c>
      <c r="BD46">
        <f>SUMIF(RawData!$C:$C,$A46,RawData!BH:BH)</f>
        <v>134</v>
      </c>
      <c r="BE46">
        <f>SUMIF(RawData!$C:$C,$A46,RawData!BI:BI)</f>
        <v>0</v>
      </c>
      <c r="BF46">
        <f>SUMIF(RawData!$C:$C,$A46,RawData!BJ:BJ)</f>
        <v>0</v>
      </c>
      <c r="BG46">
        <f>SUMIF(RawData!$C:$C,$A46,RawData!BK:BK)</f>
        <v>0</v>
      </c>
      <c r="BH46">
        <f>SUMIF(RawData!$C:$C,$A46,RawData!BL:BL)</f>
        <v>0</v>
      </c>
      <c r="BI46">
        <f>SUMIF(RawData!$C:$C,$A46,RawData!BM:BM)</f>
        <v>0</v>
      </c>
      <c r="BJ46">
        <f>SUMIF(RawData!$C:$C,$A46,RawData!BN:BN)</f>
        <v>0</v>
      </c>
      <c r="BK46">
        <f>SUMIF(RawData!$C:$C,$A46,RawData!BO:BO)</f>
        <v>0</v>
      </c>
      <c r="BL46">
        <f>SUMIF(RawData!$C:$C,$A46,RawData!BP:BP)</f>
        <v>0</v>
      </c>
      <c r="BM46">
        <f>SUMIF(RawData!$C:$C,$A46,RawData!BQ:BQ)</f>
        <v>0</v>
      </c>
      <c r="BN46">
        <f>SUMIF(RawData!$C:$C,$A46,RawData!BR:BR)</f>
        <v>0</v>
      </c>
      <c r="BO46">
        <f>SUMIF(RawData!$C:$C,$A46,RawData!BS:BS)</f>
        <v>0</v>
      </c>
      <c r="BP46">
        <f>SUMIF(RawData!$C:$C,$A46,RawData!BT:BT)</f>
        <v>0</v>
      </c>
      <c r="BQ46">
        <f>SUMIF(RawData!$C:$C,$A46,RawData!BU:BU)</f>
        <v>0</v>
      </c>
      <c r="BR46">
        <f>SUMIF(RawData!$C:$C,$A46,RawData!BV:BV)</f>
        <v>0</v>
      </c>
      <c r="BS46">
        <f>SUMIF(RawData!$C:$C,$A46,RawData!BW:BW)</f>
        <v>0</v>
      </c>
      <c r="BT46">
        <f>SUMIF(RawData!$C:$C,$A46,RawData!BX:BX)</f>
        <v>0</v>
      </c>
    </row>
    <row r="47" spans="1:72" ht="15" thickBot="1" x14ac:dyDescent="0.35">
      <c r="A47" s="4" t="s">
        <v>164</v>
      </c>
      <c r="B47">
        <f>SUMIF(RawData!$C:$C,$A47,RawData!F:F)</f>
        <v>0</v>
      </c>
      <c r="C47">
        <f>SUMIF(RawData!$C:$C,$A47,RawData!G:G)</f>
        <v>0</v>
      </c>
      <c r="D47">
        <f>SUMIF(RawData!$C:$C,$A47,RawData!H:H)</f>
        <v>0</v>
      </c>
      <c r="E47">
        <f>SUMIF(RawData!$C:$C,$A47,RawData!I:I)</f>
        <v>0</v>
      </c>
      <c r="F47">
        <f>SUMIF(RawData!$C:$C,$A47,RawData!J:J)</f>
        <v>0</v>
      </c>
      <c r="G47">
        <f>SUMIF(RawData!$C:$C,$A47,RawData!K:K)</f>
        <v>0</v>
      </c>
      <c r="H47">
        <f>SUMIF(RawData!$C:$C,$A47,RawData!L:L)</f>
        <v>0</v>
      </c>
      <c r="I47">
        <f>SUMIF(RawData!$C:$C,$A47,RawData!M:M)</f>
        <v>0</v>
      </c>
      <c r="J47">
        <f>SUMIF(RawData!$C:$C,$A47,RawData!N:N)</f>
        <v>0</v>
      </c>
      <c r="K47">
        <f>SUMIF(RawData!$C:$C,$A47,RawData!O:O)</f>
        <v>0</v>
      </c>
      <c r="L47">
        <f>SUMIF(RawData!$C:$C,$A47,RawData!P:P)</f>
        <v>0</v>
      </c>
      <c r="M47">
        <f>SUMIF(RawData!$C:$C,$A47,RawData!Q:Q)</f>
        <v>0</v>
      </c>
      <c r="N47">
        <f>SUMIF(RawData!$C:$C,$A47,RawData!R:R)</f>
        <v>0</v>
      </c>
      <c r="O47">
        <f>SUMIF(RawData!$C:$C,$A47,RawData!S:S)</f>
        <v>0</v>
      </c>
      <c r="P47">
        <f>SUMIF(RawData!$C:$C,$A47,RawData!T:T)</f>
        <v>0</v>
      </c>
      <c r="Q47">
        <f>SUMIF(RawData!$C:$C,$A47,RawData!U:U)</f>
        <v>0</v>
      </c>
      <c r="R47">
        <f>SUMIF(RawData!$C:$C,$A47,RawData!V:V)</f>
        <v>0</v>
      </c>
      <c r="S47">
        <f>SUMIF(RawData!$C:$C,$A47,RawData!W:W)</f>
        <v>0</v>
      </c>
      <c r="T47">
        <f>SUMIF(RawData!$C:$C,$A47,RawData!X:X)</f>
        <v>0</v>
      </c>
      <c r="U47">
        <f>SUMIF(RawData!$C:$C,$A47,RawData!Y:Y)</f>
        <v>0</v>
      </c>
      <c r="V47">
        <f>SUMIF(RawData!$C:$C,$A47,RawData!Z:Z)</f>
        <v>0</v>
      </c>
      <c r="W47">
        <f>SUMIF(RawData!$C:$C,$A47,RawData!AA:AA)</f>
        <v>0</v>
      </c>
      <c r="X47">
        <f>SUMIF(RawData!$C:$C,$A47,RawData!AB:AB)</f>
        <v>0</v>
      </c>
      <c r="Y47">
        <f>SUMIF(RawData!$C:$C,$A47,RawData!AC:AC)</f>
        <v>0</v>
      </c>
      <c r="Z47">
        <f>SUMIF(RawData!$C:$C,$A47,RawData!AD:AD)</f>
        <v>0</v>
      </c>
      <c r="AA47">
        <f>SUMIF(RawData!$C:$C,$A47,RawData!AE:AE)</f>
        <v>0</v>
      </c>
      <c r="AB47">
        <f>SUMIF(RawData!$C:$C,$A47,RawData!AF:AF)</f>
        <v>0</v>
      </c>
      <c r="AC47">
        <f>SUMIF(RawData!$C:$C,$A47,RawData!AG:AG)</f>
        <v>0</v>
      </c>
      <c r="AD47">
        <f>SUMIF(RawData!$C:$C,$A47,RawData!AH:AH)</f>
        <v>0</v>
      </c>
      <c r="AE47">
        <f>SUMIF(RawData!$C:$C,$A47,RawData!AI:AI)</f>
        <v>0</v>
      </c>
      <c r="AF47">
        <f>SUMIF(RawData!$C:$C,$A47,RawData!AJ:AJ)</f>
        <v>0</v>
      </c>
      <c r="AG47">
        <f>SUMIF(RawData!$C:$C,$A47,RawData!AK:AK)</f>
        <v>0</v>
      </c>
      <c r="AH47">
        <f>SUMIF(RawData!$C:$C,$A47,RawData!AL:AL)</f>
        <v>0</v>
      </c>
      <c r="AI47">
        <f>SUMIF(RawData!$C:$C,$A47,RawData!AM:AM)</f>
        <v>0</v>
      </c>
      <c r="AJ47">
        <f>SUMIF(RawData!$C:$C,$A47,RawData!AN:AN)</f>
        <v>0</v>
      </c>
      <c r="AK47">
        <f>SUMIF(RawData!$C:$C,$A47,RawData!AO:AO)</f>
        <v>0</v>
      </c>
      <c r="AL47">
        <f>SUMIF(RawData!$C:$C,$A47,RawData!AP:AP)</f>
        <v>0</v>
      </c>
      <c r="AM47">
        <f>SUMIF(RawData!$C:$C,$A47,RawData!AQ:AQ)</f>
        <v>0</v>
      </c>
      <c r="AN47">
        <f>SUMIF(RawData!$C:$C,$A47,RawData!AR:AR)</f>
        <v>0</v>
      </c>
      <c r="AO47">
        <f>SUMIF(RawData!$C:$C,$A47,RawData!AS:AS)</f>
        <v>0</v>
      </c>
      <c r="AP47">
        <f>SUMIF(RawData!$C:$C,$A47,RawData!AT:AT)</f>
        <v>0</v>
      </c>
      <c r="AQ47">
        <f>SUMIF(RawData!$C:$C,$A47,RawData!AU:AU)</f>
        <v>0</v>
      </c>
      <c r="AR47">
        <f>SUMIF(RawData!$C:$C,$A47,RawData!AV:AV)</f>
        <v>1</v>
      </c>
      <c r="AS47">
        <f>SUMIF(RawData!$C:$C,$A47,RawData!AW:AW)</f>
        <v>1</v>
      </c>
      <c r="AT47">
        <f>SUMIF(RawData!$C:$C,$A47,RawData!AX:AX)</f>
        <v>5</v>
      </c>
      <c r="AU47">
        <f>SUMIF(RawData!$C:$C,$A47,RawData!AY:AY)</f>
        <v>5</v>
      </c>
      <c r="AV47">
        <f>SUMIF(RawData!$C:$C,$A47,RawData!AZ:AZ)</f>
        <v>11</v>
      </c>
      <c r="AW47">
        <f>SUMIF(RawData!$C:$C,$A47,RawData!BA:BA)</f>
        <v>16</v>
      </c>
      <c r="AX47">
        <f>SUMIF(RawData!$C:$C,$A47,RawData!BB:BB)</f>
        <v>22</v>
      </c>
      <c r="AY47">
        <f>SUMIF(RawData!$C:$C,$A47,RawData!BC:BC)</f>
        <v>31</v>
      </c>
      <c r="AZ47">
        <f>SUMIF(RawData!$C:$C,$A47,RawData!BD:BD)</f>
        <v>49</v>
      </c>
      <c r="BA47">
        <f>SUMIF(RawData!$C:$C,$A47,RawData!BE:BE)</f>
        <v>68</v>
      </c>
      <c r="BB47">
        <f>SUMIF(RawData!$C:$C,$A47,RawData!BF:BF)</f>
        <v>103</v>
      </c>
      <c r="BC47">
        <f>SUMIF(RawData!$C:$C,$A47,RawData!BG:BG)</f>
        <v>119</v>
      </c>
      <c r="BD47">
        <f>SUMIF(RawData!$C:$C,$A47,RawData!BH:BH)</f>
        <v>177</v>
      </c>
      <c r="BE47">
        <f>SUMIF(RawData!$C:$C,$A47,RawData!BI:BI)</f>
        <v>0</v>
      </c>
      <c r="BF47">
        <f>SUMIF(RawData!$C:$C,$A47,RawData!BJ:BJ)</f>
        <v>0</v>
      </c>
      <c r="BG47">
        <f>SUMIF(RawData!$C:$C,$A47,RawData!BK:BK)</f>
        <v>0</v>
      </c>
      <c r="BH47">
        <f>SUMIF(RawData!$C:$C,$A47,RawData!BL:BL)</f>
        <v>0</v>
      </c>
      <c r="BI47">
        <f>SUMIF(RawData!$C:$C,$A47,RawData!BM:BM)</f>
        <v>0</v>
      </c>
      <c r="BJ47">
        <f>SUMIF(RawData!$C:$C,$A47,RawData!BN:BN)</f>
        <v>0</v>
      </c>
      <c r="BK47">
        <f>SUMIF(RawData!$C:$C,$A47,RawData!BO:BO)</f>
        <v>0</v>
      </c>
      <c r="BL47">
        <f>SUMIF(RawData!$C:$C,$A47,RawData!BP:BP)</f>
        <v>0</v>
      </c>
      <c r="BM47">
        <f>SUMIF(RawData!$C:$C,$A47,RawData!BQ:BQ)</f>
        <v>0</v>
      </c>
      <c r="BN47">
        <f>SUMIF(RawData!$C:$C,$A47,RawData!BR:BR)</f>
        <v>0</v>
      </c>
      <c r="BO47">
        <f>SUMIF(RawData!$C:$C,$A47,RawData!BS:BS)</f>
        <v>0</v>
      </c>
      <c r="BP47">
        <f>SUMIF(RawData!$C:$C,$A47,RawData!BT:BT)</f>
        <v>0</v>
      </c>
      <c r="BQ47">
        <f>SUMIF(RawData!$C:$C,$A47,RawData!BU:BU)</f>
        <v>0</v>
      </c>
      <c r="BR47">
        <f>SUMIF(RawData!$C:$C,$A47,RawData!BV:BV)</f>
        <v>0</v>
      </c>
      <c r="BS47">
        <f>SUMIF(RawData!$C:$C,$A47,RawData!BW:BW)</f>
        <v>0</v>
      </c>
      <c r="BT47">
        <f>SUMIF(RawData!$C:$C,$A47,RawData!BX:BX)</f>
        <v>0</v>
      </c>
    </row>
    <row r="48" spans="1:72" ht="15" thickBot="1" x14ac:dyDescent="0.35">
      <c r="A48" s="4" t="s">
        <v>83</v>
      </c>
      <c r="B48">
        <f>SUMIF(RawData!$C:$C,$A48,RawData!F:F)</f>
        <v>0</v>
      </c>
      <c r="C48">
        <f>SUMIF(RawData!$C:$C,$A48,RawData!G:G)</f>
        <v>0</v>
      </c>
      <c r="D48">
        <f>SUMIF(RawData!$C:$C,$A48,RawData!H:H)</f>
        <v>0</v>
      </c>
      <c r="E48">
        <f>SUMIF(RawData!$C:$C,$A48,RawData!I:I)</f>
        <v>0</v>
      </c>
      <c r="F48">
        <f>SUMIF(RawData!$C:$C,$A48,RawData!J:J)</f>
        <v>0</v>
      </c>
      <c r="G48">
        <f>SUMIF(RawData!$C:$C,$A48,RawData!K:K)</f>
        <v>0</v>
      </c>
      <c r="H48">
        <f>SUMIF(RawData!$C:$C,$A48,RawData!L:L)</f>
        <v>0</v>
      </c>
      <c r="I48">
        <f>SUMIF(RawData!$C:$C,$A48,RawData!M:M)</f>
        <v>0</v>
      </c>
      <c r="J48">
        <f>SUMIF(RawData!$C:$C,$A48,RawData!N:N)</f>
        <v>1</v>
      </c>
      <c r="K48">
        <f>SUMIF(RawData!$C:$C,$A48,RawData!O:O)</f>
        <v>1</v>
      </c>
      <c r="L48">
        <f>SUMIF(RawData!$C:$C,$A48,RawData!P:P)</f>
        <v>1</v>
      </c>
      <c r="M48">
        <f>SUMIF(RawData!$C:$C,$A48,RawData!Q:Q)</f>
        <v>2</v>
      </c>
      <c r="N48">
        <f>SUMIF(RawData!$C:$C,$A48,RawData!R:R)</f>
        <v>2</v>
      </c>
      <c r="O48">
        <f>SUMIF(RawData!$C:$C,$A48,RawData!S:S)</f>
        <v>2</v>
      </c>
      <c r="P48">
        <f>SUMIF(RawData!$C:$C,$A48,RawData!T:T)</f>
        <v>2</v>
      </c>
      <c r="Q48">
        <f>SUMIF(RawData!$C:$C,$A48,RawData!U:U)</f>
        <v>2</v>
      </c>
      <c r="R48">
        <f>SUMIF(RawData!$C:$C,$A48,RawData!V:V)</f>
        <v>3</v>
      </c>
      <c r="S48">
        <f>SUMIF(RawData!$C:$C,$A48,RawData!W:W)</f>
        <v>3</v>
      </c>
      <c r="T48">
        <f>SUMIF(RawData!$C:$C,$A48,RawData!X:X)</f>
        <v>3</v>
      </c>
      <c r="U48">
        <f>SUMIF(RawData!$C:$C,$A48,RawData!Y:Y)</f>
        <v>3</v>
      </c>
      <c r="V48">
        <f>SUMIF(RawData!$C:$C,$A48,RawData!Z:Z)</f>
        <v>3</v>
      </c>
      <c r="W48">
        <f>SUMIF(RawData!$C:$C,$A48,RawData!AA:AA)</f>
        <v>3</v>
      </c>
      <c r="X48">
        <f>SUMIF(RawData!$C:$C,$A48,RawData!AB:AB)</f>
        <v>3</v>
      </c>
      <c r="Y48">
        <f>SUMIF(RawData!$C:$C,$A48,RawData!AC:AC)</f>
        <v>3</v>
      </c>
      <c r="Z48">
        <f>SUMIF(RawData!$C:$C,$A48,RawData!AD:AD)</f>
        <v>3</v>
      </c>
      <c r="AA48">
        <f>SUMIF(RawData!$C:$C,$A48,RawData!AE:AE)</f>
        <v>3</v>
      </c>
      <c r="AB48">
        <f>SUMIF(RawData!$C:$C,$A48,RawData!AF:AF)</f>
        <v>3</v>
      </c>
      <c r="AC48">
        <f>SUMIF(RawData!$C:$C,$A48,RawData!AG:AG)</f>
        <v>3</v>
      </c>
      <c r="AD48">
        <f>SUMIF(RawData!$C:$C,$A48,RawData!AH:AH)</f>
        <v>3</v>
      </c>
      <c r="AE48">
        <f>SUMIF(RawData!$C:$C,$A48,RawData!AI:AI)</f>
        <v>3</v>
      </c>
      <c r="AF48">
        <f>SUMIF(RawData!$C:$C,$A48,RawData!AJ:AJ)</f>
        <v>3</v>
      </c>
      <c r="AG48">
        <f>SUMIF(RawData!$C:$C,$A48,RawData!AK:AK)</f>
        <v>3</v>
      </c>
      <c r="AH48">
        <f>SUMIF(RawData!$C:$C,$A48,RawData!AL:AL)</f>
        <v>3</v>
      </c>
      <c r="AI48">
        <f>SUMIF(RawData!$C:$C,$A48,RawData!AM:AM)</f>
        <v>3</v>
      </c>
      <c r="AJ48">
        <f>SUMIF(RawData!$C:$C,$A48,RawData!AN:AN)</f>
        <v>3</v>
      </c>
      <c r="AK48">
        <f>SUMIF(RawData!$C:$C,$A48,RawData!AO:AO)</f>
        <v>3</v>
      </c>
      <c r="AL48">
        <f>SUMIF(RawData!$C:$C,$A48,RawData!AP:AP)</f>
        <v>3</v>
      </c>
      <c r="AM48">
        <f>SUMIF(RawData!$C:$C,$A48,RawData!AQ:AQ)</f>
        <v>3</v>
      </c>
      <c r="AN48">
        <f>SUMIF(RawData!$C:$C,$A48,RawData!AR:AR)</f>
        <v>3</v>
      </c>
      <c r="AO48">
        <f>SUMIF(RawData!$C:$C,$A48,RawData!AS:AS)</f>
        <v>3</v>
      </c>
      <c r="AP48">
        <f>SUMIF(RawData!$C:$C,$A48,RawData!AT:AT)</f>
        <v>3</v>
      </c>
      <c r="AQ48">
        <f>SUMIF(RawData!$C:$C,$A48,RawData!AU:AU)</f>
        <v>3</v>
      </c>
      <c r="AR48">
        <f>SUMIF(RawData!$C:$C,$A48,RawData!AV:AV)</f>
        <v>3</v>
      </c>
      <c r="AS48">
        <f>SUMIF(RawData!$C:$C,$A48,RawData!AW:AW)</f>
        <v>3</v>
      </c>
      <c r="AT48">
        <f>SUMIF(RawData!$C:$C,$A48,RawData!AX:AX)</f>
        <v>5</v>
      </c>
      <c r="AU48">
        <f>SUMIF(RawData!$C:$C,$A48,RawData!AY:AY)</f>
        <v>6</v>
      </c>
      <c r="AV48">
        <f>SUMIF(RawData!$C:$C,$A48,RawData!AZ:AZ)</f>
        <v>10</v>
      </c>
      <c r="AW48">
        <f>SUMIF(RawData!$C:$C,$A48,RawData!BA:BA)</f>
        <v>20</v>
      </c>
      <c r="AX48">
        <f>SUMIF(RawData!$C:$C,$A48,RawData!BB:BB)</f>
        <v>33</v>
      </c>
      <c r="AY48">
        <f>SUMIF(RawData!$C:$C,$A48,RawData!BC:BC)</f>
        <v>49</v>
      </c>
      <c r="AZ48">
        <f>SUMIF(RawData!$C:$C,$A48,RawData!BD:BD)</f>
        <v>52</v>
      </c>
      <c r="BA48">
        <f>SUMIF(RawData!$C:$C,$A48,RawData!BE:BE)</f>
        <v>64</v>
      </c>
      <c r="BB48">
        <f>SUMIF(RawData!$C:$C,$A48,RawData!BF:BF)</f>
        <v>111</v>
      </c>
      <c r="BC48">
        <f>SUMIF(RawData!$C:$C,$A48,RawData!BG:BG)</f>
        <v>140</v>
      </c>
      <c r="BD48">
        <f>SUMIF(RawData!$C:$C,$A48,RawData!BH:BH)</f>
        <v>142</v>
      </c>
      <c r="BE48">
        <f>SUMIF(RawData!$C:$C,$A48,RawData!BI:BI)</f>
        <v>0</v>
      </c>
      <c r="BF48">
        <f>SUMIF(RawData!$C:$C,$A48,RawData!BJ:BJ)</f>
        <v>0</v>
      </c>
      <c r="BG48">
        <f>SUMIF(RawData!$C:$C,$A48,RawData!BK:BK)</f>
        <v>0</v>
      </c>
      <c r="BH48">
        <f>SUMIF(RawData!$C:$C,$A48,RawData!BL:BL)</f>
        <v>0</v>
      </c>
      <c r="BI48">
        <f>SUMIF(RawData!$C:$C,$A48,RawData!BM:BM)</f>
        <v>0</v>
      </c>
      <c r="BJ48">
        <f>SUMIF(RawData!$C:$C,$A48,RawData!BN:BN)</f>
        <v>0</v>
      </c>
      <c r="BK48">
        <f>SUMIF(RawData!$C:$C,$A48,RawData!BO:BO)</f>
        <v>0</v>
      </c>
      <c r="BL48">
        <f>SUMIF(RawData!$C:$C,$A48,RawData!BP:BP)</f>
        <v>0</v>
      </c>
      <c r="BM48">
        <f>SUMIF(RawData!$C:$C,$A48,RawData!BQ:BQ)</f>
        <v>0</v>
      </c>
      <c r="BN48">
        <f>SUMIF(RawData!$C:$C,$A48,RawData!BR:BR)</f>
        <v>0</v>
      </c>
      <c r="BO48">
        <f>SUMIF(RawData!$C:$C,$A48,RawData!BS:BS)</f>
        <v>0</v>
      </c>
      <c r="BP48">
        <f>SUMIF(RawData!$C:$C,$A48,RawData!BT:BT)</f>
        <v>0</v>
      </c>
      <c r="BQ48">
        <f>SUMIF(RawData!$C:$C,$A48,RawData!BU:BU)</f>
        <v>0</v>
      </c>
      <c r="BR48">
        <f>SUMIF(RawData!$C:$C,$A48,RawData!BV:BV)</f>
        <v>0</v>
      </c>
      <c r="BS48">
        <f>SUMIF(RawData!$C:$C,$A48,RawData!BW:BW)</f>
        <v>0</v>
      </c>
      <c r="BT48">
        <f>SUMIF(RawData!$C:$C,$A48,RawData!BX:BX)</f>
        <v>0</v>
      </c>
    </row>
    <row r="49" spans="1:72" ht="15" thickBot="1" x14ac:dyDescent="0.35">
      <c r="A49" s="4" t="s">
        <v>370</v>
      </c>
      <c r="B49">
        <f>SUMIF(RawData!$C:$C,$A49,RawData!F:F)</f>
        <v>1</v>
      </c>
      <c r="C49">
        <f>SUMIF(RawData!$C:$C,$A49,RawData!G:G)</f>
        <v>1</v>
      </c>
      <c r="D49">
        <f>SUMIF(RawData!$C:$C,$A49,RawData!H:H)</f>
        <v>3</v>
      </c>
      <c r="E49">
        <f>SUMIF(RawData!$C:$C,$A49,RawData!I:I)</f>
        <v>3</v>
      </c>
      <c r="F49">
        <f>SUMIF(RawData!$C:$C,$A49,RawData!J:J)</f>
        <v>4</v>
      </c>
      <c r="G49">
        <f>SUMIF(RawData!$C:$C,$A49,RawData!K:K)</f>
        <v>5</v>
      </c>
      <c r="H49">
        <f>SUMIF(RawData!$C:$C,$A49,RawData!L:L)</f>
        <v>8</v>
      </c>
      <c r="I49">
        <f>SUMIF(RawData!$C:$C,$A49,RawData!M:M)</f>
        <v>8</v>
      </c>
      <c r="J49">
        <f>SUMIF(RawData!$C:$C,$A49,RawData!N:N)</f>
        <v>9</v>
      </c>
      <c r="K49">
        <f>SUMIF(RawData!$C:$C,$A49,RawData!O:O)</f>
        <v>10</v>
      </c>
      <c r="L49">
        <f>SUMIF(RawData!$C:$C,$A49,RawData!P:P)</f>
        <v>10</v>
      </c>
      <c r="M49">
        <f>SUMIF(RawData!$C:$C,$A49,RawData!Q:Q)</f>
        <v>10</v>
      </c>
      <c r="N49">
        <f>SUMIF(RawData!$C:$C,$A49,RawData!R:R)</f>
        <v>10</v>
      </c>
      <c r="O49">
        <f>SUMIF(RawData!$C:$C,$A49,RawData!S:S)</f>
        <v>11</v>
      </c>
      <c r="P49">
        <f>SUMIF(RawData!$C:$C,$A49,RawData!T:T)</f>
        <v>11</v>
      </c>
      <c r="Q49">
        <f>SUMIF(RawData!$C:$C,$A49,RawData!U:U)</f>
        <v>16</v>
      </c>
      <c r="R49">
        <f>SUMIF(RawData!$C:$C,$A49,RawData!V:V)</f>
        <v>16</v>
      </c>
      <c r="S49">
        <f>SUMIF(RawData!$C:$C,$A49,RawData!W:W)</f>
        <v>17</v>
      </c>
      <c r="T49">
        <f>SUMIF(RawData!$C:$C,$A49,RawData!X:X)</f>
        <v>18</v>
      </c>
      <c r="U49">
        <f>SUMIF(RawData!$C:$C,$A49,RawData!Y:Y)</f>
        <v>18</v>
      </c>
      <c r="V49">
        <f>SUMIF(RawData!$C:$C,$A49,RawData!Z:Z)</f>
        <v>18</v>
      </c>
      <c r="W49">
        <f>SUMIF(RawData!$C:$C,$A49,RawData!AA:AA)</f>
        <v>18</v>
      </c>
      <c r="X49">
        <f>SUMIF(RawData!$C:$C,$A49,RawData!AB:AB)</f>
        <v>18</v>
      </c>
      <c r="Y49">
        <f>SUMIF(RawData!$C:$C,$A49,RawData!AC:AC)</f>
        <v>18</v>
      </c>
      <c r="Z49">
        <f>SUMIF(RawData!$C:$C,$A49,RawData!AD:AD)</f>
        <v>18</v>
      </c>
      <c r="AA49">
        <f>SUMIF(RawData!$C:$C,$A49,RawData!AE:AE)</f>
        <v>20</v>
      </c>
      <c r="AB49">
        <f>SUMIF(RawData!$C:$C,$A49,RawData!AF:AF)</f>
        <v>22</v>
      </c>
      <c r="AC49">
        <f>SUMIF(RawData!$C:$C,$A49,RawData!AG:AG)</f>
        <v>22</v>
      </c>
      <c r="AD49">
        <f>SUMIF(RawData!$C:$C,$A49,RawData!AH:AH)</f>
        <v>23</v>
      </c>
      <c r="AE49">
        <f>SUMIF(RawData!$C:$C,$A49,RawData!AI:AI)</f>
        <v>24</v>
      </c>
      <c r="AF49">
        <f>SUMIF(RawData!$C:$C,$A49,RawData!AJ:AJ)</f>
        <v>26</v>
      </c>
      <c r="AG49">
        <f>SUMIF(RawData!$C:$C,$A49,RawData!AK:AK)</f>
        <v>26</v>
      </c>
      <c r="AH49">
        <f>SUMIF(RawData!$C:$C,$A49,RawData!AL:AL)</f>
        <v>28</v>
      </c>
      <c r="AI49">
        <f>SUMIF(RawData!$C:$C,$A49,RawData!AM:AM)</f>
        <v>30</v>
      </c>
      <c r="AJ49">
        <f>SUMIF(RawData!$C:$C,$A49,RawData!AN:AN)</f>
        <v>31</v>
      </c>
      <c r="AK49">
        <f>SUMIF(RawData!$C:$C,$A49,RawData!AO:AO)</f>
        <v>32</v>
      </c>
      <c r="AL49">
        <f>SUMIF(RawData!$C:$C,$A49,RawData!AP:AP)</f>
        <v>32</v>
      </c>
      <c r="AM49">
        <f>SUMIF(RawData!$C:$C,$A49,RawData!AQ:AQ)</f>
        <v>34</v>
      </c>
      <c r="AN49">
        <f>SUMIF(RawData!$C:$C,$A49,RawData!AR:AR)</f>
        <v>39</v>
      </c>
      <c r="AO49">
        <f>SUMIF(RawData!$C:$C,$A49,RawData!AS:AS)</f>
        <v>40</v>
      </c>
      <c r="AP49">
        <f>SUMIF(RawData!$C:$C,$A49,RawData!AT:AT)</f>
        <v>41</v>
      </c>
      <c r="AQ49">
        <f>SUMIF(RawData!$C:$C,$A49,RawData!AU:AU)</f>
        <v>42</v>
      </c>
      <c r="AR49">
        <f>SUMIF(RawData!$C:$C,$A49,RawData!AV:AV)</f>
        <v>42</v>
      </c>
      <c r="AS49">
        <f>SUMIF(RawData!$C:$C,$A49,RawData!AW:AW)</f>
        <v>44</v>
      </c>
      <c r="AT49">
        <f>SUMIF(RawData!$C:$C,$A49,RawData!AX:AX)</f>
        <v>45</v>
      </c>
      <c r="AU49">
        <f>SUMIF(RawData!$C:$C,$A49,RawData!AY:AY)</f>
        <v>45</v>
      </c>
      <c r="AV49">
        <f>SUMIF(RawData!$C:$C,$A49,RawData!AZ:AZ)</f>
        <v>45</v>
      </c>
      <c r="AW49">
        <f>SUMIF(RawData!$C:$C,$A49,RawData!BA:BA)</f>
        <v>45</v>
      </c>
      <c r="AX49">
        <f>SUMIF(RawData!$C:$C,$A49,RawData!BB:BB)</f>
        <v>47</v>
      </c>
      <c r="AY49">
        <f>SUMIF(RawData!$C:$C,$A49,RawData!BC:BC)</f>
        <v>48</v>
      </c>
      <c r="AZ49">
        <f>SUMIF(RawData!$C:$C,$A49,RawData!BD:BD)</f>
        <v>49</v>
      </c>
      <c r="BA49">
        <f>SUMIF(RawData!$C:$C,$A49,RawData!BE:BE)</f>
        <v>50</v>
      </c>
      <c r="BB49">
        <f>SUMIF(RawData!$C:$C,$A49,RawData!BF:BF)</f>
        <v>53</v>
      </c>
      <c r="BC49">
        <f>SUMIF(RawData!$C:$C,$A49,RawData!BG:BG)</f>
        <v>59</v>
      </c>
      <c r="BD49">
        <f>SUMIF(RawData!$C:$C,$A49,RawData!BH:BH)</f>
        <v>67</v>
      </c>
      <c r="BE49">
        <f>SUMIF(RawData!$C:$C,$A49,RawData!BI:BI)</f>
        <v>0</v>
      </c>
      <c r="BF49">
        <f>SUMIF(RawData!$C:$C,$A49,RawData!BJ:BJ)</f>
        <v>0</v>
      </c>
      <c r="BG49">
        <f>SUMIF(RawData!$C:$C,$A49,RawData!BK:BK)</f>
        <v>0</v>
      </c>
      <c r="BH49">
        <f>SUMIF(RawData!$C:$C,$A49,RawData!BL:BL)</f>
        <v>0</v>
      </c>
      <c r="BI49">
        <f>SUMIF(RawData!$C:$C,$A49,RawData!BM:BM)</f>
        <v>0</v>
      </c>
      <c r="BJ49">
        <f>SUMIF(RawData!$C:$C,$A49,RawData!BN:BN)</f>
        <v>0</v>
      </c>
      <c r="BK49">
        <f>SUMIF(RawData!$C:$C,$A49,RawData!BO:BO)</f>
        <v>0</v>
      </c>
      <c r="BL49">
        <f>SUMIF(RawData!$C:$C,$A49,RawData!BP:BP)</f>
        <v>0</v>
      </c>
      <c r="BM49">
        <f>SUMIF(RawData!$C:$C,$A49,RawData!BQ:BQ)</f>
        <v>0</v>
      </c>
      <c r="BN49">
        <f>SUMIF(RawData!$C:$C,$A49,RawData!BR:BR)</f>
        <v>0</v>
      </c>
      <c r="BO49">
        <f>SUMIF(RawData!$C:$C,$A49,RawData!BS:BS)</f>
        <v>0</v>
      </c>
      <c r="BP49">
        <f>SUMIF(RawData!$C:$C,$A49,RawData!BT:BT)</f>
        <v>0</v>
      </c>
      <c r="BQ49">
        <f>SUMIF(RawData!$C:$C,$A49,RawData!BU:BU)</f>
        <v>0</v>
      </c>
      <c r="BR49">
        <f>SUMIF(RawData!$C:$C,$A49,RawData!BV:BV)</f>
        <v>0</v>
      </c>
      <c r="BS49">
        <f>SUMIF(RawData!$C:$C,$A49,RawData!BW:BW)</f>
        <v>0</v>
      </c>
      <c r="BT49">
        <f>SUMIF(RawData!$C:$C,$A49,RawData!BX:BX)</f>
        <v>0</v>
      </c>
    </row>
    <row r="50" spans="1:72" ht="15" thickBot="1" x14ac:dyDescent="0.35">
      <c r="A50" s="5" t="s">
        <v>371</v>
      </c>
      <c r="B50">
        <f>SUMIF(RawData!$C:$C,$A50,RawData!F:F)</f>
        <v>0</v>
      </c>
      <c r="C50">
        <f>SUMIF(RawData!$C:$C,$A50,RawData!G:G)</f>
        <v>2</v>
      </c>
      <c r="D50">
        <f>SUMIF(RawData!$C:$C,$A50,RawData!H:H)</f>
        <v>2</v>
      </c>
      <c r="E50">
        <f>SUMIF(RawData!$C:$C,$A50,RawData!I:I)</f>
        <v>2</v>
      </c>
      <c r="F50">
        <f>SUMIF(RawData!$C:$C,$A50,RawData!J:J)</f>
        <v>2</v>
      </c>
      <c r="G50">
        <f>SUMIF(RawData!$C:$C,$A50,RawData!K:K)</f>
        <v>2</v>
      </c>
      <c r="H50">
        <f>SUMIF(RawData!$C:$C,$A50,RawData!L:L)</f>
        <v>2</v>
      </c>
      <c r="I50">
        <f>SUMIF(RawData!$C:$C,$A50,RawData!M:M)</f>
        <v>2</v>
      </c>
      <c r="J50">
        <f>SUMIF(RawData!$C:$C,$A50,RawData!N:N)</f>
        <v>2</v>
      </c>
      <c r="K50">
        <f>SUMIF(RawData!$C:$C,$A50,RawData!O:O)</f>
        <v>2</v>
      </c>
      <c r="L50">
        <f>SUMIF(RawData!$C:$C,$A50,RawData!P:P)</f>
        <v>6</v>
      </c>
      <c r="M50">
        <f>SUMIF(RawData!$C:$C,$A50,RawData!Q:Q)</f>
        <v>6</v>
      </c>
      <c r="N50">
        <f>SUMIF(RawData!$C:$C,$A50,RawData!R:R)</f>
        <v>8</v>
      </c>
      <c r="O50">
        <f>SUMIF(RawData!$C:$C,$A50,RawData!S:S)</f>
        <v>8</v>
      </c>
      <c r="P50">
        <f>SUMIF(RawData!$C:$C,$A50,RawData!T:T)</f>
        <v>8</v>
      </c>
      <c r="Q50">
        <f>SUMIF(RawData!$C:$C,$A50,RawData!U:U)</f>
        <v>10</v>
      </c>
      <c r="R50">
        <f>SUMIF(RawData!$C:$C,$A50,RawData!V:V)</f>
        <v>10</v>
      </c>
      <c r="S50">
        <f>SUMIF(RawData!$C:$C,$A50,RawData!W:W)</f>
        <v>13</v>
      </c>
      <c r="T50">
        <f>SUMIF(RawData!$C:$C,$A50,RawData!X:X)</f>
        <v>13</v>
      </c>
      <c r="U50">
        <f>SUMIF(RawData!$C:$C,$A50,RawData!Y:Y)</f>
        <v>14</v>
      </c>
      <c r="V50">
        <f>SUMIF(RawData!$C:$C,$A50,RawData!Z:Z)</f>
        <v>15</v>
      </c>
      <c r="W50">
        <f>SUMIF(RawData!$C:$C,$A50,RawData!AA:AA)</f>
        <v>15</v>
      </c>
      <c r="X50">
        <f>SUMIF(RawData!$C:$C,$A50,RawData!AB:AB)</f>
        <v>16</v>
      </c>
      <c r="Y50">
        <f>SUMIF(RawData!$C:$C,$A50,RawData!AC:AC)</f>
        <v>16</v>
      </c>
      <c r="Z50">
        <f>SUMIF(RawData!$C:$C,$A50,RawData!AD:AD)</f>
        <v>16</v>
      </c>
      <c r="AA50">
        <f>SUMIF(RawData!$C:$C,$A50,RawData!AE:AE)</f>
        <v>16</v>
      </c>
      <c r="AB50">
        <f>SUMIF(RawData!$C:$C,$A50,RawData!AF:AF)</f>
        <v>16</v>
      </c>
      <c r="AC50">
        <f>SUMIF(RawData!$C:$C,$A50,RawData!AG:AG)</f>
        <v>16</v>
      </c>
      <c r="AD50">
        <f>SUMIF(RawData!$C:$C,$A50,RawData!AH:AH)</f>
        <v>16</v>
      </c>
      <c r="AE50">
        <f>SUMIF(RawData!$C:$C,$A50,RawData!AI:AI)</f>
        <v>16</v>
      </c>
      <c r="AF50">
        <f>SUMIF(RawData!$C:$C,$A50,RawData!AJ:AJ)</f>
        <v>16</v>
      </c>
      <c r="AG50">
        <f>SUMIF(RawData!$C:$C,$A50,RawData!AK:AK)</f>
        <v>16</v>
      </c>
      <c r="AH50">
        <f>SUMIF(RawData!$C:$C,$A50,RawData!AL:AL)</f>
        <v>16</v>
      </c>
      <c r="AI50">
        <f>SUMIF(RawData!$C:$C,$A50,RawData!AM:AM)</f>
        <v>16</v>
      </c>
      <c r="AJ50">
        <f>SUMIF(RawData!$C:$C,$A50,RawData!AN:AN)</f>
        <v>16</v>
      </c>
      <c r="AK50">
        <f>SUMIF(RawData!$C:$C,$A50,RawData!AO:AO)</f>
        <v>16</v>
      </c>
      <c r="AL50">
        <f>SUMIF(RawData!$C:$C,$A50,RawData!AP:AP)</f>
        <v>16</v>
      </c>
      <c r="AM50">
        <f>SUMIF(RawData!$C:$C,$A50,RawData!AQ:AQ)</f>
        <v>16</v>
      </c>
      <c r="AN50">
        <f>SUMIF(RawData!$C:$C,$A50,RawData!AR:AR)</f>
        <v>16</v>
      </c>
      <c r="AO50">
        <f>SUMIF(RawData!$C:$C,$A50,RawData!AS:AS)</f>
        <v>16</v>
      </c>
      <c r="AP50">
        <f>SUMIF(RawData!$C:$C,$A50,RawData!AT:AT)</f>
        <v>16</v>
      </c>
      <c r="AQ50">
        <f>SUMIF(RawData!$C:$C,$A50,RawData!AU:AU)</f>
        <v>16</v>
      </c>
      <c r="AR50">
        <f>SUMIF(RawData!$C:$C,$A50,RawData!AV:AV)</f>
        <v>16</v>
      </c>
      <c r="AS50">
        <f>SUMIF(RawData!$C:$C,$A50,RawData!AW:AW)</f>
        <v>16</v>
      </c>
      <c r="AT50">
        <f>SUMIF(RawData!$C:$C,$A50,RawData!AX:AX)</f>
        <v>16</v>
      </c>
      <c r="AU50">
        <f>SUMIF(RawData!$C:$C,$A50,RawData!AY:AY)</f>
        <v>18</v>
      </c>
      <c r="AV50">
        <f>SUMIF(RawData!$C:$C,$A50,RawData!AZ:AZ)</f>
        <v>30</v>
      </c>
      <c r="AW50">
        <f>SUMIF(RawData!$C:$C,$A50,RawData!BA:BA)</f>
        <v>30</v>
      </c>
      <c r="AX50">
        <f>SUMIF(RawData!$C:$C,$A50,RawData!BB:BB)</f>
        <v>31</v>
      </c>
      <c r="AY50">
        <f>SUMIF(RawData!$C:$C,$A50,RawData!BC:BC)</f>
        <v>38</v>
      </c>
      <c r="AZ50">
        <f>SUMIF(RawData!$C:$C,$A50,RawData!BD:BD)</f>
        <v>39</v>
      </c>
      <c r="BA50">
        <f>SUMIF(RawData!$C:$C,$A50,RawData!BE:BE)</f>
        <v>47</v>
      </c>
      <c r="BB50">
        <f>SUMIF(RawData!$C:$C,$A50,RawData!BF:BF)</f>
        <v>53</v>
      </c>
      <c r="BC50">
        <f>SUMIF(RawData!$C:$C,$A50,RawData!BG:BG)</f>
        <v>56</v>
      </c>
      <c r="BD50">
        <f>SUMIF(RawData!$C:$C,$A50,RawData!BH:BH)</f>
        <v>61</v>
      </c>
      <c r="BE50">
        <f>SUMIF(RawData!$C:$C,$A50,RawData!BI:BI)</f>
        <v>0</v>
      </c>
      <c r="BF50">
        <f>SUMIF(RawData!$C:$C,$A50,RawData!BJ:BJ)</f>
        <v>0</v>
      </c>
      <c r="BG50">
        <f>SUMIF(RawData!$C:$C,$A50,RawData!BK:BK)</f>
        <v>0</v>
      </c>
      <c r="BH50">
        <f>SUMIF(RawData!$C:$C,$A50,RawData!BL:BL)</f>
        <v>0</v>
      </c>
      <c r="BI50">
        <f>SUMIF(RawData!$C:$C,$A50,RawData!BM:BM)</f>
        <v>0</v>
      </c>
      <c r="BJ50">
        <f>SUMIF(RawData!$C:$C,$A50,RawData!BN:BN)</f>
        <v>0</v>
      </c>
      <c r="BK50">
        <f>SUMIF(RawData!$C:$C,$A50,RawData!BO:BO)</f>
        <v>0</v>
      </c>
      <c r="BL50">
        <f>SUMIF(RawData!$C:$C,$A50,RawData!BP:BP)</f>
        <v>0</v>
      </c>
      <c r="BM50">
        <f>SUMIF(RawData!$C:$C,$A50,RawData!BQ:BQ)</f>
        <v>0</v>
      </c>
      <c r="BN50">
        <f>SUMIF(RawData!$C:$C,$A50,RawData!BR:BR)</f>
        <v>0</v>
      </c>
      <c r="BO50">
        <f>SUMIF(RawData!$C:$C,$A50,RawData!BS:BS)</f>
        <v>0</v>
      </c>
      <c r="BP50">
        <f>SUMIF(RawData!$C:$C,$A50,RawData!BT:BT)</f>
        <v>0</v>
      </c>
      <c r="BQ50">
        <f>SUMIF(RawData!$C:$C,$A50,RawData!BU:BU)</f>
        <v>0</v>
      </c>
      <c r="BR50">
        <f>SUMIF(RawData!$C:$C,$A50,RawData!BV:BV)</f>
        <v>0</v>
      </c>
      <c r="BS50">
        <f>SUMIF(RawData!$C:$C,$A50,RawData!BW:BW)</f>
        <v>0</v>
      </c>
      <c r="BT50">
        <f>SUMIF(RawData!$C:$C,$A50,RawData!BX:BX)</f>
        <v>0</v>
      </c>
    </row>
    <row r="51" spans="1:72" ht="15" thickBot="1" x14ac:dyDescent="0.35">
      <c r="A51" s="4" t="s">
        <v>372</v>
      </c>
      <c r="B51">
        <f>SUMIF(RawData!$C:$C,$A51,RawData!F:F)</f>
        <v>0</v>
      </c>
      <c r="C51">
        <f>SUMIF(RawData!$C:$C,$A51,RawData!G:G)</f>
        <v>0</v>
      </c>
      <c r="D51">
        <f>SUMIF(RawData!$C:$C,$A51,RawData!H:H)</f>
        <v>0</v>
      </c>
      <c r="E51">
        <f>SUMIF(RawData!$C:$C,$A51,RawData!I:I)</f>
        <v>0</v>
      </c>
      <c r="F51">
        <f>SUMIF(RawData!$C:$C,$A51,RawData!J:J)</f>
        <v>0</v>
      </c>
      <c r="G51">
        <f>SUMIF(RawData!$C:$C,$A51,RawData!K:K)</f>
        <v>0</v>
      </c>
      <c r="H51">
        <f>SUMIF(RawData!$C:$C,$A51,RawData!L:L)</f>
        <v>0</v>
      </c>
      <c r="I51">
        <f>SUMIF(RawData!$C:$C,$A51,RawData!M:M)</f>
        <v>0</v>
      </c>
      <c r="J51">
        <f>SUMIF(RawData!$C:$C,$A51,RawData!N:N)</f>
        <v>0</v>
      </c>
      <c r="K51">
        <f>SUMIF(RawData!$C:$C,$A51,RawData!O:O)</f>
        <v>2</v>
      </c>
      <c r="L51">
        <f>SUMIF(RawData!$C:$C,$A51,RawData!P:P)</f>
        <v>2</v>
      </c>
      <c r="M51">
        <f>SUMIF(RawData!$C:$C,$A51,RawData!Q:Q)</f>
        <v>2</v>
      </c>
      <c r="N51">
        <f>SUMIF(RawData!$C:$C,$A51,RawData!R:R)</f>
        <v>2</v>
      </c>
      <c r="O51">
        <f>SUMIF(RawData!$C:$C,$A51,RawData!S:S)</f>
        <v>2</v>
      </c>
      <c r="P51">
        <f>SUMIF(RawData!$C:$C,$A51,RawData!T:T)</f>
        <v>2</v>
      </c>
      <c r="Q51">
        <f>SUMIF(RawData!$C:$C,$A51,RawData!U:U)</f>
        <v>2</v>
      </c>
      <c r="R51">
        <f>SUMIF(RawData!$C:$C,$A51,RawData!V:V)</f>
        <v>2</v>
      </c>
      <c r="S51">
        <f>SUMIF(RawData!$C:$C,$A51,RawData!W:W)</f>
        <v>2</v>
      </c>
      <c r="T51">
        <f>SUMIF(RawData!$C:$C,$A51,RawData!X:X)</f>
        <v>2</v>
      </c>
      <c r="U51">
        <f>SUMIF(RawData!$C:$C,$A51,RawData!Y:Y)</f>
        <v>2</v>
      </c>
      <c r="V51">
        <f>SUMIF(RawData!$C:$C,$A51,RawData!Z:Z)</f>
        <v>2</v>
      </c>
      <c r="W51">
        <f>SUMIF(RawData!$C:$C,$A51,RawData!AA:AA)</f>
        <v>2</v>
      </c>
      <c r="X51">
        <f>SUMIF(RawData!$C:$C,$A51,RawData!AB:AB)</f>
        <v>2</v>
      </c>
      <c r="Y51">
        <f>SUMIF(RawData!$C:$C,$A51,RawData!AC:AC)</f>
        <v>2</v>
      </c>
      <c r="Z51">
        <f>SUMIF(RawData!$C:$C,$A51,RawData!AD:AD)</f>
        <v>2</v>
      </c>
      <c r="AA51">
        <f>SUMIF(RawData!$C:$C,$A51,RawData!AE:AE)</f>
        <v>2</v>
      </c>
      <c r="AB51">
        <f>SUMIF(RawData!$C:$C,$A51,RawData!AF:AF)</f>
        <v>2</v>
      </c>
      <c r="AC51">
        <f>SUMIF(RawData!$C:$C,$A51,RawData!AG:AG)</f>
        <v>2</v>
      </c>
      <c r="AD51">
        <f>SUMIF(RawData!$C:$C,$A51,RawData!AH:AH)</f>
        <v>2</v>
      </c>
      <c r="AE51">
        <f>SUMIF(RawData!$C:$C,$A51,RawData!AI:AI)</f>
        <v>2</v>
      </c>
      <c r="AF51">
        <f>SUMIF(RawData!$C:$C,$A51,RawData!AJ:AJ)</f>
        <v>2</v>
      </c>
      <c r="AG51">
        <f>SUMIF(RawData!$C:$C,$A51,RawData!AK:AK)</f>
        <v>2</v>
      </c>
      <c r="AH51">
        <f>SUMIF(RawData!$C:$C,$A51,RawData!AL:AL)</f>
        <v>2</v>
      </c>
      <c r="AI51">
        <f>SUMIF(RawData!$C:$C,$A51,RawData!AM:AM)</f>
        <v>2</v>
      </c>
      <c r="AJ51">
        <f>SUMIF(RawData!$C:$C,$A51,RawData!AN:AN)</f>
        <v>2</v>
      </c>
      <c r="AK51">
        <f>SUMIF(RawData!$C:$C,$A51,RawData!AO:AO)</f>
        <v>2</v>
      </c>
      <c r="AL51">
        <f>SUMIF(RawData!$C:$C,$A51,RawData!AP:AP)</f>
        <v>2</v>
      </c>
      <c r="AM51">
        <f>SUMIF(RawData!$C:$C,$A51,RawData!AQ:AQ)</f>
        <v>2</v>
      </c>
      <c r="AN51">
        <f>SUMIF(RawData!$C:$C,$A51,RawData!AR:AR)</f>
        <v>2</v>
      </c>
      <c r="AO51">
        <f>SUMIF(RawData!$C:$C,$A51,RawData!AS:AS)</f>
        <v>2</v>
      </c>
      <c r="AP51">
        <f>SUMIF(RawData!$C:$C,$A51,RawData!AT:AT)</f>
        <v>3</v>
      </c>
      <c r="AQ51">
        <f>SUMIF(RawData!$C:$C,$A51,RawData!AU:AU)</f>
        <v>3</v>
      </c>
      <c r="AR51">
        <f>SUMIF(RawData!$C:$C,$A51,RawData!AV:AV)</f>
        <v>3</v>
      </c>
      <c r="AS51">
        <f>SUMIF(RawData!$C:$C,$A51,RawData!AW:AW)</f>
        <v>4</v>
      </c>
      <c r="AT51">
        <f>SUMIF(RawData!$C:$C,$A51,RawData!AX:AX)</f>
        <v>13</v>
      </c>
      <c r="AU51">
        <f>SUMIF(RawData!$C:$C,$A51,RawData!AY:AY)</f>
        <v>13</v>
      </c>
      <c r="AV51">
        <f>SUMIF(RawData!$C:$C,$A51,RawData!AZ:AZ)</f>
        <v>17</v>
      </c>
      <c r="AW51">
        <f>SUMIF(RawData!$C:$C,$A51,RawData!BA:BA)</f>
        <v>17</v>
      </c>
      <c r="AX51">
        <f>SUMIF(RawData!$C:$C,$A51,RawData!BB:BB)</f>
        <v>20</v>
      </c>
      <c r="AY51">
        <f>SUMIF(RawData!$C:$C,$A51,RawData!BC:BC)</f>
        <v>20</v>
      </c>
      <c r="AZ51">
        <f>SUMIF(RawData!$C:$C,$A51,RawData!BD:BD)</f>
        <v>28</v>
      </c>
      <c r="BA51">
        <f>SUMIF(RawData!$C:$C,$A51,RawData!BE:BE)</f>
        <v>45</v>
      </c>
      <c r="BB51">
        <f>SUMIF(RawData!$C:$C,$A51,RawData!BF:BF)</f>
        <v>59</v>
      </c>
      <c r="BC51">
        <f>SUMIF(RawData!$C:$C,$A51,RawData!BG:BG)</f>
        <v>63</v>
      </c>
      <c r="BD51">
        <f>SUMIF(RawData!$C:$C,$A51,RawData!BH:BH)</f>
        <v>90</v>
      </c>
      <c r="BE51">
        <f>SUMIF(RawData!$C:$C,$A51,RawData!BI:BI)</f>
        <v>0</v>
      </c>
      <c r="BF51">
        <f>SUMIF(RawData!$C:$C,$A51,RawData!BJ:BJ)</f>
        <v>0</v>
      </c>
      <c r="BG51">
        <f>SUMIF(RawData!$C:$C,$A51,RawData!BK:BK)</f>
        <v>0</v>
      </c>
      <c r="BH51">
        <f>SUMIF(RawData!$C:$C,$A51,RawData!BL:BL)</f>
        <v>0</v>
      </c>
      <c r="BI51">
        <f>SUMIF(RawData!$C:$C,$A51,RawData!BM:BM)</f>
        <v>0</v>
      </c>
      <c r="BJ51">
        <f>SUMIF(RawData!$C:$C,$A51,RawData!BN:BN)</f>
        <v>0</v>
      </c>
      <c r="BK51">
        <f>SUMIF(RawData!$C:$C,$A51,RawData!BO:BO)</f>
        <v>0</v>
      </c>
      <c r="BL51">
        <f>SUMIF(RawData!$C:$C,$A51,RawData!BP:BP)</f>
        <v>0</v>
      </c>
      <c r="BM51">
        <f>SUMIF(RawData!$C:$C,$A51,RawData!BQ:BQ)</f>
        <v>0</v>
      </c>
      <c r="BN51">
        <f>SUMIF(RawData!$C:$C,$A51,RawData!BR:BR)</f>
        <v>0</v>
      </c>
      <c r="BO51">
        <f>SUMIF(RawData!$C:$C,$A51,RawData!BS:BS)</f>
        <v>0</v>
      </c>
      <c r="BP51">
        <f>SUMIF(RawData!$C:$C,$A51,RawData!BT:BT)</f>
        <v>0</v>
      </c>
      <c r="BQ51">
        <f>SUMIF(RawData!$C:$C,$A51,RawData!BU:BU)</f>
        <v>0</v>
      </c>
      <c r="BR51">
        <f>SUMIF(RawData!$C:$C,$A51,RawData!BV:BV)</f>
        <v>0</v>
      </c>
      <c r="BS51">
        <f>SUMIF(RawData!$C:$C,$A51,RawData!BW:BW)</f>
        <v>0</v>
      </c>
      <c r="BT51">
        <f>SUMIF(RawData!$C:$C,$A51,RawData!BX:BX)</f>
        <v>0</v>
      </c>
    </row>
    <row r="52" spans="1:72" ht="15" thickBot="1" x14ac:dyDescent="0.35">
      <c r="A52" s="4" t="s">
        <v>151</v>
      </c>
      <c r="B52">
        <f>SUMIF(RawData!$C:$C,$A52,RawData!F:F)</f>
        <v>0</v>
      </c>
      <c r="C52">
        <f>SUMIF(RawData!$C:$C,$A52,RawData!G:G)</f>
        <v>0</v>
      </c>
      <c r="D52">
        <f>SUMIF(RawData!$C:$C,$A52,RawData!H:H)</f>
        <v>0</v>
      </c>
      <c r="E52">
        <f>SUMIF(RawData!$C:$C,$A52,RawData!I:I)</f>
        <v>0</v>
      </c>
      <c r="F52">
        <f>SUMIF(RawData!$C:$C,$A52,RawData!J:J)</f>
        <v>0</v>
      </c>
      <c r="G52">
        <f>SUMIF(RawData!$C:$C,$A52,RawData!K:K)</f>
        <v>0</v>
      </c>
      <c r="H52">
        <f>SUMIF(RawData!$C:$C,$A52,RawData!L:L)</f>
        <v>0</v>
      </c>
      <c r="I52">
        <f>SUMIF(RawData!$C:$C,$A52,RawData!M:M)</f>
        <v>0</v>
      </c>
      <c r="J52">
        <f>SUMIF(RawData!$C:$C,$A52,RawData!N:N)</f>
        <v>0</v>
      </c>
      <c r="K52">
        <f>SUMIF(RawData!$C:$C,$A52,RawData!O:O)</f>
        <v>0</v>
      </c>
      <c r="L52">
        <f>SUMIF(RawData!$C:$C,$A52,RawData!P:P)</f>
        <v>0</v>
      </c>
      <c r="M52">
        <f>SUMIF(RawData!$C:$C,$A52,RawData!Q:Q)</f>
        <v>0</v>
      </c>
      <c r="N52">
        <f>SUMIF(RawData!$C:$C,$A52,RawData!R:R)</f>
        <v>0</v>
      </c>
      <c r="O52">
        <f>SUMIF(RawData!$C:$C,$A52,RawData!S:S)</f>
        <v>0</v>
      </c>
      <c r="P52">
        <f>SUMIF(RawData!$C:$C,$A52,RawData!T:T)</f>
        <v>0</v>
      </c>
      <c r="Q52">
        <f>SUMIF(RawData!$C:$C,$A52,RawData!U:U)</f>
        <v>0</v>
      </c>
      <c r="R52">
        <f>SUMIF(RawData!$C:$C,$A52,RawData!V:V)</f>
        <v>0</v>
      </c>
      <c r="S52">
        <f>SUMIF(RawData!$C:$C,$A52,RawData!W:W)</f>
        <v>0</v>
      </c>
      <c r="T52">
        <f>SUMIF(RawData!$C:$C,$A52,RawData!X:X)</f>
        <v>0</v>
      </c>
      <c r="U52">
        <f>SUMIF(RawData!$C:$C,$A52,RawData!Y:Y)</f>
        <v>0</v>
      </c>
      <c r="V52">
        <f>SUMIF(RawData!$C:$C,$A52,RawData!Z:Z)</f>
        <v>0</v>
      </c>
      <c r="W52">
        <f>SUMIF(RawData!$C:$C,$A52,RawData!AA:AA)</f>
        <v>0</v>
      </c>
      <c r="X52">
        <f>SUMIF(RawData!$C:$C,$A52,RawData!AB:AB)</f>
        <v>0</v>
      </c>
      <c r="Y52">
        <f>SUMIF(RawData!$C:$C,$A52,RawData!AC:AC)</f>
        <v>0</v>
      </c>
      <c r="Z52">
        <f>SUMIF(RawData!$C:$C,$A52,RawData!AD:AD)</f>
        <v>0</v>
      </c>
      <c r="AA52">
        <f>SUMIF(RawData!$C:$C,$A52,RawData!AE:AE)</f>
        <v>0</v>
      </c>
      <c r="AB52">
        <f>SUMIF(RawData!$C:$C,$A52,RawData!AF:AF)</f>
        <v>0</v>
      </c>
      <c r="AC52">
        <f>SUMIF(RawData!$C:$C,$A52,RawData!AG:AG)</f>
        <v>0</v>
      </c>
      <c r="AD52">
        <f>SUMIF(RawData!$C:$C,$A52,RawData!AH:AH)</f>
        <v>0</v>
      </c>
      <c r="AE52">
        <f>SUMIF(RawData!$C:$C,$A52,RawData!AI:AI)</f>
        <v>0</v>
      </c>
      <c r="AF52">
        <f>SUMIF(RawData!$C:$C,$A52,RawData!AJ:AJ)</f>
        <v>0</v>
      </c>
      <c r="AG52">
        <f>SUMIF(RawData!$C:$C,$A52,RawData!AK:AK)</f>
        <v>0</v>
      </c>
      <c r="AH52">
        <f>SUMIF(RawData!$C:$C,$A52,RawData!AL:AL)</f>
        <v>0</v>
      </c>
      <c r="AI52">
        <f>SUMIF(RawData!$C:$C,$A52,RawData!AM:AM)</f>
        <v>0</v>
      </c>
      <c r="AJ52">
        <f>SUMIF(RawData!$C:$C,$A52,RawData!AN:AN)</f>
        <v>0</v>
      </c>
      <c r="AK52">
        <f>SUMIF(RawData!$C:$C,$A52,RawData!AO:AO)</f>
        <v>0</v>
      </c>
      <c r="AL52">
        <f>SUMIF(RawData!$C:$C,$A52,RawData!AP:AP)</f>
        <v>0</v>
      </c>
      <c r="AM52">
        <f>SUMIF(RawData!$C:$C,$A52,RawData!AQ:AQ)</f>
        <v>0</v>
      </c>
      <c r="AN52">
        <f>SUMIF(RawData!$C:$C,$A52,RawData!AR:AR)</f>
        <v>0</v>
      </c>
      <c r="AO52">
        <f>SUMIF(RawData!$C:$C,$A52,RawData!AS:AS)</f>
        <v>0</v>
      </c>
      <c r="AP52">
        <f>SUMIF(RawData!$C:$C,$A52,RawData!AT:AT)</f>
        <v>0</v>
      </c>
      <c r="AQ52">
        <f>SUMIF(RawData!$C:$C,$A52,RawData!AU:AU)</f>
        <v>1</v>
      </c>
      <c r="AR52">
        <f>SUMIF(RawData!$C:$C,$A52,RawData!AV:AV)</f>
        <v>1</v>
      </c>
      <c r="AS52">
        <f>SUMIF(RawData!$C:$C,$A52,RawData!AW:AW)</f>
        <v>4</v>
      </c>
      <c r="AT52">
        <f>SUMIF(RawData!$C:$C,$A52,RawData!AX:AX)</f>
        <v>4</v>
      </c>
      <c r="AU52">
        <f>SUMIF(RawData!$C:$C,$A52,RawData!AY:AY)</f>
        <v>4</v>
      </c>
      <c r="AV52">
        <f>SUMIF(RawData!$C:$C,$A52,RawData!AZ:AZ)</f>
        <v>8</v>
      </c>
      <c r="AW52">
        <f>SUMIF(RawData!$C:$C,$A52,RawData!BA:BA)</f>
        <v>8</v>
      </c>
      <c r="AX52">
        <f>SUMIF(RawData!$C:$C,$A52,RawData!BB:BB)</f>
        <v>13</v>
      </c>
      <c r="AY52">
        <f>SUMIF(RawData!$C:$C,$A52,RawData!BC:BC)</f>
        <v>23</v>
      </c>
      <c r="AZ52">
        <f>SUMIF(RawData!$C:$C,$A52,RawData!BD:BD)</f>
        <v>23</v>
      </c>
      <c r="BA52">
        <f>SUMIF(RawData!$C:$C,$A52,RawData!BE:BE)</f>
        <v>43</v>
      </c>
      <c r="BB52">
        <f>SUMIF(RawData!$C:$C,$A52,RawData!BF:BF)</f>
        <v>61</v>
      </c>
      <c r="BC52">
        <f>SUMIF(RawData!$C:$C,$A52,RawData!BG:BG)</f>
        <v>74</v>
      </c>
      <c r="BD52">
        <f>SUMIF(RawData!$C:$C,$A52,RawData!BH:BH)</f>
        <v>155</v>
      </c>
      <c r="BE52">
        <f>SUMIF(RawData!$C:$C,$A52,RawData!BI:BI)</f>
        <v>0</v>
      </c>
      <c r="BF52">
        <f>SUMIF(RawData!$C:$C,$A52,RawData!BJ:BJ)</f>
        <v>0</v>
      </c>
      <c r="BG52">
        <f>SUMIF(RawData!$C:$C,$A52,RawData!BK:BK)</f>
        <v>0</v>
      </c>
      <c r="BH52">
        <f>SUMIF(RawData!$C:$C,$A52,RawData!BL:BL)</f>
        <v>0</v>
      </c>
      <c r="BI52">
        <f>SUMIF(RawData!$C:$C,$A52,RawData!BM:BM)</f>
        <v>0</v>
      </c>
      <c r="BJ52">
        <f>SUMIF(RawData!$C:$C,$A52,RawData!BN:BN)</f>
        <v>0</v>
      </c>
      <c r="BK52">
        <f>SUMIF(RawData!$C:$C,$A52,RawData!BO:BO)</f>
        <v>0</v>
      </c>
      <c r="BL52">
        <f>SUMIF(RawData!$C:$C,$A52,RawData!BP:BP)</f>
        <v>0</v>
      </c>
      <c r="BM52">
        <f>SUMIF(RawData!$C:$C,$A52,RawData!BQ:BQ)</f>
        <v>0</v>
      </c>
      <c r="BN52">
        <f>SUMIF(RawData!$C:$C,$A52,RawData!BR:BR)</f>
        <v>0</v>
      </c>
      <c r="BO52">
        <f>SUMIF(RawData!$C:$C,$A52,RawData!BS:BS)</f>
        <v>0</v>
      </c>
      <c r="BP52">
        <f>SUMIF(RawData!$C:$C,$A52,RawData!BT:BT)</f>
        <v>0</v>
      </c>
      <c r="BQ52">
        <f>SUMIF(RawData!$C:$C,$A52,RawData!BU:BU)</f>
        <v>0</v>
      </c>
      <c r="BR52">
        <f>SUMIF(RawData!$C:$C,$A52,RawData!BV:BV)</f>
        <v>0</v>
      </c>
      <c r="BS52">
        <f>SUMIF(RawData!$C:$C,$A52,RawData!BW:BW)</f>
        <v>0</v>
      </c>
      <c r="BT52">
        <f>SUMIF(RawData!$C:$C,$A52,RawData!BX:BX)</f>
        <v>0</v>
      </c>
    </row>
    <row r="53" spans="1:72" ht="15" thickBot="1" x14ac:dyDescent="0.35">
      <c r="A53" s="5" t="s">
        <v>260</v>
      </c>
      <c r="B53">
        <f>SUMIF(RawData!$C:$C,$A53,RawData!F:F)</f>
        <v>0</v>
      </c>
      <c r="C53">
        <f>SUMIF(RawData!$C:$C,$A53,RawData!G:G)</f>
        <v>0</v>
      </c>
      <c r="D53">
        <f>SUMIF(RawData!$C:$C,$A53,RawData!H:H)</f>
        <v>0</v>
      </c>
      <c r="E53">
        <f>SUMIF(RawData!$C:$C,$A53,RawData!I:I)</f>
        <v>0</v>
      </c>
      <c r="F53">
        <f>SUMIF(RawData!$C:$C,$A53,RawData!J:J)</f>
        <v>0</v>
      </c>
      <c r="G53">
        <f>SUMIF(RawData!$C:$C,$A53,RawData!K:K)</f>
        <v>0</v>
      </c>
      <c r="H53">
        <f>SUMIF(RawData!$C:$C,$A53,RawData!L:L)</f>
        <v>0</v>
      </c>
      <c r="I53">
        <f>SUMIF(RawData!$C:$C,$A53,RawData!M:M)</f>
        <v>0</v>
      </c>
      <c r="J53">
        <f>SUMIF(RawData!$C:$C,$A53,RawData!N:N)</f>
        <v>0</v>
      </c>
      <c r="K53">
        <f>SUMIF(RawData!$C:$C,$A53,RawData!O:O)</f>
        <v>0</v>
      </c>
      <c r="L53">
        <f>SUMIF(RawData!$C:$C,$A53,RawData!P:P)</f>
        <v>0</v>
      </c>
      <c r="M53">
        <f>SUMIF(RawData!$C:$C,$A53,RawData!Q:Q)</f>
        <v>0</v>
      </c>
      <c r="N53">
        <f>SUMIF(RawData!$C:$C,$A53,RawData!R:R)</f>
        <v>0</v>
      </c>
      <c r="O53">
        <f>SUMIF(RawData!$C:$C,$A53,RawData!S:S)</f>
        <v>0</v>
      </c>
      <c r="P53">
        <f>SUMIF(RawData!$C:$C,$A53,RawData!T:T)</f>
        <v>0</v>
      </c>
      <c r="Q53">
        <f>SUMIF(RawData!$C:$C,$A53,RawData!U:U)</f>
        <v>0</v>
      </c>
      <c r="R53">
        <f>SUMIF(RawData!$C:$C,$A53,RawData!V:V)</f>
        <v>0</v>
      </c>
      <c r="S53">
        <f>SUMIF(RawData!$C:$C,$A53,RawData!W:W)</f>
        <v>0</v>
      </c>
      <c r="T53">
        <f>SUMIF(RawData!$C:$C,$A53,RawData!X:X)</f>
        <v>0</v>
      </c>
      <c r="U53">
        <f>SUMIF(RawData!$C:$C,$A53,RawData!Y:Y)</f>
        <v>0</v>
      </c>
      <c r="V53">
        <f>SUMIF(RawData!$C:$C,$A53,RawData!Z:Z)</f>
        <v>0</v>
      </c>
      <c r="W53">
        <f>SUMIF(RawData!$C:$C,$A53,RawData!AA:AA)</f>
        <v>0</v>
      </c>
      <c r="X53">
        <f>SUMIF(RawData!$C:$C,$A53,RawData!AB:AB)</f>
        <v>0</v>
      </c>
      <c r="Y53">
        <f>SUMIF(RawData!$C:$C,$A53,RawData!AC:AC)</f>
        <v>0</v>
      </c>
      <c r="Z53">
        <f>SUMIF(RawData!$C:$C,$A53,RawData!AD:AD)</f>
        <v>0</v>
      </c>
      <c r="AA53">
        <f>SUMIF(RawData!$C:$C,$A53,RawData!AE:AE)</f>
        <v>0</v>
      </c>
      <c r="AB53">
        <f>SUMIF(RawData!$C:$C,$A53,RawData!AF:AF)</f>
        <v>0</v>
      </c>
      <c r="AC53">
        <f>SUMIF(RawData!$C:$C,$A53,RawData!AG:AG)</f>
        <v>0</v>
      </c>
      <c r="AD53">
        <f>SUMIF(RawData!$C:$C,$A53,RawData!AH:AH)</f>
        <v>0</v>
      </c>
      <c r="AE53">
        <f>SUMIF(RawData!$C:$C,$A53,RawData!AI:AI)</f>
        <v>0</v>
      </c>
      <c r="AF53">
        <f>SUMIF(RawData!$C:$C,$A53,RawData!AJ:AJ)</f>
        <v>0</v>
      </c>
      <c r="AG53">
        <f>SUMIF(RawData!$C:$C,$A53,RawData!AK:AK)</f>
        <v>0</v>
      </c>
      <c r="AH53">
        <f>SUMIF(RawData!$C:$C,$A53,RawData!AL:AL)</f>
        <v>0</v>
      </c>
      <c r="AI53">
        <f>SUMIF(RawData!$C:$C,$A53,RawData!AM:AM)</f>
        <v>0</v>
      </c>
      <c r="AJ53">
        <f>SUMIF(RawData!$C:$C,$A53,RawData!AN:AN)</f>
        <v>0</v>
      </c>
      <c r="AK53">
        <f>SUMIF(RawData!$C:$C,$A53,RawData!AO:AO)</f>
        <v>0</v>
      </c>
      <c r="AL53">
        <f>SUMIF(RawData!$C:$C,$A53,RawData!AP:AP)</f>
        <v>0</v>
      </c>
      <c r="AM53">
        <f>SUMIF(RawData!$C:$C,$A53,RawData!AQ:AQ)</f>
        <v>0</v>
      </c>
      <c r="AN53">
        <f>SUMIF(RawData!$C:$C,$A53,RawData!AR:AR)</f>
        <v>0</v>
      </c>
      <c r="AO53">
        <f>SUMIF(RawData!$C:$C,$A53,RawData!AS:AS)</f>
        <v>0</v>
      </c>
      <c r="AP53">
        <f>SUMIF(RawData!$C:$C,$A53,RawData!AT:AT)</f>
        <v>0</v>
      </c>
      <c r="AQ53">
        <f>SUMIF(RawData!$C:$C,$A53,RawData!AU:AU)</f>
        <v>0</v>
      </c>
      <c r="AR53">
        <f>SUMIF(RawData!$C:$C,$A53,RawData!AV:AV)</f>
        <v>0</v>
      </c>
      <c r="AS53">
        <f>SUMIF(RawData!$C:$C,$A53,RawData!AW:AW)</f>
        <v>0</v>
      </c>
      <c r="AT53">
        <f>SUMIF(RawData!$C:$C,$A53,RawData!AX:AX)</f>
        <v>0</v>
      </c>
      <c r="AU53">
        <f>SUMIF(RawData!$C:$C,$A53,RawData!AY:AY)</f>
        <v>0</v>
      </c>
      <c r="AV53">
        <f>SUMIF(RawData!$C:$C,$A53,RawData!AZ:AZ)</f>
        <v>0</v>
      </c>
      <c r="AW53">
        <f>SUMIF(RawData!$C:$C,$A53,RawData!BA:BA)</f>
        <v>1</v>
      </c>
      <c r="AX53">
        <f>SUMIF(RawData!$C:$C,$A53,RawData!BB:BB)</f>
        <v>1</v>
      </c>
      <c r="AY53">
        <f>SUMIF(RawData!$C:$C,$A53,RawData!BC:BC)</f>
        <v>11</v>
      </c>
      <c r="AZ53">
        <f>SUMIF(RawData!$C:$C,$A53,RawData!BD:BD)</f>
        <v>11</v>
      </c>
      <c r="BA53">
        <f>SUMIF(RawData!$C:$C,$A53,RawData!BE:BE)</f>
        <v>37</v>
      </c>
      <c r="BB53">
        <f>SUMIF(RawData!$C:$C,$A53,RawData!BF:BF)</f>
        <v>40</v>
      </c>
      <c r="BC53">
        <f>SUMIF(RawData!$C:$C,$A53,RawData!BG:BG)</f>
        <v>50</v>
      </c>
      <c r="BD53">
        <f>SUMIF(RawData!$C:$C,$A53,RawData!BH:BH)</f>
        <v>54</v>
      </c>
      <c r="BE53">
        <f>SUMIF(RawData!$C:$C,$A53,RawData!BI:BI)</f>
        <v>0</v>
      </c>
      <c r="BF53">
        <f>SUMIF(RawData!$C:$C,$A53,RawData!BJ:BJ)</f>
        <v>0</v>
      </c>
      <c r="BG53">
        <f>SUMIF(RawData!$C:$C,$A53,RawData!BK:BK)</f>
        <v>0</v>
      </c>
      <c r="BH53">
        <f>SUMIF(RawData!$C:$C,$A53,RawData!BL:BL)</f>
        <v>0</v>
      </c>
      <c r="BI53">
        <f>SUMIF(RawData!$C:$C,$A53,RawData!BM:BM)</f>
        <v>0</v>
      </c>
      <c r="BJ53">
        <f>SUMIF(RawData!$C:$C,$A53,RawData!BN:BN)</f>
        <v>0</v>
      </c>
      <c r="BK53">
        <f>SUMIF(RawData!$C:$C,$A53,RawData!BO:BO)</f>
        <v>0</v>
      </c>
      <c r="BL53">
        <f>SUMIF(RawData!$C:$C,$A53,RawData!BP:BP)</f>
        <v>0</v>
      </c>
      <c r="BM53">
        <f>SUMIF(RawData!$C:$C,$A53,RawData!BQ:BQ)</f>
        <v>0</v>
      </c>
      <c r="BN53">
        <f>SUMIF(RawData!$C:$C,$A53,RawData!BR:BR)</f>
        <v>0</v>
      </c>
      <c r="BO53">
        <f>SUMIF(RawData!$C:$C,$A53,RawData!BS:BS)</f>
        <v>0</v>
      </c>
      <c r="BP53">
        <f>SUMIF(RawData!$C:$C,$A53,RawData!BT:BT)</f>
        <v>0</v>
      </c>
      <c r="BQ53">
        <f>SUMIF(RawData!$C:$C,$A53,RawData!BU:BU)</f>
        <v>0</v>
      </c>
      <c r="BR53">
        <f>SUMIF(RawData!$C:$C,$A53,RawData!BV:BV)</f>
        <v>0</v>
      </c>
      <c r="BS53">
        <f>SUMIF(RawData!$C:$C,$A53,RawData!BW:BW)</f>
        <v>0</v>
      </c>
      <c r="BT53">
        <f>SUMIF(RawData!$C:$C,$A53,RawData!BX:BX)</f>
        <v>0</v>
      </c>
    </row>
    <row r="54" spans="1:72" ht="15" thickBot="1" x14ac:dyDescent="0.35">
      <c r="A54" s="4" t="s">
        <v>188</v>
      </c>
      <c r="B54">
        <f>SUMIF(RawData!$C:$C,$A54,RawData!F:F)</f>
        <v>0</v>
      </c>
      <c r="C54">
        <f>SUMIF(RawData!$C:$C,$A54,RawData!G:G)</f>
        <v>0</v>
      </c>
      <c r="D54">
        <f>SUMIF(RawData!$C:$C,$A54,RawData!H:H)</f>
        <v>0</v>
      </c>
      <c r="E54">
        <f>SUMIF(RawData!$C:$C,$A54,RawData!I:I)</f>
        <v>0</v>
      </c>
      <c r="F54">
        <f>SUMIF(RawData!$C:$C,$A54,RawData!J:J)</f>
        <v>0</v>
      </c>
      <c r="G54">
        <f>SUMIF(RawData!$C:$C,$A54,RawData!K:K)</f>
        <v>0</v>
      </c>
      <c r="H54">
        <f>SUMIF(RawData!$C:$C,$A54,RawData!L:L)</f>
        <v>0</v>
      </c>
      <c r="I54">
        <f>SUMIF(RawData!$C:$C,$A54,RawData!M:M)</f>
        <v>0</v>
      </c>
      <c r="J54">
        <f>SUMIF(RawData!$C:$C,$A54,RawData!N:N)</f>
        <v>0</v>
      </c>
      <c r="K54">
        <f>SUMIF(RawData!$C:$C,$A54,RawData!O:O)</f>
        <v>0</v>
      </c>
      <c r="L54">
        <f>SUMIF(RawData!$C:$C,$A54,RawData!P:P)</f>
        <v>0</v>
      </c>
      <c r="M54">
        <f>SUMIF(RawData!$C:$C,$A54,RawData!Q:Q)</f>
        <v>0</v>
      </c>
      <c r="N54">
        <f>SUMIF(RawData!$C:$C,$A54,RawData!R:R)</f>
        <v>0</v>
      </c>
      <c r="O54">
        <f>SUMIF(RawData!$C:$C,$A54,RawData!S:S)</f>
        <v>0</v>
      </c>
      <c r="P54">
        <f>SUMIF(RawData!$C:$C,$A54,RawData!T:T)</f>
        <v>0</v>
      </c>
      <c r="Q54">
        <f>SUMIF(RawData!$C:$C,$A54,RawData!U:U)</f>
        <v>0</v>
      </c>
      <c r="R54">
        <f>SUMIF(RawData!$C:$C,$A54,RawData!V:V)</f>
        <v>0</v>
      </c>
      <c r="S54">
        <f>SUMIF(RawData!$C:$C,$A54,RawData!W:W)</f>
        <v>0</v>
      </c>
      <c r="T54">
        <f>SUMIF(RawData!$C:$C,$A54,RawData!X:X)</f>
        <v>0</v>
      </c>
      <c r="U54">
        <f>SUMIF(RawData!$C:$C,$A54,RawData!Y:Y)</f>
        <v>0</v>
      </c>
      <c r="V54">
        <f>SUMIF(RawData!$C:$C,$A54,RawData!Z:Z)</f>
        <v>0</v>
      </c>
      <c r="W54">
        <f>SUMIF(RawData!$C:$C,$A54,RawData!AA:AA)</f>
        <v>0</v>
      </c>
      <c r="X54">
        <f>SUMIF(RawData!$C:$C,$A54,RawData!AB:AB)</f>
        <v>0</v>
      </c>
      <c r="Y54">
        <f>SUMIF(RawData!$C:$C,$A54,RawData!AC:AC)</f>
        <v>0</v>
      </c>
      <c r="Z54">
        <f>SUMIF(RawData!$C:$C,$A54,RawData!AD:AD)</f>
        <v>0</v>
      </c>
      <c r="AA54">
        <f>SUMIF(RawData!$C:$C,$A54,RawData!AE:AE)</f>
        <v>0</v>
      </c>
      <c r="AB54">
        <f>SUMIF(RawData!$C:$C,$A54,RawData!AF:AF)</f>
        <v>0</v>
      </c>
      <c r="AC54">
        <f>SUMIF(RawData!$C:$C,$A54,RawData!AG:AG)</f>
        <v>0</v>
      </c>
      <c r="AD54">
        <f>SUMIF(RawData!$C:$C,$A54,RawData!AH:AH)</f>
        <v>0</v>
      </c>
      <c r="AE54">
        <f>SUMIF(RawData!$C:$C,$A54,RawData!AI:AI)</f>
        <v>0</v>
      </c>
      <c r="AF54">
        <f>SUMIF(RawData!$C:$C,$A54,RawData!AJ:AJ)</f>
        <v>0</v>
      </c>
      <c r="AG54">
        <f>SUMIF(RawData!$C:$C,$A54,RawData!AK:AK)</f>
        <v>0</v>
      </c>
      <c r="AH54">
        <f>SUMIF(RawData!$C:$C,$A54,RawData!AL:AL)</f>
        <v>0</v>
      </c>
      <c r="AI54">
        <f>SUMIF(RawData!$C:$C,$A54,RawData!AM:AM)</f>
        <v>0</v>
      </c>
      <c r="AJ54">
        <f>SUMIF(RawData!$C:$C,$A54,RawData!AN:AN)</f>
        <v>0</v>
      </c>
      <c r="AK54">
        <f>SUMIF(RawData!$C:$C,$A54,RawData!AO:AO)</f>
        <v>0</v>
      </c>
      <c r="AL54">
        <f>SUMIF(RawData!$C:$C,$A54,RawData!AP:AP)</f>
        <v>0</v>
      </c>
      <c r="AM54">
        <f>SUMIF(RawData!$C:$C,$A54,RawData!AQ:AQ)</f>
        <v>0</v>
      </c>
      <c r="AN54">
        <f>SUMIF(RawData!$C:$C,$A54,RawData!AR:AR)</f>
        <v>0</v>
      </c>
      <c r="AO54">
        <f>SUMIF(RawData!$C:$C,$A54,RawData!AS:AS)</f>
        <v>0</v>
      </c>
      <c r="AP54">
        <f>SUMIF(RawData!$C:$C,$A54,RawData!AT:AT)</f>
        <v>0</v>
      </c>
      <c r="AQ54">
        <f>SUMIF(RawData!$C:$C,$A54,RawData!AU:AU)</f>
        <v>0</v>
      </c>
      <c r="AR54">
        <f>SUMIF(RawData!$C:$C,$A54,RawData!AV:AV)</f>
        <v>0</v>
      </c>
      <c r="AS54">
        <f>SUMIF(RawData!$C:$C,$A54,RawData!AW:AW)</f>
        <v>0</v>
      </c>
      <c r="AT54">
        <f>SUMIF(RawData!$C:$C,$A54,RawData!AX:AX)</f>
        <v>1</v>
      </c>
      <c r="AU54">
        <f>SUMIF(RawData!$C:$C,$A54,RawData!AY:AY)</f>
        <v>1</v>
      </c>
      <c r="AV54">
        <f>SUMIF(RawData!$C:$C,$A54,RawData!AZ:AZ)</f>
        <v>1</v>
      </c>
      <c r="AW54">
        <f>SUMIF(RawData!$C:$C,$A54,RawData!BA:BA)</f>
        <v>1</v>
      </c>
      <c r="AX54">
        <f>SUMIF(RawData!$C:$C,$A54,RawData!BB:BB)</f>
        <v>5</v>
      </c>
      <c r="AY54">
        <f>SUMIF(RawData!$C:$C,$A54,RawData!BC:BC)</f>
        <v>12</v>
      </c>
      <c r="AZ54">
        <f>SUMIF(RawData!$C:$C,$A54,RawData!BD:BD)</f>
        <v>19</v>
      </c>
      <c r="BA54">
        <f>SUMIF(RawData!$C:$C,$A54,RawData!BE:BE)</f>
        <v>35</v>
      </c>
      <c r="BB54">
        <f>SUMIF(RawData!$C:$C,$A54,RawData!BF:BF)</f>
        <v>46</v>
      </c>
      <c r="BC54">
        <f>SUMIF(RawData!$C:$C,$A54,RawData!BG:BG)</f>
        <v>48</v>
      </c>
      <c r="BD54">
        <f>SUMIF(RawData!$C:$C,$A54,RawData!BH:BH)</f>
        <v>55</v>
      </c>
      <c r="BE54">
        <f>SUMIF(RawData!$C:$C,$A54,RawData!BI:BI)</f>
        <v>0</v>
      </c>
      <c r="BF54">
        <f>SUMIF(RawData!$C:$C,$A54,RawData!BJ:BJ)</f>
        <v>0</v>
      </c>
      <c r="BG54">
        <f>SUMIF(RawData!$C:$C,$A54,RawData!BK:BK)</f>
        <v>0</v>
      </c>
      <c r="BH54">
        <f>SUMIF(RawData!$C:$C,$A54,RawData!BL:BL)</f>
        <v>0</v>
      </c>
      <c r="BI54">
        <f>SUMIF(RawData!$C:$C,$A54,RawData!BM:BM)</f>
        <v>0</v>
      </c>
      <c r="BJ54">
        <f>SUMIF(RawData!$C:$C,$A54,RawData!BN:BN)</f>
        <v>0</v>
      </c>
      <c r="BK54">
        <f>SUMIF(RawData!$C:$C,$A54,RawData!BO:BO)</f>
        <v>0</v>
      </c>
      <c r="BL54">
        <f>SUMIF(RawData!$C:$C,$A54,RawData!BP:BP)</f>
        <v>0</v>
      </c>
      <c r="BM54">
        <f>SUMIF(RawData!$C:$C,$A54,RawData!BQ:BQ)</f>
        <v>0</v>
      </c>
      <c r="BN54">
        <f>SUMIF(RawData!$C:$C,$A54,RawData!BR:BR)</f>
        <v>0</v>
      </c>
      <c r="BO54">
        <f>SUMIF(RawData!$C:$C,$A54,RawData!BS:BS)</f>
        <v>0</v>
      </c>
      <c r="BP54">
        <f>SUMIF(RawData!$C:$C,$A54,RawData!BT:BT)</f>
        <v>0</v>
      </c>
      <c r="BQ54">
        <f>SUMIF(RawData!$C:$C,$A54,RawData!BU:BU)</f>
        <v>0</v>
      </c>
      <c r="BR54">
        <f>SUMIF(RawData!$C:$C,$A54,RawData!BV:BV)</f>
        <v>0</v>
      </c>
      <c r="BS54">
        <f>SUMIF(RawData!$C:$C,$A54,RawData!BW:BW)</f>
        <v>0</v>
      </c>
      <c r="BT54">
        <f>SUMIF(RawData!$C:$C,$A54,RawData!BX:BX)</f>
        <v>0</v>
      </c>
    </row>
    <row r="55" spans="1:72" ht="15" thickBot="1" x14ac:dyDescent="0.35">
      <c r="A55" s="4" t="s">
        <v>126</v>
      </c>
      <c r="B55">
        <f>SUMIF(RawData!$C:$C,$A55,RawData!F:F)</f>
        <v>0</v>
      </c>
      <c r="C55">
        <f>SUMIF(RawData!$C:$C,$A55,RawData!G:G)</f>
        <v>0</v>
      </c>
      <c r="D55">
        <f>SUMIF(RawData!$C:$C,$A55,RawData!H:H)</f>
        <v>0</v>
      </c>
      <c r="E55">
        <f>SUMIF(RawData!$C:$C,$A55,RawData!I:I)</f>
        <v>0</v>
      </c>
      <c r="F55">
        <f>SUMIF(RawData!$C:$C,$A55,RawData!J:J)</f>
        <v>0</v>
      </c>
      <c r="G55">
        <f>SUMIF(RawData!$C:$C,$A55,RawData!K:K)</f>
        <v>0</v>
      </c>
      <c r="H55">
        <f>SUMIF(RawData!$C:$C,$A55,RawData!L:L)</f>
        <v>0</v>
      </c>
      <c r="I55">
        <f>SUMIF(RawData!$C:$C,$A55,RawData!M:M)</f>
        <v>0</v>
      </c>
      <c r="J55">
        <f>SUMIF(RawData!$C:$C,$A55,RawData!N:N)</f>
        <v>0</v>
      </c>
      <c r="K55">
        <f>SUMIF(RawData!$C:$C,$A55,RawData!O:O)</f>
        <v>0</v>
      </c>
      <c r="L55">
        <f>SUMIF(RawData!$C:$C,$A55,RawData!P:P)</f>
        <v>0</v>
      </c>
      <c r="M55">
        <f>SUMIF(RawData!$C:$C,$A55,RawData!Q:Q)</f>
        <v>0</v>
      </c>
      <c r="N55">
        <f>SUMIF(RawData!$C:$C,$A55,RawData!R:R)</f>
        <v>0</v>
      </c>
      <c r="O55">
        <f>SUMIF(RawData!$C:$C,$A55,RawData!S:S)</f>
        <v>0</v>
      </c>
      <c r="P55">
        <f>SUMIF(RawData!$C:$C,$A55,RawData!T:T)</f>
        <v>0</v>
      </c>
      <c r="Q55">
        <f>SUMIF(RawData!$C:$C,$A55,RawData!U:U)</f>
        <v>0</v>
      </c>
      <c r="R55">
        <f>SUMIF(RawData!$C:$C,$A55,RawData!V:V)</f>
        <v>0</v>
      </c>
      <c r="S55">
        <f>SUMIF(RawData!$C:$C,$A55,RawData!W:W)</f>
        <v>0</v>
      </c>
      <c r="T55">
        <f>SUMIF(RawData!$C:$C,$A55,RawData!X:X)</f>
        <v>0</v>
      </c>
      <c r="U55">
        <f>SUMIF(RawData!$C:$C,$A55,RawData!Y:Y)</f>
        <v>0</v>
      </c>
      <c r="V55">
        <f>SUMIF(RawData!$C:$C,$A55,RawData!Z:Z)</f>
        <v>0</v>
      </c>
      <c r="W55">
        <f>SUMIF(RawData!$C:$C,$A55,RawData!AA:AA)</f>
        <v>0</v>
      </c>
      <c r="X55">
        <f>SUMIF(RawData!$C:$C,$A55,RawData!AB:AB)</f>
        <v>0</v>
      </c>
      <c r="Y55">
        <f>SUMIF(RawData!$C:$C,$A55,RawData!AC:AC)</f>
        <v>0</v>
      </c>
      <c r="Z55">
        <f>SUMIF(RawData!$C:$C,$A55,RawData!AD:AD)</f>
        <v>0</v>
      </c>
      <c r="AA55">
        <f>SUMIF(RawData!$C:$C,$A55,RawData!AE:AE)</f>
        <v>0</v>
      </c>
      <c r="AB55">
        <f>SUMIF(RawData!$C:$C,$A55,RawData!AF:AF)</f>
        <v>0</v>
      </c>
      <c r="AC55">
        <f>SUMIF(RawData!$C:$C,$A55,RawData!AG:AG)</f>
        <v>0</v>
      </c>
      <c r="AD55">
        <f>SUMIF(RawData!$C:$C,$A55,RawData!AH:AH)</f>
        <v>0</v>
      </c>
      <c r="AE55">
        <f>SUMIF(RawData!$C:$C,$A55,RawData!AI:AI)</f>
        <v>0</v>
      </c>
      <c r="AF55">
        <f>SUMIF(RawData!$C:$C,$A55,RawData!AJ:AJ)</f>
        <v>0</v>
      </c>
      <c r="AG55">
        <f>SUMIF(RawData!$C:$C,$A55,RawData!AK:AK)</f>
        <v>0</v>
      </c>
      <c r="AH55">
        <f>SUMIF(RawData!$C:$C,$A55,RawData!AL:AL)</f>
        <v>0</v>
      </c>
      <c r="AI55">
        <f>SUMIF(RawData!$C:$C,$A55,RawData!AM:AM)</f>
        <v>0</v>
      </c>
      <c r="AJ55">
        <f>SUMIF(RawData!$C:$C,$A55,RawData!AN:AN)</f>
        <v>0</v>
      </c>
      <c r="AK55">
        <f>SUMIF(RawData!$C:$C,$A55,RawData!AO:AO)</f>
        <v>0</v>
      </c>
      <c r="AL55">
        <f>SUMIF(RawData!$C:$C,$A55,RawData!AP:AP)</f>
        <v>0</v>
      </c>
      <c r="AM55">
        <f>SUMIF(RawData!$C:$C,$A55,RawData!AQ:AQ)</f>
        <v>0</v>
      </c>
      <c r="AN55">
        <f>SUMIF(RawData!$C:$C,$A55,RawData!AR:AR)</f>
        <v>1</v>
      </c>
      <c r="AO55">
        <f>SUMIF(RawData!$C:$C,$A55,RawData!AS:AS)</f>
        <v>1</v>
      </c>
      <c r="AP55">
        <f>SUMIF(RawData!$C:$C,$A55,RawData!AT:AT)</f>
        <v>1</v>
      </c>
      <c r="AQ55">
        <f>SUMIF(RawData!$C:$C,$A55,RawData!AU:AU)</f>
        <v>1</v>
      </c>
      <c r="AR55">
        <f>SUMIF(RawData!$C:$C,$A55,RawData!AV:AV)</f>
        <v>1</v>
      </c>
      <c r="AS55">
        <f>SUMIF(RawData!$C:$C,$A55,RawData!AW:AW)</f>
        <v>1</v>
      </c>
      <c r="AT55">
        <f>SUMIF(RawData!$C:$C,$A55,RawData!AX:AX)</f>
        <v>2</v>
      </c>
      <c r="AU55">
        <f>SUMIF(RawData!$C:$C,$A55,RawData!AY:AY)</f>
        <v>2</v>
      </c>
      <c r="AV55">
        <f>SUMIF(RawData!$C:$C,$A55,RawData!AZ:AZ)</f>
        <v>3</v>
      </c>
      <c r="AW55">
        <f>SUMIF(RawData!$C:$C,$A55,RawData!BA:BA)</f>
        <v>3</v>
      </c>
      <c r="AX55">
        <f>SUMIF(RawData!$C:$C,$A55,RawData!BB:BB)</f>
        <v>5</v>
      </c>
      <c r="AY55">
        <f>SUMIF(RawData!$C:$C,$A55,RawData!BC:BC)</f>
        <v>7</v>
      </c>
      <c r="AZ55">
        <f>SUMIF(RawData!$C:$C,$A55,RawData!BD:BD)</f>
        <v>19</v>
      </c>
      <c r="BA55">
        <f>SUMIF(RawData!$C:$C,$A55,RawData!BE:BE)</f>
        <v>34</v>
      </c>
      <c r="BB55">
        <f>SUMIF(RawData!$C:$C,$A55,RawData!BF:BF)</f>
        <v>51</v>
      </c>
      <c r="BC55">
        <f>SUMIF(RawData!$C:$C,$A55,RawData!BG:BG)</f>
        <v>59</v>
      </c>
      <c r="BD55">
        <f>SUMIF(RawData!$C:$C,$A55,RawData!BH:BH)</f>
        <v>77</v>
      </c>
      <c r="BE55">
        <f>SUMIF(RawData!$C:$C,$A55,RawData!BI:BI)</f>
        <v>0</v>
      </c>
      <c r="BF55">
        <f>SUMIF(RawData!$C:$C,$A55,RawData!BJ:BJ)</f>
        <v>0</v>
      </c>
      <c r="BG55">
        <f>SUMIF(RawData!$C:$C,$A55,RawData!BK:BK)</f>
        <v>0</v>
      </c>
      <c r="BH55">
        <f>SUMIF(RawData!$C:$C,$A55,RawData!BL:BL)</f>
        <v>0</v>
      </c>
      <c r="BI55">
        <f>SUMIF(RawData!$C:$C,$A55,RawData!BM:BM)</f>
        <v>0</v>
      </c>
      <c r="BJ55">
        <f>SUMIF(RawData!$C:$C,$A55,RawData!BN:BN)</f>
        <v>0</v>
      </c>
      <c r="BK55">
        <f>SUMIF(RawData!$C:$C,$A55,RawData!BO:BO)</f>
        <v>0</v>
      </c>
      <c r="BL55">
        <f>SUMIF(RawData!$C:$C,$A55,RawData!BP:BP)</f>
        <v>0</v>
      </c>
      <c r="BM55">
        <f>SUMIF(RawData!$C:$C,$A55,RawData!BQ:BQ)</f>
        <v>0</v>
      </c>
      <c r="BN55">
        <f>SUMIF(RawData!$C:$C,$A55,RawData!BR:BR)</f>
        <v>0</v>
      </c>
      <c r="BO55">
        <f>SUMIF(RawData!$C:$C,$A55,RawData!BS:BS)</f>
        <v>0</v>
      </c>
      <c r="BP55">
        <f>SUMIF(RawData!$C:$C,$A55,RawData!BT:BT)</f>
        <v>0</v>
      </c>
      <c r="BQ55">
        <f>SUMIF(RawData!$C:$C,$A55,RawData!BU:BU)</f>
        <v>0</v>
      </c>
      <c r="BR55">
        <f>SUMIF(RawData!$C:$C,$A55,RawData!BV:BV)</f>
        <v>0</v>
      </c>
      <c r="BS55">
        <f>SUMIF(RawData!$C:$C,$A55,RawData!BW:BW)</f>
        <v>0</v>
      </c>
      <c r="BT55">
        <f>SUMIF(RawData!$C:$C,$A55,RawData!BX:BX)</f>
        <v>0</v>
      </c>
    </row>
    <row r="56" spans="1:72" ht="15" thickBot="1" x14ac:dyDescent="0.35">
      <c r="A56" s="5" t="s">
        <v>257</v>
      </c>
      <c r="B56">
        <f>SUMIF(RawData!$C:$C,$A56,RawData!F:F)</f>
        <v>0</v>
      </c>
      <c r="C56">
        <f>SUMIF(RawData!$C:$C,$A56,RawData!G:G)</f>
        <v>0</v>
      </c>
      <c r="D56">
        <f>SUMIF(RawData!$C:$C,$A56,RawData!H:H)</f>
        <v>0</v>
      </c>
      <c r="E56">
        <f>SUMIF(RawData!$C:$C,$A56,RawData!I:I)</f>
        <v>0</v>
      </c>
      <c r="F56">
        <f>SUMIF(RawData!$C:$C,$A56,RawData!J:J)</f>
        <v>0</v>
      </c>
      <c r="G56">
        <f>SUMIF(RawData!$C:$C,$A56,RawData!K:K)</f>
        <v>0</v>
      </c>
      <c r="H56">
        <f>SUMIF(RawData!$C:$C,$A56,RawData!L:L)</f>
        <v>0</v>
      </c>
      <c r="I56">
        <f>SUMIF(RawData!$C:$C,$A56,RawData!M:M)</f>
        <v>0</v>
      </c>
      <c r="J56">
        <f>SUMIF(RawData!$C:$C,$A56,RawData!N:N)</f>
        <v>0</v>
      </c>
      <c r="K56">
        <f>SUMIF(RawData!$C:$C,$A56,RawData!O:O)</f>
        <v>0</v>
      </c>
      <c r="L56">
        <f>SUMIF(RawData!$C:$C,$A56,RawData!P:P)</f>
        <v>0</v>
      </c>
      <c r="M56">
        <f>SUMIF(RawData!$C:$C,$A56,RawData!Q:Q)</f>
        <v>0</v>
      </c>
      <c r="N56">
        <f>SUMIF(RawData!$C:$C,$A56,RawData!R:R)</f>
        <v>0</v>
      </c>
      <c r="O56">
        <f>SUMIF(RawData!$C:$C,$A56,RawData!S:S)</f>
        <v>0</v>
      </c>
      <c r="P56">
        <f>SUMIF(RawData!$C:$C,$A56,RawData!T:T)</f>
        <v>0</v>
      </c>
      <c r="Q56">
        <f>SUMIF(RawData!$C:$C,$A56,RawData!U:U)</f>
        <v>0</v>
      </c>
      <c r="R56">
        <f>SUMIF(RawData!$C:$C,$A56,RawData!V:V)</f>
        <v>0</v>
      </c>
      <c r="S56">
        <f>SUMIF(RawData!$C:$C,$A56,RawData!W:W)</f>
        <v>0</v>
      </c>
      <c r="T56">
        <f>SUMIF(RawData!$C:$C,$A56,RawData!X:X)</f>
        <v>0</v>
      </c>
      <c r="U56">
        <f>SUMIF(RawData!$C:$C,$A56,RawData!Y:Y)</f>
        <v>0</v>
      </c>
      <c r="V56">
        <f>SUMIF(RawData!$C:$C,$A56,RawData!Z:Z)</f>
        <v>0</v>
      </c>
      <c r="W56">
        <f>SUMIF(RawData!$C:$C,$A56,RawData!AA:AA)</f>
        <v>0</v>
      </c>
      <c r="X56">
        <f>SUMIF(RawData!$C:$C,$A56,RawData!AB:AB)</f>
        <v>0</v>
      </c>
      <c r="Y56">
        <f>SUMIF(RawData!$C:$C,$A56,RawData!AC:AC)</f>
        <v>0</v>
      </c>
      <c r="Z56">
        <f>SUMIF(RawData!$C:$C,$A56,RawData!AD:AD)</f>
        <v>0</v>
      </c>
      <c r="AA56">
        <f>SUMIF(RawData!$C:$C,$A56,RawData!AE:AE)</f>
        <v>0</v>
      </c>
      <c r="AB56">
        <f>SUMIF(RawData!$C:$C,$A56,RawData!AF:AF)</f>
        <v>0</v>
      </c>
      <c r="AC56">
        <f>SUMIF(RawData!$C:$C,$A56,RawData!AG:AG)</f>
        <v>0</v>
      </c>
      <c r="AD56">
        <f>SUMIF(RawData!$C:$C,$A56,RawData!AH:AH)</f>
        <v>0</v>
      </c>
      <c r="AE56">
        <f>SUMIF(RawData!$C:$C,$A56,RawData!AI:AI)</f>
        <v>0</v>
      </c>
      <c r="AF56">
        <f>SUMIF(RawData!$C:$C,$A56,RawData!AJ:AJ)</f>
        <v>0</v>
      </c>
      <c r="AG56">
        <f>SUMIF(RawData!$C:$C,$A56,RawData!AK:AK)</f>
        <v>0</v>
      </c>
      <c r="AH56">
        <f>SUMIF(RawData!$C:$C,$A56,RawData!AL:AL)</f>
        <v>0</v>
      </c>
      <c r="AI56">
        <f>SUMIF(RawData!$C:$C,$A56,RawData!AM:AM)</f>
        <v>0</v>
      </c>
      <c r="AJ56">
        <f>SUMIF(RawData!$C:$C,$A56,RawData!AN:AN)</f>
        <v>0</v>
      </c>
      <c r="AK56">
        <f>SUMIF(RawData!$C:$C,$A56,RawData!AO:AO)</f>
        <v>0</v>
      </c>
      <c r="AL56">
        <f>SUMIF(RawData!$C:$C,$A56,RawData!AP:AP)</f>
        <v>0</v>
      </c>
      <c r="AM56">
        <f>SUMIF(RawData!$C:$C,$A56,RawData!AQ:AQ)</f>
        <v>0</v>
      </c>
      <c r="AN56">
        <f>SUMIF(RawData!$C:$C,$A56,RawData!AR:AR)</f>
        <v>0</v>
      </c>
      <c r="AO56">
        <f>SUMIF(RawData!$C:$C,$A56,RawData!AS:AS)</f>
        <v>0</v>
      </c>
      <c r="AP56">
        <f>SUMIF(RawData!$C:$C,$A56,RawData!AT:AT)</f>
        <v>0</v>
      </c>
      <c r="AQ56">
        <f>SUMIF(RawData!$C:$C,$A56,RawData!AU:AU)</f>
        <v>0</v>
      </c>
      <c r="AR56">
        <f>SUMIF(RawData!$C:$C,$A56,RawData!AV:AV)</f>
        <v>0</v>
      </c>
      <c r="AS56">
        <f>SUMIF(RawData!$C:$C,$A56,RawData!AW:AW)</f>
        <v>0</v>
      </c>
      <c r="AT56">
        <f>SUMIF(RawData!$C:$C,$A56,RawData!AX:AX)</f>
        <v>0</v>
      </c>
      <c r="AU56">
        <f>SUMIF(RawData!$C:$C,$A56,RawData!AY:AY)</f>
        <v>0</v>
      </c>
      <c r="AV56">
        <f>SUMIF(RawData!$C:$C,$A56,RawData!AZ:AZ)</f>
        <v>0</v>
      </c>
      <c r="AW56">
        <f>SUMIF(RawData!$C:$C,$A56,RawData!BA:BA)</f>
        <v>2</v>
      </c>
      <c r="AX56">
        <f>SUMIF(RawData!$C:$C,$A56,RawData!BB:BB)</f>
        <v>10</v>
      </c>
      <c r="AY56">
        <f>SUMIF(RawData!$C:$C,$A56,RawData!BC:BC)</f>
        <v>12</v>
      </c>
      <c r="AZ56">
        <f>SUMIF(RawData!$C:$C,$A56,RawData!BD:BD)</f>
        <v>23</v>
      </c>
      <c r="BA56">
        <f>SUMIF(RawData!$C:$C,$A56,RawData!BE:BE)</f>
        <v>33</v>
      </c>
      <c r="BB56">
        <f>SUMIF(RawData!$C:$C,$A56,RawData!BF:BF)</f>
        <v>38</v>
      </c>
      <c r="BC56">
        <f>SUMIF(RawData!$C:$C,$A56,RawData!BG:BG)</f>
        <v>42</v>
      </c>
      <c r="BD56">
        <f>SUMIF(RawData!$C:$C,$A56,RawData!BH:BH)</f>
        <v>51</v>
      </c>
      <c r="BE56">
        <f>SUMIF(RawData!$C:$C,$A56,RawData!BI:BI)</f>
        <v>0</v>
      </c>
      <c r="BF56">
        <f>SUMIF(RawData!$C:$C,$A56,RawData!BJ:BJ)</f>
        <v>0</v>
      </c>
      <c r="BG56">
        <f>SUMIF(RawData!$C:$C,$A56,RawData!BK:BK)</f>
        <v>0</v>
      </c>
      <c r="BH56">
        <f>SUMIF(RawData!$C:$C,$A56,RawData!BL:BL)</f>
        <v>0</v>
      </c>
      <c r="BI56">
        <f>SUMIF(RawData!$C:$C,$A56,RawData!BM:BM)</f>
        <v>0</v>
      </c>
      <c r="BJ56">
        <f>SUMIF(RawData!$C:$C,$A56,RawData!BN:BN)</f>
        <v>0</v>
      </c>
      <c r="BK56">
        <f>SUMIF(RawData!$C:$C,$A56,RawData!BO:BO)</f>
        <v>0</v>
      </c>
      <c r="BL56">
        <f>SUMIF(RawData!$C:$C,$A56,RawData!BP:BP)</f>
        <v>0</v>
      </c>
      <c r="BM56">
        <f>SUMIF(RawData!$C:$C,$A56,RawData!BQ:BQ)</f>
        <v>0</v>
      </c>
      <c r="BN56">
        <f>SUMIF(RawData!$C:$C,$A56,RawData!BR:BR)</f>
        <v>0</v>
      </c>
      <c r="BO56">
        <f>SUMIF(RawData!$C:$C,$A56,RawData!BS:BS)</f>
        <v>0</v>
      </c>
      <c r="BP56">
        <f>SUMIF(RawData!$C:$C,$A56,RawData!BT:BT)</f>
        <v>0</v>
      </c>
      <c r="BQ56">
        <f>SUMIF(RawData!$C:$C,$A56,RawData!BU:BU)</f>
        <v>0</v>
      </c>
      <c r="BR56">
        <f>SUMIF(RawData!$C:$C,$A56,RawData!BV:BV)</f>
        <v>0</v>
      </c>
      <c r="BS56">
        <f>SUMIF(RawData!$C:$C,$A56,RawData!BW:BW)</f>
        <v>0</v>
      </c>
      <c r="BT56">
        <f>SUMIF(RawData!$C:$C,$A56,RawData!BX:BX)</f>
        <v>0</v>
      </c>
    </row>
    <row r="57" spans="1:72" ht="15" thickBot="1" x14ac:dyDescent="0.35">
      <c r="A57" s="4" t="s">
        <v>103</v>
      </c>
      <c r="B57">
        <f>SUMIF(RawData!$C:$C,$A57,RawData!F:F)</f>
        <v>0</v>
      </c>
      <c r="C57">
        <f>SUMIF(RawData!$C:$C,$A57,RawData!G:G)</f>
        <v>0</v>
      </c>
      <c r="D57">
        <f>SUMIF(RawData!$C:$C,$A57,RawData!H:H)</f>
        <v>0</v>
      </c>
      <c r="E57">
        <f>SUMIF(RawData!$C:$C,$A57,RawData!I:I)</f>
        <v>0</v>
      </c>
      <c r="F57">
        <f>SUMIF(RawData!$C:$C,$A57,RawData!J:J)</f>
        <v>0</v>
      </c>
      <c r="G57">
        <f>SUMIF(RawData!$C:$C,$A57,RawData!K:K)</f>
        <v>0</v>
      </c>
      <c r="H57">
        <f>SUMIF(RawData!$C:$C,$A57,RawData!L:L)</f>
        <v>0</v>
      </c>
      <c r="I57">
        <f>SUMIF(RawData!$C:$C,$A57,RawData!M:M)</f>
        <v>0</v>
      </c>
      <c r="J57">
        <f>SUMIF(RawData!$C:$C,$A57,RawData!N:N)</f>
        <v>0</v>
      </c>
      <c r="K57">
        <f>SUMIF(RawData!$C:$C,$A57,RawData!O:O)</f>
        <v>0</v>
      </c>
      <c r="L57">
        <f>SUMIF(RawData!$C:$C,$A57,RawData!P:P)</f>
        <v>0</v>
      </c>
      <c r="M57">
        <f>SUMIF(RawData!$C:$C,$A57,RawData!Q:Q)</f>
        <v>0</v>
      </c>
      <c r="N57">
        <f>SUMIF(RawData!$C:$C,$A57,RawData!R:R)</f>
        <v>0</v>
      </c>
      <c r="O57">
        <f>SUMIF(RawData!$C:$C,$A57,RawData!S:S)</f>
        <v>0</v>
      </c>
      <c r="P57">
        <f>SUMIF(RawData!$C:$C,$A57,RawData!T:T)</f>
        <v>0</v>
      </c>
      <c r="Q57">
        <f>SUMIF(RawData!$C:$C,$A57,RawData!U:U)</f>
        <v>0</v>
      </c>
      <c r="R57">
        <f>SUMIF(RawData!$C:$C,$A57,RawData!V:V)</f>
        <v>0</v>
      </c>
      <c r="S57">
        <f>SUMIF(RawData!$C:$C,$A57,RawData!W:W)</f>
        <v>0</v>
      </c>
      <c r="T57">
        <f>SUMIF(RawData!$C:$C,$A57,RawData!X:X)</f>
        <v>0</v>
      </c>
      <c r="U57">
        <f>SUMIF(RawData!$C:$C,$A57,RawData!Y:Y)</f>
        <v>0</v>
      </c>
      <c r="V57">
        <f>SUMIF(RawData!$C:$C,$A57,RawData!Z:Z)</f>
        <v>0</v>
      </c>
      <c r="W57">
        <f>SUMIF(RawData!$C:$C,$A57,RawData!AA:AA)</f>
        <v>0</v>
      </c>
      <c r="X57">
        <f>SUMIF(RawData!$C:$C,$A57,RawData!AB:AB)</f>
        <v>0</v>
      </c>
      <c r="Y57">
        <f>SUMIF(RawData!$C:$C,$A57,RawData!AC:AC)</f>
        <v>0</v>
      </c>
      <c r="Z57">
        <f>SUMIF(RawData!$C:$C,$A57,RawData!AD:AD)</f>
        <v>0</v>
      </c>
      <c r="AA57">
        <f>SUMIF(RawData!$C:$C,$A57,RawData!AE:AE)</f>
        <v>0</v>
      </c>
      <c r="AB57">
        <f>SUMIF(RawData!$C:$C,$A57,RawData!AF:AF)</f>
        <v>0</v>
      </c>
      <c r="AC57">
        <f>SUMIF(RawData!$C:$C,$A57,RawData!AG:AG)</f>
        <v>0</v>
      </c>
      <c r="AD57">
        <f>SUMIF(RawData!$C:$C,$A57,RawData!AH:AH)</f>
        <v>0</v>
      </c>
      <c r="AE57">
        <f>SUMIF(RawData!$C:$C,$A57,RawData!AI:AI)</f>
        <v>0</v>
      </c>
      <c r="AF57">
        <f>SUMIF(RawData!$C:$C,$A57,RawData!AJ:AJ)</f>
        <v>0</v>
      </c>
      <c r="AG57">
        <f>SUMIF(RawData!$C:$C,$A57,RawData!AK:AK)</f>
        <v>0</v>
      </c>
      <c r="AH57">
        <f>SUMIF(RawData!$C:$C,$A57,RawData!AL:AL)</f>
        <v>0</v>
      </c>
      <c r="AI57">
        <f>SUMIF(RawData!$C:$C,$A57,RawData!AM:AM)</f>
        <v>0</v>
      </c>
      <c r="AJ57">
        <f>SUMIF(RawData!$C:$C,$A57,RawData!AN:AN)</f>
        <v>1</v>
      </c>
      <c r="AK57">
        <f>SUMIF(RawData!$C:$C,$A57,RawData!AO:AO)</f>
        <v>3</v>
      </c>
      <c r="AL57">
        <f>SUMIF(RawData!$C:$C,$A57,RawData!AP:AP)</f>
        <v>3</v>
      </c>
      <c r="AM57">
        <f>SUMIF(RawData!$C:$C,$A57,RawData!AQ:AQ)</f>
        <v>5</v>
      </c>
      <c r="AN57">
        <f>SUMIF(RawData!$C:$C,$A57,RawData!AR:AR)</f>
        <v>6</v>
      </c>
      <c r="AO57">
        <f>SUMIF(RawData!$C:$C,$A57,RawData!AS:AS)</f>
        <v>7</v>
      </c>
      <c r="AP57">
        <f>SUMIF(RawData!$C:$C,$A57,RawData!AT:AT)</f>
        <v>7</v>
      </c>
      <c r="AQ57">
        <f>SUMIF(RawData!$C:$C,$A57,RawData!AU:AU)</f>
        <v>9</v>
      </c>
      <c r="AR57">
        <f>SUMIF(RawData!$C:$C,$A57,RawData!AV:AV)</f>
        <v>10</v>
      </c>
      <c r="AS57">
        <f>SUMIF(RawData!$C:$C,$A57,RawData!AW:AW)</f>
        <v>10</v>
      </c>
      <c r="AT57">
        <f>SUMIF(RawData!$C:$C,$A57,RawData!AX:AX)</f>
        <v>11</v>
      </c>
      <c r="AU57">
        <f>SUMIF(RawData!$C:$C,$A57,RawData!AY:AY)</f>
        <v>12</v>
      </c>
      <c r="AV57">
        <f>SUMIF(RawData!$C:$C,$A57,RawData!AZ:AZ)</f>
        <v>12</v>
      </c>
      <c r="AW57">
        <f>SUMIF(RawData!$C:$C,$A57,RawData!BA:BA)</f>
        <v>12</v>
      </c>
      <c r="AX57">
        <f>SUMIF(RawData!$C:$C,$A57,RawData!BB:BB)</f>
        <v>14</v>
      </c>
      <c r="AY57">
        <f>SUMIF(RawData!$C:$C,$A57,RawData!BC:BC)</f>
        <v>19</v>
      </c>
      <c r="AZ57">
        <f>SUMIF(RawData!$C:$C,$A57,RawData!BD:BD)</f>
        <v>19</v>
      </c>
      <c r="BA57">
        <f>SUMIF(RawData!$C:$C,$A57,RawData!BE:BE)</f>
        <v>32</v>
      </c>
      <c r="BB57">
        <f>SUMIF(RawData!$C:$C,$A57,RawData!BF:BF)</f>
        <v>38</v>
      </c>
      <c r="BC57">
        <f>SUMIF(RawData!$C:$C,$A57,RawData!BG:BG)</f>
        <v>49</v>
      </c>
      <c r="BD57">
        <f>SUMIF(RawData!$C:$C,$A57,RawData!BH:BH)</f>
        <v>57</v>
      </c>
      <c r="BE57">
        <f>SUMIF(RawData!$C:$C,$A57,RawData!BI:BI)</f>
        <v>0</v>
      </c>
      <c r="BF57">
        <f>SUMIF(RawData!$C:$C,$A57,RawData!BJ:BJ)</f>
        <v>0</v>
      </c>
      <c r="BG57">
        <f>SUMIF(RawData!$C:$C,$A57,RawData!BK:BK)</f>
        <v>0</v>
      </c>
      <c r="BH57">
        <f>SUMIF(RawData!$C:$C,$A57,RawData!BL:BL)</f>
        <v>0</v>
      </c>
      <c r="BI57">
        <f>SUMIF(RawData!$C:$C,$A57,RawData!BM:BM)</f>
        <v>0</v>
      </c>
      <c r="BJ57">
        <f>SUMIF(RawData!$C:$C,$A57,RawData!BN:BN)</f>
        <v>0</v>
      </c>
      <c r="BK57">
        <f>SUMIF(RawData!$C:$C,$A57,RawData!BO:BO)</f>
        <v>0</v>
      </c>
      <c r="BL57">
        <f>SUMIF(RawData!$C:$C,$A57,RawData!BP:BP)</f>
        <v>0</v>
      </c>
      <c r="BM57">
        <f>SUMIF(RawData!$C:$C,$A57,RawData!BQ:BQ)</f>
        <v>0</v>
      </c>
      <c r="BN57">
        <f>SUMIF(RawData!$C:$C,$A57,RawData!BR:BR)</f>
        <v>0</v>
      </c>
      <c r="BO57">
        <f>SUMIF(RawData!$C:$C,$A57,RawData!BS:BS)</f>
        <v>0</v>
      </c>
      <c r="BP57">
        <f>SUMIF(RawData!$C:$C,$A57,RawData!BT:BT)</f>
        <v>0</v>
      </c>
      <c r="BQ57">
        <f>SUMIF(RawData!$C:$C,$A57,RawData!BU:BU)</f>
        <v>0</v>
      </c>
      <c r="BR57">
        <f>SUMIF(RawData!$C:$C,$A57,RawData!BV:BV)</f>
        <v>0</v>
      </c>
      <c r="BS57">
        <f>SUMIF(RawData!$C:$C,$A57,RawData!BW:BW)</f>
        <v>0</v>
      </c>
      <c r="BT57">
        <f>SUMIF(RawData!$C:$C,$A57,RawData!BX:BX)</f>
        <v>0</v>
      </c>
    </row>
    <row r="58" spans="1:72" ht="15" thickBot="1" x14ac:dyDescent="0.35">
      <c r="A58" s="5" t="s">
        <v>189</v>
      </c>
      <c r="B58">
        <f>SUMIF(RawData!$C:$C,$A58,RawData!F:F)</f>
        <v>0</v>
      </c>
      <c r="C58">
        <f>SUMIF(RawData!$C:$C,$A58,RawData!G:G)</f>
        <v>0</v>
      </c>
      <c r="D58">
        <f>SUMIF(RawData!$C:$C,$A58,RawData!H:H)</f>
        <v>0</v>
      </c>
      <c r="E58">
        <f>SUMIF(RawData!$C:$C,$A58,RawData!I:I)</f>
        <v>0</v>
      </c>
      <c r="F58">
        <f>SUMIF(RawData!$C:$C,$A58,RawData!J:J)</f>
        <v>0</v>
      </c>
      <c r="G58">
        <f>SUMIF(RawData!$C:$C,$A58,RawData!K:K)</f>
        <v>0</v>
      </c>
      <c r="H58">
        <f>SUMIF(RawData!$C:$C,$A58,RawData!L:L)</f>
        <v>0</v>
      </c>
      <c r="I58">
        <f>SUMIF(RawData!$C:$C,$A58,RawData!M:M)</f>
        <v>0</v>
      </c>
      <c r="J58">
        <f>SUMIF(RawData!$C:$C,$A58,RawData!N:N)</f>
        <v>0</v>
      </c>
      <c r="K58">
        <f>SUMIF(RawData!$C:$C,$A58,RawData!O:O)</f>
        <v>0</v>
      </c>
      <c r="L58">
        <f>SUMIF(RawData!$C:$C,$A58,RawData!P:P)</f>
        <v>0</v>
      </c>
      <c r="M58">
        <f>SUMIF(RawData!$C:$C,$A58,RawData!Q:Q)</f>
        <v>0</v>
      </c>
      <c r="N58">
        <f>SUMIF(RawData!$C:$C,$A58,RawData!R:R)</f>
        <v>0</v>
      </c>
      <c r="O58">
        <f>SUMIF(RawData!$C:$C,$A58,RawData!S:S)</f>
        <v>0</v>
      </c>
      <c r="P58">
        <f>SUMIF(RawData!$C:$C,$A58,RawData!T:T)</f>
        <v>0</v>
      </c>
      <c r="Q58">
        <f>SUMIF(RawData!$C:$C,$A58,RawData!U:U)</f>
        <v>0</v>
      </c>
      <c r="R58">
        <f>SUMIF(RawData!$C:$C,$A58,RawData!V:V)</f>
        <v>0</v>
      </c>
      <c r="S58">
        <f>SUMIF(RawData!$C:$C,$A58,RawData!W:W)</f>
        <v>0</v>
      </c>
      <c r="T58">
        <f>SUMIF(RawData!$C:$C,$A58,RawData!X:X)</f>
        <v>0</v>
      </c>
      <c r="U58">
        <f>SUMIF(RawData!$C:$C,$A58,RawData!Y:Y)</f>
        <v>0</v>
      </c>
      <c r="V58">
        <f>SUMIF(RawData!$C:$C,$A58,RawData!Z:Z)</f>
        <v>0</v>
      </c>
      <c r="W58">
        <f>SUMIF(RawData!$C:$C,$A58,RawData!AA:AA)</f>
        <v>0</v>
      </c>
      <c r="X58">
        <f>SUMIF(RawData!$C:$C,$A58,RawData!AB:AB)</f>
        <v>0</v>
      </c>
      <c r="Y58">
        <f>SUMIF(RawData!$C:$C,$A58,RawData!AC:AC)</f>
        <v>0</v>
      </c>
      <c r="Z58">
        <f>SUMIF(RawData!$C:$C,$A58,RawData!AD:AD)</f>
        <v>0</v>
      </c>
      <c r="AA58">
        <f>SUMIF(RawData!$C:$C,$A58,RawData!AE:AE)</f>
        <v>0</v>
      </c>
      <c r="AB58">
        <f>SUMIF(RawData!$C:$C,$A58,RawData!AF:AF)</f>
        <v>0</v>
      </c>
      <c r="AC58">
        <f>SUMIF(RawData!$C:$C,$A58,RawData!AG:AG)</f>
        <v>0</v>
      </c>
      <c r="AD58">
        <f>SUMIF(RawData!$C:$C,$A58,RawData!AH:AH)</f>
        <v>0</v>
      </c>
      <c r="AE58">
        <f>SUMIF(RawData!$C:$C,$A58,RawData!AI:AI)</f>
        <v>0</v>
      </c>
      <c r="AF58">
        <f>SUMIF(RawData!$C:$C,$A58,RawData!AJ:AJ)</f>
        <v>0</v>
      </c>
      <c r="AG58">
        <f>SUMIF(RawData!$C:$C,$A58,RawData!AK:AK)</f>
        <v>0</v>
      </c>
      <c r="AH58">
        <f>SUMIF(RawData!$C:$C,$A58,RawData!AL:AL)</f>
        <v>0</v>
      </c>
      <c r="AI58">
        <f>SUMIF(RawData!$C:$C,$A58,RawData!AM:AM)</f>
        <v>0</v>
      </c>
      <c r="AJ58">
        <f>SUMIF(RawData!$C:$C,$A58,RawData!AN:AN)</f>
        <v>0</v>
      </c>
      <c r="AK58">
        <f>SUMIF(RawData!$C:$C,$A58,RawData!AO:AO)</f>
        <v>0</v>
      </c>
      <c r="AL58">
        <f>SUMIF(RawData!$C:$C,$A58,RawData!AP:AP)</f>
        <v>0</v>
      </c>
      <c r="AM58">
        <f>SUMIF(RawData!$C:$C,$A58,RawData!AQ:AQ)</f>
        <v>0</v>
      </c>
      <c r="AN58">
        <f>SUMIF(RawData!$C:$C,$A58,RawData!AR:AR)</f>
        <v>0</v>
      </c>
      <c r="AO58">
        <f>SUMIF(RawData!$C:$C,$A58,RawData!AS:AS)</f>
        <v>0</v>
      </c>
      <c r="AP58">
        <f>SUMIF(RawData!$C:$C,$A58,RawData!AT:AT)</f>
        <v>0</v>
      </c>
      <c r="AQ58">
        <f>SUMIF(RawData!$C:$C,$A58,RawData!AU:AU)</f>
        <v>0</v>
      </c>
      <c r="AR58">
        <f>SUMIF(RawData!$C:$C,$A58,RawData!AV:AV)</f>
        <v>0</v>
      </c>
      <c r="AS58">
        <f>SUMIF(RawData!$C:$C,$A58,RawData!AW:AW)</f>
        <v>0</v>
      </c>
      <c r="AT58">
        <f>SUMIF(RawData!$C:$C,$A58,RawData!AX:AX)</f>
        <v>1</v>
      </c>
      <c r="AU58">
        <f>SUMIF(RawData!$C:$C,$A58,RawData!AY:AY)</f>
        <v>1</v>
      </c>
      <c r="AV58">
        <f>SUMIF(RawData!$C:$C,$A58,RawData!AZ:AZ)</f>
        <v>3</v>
      </c>
      <c r="AW58">
        <f>SUMIF(RawData!$C:$C,$A58,RawData!BA:BA)</f>
        <v>3</v>
      </c>
      <c r="AX58">
        <f>SUMIF(RawData!$C:$C,$A58,RawData!BB:BB)</f>
        <v>7</v>
      </c>
      <c r="AY58">
        <f>SUMIF(RawData!$C:$C,$A58,RawData!BC:BC)</f>
        <v>10</v>
      </c>
      <c r="AZ58">
        <f>SUMIF(RawData!$C:$C,$A58,RawData!BD:BD)</f>
        <v>16</v>
      </c>
      <c r="BA58">
        <f>SUMIF(RawData!$C:$C,$A58,RawData!BE:BE)</f>
        <v>32</v>
      </c>
      <c r="BB58">
        <f>SUMIF(RawData!$C:$C,$A58,RawData!BF:BF)</f>
        <v>44</v>
      </c>
      <c r="BC58">
        <f>SUMIF(RawData!$C:$C,$A58,RawData!BG:BG)</f>
        <v>54</v>
      </c>
      <c r="BD58">
        <f>SUMIF(RawData!$C:$C,$A58,RawData!BH:BH)</f>
        <v>63</v>
      </c>
      <c r="BE58">
        <f>SUMIF(RawData!$C:$C,$A58,RawData!BI:BI)</f>
        <v>0</v>
      </c>
      <c r="BF58">
        <f>SUMIF(RawData!$C:$C,$A58,RawData!BJ:BJ)</f>
        <v>0</v>
      </c>
      <c r="BG58">
        <f>SUMIF(RawData!$C:$C,$A58,RawData!BK:BK)</f>
        <v>0</v>
      </c>
      <c r="BH58">
        <f>SUMIF(RawData!$C:$C,$A58,RawData!BL:BL)</f>
        <v>0</v>
      </c>
      <c r="BI58">
        <f>SUMIF(RawData!$C:$C,$A58,RawData!BM:BM)</f>
        <v>0</v>
      </c>
      <c r="BJ58">
        <f>SUMIF(RawData!$C:$C,$A58,RawData!BN:BN)</f>
        <v>0</v>
      </c>
      <c r="BK58">
        <f>SUMIF(RawData!$C:$C,$A58,RawData!BO:BO)</f>
        <v>0</v>
      </c>
      <c r="BL58">
        <f>SUMIF(RawData!$C:$C,$A58,RawData!BP:BP)</f>
        <v>0</v>
      </c>
      <c r="BM58">
        <f>SUMIF(RawData!$C:$C,$A58,RawData!BQ:BQ)</f>
        <v>0</v>
      </c>
      <c r="BN58">
        <f>SUMIF(RawData!$C:$C,$A58,RawData!BR:BR)</f>
        <v>0</v>
      </c>
      <c r="BO58">
        <f>SUMIF(RawData!$C:$C,$A58,RawData!BS:BS)</f>
        <v>0</v>
      </c>
      <c r="BP58">
        <f>SUMIF(RawData!$C:$C,$A58,RawData!BT:BT)</f>
        <v>0</v>
      </c>
      <c r="BQ58">
        <f>SUMIF(RawData!$C:$C,$A58,RawData!BU:BU)</f>
        <v>0</v>
      </c>
      <c r="BR58">
        <f>SUMIF(RawData!$C:$C,$A58,RawData!BV:BV)</f>
        <v>0</v>
      </c>
      <c r="BS58">
        <f>SUMIF(RawData!$C:$C,$A58,RawData!BW:BW)</f>
        <v>0</v>
      </c>
      <c r="BT58">
        <f>SUMIF(RawData!$C:$C,$A58,RawData!BX:BX)</f>
        <v>0</v>
      </c>
    </row>
    <row r="59" spans="1:72" ht="15" thickBot="1" x14ac:dyDescent="0.35">
      <c r="A59" s="5" t="s">
        <v>150</v>
      </c>
      <c r="B59">
        <f>SUMIF(RawData!$C:$C,$A59,RawData!F:F)</f>
        <v>0</v>
      </c>
      <c r="C59">
        <f>SUMIF(RawData!$C:$C,$A59,RawData!G:G)</f>
        <v>0</v>
      </c>
      <c r="D59">
        <f>SUMIF(RawData!$C:$C,$A59,RawData!H:H)</f>
        <v>0</v>
      </c>
      <c r="E59">
        <f>SUMIF(RawData!$C:$C,$A59,RawData!I:I)</f>
        <v>0</v>
      </c>
      <c r="F59">
        <f>SUMIF(RawData!$C:$C,$A59,RawData!J:J)</f>
        <v>0</v>
      </c>
      <c r="G59">
        <f>SUMIF(RawData!$C:$C,$A59,RawData!K:K)</f>
        <v>0</v>
      </c>
      <c r="H59">
        <f>SUMIF(RawData!$C:$C,$A59,RawData!L:L)</f>
        <v>0</v>
      </c>
      <c r="I59">
        <f>SUMIF(RawData!$C:$C,$A59,RawData!M:M)</f>
        <v>0</v>
      </c>
      <c r="J59">
        <f>SUMIF(RawData!$C:$C,$A59,RawData!N:N)</f>
        <v>0</v>
      </c>
      <c r="K59">
        <f>SUMIF(RawData!$C:$C,$A59,RawData!O:O)</f>
        <v>0</v>
      </c>
      <c r="L59">
        <f>SUMIF(RawData!$C:$C,$A59,RawData!P:P)</f>
        <v>0</v>
      </c>
      <c r="M59">
        <f>SUMIF(RawData!$C:$C,$A59,RawData!Q:Q)</f>
        <v>0</v>
      </c>
      <c r="N59">
        <f>SUMIF(RawData!$C:$C,$A59,RawData!R:R)</f>
        <v>0</v>
      </c>
      <c r="O59">
        <f>SUMIF(RawData!$C:$C,$A59,RawData!S:S)</f>
        <v>0</v>
      </c>
      <c r="P59">
        <f>SUMIF(RawData!$C:$C,$A59,RawData!T:T)</f>
        <v>0</v>
      </c>
      <c r="Q59">
        <f>SUMIF(RawData!$C:$C,$A59,RawData!U:U)</f>
        <v>0</v>
      </c>
      <c r="R59">
        <f>SUMIF(RawData!$C:$C,$A59,RawData!V:V)</f>
        <v>0</v>
      </c>
      <c r="S59">
        <f>SUMIF(RawData!$C:$C,$A59,RawData!W:W)</f>
        <v>0</v>
      </c>
      <c r="T59">
        <f>SUMIF(RawData!$C:$C,$A59,RawData!X:X)</f>
        <v>0</v>
      </c>
      <c r="U59">
        <f>SUMIF(RawData!$C:$C,$A59,RawData!Y:Y)</f>
        <v>0</v>
      </c>
      <c r="V59">
        <f>SUMIF(RawData!$C:$C,$A59,RawData!Z:Z)</f>
        <v>0</v>
      </c>
      <c r="W59">
        <f>SUMIF(RawData!$C:$C,$A59,RawData!AA:AA)</f>
        <v>0</v>
      </c>
      <c r="X59">
        <f>SUMIF(RawData!$C:$C,$A59,RawData!AB:AB)</f>
        <v>0</v>
      </c>
      <c r="Y59">
        <f>SUMIF(RawData!$C:$C,$A59,RawData!AC:AC)</f>
        <v>0</v>
      </c>
      <c r="Z59">
        <f>SUMIF(RawData!$C:$C,$A59,RawData!AD:AD)</f>
        <v>0</v>
      </c>
      <c r="AA59">
        <f>SUMIF(RawData!$C:$C,$A59,RawData!AE:AE)</f>
        <v>0</v>
      </c>
      <c r="AB59">
        <f>SUMIF(RawData!$C:$C,$A59,RawData!AF:AF)</f>
        <v>0</v>
      </c>
      <c r="AC59">
        <f>SUMIF(RawData!$C:$C,$A59,RawData!AG:AG)</f>
        <v>0</v>
      </c>
      <c r="AD59">
        <f>SUMIF(RawData!$C:$C,$A59,RawData!AH:AH)</f>
        <v>0</v>
      </c>
      <c r="AE59">
        <f>SUMIF(RawData!$C:$C,$A59,RawData!AI:AI)</f>
        <v>0</v>
      </c>
      <c r="AF59">
        <f>SUMIF(RawData!$C:$C,$A59,RawData!AJ:AJ)</f>
        <v>0</v>
      </c>
      <c r="AG59">
        <f>SUMIF(RawData!$C:$C,$A59,RawData!AK:AK)</f>
        <v>0</v>
      </c>
      <c r="AH59">
        <f>SUMIF(RawData!$C:$C,$A59,RawData!AL:AL)</f>
        <v>0</v>
      </c>
      <c r="AI59">
        <f>SUMIF(RawData!$C:$C,$A59,RawData!AM:AM)</f>
        <v>0</v>
      </c>
      <c r="AJ59">
        <f>SUMIF(RawData!$C:$C,$A59,RawData!AN:AN)</f>
        <v>0</v>
      </c>
      <c r="AK59">
        <f>SUMIF(RawData!$C:$C,$A59,RawData!AO:AO)</f>
        <v>0</v>
      </c>
      <c r="AL59">
        <f>SUMIF(RawData!$C:$C,$A59,RawData!AP:AP)</f>
        <v>0</v>
      </c>
      <c r="AM59">
        <f>SUMIF(RawData!$C:$C,$A59,RawData!AQ:AQ)</f>
        <v>0</v>
      </c>
      <c r="AN59">
        <f>SUMIF(RawData!$C:$C,$A59,RawData!AR:AR)</f>
        <v>0</v>
      </c>
      <c r="AO59">
        <f>SUMIF(RawData!$C:$C,$A59,RawData!AS:AS)</f>
        <v>0</v>
      </c>
      <c r="AP59">
        <f>SUMIF(RawData!$C:$C,$A59,RawData!AT:AT)</f>
        <v>0</v>
      </c>
      <c r="AQ59">
        <f>SUMIF(RawData!$C:$C,$A59,RawData!AU:AU)</f>
        <v>1</v>
      </c>
      <c r="AR59">
        <f>SUMIF(RawData!$C:$C,$A59,RawData!AV:AV)</f>
        <v>1</v>
      </c>
      <c r="AS59">
        <f>SUMIF(RawData!$C:$C,$A59,RawData!AW:AW)</f>
        <v>1</v>
      </c>
      <c r="AT59">
        <f>SUMIF(RawData!$C:$C,$A59,RawData!AX:AX)</f>
        <v>2</v>
      </c>
      <c r="AU59">
        <f>SUMIF(RawData!$C:$C,$A59,RawData!AY:AY)</f>
        <v>8</v>
      </c>
      <c r="AV59">
        <f>SUMIF(RawData!$C:$C,$A59,RawData!AZ:AZ)</f>
        <v>12</v>
      </c>
      <c r="AW59">
        <f>SUMIF(RawData!$C:$C,$A59,RawData!BA:BA)</f>
        <v>12</v>
      </c>
      <c r="AX59">
        <f>SUMIF(RawData!$C:$C,$A59,RawData!BB:BB)</f>
        <v>17</v>
      </c>
      <c r="AY59">
        <f>SUMIF(RawData!$C:$C,$A59,RawData!BC:BC)</f>
        <v>19</v>
      </c>
      <c r="AZ59">
        <f>SUMIF(RawData!$C:$C,$A59,RawData!BD:BD)</f>
        <v>19</v>
      </c>
      <c r="BA59">
        <f>SUMIF(RawData!$C:$C,$A59,RawData!BE:BE)</f>
        <v>31</v>
      </c>
      <c r="BB59">
        <f>SUMIF(RawData!$C:$C,$A59,RawData!BF:BF)</f>
        <v>34</v>
      </c>
      <c r="BC59">
        <f>SUMIF(RawData!$C:$C,$A59,RawData!BG:BG)</f>
        <v>45</v>
      </c>
      <c r="BD59">
        <f>SUMIF(RawData!$C:$C,$A59,RawData!BH:BH)</f>
        <v>56</v>
      </c>
      <c r="BE59">
        <f>SUMIF(RawData!$C:$C,$A59,RawData!BI:BI)</f>
        <v>0</v>
      </c>
      <c r="BF59">
        <f>SUMIF(RawData!$C:$C,$A59,RawData!BJ:BJ)</f>
        <v>0</v>
      </c>
      <c r="BG59">
        <f>SUMIF(RawData!$C:$C,$A59,RawData!BK:BK)</f>
        <v>0</v>
      </c>
      <c r="BH59">
        <f>SUMIF(RawData!$C:$C,$A59,RawData!BL:BL)</f>
        <v>0</v>
      </c>
      <c r="BI59">
        <f>SUMIF(RawData!$C:$C,$A59,RawData!BM:BM)</f>
        <v>0</v>
      </c>
      <c r="BJ59">
        <f>SUMIF(RawData!$C:$C,$A59,RawData!BN:BN)</f>
        <v>0</v>
      </c>
      <c r="BK59">
        <f>SUMIF(RawData!$C:$C,$A59,RawData!BO:BO)</f>
        <v>0</v>
      </c>
      <c r="BL59">
        <f>SUMIF(RawData!$C:$C,$A59,RawData!BP:BP)</f>
        <v>0</v>
      </c>
      <c r="BM59">
        <f>SUMIF(RawData!$C:$C,$A59,RawData!BQ:BQ)</f>
        <v>0</v>
      </c>
      <c r="BN59">
        <f>SUMIF(RawData!$C:$C,$A59,RawData!BR:BR)</f>
        <v>0</v>
      </c>
      <c r="BO59">
        <f>SUMIF(RawData!$C:$C,$A59,RawData!BS:BS)</f>
        <v>0</v>
      </c>
      <c r="BP59">
        <f>SUMIF(RawData!$C:$C,$A59,RawData!BT:BT)</f>
        <v>0</v>
      </c>
      <c r="BQ59">
        <f>SUMIF(RawData!$C:$C,$A59,RawData!BU:BU)</f>
        <v>0</v>
      </c>
      <c r="BR59">
        <f>SUMIF(RawData!$C:$C,$A59,RawData!BV:BV)</f>
        <v>0</v>
      </c>
      <c r="BS59">
        <f>SUMIF(RawData!$C:$C,$A59,RawData!BW:BW)</f>
        <v>0</v>
      </c>
      <c r="BT59">
        <f>SUMIF(RawData!$C:$C,$A59,RawData!BX:BX)</f>
        <v>0</v>
      </c>
    </row>
    <row r="60" spans="1:72" ht="15" thickBot="1" x14ac:dyDescent="0.35">
      <c r="A60" s="4" t="s">
        <v>107</v>
      </c>
      <c r="B60">
        <f>SUMIF(RawData!$C:$C,$A60,RawData!F:F)</f>
        <v>0</v>
      </c>
      <c r="C60">
        <f>SUMIF(RawData!$C:$C,$A60,RawData!G:G)</f>
        <v>0</v>
      </c>
      <c r="D60">
        <f>SUMIF(RawData!$C:$C,$A60,RawData!H:H)</f>
        <v>0</v>
      </c>
      <c r="E60">
        <f>SUMIF(RawData!$C:$C,$A60,RawData!I:I)</f>
        <v>0</v>
      </c>
      <c r="F60">
        <f>SUMIF(RawData!$C:$C,$A60,RawData!J:J)</f>
        <v>0</v>
      </c>
      <c r="G60">
        <f>SUMIF(RawData!$C:$C,$A60,RawData!K:K)</f>
        <v>0</v>
      </c>
      <c r="H60">
        <f>SUMIF(RawData!$C:$C,$A60,RawData!L:L)</f>
        <v>0</v>
      </c>
      <c r="I60">
        <f>SUMIF(RawData!$C:$C,$A60,RawData!M:M)</f>
        <v>0</v>
      </c>
      <c r="J60">
        <f>SUMIF(RawData!$C:$C,$A60,RawData!N:N)</f>
        <v>0</v>
      </c>
      <c r="K60">
        <f>SUMIF(RawData!$C:$C,$A60,RawData!O:O)</f>
        <v>0</v>
      </c>
      <c r="L60">
        <f>SUMIF(RawData!$C:$C,$A60,RawData!P:P)</f>
        <v>0</v>
      </c>
      <c r="M60">
        <f>SUMIF(RawData!$C:$C,$A60,RawData!Q:Q)</f>
        <v>0</v>
      </c>
      <c r="N60">
        <f>SUMIF(RawData!$C:$C,$A60,RawData!R:R)</f>
        <v>0</v>
      </c>
      <c r="O60">
        <f>SUMIF(RawData!$C:$C,$A60,RawData!S:S)</f>
        <v>0</v>
      </c>
      <c r="P60">
        <f>SUMIF(RawData!$C:$C,$A60,RawData!T:T)</f>
        <v>0</v>
      </c>
      <c r="Q60">
        <f>SUMIF(RawData!$C:$C,$A60,RawData!U:U)</f>
        <v>0</v>
      </c>
      <c r="R60">
        <f>SUMIF(RawData!$C:$C,$A60,RawData!V:V)</f>
        <v>0</v>
      </c>
      <c r="S60">
        <f>SUMIF(RawData!$C:$C,$A60,RawData!W:W)</f>
        <v>0</v>
      </c>
      <c r="T60">
        <f>SUMIF(RawData!$C:$C,$A60,RawData!X:X)</f>
        <v>0</v>
      </c>
      <c r="U60">
        <f>SUMIF(RawData!$C:$C,$A60,RawData!Y:Y)</f>
        <v>0</v>
      </c>
      <c r="V60">
        <f>SUMIF(RawData!$C:$C,$A60,RawData!Z:Z)</f>
        <v>0</v>
      </c>
      <c r="W60">
        <f>SUMIF(RawData!$C:$C,$A60,RawData!AA:AA)</f>
        <v>0</v>
      </c>
      <c r="X60">
        <f>SUMIF(RawData!$C:$C,$A60,RawData!AB:AB)</f>
        <v>0</v>
      </c>
      <c r="Y60">
        <f>SUMIF(RawData!$C:$C,$A60,RawData!AC:AC)</f>
        <v>0</v>
      </c>
      <c r="Z60">
        <f>SUMIF(RawData!$C:$C,$A60,RawData!AD:AD)</f>
        <v>0</v>
      </c>
      <c r="AA60">
        <f>SUMIF(RawData!$C:$C,$A60,RawData!AE:AE)</f>
        <v>0</v>
      </c>
      <c r="AB60">
        <f>SUMIF(RawData!$C:$C,$A60,RawData!AF:AF)</f>
        <v>0</v>
      </c>
      <c r="AC60">
        <f>SUMIF(RawData!$C:$C,$A60,RawData!AG:AG)</f>
        <v>0</v>
      </c>
      <c r="AD60">
        <f>SUMIF(RawData!$C:$C,$A60,RawData!AH:AH)</f>
        <v>0</v>
      </c>
      <c r="AE60">
        <f>SUMIF(RawData!$C:$C,$A60,RawData!AI:AI)</f>
        <v>0</v>
      </c>
      <c r="AF60">
        <f>SUMIF(RawData!$C:$C,$A60,RawData!AJ:AJ)</f>
        <v>0</v>
      </c>
      <c r="AG60">
        <f>SUMIF(RawData!$C:$C,$A60,RawData!AK:AK)</f>
        <v>0</v>
      </c>
      <c r="AH60">
        <f>SUMIF(RawData!$C:$C,$A60,RawData!AL:AL)</f>
        <v>0</v>
      </c>
      <c r="AI60">
        <f>SUMIF(RawData!$C:$C,$A60,RawData!AM:AM)</f>
        <v>0</v>
      </c>
      <c r="AJ60">
        <f>SUMIF(RawData!$C:$C,$A60,RawData!AN:AN)</f>
        <v>0</v>
      </c>
      <c r="AK60">
        <f>SUMIF(RawData!$C:$C,$A60,RawData!AO:AO)</f>
        <v>2</v>
      </c>
      <c r="AL60">
        <f>SUMIF(RawData!$C:$C,$A60,RawData!AP:AP)</f>
        <v>2</v>
      </c>
      <c r="AM60">
        <f>SUMIF(RawData!$C:$C,$A60,RawData!AQ:AQ)</f>
        <v>2</v>
      </c>
      <c r="AN60">
        <f>SUMIF(RawData!$C:$C,$A60,RawData!AR:AR)</f>
        <v>4</v>
      </c>
      <c r="AO60">
        <f>SUMIF(RawData!$C:$C,$A60,RawData!AS:AS)</f>
        <v>4</v>
      </c>
      <c r="AP60">
        <f>SUMIF(RawData!$C:$C,$A60,RawData!AT:AT)</f>
        <v>4</v>
      </c>
      <c r="AQ60">
        <f>SUMIF(RawData!$C:$C,$A60,RawData!AU:AU)</f>
        <v>5</v>
      </c>
      <c r="AR60">
        <f>SUMIF(RawData!$C:$C,$A60,RawData!AV:AV)</f>
        <v>5</v>
      </c>
      <c r="AS60">
        <f>SUMIF(RawData!$C:$C,$A60,RawData!AW:AW)</f>
        <v>5</v>
      </c>
      <c r="AT60">
        <f>SUMIF(RawData!$C:$C,$A60,RawData!AX:AX)</f>
        <v>6</v>
      </c>
      <c r="AU60">
        <f>SUMIF(RawData!$C:$C,$A60,RawData!AY:AY)</f>
        <v>6</v>
      </c>
      <c r="AV60">
        <f>SUMIF(RawData!$C:$C,$A60,RawData!AZ:AZ)</f>
        <v>6</v>
      </c>
      <c r="AW60">
        <f>SUMIF(RawData!$C:$C,$A60,RawData!BA:BA)</f>
        <v>6</v>
      </c>
      <c r="AX60">
        <f>SUMIF(RawData!$C:$C,$A60,RawData!BB:BB)</f>
        <v>16</v>
      </c>
      <c r="AY60">
        <f>SUMIF(RawData!$C:$C,$A60,RawData!BC:BC)</f>
        <v>19</v>
      </c>
      <c r="AZ60">
        <f>SUMIF(RawData!$C:$C,$A60,RawData!BD:BD)</f>
        <v>20</v>
      </c>
      <c r="BA60">
        <f>SUMIF(RawData!$C:$C,$A60,RawData!BE:BE)</f>
        <v>28</v>
      </c>
      <c r="BB60">
        <f>SUMIF(RawData!$C:$C,$A60,RawData!BF:BF)</f>
        <v>31</v>
      </c>
      <c r="BC60">
        <f>SUMIF(RawData!$C:$C,$A60,RawData!BG:BG)</f>
        <v>53</v>
      </c>
      <c r="BD60">
        <f>SUMIF(RawData!$C:$C,$A60,RawData!BH:BH)</f>
        <v>136</v>
      </c>
      <c r="BE60">
        <f>SUMIF(RawData!$C:$C,$A60,RawData!BI:BI)</f>
        <v>0</v>
      </c>
      <c r="BF60">
        <f>SUMIF(RawData!$C:$C,$A60,RawData!BJ:BJ)</f>
        <v>0</v>
      </c>
      <c r="BG60">
        <f>SUMIF(RawData!$C:$C,$A60,RawData!BK:BK)</f>
        <v>0</v>
      </c>
      <c r="BH60">
        <f>SUMIF(RawData!$C:$C,$A60,RawData!BL:BL)</f>
        <v>0</v>
      </c>
      <c r="BI60">
        <f>SUMIF(RawData!$C:$C,$A60,RawData!BM:BM)</f>
        <v>0</v>
      </c>
      <c r="BJ60">
        <f>SUMIF(RawData!$C:$C,$A60,RawData!BN:BN)</f>
        <v>0</v>
      </c>
      <c r="BK60">
        <f>SUMIF(RawData!$C:$C,$A60,RawData!BO:BO)</f>
        <v>0</v>
      </c>
      <c r="BL60">
        <f>SUMIF(RawData!$C:$C,$A60,RawData!BP:BP)</f>
        <v>0</v>
      </c>
      <c r="BM60">
        <f>SUMIF(RawData!$C:$C,$A60,RawData!BQ:BQ)</f>
        <v>0</v>
      </c>
      <c r="BN60">
        <f>SUMIF(RawData!$C:$C,$A60,RawData!BR:BR)</f>
        <v>0</v>
      </c>
      <c r="BO60">
        <f>SUMIF(RawData!$C:$C,$A60,RawData!BS:BS)</f>
        <v>0</v>
      </c>
      <c r="BP60">
        <f>SUMIF(RawData!$C:$C,$A60,RawData!BT:BT)</f>
        <v>0</v>
      </c>
      <c r="BQ60">
        <f>SUMIF(RawData!$C:$C,$A60,RawData!BU:BU)</f>
        <v>0</v>
      </c>
      <c r="BR60">
        <f>SUMIF(RawData!$C:$C,$A60,RawData!BV:BV)</f>
        <v>0</v>
      </c>
      <c r="BS60">
        <f>SUMIF(RawData!$C:$C,$A60,RawData!BW:BW)</f>
        <v>0</v>
      </c>
      <c r="BT60">
        <f>SUMIF(RawData!$C:$C,$A60,RawData!BX:BX)</f>
        <v>0</v>
      </c>
    </row>
    <row r="61" spans="1:72" ht="15" thickBot="1" x14ac:dyDescent="0.35">
      <c r="A61" s="5" t="s">
        <v>187</v>
      </c>
      <c r="B61">
        <f>SUMIF(RawData!$C:$C,$A61,RawData!F:F)</f>
        <v>0</v>
      </c>
      <c r="C61">
        <f>SUMIF(RawData!$C:$C,$A61,RawData!G:G)</f>
        <v>0</v>
      </c>
      <c r="D61">
        <f>SUMIF(RawData!$C:$C,$A61,RawData!H:H)</f>
        <v>0</v>
      </c>
      <c r="E61">
        <f>SUMIF(RawData!$C:$C,$A61,RawData!I:I)</f>
        <v>0</v>
      </c>
      <c r="F61">
        <f>SUMIF(RawData!$C:$C,$A61,RawData!J:J)</f>
        <v>0</v>
      </c>
      <c r="G61">
        <f>SUMIF(RawData!$C:$C,$A61,RawData!K:K)</f>
        <v>0</v>
      </c>
      <c r="H61">
        <f>SUMIF(RawData!$C:$C,$A61,RawData!L:L)</f>
        <v>0</v>
      </c>
      <c r="I61">
        <f>SUMIF(RawData!$C:$C,$A61,RawData!M:M)</f>
        <v>0</v>
      </c>
      <c r="J61">
        <f>SUMIF(RawData!$C:$C,$A61,RawData!N:N)</f>
        <v>0</v>
      </c>
      <c r="K61">
        <f>SUMIF(RawData!$C:$C,$A61,RawData!O:O)</f>
        <v>0</v>
      </c>
      <c r="L61">
        <f>SUMIF(RawData!$C:$C,$A61,RawData!P:P)</f>
        <v>0</v>
      </c>
      <c r="M61">
        <f>SUMIF(RawData!$C:$C,$A61,RawData!Q:Q)</f>
        <v>0</v>
      </c>
      <c r="N61">
        <f>SUMIF(RawData!$C:$C,$A61,RawData!R:R)</f>
        <v>0</v>
      </c>
      <c r="O61">
        <f>SUMIF(RawData!$C:$C,$A61,RawData!S:S)</f>
        <v>0</v>
      </c>
      <c r="P61">
        <f>SUMIF(RawData!$C:$C,$A61,RawData!T:T)</f>
        <v>0</v>
      </c>
      <c r="Q61">
        <f>SUMIF(RawData!$C:$C,$A61,RawData!U:U)</f>
        <v>0</v>
      </c>
      <c r="R61">
        <f>SUMIF(RawData!$C:$C,$A61,RawData!V:V)</f>
        <v>0</v>
      </c>
      <c r="S61">
        <f>SUMIF(RawData!$C:$C,$A61,RawData!W:W)</f>
        <v>0</v>
      </c>
      <c r="T61">
        <f>SUMIF(RawData!$C:$C,$A61,RawData!X:X)</f>
        <v>0</v>
      </c>
      <c r="U61">
        <f>SUMIF(RawData!$C:$C,$A61,RawData!Y:Y)</f>
        <v>0</v>
      </c>
      <c r="V61">
        <f>SUMIF(RawData!$C:$C,$A61,RawData!Z:Z)</f>
        <v>0</v>
      </c>
      <c r="W61">
        <f>SUMIF(RawData!$C:$C,$A61,RawData!AA:AA)</f>
        <v>0</v>
      </c>
      <c r="X61">
        <f>SUMIF(RawData!$C:$C,$A61,RawData!AB:AB)</f>
        <v>0</v>
      </c>
      <c r="Y61">
        <f>SUMIF(RawData!$C:$C,$A61,RawData!AC:AC)</f>
        <v>0</v>
      </c>
      <c r="Z61">
        <f>SUMIF(RawData!$C:$C,$A61,RawData!AD:AD)</f>
        <v>0</v>
      </c>
      <c r="AA61">
        <f>SUMIF(RawData!$C:$C,$A61,RawData!AE:AE)</f>
        <v>0</v>
      </c>
      <c r="AB61">
        <f>SUMIF(RawData!$C:$C,$A61,RawData!AF:AF)</f>
        <v>0</v>
      </c>
      <c r="AC61">
        <f>SUMIF(RawData!$C:$C,$A61,RawData!AG:AG)</f>
        <v>0</v>
      </c>
      <c r="AD61">
        <f>SUMIF(RawData!$C:$C,$A61,RawData!AH:AH)</f>
        <v>0</v>
      </c>
      <c r="AE61">
        <f>SUMIF(RawData!$C:$C,$A61,RawData!AI:AI)</f>
        <v>0</v>
      </c>
      <c r="AF61">
        <f>SUMIF(RawData!$C:$C,$A61,RawData!AJ:AJ)</f>
        <v>0</v>
      </c>
      <c r="AG61">
        <f>SUMIF(RawData!$C:$C,$A61,RawData!AK:AK)</f>
        <v>0</v>
      </c>
      <c r="AH61">
        <f>SUMIF(RawData!$C:$C,$A61,RawData!AL:AL)</f>
        <v>0</v>
      </c>
      <c r="AI61">
        <f>SUMIF(RawData!$C:$C,$A61,RawData!AM:AM)</f>
        <v>0</v>
      </c>
      <c r="AJ61">
        <f>SUMIF(RawData!$C:$C,$A61,RawData!AN:AN)</f>
        <v>0</v>
      </c>
      <c r="AK61">
        <f>SUMIF(RawData!$C:$C,$A61,RawData!AO:AO)</f>
        <v>0</v>
      </c>
      <c r="AL61">
        <f>SUMIF(RawData!$C:$C,$A61,RawData!AP:AP)</f>
        <v>0</v>
      </c>
      <c r="AM61">
        <f>SUMIF(RawData!$C:$C,$A61,RawData!AQ:AQ)</f>
        <v>0</v>
      </c>
      <c r="AN61">
        <f>SUMIF(RawData!$C:$C,$A61,RawData!AR:AR)</f>
        <v>0</v>
      </c>
      <c r="AO61">
        <f>SUMIF(RawData!$C:$C,$A61,RawData!AS:AS)</f>
        <v>0</v>
      </c>
      <c r="AP61">
        <f>SUMIF(RawData!$C:$C,$A61,RawData!AT:AT)</f>
        <v>0</v>
      </c>
      <c r="AQ61">
        <f>SUMIF(RawData!$C:$C,$A61,RawData!AU:AU)</f>
        <v>0</v>
      </c>
      <c r="AR61">
        <f>SUMIF(RawData!$C:$C,$A61,RawData!AV:AV)</f>
        <v>0</v>
      </c>
      <c r="AS61">
        <f>SUMIF(RawData!$C:$C,$A61,RawData!AW:AW)</f>
        <v>0</v>
      </c>
      <c r="AT61">
        <f>SUMIF(RawData!$C:$C,$A61,RawData!AX:AX)</f>
        <v>1</v>
      </c>
      <c r="AU61">
        <f>SUMIF(RawData!$C:$C,$A61,RawData!AY:AY)</f>
        <v>1</v>
      </c>
      <c r="AV61">
        <f>SUMIF(RawData!$C:$C,$A61,RawData!AZ:AZ)</f>
        <v>6</v>
      </c>
      <c r="AW61">
        <f>SUMIF(RawData!$C:$C,$A61,RawData!BA:BA)</f>
        <v>7</v>
      </c>
      <c r="AX61">
        <f>SUMIF(RawData!$C:$C,$A61,RawData!BB:BB)</f>
        <v>11</v>
      </c>
      <c r="AY61">
        <f>SUMIF(RawData!$C:$C,$A61,RawData!BC:BC)</f>
        <v>11</v>
      </c>
      <c r="AZ61">
        <f>SUMIF(RawData!$C:$C,$A61,RawData!BD:BD)</f>
        <v>15</v>
      </c>
      <c r="BA61">
        <f>SUMIF(RawData!$C:$C,$A61,RawData!BE:BE)</f>
        <v>28</v>
      </c>
      <c r="BB61">
        <f>SUMIF(RawData!$C:$C,$A61,RawData!BF:BF)</f>
        <v>38</v>
      </c>
      <c r="BC61">
        <f>SUMIF(RawData!$C:$C,$A61,RawData!BG:BG)</f>
        <v>43</v>
      </c>
      <c r="BD61">
        <f>SUMIF(RawData!$C:$C,$A61,RawData!BH:BH)</f>
        <v>86</v>
      </c>
      <c r="BE61">
        <f>SUMIF(RawData!$C:$C,$A61,RawData!BI:BI)</f>
        <v>0</v>
      </c>
      <c r="BF61">
        <f>SUMIF(RawData!$C:$C,$A61,RawData!BJ:BJ)</f>
        <v>0</v>
      </c>
      <c r="BG61">
        <f>SUMIF(RawData!$C:$C,$A61,RawData!BK:BK)</f>
        <v>0</v>
      </c>
      <c r="BH61">
        <f>SUMIF(RawData!$C:$C,$A61,RawData!BL:BL)</f>
        <v>0</v>
      </c>
      <c r="BI61">
        <f>SUMIF(RawData!$C:$C,$A61,RawData!BM:BM)</f>
        <v>0</v>
      </c>
      <c r="BJ61">
        <f>SUMIF(RawData!$C:$C,$A61,RawData!BN:BN)</f>
        <v>0</v>
      </c>
      <c r="BK61">
        <f>SUMIF(RawData!$C:$C,$A61,RawData!BO:BO)</f>
        <v>0</v>
      </c>
      <c r="BL61">
        <f>SUMIF(RawData!$C:$C,$A61,RawData!BP:BP)</f>
        <v>0</v>
      </c>
      <c r="BM61">
        <f>SUMIF(RawData!$C:$C,$A61,RawData!BQ:BQ)</f>
        <v>0</v>
      </c>
      <c r="BN61">
        <f>SUMIF(RawData!$C:$C,$A61,RawData!BR:BR)</f>
        <v>0</v>
      </c>
      <c r="BO61">
        <f>SUMIF(RawData!$C:$C,$A61,RawData!BS:BS)</f>
        <v>0</v>
      </c>
      <c r="BP61">
        <f>SUMIF(RawData!$C:$C,$A61,RawData!BT:BT)</f>
        <v>0</v>
      </c>
      <c r="BQ61">
        <f>SUMIF(RawData!$C:$C,$A61,RawData!BU:BU)</f>
        <v>0</v>
      </c>
      <c r="BR61">
        <f>SUMIF(RawData!$C:$C,$A61,RawData!BV:BV)</f>
        <v>0</v>
      </c>
      <c r="BS61">
        <f>SUMIF(RawData!$C:$C,$A61,RawData!BW:BW)</f>
        <v>0</v>
      </c>
      <c r="BT61">
        <f>SUMIF(RawData!$C:$C,$A61,RawData!BX:BX)</f>
        <v>0</v>
      </c>
    </row>
    <row r="62" spans="1:72" ht="15" thickBot="1" x14ac:dyDescent="0.35">
      <c r="A62" s="4" t="s">
        <v>118</v>
      </c>
      <c r="B62">
        <f>SUMIF(RawData!$C:$C,$A62,RawData!F:F)</f>
        <v>0</v>
      </c>
      <c r="C62">
        <f>SUMIF(RawData!$C:$C,$A62,RawData!G:G)</f>
        <v>0</v>
      </c>
      <c r="D62">
        <f>SUMIF(RawData!$C:$C,$A62,RawData!H:H)</f>
        <v>0</v>
      </c>
      <c r="E62">
        <f>SUMIF(RawData!$C:$C,$A62,RawData!I:I)</f>
        <v>0</v>
      </c>
      <c r="F62">
        <f>SUMIF(RawData!$C:$C,$A62,RawData!J:J)</f>
        <v>0</v>
      </c>
      <c r="G62">
        <f>SUMIF(RawData!$C:$C,$A62,RawData!K:K)</f>
        <v>0</v>
      </c>
      <c r="H62">
        <f>SUMIF(RawData!$C:$C,$A62,RawData!L:L)</f>
        <v>0</v>
      </c>
      <c r="I62">
        <f>SUMIF(RawData!$C:$C,$A62,RawData!M:M)</f>
        <v>0</v>
      </c>
      <c r="J62">
        <f>SUMIF(RawData!$C:$C,$A62,RawData!N:N)</f>
        <v>0</v>
      </c>
      <c r="K62">
        <f>SUMIF(RawData!$C:$C,$A62,RawData!O:O)</f>
        <v>0</v>
      </c>
      <c r="L62">
        <f>SUMIF(RawData!$C:$C,$A62,RawData!P:P)</f>
        <v>0</v>
      </c>
      <c r="M62">
        <f>SUMIF(RawData!$C:$C,$A62,RawData!Q:Q)</f>
        <v>0</v>
      </c>
      <c r="N62">
        <f>SUMIF(RawData!$C:$C,$A62,RawData!R:R)</f>
        <v>0</v>
      </c>
      <c r="O62">
        <f>SUMIF(RawData!$C:$C,$A62,RawData!S:S)</f>
        <v>0</v>
      </c>
      <c r="P62">
        <f>SUMIF(RawData!$C:$C,$A62,RawData!T:T)</f>
        <v>0</v>
      </c>
      <c r="Q62">
        <f>SUMIF(RawData!$C:$C,$A62,RawData!U:U)</f>
        <v>0</v>
      </c>
      <c r="R62">
        <f>SUMIF(RawData!$C:$C,$A62,RawData!V:V)</f>
        <v>0</v>
      </c>
      <c r="S62">
        <f>SUMIF(RawData!$C:$C,$A62,RawData!W:W)</f>
        <v>0</v>
      </c>
      <c r="T62">
        <f>SUMIF(RawData!$C:$C,$A62,RawData!X:X)</f>
        <v>0</v>
      </c>
      <c r="U62">
        <f>SUMIF(RawData!$C:$C,$A62,RawData!Y:Y)</f>
        <v>0</v>
      </c>
      <c r="V62">
        <f>SUMIF(RawData!$C:$C,$A62,RawData!Z:Z)</f>
        <v>0</v>
      </c>
      <c r="W62">
        <f>SUMIF(RawData!$C:$C,$A62,RawData!AA:AA)</f>
        <v>0</v>
      </c>
      <c r="X62">
        <f>SUMIF(RawData!$C:$C,$A62,RawData!AB:AB)</f>
        <v>0</v>
      </c>
      <c r="Y62">
        <f>SUMIF(RawData!$C:$C,$A62,RawData!AC:AC)</f>
        <v>0</v>
      </c>
      <c r="Z62">
        <f>SUMIF(RawData!$C:$C,$A62,RawData!AD:AD)</f>
        <v>0</v>
      </c>
      <c r="AA62">
        <f>SUMIF(RawData!$C:$C,$A62,RawData!AE:AE)</f>
        <v>0</v>
      </c>
      <c r="AB62">
        <f>SUMIF(RawData!$C:$C,$A62,RawData!AF:AF)</f>
        <v>0</v>
      </c>
      <c r="AC62">
        <f>SUMIF(RawData!$C:$C,$A62,RawData!AG:AG)</f>
        <v>0</v>
      </c>
      <c r="AD62">
        <f>SUMIF(RawData!$C:$C,$A62,RawData!AH:AH)</f>
        <v>0</v>
      </c>
      <c r="AE62">
        <f>SUMIF(RawData!$C:$C,$A62,RawData!AI:AI)</f>
        <v>0</v>
      </c>
      <c r="AF62">
        <f>SUMIF(RawData!$C:$C,$A62,RawData!AJ:AJ)</f>
        <v>0</v>
      </c>
      <c r="AG62">
        <f>SUMIF(RawData!$C:$C,$A62,RawData!AK:AK)</f>
        <v>0</v>
      </c>
      <c r="AH62">
        <f>SUMIF(RawData!$C:$C,$A62,RawData!AL:AL)</f>
        <v>0</v>
      </c>
      <c r="AI62">
        <f>SUMIF(RawData!$C:$C,$A62,RawData!AM:AM)</f>
        <v>0</v>
      </c>
      <c r="AJ62">
        <f>SUMIF(RawData!$C:$C,$A62,RawData!AN:AN)</f>
        <v>0</v>
      </c>
      <c r="AK62">
        <f>SUMIF(RawData!$C:$C,$A62,RawData!AO:AO)</f>
        <v>0</v>
      </c>
      <c r="AL62">
        <f>SUMIF(RawData!$C:$C,$A62,RawData!AP:AP)</f>
        <v>0</v>
      </c>
      <c r="AM62">
        <f>SUMIF(RawData!$C:$C,$A62,RawData!AQ:AQ)</f>
        <v>1</v>
      </c>
      <c r="AN62">
        <f>SUMIF(RawData!$C:$C,$A62,RawData!AR:AR)</f>
        <v>1</v>
      </c>
      <c r="AO62">
        <f>SUMIF(RawData!$C:$C,$A62,RawData!AS:AS)</f>
        <v>1</v>
      </c>
      <c r="AP62">
        <f>SUMIF(RawData!$C:$C,$A62,RawData!AT:AT)</f>
        <v>1</v>
      </c>
      <c r="AQ62">
        <f>SUMIF(RawData!$C:$C,$A62,RawData!AU:AU)</f>
        <v>1</v>
      </c>
      <c r="AR62">
        <f>SUMIF(RawData!$C:$C,$A62,RawData!AV:AV)</f>
        <v>6</v>
      </c>
      <c r="AS62">
        <f>SUMIF(RawData!$C:$C,$A62,RawData!AW:AW)</f>
        <v>6</v>
      </c>
      <c r="AT62">
        <f>SUMIF(RawData!$C:$C,$A62,RawData!AX:AX)</f>
        <v>6</v>
      </c>
      <c r="AU62">
        <f>SUMIF(RawData!$C:$C,$A62,RawData!AY:AY)</f>
        <v>6</v>
      </c>
      <c r="AV62">
        <f>SUMIF(RawData!$C:$C,$A62,RawData!AZ:AZ)</f>
        <v>6</v>
      </c>
      <c r="AW62">
        <f>SUMIF(RawData!$C:$C,$A62,RawData!BA:BA)</f>
        <v>6</v>
      </c>
      <c r="AX62">
        <f>SUMIF(RawData!$C:$C,$A62,RawData!BB:BB)</f>
        <v>9</v>
      </c>
      <c r="AY62">
        <f>SUMIF(RawData!$C:$C,$A62,RawData!BC:BC)</f>
        <v>9</v>
      </c>
      <c r="AZ62">
        <f>SUMIF(RawData!$C:$C,$A62,RawData!BD:BD)</f>
        <v>12</v>
      </c>
      <c r="BA62">
        <f>SUMIF(RawData!$C:$C,$A62,RawData!BE:BE)</f>
        <v>27</v>
      </c>
      <c r="BB62">
        <f>SUMIF(RawData!$C:$C,$A62,RawData!BF:BF)</f>
        <v>27</v>
      </c>
      <c r="BC62">
        <f>SUMIF(RawData!$C:$C,$A62,RawData!BG:BG)</f>
        <v>27</v>
      </c>
      <c r="BD62">
        <f>SUMIF(RawData!$C:$C,$A62,RawData!BH:BH)</f>
        <v>36</v>
      </c>
      <c r="BE62">
        <f>SUMIF(RawData!$C:$C,$A62,RawData!BI:BI)</f>
        <v>0</v>
      </c>
      <c r="BF62">
        <f>SUMIF(RawData!$C:$C,$A62,RawData!BJ:BJ)</f>
        <v>0</v>
      </c>
      <c r="BG62">
        <f>SUMIF(RawData!$C:$C,$A62,RawData!BK:BK)</f>
        <v>0</v>
      </c>
      <c r="BH62">
        <f>SUMIF(RawData!$C:$C,$A62,RawData!BL:BL)</f>
        <v>0</v>
      </c>
      <c r="BI62">
        <f>SUMIF(RawData!$C:$C,$A62,RawData!BM:BM)</f>
        <v>0</v>
      </c>
      <c r="BJ62">
        <f>SUMIF(RawData!$C:$C,$A62,RawData!BN:BN)</f>
        <v>0</v>
      </c>
      <c r="BK62">
        <f>SUMIF(RawData!$C:$C,$A62,RawData!BO:BO)</f>
        <v>0</v>
      </c>
      <c r="BL62">
        <f>SUMIF(RawData!$C:$C,$A62,RawData!BP:BP)</f>
        <v>0</v>
      </c>
      <c r="BM62">
        <f>SUMIF(RawData!$C:$C,$A62,RawData!BQ:BQ)</f>
        <v>0</v>
      </c>
      <c r="BN62">
        <f>SUMIF(RawData!$C:$C,$A62,RawData!BR:BR)</f>
        <v>0</v>
      </c>
      <c r="BO62">
        <f>SUMIF(RawData!$C:$C,$A62,RawData!BS:BS)</f>
        <v>0</v>
      </c>
      <c r="BP62">
        <f>SUMIF(RawData!$C:$C,$A62,RawData!BT:BT)</f>
        <v>0</v>
      </c>
      <c r="BQ62">
        <f>SUMIF(RawData!$C:$C,$A62,RawData!BU:BU)</f>
        <v>0</v>
      </c>
      <c r="BR62">
        <f>SUMIF(RawData!$C:$C,$A62,RawData!BV:BV)</f>
        <v>0</v>
      </c>
      <c r="BS62">
        <f>SUMIF(RawData!$C:$C,$A62,RawData!BW:BW)</f>
        <v>0</v>
      </c>
      <c r="BT62">
        <f>SUMIF(RawData!$C:$C,$A62,RawData!BX:BX)</f>
        <v>0</v>
      </c>
    </row>
    <row r="63" spans="1:72" ht="15" thickBot="1" x14ac:dyDescent="0.35">
      <c r="A63" s="4" t="s">
        <v>310</v>
      </c>
      <c r="B63">
        <f>SUMIF(RawData!$C:$C,$A63,RawData!F:F)</f>
        <v>0</v>
      </c>
      <c r="C63">
        <f>SUMIF(RawData!$C:$C,$A63,RawData!G:G)</f>
        <v>0</v>
      </c>
      <c r="D63">
        <f>SUMIF(RawData!$C:$C,$A63,RawData!H:H)</f>
        <v>0</v>
      </c>
      <c r="E63">
        <f>SUMIF(RawData!$C:$C,$A63,RawData!I:I)</f>
        <v>0</v>
      </c>
      <c r="F63">
        <f>SUMIF(RawData!$C:$C,$A63,RawData!J:J)</f>
        <v>0</v>
      </c>
      <c r="G63">
        <f>SUMIF(RawData!$C:$C,$A63,RawData!K:K)</f>
        <v>0</v>
      </c>
      <c r="H63">
        <f>SUMIF(RawData!$C:$C,$A63,RawData!L:L)</f>
        <v>0</v>
      </c>
      <c r="I63">
        <f>SUMIF(RawData!$C:$C,$A63,RawData!M:M)</f>
        <v>0</v>
      </c>
      <c r="J63">
        <f>SUMIF(RawData!$C:$C,$A63,RawData!N:N)</f>
        <v>0</v>
      </c>
      <c r="K63">
        <f>SUMIF(RawData!$C:$C,$A63,RawData!O:O)</f>
        <v>0</v>
      </c>
      <c r="L63">
        <f>SUMIF(RawData!$C:$C,$A63,RawData!P:P)</f>
        <v>0</v>
      </c>
      <c r="M63">
        <f>SUMIF(RawData!$C:$C,$A63,RawData!Q:Q)</f>
        <v>0</v>
      </c>
      <c r="N63">
        <f>SUMIF(RawData!$C:$C,$A63,RawData!R:R)</f>
        <v>0</v>
      </c>
      <c r="O63">
        <f>SUMIF(RawData!$C:$C,$A63,RawData!S:S)</f>
        <v>0</v>
      </c>
      <c r="P63">
        <f>SUMIF(RawData!$C:$C,$A63,RawData!T:T)</f>
        <v>0</v>
      </c>
      <c r="Q63">
        <f>SUMIF(RawData!$C:$C,$A63,RawData!U:U)</f>
        <v>0</v>
      </c>
      <c r="R63">
        <f>SUMIF(RawData!$C:$C,$A63,RawData!V:V)</f>
        <v>0</v>
      </c>
      <c r="S63">
        <f>SUMIF(RawData!$C:$C,$A63,RawData!W:W)</f>
        <v>0</v>
      </c>
      <c r="T63">
        <f>SUMIF(RawData!$C:$C,$A63,RawData!X:X)</f>
        <v>0</v>
      </c>
      <c r="U63">
        <f>SUMIF(RawData!$C:$C,$A63,RawData!Y:Y)</f>
        <v>0</v>
      </c>
      <c r="V63">
        <f>SUMIF(RawData!$C:$C,$A63,RawData!Z:Z)</f>
        <v>0</v>
      </c>
      <c r="W63">
        <f>SUMIF(RawData!$C:$C,$A63,RawData!AA:AA)</f>
        <v>0</v>
      </c>
      <c r="X63">
        <f>SUMIF(RawData!$C:$C,$A63,RawData!AB:AB)</f>
        <v>0</v>
      </c>
      <c r="Y63">
        <f>SUMIF(RawData!$C:$C,$A63,RawData!AC:AC)</f>
        <v>0</v>
      </c>
      <c r="Z63">
        <f>SUMIF(RawData!$C:$C,$A63,RawData!AD:AD)</f>
        <v>0</v>
      </c>
      <c r="AA63">
        <f>SUMIF(RawData!$C:$C,$A63,RawData!AE:AE)</f>
        <v>0</v>
      </c>
      <c r="AB63">
        <f>SUMIF(RawData!$C:$C,$A63,RawData!AF:AF)</f>
        <v>0</v>
      </c>
      <c r="AC63">
        <f>SUMIF(RawData!$C:$C,$A63,RawData!AG:AG)</f>
        <v>0</v>
      </c>
      <c r="AD63">
        <f>SUMIF(RawData!$C:$C,$A63,RawData!AH:AH)</f>
        <v>0</v>
      </c>
      <c r="AE63">
        <f>SUMIF(RawData!$C:$C,$A63,RawData!AI:AI)</f>
        <v>0</v>
      </c>
      <c r="AF63">
        <f>SUMIF(RawData!$C:$C,$A63,RawData!AJ:AJ)</f>
        <v>0</v>
      </c>
      <c r="AG63">
        <f>SUMIF(RawData!$C:$C,$A63,RawData!AK:AK)</f>
        <v>0</v>
      </c>
      <c r="AH63">
        <f>SUMIF(RawData!$C:$C,$A63,RawData!AL:AL)</f>
        <v>0</v>
      </c>
      <c r="AI63">
        <f>SUMIF(RawData!$C:$C,$A63,RawData!AM:AM)</f>
        <v>0</v>
      </c>
      <c r="AJ63">
        <f>SUMIF(RawData!$C:$C,$A63,RawData!AN:AN)</f>
        <v>0</v>
      </c>
      <c r="AK63">
        <f>SUMIF(RawData!$C:$C,$A63,RawData!AO:AO)</f>
        <v>0</v>
      </c>
      <c r="AL63">
        <f>SUMIF(RawData!$C:$C,$A63,RawData!AP:AP)</f>
        <v>0</v>
      </c>
      <c r="AM63">
        <f>SUMIF(RawData!$C:$C,$A63,RawData!AQ:AQ)</f>
        <v>0</v>
      </c>
      <c r="AN63">
        <f>SUMIF(RawData!$C:$C,$A63,RawData!AR:AR)</f>
        <v>0</v>
      </c>
      <c r="AO63">
        <f>SUMIF(RawData!$C:$C,$A63,RawData!AS:AS)</f>
        <v>0</v>
      </c>
      <c r="AP63">
        <f>SUMIF(RawData!$C:$C,$A63,RawData!AT:AT)</f>
        <v>0</v>
      </c>
      <c r="AQ63">
        <f>SUMIF(RawData!$C:$C,$A63,RawData!AU:AU)</f>
        <v>0</v>
      </c>
      <c r="AR63">
        <f>SUMIF(RawData!$C:$C,$A63,RawData!AV:AV)</f>
        <v>0</v>
      </c>
      <c r="AS63">
        <f>SUMIF(RawData!$C:$C,$A63,RawData!AW:AW)</f>
        <v>0</v>
      </c>
      <c r="AT63">
        <f>SUMIF(RawData!$C:$C,$A63,RawData!AX:AX)</f>
        <v>0</v>
      </c>
      <c r="AU63">
        <f>SUMIF(RawData!$C:$C,$A63,RawData!AY:AY)</f>
        <v>0</v>
      </c>
      <c r="AV63">
        <f>SUMIF(RawData!$C:$C,$A63,RawData!AZ:AZ)</f>
        <v>0</v>
      </c>
      <c r="AW63">
        <f>SUMIF(RawData!$C:$C,$A63,RawData!BA:BA)</f>
        <v>0</v>
      </c>
      <c r="AX63">
        <f>SUMIF(RawData!$C:$C,$A63,RawData!BB:BB)</f>
        <v>1</v>
      </c>
      <c r="AY63">
        <f>SUMIF(RawData!$C:$C,$A63,RawData!BC:BC)</f>
        <v>8</v>
      </c>
      <c r="AZ63">
        <f>SUMIF(RawData!$C:$C,$A63,RawData!BD:BD)</f>
        <v>11</v>
      </c>
      <c r="BA63">
        <f>SUMIF(RawData!$C:$C,$A63,RawData!BE:BE)</f>
        <v>27</v>
      </c>
      <c r="BB63">
        <f>SUMIF(RawData!$C:$C,$A63,RawData!BF:BF)</f>
        <v>36</v>
      </c>
      <c r="BC63">
        <f>SUMIF(RawData!$C:$C,$A63,RawData!BG:BG)</f>
        <v>43</v>
      </c>
      <c r="BD63">
        <f>SUMIF(RawData!$C:$C,$A63,RawData!BH:BH)</f>
        <v>55</v>
      </c>
      <c r="BE63">
        <f>SUMIF(RawData!$C:$C,$A63,RawData!BI:BI)</f>
        <v>0</v>
      </c>
      <c r="BF63">
        <f>SUMIF(RawData!$C:$C,$A63,RawData!BJ:BJ)</f>
        <v>0</v>
      </c>
      <c r="BG63">
        <f>SUMIF(RawData!$C:$C,$A63,RawData!BK:BK)</f>
        <v>0</v>
      </c>
      <c r="BH63">
        <f>SUMIF(RawData!$C:$C,$A63,RawData!BL:BL)</f>
        <v>0</v>
      </c>
      <c r="BI63">
        <f>SUMIF(RawData!$C:$C,$A63,RawData!BM:BM)</f>
        <v>0</v>
      </c>
      <c r="BJ63">
        <f>SUMIF(RawData!$C:$C,$A63,RawData!BN:BN)</f>
        <v>0</v>
      </c>
      <c r="BK63">
        <f>SUMIF(RawData!$C:$C,$A63,RawData!BO:BO)</f>
        <v>0</v>
      </c>
      <c r="BL63">
        <f>SUMIF(RawData!$C:$C,$A63,RawData!BP:BP)</f>
        <v>0</v>
      </c>
      <c r="BM63">
        <f>SUMIF(RawData!$C:$C,$A63,RawData!BQ:BQ)</f>
        <v>0</v>
      </c>
      <c r="BN63">
        <f>SUMIF(RawData!$C:$C,$A63,RawData!BR:BR)</f>
        <v>0</v>
      </c>
      <c r="BO63">
        <f>SUMIF(RawData!$C:$C,$A63,RawData!BS:BS)</f>
        <v>0</v>
      </c>
      <c r="BP63">
        <f>SUMIF(RawData!$C:$C,$A63,RawData!BT:BT)</f>
        <v>0</v>
      </c>
      <c r="BQ63">
        <f>SUMIF(RawData!$C:$C,$A63,RawData!BU:BU)</f>
        <v>0</v>
      </c>
      <c r="BR63">
        <f>SUMIF(RawData!$C:$C,$A63,RawData!BV:BV)</f>
        <v>0</v>
      </c>
      <c r="BS63">
        <f>SUMIF(RawData!$C:$C,$A63,RawData!BW:BW)</f>
        <v>0</v>
      </c>
      <c r="BT63">
        <f>SUMIF(RawData!$C:$C,$A63,RawData!BX:BX)</f>
        <v>0</v>
      </c>
    </row>
    <row r="64" spans="1:72" ht="15" thickBot="1" x14ac:dyDescent="0.35">
      <c r="A64" s="5" t="s">
        <v>102</v>
      </c>
      <c r="B64">
        <f>SUMIF(RawData!$C:$C,$A64,RawData!F:F)</f>
        <v>0</v>
      </c>
      <c r="C64">
        <f>SUMIF(RawData!$C:$C,$A64,RawData!G:G)</f>
        <v>0</v>
      </c>
      <c r="D64">
        <f>SUMIF(RawData!$C:$C,$A64,RawData!H:H)</f>
        <v>0</v>
      </c>
      <c r="E64">
        <f>SUMIF(RawData!$C:$C,$A64,RawData!I:I)</f>
        <v>0</v>
      </c>
      <c r="F64">
        <f>SUMIF(RawData!$C:$C,$A64,RawData!J:J)</f>
        <v>0</v>
      </c>
      <c r="G64">
        <f>SUMIF(RawData!$C:$C,$A64,RawData!K:K)</f>
        <v>0</v>
      </c>
      <c r="H64">
        <f>SUMIF(RawData!$C:$C,$A64,RawData!L:L)</f>
        <v>0</v>
      </c>
      <c r="I64">
        <f>SUMIF(RawData!$C:$C,$A64,RawData!M:M)</f>
        <v>0</v>
      </c>
      <c r="J64">
        <f>SUMIF(RawData!$C:$C,$A64,RawData!N:N)</f>
        <v>0</v>
      </c>
      <c r="K64">
        <f>SUMIF(RawData!$C:$C,$A64,RawData!O:O)</f>
        <v>0</v>
      </c>
      <c r="L64">
        <f>SUMIF(RawData!$C:$C,$A64,RawData!P:P)</f>
        <v>0</v>
      </c>
      <c r="M64">
        <f>SUMIF(RawData!$C:$C,$A64,RawData!Q:Q)</f>
        <v>0</v>
      </c>
      <c r="N64">
        <f>SUMIF(RawData!$C:$C,$A64,RawData!R:R)</f>
        <v>0</v>
      </c>
      <c r="O64">
        <f>SUMIF(RawData!$C:$C,$A64,RawData!S:S)</f>
        <v>0</v>
      </c>
      <c r="P64">
        <f>SUMIF(RawData!$C:$C,$A64,RawData!T:T)</f>
        <v>0</v>
      </c>
      <c r="Q64">
        <f>SUMIF(RawData!$C:$C,$A64,RawData!U:U)</f>
        <v>0</v>
      </c>
      <c r="R64">
        <f>SUMIF(RawData!$C:$C,$A64,RawData!V:V)</f>
        <v>0</v>
      </c>
      <c r="S64">
        <f>SUMIF(RawData!$C:$C,$A64,RawData!W:W)</f>
        <v>0</v>
      </c>
      <c r="T64">
        <f>SUMIF(RawData!$C:$C,$A64,RawData!X:X)</f>
        <v>0</v>
      </c>
      <c r="U64">
        <f>SUMIF(RawData!$C:$C,$A64,RawData!Y:Y)</f>
        <v>0</v>
      </c>
      <c r="V64">
        <f>SUMIF(RawData!$C:$C,$A64,RawData!Z:Z)</f>
        <v>0</v>
      </c>
      <c r="W64">
        <f>SUMIF(RawData!$C:$C,$A64,RawData!AA:AA)</f>
        <v>0</v>
      </c>
      <c r="X64">
        <f>SUMIF(RawData!$C:$C,$A64,RawData!AB:AB)</f>
        <v>0</v>
      </c>
      <c r="Y64">
        <f>SUMIF(RawData!$C:$C,$A64,RawData!AC:AC)</f>
        <v>0</v>
      </c>
      <c r="Z64">
        <f>SUMIF(RawData!$C:$C,$A64,RawData!AD:AD)</f>
        <v>0</v>
      </c>
      <c r="AA64">
        <f>SUMIF(RawData!$C:$C,$A64,RawData!AE:AE)</f>
        <v>0</v>
      </c>
      <c r="AB64">
        <f>SUMIF(RawData!$C:$C,$A64,RawData!AF:AF)</f>
        <v>0</v>
      </c>
      <c r="AC64">
        <f>SUMIF(RawData!$C:$C,$A64,RawData!AG:AG)</f>
        <v>0</v>
      </c>
      <c r="AD64">
        <f>SUMIF(RawData!$C:$C,$A64,RawData!AH:AH)</f>
        <v>0</v>
      </c>
      <c r="AE64">
        <f>SUMIF(RawData!$C:$C,$A64,RawData!AI:AI)</f>
        <v>0</v>
      </c>
      <c r="AF64">
        <f>SUMIF(RawData!$C:$C,$A64,RawData!AJ:AJ)</f>
        <v>0</v>
      </c>
      <c r="AG64">
        <f>SUMIF(RawData!$C:$C,$A64,RawData!AK:AK)</f>
        <v>0</v>
      </c>
      <c r="AH64">
        <f>SUMIF(RawData!$C:$C,$A64,RawData!AL:AL)</f>
        <v>0</v>
      </c>
      <c r="AI64">
        <f>SUMIF(RawData!$C:$C,$A64,RawData!AM:AM)</f>
        <v>0</v>
      </c>
      <c r="AJ64">
        <f>SUMIF(RawData!$C:$C,$A64,RawData!AN:AN)</f>
        <v>1</v>
      </c>
      <c r="AK64">
        <f>SUMIF(RawData!$C:$C,$A64,RawData!AO:AO)</f>
        <v>1</v>
      </c>
      <c r="AL64">
        <f>SUMIF(RawData!$C:$C,$A64,RawData!AP:AP)</f>
        <v>1</v>
      </c>
      <c r="AM64">
        <f>SUMIF(RawData!$C:$C,$A64,RawData!AQ:AQ)</f>
        <v>1</v>
      </c>
      <c r="AN64">
        <f>SUMIF(RawData!$C:$C,$A64,RawData!AR:AR)</f>
        <v>1</v>
      </c>
      <c r="AO64">
        <f>SUMIF(RawData!$C:$C,$A64,RawData!AS:AS)</f>
        <v>1</v>
      </c>
      <c r="AP64">
        <f>SUMIF(RawData!$C:$C,$A64,RawData!AT:AT)</f>
        <v>3</v>
      </c>
      <c r="AQ64">
        <f>SUMIF(RawData!$C:$C,$A64,RawData!AU:AU)</f>
        <v>5</v>
      </c>
      <c r="AR64">
        <f>SUMIF(RawData!$C:$C,$A64,RawData!AV:AV)</f>
        <v>12</v>
      </c>
      <c r="AS64">
        <f>SUMIF(RawData!$C:$C,$A64,RawData!AW:AW)</f>
        <v>12</v>
      </c>
      <c r="AT64">
        <f>SUMIF(RawData!$C:$C,$A64,RawData!AX:AX)</f>
        <v>17</v>
      </c>
      <c r="AU64">
        <f>SUMIF(RawData!$C:$C,$A64,RawData!AY:AY)</f>
        <v>17</v>
      </c>
      <c r="AV64">
        <f>SUMIF(RawData!$C:$C,$A64,RawData!AZ:AZ)</f>
        <v>19</v>
      </c>
      <c r="AW64">
        <f>SUMIF(RawData!$C:$C,$A64,RawData!BA:BA)</f>
        <v>20</v>
      </c>
      <c r="AX64">
        <f>SUMIF(RawData!$C:$C,$A64,RawData!BB:BB)</f>
        <v>20</v>
      </c>
      <c r="AY64">
        <f>SUMIF(RawData!$C:$C,$A64,RawData!BC:BC)</f>
        <v>20</v>
      </c>
      <c r="AZ64">
        <f>SUMIF(RawData!$C:$C,$A64,RawData!BD:BD)</f>
        <v>24</v>
      </c>
      <c r="BA64">
        <f>SUMIF(RawData!$C:$C,$A64,RawData!BE:BE)</f>
        <v>26</v>
      </c>
      <c r="BB64">
        <f>SUMIF(RawData!$C:$C,$A64,RawData!BF:BF)</f>
        <v>37</v>
      </c>
      <c r="BC64">
        <f>SUMIF(RawData!$C:$C,$A64,RawData!BG:BG)</f>
        <v>48</v>
      </c>
      <c r="BD64">
        <f>SUMIF(RawData!$C:$C,$A64,RawData!BH:BH)</f>
        <v>54</v>
      </c>
      <c r="BE64">
        <f>SUMIF(RawData!$C:$C,$A64,RawData!BI:BI)</f>
        <v>0</v>
      </c>
      <c r="BF64">
        <f>SUMIF(RawData!$C:$C,$A64,RawData!BJ:BJ)</f>
        <v>0</v>
      </c>
      <c r="BG64">
        <f>SUMIF(RawData!$C:$C,$A64,RawData!BK:BK)</f>
        <v>0</v>
      </c>
      <c r="BH64">
        <f>SUMIF(RawData!$C:$C,$A64,RawData!BL:BL)</f>
        <v>0</v>
      </c>
      <c r="BI64">
        <f>SUMIF(RawData!$C:$C,$A64,RawData!BM:BM)</f>
        <v>0</v>
      </c>
      <c r="BJ64">
        <f>SUMIF(RawData!$C:$C,$A64,RawData!BN:BN)</f>
        <v>0</v>
      </c>
      <c r="BK64">
        <f>SUMIF(RawData!$C:$C,$A64,RawData!BO:BO)</f>
        <v>0</v>
      </c>
      <c r="BL64">
        <f>SUMIF(RawData!$C:$C,$A64,RawData!BP:BP)</f>
        <v>0</v>
      </c>
      <c r="BM64">
        <f>SUMIF(RawData!$C:$C,$A64,RawData!BQ:BQ)</f>
        <v>0</v>
      </c>
      <c r="BN64">
        <f>SUMIF(RawData!$C:$C,$A64,RawData!BR:BR)</f>
        <v>0</v>
      </c>
      <c r="BO64">
        <f>SUMIF(RawData!$C:$C,$A64,RawData!BS:BS)</f>
        <v>0</v>
      </c>
      <c r="BP64">
        <f>SUMIF(RawData!$C:$C,$A64,RawData!BT:BT)</f>
        <v>0</v>
      </c>
      <c r="BQ64">
        <f>SUMIF(RawData!$C:$C,$A64,RawData!BU:BU)</f>
        <v>0</v>
      </c>
      <c r="BR64">
        <f>SUMIF(RawData!$C:$C,$A64,RawData!BV:BV)</f>
        <v>0</v>
      </c>
      <c r="BS64">
        <f>SUMIF(RawData!$C:$C,$A64,RawData!BW:BW)</f>
        <v>0</v>
      </c>
      <c r="BT64">
        <f>SUMIF(RawData!$C:$C,$A64,RawData!BX:BX)</f>
        <v>0</v>
      </c>
    </row>
    <row r="65" spans="1:72" ht="15" thickBot="1" x14ac:dyDescent="0.35">
      <c r="A65" s="4" t="s">
        <v>109</v>
      </c>
      <c r="B65">
        <f>SUMIF(RawData!$C:$C,$A65,RawData!F:F)</f>
        <v>0</v>
      </c>
      <c r="C65">
        <f>SUMIF(RawData!$C:$C,$A65,RawData!G:G)</f>
        <v>0</v>
      </c>
      <c r="D65">
        <f>SUMIF(RawData!$C:$C,$A65,RawData!H:H)</f>
        <v>0</v>
      </c>
      <c r="E65">
        <f>SUMIF(RawData!$C:$C,$A65,RawData!I:I)</f>
        <v>0</v>
      </c>
      <c r="F65">
        <f>SUMIF(RawData!$C:$C,$A65,RawData!J:J)</f>
        <v>0</v>
      </c>
      <c r="G65">
        <f>SUMIF(RawData!$C:$C,$A65,RawData!K:K)</f>
        <v>0</v>
      </c>
      <c r="H65">
        <f>SUMIF(RawData!$C:$C,$A65,RawData!L:L)</f>
        <v>0</v>
      </c>
      <c r="I65">
        <f>SUMIF(RawData!$C:$C,$A65,RawData!M:M)</f>
        <v>0</v>
      </c>
      <c r="J65">
        <f>SUMIF(RawData!$C:$C,$A65,RawData!N:N)</f>
        <v>0</v>
      </c>
      <c r="K65">
        <f>SUMIF(RawData!$C:$C,$A65,RawData!O:O)</f>
        <v>0</v>
      </c>
      <c r="L65">
        <f>SUMIF(RawData!$C:$C,$A65,RawData!P:P)</f>
        <v>0</v>
      </c>
      <c r="M65">
        <f>SUMIF(RawData!$C:$C,$A65,RawData!Q:Q)</f>
        <v>0</v>
      </c>
      <c r="N65">
        <f>SUMIF(RawData!$C:$C,$A65,RawData!R:R)</f>
        <v>0</v>
      </c>
      <c r="O65">
        <f>SUMIF(RawData!$C:$C,$A65,RawData!S:S)</f>
        <v>0</v>
      </c>
      <c r="P65">
        <f>SUMIF(RawData!$C:$C,$A65,RawData!T:T)</f>
        <v>0</v>
      </c>
      <c r="Q65">
        <f>SUMIF(RawData!$C:$C,$A65,RawData!U:U)</f>
        <v>0</v>
      </c>
      <c r="R65">
        <f>SUMIF(RawData!$C:$C,$A65,RawData!V:V)</f>
        <v>0</v>
      </c>
      <c r="S65">
        <f>SUMIF(RawData!$C:$C,$A65,RawData!W:W)</f>
        <v>0</v>
      </c>
      <c r="T65">
        <f>SUMIF(RawData!$C:$C,$A65,RawData!X:X)</f>
        <v>0</v>
      </c>
      <c r="U65">
        <f>SUMIF(RawData!$C:$C,$A65,RawData!Y:Y)</f>
        <v>0</v>
      </c>
      <c r="V65">
        <f>SUMIF(RawData!$C:$C,$A65,RawData!Z:Z)</f>
        <v>0</v>
      </c>
      <c r="W65">
        <f>SUMIF(RawData!$C:$C,$A65,RawData!AA:AA)</f>
        <v>0</v>
      </c>
      <c r="X65">
        <f>SUMIF(RawData!$C:$C,$A65,RawData!AB:AB)</f>
        <v>0</v>
      </c>
      <c r="Y65">
        <f>SUMIF(RawData!$C:$C,$A65,RawData!AC:AC)</f>
        <v>0</v>
      </c>
      <c r="Z65">
        <f>SUMIF(RawData!$C:$C,$A65,RawData!AD:AD)</f>
        <v>0</v>
      </c>
      <c r="AA65">
        <f>SUMIF(RawData!$C:$C,$A65,RawData!AE:AE)</f>
        <v>0</v>
      </c>
      <c r="AB65">
        <f>SUMIF(RawData!$C:$C,$A65,RawData!AF:AF)</f>
        <v>0</v>
      </c>
      <c r="AC65">
        <f>SUMIF(RawData!$C:$C,$A65,RawData!AG:AG)</f>
        <v>0</v>
      </c>
      <c r="AD65">
        <f>SUMIF(RawData!$C:$C,$A65,RawData!AH:AH)</f>
        <v>0</v>
      </c>
      <c r="AE65">
        <f>SUMIF(RawData!$C:$C,$A65,RawData!AI:AI)</f>
        <v>0</v>
      </c>
      <c r="AF65">
        <f>SUMIF(RawData!$C:$C,$A65,RawData!AJ:AJ)</f>
        <v>0</v>
      </c>
      <c r="AG65">
        <f>SUMIF(RawData!$C:$C,$A65,RawData!AK:AK)</f>
        <v>0</v>
      </c>
      <c r="AH65">
        <f>SUMIF(RawData!$C:$C,$A65,RawData!AL:AL)</f>
        <v>0</v>
      </c>
      <c r="AI65">
        <f>SUMIF(RawData!$C:$C,$A65,RawData!AM:AM)</f>
        <v>0</v>
      </c>
      <c r="AJ65">
        <f>SUMIF(RawData!$C:$C,$A65,RawData!AN:AN)</f>
        <v>0</v>
      </c>
      <c r="AK65">
        <f>SUMIF(RawData!$C:$C,$A65,RawData!AO:AO)</f>
        <v>1</v>
      </c>
      <c r="AL65">
        <f>SUMIF(RawData!$C:$C,$A65,RawData!AP:AP)</f>
        <v>1</v>
      </c>
      <c r="AM65">
        <f>SUMIF(RawData!$C:$C,$A65,RawData!AQ:AQ)</f>
        <v>1</v>
      </c>
      <c r="AN65">
        <f>SUMIF(RawData!$C:$C,$A65,RawData!AR:AR)</f>
        <v>1</v>
      </c>
      <c r="AO65">
        <f>SUMIF(RawData!$C:$C,$A65,RawData!AS:AS)</f>
        <v>3</v>
      </c>
      <c r="AP65">
        <f>SUMIF(RawData!$C:$C,$A65,RawData!AT:AT)</f>
        <v>3</v>
      </c>
      <c r="AQ65">
        <f>SUMIF(RawData!$C:$C,$A65,RawData!AU:AU)</f>
        <v>3</v>
      </c>
      <c r="AR65">
        <f>SUMIF(RawData!$C:$C,$A65,RawData!AV:AV)</f>
        <v>3</v>
      </c>
      <c r="AS65">
        <f>SUMIF(RawData!$C:$C,$A65,RawData!AW:AW)</f>
        <v>4</v>
      </c>
      <c r="AT65">
        <f>SUMIF(RawData!$C:$C,$A65,RawData!AX:AX)</f>
        <v>4</v>
      </c>
      <c r="AU65">
        <f>SUMIF(RawData!$C:$C,$A65,RawData!AY:AY)</f>
        <v>4</v>
      </c>
      <c r="AV65">
        <f>SUMIF(RawData!$C:$C,$A65,RawData!AZ:AZ)</f>
        <v>13</v>
      </c>
      <c r="AW65">
        <f>SUMIF(RawData!$C:$C,$A65,RawData!BA:BA)</f>
        <v>15</v>
      </c>
      <c r="AX65">
        <f>SUMIF(RawData!$C:$C,$A65,RawData!BB:BB)</f>
        <v>15</v>
      </c>
      <c r="AY65">
        <f>SUMIF(RawData!$C:$C,$A65,RawData!BC:BC)</f>
        <v>24</v>
      </c>
      <c r="AZ65">
        <f>SUMIF(RawData!$C:$C,$A65,RawData!BD:BD)</f>
        <v>24</v>
      </c>
      <c r="BA65">
        <f>SUMIF(RawData!$C:$C,$A65,RawData!BE:BE)</f>
        <v>25</v>
      </c>
      <c r="BB65">
        <f>SUMIF(RawData!$C:$C,$A65,RawData!BF:BF)</f>
        <v>30</v>
      </c>
      <c r="BC65">
        <f>SUMIF(RawData!$C:$C,$A65,RawData!BG:BG)</f>
        <v>33</v>
      </c>
      <c r="BD65">
        <f>SUMIF(RawData!$C:$C,$A65,RawData!BH:BH)</f>
        <v>33</v>
      </c>
      <c r="BE65">
        <f>SUMIF(RawData!$C:$C,$A65,RawData!BI:BI)</f>
        <v>0</v>
      </c>
      <c r="BF65">
        <f>SUMIF(RawData!$C:$C,$A65,RawData!BJ:BJ)</f>
        <v>0</v>
      </c>
      <c r="BG65">
        <f>SUMIF(RawData!$C:$C,$A65,RawData!BK:BK)</f>
        <v>0</v>
      </c>
      <c r="BH65">
        <f>SUMIF(RawData!$C:$C,$A65,RawData!BL:BL)</f>
        <v>0</v>
      </c>
      <c r="BI65">
        <f>SUMIF(RawData!$C:$C,$A65,RawData!BM:BM)</f>
        <v>0</v>
      </c>
      <c r="BJ65">
        <f>SUMIF(RawData!$C:$C,$A65,RawData!BN:BN)</f>
        <v>0</v>
      </c>
      <c r="BK65">
        <f>SUMIF(RawData!$C:$C,$A65,RawData!BO:BO)</f>
        <v>0</v>
      </c>
      <c r="BL65">
        <f>SUMIF(RawData!$C:$C,$A65,RawData!BP:BP)</f>
        <v>0</v>
      </c>
      <c r="BM65">
        <f>SUMIF(RawData!$C:$C,$A65,RawData!BQ:BQ)</f>
        <v>0</v>
      </c>
      <c r="BN65">
        <f>SUMIF(RawData!$C:$C,$A65,RawData!BR:BR)</f>
        <v>0</v>
      </c>
      <c r="BO65">
        <f>SUMIF(RawData!$C:$C,$A65,RawData!BS:BS)</f>
        <v>0</v>
      </c>
      <c r="BP65">
        <f>SUMIF(RawData!$C:$C,$A65,RawData!BT:BT)</f>
        <v>0</v>
      </c>
      <c r="BQ65">
        <f>SUMIF(RawData!$C:$C,$A65,RawData!BU:BU)</f>
        <v>0</v>
      </c>
      <c r="BR65">
        <f>SUMIF(RawData!$C:$C,$A65,RawData!BV:BV)</f>
        <v>0</v>
      </c>
      <c r="BS65">
        <f>SUMIF(RawData!$C:$C,$A65,RawData!BW:BW)</f>
        <v>0</v>
      </c>
      <c r="BT65">
        <f>SUMIF(RawData!$C:$C,$A65,RawData!BX:BX)</f>
        <v>0</v>
      </c>
    </row>
    <row r="66" spans="1:72" ht="15" thickBot="1" x14ac:dyDescent="0.35">
      <c r="A66" s="4" t="s">
        <v>172</v>
      </c>
      <c r="B66">
        <f>SUMIF(RawData!$C:$C,$A66,RawData!F:F)</f>
        <v>0</v>
      </c>
      <c r="C66">
        <f>SUMIF(RawData!$C:$C,$A66,RawData!G:G)</f>
        <v>0</v>
      </c>
      <c r="D66">
        <f>SUMIF(RawData!$C:$C,$A66,RawData!H:H)</f>
        <v>0</v>
      </c>
      <c r="E66">
        <f>SUMIF(RawData!$C:$C,$A66,RawData!I:I)</f>
        <v>0</v>
      </c>
      <c r="F66">
        <f>SUMIF(RawData!$C:$C,$A66,RawData!J:J)</f>
        <v>0</v>
      </c>
      <c r="G66">
        <f>SUMIF(RawData!$C:$C,$A66,RawData!K:K)</f>
        <v>0</v>
      </c>
      <c r="H66">
        <f>SUMIF(RawData!$C:$C,$A66,RawData!L:L)</f>
        <v>0</v>
      </c>
      <c r="I66">
        <f>SUMIF(RawData!$C:$C,$A66,RawData!M:M)</f>
        <v>0</v>
      </c>
      <c r="J66">
        <f>SUMIF(RawData!$C:$C,$A66,RawData!N:N)</f>
        <v>0</v>
      </c>
      <c r="K66">
        <f>SUMIF(RawData!$C:$C,$A66,RawData!O:O)</f>
        <v>0</v>
      </c>
      <c r="L66">
        <f>SUMIF(RawData!$C:$C,$A66,RawData!P:P)</f>
        <v>0</v>
      </c>
      <c r="M66">
        <f>SUMIF(RawData!$C:$C,$A66,RawData!Q:Q)</f>
        <v>0</v>
      </c>
      <c r="N66">
        <f>SUMIF(RawData!$C:$C,$A66,RawData!R:R)</f>
        <v>0</v>
      </c>
      <c r="O66">
        <f>SUMIF(RawData!$C:$C,$A66,RawData!S:S)</f>
        <v>0</v>
      </c>
      <c r="P66">
        <f>SUMIF(RawData!$C:$C,$A66,RawData!T:T)</f>
        <v>0</v>
      </c>
      <c r="Q66">
        <f>SUMIF(RawData!$C:$C,$A66,RawData!U:U)</f>
        <v>0</v>
      </c>
      <c r="R66">
        <f>SUMIF(RawData!$C:$C,$A66,RawData!V:V)</f>
        <v>0</v>
      </c>
      <c r="S66">
        <f>SUMIF(RawData!$C:$C,$A66,RawData!W:W)</f>
        <v>0</v>
      </c>
      <c r="T66">
        <f>SUMIF(RawData!$C:$C,$A66,RawData!X:X)</f>
        <v>0</v>
      </c>
      <c r="U66">
        <f>SUMIF(RawData!$C:$C,$A66,RawData!Y:Y)</f>
        <v>0</v>
      </c>
      <c r="V66">
        <f>SUMIF(RawData!$C:$C,$A66,RawData!Z:Z)</f>
        <v>0</v>
      </c>
      <c r="W66">
        <f>SUMIF(RawData!$C:$C,$A66,RawData!AA:AA)</f>
        <v>0</v>
      </c>
      <c r="X66">
        <f>SUMIF(RawData!$C:$C,$A66,RawData!AB:AB)</f>
        <v>0</v>
      </c>
      <c r="Y66">
        <f>SUMIF(RawData!$C:$C,$A66,RawData!AC:AC)</f>
        <v>0</v>
      </c>
      <c r="Z66">
        <f>SUMIF(RawData!$C:$C,$A66,RawData!AD:AD)</f>
        <v>0</v>
      </c>
      <c r="AA66">
        <f>SUMIF(RawData!$C:$C,$A66,RawData!AE:AE)</f>
        <v>0</v>
      </c>
      <c r="AB66">
        <f>SUMIF(RawData!$C:$C,$A66,RawData!AF:AF)</f>
        <v>0</v>
      </c>
      <c r="AC66">
        <f>SUMIF(RawData!$C:$C,$A66,RawData!AG:AG)</f>
        <v>0</v>
      </c>
      <c r="AD66">
        <f>SUMIF(RawData!$C:$C,$A66,RawData!AH:AH)</f>
        <v>0</v>
      </c>
      <c r="AE66">
        <f>SUMIF(RawData!$C:$C,$A66,RawData!AI:AI)</f>
        <v>0</v>
      </c>
      <c r="AF66">
        <f>SUMIF(RawData!$C:$C,$A66,RawData!AJ:AJ)</f>
        <v>0</v>
      </c>
      <c r="AG66">
        <f>SUMIF(RawData!$C:$C,$A66,RawData!AK:AK)</f>
        <v>0</v>
      </c>
      <c r="AH66">
        <f>SUMIF(RawData!$C:$C,$A66,RawData!AL:AL)</f>
        <v>0</v>
      </c>
      <c r="AI66">
        <f>SUMIF(RawData!$C:$C,$A66,RawData!AM:AM)</f>
        <v>0</v>
      </c>
      <c r="AJ66">
        <f>SUMIF(RawData!$C:$C,$A66,RawData!AN:AN)</f>
        <v>0</v>
      </c>
      <c r="AK66">
        <f>SUMIF(RawData!$C:$C,$A66,RawData!AO:AO)</f>
        <v>0</v>
      </c>
      <c r="AL66">
        <f>SUMIF(RawData!$C:$C,$A66,RawData!AP:AP)</f>
        <v>0</v>
      </c>
      <c r="AM66">
        <f>SUMIF(RawData!$C:$C,$A66,RawData!AQ:AQ)</f>
        <v>0</v>
      </c>
      <c r="AN66">
        <f>SUMIF(RawData!$C:$C,$A66,RawData!AR:AR)</f>
        <v>0</v>
      </c>
      <c r="AO66">
        <f>SUMIF(RawData!$C:$C,$A66,RawData!AS:AS)</f>
        <v>0</v>
      </c>
      <c r="AP66">
        <f>SUMIF(RawData!$C:$C,$A66,RawData!AT:AT)</f>
        <v>0</v>
      </c>
      <c r="AQ66">
        <f>SUMIF(RawData!$C:$C,$A66,RawData!AU:AU)</f>
        <v>0</v>
      </c>
      <c r="AR66">
        <f>SUMIF(RawData!$C:$C,$A66,RawData!AV:AV)</f>
        <v>0</v>
      </c>
      <c r="AS66">
        <f>SUMIF(RawData!$C:$C,$A66,RawData!AW:AW)</f>
        <v>1</v>
      </c>
      <c r="AT66">
        <f>SUMIF(RawData!$C:$C,$A66,RawData!AX:AX)</f>
        <v>1</v>
      </c>
      <c r="AU66">
        <f>SUMIF(RawData!$C:$C,$A66,RawData!AY:AY)</f>
        <v>1</v>
      </c>
      <c r="AV66">
        <f>SUMIF(RawData!$C:$C,$A66,RawData!AZ:AZ)</f>
        <v>3</v>
      </c>
      <c r="AW66">
        <f>SUMIF(RawData!$C:$C,$A66,RawData!BA:BA)</f>
        <v>3</v>
      </c>
      <c r="AX66">
        <f>SUMIF(RawData!$C:$C,$A66,RawData!BB:BB)</f>
        <v>7</v>
      </c>
      <c r="AY66">
        <f>SUMIF(RawData!$C:$C,$A66,RawData!BC:BC)</f>
        <v>13</v>
      </c>
      <c r="AZ66">
        <f>SUMIF(RawData!$C:$C,$A66,RawData!BD:BD)</f>
        <v>17</v>
      </c>
      <c r="BA66">
        <f>SUMIF(RawData!$C:$C,$A66,RawData!BE:BE)</f>
        <v>24</v>
      </c>
      <c r="BB66">
        <f>SUMIF(RawData!$C:$C,$A66,RawData!BF:BF)</f>
        <v>38</v>
      </c>
      <c r="BC66">
        <f>SUMIF(RawData!$C:$C,$A66,RawData!BG:BG)</f>
        <v>51</v>
      </c>
      <c r="BD66">
        <f>SUMIF(RawData!$C:$C,$A66,RawData!BH:BH)</f>
        <v>62</v>
      </c>
      <c r="BE66">
        <f>SUMIF(RawData!$C:$C,$A66,RawData!BI:BI)</f>
        <v>0</v>
      </c>
      <c r="BF66">
        <f>SUMIF(RawData!$C:$C,$A66,RawData!BJ:BJ)</f>
        <v>0</v>
      </c>
      <c r="BG66">
        <f>SUMIF(RawData!$C:$C,$A66,RawData!BK:BK)</f>
        <v>0</v>
      </c>
      <c r="BH66">
        <f>SUMIF(RawData!$C:$C,$A66,RawData!BL:BL)</f>
        <v>0</v>
      </c>
      <c r="BI66">
        <f>SUMIF(RawData!$C:$C,$A66,RawData!BM:BM)</f>
        <v>0</v>
      </c>
      <c r="BJ66">
        <f>SUMIF(RawData!$C:$C,$A66,RawData!BN:BN)</f>
        <v>0</v>
      </c>
      <c r="BK66">
        <f>SUMIF(RawData!$C:$C,$A66,RawData!BO:BO)</f>
        <v>0</v>
      </c>
      <c r="BL66">
        <f>SUMIF(RawData!$C:$C,$A66,RawData!BP:BP)</f>
        <v>0</v>
      </c>
      <c r="BM66">
        <f>SUMIF(RawData!$C:$C,$A66,RawData!BQ:BQ)</f>
        <v>0</v>
      </c>
      <c r="BN66">
        <f>SUMIF(RawData!$C:$C,$A66,RawData!BR:BR)</f>
        <v>0</v>
      </c>
      <c r="BO66">
        <f>SUMIF(RawData!$C:$C,$A66,RawData!BS:BS)</f>
        <v>0</v>
      </c>
      <c r="BP66">
        <f>SUMIF(RawData!$C:$C,$A66,RawData!BT:BT)</f>
        <v>0</v>
      </c>
      <c r="BQ66">
        <f>SUMIF(RawData!$C:$C,$A66,RawData!BU:BU)</f>
        <v>0</v>
      </c>
      <c r="BR66">
        <f>SUMIF(RawData!$C:$C,$A66,RawData!BV:BV)</f>
        <v>0</v>
      </c>
      <c r="BS66">
        <f>SUMIF(RawData!$C:$C,$A66,RawData!BW:BW)</f>
        <v>0</v>
      </c>
      <c r="BT66">
        <f>SUMIF(RawData!$C:$C,$A66,RawData!BX:BX)</f>
        <v>0</v>
      </c>
    </row>
    <row r="67" spans="1:72" ht="15" thickBot="1" x14ac:dyDescent="0.35">
      <c r="A67" s="4" t="s">
        <v>226</v>
      </c>
      <c r="B67">
        <f>SUMIF(RawData!$C:$C,$A67,RawData!F:F)</f>
        <v>0</v>
      </c>
      <c r="C67">
        <f>SUMIF(RawData!$C:$C,$A67,RawData!G:G)</f>
        <v>0</v>
      </c>
      <c r="D67">
        <f>SUMIF(RawData!$C:$C,$A67,RawData!H:H)</f>
        <v>0</v>
      </c>
      <c r="E67">
        <f>SUMIF(RawData!$C:$C,$A67,RawData!I:I)</f>
        <v>0</v>
      </c>
      <c r="F67">
        <f>SUMIF(RawData!$C:$C,$A67,RawData!J:J)</f>
        <v>0</v>
      </c>
      <c r="G67">
        <f>SUMIF(RawData!$C:$C,$A67,RawData!K:K)</f>
        <v>0</v>
      </c>
      <c r="H67">
        <f>SUMIF(RawData!$C:$C,$A67,RawData!L:L)</f>
        <v>0</v>
      </c>
      <c r="I67">
        <f>SUMIF(RawData!$C:$C,$A67,RawData!M:M)</f>
        <v>0</v>
      </c>
      <c r="J67">
        <f>SUMIF(RawData!$C:$C,$A67,RawData!N:N)</f>
        <v>0</v>
      </c>
      <c r="K67">
        <f>SUMIF(RawData!$C:$C,$A67,RawData!O:O)</f>
        <v>0</v>
      </c>
      <c r="L67">
        <f>SUMIF(RawData!$C:$C,$A67,RawData!P:P)</f>
        <v>0</v>
      </c>
      <c r="M67">
        <f>SUMIF(RawData!$C:$C,$A67,RawData!Q:Q)</f>
        <v>0</v>
      </c>
      <c r="N67">
        <f>SUMIF(RawData!$C:$C,$A67,RawData!R:R)</f>
        <v>0</v>
      </c>
      <c r="O67">
        <f>SUMIF(RawData!$C:$C,$A67,RawData!S:S)</f>
        <v>0</v>
      </c>
      <c r="P67">
        <f>SUMIF(RawData!$C:$C,$A67,RawData!T:T)</f>
        <v>0</v>
      </c>
      <c r="Q67">
        <f>SUMIF(RawData!$C:$C,$A67,RawData!U:U)</f>
        <v>0</v>
      </c>
      <c r="R67">
        <f>SUMIF(RawData!$C:$C,$A67,RawData!V:V)</f>
        <v>0</v>
      </c>
      <c r="S67">
        <f>SUMIF(RawData!$C:$C,$A67,RawData!W:W)</f>
        <v>0</v>
      </c>
      <c r="T67">
        <f>SUMIF(RawData!$C:$C,$A67,RawData!X:X)</f>
        <v>0</v>
      </c>
      <c r="U67">
        <f>SUMIF(RawData!$C:$C,$A67,RawData!Y:Y)</f>
        <v>0</v>
      </c>
      <c r="V67">
        <f>SUMIF(RawData!$C:$C,$A67,RawData!Z:Z)</f>
        <v>0</v>
      </c>
      <c r="W67">
        <f>SUMIF(RawData!$C:$C,$A67,RawData!AA:AA)</f>
        <v>0</v>
      </c>
      <c r="X67">
        <f>SUMIF(RawData!$C:$C,$A67,RawData!AB:AB)</f>
        <v>0</v>
      </c>
      <c r="Y67">
        <f>SUMIF(RawData!$C:$C,$A67,RawData!AC:AC)</f>
        <v>0</v>
      </c>
      <c r="Z67">
        <f>SUMIF(RawData!$C:$C,$A67,RawData!AD:AD)</f>
        <v>0</v>
      </c>
      <c r="AA67">
        <f>SUMIF(RawData!$C:$C,$A67,RawData!AE:AE)</f>
        <v>0</v>
      </c>
      <c r="AB67">
        <f>SUMIF(RawData!$C:$C,$A67,RawData!AF:AF)</f>
        <v>0</v>
      </c>
      <c r="AC67">
        <f>SUMIF(RawData!$C:$C,$A67,RawData!AG:AG)</f>
        <v>0</v>
      </c>
      <c r="AD67">
        <f>SUMIF(RawData!$C:$C,$A67,RawData!AH:AH)</f>
        <v>0</v>
      </c>
      <c r="AE67">
        <f>SUMIF(RawData!$C:$C,$A67,RawData!AI:AI)</f>
        <v>0</v>
      </c>
      <c r="AF67">
        <f>SUMIF(RawData!$C:$C,$A67,RawData!AJ:AJ)</f>
        <v>0</v>
      </c>
      <c r="AG67">
        <f>SUMIF(RawData!$C:$C,$A67,RawData!AK:AK)</f>
        <v>0</v>
      </c>
      <c r="AH67">
        <f>SUMIF(RawData!$C:$C,$A67,RawData!AL:AL)</f>
        <v>0</v>
      </c>
      <c r="AI67">
        <f>SUMIF(RawData!$C:$C,$A67,RawData!AM:AM)</f>
        <v>0</v>
      </c>
      <c r="AJ67">
        <f>SUMIF(RawData!$C:$C,$A67,RawData!AN:AN)</f>
        <v>0</v>
      </c>
      <c r="AK67">
        <f>SUMIF(RawData!$C:$C,$A67,RawData!AO:AO)</f>
        <v>0</v>
      </c>
      <c r="AL67">
        <f>SUMIF(RawData!$C:$C,$A67,RawData!AP:AP)</f>
        <v>0</v>
      </c>
      <c r="AM67">
        <f>SUMIF(RawData!$C:$C,$A67,RawData!AQ:AQ)</f>
        <v>0</v>
      </c>
      <c r="AN67">
        <f>SUMIF(RawData!$C:$C,$A67,RawData!AR:AR)</f>
        <v>0</v>
      </c>
      <c r="AO67">
        <f>SUMIF(RawData!$C:$C,$A67,RawData!AS:AS)</f>
        <v>0</v>
      </c>
      <c r="AP67">
        <f>SUMIF(RawData!$C:$C,$A67,RawData!AT:AT)</f>
        <v>0</v>
      </c>
      <c r="AQ67">
        <f>SUMIF(RawData!$C:$C,$A67,RawData!AU:AU)</f>
        <v>0</v>
      </c>
      <c r="AR67">
        <f>SUMIF(RawData!$C:$C,$A67,RawData!AV:AV)</f>
        <v>0</v>
      </c>
      <c r="AS67">
        <f>SUMIF(RawData!$C:$C,$A67,RawData!AW:AW)</f>
        <v>0</v>
      </c>
      <c r="AT67">
        <f>SUMIF(RawData!$C:$C,$A67,RawData!AX:AX)</f>
        <v>0</v>
      </c>
      <c r="AU67">
        <f>SUMIF(RawData!$C:$C,$A67,RawData!AY:AY)</f>
        <v>0</v>
      </c>
      <c r="AV67">
        <f>SUMIF(RawData!$C:$C,$A67,RawData!AZ:AZ)</f>
        <v>4</v>
      </c>
      <c r="AW67">
        <f>SUMIF(RawData!$C:$C,$A67,RawData!BA:BA)</f>
        <v>4</v>
      </c>
      <c r="AX67">
        <f>SUMIF(RawData!$C:$C,$A67,RawData!BB:BB)</f>
        <v>4</v>
      </c>
      <c r="AY67">
        <f>SUMIF(RawData!$C:$C,$A67,RawData!BC:BC)</f>
        <v>7</v>
      </c>
      <c r="AZ67">
        <f>SUMIF(RawData!$C:$C,$A67,RawData!BD:BD)</f>
        <v>7</v>
      </c>
      <c r="BA67">
        <f>SUMIF(RawData!$C:$C,$A67,RawData!BE:BE)</f>
        <v>23</v>
      </c>
      <c r="BB67">
        <f>SUMIF(RawData!$C:$C,$A67,RawData!BF:BF)</f>
        <v>41</v>
      </c>
      <c r="BC67">
        <f>SUMIF(RawData!$C:$C,$A67,RawData!BG:BG)</f>
        <v>51</v>
      </c>
      <c r="BD67">
        <f>SUMIF(RawData!$C:$C,$A67,RawData!BH:BH)</f>
        <v>52</v>
      </c>
      <c r="BE67">
        <f>SUMIF(RawData!$C:$C,$A67,RawData!BI:BI)</f>
        <v>0</v>
      </c>
      <c r="BF67">
        <f>SUMIF(RawData!$C:$C,$A67,RawData!BJ:BJ)</f>
        <v>0</v>
      </c>
      <c r="BG67">
        <f>SUMIF(RawData!$C:$C,$A67,RawData!BK:BK)</f>
        <v>0</v>
      </c>
      <c r="BH67">
        <f>SUMIF(RawData!$C:$C,$A67,RawData!BL:BL)</f>
        <v>0</v>
      </c>
      <c r="BI67">
        <f>SUMIF(RawData!$C:$C,$A67,RawData!BM:BM)</f>
        <v>0</v>
      </c>
      <c r="BJ67">
        <f>SUMIF(RawData!$C:$C,$A67,RawData!BN:BN)</f>
        <v>0</v>
      </c>
      <c r="BK67">
        <f>SUMIF(RawData!$C:$C,$A67,RawData!BO:BO)</f>
        <v>0</v>
      </c>
      <c r="BL67">
        <f>SUMIF(RawData!$C:$C,$A67,RawData!BP:BP)</f>
        <v>0</v>
      </c>
      <c r="BM67">
        <f>SUMIF(RawData!$C:$C,$A67,RawData!BQ:BQ)</f>
        <v>0</v>
      </c>
      <c r="BN67">
        <f>SUMIF(RawData!$C:$C,$A67,RawData!BR:BR)</f>
        <v>0</v>
      </c>
      <c r="BO67">
        <f>SUMIF(RawData!$C:$C,$A67,RawData!BS:BS)</f>
        <v>0</v>
      </c>
      <c r="BP67">
        <f>SUMIF(RawData!$C:$C,$A67,RawData!BT:BT)</f>
        <v>0</v>
      </c>
      <c r="BQ67">
        <f>SUMIF(RawData!$C:$C,$A67,RawData!BU:BU)</f>
        <v>0</v>
      </c>
      <c r="BR67">
        <f>SUMIF(RawData!$C:$C,$A67,RawData!BV:BV)</f>
        <v>0</v>
      </c>
      <c r="BS67">
        <f>SUMIF(RawData!$C:$C,$A67,RawData!BW:BW)</f>
        <v>0</v>
      </c>
      <c r="BT67">
        <f>SUMIF(RawData!$C:$C,$A67,RawData!BX:BX)</f>
        <v>0</v>
      </c>
    </row>
    <row r="68" spans="1:72" ht="15" thickBot="1" x14ac:dyDescent="0.35">
      <c r="A68" s="4" t="s">
        <v>186</v>
      </c>
      <c r="B68">
        <f>SUMIF(RawData!$C:$C,$A68,RawData!F:F)</f>
        <v>0</v>
      </c>
      <c r="C68">
        <f>SUMIF(RawData!$C:$C,$A68,RawData!G:G)</f>
        <v>0</v>
      </c>
      <c r="D68">
        <f>SUMIF(RawData!$C:$C,$A68,RawData!H:H)</f>
        <v>0</v>
      </c>
      <c r="E68">
        <f>SUMIF(RawData!$C:$C,$A68,RawData!I:I)</f>
        <v>0</v>
      </c>
      <c r="F68">
        <f>SUMIF(RawData!$C:$C,$A68,RawData!J:J)</f>
        <v>0</v>
      </c>
      <c r="G68">
        <f>SUMIF(RawData!$C:$C,$A68,RawData!K:K)</f>
        <v>0</v>
      </c>
      <c r="H68">
        <f>SUMIF(RawData!$C:$C,$A68,RawData!L:L)</f>
        <v>0</v>
      </c>
      <c r="I68">
        <f>SUMIF(RawData!$C:$C,$A68,RawData!M:M)</f>
        <v>0</v>
      </c>
      <c r="J68">
        <f>SUMIF(RawData!$C:$C,$A68,RawData!N:N)</f>
        <v>0</v>
      </c>
      <c r="K68">
        <f>SUMIF(RawData!$C:$C,$A68,RawData!O:O)</f>
        <v>0</v>
      </c>
      <c r="L68">
        <f>SUMIF(RawData!$C:$C,$A68,RawData!P:P)</f>
        <v>0</v>
      </c>
      <c r="M68">
        <f>SUMIF(RawData!$C:$C,$A68,RawData!Q:Q)</f>
        <v>0</v>
      </c>
      <c r="N68">
        <f>SUMIF(RawData!$C:$C,$A68,RawData!R:R)</f>
        <v>0</v>
      </c>
      <c r="O68">
        <f>SUMIF(RawData!$C:$C,$A68,RawData!S:S)</f>
        <v>0</v>
      </c>
      <c r="P68">
        <f>SUMIF(RawData!$C:$C,$A68,RawData!T:T)</f>
        <v>0</v>
      </c>
      <c r="Q68">
        <f>SUMIF(RawData!$C:$C,$A68,RawData!U:U)</f>
        <v>0</v>
      </c>
      <c r="R68">
        <f>SUMIF(RawData!$C:$C,$A68,RawData!V:V)</f>
        <v>0</v>
      </c>
      <c r="S68">
        <f>SUMIF(RawData!$C:$C,$A68,RawData!W:W)</f>
        <v>0</v>
      </c>
      <c r="T68">
        <f>SUMIF(RawData!$C:$C,$A68,RawData!X:X)</f>
        <v>0</v>
      </c>
      <c r="U68">
        <f>SUMIF(RawData!$C:$C,$A68,RawData!Y:Y)</f>
        <v>0</v>
      </c>
      <c r="V68">
        <f>SUMIF(RawData!$C:$C,$A68,RawData!Z:Z)</f>
        <v>0</v>
      </c>
      <c r="W68">
        <f>SUMIF(RawData!$C:$C,$A68,RawData!AA:AA)</f>
        <v>0</v>
      </c>
      <c r="X68">
        <f>SUMIF(RawData!$C:$C,$A68,RawData!AB:AB)</f>
        <v>0</v>
      </c>
      <c r="Y68">
        <f>SUMIF(RawData!$C:$C,$A68,RawData!AC:AC)</f>
        <v>0</v>
      </c>
      <c r="Z68">
        <f>SUMIF(RawData!$C:$C,$A68,RawData!AD:AD)</f>
        <v>0</v>
      </c>
      <c r="AA68">
        <f>SUMIF(RawData!$C:$C,$A68,RawData!AE:AE)</f>
        <v>0</v>
      </c>
      <c r="AB68">
        <f>SUMIF(RawData!$C:$C,$A68,RawData!AF:AF)</f>
        <v>0</v>
      </c>
      <c r="AC68">
        <f>SUMIF(RawData!$C:$C,$A68,RawData!AG:AG)</f>
        <v>0</v>
      </c>
      <c r="AD68">
        <f>SUMIF(RawData!$C:$C,$A68,RawData!AH:AH)</f>
        <v>0</v>
      </c>
      <c r="AE68">
        <f>SUMIF(RawData!$C:$C,$A68,RawData!AI:AI)</f>
        <v>0</v>
      </c>
      <c r="AF68">
        <f>SUMIF(RawData!$C:$C,$A68,RawData!AJ:AJ)</f>
        <v>0</v>
      </c>
      <c r="AG68">
        <f>SUMIF(RawData!$C:$C,$A68,RawData!AK:AK)</f>
        <v>0</v>
      </c>
      <c r="AH68">
        <f>SUMIF(RawData!$C:$C,$A68,RawData!AL:AL)</f>
        <v>0</v>
      </c>
      <c r="AI68">
        <f>SUMIF(RawData!$C:$C,$A68,RawData!AM:AM)</f>
        <v>0</v>
      </c>
      <c r="AJ68">
        <f>SUMIF(RawData!$C:$C,$A68,RawData!AN:AN)</f>
        <v>0</v>
      </c>
      <c r="AK68">
        <f>SUMIF(RawData!$C:$C,$A68,RawData!AO:AO)</f>
        <v>0</v>
      </c>
      <c r="AL68">
        <f>SUMIF(RawData!$C:$C,$A68,RawData!AP:AP)</f>
        <v>0</v>
      </c>
      <c r="AM68">
        <f>SUMIF(RawData!$C:$C,$A68,RawData!AQ:AQ)</f>
        <v>0</v>
      </c>
      <c r="AN68">
        <f>SUMIF(RawData!$C:$C,$A68,RawData!AR:AR)</f>
        <v>0</v>
      </c>
      <c r="AO68">
        <f>SUMIF(RawData!$C:$C,$A68,RawData!AS:AS)</f>
        <v>0</v>
      </c>
      <c r="AP68">
        <f>SUMIF(RawData!$C:$C,$A68,RawData!AT:AT)</f>
        <v>0</v>
      </c>
      <c r="AQ68">
        <f>SUMIF(RawData!$C:$C,$A68,RawData!AU:AU)</f>
        <v>0</v>
      </c>
      <c r="AR68">
        <f>SUMIF(RawData!$C:$C,$A68,RawData!AV:AV)</f>
        <v>0</v>
      </c>
      <c r="AS68">
        <f>SUMIF(RawData!$C:$C,$A68,RawData!AW:AW)</f>
        <v>0</v>
      </c>
      <c r="AT68">
        <f>SUMIF(RawData!$C:$C,$A68,RawData!AX:AX)</f>
        <v>1</v>
      </c>
      <c r="AU68">
        <f>SUMIF(RawData!$C:$C,$A68,RawData!AY:AY)</f>
        <v>1</v>
      </c>
      <c r="AV68">
        <f>SUMIF(RawData!$C:$C,$A68,RawData!AZ:AZ)</f>
        <v>5</v>
      </c>
      <c r="AW68">
        <f>SUMIF(RawData!$C:$C,$A68,RawData!BA:BA)</f>
        <v>9</v>
      </c>
      <c r="AX68">
        <f>SUMIF(RawData!$C:$C,$A68,RawData!BB:BB)</f>
        <v>9</v>
      </c>
      <c r="AY68">
        <f>SUMIF(RawData!$C:$C,$A68,RawData!BC:BC)</f>
        <v>13</v>
      </c>
      <c r="AZ68">
        <f>SUMIF(RawData!$C:$C,$A68,RawData!BD:BD)</f>
        <v>22</v>
      </c>
      <c r="BA68">
        <f>SUMIF(RawData!$C:$C,$A68,RawData!BE:BE)</f>
        <v>23</v>
      </c>
      <c r="BB68">
        <f>SUMIF(RawData!$C:$C,$A68,RawData!BF:BF)</f>
        <v>26</v>
      </c>
      <c r="BC68">
        <f>SUMIF(RawData!$C:$C,$A68,RawData!BG:BG)</f>
        <v>27</v>
      </c>
      <c r="BD68">
        <f>SUMIF(RawData!$C:$C,$A68,RawData!BH:BH)</f>
        <v>35</v>
      </c>
      <c r="BE68">
        <f>SUMIF(RawData!$C:$C,$A68,RawData!BI:BI)</f>
        <v>0</v>
      </c>
      <c r="BF68">
        <f>SUMIF(RawData!$C:$C,$A68,RawData!BJ:BJ)</f>
        <v>0</v>
      </c>
      <c r="BG68">
        <f>SUMIF(RawData!$C:$C,$A68,RawData!BK:BK)</f>
        <v>0</v>
      </c>
      <c r="BH68">
        <f>SUMIF(RawData!$C:$C,$A68,RawData!BL:BL)</f>
        <v>0</v>
      </c>
      <c r="BI68">
        <f>SUMIF(RawData!$C:$C,$A68,RawData!BM:BM)</f>
        <v>0</v>
      </c>
      <c r="BJ68">
        <f>SUMIF(RawData!$C:$C,$A68,RawData!BN:BN)</f>
        <v>0</v>
      </c>
      <c r="BK68">
        <f>SUMIF(RawData!$C:$C,$A68,RawData!BO:BO)</f>
        <v>0</v>
      </c>
      <c r="BL68">
        <f>SUMIF(RawData!$C:$C,$A68,RawData!BP:BP)</f>
        <v>0</v>
      </c>
      <c r="BM68">
        <f>SUMIF(RawData!$C:$C,$A68,RawData!BQ:BQ)</f>
        <v>0</v>
      </c>
      <c r="BN68">
        <f>SUMIF(RawData!$C:$C,$A68,RawData!BR:BR)</f>
        <v>0</v>
      </c>
      <c r="BO68">
        <f>SUMIF(RawData!$C:$C,$A68,RawData!BS:BS)</f>
        <v>0</v>
      </c>
      <c r="BP68">
        <f>SUMIF(RawData!$C:$C,$A68,RawData!BT:BT)</f>
        <v>0</v>
      </c>
      <c r="BQ68">
        <f>SUMIF(RawData!$C:$C,$A68,RawData!BU:BU)</f>
        <v>0</v>
      </c>
      <c r="BR68">
        <f>SUMIF(RawData!$C:$C,$A68,RawData!BV:BV)</f>
        <v>0</v>
      </c>
      <c r="BS68">
        <f>SUMIF(RawData!$C:$C,$A68,RawData!BW:BW)</f>
        <v>0</v>
      </c>
      <c r="BT68">
        <f>SUMIF(RawData!$C:$C,$A68,RawData!BX:BX)</f>
        <v>0</v>
      </c>
    </row>
    <row r="69" spans="1:72" ht="15" thickBot="1" x14ac:dyDescent="0.35">
      <c r="A69" s="5" t="s">
        <v>159</v>
      </c>
      <c r="B69">
        <f>SUMIF(RawData!$C:$C,$A69,RawData!F:F)</f>
        <v>0</v>
      </c>
      <c r="C69">
        <f>SUMIF(RawData!$C:$C,$A69,RawData!G:G)</f>
        <v>0</v>
      </c>
      <c r="D69">
        <f>SUMIF(RawData!$C:$C,$A69,RawData!H:H)</f>
        <v>0</v>
      </c>
      <c r="E69">
        <f>SUMIF(RawData!$C:$C,$A69,RawData!I:I)</f>
        <v>0</v>
      </c>
      <c r="F69">
        <f>SUMIF(RawData!$C:$C,$A69,RawData!J:J)</f>
        <v>0</v>
      </c>
      <c r="G69">
        <f>SUMIF(RawData!$C:$C,$A69,RawData!K:K)</f>
        <v>0</v>
      </c>
      <c r="H69">
        <f>SUMIF(RawData!$C:$C,$A69,RawData!L:L)</f>
        <v>0</v>
      </c>
      <c r="I69">
        <f>SUMIF(RawData!$C:$C,$A69,RawData!M:M)</f>
        <v>0</v>
      </c>
      <c r="J69">
        <f>SUMIF(RawData!$C:$C,$A69,RawData!N:N)</f>
        <v>0</v>
      </c>
      <c r="K69">
        <f>SUMIF(RawData!$C:$C,$A69,RawData!O:O)</f>
        <v>0</v>
      </c>
      <c r="L69">
        <f>SUMIF(RawData!$C:$C,$A69,RawData!P:P)</f>
        <v>0</v>
      </c>
      <c r="M69">
        <f>SUMIF(RawData!$C:$C,$A69,RawData!Q:Q)</f>
        <v>0</v>
      </c>
      <c r="N69">
        <f>SUMIF(RawData!$C:$C,$A69,RawData!R:R)</f>
        <v>0</v>
      </c>
      <c r="O69">
        <f>SUMIF(RawData!$C:$C,$A69,RawData!S:S)</f>
        <v>0</v>
      </c>
      <c r="P69">
        <f>SUMIF(RawData!$C:$C,$A69,RawData!T:T)</f>
        <v>0</v>
      </c>
      <c r="Q69">
        <f>SUMIF(RawData!$C:$C,$A69,RawData!U:U)</f>
        <v>0</v>
      </c>
      <c r="R69">
        <f>SUMIF(RawData!$C:$C,$A69,RawData!V:V)</f>
        <v>0</v>
      </c>
      <c r="S69">
        <f>SUMIF(RawData!$C:$C,$A69,RawData!W:W)</f>
        <v>0</v>
      </c>
      <c r="T69">
        <f>SUMIF(RawData!$C:$C,$A69,RawData!X:X)</f>
        <v>0</v>
      </c>
      <c r="U69">
        <f>SUMIF(RawData!$C:$C,$A69,RawData!Y:Y)</f>
        <v>0</v>
      </c>
      <c r="V69">
        <f>SUMIF(RawData!$C:$C,$A69,RawData!Z:Z)</f>
        <v>0</v>
      </c>
      <c r="W69">
        <f>SUMIF(RawData!$C:$C,$A69,RawData!AA:AA)</f>
        <v>0</v>
      </c>
      <c r="X69">
        <f>SUMIF(RawData!$C:$C,$A69,RawData!AB:AB)</f>
        <v>0</v>
      </c>
      <c r="Y69">
        <f>SUMIF(RawData!$C:$C,$A69,RawData!AC:AC)</f>
        <v>0</v>
      </c>
      <c r="Z69">
        <f>SUMIF(RawData!$C:$C,$A69,RawData!AD:AD)</f>
        <v>0</v>
      </c>
      <c r="AA69">
        <f>SUMIF(RawData!$C:$C,$A69,RawData!AE:AE)</f>
        <v>0</v>
      </c>
      <c r="AB69">
        <f>SUMIF(RawData!$C:$C,$A69,RawData!AF:AF)</f>
        <v>0</v>
      </c>
      <c r="AC69">
        <f>SUMIF(RawData!$C:$C,$A69,RawData!AG:AG)</f>
        <v>0</v>
      </c>
      <c r="AD69">
        <f>SUMIF(RawData!$C:$C,$A69,RawData!AH:AH)</f>
        <v>0</v>
      </c>
      <c r="AE69">
        <f>SUMIF(RawData!$C:$C,$A69,RawData!AI:AI)</f>
        <v>0</v>
      </c>
      <c r="AF69">
        <f>SUMIF(RawData!$C:$C,$A69,RawData!AJ:AJ)</f>
        <v>0</v>
      </c>
      <c r="AG69">
        <f>SUMIF(RawData!$C:$C,$A69,RawData!AK:AK)</f>
        <v>0</v>
      </c>
      <c r="AH69">
        <f>SUMIF(RawData!$C:$C,$A69,RawData!AL:AL)</f>
        <v>0</v>
      </c>
      <c r="AI69">
        <f>SUMIF(RawData!$C:$C,$A69,RawData!AM:AM)</f>
        <v>0</v>
      </c>
      <c r="AJ69">
        <f>SUMIF(RawData!$C:$C,$A69,RawData!AN:AN)</f>
        <v>0</v>
      </c>
      <c r="AK69">
        <f>SUMIF(RawData!$C:$C,$A69,RawData!AO:AO)</f>
        <v>0</v>
      </c>
      <c r="AL69">
        <f>SUMIF(RawData!$C:$C,$A69,RawData!AP:AP)</f>
        <v>0</v>
      </c>
      <c r="AM69">
        <f>SUMIF(RawData!$C:$C,$A69,RawData!AQ:AQ)</f>
        <v>0</v>
      </c>
      <c r="AN69">
        <f>SUMIF(RawData!$C:$C,$A69,RawData!AR:AR)</f>
        <v>0</v>
      </c>
      <c r="AO69">
        <f>SUMIF(RawData!$C:$C,$A69,RawData!AS:AS)</f>
        <v>0</v>
      </c>
      <c r="AP69">
        <f>SUMIF(RawData!$C:$C,$A69,RawData!AT:AT)</f>
        <v>0</v>
      </c>
      <c r="AQ69">
        <f>SUMIF(RawData!$C:$C,$A69,RawData!AU:AU)</f>
        <v>0</v>
      </c>
      <c r="AR69">
        <f>SUMIF(RawData!$C:$C,$A69,RawData!AV:AV)</f>
        <v>2</v>
      </c>
      <c r="AS69">
        <f>SUMIF(RawData!$C:$C,$A69,RawData!AW:AW)</f>
        <v>2</v>
      </c>
      <c r="AT69">
        <f>SUMIF(RawData!$C:$C,$A69,RawData!AX:AX)</f>
        <v>2</v>
      </c>
      <c r="AU69">
        <f>SUMIF(RawData!$C:$C,$A69,RawData!AY:AY)</f>
        <v>4</v>
      </c>
      <c r="AV69">
        <f>SUMIF(RawData!$C:$C,$A69,RawData!AZ:AZ)</f>
        <v>7</v>
      </c>
      <c r="AW69">
        <f>SUMIF(RawData!$C:$C,$A69,RawData!BA:BA)</f>
        <v>9</v>
      </c>
      <c r="AX69">
        <f>SUMIF(RawData!$C:$C,$A69,RawData!BB:BB)</f>
        <v>9</v>
      </c>
      <c r="AY69">
        <f>SUMIF(RawData!$C:$C,$A69,RawData!BC:BC)</f>
        <v>13</v>
      </c>
      <c r="AZ69">
        <f>SUMIF(RawData!$C:$C,$A69,RawData!BD:BD)</f>
        <v>13</v>
      </c>
      <c r="BA69">
        <f>SUMIF(RawData!$C:$C,$A69,RawData!BE:BE)</f>
        <v>19</v>
      </c>
      <c r="BB69">
        <f>SUMIF(RawData!$C:$C,$A69,RawData!BF:BF)</f>
        <v>30</v>
      </c>
      <c r="BC69">
        <f>SUMIF(RawData!$C:$C,$A69,RawData!BG:BG)</f>
        <v>32</v>
      </c>
      <c r="BD69">
        <f>SUMIF(RawData!$C:$C,$A69,RawData!BH:BH)</f>
        <v>39</v>
      </c>
      <c r="BE69">
        <f>SUMIF(RawData!$C:$C,$A69,RawData!BI:BI)</f>
        <v>0</v>
      </c>
      <c r="BF69">
        <f>SUMIF(RawData!$C:$C,$A69,RawData!BJ:BJ)</f>
        <v>0</v>
      </c>
      <c r="BG69">
        <f>SUMIF(RawData!$C:$C,$A69,RawData!BK:BK)</f>
        <v>0</v>
      </c>
      <c r="BH69">
        <f>SUMIF(RawData!$C:$C,$A69,RawData!BL:BL)</f>
        <v>0</v>
      </c>
      <c r="BI69">
        <f>SUMIF(RawData!$C:$C,$A69,RawData!BM:BM)</f>
        <v>0</v>
      </c>
      <c r="BJ69">
        <f>SUMIF(RawData!$C:$C,$A69,RawData!BN:BN)</f>
        <v>0</v>
      </c>
      <c r="BK69">
        <f>SUMIF(RawData!$C:$C,$A69,RawData!BO:BO)</f>
        <v>0</v>
      </c>
      <c r="BL69">
        <f>SUMIF(RawData!$C:$C,$A69,RawData!BP:BP)</f>
        <v>0</v>
      </c>
      <c r="BM69">
        <f>SUMIF(RawData!$C:$C,$A69,RawData!BQ:BQ)</f>
        <v>0</v>
      </c>
      <c r="BN69">
        <f>SUMIF(RawData!$C:$C,$A69,RawData!BR:BR)</f>
        <v>0</v>
      </c>
      <c r="BO69">
        <f>SUMIF(RawData!$C:$C,$A69,RawData!BS:BS)</f>
        <v>0</v>
      </c>
      <c r="BP69">
        <f>SUMIF(RawData!$C:$C,$A69,RawData!BT:BT)</f>
        <v>0</v>
      </c>
      <c r="BQ69">
        <f>SUMIF(RawData!$C:$C,$A69,RawData!BU:BU)</f>
        <v>0</v>
      </c>
      <c r="BR69">
        <f>SUMIF(RawData!$C:$C,$A69,RawData!BV:BV)</f>
        <v>0</v>
      </c>
      <c r="BS69">
        <f>SUMIF(RawData!$C:$C,$A69,RawData!BW:BW)</f>
        <v>0</v>
      </c>
      <c r="BT69">
        <f>SUMIF(RawData!$C:$C,$A69,RawData!BX:BX)</f>
        <v>0</v>
      </c>
    </row>
    <row r="70" spans="1:72" ht="15" thickBot="1" x14ac:dyDescent="0.35">
      <c r="A70" s="5" t="s">
        <v>98</v>
      </c>
      <c r="B70">
        <f>SUMIF(RawData!$C:$C,$A70,RawData!F:F)</f>
        <v>0</v>
      </c>
      <c r="C70">
        <f>SUMIF(RawData!$C:$C,$A70,RawData!G:G)</f>
        <v>0</v>
      </c>
      <c r="D70">
        <f>SUMIF(RawData!$C:$C,$A70,RawData!H:H)</f>
        <v>0</v>
      </c>
      <c r="E70">
        <f>SUMIF(RawData!$C:$C,$A70,RawData!I:I)</f>
        <v>0</v>
      </c>
      <c r="F70">
        <f>SUMIF(RawData!$C:$C,$A70,RawData!J:J)</f>
        <v>0</v>
      </c>
      <c r="G70">
        <f>SUMIF(RawData!$C:$C,$A70,RawData!K:K)</f>
        <v>0</v>
      </c>
      <c r="H70">
        <f>SUMIF(RawData!$C:$C,$A70,RawData!L:L)</f>
        <v>0</v>
      </c>
      <c r="I70">
        <f>SUMIF(RawData!$C:$C,$A70,RawData!M:M)</f>
        <v>0</v>
      </c>
      <c r="J70">
        <f>SUMIF(RawData!$C:$C,$A70,RawData!N:N)</f>
        <v>0</v>
      </c>
      <c r="K70">
        <f>SUMIF(RawData!$C:$C,$A70,RawData!O:O)</f>
        <v>0</v>
      </c>
      <c r="L70">
        <f>SUMIF(RawData!$C:$C,$A70,RawData!P:P)</f>
        <v>0</v>
      </c>
      <c r="M70">
        <f>SUMIF(RawData!$C:$C,$A70,RawData!Q:Q)</f>
        <v>0</v>
      </c>
      <c r="N70">
        <f>SUMIF(RawData!$C:$C,$A70,RawData!R:R)</f>
        <v>0</v>
      </c>
      <c r="O70">
        <f>SUMIF(RawData!$C:$C,$A70,RawData!S:S)</f>
        <v>0</v>
      </c>
      <c r="P70">
        <f>SUMIF(RawData!$C:$C,$A70,RawData!T:T)</f>
        <v>0</v>
      </c>
      <c r="Q70">
        <f>SUMIF(RawData!$C:$C,$A70,RawData!U:U)</f>
        <v>0</v>
      </c>
      <c r="R70">
        <f>SUMIF(RawData!$C:$C,$A70,RawData!V:V)</f>
        <v>0</v>
      </c>
      <c r="S70">
        <f>SUMIF(RawData!$C:$C,$A70,RawData!W:W)</f>
        <v>0</v>
      </c>
      <c r="T70">
        <f>SUMIF(RawData!$C:$C,$A70,RawData!X:X)</f>
        <v>0</v>
      </c>
      <c r="U70">
        <f>SUMIF(RawData!$C:$C,$A70,RawData!Y:Y)</f>
        <v>0</v>
      </c>
      <c r="V70">
        <f>SUMIF(RawData!$C:$C,$A70,RawData!Z:Z)</f>
        <v>0</v>
      </c>
      <c r="W70">
        <f>SUMIF(RawData!$C:$C,$A70,RawData!AA:AA)</f>
        <v>0</v>
      </c>
      <c r="X70">
        <f>SUMIF(RawData!$C:$C,$A70,RawData!AB:AB)</f>
        <v>0</v>
      </c>
      <c r="Y70">
        <f>SUMIF(RawData!$C:$C,$A70,RawData!AC:AC)</f>
        <v>0</v>
      </c>
      <c r="Z70">
        <f>SUMIF(RawData!$C:$C,$A70,RawData!AD:AD)</f>
        <v>0</v>
      </c>
      <c r="AA70">
        <f>SUMIF(RawData!$C:$C,$A70,RawData!AE:AE)</f>
        <v>0</v>
      </c>
      <c r="AB70">
        <f>SUMIF(RawData!$C:$C,$A70,RawData!AF:AF)</f>
        <v>0</v>
      </c>
      <c r="AC70">
        <f>SUMIF(RawData!$C:$C,$A70,RawData!AG:AG)</f>
        <v>0</v>
      </c>
      <c r="AD70">
        <f>SUMIF(RawData!$C:$C,$A70,RawData!AH:AH)</f>
        <v>0</v>
      </c>
      <c r="AE70">
        <f>SUMIF(RawData!$C:$C,$A70,RawData!AI:AI)</f>
        <v>0</v>
      </c>
      <c r="AF70">
        <f>SUMIF(RawData!$C:$C,$A70,RawData!AJ:AJ)</f>
        <v>0</v>
      </c>
      <c r="AG70">
        <f>SUMIF(RawData!$C:$C,$A70,RawData!AK:AK)</f>
        <v>0</v>
      </c>
      <c r="AH70">
        <f>SUMIF(RawData!$C:$C,$A70,RawData!AL:AL)</f>
        <v>0</v>
      </c>
      <c r="AI70">
        <f>SUMIF(RawData!$C:$C,$A70,RawData!AM:AM)</f>
        <v>2</v>
      </c>
      <c r="AJ70">
        <f>SUMIF(RawData!$C:$C,$A70,RawData!AN:AN)</f>
        <v>2</v>
      </c>
      <c r="AK70">
        <f>SUMIF(RawData!$C:$C,$A70,RawData!AO:AO)</f>
        <v>4</v>
      </c>
      <c r="AL70">
        <f>SUMIF(RawData!$C:$C,$A70,RawData!AP:AP)</f>
        <v>4</v>
      </c>
      <c r="AM70">
        <f>SUMIF(RawData!$C:$C,$A70,RawData!AQ:AQ)</f>
        <v>4</v>
      </c>
      <c r="AN70">
        <f>SUMIF(RawData!$C:$C,$A70,RawData!AR:AR)</f>
        <v>6</v>
      </c>
      <c r="AO70">
        <f>SUMIF(RawData!$C:$C,$A70,RawData!AS:AS)</f>
        <v>6</v>
      </c>
      <c r="AP70">
        <f>SUMIF(RawData!$C:$C,$A70,RawData!AT:AT)</f>
        <v>6</v>
      </c>
      <c r="AQ70">
        <f>SUMIF(RawData!$C:$C,$A70,RawData!AU:AU)</f>
        <v>12</v>
      </c>
      <c r="AR70">
        <f>SUMIF(RawData!$C:$C,$A70,RawData!AV:AV)</f>
        <v>15</v>
      </c>
      <c r="AS70">
        <f>SUMIF(RawData!$C:$C,$A70,RawData!AW:AW)</f>
        <v>16</v>
      </c>
      <c r="AT70">
        <f>SUMIF(RawData!$C:$C,$A70,RawData!AX:AX)</f>
        <v>16</v>
      </c>
      <c r="AU70">
        <f>SUMIF(RawData!$C:$C,$A70,RawData!AY:AY)</f>
        <v>16</v>
      </c>
      <c r="AV70">
        <f>SUMIF(RawData!$C:$C,$A70,RawData!AZ:AZ)</f>
        <v>16</v>
      </c>
      <c r="AW70">
        <f>SUMIF(RawData!$C:$C,$A70,RawData!BA:BA)</f>
        <v>16</v>
      </c>
      <c r="AX70">
        <f>SUMIF(RawData!$C:$C,$A70,RawData!BB:BB)</f>
        <v>18</v>
      </c>
      <c r="AY70">
        <f>SUMIF(RawData!$C:$C,$A70,RawData!BC:BC)</f>
        <v>18</v>
      </c>
      <c r="AZ70">
        <f>SUMIF(RawData!$C:$C,$A70,RawData!BD:BD)</f>
        <v>18</v>
      </c>
      <c r="BA70">
        <f>SUMIF(RawData!$C:$C,$A70,RawData!BE:BE)</f>
        <v>19</v>
      </c>
      <c r="BB70">
        <f>SUMIF(RawData!$C:$C,$A70,RawData!BF:BF)</f>
        <v>19</v>
      </c>
      <c r="BC70">
        <f>SUMIF(RawData!$C:$C,$A70,RawData!BG:BG)</f>
        <v>22</v>
      </c>
      <c r="BD70">
        <f>SUMIF(RawData!$C:$C,$A70,RawData!BH:BH)</f>
        <v>22</v>
      </c>
      <c r="BE70">
        <f>SUMIF(RawData!$C:$C,$A70,RawData!BI:BI)</f>
        <v>0</v>
      </c>
      <c r="BF70">
        <f>SUMIF(RawData!$C:$C,$A70,RawData!BJ:BJ)</f>
        <v>0</v>
      </c>
      <c r="BG70">
        <f>SUMIF(RawData!$C:$C,$A70,RawData!BK:BK)</f>
        <v>0</v>
      </c>
      <c r="BH70">
        <f>SUMIF(RawData!$C:$C,$A70,RawData!BL:BL)</f>
        <v>0</v>
      </c>
      <c r="BI70">
        <f>SUMIF(RawData!$C:$C,$A70,RawData!BM:BM)</f>
        <v>0</v>
      </c>
      <c r="BJ70">
        <f>SUMIF(RawData!$C:$C,$A70,RawData!BN:BN)</f>
        <v>0</v>
      </c>
      <c r="BK70">
        <f>SUMIF(RawData!$C:$C,$A70,RawData!BO:BO)</f>
        <v>0</v>
      </c>
      <c r="BL70">
        <f>SUMIF(RawData!$C:$C,$A70,RawData!BP:BP)</f>
        <v>0</v>
      </c>
      <c r="BM70">
        <f>SUMIF(RawData!$C:$C,$A70,RawData!BQ:BQ)</f>
        <v>0</v>
      </c>
      <c r="BN70">
        <f>SUMIF(RawData!$C:$C,$A70,RawData!BR:BR)</f>
        <v>0</v>
      </c>
      <c r="BO70">
        <f>SUMIF(RawData!$C:$C,$A70,RawData!BS:BS)</f>
        <v>0</v>
      </c>
      <c r="BP70">
        <f>SUMIF(RawData!$C:$C,$A70,RawData!BT:BT)</f>
        <v>0</v>
      </c>
      <c r="BQ70">
        <f>SUMIF(RawData!$C:$C,$A70,RawData!BU:BU)</f>
        <v>0</v>
      </c>
      <c r="BR70">
        <f>SUMIF(RawData!$C:$C,$A70,RawData!BV:BV)</f>
        <v>0</v>
      </c>
      <c r="BS70">
        <f>SUMIF(RawData!$C:$C,$A70,RawData!BW:BW)</f>
        <v>0</v>
      </c>
      <c r="BT70">
        <f>SUMIF(RawData!$C:$C,$A70,RawData!BX:BX)</f>
        <v>0</v>
      </c>
    </row>
    <row r="71" spans="1:72" ht="15" thickBot="1" x14ac:dyDescent="0.35">
      <c r="A71" s="5" t="s">
        <v>130</v>
      </c>
      <c r="B71">
        <f>SUMIF(RawData!$C:$C,$A71,RawData!F:F)</f>
        <v>0</v>
      </c>
      <c r="C71">
        <f>SUMIF(RawData!$C:$C,$A71,RawData!G:G)</f>
        <v>0</v>
      </c>
      <c r="D71">
        <f>SUMIF(RawData!$C:$C,$A71,RawData!H:H)</f>
        <v>0</v>
      </c>
      <c r="E71">
        <f>SUMIF(RawData!$C:$C,$A71,RawData!I:I)</f>
        <v>0</v>
      </c>
      <c r="F71">
        <f>SUMIF(RawData!$C:$C,$A71,RawData!J:J)</f>
        <v>0</v>
      </c>
      <c r="G71">
        <f>SUMIF(RawData!$C:$C,$A71,RawData!K:K)</f>
        <v>0</v>
      </c>
      <c r="H71">
        <f>SUMIF(RawData!$C:$C,$A71,RawData!L:L)</f>
        <v>0</v>
      </c>
      <c r="I71">
        <f>SUMIF(RawData!$C:$C,$A71,RawData!M:M)</f>
        <v>0</v>
      </c>
      <c r="J71">
        <f>SUMIF(RawData!$C:$C,$A71,RawData!N:N)</f>
        <v>0</v>
      </c>
      <c r="K71">
        <f>SUMIF(RawData!$C:$C,$A71,RawData!O:O)</f>
        <v>0</v>
      </c>
      <c r="L71">
        <f>SUMIF(RawData!$C:$C,$A71,RawData!P:P)</f>
        <v>0</v>
      </c>
      <c r="M71">
        <f>SUMIF(RawData!$C:$C,$A71,RawData!Q:Q)</f>
        <v>0</v>
      </c>
      <c r="N71">
        <f>SUMIF(RawData!$C:$C,$A71,RawData!R:R)</f>
        <v>0</v>
      </c>
      <c r="O71">
        <f>SUMIF(RawData!$C:$C,$A71,RawData!S:S)</f>
        <v>0</v>
      </c>
      <c r="P71">
        <f>SUMIF(RawData!$C:$C,$A71,RawData!T:T)</f>
        <v>0</v>
      </c>
      <c r="Q71">
        <f>SUMIF(RawData!$C:$C,$A71,RawData!U:U)</f>
        <v>0</v>
      </c>
      <c r="R71">
        <f>SUMIF(RawData!$C:$C,$A71,RawData!V:V)</f>
        <v>0</v>
      </c>
      <c r="S71">
        <f>SUMIF(RawData!$C:$C,$A71,RawData!W:W)</f>
        <v>0</v>
      </c>
      <c r="T71">
        <f>SUMIF(RawData!$C:$C,$A71,RawData!X:X)</f>
        <v>0</v>
      </c>
      <c r="U71">
        <f>SUMIF(RawData!$C:$C,$A71,RawData!Y:Y)</f>
        <v>0</v>
      </c>
      <c r="V71">
        <f>SUMIF(RawData!$C:$C,$A71,RawData!Z:Z)</f>
        <v>0</v>
      </c>
      <c r="W71">
        <f>SUMIF(RawData!$C:$C,$A71,RawData!AA:AA)</f>
        <v>0</v>
      </c>
      <c r="X71">
        <f>SUMIF(RawData!$C:$C,$A71,RawData!AB:AB)</f>
        <v>0</v>
      </c>
      <c r="Y71">
        <f>SUMIF(RawData!$C:$C,$A71,RawData!AC:AC)</f>
        <v>0</v>
      </c>
      <c r="Z71">
        <f>SUMIF(RawData!$C:$C,$A71,RawData!AD:AD)</f>
        <v>0</v>
      </c>
      <c r="AA71">
        <f>SUMIF(RawData!$C:$C,$A71,RawData!AE:AE)</f>
        <v>0</v>
      </c>
      <c r="AB71">
        <f>SUMIF(RawData!$C:$C,$A71,RawData!AF:AF)</f>
        <v>0</v>
      </c>
      <c r="AC71">
        <f>SUMIF(RawData!$C:$C,$A71,RawData!AG:AG)</f>
        <v>0</v>
      </c>
      <c r="AD71">
        <f>SUMIF(RawData!$C:$C,$A71,RawData!AH:AH)</f>
        <v>0</v>
      </c>
      <c r="AE71">
        <f>SUMIF(RawData!$C:$C,$A71,RawData!AI:AI)</f>
        <v>0</v>
      </c>
      <c r="AF71">
        <f>SUMIF(RawData!$C:$C,$A71,RawData!AJ:AJ)</f>
        <v>0</v>
      </c>
      <c r="AG71">
        <f>SUMIF(RawData!$C:$C,$A71,RawData!AK:AK)</f>
        <v>0</v>
      </c>
      <c r="AH71">
        <f>SUMIF(RawData!$C:$C,$A71,RawData!AL:AL)</f>
        <v>0</v>
      </c>
      <c r="AI71">
        <f>SUMIF(RawData!$C:$C,$A71,RawData!AM:AM)</f>
        <v>0</v>
      </c>
      <c r="AJ71">
        <f>SUMIF(RawData!$C:$C,$A71,RawData!AN:AN)</f>
        <v>0</v>
      </c>
      <c r="AK71">
        <f>SUMIF(RawData!$C:$C,$A71,RawData!AO:AO)</f>
        <v>0</v>
      </c>
      <c r="AL71">
        <f>SUMIF(RawData!$C:$C,$A71,RawData!AP:AP)</f>
        <v>0</v>
      </c>
      <c r="AM71">
        <f>SUMIF(RawData!$C:$C,$A71,RawData!AQ:AQ)</f>
        <v>0</v>
      </c>
      <c r="AN71">
        <f>SUMIF(RawData!$C:$C,$A71,RawData!AR:AR)</f>
        <v>0</v>
      </c>
      <c r="AO71">
        <f>SUMIF(RawData!$C:$C,$A71,RawData!AS:AS)</f>
        <v>6</v>
      </c>
      <c r="AP71">
        <f>SUMIF(RawData!$C:$C,$A71,RawData!AT:AT)</f>
        <v>6</v>
      </c>
      <c r="AQ71">
        <f>SUMIF(RawData!$C:$C,$A71,RawData!AU:AU)</f>
        <v>7</v>
      </c>
      <c r="AR71">
        <f>SUMIF(RawData!$C:$C,$A71,RawData!AV:AV)</f>
        <v>10</v>
      </c>
      <c r="AS71">
        <f>SUMIF(RawData!$C:$C,$A71,RawData!AW:AW)</f>
        <v>13</v>
      </c>
      <c r="AT71">
        <f>SUMIF(RawData!$C:$C,$A71,RawData!AX:AX)</f>
        <v>13</v>
      </c>
      <c r="AU71">
        <f>SUMIF(RawData!$C:$C,$A71,RawData!AY:AY)</f>
        <v>13</v>
      </c>
      <c r="AV71">
        <f>SUMIF(RawData!$C:$C,$A71,RawData!AZ:AZ)</f>
        <v>14</v>
      </c>
      <c r="AW71">
        <f>SUMIF(RawData!$C:$C,$A71,RawData!BA:BA)</f>
        <v>15</v>
      </c>
      <c r="AX71">
        <f>SUMIF(RawData!$C:$C,$A71,RawData!BB:BB)</f>
        <v>15</v>
      </c>
      <c r="AY71">
        <f>SUMIF(RawData!$C:$C,$A71,RawData!BC:BC)</f>
        <v>17</v>
      </c>
      <c r="AZ71">
        <f>SUMIF(RawData!$C:$C,$A71,RawData!BD:BD)</f>
        <v>17</v>
      </c>
      <c r="BA71">
        <f>SUMIF(RawData!$C:$C,$A71,RawData!BE:BE)</f>
        <v>17</v>
      </c>
      <c r="BB71">
        <f>SUMIF(RawData!$C:$C,$A71,RawData!BF:BF)</f>
        <v>28</v>
      </c>
      <c r="BC71">
        <f>SUMIF(RawData!$C:$C,$A71,RawData!BG:BG)</f>
        <v>28</v>
      </c>
      <c r="BD71">
        <f>SUMIF(RawData!$C:$C,$A71,RawData!BH:BH)</f>
        <v>37</v>
      </c>
      <c r="BE71">
        <f>SUMIF(RawData!$C:$C,$A71,RawData!BI:BI)</f>
        <v>0</v>
      </c>
      <c r="BF71">
        <f>SUMIF(RawData!$C:$C,$A71,RawData!BJ:BJ)</f>
        <v>0</v>
      </c>
      <c r="BG71">
        <f>SUMIF(RawData!$C:$C,$A71,RawData!BK:BK)</f>
        <v>0</v>
      </c>
      <c r="BH71">
        <f>SUMIF(RawData!$C:$C,$A71,RawData!BL:BL)</f>
        <v>0</v>
      </c>
      <c r="BI71">
        <f>SUMIF(RawData!$C:$C,$A71,RawData!BM:BM)</f>
        <v>0</v>
      </c>
      <c r="BJ71">
        <f>SUMIF(RawData!$C:$C,$A71,RawData!BN:BN)</f>
        <v>0</v>
      </c>
      <c r="BK71">
        <f>SUMIF(RawData!$C:$C,$A71,RawData!BO:BO)</f>
        <v>0</v>
      </c>
      <c r="BL71">
        <f>SUMIF(RawData!$C:$C,$A71,RawData!BP:BP)</f>
        <v>0</v>
      </c>
      <c r="BM71">
        <f>SUMIF(RawData!$C:$C,$A71,RawData!BQ:BQ)</f>
        <v>0</v>
      </c>
      <c r="BN71">
        <f>SUMIF(RawData!$C:$C,$A71,RawData!BR:BR)</f>
        <v>0</v>
      </c>
      <c r="BO71">
        <f>SUMIF(RawData!$C:$C,$A71,RawData!BS:BS)</f>
        <v>0</v>
      </c>
      <c r="BP71">
        <f>SUMIF(RawData!$C:$C,$A71,RawData!BT:BT)</f>
        <v>0</v>
      </c>
      <c r="BQ71">
        <f>SUMIF(RawData!$C:$C,$A71,RawData!BU:BU)</f>
        <v>0</v>
      </c>
      <c r="BR71">
        <f>SUMIF(RawData!$C:$C,$A71,RawData!BV:BV)</f>
        <v>0</v>
      </c>
      <c r="BS71">
        <f>SUMIF(RawData!$C:$C,$A71,RawData!BW:BW)</f>
        <v>0</v>
      </c>
      <c r="BT71">
        <f>SUMIF(RawData!$C:$C,$A71,RawData!BX:BX)</f>
        <v>0</v>
      </c>
    </row>
    <row r="72" spans="1:72" ht="15" thickBot="1" x14ac:dyDescent="0.35">
      <c r="A72" s="5" t="s">
        <v>138</v>
      </c>
      <c r="B72">
        <f>SUMIF(RawData!$C:$C,$A72,RawData!F:F)</f>
        <v>0</v>
      </c>
      <c r="C72">
        <f>SUMIF(RawData!$C:$C,$A72,RawData!G:G)</f>
        <v>0</v>
      </c>
      <c r="D72">
        <f>SUMIF(RawData!$C:$C,$A72,RawData!H:H)</f>
        <v>0</v>
      </c>
      <c r="E72">
        <f>SUMIF(RawData!$C:$C,$A72,RawData!I:I)</f>
        <v>0</v>
      </c>
      <c r="F72">
        <f>SUMIF(RawData!$C:$C,$A72,RawData!J:J)</f>
        <v>0</v>
      </c>
      <c r="G72">
        <f>SUMIF(RawData!$C:$C,$A72,RawData!K:K)</f>
        <v>0</v>
      </c>
      <c r="H72">
        <f>SUMIF(RawData!$C:$C,$A72,RawData!L:L)</f>
        <v>0</v>
      </c>
      <c r="I72">
        <f>SUMIF(RawData!$C:$C,$A72,RawData!M:M)</f>
        <v>0</v>
      </c>
      <c r="J72">
        <f>SUMIF(RawData!$C:$C,$A72,RawData!N:N)</f>
        <v>0</v>
      </c>
      <c r="K72">
        <f>SUMIF(RawData!$C:$C,$A72,RawData!O:O)</f>
        <v>0</v>
      </c>
      <c r="L72">
        <f>SUMIF(RawData!$C:$C,$A72,RawData!P:P)</f>
        <v>0</v>
      </c>
      <c r="M72">
        <f>SUMIF(RawData!$C:$C,$A72,RawData!Q:Q)</f>
        <v>0</v>
      </c>
      <c r="N72">
        <f>SUMIF(RawData!$C:$C,$A72,RawData!R:R)</f>
        <v>0</v>
      </c>
      <c r="O72">
        <f>SUMIF(RawData!$C:$C,$A72,RawData!S:S)</f>
        <v>0</v>
      </c>
      <c r="P72">
        <f>SUMIF(RawData!$C:$C,$A72,RawData!T:T)</f>
        <v>0</v>
      </c>
      <c r="Q72">
        <f>SUMIF(RawData!$C:$C,$A72,RawData!U:U)</f>
        <v>0</v>
      </c>
      <c r="R72">
        <f>SUMIF(RawData!$C:$C,$A72,RawData!V:V)</f>
        <v>0</v>
      </c>
      <c r="S72">
        <f>SUMIF(RawData!$C:$C,$A72,RawData!W:W)</f>
        <v>0</v>
      </c>
      <c r="T72">
        <f>SUMIF(RawData!$C:$C,$A72,RawData!X:X)</f>
        <v>0</v>
      </c>
      <c r="U72">
        <f>SUMIF(RawData!$C:$C,$A72,RawData!Y:Y)</f>
        <v>0</v>
      </c>
      <c r="V72">
        <f>SUMIF(RawData!$C:$C,$A72,RawData!Z:Z)</f>
        <v>0</v>
      </c>
      <c r="W72">
        <f>SUMIF(RawData!$C:$C,$A72,RawData!AA:AA)</f>
        <v>0</v>
      </c>
      <c r="X72">
        <f>SUMIF(RawData!$C:$C,$A72,RawData!AB:AB)</f>
        <v>0</v>
      </c>
      <c r="Y72">
        <f>SUMIF(RawData!$C:$C,$A72,RawData!AC:AC)</f>
        <v>0</v>
      </c>
      <c r="Z72">
        <f>SUMIF(RawData!$C:$C,$A72,RawData!AD:AD)</f>
        <v>0</v>
      </c>
      <c r="AA72">
        <f>SUMIF(RawData!$C:$C,$A72,RawData!AE:AE)</f>
        <v>0</v>
      </c>
      <c r="AB72">
        <f>SUMIF(RawData!$C:$C,$A72,RawData!AF:AF)</f>
        <v>0</v>
      </c>
      <c r="AC72">
        <f>SUMIF(RawData!$C:$C,$A72,RawData!AG:AG)</f>
        <v>0</v>
      </c>
      <c r="AD72">
        <f>SUMIF(RawData!$C:$C,$A72,RawData!AH:AH)</f>
        <v>0</v>
      </c>
      <c r="AE72">
        <f>SUMIF(RawData!$C:$C,$A72,RawData!AI:AI)</f>
        <v>0</v>
      </c>
      <c r="AF72">
        <f>SUMIF(RawData!$C:$C,$A72,RawData!AJ:AJ)</f>
        <v>0</v>
      </c>
      <c r="AG72">
        <f>SUMIF(RawData!$C:$C,$A72,RawData!AK:AK)</f>
        <v>0</v>
      </c>
      <c r="AH72">
        <f>SUMIF(RawData!$C:$C,$A72,RawData!AL:AL)</f>
        <v>0</v>
      </c>
      <c r="AI72">
        <f>SUMIF(RawData!$C:$C,$A72,RawData!AM:AM)</f>
        <v>0</v>
      </c>
      <c r="AJ72">
        <f>SUMIF(RawData!$C:$C,$A72,RawData!AN:AN)</f>
        <v>0</v>
      </c>
      <c r="AK72">
        <f>SUMIF(RawData!$C:$C,$A72,RawData!AO:AO)</f>
        <v>0</v>
      </c>
      <c r="AL72">
        <f>SUMIF(RawData!$C:$C,$A72,RawData!AP:AP)</f>
        <v>0</v>
      </c>
      <c r="AM72">
        <f>SUMIF(RawData!$C:$C,$A72,RawData!AQ:AQ)</f>
        <v>0</v>
      </c>
      <c r="AN72">
        <f>SUMIF(RawData!$C:$C,$A72,RawData!AR:AR)</f>
        <v>0</v>
      </c>
      <c r="AO72">
        <f>SUMIF(RawData!$C:$C,$A72,RawData!AS:AS)</f>
        <v>0</v>
      </c>
      <c r="AP72">
        <f>SUMIF(RawData!$C:$C,$A72,RawData!AT:AT)</f>
        <v>1</v>
      </c>
      <c r="AQ72">
        <f>SUMIF(RawData!$C:$C,$A72,RawData!AU:AU)</f>
        <v>1</v>
      </c>
      <c r="AR72">
        <f>SUMIF(RawData!$C:$C,$A72,RawData!AV:AV)</f>
        <v>1</v>
      </c>
      <c r="AS72">
        <f>SUMIF(RawData!$C:$C,$A72,RawData!AW:AW)</f>
        <v>1</v>
      </c>
      <c r="AT72">
        <f>SUMIF(RawData!$C:$C,$A72,RawData!AX:AX)</f>
        <v>1</v>
      </c>
      <c r="AU72">
        <f>SUMIF(RawData!$C:$C,$A72,RawData!AY:AY)</f>
        <v>1</v>
      </c>
      <c r="AV72">
        <f>SUMIF(RawData!$C:$C,$A72,RawData!AZ:AZ)</f>
        <v>2</v>
      </c>
      <c r="AW72">
        <f>SUMIF(RawData!$C:$C,$A72,RawData!BA:BA)</f>
        <v>6</v>
      </c>
      <c r="AX72">
        <f>SUMIF(RawData!$C:$C,$A72,RawData!BB:BB)</f>
        <v>8</v>
      </c>
      <c r="AY72">
        <f>SUMIF(RawData!$C:$C,$A72,RawData!BC:BC)</f>
        <v>10</v>
      </c>
      <c r="AZ72">
        <f>SUMIF(RawData!$C:$C,$A72,RawData!BD:BD)</f>
        <v>10</v>
      </c>
      <c r="BA72">
        <f>SUMIF(RawData!$C:$C,$A72,RawData!BE:BE)</f>
        <v>17</v>
      </c>
      <c r="BB72">
        <f>SUMIF(RawData!$C:$C,$A72,RawData!BF:BF)</f>
        <v>26</v>
      </c>
      <c r="BC72">
        <f>SUMIF(RawData!$C:$C,$A72,RawData!BG:BG)</f>
        <v>30</v>
      </c>
      <c r="BD72">
        <f>SUMIF(RawData!$C:$C,$A72,RawData!BH:BH)</f>
        <v>34</v>
      </c>
      <c r="BE72">
        <f>SUMIF(RawData!$C:$C,$A72,RawData!BI:BI)</f>
        <v>0</v>
      </c>
      <c r="BF72">
        <f>SUMIF(RawData!$C:$C,$A72,RawData!BJ:BJ)</f>
        <v>0</v>
      </c>
      <c r="BG72">
        <f>SUMIF(RawData!$C:$C,$A72,RawData!BK:BK)</f>
        <v>0</v>
      </c>
      <c r="BH72">
        <f>SUMIF(RawData!$C:$C,$A72,RawData!BL:BL)</f>
        <v>0</v>
      </c>
      <c r="BI72">
        <f>SUMIF(RawData!$C:$C,$A72,RawData!BM:BM)</f>
        <v>0</v>
      </c>
      <c r="BJ72">
        <f>SUMIF(RawData!$C:$C,$A72,RawData!BN:BN)</f>
        <v>0</v>
      </c>
      <c r="BK72">
        <f>SUMIF(RawData!$C:$C,$A72,RawData!BO:BO)</f>
        <v>0</v>
      </c>
      <c r="BL72">
        <f>SUMIF(RawData!$C:$C,$A72,RawData!BP:BP)</f>
        <v>0</v>
      </c>
      <c r="BM72">
        <f>SUMIF(RawData!$C:$C,$A72,RawData!BQ:BQ)</f>
        <v>0</v>
      </c>
      <c r="BN72">
        <f>SUMIF(RawData!$C:$C,$A72,RawData!BR:BR)</f>
        <v>0</v>
      </c>
      <c r="BO72">
        <f>SUMIF(RawData!$C:$C,$A72,RawData!BS:BS)</f>
        <v>0</v>
      </c>
      <c r="BP72">
        <f>SUMIF(RawData!$C:$C,$A72,RawData!BT:BT)</f>
        <v>0</v>
      </c>
      <c r="BQ72">
        <f>SUMIF(RawData!$C:$C,$A72,RawData!BU:BU)</f>
        <v>0</v>
      </c>
      <c r="BR72">
        <f>SUMIF(RawData!$C:$C,$A72,RawData!BV:BV)</f>
        <v>0</v>
      </c>
      <c r="BS72">
        <f>SUMIF(RawData!$C:$C,$A72,RawData!BW:BW)</f>
        <v>0</v>
      </c>
      <c r="BT72">
        <f>SUMIF(RawData!$C:$C,$A72,RawData!BX:BX)</f>
        <v>0</v>
      </c>
    </row>
    <row r="73" spans="1:72" ht="15" thickBot="1" x14ac:dyDescent="0.35">
      <c r="A73" s="5" t="s">
        <v>165</v>
      </c>
      <c r="B73">
        <f>SUMIF(RawData!$C:$C,$A73,RawData!F:F)</f>
        <v>0</v>
      </c>
      <c r="C73">
        <f>SUMIF(RawData!$C:$C,$A73,RawData!G:G)</f>
        <v>0</v>
      </c>
      <c r="D73">
        <f>SUMIF(RawData!$C:$C,$A73,RawData!H:H)</f>
        <v>0</v>
      </c>
      <c r="E73">
        <f>SUMIF(RawData!$C:$C,$A73,RawData!I:I)</f>
        <v>0</v>
      </c>
      <c r="F73">
        <f>SUMIF(RawData!$C:$C,$A73,RawData!J:J)</f>
        <v>0</v>
      </c>
      <c r="G73">
        <f>SUMIF(RawData!$C:$C,$A73,RawData!K:K)</f>
        <v>0</v>
      </c>
      <c r="H73">
        <f>SUMIF(RawData!$C:$C,$A73,RawData!L:L)</f>
        <v>0</v>
      </c>
      <c r="I73">
        <f>SUMIF(RawData!$C:$C,$A73,RawData!M:M)</f>
        <v>0</v>
      </c>
      <c r="J73">
        <f>SUMIF(RawData!$C:$C,$A73,RawData!N:N)</f>
        <v>0</v>
      </c>
      <c r="K73">
        <f>SUMIF(RawData!$C:$C,$A73,RawData!O:O)</f>
        <v>0</v>
      </c>
      <c r="L73">
        <f>SUMIF(RawData!$C:$C,$A73,RawData!P:P)</f>
        <v>0</v>
      </c>
      <c r="M73">
        <f>SUMIF(RawData!$C:$C,$A73,RawData!Q:Q)</f>
        <v>0</v>
      </c>
      <c r="N73">
        <f>SUMIF(RawData!$C:$C,$A73,RawData!R:R)</f>
        <v>0</v>
      </c>
      <c r="O73">
        <f>SUMIF(RawData!$C:$C,$A73,RawData!S:S)</f>
        <v>0</v>
      </c>
      <c r="P73">
        <f>SUMIF(RawData!$C:$C,$A73,RawData!T:T)</f>
        <v>0</v>
      </c>
      <c r="Q73">
        <f>SUMIF(RawData!$C:$C,$A73,RawData!U:U)</f>
        <v>0</v>
      </c>
      <c r="R73">
        <f>SUMIF(RawData!$C:$C,$A73,RawData!V:V)</f>
        <v>0</v>
      </c>
      <c r="S73">
        <f>SUMIF(RawData!$C:$C,$A73,RawData!W:W)</f>
        <v>0</v>
      </c>
      <c r="T73">
        <f>SUMIF(RawData!$C:$C,$A73,RawData!X:X)</f>
        <v>0</v>
      </c>
      <c r="U73">
        <f>SUMIF(RawData!$C:$C,$A73,RawData!Y:Y)</f>
        <v>0</v>
      </c>
      <c r="V73">
        <f>SUMIF(RawData!$C:$C,$A73,RawData!Z:Z)</f>
        <v>0</v>
      </c>
      <c r="W73">
        <f>SUMIF(RawData!$C:$C,$A73,RawData!AA:AA)</f>
        <v>0</v>
      </c>
      <c r="X73">
        <f>SUMIF(RawData!$C:$C,$A73,RawData!AB:AB)</f>
        <v>0</v>
      </c>
      <c r="Y73">
        <f>SUMIF(RawData!$C:$C,$A73,RawData!AC:AC)</f>
        <v>0</v>
      </c>
      <c r="Z73">
        <f>SUMIF(RawData!$C:$C,$A73,RawData!AD:AD)</f>
        <v>0</v>
      </c>
      <c r="AA73">
        <f>SUMIF(RawData!$C:$C,$A73,RawData!AE:AE)</f>
        <v>0</v>
      </c>
      <c r="AB73">
        <f>SUMIF(RawData!$C:$C,$A73,RawData!AF:AF)</f>
        <v>0</v>
      </c>
      <c r="AC73">
        <f>SUMIF(RawData!$C:$C,$A73,RawData!AG:AG)</f>
        <v>0</v>
      </c>
      <c r="AD73">
        <f>SUMIF(RawData!$C:$C,$A73,RawData!AH:AH)</f>
        <v>0</v>
      </c>
      <c r="AE73">
        <f>SUMIF(RawData!$C:$C,$A73,RawData!AI:AI)</f>
        <v>0</v>
      </c>
      <c r="AF73">
        <f>SUMIF(RawData!$C:$C,$A73,RawData!AJ:AJ)</f>
        <v>0</v>
      </c>
      <c r="AG73">
        <f>SUMIF(RawData!$C:$C,$A73,RawData!AK:AK)</f>
        <v>0</v>
      </c>
      <c r="AH73">
        <f>SUMIF(RawData!$C:$C,$A73,RawData!AL:AL)</f>
        <v>0</v>
      </c>
      <c r="AI73">
        <f>SUMIF(RawData!$C:$C,$A73,RawData!AM:AM)</f>
        <v>0</v>
      </c>
      <c r="AJ73">
        <f>SUMIF(RawData!$C:$C,$A73,RawData!AN:AN)</f>
        <v>0</v>
      </c>
      <c r="AK73">
        <f>SUMIF(RawData!$C:$C,$A73,RawData!AO:AO)</f>
        <v>0</v>
      </c>
      <c r="AL73">
        <f>SUMIF(RawData!$C:$C,$A73,RawData!AP:AP)</f>
        <v>0</v>
      </c>
      <c r="AM73">
        <f>SUMIF(RawData!$C:$C,$A73,RawData!AQ:AQ)</f>
        <v>0</v>
      </c>
      <c r="AN73">
        <f>SUMIF(RawData!$C:$C,$A73,RawData!AR:AR)</f>
        <v>0</v>
      </c>
      <c r="AO73">
        <f>SUMIF(RawData!$C:$C,$A73,RawData!AS:AS)</f>
        <v>0</v>
      </c>
      <c r="AP73">
        <f>SUMIF(RawData!$C:$C,$A73,RawData!AT:AT)</f>
        <v>0</v>
      </c>
      <c r="AQ73">
        <f>SUMIF(RawData!$C:$C,$A73,RawData!AU:AU)</f>
        <v>0</v>
      </c>
      <c r="AR73">
        <f>SUMIF(RawData!$C:$C,$A73,RawData!AV:AV)</f>
        <v>1</v>
      </c>
      <c r="AS73">
        <f>SUMIF(RawData!$C:$C,$A73,RawData!AW:AW)</f>
        <v>1</v>
      </c>
      <c r="AT73">
        <f>SUMIF(RawData!$C:$C,$A73,RawData!AX:AX)</f>
        <v>1</v>
      </c>
      <c r="AU73">
        <f>SUMIF(RawData!$C:$C,$A73,RawData!AY:AY)</f>
        <v>1</v>
      </c>
      <c r="AV73">
        <f>SUMIF(RawData!$C:$C,$A73,RawData!AZ:AZ)</f>
        <v>2</v>
      </c>
      <c r="AW73">
        <f>SUMIF(RawData!$C:$C,$A73,RawData!BA:BA)</f>
        <v>2</v>
      </c>
      <c r="AX73">
        <f>SUMIF(RawData!$C:$C,$A73,RawData!BB:BB)</f>
        <v>5</v>
      </c>
      <c r="AY73">
        <f>SUMIF(RawData!$C:$C,$A73,RawData!BC:BC)</f>
        <v>7</v>
      </c>
      <c r="AZ73">
        <f>SUMIF(RawData!$C:$C,$A73,RawData!BD:BD)</f>
        <v>7</v>
      </c>
      <c r="BA73">
        <f>SUMIF(RawData!$C:$C,$A73,RawData!BE:BE)</f>
        <v>16</v>
      </c>
      <c r="BB73">
        <f>SUMIF(RawData!$C:$C,$A73,RawData!BF:BF)</f>
        <v>18</v>
      </c>
      <c r="BC73">
        <f>SUMIF(RawData!$C:$C,$A73,RawData!BG:BG)</f>
        <v>18</v>
      </c>
      <c r="BD73">
        <f>SUMIF(RawData!$C:$C,$A73,RawData!BH:BH)</f>
        <v>20</v>
      </c>
      <c r="BE73">
        <f>SUMIF(RawData!$C:$C,$A73,RawData!BI:BI)</f>
        <v>0</v>
      </c>
      <c r="BF73">
        <f>SUMIF(RawData!$C:$C,$A73,RawData!BJ:BJ)</f>
        <v>0</v>
      </c>
      <c r="BG73">
        <f>SUMIF(RawData!$C:$C,$A73,RawData!BK:BK)</f>
        <v>0</v>
      </c>
      <c r="BH73">
        <f>SUMIF(RawData!$C:$C,$A73,RawData!BL:BL)</f>
        <v>0</v>
      </c>
      <c r="BI73">
        <f>SUMIF(RawData!$C:$C,$A73,RawData!BM:BM)</f>
        <v>0</v>
      </c>
      <c r="BJ73">
        <f>SUMIF(RawData!$C:$C,$A73,RawData!BN:BN)</f>
        <v>0</v>
      </c>
      <c r="BK73">
        <f>SUMIF(RawData!$C:$C,$A73,RawData!BO:BO)</f>
        <v>0</v>
      </c>
      <c r="BL73">
        <f>SUMIF(RawData!$C:$C,$A73,RawData!BP:BP)</f>
        <v>0</v>
      </c>
      <c r="BM73">
        <f>SUMIF(RawData!$C:$C,$A73,RawData!BQ:BQ)</f>
        <v>0</v>
      </c>
      <c r="BN73">
        <f>SUMIF(RawData!$C:$C,$A73,RawData!BR:BR)</f>
        <v>0</v>
      </c>
      <c r="BO73">
        <f>SUMIF(RawData!$C:$C,$A73,RawData!BS:BS)</f>
        <v>0</v>
      </c>
      <c r="BP73">
        <f>SUMIF(RawData!$C:$C,$A73,RawData!BT:BT)</f>
        <v>0</v>
      </c>
      <c r="BQ73">
        <f>SUMIF(RawData!$C:$C,$A73,RawData!BU:BU)</f>
        <v>0</v>
      </c>
      <c r="BR73">
        <f>SUMIF(RawData!$C:$C,$A73,RawData!BV:BV)</f>
        <v>0</v>
      </c>
      <c r="BS73">
        <f>SUMIF(RawData!$C:$C,$A73,RawData!BW:BW)</f>
        <v>0</v>
      </c>
      <c r="BT73">
        <f>SUMIF(RawData!$C:$C,$A73,RawData!BX:BX)</f>
        <v>0</v>
      </c>
    </row>
    <row r="74" spans="1:72" ht="15" thickBot="1" x14ac:dyDescent="0.35">
      <c r="A74" s="4" t="s">
        <v>131</v>
      </c>
      <c r="B74">
        <f>SUMIF(RawData!$C:$C,$A74,RawData!F:F)</f>
        <v>0</v>
      </c>
      <c r="C74">
        <f>SUMIF(RawData!$C:$C,$A74,RawData!G:G)</f>
        <v>0</v>
      </c>
      <c r="D74">
        <f>SUMIF(RawData!$C:$C,$A74,RawData!H:H)</f>
        <v>0</v>
      </c>
      <c r="E74">
        <f>SUMIF(RawData!$C:$C,$A74,RawData!I:I)</f>
        <v>0</v>
      </c>
      <c r="F74">
        <f>SUMIF(RawData!$C:$C,$A74,RawData!J:J)</f>
        <v>0</v>
      </c>
      <c r="G74">
        <f>SUMIF(RawData!$C:$C,$A74,RawData!K:K)</f>
        <v>0</v>
      </c>
      <c r="H74">
        <f>SUMIF(RawData!$C:$C,$A74,RawData!L:L)</f>
        <v>0</v>
      </c>
      <c r="I74">
        <f>SUMIF(RawData!$C:$C,$A74,RawData!M:M)</f>
        <v>0</v>
      </c>
      <c r="J74">
        <f>SUMIF(RawData!$C:$C,$A74,RawData!N:N)</f>
        <v>0</v>
      </c>
      <c r="K74">
        <f>SUMIF(RawData!$C:$C,$A74,RawData!O:O)</f>
        <v>0</v>
      </c>
      <c r="L74">
        <f>SUMIF(RawData!$C:$C,$A74,RawData!P:P)</f>
        <v>0</v>
      </c>
      <c r="M74">
        <f>SUMIF(RawData!$C:$C,$A74,RawData!Q:Q)</f>
        <v>0</v>
      </c>
      <c r="N74">
        <f>SUMIF(RawData!$C:$C,$A74,RawData!R:R)</f>
        <v>0</v>
      </c>
      <c r="O74">
        <f>SUMIF(RawData!$C:$C,$A74,RawData!S:S)</f>
        <v>0</v>
      </c>
      <c r="P74">
        <f>SUMIF(RawData!$C:$C,$A74,RawData!T:T)</f>
        <v>0</v>
      </c>
      <c r="Q74">
        <f>SUMIF(RawData!$C:$C,$A74,RawData!U:U)</f>
        <v>0</v>
      </c>
      <c r="R74">
        <f>SUMIF(RawData!$C:$C,$A74,RawData!V:V)</f>
        <v>0</v>
      </c>
      <c r="S74">
        <f>SUMIF(RawData!$C:$C,$A74,RawData!W:W)</f>
        <v>0</v>
      </c>
      <c r="T74">
        <f>SUMIF(RawData!$C:$C,$A74,RawData!X:X)</f>
        <v>0</v>
      </c>
      <c r="U74">
        <f>SUMIF(RawData!$C:$C,$A74,RawData!Y:Y)</f>
        <v>0</v>
      </c>
      <c r="V74">
        <f>SUMIF(RawData!$C:$C,$A74,RawData!Z:Z)</f>
        <v>0</v>
      </c>
      <c r="W74">
        <f>SUMIF(RawData!$C:$C,$A74,RawData!AA:AA)</f>
        <v>0</v>
      </c>
      <c r="X74">
        <f>SUMIF(RawData!$C:$C,$A74,RawData!AB:AB)</f>
        <v>0</v>
      </c>
      <c r="Y74">
        <f>SUMIF(RawData!$C:$C,$A74,RawData!AC:AC)</f>
        <v>0</v>
      </c>
      <c r="Z74">
        <f>SUMIF(RawData!$C:$C,$A74,RawData!AD:AD)</f>
        <v>0</v>
      </c>
      <c r="AA74">
        <f>SUMIF(RawData!$C:$C,$A74,RawData!AE:AE)</f>
        <v>0</v>
      </c>
      <c r="AB74">
        <f>SUMIF(RawData!$C:$C,$A74,RawData!AF:AF)</f>
        <v>0</v>
      </c>
      <c r="AC74">
        <f>SUMIF(RawData!$C:$C,$A74,RawData!AG:AG)</f>
        <v>0</v>
      </c>
      <c r="AD74">
        <f>SUMIF(RawData!$C:$C,$A74,RawData!AH:AH)</f>
        <v>0</v>
      </c>
      <c r="AE74">
        <f>SUMIF(RawData!$C:$C,$A74,RawData!AI:AI)</f>
        <v>0</v>
      </c>
      <c r="AF74">
        <f>SUMIF(RawData!$C:$C,$A74,RawData!AJ:AJ)</f>
        <v>0</v>
      </c>
      <c r="AG74">
        <f>SUMIF(RawData!$C:$C,$A74,RawData!AK:AK)</f>
        <v>0</v>
      </c>
      <c r="AH74">
        <f>SUMIF(RawData!$C:$C,$A74,RawData!AL:AL)</f>
        <v>0</v>
      </c>
      <c r="AI74">
        <f>SUMIF(RawData!$C:$C,$A74,RawData!AM:AM)</f>
        <v>0</v>
      </c>
      <c r="AJ74">
        <f>SUMIF(RawData!$C:$C,$A74,RawData!AN:AN)</f>
        <v>0</v>
      </c>
      <c r="AK74">
        <f>SUMIF(RawData!$C:$C,$A74,RawData!AO:AO)</f>
        <v>0</v>
      </c>
      <c r="AL74">
        <f>SUMIF(RawData!$C:$C,$A74,RawData!AP:AP)</f>
        <v>0</v>
      </c>
      <c r="AM74">
        <f>SUMIF(RawData!$C:$C,$A74,RawData!AQ:AQ)</f>
        <v>0</v>
      </c>
      <c r="AN74">
        <f>SUMIF(RawData!$C:$C,$A74,RawData!AR:AR)</f>
        <v>0</v>
      </c>
      <c r="AO74">
        <f>SUMIF(RawData!$C:$C,$A74,RawData!AS:AS)</f>
        <v>3</v>
      </c>
      <c r="AP74">
        <f>SUMIF(RawData!$C:$C,$A74,RawData!AT:AT)</f>
        <v>3</v>
      </c>
      <c r="AQ74">
        <f>SUMIF(RawData!$C:$C,$A74,RawData!AU:AU)</f>
        <v>3</v>
      </c>
      <c r="AR74">
        <f>SUMIF(RawData!$C:$C,$A74,RawData!AV:AV)</f>
        <v>3</v>
      </c>
      <c r="AS74">
        <f>SUMIF(RawData!$C:$C,$A74,RawData!AW:AW)</f>
        <v>6</v>
      </c>
      <c r="AT74">
        <f>SUMIF(RawData!$C:$C,$A74,RawData!AX:AX)</f>
        <v>6</v>
      </c>
      <c r="AU74">
        <f>SUMIF(RawData!$C:$C,$A74,RawData!AY:AY)</f>
        <v>9</v>
      </c>
      <c r="AV74">
        <f>SUMIF(RawData!$C:$C,$A74,RawData!AZ:AZ)</f>
        <v>9</v>
      </c>
      <c r="AW74">
        <f>SUMIF(RawData!$C:$C,$A74,RawData!BA:BA)</f>
        <v>9</v>
      </c>
      <c r="AX74">
        <f>SUMIF(RawData!$C:$C,$A74,RawData!BB:BB)</f>
        <v>11</v>
      </c>
      <c r="AY74">
        <f>SUMIF(RawData!$C:$C,$A74,RawData!BC:BC)</f>
        <v>11</v>
      </c>
      <c r="AZ74">
        <f>SUMIF(RawData!$C:$C,$A74,RawData!BD:BD)</f>
        <v>11</v>
      </c>
      <c r="BA74">
        <f>SUMIF(RawData!$C:$C,$A74,RawData!BE:BE)</f>
        <v>15</v>
      </c>
      <c r="BB74">
        <f>SUMIF(RawData!$C:$C,$A74,RawData!BF:BF)</f>
        <v>15</v>
      </c>
      <c r="BC74">
        <f>SUMIF(RawData!$C:$C,$A74,RawData!BG:BG)</f>
        <v>23</v>
      </c>
      <c r="BD74">
        <f>SUMIF(RawData!$C:$C,$A74,RawData!BH:BH)</f>
        <v>15</v>
      </c>
      <c r="BE74">
        <f>SUMIF(RawData!$C:$C,$A74,RawData!BI:BI)</f>
        <v>0</v>
      </c>
      <c r="BF74">
        <f>SUMIF(RawData!$C:$C,$A74,RawData!BJ:BJ)</f>
        <v>0</v>
      </c>
      <c r="BG74">
        <f>SUMIF(RawData!$C:$C,$A74,RawData!BK:BK)</f>
        <v>0</v>
      </c>
      <c r="BH74">
        <f>SUMIF(RawData!$C:$C,$A74,RawData!BL:BL)</f>
        <v>0</v>
      </c>
      <c r="BI74">
        <f>SUMIF(RawData!$C:$C,$A74,RawData!BM:BM)</f>
        <v>0</v>
      </c>
      <c r="BJ74">
        <f>SUMIF(RawData!$C:$C,$A74,RawData!BN:BN)</f>
        <v>0</v>
      </c>
      <c r="BK74">
        <f>SUMIF(RawData!$C:$C,$A74,RawData!BO:BO)</f>
        <v>0</v>
      </c>
      <c r="BL74">
        <f>SUMIF(RawData!$C:$C,$A74,RawData!BP:BP)</f>
        <v>0</v>
      </c>
      <c r="BM74">
        <f>SUMIF(RawData!$C:$C,$A74,RawData!BQ:BQ)</f>
        <v>0</v>
      </c>
      <c r="BN74">
        <f>SUMIF(RawData!$C:$C,$A74,RawData!BR:BR)</f>
        <v>0</v>
      </c>
      <c r="BO74">
        <f>SUMIF(RawData!$C:$C,$A74,RawData!BS:BS)</f>
        <v>0</v>
      </c>
      <c r="BP74">
        <f>SUMIF(RawData!$C:$C,$A74,RawData!BT:BT)</f>
        <v>0</v>
      </c>
      <c r="BQ74">
        <f>SUMIF(RawData!$C:$C,$A74,RawData!BU:BU)</f>
        <v>0</v>
      </c>
      <c r="BR74">
        <f>SUMIF(RawData!$C:$C,$A74,RawData!BV:BV)</f>
        <v>0</v>
      </c>
      <c r="BS74">
        <f>SUMIF(RawData!$C:$C,$A74,RawData!BW:BW)</f>
        <v>0</v>
      </c>
      <c r="BT74">
        <f>SUMIF(RawData!$C:$C,$A74,RawData!BX:BX)</f>
        <v>0</v>
      </c>
    </row>
    <row r="75" spans="1:72" ht="15" thickBot="1" x14ac:dyDescent="0.35">
      <c r="A75" s="4" t="s">
        <v>258</v>
      </c>
      <c r="B75">
        <f>SUMIF(RawData!$C:$C,$A75,RawData!F:F)</f>
        <v>0</v>
      </c>
      <c r="C75">
        <f>SUMIF(RawData!$C:$C,$A75,RawData!G:G)</f>
        <v>0</v>
      </c>
      <c r="D75">
        <f>SUMIF(RawData!$C:$C,$A75,RawData!H:H)</f>
        <v>0</v>
      </c>
      <c r="E75">
        <f>SUMIF(RawData!$C:$C,$A75,RawData!I:I)</f>
        <v>0</v>
      </c>
      <c r="F75">
        <f>SUMIF(RawData!$C:$C,$A75,RawData!J:J)</f>
        <v>0</v>
      </c>
      <c r="G75">
        <f>SUMIF(RawData!$C:$C,$A75,RawData!K:K)</f>
        <v>0</v>
      </c>
      <c r="H75">
        <f>SUMIF(RawData!$C:$C,$A75,RawData!L:L)</f>
        <v>0</v>
      </c>
      <c r="I75">
        <f>SUMIF(RawData!$C:$C,$A75,RawData!M:M)</f>
        <v>0</v>
      </c>
      <c r="J75">
        <f>SUMIF(RawData!$C:$C,$A75,RawData!N:N)</f>
        <v>0</v>
      </c>
      <c r="K75">
        <f>SUMIF(RawData!$C:$C,$A75,RawData!O:O)</f>
        <v>0</v>
      </c>
      <c r="L75">
        <f>SUMIF(RawData!$C:$C,$A75,RawData!P:P)</f>
        <v>0</v>
      </c>
      <c r="M75">
        <f>SUMIF(RawData!$C:$C,$A75,RawData!Q:Q)</f>
        <v>0</v>
      </c>
      <c r="N75">
        <f>SUMIF(RawData!$C:$C,$A75,RawData!R:R)</f>
        <v>0</v>
      </c>
      <c r="O75">
        <f>SUMIF(RawData!$C:$C,$A75,RawData!S:S)</f>
        <v>0</v>
      </c>
      <c r="P75">
        <f>SUMIF(RawData!$C:$C,$A75,RawData!T:T)</f>
        <v>0</v>
      </c>
      <c r="Q75">
        <f>SUMIF(RawData!$C:$C,$A75,RawData!U:U)</f>
        <v>0</v>
      </c>
      <c r="R75">
        <f>SUMIF(RawData!$C:$C,$A75,RawData!V:V)</f>
        <v>0</v>
      </c>
      <c r="S75">
        <f>SUMIF(RawData!$C:$C,$A75,RawData!W:W)</f>
        <v>0</v>
      </c>
      <c r="T75">
        <f>SUMIF(RawData!$C:$C,$A75,RawData!X:X)</f>
        <v>0</v>
      </c>
      <c r="U75">
        <f>SUMIF(RawData!$C:$C,$A75,RawData!Y:Y)</f>
        <v>0</v>
      </c>
      <c r="V75">
        <f>SUMIF(RawData!$C:$C,$A75,RawData!Z:Z)</f>
        <v>0</v>
      </c>
      <c r="W75">
        <f>SUMIF(RawData!$C:$C,$A75,RawData!AA:AA)</f>
        <v>0</v>
      </c>
      <c r="X75">
        <f>SUMIF(RawData!$C:$C,$A75,RawData!AB:AB)</f>
        <v>0</v>
      </c>
      <c r="Y75">
        <f>SUMIF(RawData!$C:$C,$A75,RawData!AC:AC)</f>
        <v>0</v>
      </c>
      <c r="Z75">
        <f>SUMIF(RawData!$C:$C,$A75,RawData!AD:AD)</f>
        <v>0</v>
      </c>
      <c r="AA75">
        <f>SUMIF(RawData!$C:$C,$A75,RawData!AE:AE)</f>
        <v>0</v>
      </c>
      <c r="AB75">
        <f>SUMIF(RawData!$C:$C,$A75,RawData!AF:AF)</f>
        <v>0</v>
      </c>
      <c r="AC75">
        <f>SUMIF(RawData!$C:$C,$A75,RawData!AG:AG)</f>
        <v>0</v>
      </c>
      <c r="AD75">
        <f>SUMIF(RawData!$C:$C,$A75,RawData!AH:AH)</f>
        <v>0</v>
      </c>
      <c r="AE75">
        <f>SUMIF(RawData!$C:$C,$A75,RawData!AI:AI)</f>
        <v>0</v>
      </c>
      <c r="AF75">
        <f>SUMIF(RawData!$C:$C,$A75,RawData!AJ:AJ)</f>
        <v>0</v>
      </c>
      <c r="AG75">
        <f>SUMIF(RawData!$C:$C,$A75,RawData!AK:AK)</f>
        <v>0</v>
      </c>
      <c r="AH75">
        <f>SUMIF(RawData!$C:$C,$A75,RawData!AL:AL)</f>
        <v>0</v>
      </c>
      <c r="AI75">
        <f>SUMIF(RawData!$C:$C,$A75,RawData!AM:AM)</f>
        <v>0</v>
      </c>
      <c r="AJ75">
        <f>SUMIF(RawData!$C:$C,$A75,RawData!AN:AN)</f>
        <v>0</v>
      </c>
      <c r="AK75">
        <f>SUMIF(RawData!$C:$C,$A75,RawData!AO:AO)</f>
        <v>0</v>
      </c>
      <c r="AL75">
        <f>SUMIF(RawData!$C:$C,$A75,RawData!AP:AP)</f>
        <v>0</v>
      </c>
      <c r="AM75">
        <f>SUMIF(RawData!$C:$C,$A75,RawData!AQ:AQ)</f>
        <v>0</v>
      </c>
      <c r="AN75">
        <f>SUMIF(RawData!$C:$C,$A75,RawData!AR:AR)</f>
        <v>0</v>
      </c>
      <c r="AO75">
        <f>SUMIF(RawData!$C:$C,$A75,RawData!AS:AS)</f>
        <v>0</v>
      </c>
      <c r="AP75">
        <f>SUMIF(RawData!$C:$C,$A75,RawData!AT:AT)</f>
        <v>0</v>
      </c>
      <c r="AQ75">
        <f>SUMIF(RawData!$C:$C,$A75,RawData!AU:AU)</f>
        <v>0</v>
      </c>
      <c r="AR75">
        <f>SUMIF(RawData!$C:$C,$A75,RawData!AV:AV)</f>
        <v>0</v>
      </c>
      <c r="AS75">
        <f>SUMIF(RawData!$C:$C,$A75,RawData!AW:AW)</f>
        <v>0</v>
      </c>
      <c r="AT75">
        <f>SUMIF(RawData!$C:$C,$A75,RawData!AX:AX)</f>
        <v>0</v>
      </c>
      <c r="AU75">
        <f>SUMIF(RawData!$C:$C,$A75,RawData!AY:AY)</f>
        <v>0</v>
      </c>
      <c r="AV75">
        <f>SUMIF(RawData!$C:$C,$A75,RawData!AZ:AZ)</f>
        <v>0</v>
      </c>
      <c r="AW75">
        <f>SUMIF(RawData!$C:$C,$A75,RawData!BA:BA)</f>
        <v>2</v>
      </c>
      <c r="AX75">
        <f>SUMIF(RawData!$C:$C,$A75,RawData!BB:BB)</f>
        <v>3</v>
      </c>
      <c r="AY75">
        <f>SUMIF(RawData!$C:$C,$A75,RawData!BC:BC)</f>
        <v>6</v>
      </c>
      <c r="AZ75">
        <f>SUMIF(RawData!$C:$C,$A75,RawData!BD:BD)</f>
        <v>6</v>
      </c>
      <c r="BA75">
        <f>SUMIF(RawData!$C:$C,$A75,RawData!BE:BE)</f>
        <v>14</v>
      </c>
      <c r="BB75">
        <f>SUMIF(RawData!$C:$C,$A75,RawData!BF:BF)</f>
        <v>26</v>
      </c>
      <c r="BC75">
        <f>SUMIF(RawData!$C:$C,$A75,RawData!BG:BG)</f>
        <v>26</v>
      </c>
      <c r="BD75">
        <f>SUMIF(RawData!$C:$C,$A75,RawData!BH:BH)</f>
        <v>33</v>
      </c>
      <c r="BE75">
        <f>SUMIF(RawData!$C:$C,$A75,RawData!BI:BI)</f>
        <v>0</v>
      </c>
      <c r="BF75">
        <f>SUMIF(RawData!$C:$C,$A75,RawData!BJ:BJ)</f>
        <v>0</v>
      </c>
      <c r="BG75">
        <f>SUMIF(RawData!$C:$C,$A75,RawData!BK:BK)</f>
        <v>0</v>
      </c>
      <c r="BH75">
        <f>SUMIF(RawData!$C:$C,$A75,RawData!BL:BL)</f>
        <v>0</v>
      </c>
      <c r="BI75">
        <f>SUMIF(RawData!$C:$C,$A75,RawData!BM:BM)</f>
        <v>0</v>
      </c>
      <c r="BJ75">
        <f>SUMIF(RawData!$C:$C,$A75,RawData!BN:BN)</f>
        <v>0</v>
      </c>
      <c r="BK75">
        <f>SUMIF(RawData!$C:$C,$A75,RawData!BO:BO)</f>
        <v>0</v>
      </c>
      <c r="BL75">
        <f>SUMIF(RawData!$C:$C,$A75,RawData!BP:BP)</f>
        <v>0</v>
      </c>
      <c r="BM75">
        <f>SUMIF(RawData!$C:$C,$A75,RawData!BQ:BQ)</f>
        <v>0</v>
      </c>
      <c r="BN75">
        <f>SUMIF(RawData!$C:$C,$A75,RawData!BR:BR)</f>
        <v>0</v>
      </c>
      <c r="BO75">
        <f>SUMIF(RawData!$C:$C,$A75,RawData!BS:BS)</f>
        <v>0</v>
      </c>
      <c r="BP75">
        <f>SUMIF(RawData!$C:$C,$A75,RawData!BT:BT)</f>
        <v>0</v>
      </c>
      <c r="BQ75">
        <f>SUMIF(RawData!$C:$C,$A75,RawData!BU:BU)</f>
        <v>0</v>
      </c>
      <c r="BR75">
        <f>SUMIF(RawData!$C:$C,$A75,RawData!BV:BV)</f>
        <v>0</v>
      </c>
      <c r="BS75">
        <f>SUMIF(RawData!$C:$C,$A75,RawData!BW:BW)</f>
        <v>0</v>
      </c>
      <c r="BT75">
        <f>SUMIF(RawData!$C:$C,$A75,RawData!BX:BX)</f>
        <v>0</v>
      </c>
    </row>
    <row r="76" spans="1:72" ht="15" thickBot="1" x14ac:dyDescent="0.35">
      <c r="A76" s="4" t="s">
        <v>111</v>
      </c>
      <c r="B76">
        <f>SUMIF(RawData!$C:$C,$A76,RawData!F:F)</f>
        <v>0</v>
      </c>
      <c r="C76">
        <f>SUMIF(RawData!$C:$C,$A76,RawData!G:G)</f>
        <v>0</v>
      </c>
      <c r="D76">
        <f>SUMIF(RawData!$C:$C,$A76,RawData!H:H)</f>
        <v>0</v>
      </c>
      <c r="E76">
        <f>SUMIF(RawData!$C:$C,$A76,RawData!I:I)</f>
        <v>0</v>
      </c>
      <c r="F76">
        <f>SUMIF(RawData!$C:$C,$A76,RawData!J:J)</f>
        <v>0</v>
      </c>
      <c r="G76">
        <f>SUMIF(RawData!$C:$C,$A76,RawData!K:K)</f>
        <v>0</v>
      </c>
      <c r="H76">
        <f>SUMIF(RawData!$C:$C,$A76,RawData!L:L)</f>
        <v>0</v>
      </c>
      <c r="I76">
        <f>SUMIF(RawData!$C:$C,$A76,RawData!M:M)</f>
        <v>0</v>
      </c>
      <c r="J76">
        <f>SUMIF(RawData!$C:$C,$A76,RawData!N:N)</f>
        <v>0</v>
      </c>
      <c r="K76">
        <f>SUMIF(RawData!$C:$C,$A76,RawData!O:O)</f>
        <v>0</v>
      </c>
      <c r="L76">
        <f>SUMIF(RawData!$C:$C,$A76,RawData!P:P)</f>
        <v>0</v>
      </c>
      <c r="M76">
        <f>SUMIF(RawData!$C:$C,$A76,RawData!Q:Q)</f>
        <v>0</v>
      </c>
      <c r="N76">
        <f>SUMIF(RawData!$C:$C,$A76,RawData!R:R)</f>
        <v>0</v>
      </c>
      <c r="O76">
        <f>SUMIF(RawData!$C:$C,$A76,RawData!S:S)</f>
        <v>0</v>
      </c>
      <c r="P76">
        <f>SUMIF(RawData!$C:$C,$A76,RawData!T:T)</f>
        <v>0</v>
      </c>
      <c r="Q76">
        <f>SUMIF(RawData!$C:$C,$A76,RawData!U:U)</f>
        <v>0</v>
      </c>
      <c r="R76">
        <f>SUMIF(RawData!$C:$C,$A76,RawData!V:V)</f>
        <v>0</v>
      </c>
      <c r="S76">
        <f>SUMIF(RawData!$C:$C,$A76,RawData!W:W)</f>
        <v>0</v>
      </c>
      <c r="T76">
        <f>SUMIF(RawData!$C:$C,$A76,RawData!X:X)</f>
        <v>0</v>
      </c>
      <c r="U76">
        <f>SUMIF(RawData!$C:$C,$A76,RawData!Y:Y)</f>
        <v>0</v>
      </c>
      <c r="V76">
        <f>SUMIF(RawData!$C:$C,$A76,RawData!Z:Z)</f>
        <v>0</v>
      </c>
      <c r="W76">
        <f>SUMIF(RawData!$C:$C,$A76,RawData!AA:AA)</f>
        <v>0</v>
      </c>
      <c r="X76">
        <f>SUMIF(RawData!$C:$C,$A76,RawData!AB:AB)</f>
        <v>0</v>
      </c>
      <c r="Y76">
        <f>SUMIF(RawData!$C:$C,$A76,RawData!AC:AC)</f>
        <v>0</v>
      </c>
      <c r="Z76">
        <f>SUMIF(RawData!$C:$C,$A76,RawData!AD:AD)</f>
        <v>0</v>
      </c>
      <c r="AA76">
        <f>SUMIF(RawData!$C:$C,$A76,RawData!AE:AE)</f>
        <v>0</v>
      </c>
      <c r="AB76">
        <f>SUMIF(RawData!$C:$C,$A76,RawData!AF:AF)</f>
        <v>0</v>
      </c>
      <c r="AC76">
        <f>SUMIF(RawData!$C:$C,$A76,RawData!AG:AG)</f>
        <v>0</v>
      </c>
      <c r="AD76">
        <f>SUMIF(RawData!$C:$C,$A76,RawData!AH:AH)</f>
        <v>0</v>
      </c>
      <c r="AE76">
        <f>SUMIF(RawData!$C:$C,$A76,RawData!AI:AI)</f>
        <v>0</v>
      </c>
      <c r="AF76">
        <f>SUMIF(RawData!$C:$C,$A76,RawData!AJ:AJ)</f>
        <v>0</v>
      </c>
      <c r="AG76">
        <f>SUMIF(RawData!$C:$C,$A76,RawData!AK:AK)</f>
        <v>0</v>
      </c>
      <c r="AH76">
        <f>SUMIF(RawData!$C:$C,$A76,RawData!AL:AL)</f>
        <v>0</v>
      </c>
      <c r="AI76">
        <f>SUMIF(RawData!$C:$C,$A76,RawData!AM:AM)</f>
        <v>0</v>
      </c>
      <c r="AJ76">
        <f>SUMIF(RawData!$C:$C,$A76,RawData!AN:AN)</f>
        <v>0</v>
      </c>
      <c r="AK76">
        <f>SUMIF(RawData!$C:$C,$A76,RawData!AO:AO)</f>
        <v>1</v>
      </c>
      <c r="AL76">
        <f>SUMIF(RawData!$C:$C,$A76,RawData!AP:AP)</f>
        <v>1</v>
      </c>
      <c r="AM76">
        <f>SUMIF(RawData!$C:$C,$A76,RawData!AQ:AQ)</f>
        <v>1</v>
      </c>
      <c r="AN76">
        <f>SUMIF(RawData!$C:$C,$A76,RawData!AR:AR)</f>
        <v>1</v>
      </c>
      <c r="AO76">
        <f>SUMIF(RawData!$C:$C,$A76,RawData!AS:AS)</f>
        <v>1</v>
      </c>
      <c r="AP76">
        <f>SUMIF(RawData!$C:$C,$A76,RawData!AT:AT)</f>
        <v>1</v>
      </c>
      <c r="AQ76">
        <f>SUMIF(RawData!$C:$C,$A76,RawData!AU:AU)</f>
        <v>1</v>
      </c>
      <c r="AR76">
        <f>SUMIF(RawData!$C:$C,$A76,RawData!AV:AV)</f>
        <v>1</v>
      </c>
      <c r="AS76">
        <f>SUMIF(RawData!$C:$C,$A76,RawData!AW:AW)</f>
        <v>1</v>
      </c>
      <c r="AT76">
        <f>SUMIF(RawData!$C:$C,$A76,RawData!AX:AX)</f>
        <v>3</v>
      </c>
      <c r="AU76">
        <f>SUMIF(RawData!$C:$C,$A76,RawData!AY:AY)</f>
        <v>3</v>
      </c>
      <c r="AV76">
        <f>SUMIF(RawData!$C:$C,$A76,RawData!AZ:AZ)</f>
        <v>3</v>
      </c>
      <c r="AW76">
        <f>SUMIF(RawData!$C:$C,$A76,RawData!BA:BA)</f>
        <v>3</v>
      </c>
      <c r="AX76">
        <f>SUMIF(RawData!$C:$C,$A76,RawData!BB:BB)</f>
        <v>7</v>
      </c>
      <c r="AY76">
        <f>SUMIF(RawData!$C:$C,$A76,RawData!BC:BC)</f>
        <v>7</v>
      </c>
      <c r="AZ76">
        <f>SUMIF(RawData!$C:$C,$A76,RawData!BD:BD)</f>
        <v>7</v>
      </c>
      <c r="BA76">
        <f>SUMIF(RawData!$C:$C,$A76,RawData!BE:BE)</f>
        <v>14</v>
      </c>
      <c r="BB76">
        <f>SUMIF(RawData!$C:$C,$A76,RawData!BF:BF)</f>
        <v>14</v>
      </c>
      <c r="BC76">
        <f>SUMIF(RawData!$C:$C,$A76,RawData!BG:BG)</f>
        <v>14</v>
      </c>
      <c r="BD76">
        <f>SUMIF(RawData!$C:$C,$A76,RawData!BH:BH)</f>
        <v>18</v>
      </c>
      <c r="BE76">
        <f>SUMIF(RawData!$C:$C,$A76,RawData!BI:BI)</f>
        <v>0</v>
      </c>
      <c r="BF76">
        <f>SUMIF(RawData!$C:$C,$A76,RawData!BJ:BJ)</f>
        <v>0</v>
      </c>
      <c r="BG76">
        <f>SUMIF(RawData!$C:$C,$A76,RawData!BK:BK)</f>
        <v>0</v>
      </c>
      <c r="BH76">
        <f>SUMIF(RawData!$C:$C,$A76,RawData!BL:BL)</f>
        <v>0</v>
      </c>
      <c r="BI76">
        <f>SUMIF(RawData!$C:$C,$A76,RawData!BM:BM)</f>
        <v>0</v>
      </c>
      <c r="BJ76">
        <f>SUMIF(RawData!$C:$C,$A76,RawData!BN:BN)</f>
        <v>0</v>
      </c>
      <c r="BK76">
        <f>SUMIF(RawData!$C:$C,$A76,RawData!BO:BO)</f>
        <v>0</v>
      </c>
      <c r="BL76">
        <f>SUMIF(RawData!$C:$C,$A76,RawData!BP:BP)</f>
        <v>0</v>
      </c>
      <c r="BM76">
        <f>SUMIF(RawData!$C:$C,$A76,RawData!BQ:BQ)</f>
        <v>0</v>
      </c>
      <c r="BN76">
        <f>SUMIF(RawData!$C:$C,$A76,RawData!BR:BR)</f>
        <v>0</v>
      </c>
      <c r="BO76">
        <f>SUMIF(RawData!$C:$C,$A76,RawData!BS:BS)</f>
        <v>0</v>
      </c>
      <c r="BP76">
        <f>SUMIF(RawData!$C:$C,$A76,RawData!BT:BT)</f>
        <v>0</v>
      </c>
      <c r="BQ76">
        <f>SUMIF(RawData!$C:$C,$A76,RawData!BU:BU)</f>
        <v>0</v>
      </c>
      <c r="BR76">
        <f>SUMIF(RawData!$C:$C,$A76,RawData!BV:BV)</f>
        <v>0</v>
      </c>
      <c r="BS76">
        <f>SUMIF(RawData!$C:$C,$A76,RawData!BW:BW)</f>
        <v>0</v>
      </c>
      <c r="BT76">
        <f>SUMIF(RawData!$C:$C,$A76,RawData!BX:BX)</f>
        <v>0</v>
      </c>
    </row>
    <row r="77" spans="1:72" ht="15" thickBot="1" x14ac:dyDescent="0.35">
      <c r="A77" s="4" t="s">
        <v>167</v>
      </c>
      <c r="B77">
        <f>SUMIF(RawData!$C:$C,$A77,RawData!F:F)</f>
        <v>0</v>
      </c>
      <c r="C77">
        <f>SUMIF(RawData!$C:$C,$A77,RawData!G:G)</f>
        <v>0</v>
      </c>
      <c r="D77">
        <f>SUMIF(RawData!$C:$C,$A77,RawData!H:H)</f>
        <v>0</v>
      </c>
      <c r="E77">
        <f>SUMIF(RawData!$C:$C,$A77,RawData!I:I)</f>
        <v>0</v>
      </c>
      <c r="F77">
        <f>SUMIF(RawData!$C:$C,$A77,RawData!J:J)</f>
        <v>0</v>
      </c>
      <c r="G77">
        <f>SUMIF(RawData!$C:$C,$A77,RawData!K:K)</f>
        <v>0</v>
      </c>
      <c r="H77">
        <f>SUMIF(RawData!$C:$C,$A77,RawData!L:L)</f>
        <v>0</v>
      </c>
      <c r="I77">
        <f>SUMIF(RawData!$C:$C,$A77,RawData!M:M)</f>
        <v>0</v>
      </c>
      <c r="J77">
        <f>SUMIF(RawData!$C:$C,$A77,RawData!N:N)</f>
        <v>0</v>
      </c>
      <c r="K77">
        <f>SUMIF(RawData!$C:$C,$A77,RawData!O:O)</f>
        <v>0</v>
      </c>
      <c r="L77">
        <f>SUMIF(RawData!$C:$C,$A77,RawData!P:P)</f>
        <v>0</v>
      </c>
      <c r="M77">
        <f>SUMIF(RawData!$C:$C,$A77,RawData!Q:Q)</f>
        <v>0</v>
      </c>
      <c r="N77">
        <f>SUMIF(RawData!$C:$C,$A77,RawData!R:R)</f>
        <v>0</v>
      </c>
      <c r="O77">
        <f>SUMIF(RawData!$C:$C,$A77,RawData!S:S)</f>
        <v>0</v>
      </c>
      <c r="P77">
        <f>SUMIF(RawData!$C:$C,$A77,RawData!T:T)</f>
        <v>0</v>
      </c>
      <c r="Q77">
        <f>SUMIF(RawData!$C:$C,$A77,RawData!U:U)</f>
        <v>0</v>
      </c>
      <c r="R77">
        <f>SUMIF(RawData!$C:$C,$A77,RawData!V:V)</f>
        <v>0</v>
      </c>
      <c r="S77">
        <f>SUMIF(RawData!$C:$C,$A77,RawData!W:W)</f>
        <v>0</v>
      </c>
      <c r="T77">
        <f>SUMIF(RawData!$C:$C,$A77,RawData!X:X)</f>
        <v>0</v>
      </c>
      <c r="U77">
        <f>SUMIF(RawData!$C:$C,$A77,RawData!Y:Y)</f>
        <v>0</v>
      </c>
      <c r="V77">
        <f>SUMIF(RawData!$C:$C,$A77,RawData!Z:Z)</f>
        <v>0</v>
      </c>
      <c r="W77">
        <f>SUMIF(RawData!$C:$C,$A77,RawData!AA:AA)</f>
        <v>0</v>
      </c>
      <c r="X77">
        <f>SUMIF(RawData!$C:$C,$A77,RawData!AB:AB)</f>
        <v>0</v>
      </c>
      <c r="Y77">
        <f>SUMIF(RawData!$C:$C,$A77,RawData!AC:AC)</f>
        <v>0</v>
      </c>
      <c r="Z77">
        <f>SUMIF(RawData!$C:$C,$A77,RawData!AD:AD)</f>
        <v>0</v>
      </c>
      <c r="AA77">
        <f>SUMIF(RawData!$C:$C,$A77,RawData!AE:AE)</f>
        <v>0</v>
      </c>
      <c r="AB77">
        <f>SUMIF(RawData!$C:$C,$A77,RawData!AF:AF)</f>
        <v>0</v>
      </c>
      <c r="AC77">
        <f>SUMIF(RawData!$C:$C,$A77,RawData!AG:AG)</f>
        <v>0</v>
      </c>
      <c r="AD77">
        <f>SUMIF(RawData!$C:$C,$A77,RawData!AH:AH)</f>
        <v>0</v>
      </c>
      <c r="AE77">
        <f>SUMIF(RawData!$C:$C,$A77,RawData!AI:AI)</f>
        <v>0</v>
      </c>
      <c r="AF77">
        <f>SUMIF(RawData!$C:$C,$A77,RawData!AJ:AJ)</f>
        <v>0</v>
      </c>
      <c r="AG77">
        <f>SUMIF(RawData!$C:$C,$A77,RawData!AK:AK)</f>
        <v>0</v>
      </c>
      <c r="AH77">
        <f>SUMIF(RawData!$C:$C,$A77,RawData!AL:AL)</f>
        <v>0</v>
      </c>
      <c r="AI77">
        <f>SUMIF(RawData!$C:$C,$A77,RawData!AM:AM)</f>
        <v>0</v>
      </c>
      <c r="AJ77">
        <f>SUMIF(RawData!$C:$C,$A77,RawData!AN:AN)</f>
        <v>0</v>
      </c>
      <c r="AK77">
        <f>SUMIF(RawData!$C:$C,$A77,RawData!AO:AO)</f>
        <v>0</v>
      </c>
      <c r="AL77">
        <f>SUMIF(RawData!$C:$C,$A77,RawData!AP:AP)</f>
        <v>0</v>
      </c>
      <c r="AM77">
        <f>SUMIF(RawData!$C:$C,$A77,RawData!AQ:AQ)</f>
        <v>0</v>
      </c>
      <c r="AN77">
        <f>SUMIF(RawData!$C:$C,$A77,RawData!AR:AR)</f>
        <v>0</v>
      </c>
      <c r="AO77">
        <f>SUMIF(RawData!$C:$C,$A77,RawData!AS:AS)</f>
        <v>0</v>
      </c>
      <c r="AP77">
        <f>SUMIF(RawData!$C:$C,$A77,RawData!AT:AT)</f>
        <v>0</v>
      </c>
      <c r="AQ77">
        <f>SUMIF(RawData!$C:$C,$A77,RawData!AU:AU)</f>
        <v>0</v>
      </c>
      <c r="AR77">
        <f>SUMIF(RawData!$C:$C,$A77,RawData!AV:AV)</f>
        <v>0</v>
      </c>
      <c r="AS77">
        <f>SUMIF(RawData!$C:$C,$A77,RawData!AW:AW)</f>
        <v>2</v>
      </c>
      <c r="AT77">
        <f>SUMIF(RawData!$C:$C,$A77,RawData!AX:AX)</f>
        <v>2</v>
      </c>
      <c r="AU77">
        <f>SUMIF(RawData!$C:$C,$A77,RawData!AY:AY)</f>
        <v>3</v>
      </c>
      <c r="AV77">
        <f>SUMIF(RawData!$C:$C,$A77,RawData!AZ:AZ)</f>
        <v>3</v>
      </c>
      <c r="AW77">
        <f>SUMIF(RawData!$C:$C,$A77,RawData!BA:BA)</f>
        <v>3</v>
      </c>
      <c r="AX77">
        <f>SUMIF(RawData!$C:$C,$A77,RawData!BB:BB)</f>
        <v>5</v>
      </c>
      <c r="AY77">
        <f>SUMIF(RawData!$C:$C,$A77,RawData!BC:BC)</f>
        <v>7</v>
      </c>
      <c r="AZ77">
        <f>SUMIF(RawData!$C:$C,$A77,RawData!BD:BD)</f>
        <v>11</v>
      </c>
      <c r="BA77">
        <f>SUMIF(RawData!$C:$C,$A77,RawData!BE:BE)</f>
        <v>13</v>
      </c>
      <c r="BB77">
        <f>SUMIF(RawData!$C:$C,$A77,RawData!BF:BF)</f>
        <v>18</v>
      </c>
      <c r="BC77">
        <f>SUMIF(RawData!$C:$C,$A77,RawData!BG:BG)</f>
        <v>24</v>
      </c>
      <c r="BD77">
        <f>SUMIF(RawData!$C:$C,$A77,RawData!BH:BH)</f>
        <v>25</v>
      </c>
      <c r="BE77">
        <f>SUMIF(RawData!$C:$C,$A77,RawData!BI:BI)</f>
        <v>0</v>
      </c>
      <c r="BF77">
        <f>SUMIF(RawData!$C:$C,$A77,RawData!BJ:BJ)</f>
        <v>0</v>
      </c>
      <c r="BG77">
        <f>SUMIF(RawData!$C:$C,$A77,RawData!BK:BK)</f>
        <v>0</v>
      </c>
      <c r="BH77">
        <f>SUMIF(RawData!$C:$C,$A77,RawData!BL:BL)</f>
        <v>0</v>
      </c>
      <c r="BI77">
        <f>SUMIF(RawData!$C:$C,$A77,RawData!BM:BM)</f>
        <v>0</v>
      </c>
      <c r="BJ77">
        <f>SUMIF(RawData!$C:$C,$A77,RawData!BN:BN)</f>
        <v>0</v>
      </c>
      <c r="BK77">
        <f>SUMIF(RawData!$C:$C,$A77,RawData!BO:BO)</f>
        <v>0</v>
      </c>
      <c r="BL77">
        <f>SUMIF(RawData!$C:$C,$A77,RawData!BP:BP)</f>
        <v>0</v>
      </c>
      <c r="BM77">
        <f>SUMIF(RawData!$C:$C,$A77,RawData!BQ:BQ)</f>
        <v>0</v>
      </c>
      <c r="BN77">
        <f>SUMIF(RawData!$C:$C,$A77,RawData!BR:BR)</f>
        <v>0</v>
      </c>
      <c r="BO77">
        <f>SUMIF(RawData!$C:$C,$A77,RawData!BS:BS)</f>
        <v>0</v>
      </c>
      <c r="BP77">
        <f>SUMIF(RawData!$C:$C,$A77,RawData!BT:BT)</f>
        <v>0</v>
      </c>
      <c r="BQ77">
        <f>SUMIF(RawData!$C:$C,$A77,RawData!BU:BU)</f>
        <v>0</v>
      </c>
      <c r="BR77">
        <f>SUMIF(RawData!$C:$C,$A77,RawData!BV:BV)</f>
        <v>0</v>
      </c>
      <c r="BS77">
        <f>SUMIF(RawData!$C:$C,$A77,RawData!BW:BW)</f>
        <v>0</v>
      </c>
      <c r="BT77">
        <f>SUMIF(RawData!$C:$C,$A77,RawData!BX:BX)</f>
        <v>0</v>
      </c>
    </row>
    <row r="78" spans="1:72" ht="15" thickBot="1" x14ac:dyDescent="0.35">
      <c r="A78" s="5" t="s">
        <v>185</v>
      </c>
      <c r="B78">
        <f>SUMIF(RawData!$C:$C,$A78,RawData!F:F)</f>
        <v>0</v>
      </c>
      <c r="C78">
        <f>SUMIF(RawData!$C:$C,$A78,RawData!G:G)</f>
        <v>0</v>
      </c>
      <c r="D78">
        <f>SUMIF(RawData!$C:$C,$A78,RawData!H:H)</f>
        <v>0</v>
      </c>
      <c r="E78">
        <f>SUMIF(RawData!$C:$C,$A78,RawData!I:I)</f>
        <v>0</v>
      </c>
      <c r="F78">
        <f>SUMIF(RawData!$C:$C,$A78,RawData!J:J)</f>
        <v>0</v>
      </c>
      <c r="G78">
        <f>SUMIF(RawData!$C:$C,$A78,RawData!K:K)</f>
        <v>0</v>
      </c>
      <c r="H78">
        <f>SUMIF(RawData!$C:$C,$A78,RawData!L:L)</f>
        <v>0</v>
      </c>
      <c r="I78">
        <f>SUMIF(RawData!$C:$C,$A78,RawData!M:M)</f>
        <v>0</v>
      </c>
      <c r="J78">
        <f>SUMIF(RawData!$C:$C,$A78,RawData!N:N)</f>
        <v>0</v>
      </c>
      <c r="K78">
        <f>SUMIF(RawData!$C:$C,$A78,RawData!O:O)</f>
        <v>0</v>
      </c>
      <c r="L78">
        <f>SUMIF(RawData!$C:$C,$A78,RawData!P:P)</f>
        <v>0</v>
      </c>
      <c r="M78">
        <f>SUMIF(RawData!$C:$C,$A78,RawData!Q:Q)</f>
        <v>0</v>
      </c>
      <c r="N78">
        <f>SUMIF(RawData!$C:$C,$A78,RawData!R:R)</f>
        <v>0</v>
      </c>
      <c r="O78">
        <f>SUMIF(RawData!$C:$C,$A78,RawData!S:S)</f>
        <v>0</v>
      </c>
      <c r="P78">
        <f>SUMIF(RawData!$C:$C,$A78,RawData!T:T)</f>
        <v>0</v>
      </c>
      <c r="Q78">
        <f>SUMIF(RawData!$C:$C,$A78,RawData!U:U)</f>
        <v>0</v>
      </c>
      <c r="R78">
        <f>SUMIF(RawData!$C:$C,$A78,RawData!V:V)</f>
        <v>0</v>
      </c>
      <c r="S78">
        <f>SUMIF(RawData!$C:$C,$A78,RawData!W:W)</f>
        <v>0</v>
      </c>
      <c r="T78">
        <f>SUMIF(RawData!$C:$C,$A78,RawData!X:X)</f>
        <v>0</v>
      </c>
      <c r="U78">
        <f>SUMIF(RawData!$C:$C,$A78,RawData!Y:Y)</f>
        <v>0</v>
      </c>
      <c r="V78">
        <f>SUMIF(RawData!$C:$C,$A78,RawData!Z:Z)</f>
        <v>0</v>
      </c>
      <c r="W78">
        <f>SUMIF(RawData!$C:$C,$A78,RawData!AA:AA)</f>
        <v>0</v>
      </c>
      <c r="X78">
        <f>SUMIF(RawData!$C:$C,$A78,RawData!AB:AB)</f>
        <v>0</v>
      </c>
      <c r="Y78">
        <f>SUMIF(RawData!$C:$C,$A78,RawData!AC:AC)</f>
        <v>0</v>
      </c>
      <c r="Z78">
        <f>SUMIF(RawData!$C:$C,$A78,RawData!AD:AD)</f>
        <v>0</v>
      </c>
      <c r="AA78">
        <f>SUMIF(RawData!$C:$C,$A78,RawData!AE:AE)</f>
        <v>0</v>
      </c>
      <c r="AB78">
        <f>SUMIF(RawData!$C:$C,$A78,RawData!AF:AF)</f>
        <v>0</v>
      </c>
      <c r="AC78">
        <f>SUMIF(RawData!$C:$C,$A78,RawData!AG:AG)</f>
        <v>0</v>
      </c>
      <c r="AD78">
        <f>SUMIF(RawData!$C:$C,$A78,RawData!AH:AH)</f>
        <v>0</v>
      </c>
      <c r="AE78">
        <f>SUMIF(RawData!$C:$C,$A78,RawData!AI:AI)</f>
        <v>0</v>
      </c>
      <c r="AF78">
        <f>SUMIF(RawData!$C:$C,$A78,RawData!AJ:AJ)</f>
        <v>0</v>
      </c>
      <c r="AG78">
        <f>SUMIF(RawData!$C:$C,$A78,RawData!AK:AK)</f>
        <v>0</v>
      </c>
      <c r="AH78">
        <f>SUMIF(RawData!$C:$C,$A78,RawData!AL:AL)</f>
        <v>0</v>
      </c>
      <c r="AI78">
        <f>SUMIF(RawData!$C:$C,$A78,RawData!AM:AM)</f>
        <v>0</v>
      </c>
      <c r="AJ78">
        <f>SUMIF(RawData!$C:$C,$A78,RawData!AN:AN)</f>
        <v>0</v>
      </c>
      <c r="AK78">
        <f>SUMIF(RawData!$C:$C,$A78,RawData!AO:AO)</f>
        <v>0</v>
      </c>
      <c r="AL78">
        <f>SUMIF(RawData!$C:$C,$A78,RawData!AP:AP)</f>
        <v>0</v>
      </c>
      <c r="AM78">
        <f>SUMIF(RawData!$C:$C,$A78,RawData!AQ:AQ)</f>
        <v>0</v>
      </c>
      <c r="AN78">
        <f>SUMIF(RawData!$C:$C,$A78,RawData!AR:AR)</f>
        <v>0</v>
      </c>
      <c r="AO78">
        <f>SUMIF(RawData!$C:$C,$A78,RawData!AS:AS)</f>
        <v>0</v>
      </c>
      <c r="AP78">
        <f>SUMIF(RawData!$C:$C,$A78,RawData!AT:AT)</f>
        <v>0</v>
      </c>
      <c r="AQ78">
        <f>SUMIF(RawData!$C:$C,$A78,RawData!AU:AU)</f>
        <v>0</v>
      </c>
      <c r="AR78">
        <f>SUMIF(RawData!$C:$C,$A78,RawData!AV:AV)</f>
        <v>0</v>
      </c>
      <c r="AS78">
        <f>SUMIF(RawData!$C:$C,$A78,RawData!AW:AW)</f>
        <v>0</v>
      </c>
      <c r="AT78">
        <f>SUMIF(RawData!$C:$C,$A78,RawData!AX:AX)</f>
        <v>1</v>
      </c>
      <c r="AU78">
        <f>SUMIF(RawData!$C:$C,$A78,RawData!AY:AY)</f>
        <v>1</v>
      </c>
      <c r="AV78">
        <f>SUMIF(RawData!$C:$C,$A78,RawData!AZ:AZ)</f>
        <v>1</v>
      </c>
      <c r="AW78">
        <f>SUMIF(RawData!$C:$C,$A78,RawData!BA:BA)</f>
        <v>1</v>
      </c>
      <c r="AX78">
        <f>SUMIF(RawData!$C:$C,$A78,RawData!BB:BB)</f>
        <v>3</v>
      </c>
      <c r="AY78">
        <f>SUMIF(RawData!$C:$C,$A78,RawData!BC:BC)</f>
        <v>9</v>
      </c>
      <c r="AZ78">
        <f>SUMIF(RawData!$C:$C,$A78,RawData!BD:BD)</f>
        <v>9</v>
      </c>
      <c r="BA78">
        <f>SUMIF(RawData!$C:$C,$A78,RawData!BE:BE)</f>
        <v>13</v>
      </c>
      <c r="BB78">
        <f>SUMIF(RawData!$C:$C,$A78,RawData!BF:BF)</f>
        <v>22</v>
      </c>
      <c r="BC78">
        <f>SUMIF(RawData!$C:$C,$A78,RawData!BG:BG)</f>
        <v>34</v>
      </c>
      <c r="BD78">
        <f>SUMIF(RawData!$C:$C,$A78,RawData!BH:BH)</f>
        <v>54</v>
      </c>
      <c r="BE78">
        <f>SUMIF(RawData!$C:$C,$A78,RawData!BI:BI)</f>
        <v>0</v>
      </c>
      <c r="BF78">
        <f>SUMIF(RawData!$C:$C,$A78,RawData!BJ:BJ)</f>
        <v>0</v>
      </c>
      <c r="BG78">
        <f>SUMIF(RawData!$C:$C,$A78,RawData!BK:BK)</f>
        <v>0</v>
      </c>
      <c r="BH78">
        <f>SUMIF(RawData!$C:$C,$A78,RawData!BL:BL)</f>
        <v>0</v>
      </c>
      <c r="BI78">
        <f>SUMIF(RawData!$C:$C,$A78,RawData!BM:BM)</f>
        <v>0</v>
      </c>
      <c r="BJ78">
        <f>SUMIF(RawData!$C:$C,$A78,RawData!BN:BN)</f>
        <v>0</v>
      </c>
      <c r="BK78">
        <f>SUMIF(RawData!$C:$C,$A78,RawData!BO:BO)</f>
        <v>0</v>
      </c>
      <c r="BL78">
        <f>SUMIF(RawData!$C:$C,$A78,RawData!BP:BP)</f>
        <v>0</v>
      </c>
      <c r="BM78">
        <f>SUMIF(RawData!$C:$C,$A78,RawData!BQ:BQ)</f>
        <v>0</v>
      </c>
      <c r="BN78">
        <f>SUMIF(RawData!$C:$C,$A78,RawData!BR:BR)</f>
        <v>0</v>
      </c>
      <c r="BO78">
        <f>SUMIF(RawData!$C:$C,$A78,RawData!BS:BS)</f>
        <v>0</v>
      </c>
      <c r="BP78">
        <f>SUMIF(RawData!$C:$C,$A78,RawData!BT:BT)</f>
        <v>0</v>
      </c>
      <c r="BQ78">
        <f>SUMIF(RawData!$C:$C,$A78,RawData!BU:BU)</f>
        <v>0</v>
      </c>
      <c r="BR78">
        <f>SUMIF(RawData!$C:$C,$A78,RawData!BV:BV)</f>
        <v>0</v>
      </c>
      <c r="BS78">
        <f>SUMIF(RawData!$C:$C,$A78,RawData!BW:BW)</f>
        <v>0</v>
      </c>
      <c r="BT78">
        <f>SUMIF(RawData!$C:$C,$A78,RawData!BX:BX)</f>
        <v>0</v>
      </c>
    </row>
    <row r="79" spans="1:72" ht="15" thickBot="1" x14ac:dyDescent="0.35">
      <c r="A79" s="4" t="s">
        <v>204</v>
      </c>
      <c r="B79">
        <f>SUMIF(RawData!$C:$C,$A79,RawData!F:F)</f>
        <v>0</v>
      </c>
      <c r="C79">
        <f>SUMIF(RawData!$C:$C,$A79,RawData!G:G)</f>
        <v>0</v>
      </c>
      <c r="D79">
        <f>SUMIF(RawData!$C:$C,$A79,RawData!H:H)</f>
        <v>0</v>
      </c>
      <c r="E79">
        <f>SUMIF(RawData!$C:$C,$A79,RawData!I:I)</f>
        <v>0</v>
      </c>
      <c r="F79">
        <f>SUMIF(RawData!$C:$C,$A79,RawData!J:J)</f>
        <v>0</v>
      </c>
      <c r="G79">
        <f>SUMIF(RawData!$C:$C,$A79,RawData!K:K)</f>
        <v>0</v>
      </c>
      <c r="H79">
        <f>SUMIF(RawData!$C:$C,$A79,RawData!L:L)</f>
        <v>0</v>
      </c>
      <c r="I79">
        <f>SUMIF(RawData!$C:$C,$A79,RawData!M:M)</f>
        <v>0</v>
      </c>
      <c r="J79">
        <f>SUMIF(RawData!$C:$C,$A79,RawData!N:N)</f>
        <v>0</v>
      </c>
      <c r="K79">
        <f>SUMIF(RawData!$C:$C,$A79,RawData!O:O)</f>
        <v>0</v>
      </c>
      <c r="L79">
        <f>SUMIF(RawData!$C:$C,$A79,RawData!P:P)</f>
        <v>0</v>
      </c>
      <c r="M79">
        <f>SUMIF(RawData!$C:$C,$A79,RawData!Q:Q)</f>
        <v>0</v>
      </c>
      <c r="N79">
        <f>SUMIF(RawData!$C:$C,$A79,RawData!R:R)</f>
        <v>0</v>
      </c>
      <c r="O79">
        <f>SUMIF(RawData!$C:$C,$A79,RawData!S:S)</f>
        <v>0</v>
      </c>
      <c r="P79">
        <f>SUMIF(RawData!$C:$C,$A79,RawData!T:T)</f>
        <v>0</v>
      </c>
      <c r="Q79">
        <f>SUMIF(RawData!$C:$C,$A79,RawData!U:U)</f>
        <v>0</v>
      </c>
      <c r="R79">
        <f>SUMIF(RawData!$C:$C,$A79,RawData!V:V)</f>
        <v>0</v>
      </c>
      <c r="S79">
        <f>SUMIF(RawData!$C:$C,$A79,RawData!W:W)</f>
        <v>0</v>
      </c>
      <c r="T79">
        <f>SUMIF(RawData!$C:$C,$A79,RawData!X:X)</f>
        <v>0</v>
      </c>
      <c r="U79">
        <f>SUMIF(RawData!$C:$C,$A79,RawData!Y:Y)</f>
        <v>0</v>
      </c>
      <c r="V79">
        <f>SUMIF(RawData!$C:$C,$A79,RawData!Z:Z)</f>
        <v>0</v>
      </c>
      <c r="W79">
        <f>SUMIF(RawData!$C:$C,$A79,RawData!AA:AA)</f>
        <v>0</v>
      </c>
      <c r="X79">
        <f>SUMIF(RawData!$C:$C,$A79,RawData!AB:AB)</f>
        <v>0</v>
      </c>
      <c r="Y79">
        <f>SUMIF(RawData!$C:$C,$A79,RawData!AC:AC)</f>
        <v>0</v>
      </c>
      <c r="Z79">
        <f>SUMIF(RawData!$C:$C,$A79,RawData!AD:AD)</f>
        <v>0</v>
      </c>
      <c r="AA79">
        <f>SUMIF(RawData!$C:$C,$A79,RawData!AE:AE)</f>
        <v>0</v>
      </c>
      <c r="AB79">
        <f>SUMIF(RawData!$C:$C,$A79,RawData!AF:AF)</f>
        <v>0</v>
      </c>
      <c r="AC79">
        <f>SUMIF(RawData!$C:$C,$A79,RawData!AG:AG)</f>
        <v>0</v>
      </c>
      <c r="AD79">
        <f>SUMIF(RawData!$C:$C,$A79,RawData!AH:AH)</f>
        <v>0</v>
      </c>
      <c r="AE79">
        <f>SUMIF(RawData!$C:$C,$A79,RawData!AI:AI)</f>
        <v>0</v>
      </c>
      <c r="AF79">
        <f>SUMIF(RawData!$C:$C,$A79,RawData!AJ:AJ)</f>
        <v>0</v>
      </c>
      <c r="AG79">
        <f>SUMIF(RawData!$C:$C,$A79,RawData!AK:AK)</f>
        <v>0</v>
      </c>
      <c r="AH79">
        <f>SUMIF(RawData!$C:$C,$A79,RawData!AL:AL)</f>
        <v>0</v>
      </c>
      <c r="AI79">
        <f>SUMIF(RawData!$C:$C,$A79,RawData!AM:AM)</f>
        <v>0</v>
      </c>
      <c r="AJ79">
        <f>SUMIF(RawData!$C:$C,$A79,RawData!AN:AN)</f>
        <v>0</v>
      </c>
      <c r="AK79">
        <f>SUMIF(RawData!$C:$C,$A79,RawData!AO:AO)</f>
        <v>0</v>
      </c>
      <c r="AL79">
        <f>SUMIF(RawData!$C:$C,$A79,RawData!AP:AP)</f>
        <v>0</v>
      </c>
      <c r="AM79">
        <f>SUMIF(RawData!$C:$C,$A79,RawData!AQ:AQ)</f>
        <v>0</v>
      </c>
      <c r="AN79">
        <f>SUMIF(RawData!$C:$C,$A79,RawData!AR:AR)</f>
        <v>0</v>
      </c>
      <c r="AO79">
        <f>SUMIF(RawData!$C:$C,$A79,RawData!AS:AS)</f>
        <v>0</v>
      </c>
      <c r="AP79">
        <f>SUMIF(RawData!$C:$C,$A79,RawData!AT:AT)</f>
        <v>0</v>
      </c>
      <c r="AQ79">
        <f>SUMIF(RawData!$C:$C,$A79,RawData!AU:AU)</f>
        <v>0</v>
      </c>
      <c r="AR79">
        <f>SUMIF(RawData!$C:$C,$A79,RawData!AV:AV)</f>
        <v>0</v>
      </c>
      <c r="AS79">
        <f>SUMIF(RawData!$C:$C,$A79,RawData!AW:AW)</f>
        <v>0</v>
      </c>
      <c r="AT79">
        <f>SUMIF(RawData!$C:$C,$A79,RawData!AX:AX)</f>
        <v>0</v>
      </c>
      <c r="AU79">
        <f>SUMIF(RawData!$C:$C,$A79,RawData!AY:AY)</f>
        <v>3</v>
      </c>
      <c r="AV79">
        <f>SUMIF(RawData!$C:$C,$A79,RawData!AZ:AZ)</f>
        <v>3</v>
      </c>
      <c r="AW79">
        <f>SUMIF(RawData!$C:$C,$A79,RawData!BA:BA)</f>
        <v>3</v>
      </c>
      <c r="AX79">
        <f>SUMIF(RawData!$C:$C,$A79,RawData!BB:BB)</f>
        <v>5</v>
      </c>
      <c r="AY79">
        <f>SUMIF(RawData!$C:$C,$A79,RawData!BC:BC)</f>
        <v>6</v>
      </c>
      <c r="AZ79">
        <f>SUMIF(RawData!$C:$C,$A79,RawData!BD:BD)</f>
        <v>6</v>
      </c>
      <c r="BA79">
        <f>SUMIF(RawData!$C:$C,$A79,RawData!BE:BE)</f>
        <v>12</v>
      </c>
      <c r="BB79">
        <f>SUMIF(RawData!$C:$C,$A79,RawData!BF:BF)</f>
        <v>18</v>
      </c>
      <c r="BC79">
        <f>SUMIF(RawData!$C:$C,$A79,RawData!BG:BG)</f>
        <v>21</v>
      </c>
      <c r="BD79">
        <f>SUMIF(RawData!$C:$C,$A79,RawData!BH:BH)</f>
        <v>30</v>
      </c>
      <c r="BE79">
        <f>SUMIF(RawData!$C:$C,$A79,RawData!BI:BI)</f>
        <v>0</v>
      </c>
      <c r="BF79">
        <f>SUMIF(RawData!$C:$C,$A79,RawData!BJ:BJ)</f>
        <v>0</v>
      </c>
      <c r="BG79">
        <f>SUMIF(RawData!$C:$C,$A79,RawData!BK:BK)</f>
        <v>0</v>
      </c>
      <c r="BH79">
        <f>SUMIF(RawData!$C:$C,$A79,RawData!BL:BL)</f>
        <v>0</v>
      </c>
      <c r="BI79">
        <f>SUMIF(RawData!$C:$C,$A79,RawData!BM:BM)</f>
        <v>0</v>
      </c>
      <c r="BJ79">
        <f>SUMIF(RawData!$C:$C,$A79,RawData!BN:BN)</f>
        <v>0</v>
      </c>
      <c r="BK79">
        <f>SUMIF(RawData!$C:$C,$A79,RawData!BO:BO)</f>
        <v>0</v>
      </c>
      <c r="BL79">
        <f>SUMIF(RawData!$C:$C,$A79,RawData!BP:BP)</f>
        <v>0</v>
      </c>
      <c r="BM79">
        <f>SUMIF(RawData!$C:$C,$A79,RawData!BQ:BQ)</f>
        <v>0</v>
      </c>
      <c r="BN79">
        <f>SUMIF(RawData!$C:$C,$A79,RawData!BR:BR)</f>
        <v>0</v>
      </c>
      <c r="BO79">
        <f>SUMIF(RawData!$C:$C,$A79,RawData!BS:BS)</f>
        <v>0</v>
      </c>
      <c r="BP79">
        <f>SUMIF(RawData!$C:$C,$A79,RawData!BT:BT)</f>
        <v>0</v>
      </c>
      <c r="BQ79">
        <f>SUMIF(RawData!$C:$C,$A79,RawData!BU:BU)</f>
        <v>0</v>
      </c>
      <c r="BR79">
        <f>SUMIF(RawData!$C:$C,$A79,RawData!BV:BV)</f>
        <v>0</v>
      </c>
      <c r="BS79">
        <f>SUMIF(RawData!$C:$C,$A79,RawData!BW:BW)</f>
        <v>0</v>
      </c>
      <c r="BT79">
        <f>SUMIF(RawData!$C:$C,$A79,RawData!BX:BX)</f>
        <v>0</v>
      </c>
    </row>
    <row r="80" spans="1:72" ht="15" thickBot="1" x14ac:dyDescent="0.35">
      <c r="A80" s="5" t="s">
        <v>121</v>
      </c>
      <c r="B80">
        <f>SUMIF(RawData!$C:$C,$A80,RawData!F:F)</f>
        <v>0</v>
      </c>
      <c r="C80">
        <f>SUMIF(RawData!$C:$C,$A80,RawData!G:G)</f>
        <v>0</v>
      </c>
      <c r="D80">
        <f>SUMIF(RawData!$C:$C,$A80,RawData!H:H)</f>
        <v>0</v>
      </c>
      <c r="E80">
        <f>SUMIF(RawData!$C:$C,$A80,RawData!I:I)</f>
        <v>0</v>
      </c>
      <c r="F80">
        <f>SUMIF(RawData!$C:$C,$A80,RawData!J:J)</f>
        <v>0</v>
      </c>
      <c r="G80">
        <f>SUMIF(RawData!$C:$C,$A80,RawData!K:K)</f>
        <v>0</v>
      </c>
      <c r="H80">
        <f>SUMIF(RawData!$C:$C,$A80,RawData!L:L)</f>
        <v>0</v>
      </c>
      <c r="I80">
        <f>SUMIF(RawData!$C:$C,$A80,RawData!M:M)</f>
        <v>0</v>
      </c>
      <c r="J80">
        <f>SUMIF(RawData!$C:$C,$A80,RawData!N:N)</f>
        <v>0</v>
      </c>
      <c r="K80">
        <f>SUMIF(RawData!$C:$C,$A80,RawData!O:O)</f>
        <v>0</v>
      </c>
      <c r="L80">
        <f>SUMIF(RawData!$C:$C,$A80,RawData!P:P)</f>
        <v>0</v>
      </c>
      <c r="M80">
        <f>SUMIF(RawData!$C:$C,$A80,RawData!Q:Q)</f>
        <v>0</v>
      </c>
      <c r="N80">
        <f>SUMIF(RawData!$C:$C,$A80,RawData!R:R)</f>
        <v>0</v>
      </c>
      <c r="O80">
        <f>SUMIF(RawData!$C:$C,$A80,RawData!S:S)</f>
        <v>0</v>
      </c>
      <c r="P80">
        <f>SUMIF(RawData!$C:$C,$A80,RawData!T:T)</f>
        <v>0</v>
      </c>
      <c r="Q80">
        <f>SUMIF(RawData!$C:$C,$A80,RawData!U:U)</f>
        <v>0</v>
      </c>
      <c r="R80">
        <f>SUMIF(RawData!$C:$C,$A80,RawData!V:V)</f>
        <v>0</v>
      </c>
      <c r="S80">
        <f>SUMIF(RawData!$C:$C,$A80,RawData!W:W)</f>
        <v>0</v>
      </c>
      <c r="T80">
        <f>SUMIF(RawData!$C:$C,$A80,RawData!X:X)</f>
        <v>0</v>
      </c>
      <c r="U80">
        <f>SUMIF(RawData!$C:$C,$A80,RawData!Y:Y)</f>
        <v>0</v>
      </c>
      <c r="V80">
        <f>SUMIF(RawData!$C:$C,$A80,RawData!Z:Z)</f>
        <v>0</v>
      </c>
      <c r="W80">
        <f>SUMIF(RawData!$C:$C,$A80,RawData!AA:AA)</f>
        <v>0</v>
      </c>
      <c r="X80">
        <f>SUMIF(RawData!$C:$C,$A80,RawData!AB:AB)</f>
        <v>0</v>
      </c>
      <c r="Y80">
        <f>SUMIF(RawData!$C:$C,$A80,RawData!AC:AC)</f>
        <v>0</v>
      </c>
      <c r="Z80">
        <f>SUMIF(RawData!$C:$C,$A80,RawData!AD:AD)</f>
        <v>0</v>
      </c>
      <c r="AA80">
        <f>SUMIF(RawData!$C:$C,$A80,RawData!AE:AE)</f>
        <v>0</v>
      </c>
      <c r="AB80">
        <f>SUMIF(RawData!$C:$C,$A80,RawData!AF:AF)</f>
        <v>0</v>
      </c>
      <c r="AC80">
        <f>SUMIF(RawData!$C:$C,$A80,RawData!AG:AG)</f>
        <v>0</v>
      </c>
      <c r="AD80">
        <f>SUMIF(RawData!$C:$C,$A80,RawData!AH:AH)</f>
        <v>0</v>
      </c>
      <c r="AE80">
        <f>SUMIF(RawData!$C:$C,$A80,RawData!AI:AI)</f>
        <v>0</v>
      </c>
      <c r="AF80">
        <f>SUMIF(RawData!$C:$C,$A80,RawData!AJ:AJ)</f>
        <v>0</v>
      </c>
      <c r="AG80">
        <f>SUMIF(RawData!$C:$C,$A80,RawData!AK:AK)</f>
        <v>0</v>
      </c>
      <c r="AH80">
        <f>SUMIF(RawData!$C:$C,$A80,RawData!AL:AL)</f>
        <v>0</v>
      </c>
      <c r="AI80">
        <f>SUMIF(RawData!$C:$C,$A80,RawData!AM:AM)</f>
        <v>0</v>
      </c>
      <c r="AJ80">
        <f>SUMIF(RawData!$C:$C,$A80,RawData!AN:AN)</f>
        <v>0</v>
      </c>
      <c r="AK80">
        <f>SUMIF(RawData!$C:$C,$A80,RawData!AO:AO)</f>
        <v>0</v>
      </c>
      <c r="AL80">
        <f>SUMIF(RawData!$C:$C,$A80,RawData!AP:AP)</f>
        <v>0</v>
      </c>
      <c r="AM80">
        <f>SUMIF(RawData!$C:$C,$A80,RawData!AQ:AQ)</f>
        <v>1</v>
      </c>
      <c r="AN80">
        <f>SUMIF(RawData!$C:$C,$A80,RawData!AR:AR)</f>
        <v>4</v>
      </c>
      <c r="AO80">
        <f>SUMIF(RawData!$C:$C,$A80,RawData!AS:AS)</f>
        <v>5</v>
      </c>
      <c r="AP80">
        <f>SUMIF(RawData!$C:$C,$A80,RawData!AT:AT)</f>
        <v>5</v>
      </c>
      <c r="AQ80">
        <f>SUMIF(RawData!$C:$C,$A80,RawData!AU:AU)</f>
        <v>5</v>
      </c>
      <c r="AR80">
        <f>SUMIF(RawData!$C:$C,$A80,RawData!AV:AV)</f>
        <v>5</v>
      </c>
      <c r="AS80">
        <f>SUMIF(RawData!$C:$C,$A80,RawData!AW:AW)</f>
        <v>5</v>
      </c>
      <c r="AT80">
        <f>SUMIF(RawData!$C:$C,$A80,RawData!AX:AX)</f>
        <v>6</v>
      </c>
      <c r="AU80">
        <f>SUMIF(RawData!$C:$C,$A80,RawData!AY:AY)</f>
        <v>6</v>
      </c>
      <c r="AV80">
        <f>SUMIF(RawData!$C:$C,$A80,RawData!AZ:AZ)</f>
        <v>7</v>
      </c>
      <c r="AW80">
        <f>SUMIF(RawData!$C:$C,$A80,RawData!BA:BA)</f>
        <v>7</v>
      </c>
      <c r="AX80">
        <f>SUMIF(RawData!$C:$C,$A80,RawData!BB:BB)</f>
        <v>7</v>
      </c>
      <c r="AY80">
        <f>SUMIF(RawData!$C:$C,$A80,RawData!BC:BC)</f>
        <v>8</v>
      </c>
      <c r="AZ80">
        <f>SUMIF(RawData!$C:$C,$A80,RawData!BD:BD)</f>
        <v>12</v>
      </c>
      <c r="BA80">
        <f>SUMIF(RawData!$C:$C,$A80,RawData!BE:BE)</f>
        <v>12</v>
      </c>
      <c r="BB80">
        <f>SUMIF(RawData!$C:$C,$A80,RawData!BF:BF)</f>
        <v>26</v>
      </c>
      <c r="BC80">
        <f>SUMIF(RawData!$C:$C,$A80,RawData!BG:BG)</f>
        <v>41</v>
      </c>
      <c r="BD80">
        <f>SUMIF(RawData!$C:$C,$A80,RawData!BH:BH)</f>
        <v>53</v>
      </c>
      <c r="BE80">
        <f>SUMIF(RawData!$C:$C,$A80,RawData!BI:BI)</f>
        <v>0</v>
      </c>
      <c r="BF80">
        <f>SUMIF(RawData!$C:$C,$A80,RawData!BJ:BJ)</f>
        <v>0</v>
      </c>
      <c r="BG80">
        <f>SUMIF(RawData!$C:$C,$A80,RawData!BK:BK)</f>
        <v>0</v>
      </c>
      <c r="BH80">
        <f>SUMIF(RawData!$C:$C,$A80,RawData!BL:BL)</f>
        <v>0</v>
      </c>
      <c r="BI80">
        <f>SUMIF(RawData!$C:$C,$A80,RawData!BM:BM)</f>
        <v>0</v>
      </c>
      <c r="BJ80">
        <f>SUMIF(RawData!$C:$C,$A80,RawData!BN:BN)</f>
        <v>0</v>
      </c>
      <c r="BK80">
        <f>SUMIF(RawData!$C:$C,$A80,RawData!BO:BO)</f>
        <v>0</v>
      </c>
      <c r="BL80">
        <f>SUMIF(RawData!$C:$C,$A80,RawData!BP:BP)</f>
        <v>0</v>
      </c>
      <c r="BM80">
        <f>SUMIF(RawData!$C:$C,$A80,RawData!BQ:BQ)</f>
        <v>0</v>
      </c>
      <c r="BN80">
        <f>SUMIF(RawData!$C:$C,$A80,RawData!BR:BR)</f>
        <v>0</v>
      </c>
      <c r="BO80">
        <f>SUMIF(RawData!$C:$C,$A80,RawData!BS:BS)</f>
        <v>0</v>
      </c>
      <c r="BP80">
        <f>SUMIF(RawData!$C:$C,$A80,RawData!BT:BT)</f>
        <v>0</v>
      </c>
      <c r="BQ80">
        <f>SUMIF(RawData!$C:$C,$A80,RawData!BU:BU)</f>
        <v>0</v>
      </c>
      <c r="BR80">
        <f>SUMIF(RawData!$C:$C,$A80,RawData!BV:BV)</f>
        <v>0</v>
      </c>
      <c r="BS80">
        <f>SUMIF(RawData!$C:$C,$A80,RawData!BW:BW)</f>
        <v>0</v>
      </c>
      <c r="BT80">
        <f>SUMIF(RawData!$C:$C,$A80,RawData!BX:BX)</f>
        <v>0</v>
      </c>
    </row>
    <row r="81" spans="1:72" ht="15" thickBot="1" x14ac:dyDescent="0.35">
      <c r="A81" s="4" t="s">
        <v>141</v>
      </c>
      <c r="B81">
        <f>SUMIF(RawData!$C:$C,$A81,RawData!F:F)</f>
        <v>0</v>
      </c>
      <c r="C81">
        <f>SUMIF(RawData!$C:$C,$A81,RawData!G:G)</f>
        <v>0</v>
      </c>
      <c r="D81">
        <f>SUMIF(RawData!$C:$C,$A81,RawData!H:H)</f>
        <v>0</v>
      </c>
      <c r="E81">
        <f>SUMIF(RawData!$C:$C,$A81,RawData!I:I)</f>
        <v>0</v>
      </c>
      <c r="F81">
        <f>SUMIF(RawData!$C:$C,$A81,RawData!J:J)</f>
        <v>0</v>
      </c>
      <c r="G81">
        <f>SUMIF(RawData!$C:$C,$A81,RawData!K:K)</f>
        <v>0</v>
      </c>
      <c r="H81">
        <f>SUMIF(RawData!$C:$C,$A81,RawData!L:L)</f>
        <v>0</v>
      </c>
      <c r="I81">
        <f>SUMIF(RawData!$C:$C,$A81,RawData!M:M)</f>
        <v>0</v>
      </c>
      <c r="J81">
        <f>SUMIF(RawData!$C:$C,$A81,RawData!N:N)</f>
        <v>0</v>
      </c>
      <c r="K81">
        <f>SUMIF(RawData!$C:$C,$A81,RawData!O:O)</f>
        <v>0</v>
      </c>
      <c r="L81">
        <f>SUMIF(RawData!$C:$C,$A81,RawData!P:P)</f>
        <v>0</v>
      </c>
      <c r="M81">
        <f>SUMIF(RawData!$C:$C,$A81,RawData!Q:Q)</f>
        <v>0</v>
      </c>
      <c r="N81">
        <f>SUMIF(RawData!$C:$C,$A81,RawData!R:R)</f>
        <v>0</v>
      </c>
      <c r="O81">
        <f>SUMIF(RawData!$C:$C,$A81,RawData!S:S)</f>
        <v>0</v>
      </c>
      <c r="P81">
        <f>SUMIF(RawData!$C:$C,$A81,RawData!T:T)</f>
        <v>0</v>
      </c>
      <c r="Q81">
        <f>SUMIF(RawData!$C:$C,$A81,RawData!U:U)</f>
        <v>0</v>
      </c>
      <c r="R81">
        <f>SUMIF(RawData!$C:$C,$A81,RawData!V:V)</f>
        <v>0</v>
      </c>
      <c r="S81">
        <f>SUMIF(RawData!$C:$C,$A81,RawData!W:W)</f>
        <v>0</v>
      </c>
      <c r="T81">
        <f>SUMIF(RawData!$C:$C,$A81,RawData!X:X)</f>
        <v>0</v>
      </c>
      <c r="U81">
        <f>SUMIF(RawData!$C:$C,$A81,RawData!Y:Y)</f>
        <v>0</v>
      </c>
      <c r="V81">
        <f>SUMIF(RawData!$C:$C,$A81,RawData!Z:Z)</f>
        <v>0</v>
      </c>
      <c r="W81">
        <f>SUMIF(RawData!$C:$C,$A81,RawData!AA:AA)</f>
        <v>0</v>
      </c>
      <c r="X81">
        <f>SUMIF(RawData!$C:$C,$A81,RawData!AB:AB)</f>
        <v>0</v>
      </c>
      <c r="Y81">
        <f>SUMIF(RawData!$C:$C,$A81,RawData!AC:AC)</f>
        <v>0</v>
      </c>
      <c r="Z81">
        <f>SUMIF(RawData!$C:$C,$A81,RawData!AD:AD)</f>
        <v>0</v>
      </c>
      <c r="AA81">
        <f>SUMIF(RawData!$C:$C,$A81,RawData!AE:AE)</f>
        <v>0</v>
      </c>
      <c r="AB81">
        <f>SUMIF(RawData!$C:$C,$A81,RawData!AF:AF)</f>
        <v>0</v>
      </c>
      <c r="AC81">
        <f>SUMIF(RawData!$C:$C,$A81,RawData!AG:AG)</f>
        <v>0</v>
      </c>
      <c r="AD81">
        <f>SUMIF(RawData!$C:$C,$A81,RawData!AH:AH)</f>
        <v>0</v>
      </c>
      <c r="AE81">
        <f>SUMIF(RawData!$C:$C,$A81,RawData!AI:AI)</f>
        <v>0</v>
      </c>
      <c r="AF81">
        <f>SUMIF(RawData!$C:$C,$A81,RawData!AJ:AJ)</f>
        <v>0</v>
      </c>
      <c r="AG81">
        <f>SUMIF(RawData!$C:$C,$A81,RawData!AK:AK)</f>
        <v>0</v>
      </c>
      <c r="AH81">
        <f>SUMIF(RawData!$C:$C,$A81,RawData!AL:AL)</f>
        <v>0</v>
      </c>
      <c r="AI81">
        <f>SUMIF(RawData!$C:$C,$A81,RawData!AM:AM)</f>
        <v>0</v>
      </c>
      <c r="AJ81">
        <f>SUMIF(RawData!$C:$C,$A81,RawData!AN:AN)</f>
        <v>0</v>
      </c>
      <c r="AK81">
        <f>SUMIF(RawData!$C:$C,$A81,RawData!AO:AO)</f>
        <v>0</v>
      </c>
      <c r="AL81">
        <f>SUMIF(RawData!$C:$C,$A81,RawData!AP:AP)</f>
        <v>0</v>
      </c>
      <c r="AM81">
        <f>SUMIF(RawData!$C:$C,$A81,RawData!AQ:AQ)</f>
        <v>0</v>
      </c>
      <c r="AN81">
        <f>SUMIF(RawData!$C:$C,$A81,RawData!AR:AR)</f>
        <v>0</v>
      </c>
      <c r="AO81">
        <f>SUMIF(RawData!$C:$C,$A81,RawData!AS:AS)</f>
        <v>0</v>
      </c>
      <c r="AP81">
        <f>SUMIF(RawData!$C:$C,$A81,RawData!AT:AT)</f>
        <v>1</v>
      </c>
      <c r="AQ81">
        <f>SUMIF(RawData!$C:$C,$A81,RawData!AU:AU)</f>
        <v>2</v>
      </c>
      <c r="AR81">
        <f>SUMIF(RawData!$C:$C,$A81,RawData!AV:AV)</f>
        <v>4</v>
      </c>
      <c r="AS81">
        <f>SUMIF(RawData!$C:$C,$A81,RawData!AW:AW)</f>
        <v>4</v>
      </c>
      <c r="AT81">
        <f>SUMIF(RawData!$C:$C,$A81,RawData!AX:AX)</f>
        <v>4</v>
      </c>
      <c r="AU81">
        <f>SUMIF(RawData!$C:$C,$A81,RawData!AY:AY)</f>
        <v>4</v>
      </c>
      <c r="AV81">
        <f>SUMIF(RawData!$C:$C,$A81,RawData!AZ:AZ)</f>
        <v>4</v>
      </c>
      <c r="AW81">
        <f>SUMIF(RawData!$C:$C,$A81,RawData!BA:BA)</f>
        <v>4</v>
      </c>
      <c r="AX81">
        <f>SUMIF(RawData!$C:$C,$A81,RawData!BB:BB)</f>
        <v>4</v>
      </c>
      <c r="AY81">
        <f>SUMIF(RawData!$C:$C,$A81,RawData!BC:BC)</f>
        <v>4</v>
      </c>
      <c r="AZ81">
        <f>SUMIF(RawData!$C:$C,$A81,RawData!BD:BD)</f>
        <v>4</v>
      </c>
      <c r="BA81">
        <f>SUMIF(RawData!$C:$C,$A81,RawData!BE:BE)</f>
        <v>10</v>
      </c>
      <c r="BB81">
        <f>SUMIF(RawData!$C:$C,$A81,RawData!BF:BF)</f>
        <v>10</v>
      </c>
      <c r="BC81">
        <f>SUMIF(RawData!$C:$C,$A81,RawData!BG:BG)</f>
        <v>24</v>
      </c>
      <c r="BD81">
        <f>SUMIF(RawData!$C:$C,$A81,RawData!BH:BH)</f>
        <v>24</v>
      </c>
      <c r="BE81">
        <f>SUMIF(RawData!$C:$C,$A81,RawData!BI:BI)</f>
        <v>0</v>
      </c>
      <c r="BF81">
        <f>SUMIF(RawData!$C:$C,$A81,RawData!BJ:BJ)</f>
        <v>0</v>
      </c>
      <c r="BG81">
        <f>SUMIF(RawData!$C:$C,$A81,RawData!BK:BK)</f>
        <v>0</v>
      </c>
      <c r="BH81">
        <f>SUMIF(RawData!$C:$C,$A81,RawData!BL:BL)</f>
        <v>0</v>
      </c>
      <c r="BI81">
        <f>SUMIF(RawData!$C:$C,$A81,RawData!BM:BM)</f>
        <v>0</v>
      </c>
      <c r="BJ81">
        <f>SUMIF(RawData!$C:$C,$A81,RawData!BN:BN)</f>
        <v>0</v>
      </c>
      <c r="BK81">
        <f>SUMIF(RawData!$C:$C,$A81,RawData!BO:BO)</f>
        <v>0</v>
      </c>
      <c r="BL81">
        <f>SUMIF(RawData!$C:$C,$A81,RawData!BP:BP)</f>
        <v>0</v>
      </c>
      <c r="BM81">
        <f>SUMIF(RawData!$C:$C,$A81,RawData!BQ:BQ)</f>
        <v>0</v>
      </c>
      <c r="BN81">
        <f>SUMIF(RawData!$C:$C,$A81,RawData!BR:BR)</f>
        <v>0</v>
      </c>
      <c r="BO81">
        <f>SUMIF(RawData!$C:$C,$A81,RawData!BS:BS)</f>
        <v>0</v>
      </c>
      <c r="BP81">
        <f>SUMIF(RawData!$C:$C,$A81,RawData!BT:BT)</f>
        <v>0</v>
      </c>
      <c r="BQ81">
        <f>SUMIF(RawData!$C:$C,$A81,RawData!BU:BU)</f>
        <v>0</v>
      </c>
      <c r="BR81">
        <f>SUMIF(RawData!$C:$C,$A81,RawData!BV:BV)</f>
        <v>0</v>
      </c>
      <c r="BS81">
        <f>SUMIF(RawData!$C:$C,$A81,RawData!BW:BW)</f>
        <v>0</v>
      </c>
      <c r="BT81">
        <f>SUMIF(RawData!$C:$C,$A81,RawData!BX:BX)</f>
        <v>0</v>
      </c>
    </row>
    <row r="82" spans="1:72" ht="15" thickBot="1" x14ac:dyDescent="0.35">
      <c r="A82" s="5" t="s">
        <v>227</v>
      </c>
      <c r="B82">
        <f>SUMIF(RawData!$C:$C,$A82,RawData!F:F)</f>
        <v>0</v>
      </c>
      <c r="C82">
        <f>SUMIF(RawData!$C:$C,$A82,RawData!G:G)</f>
        <v>0</v>
      </c>
      <c r="D82">
        <f>SUMIF(RawData!$C:$C,$A82,RawData!H:H)</f>
        <v>0</v>
      </c>
      <c r="E82">
        <f>SUMIF(RawData!$C:$C,$A82,RawData!I:I)</f>
        <v>0</v>
      </c>
      <c r="F82">
        <f>SUMIF(RawData!$C:$C,$A82,RawData!J:J)</f>
        <v>0</v>
      </c>
      <c r="G82">
        <f>SUMIF(RawData!$C:$C,$A82,RawData!K:K)</f>
        <v>0</v>
      </c>
      <c r="H82">
        <f>SUMIF(RawData!$C:$C,$A82,RawData!L:L)</f>
        <v>0</v>
      </c>
      <c r="I82">
        <f>SUMIF(RawData!$C:$C,$A82,RawData!M:M)</f>
        <v>0</v>
      </c>
      <c r="J82">
        <f>SUMIF(RawData!$C:$C,$A82,RawData!N:N)</f>
        <v>0</v>
      </c>
      <c r="K82">
        <f>SUMIF(RawData!$C:$C,$A82,RawData!O:O)</f>
        <v>0</v>
      </c>
      <c r="L82">
        <f>SUMIF(RawData!$C:$C,$A82,RawData!P:P)</f>
        <v>0</v>
      </c>
      <c r="M82">
        <f>SUMIF(RawData!$C:$C,$A82,RawData!Q:Q)</f>
        <v>0</v>
      </c>
      <c r="N82">
        <f>SUMIF(RawData!$C:$C,$A82,RawData!R:R)</f>
        <v>0</v>
      </c>
      <c r="O82">
        <f>SUMIF(RawData!$C:$C,$A82,RawData!S:S)</f>
        <v>0</v>
      </c>
      <c r="P82">
        <f>SUMIF(RawData!$C:$C,$A82,RawData!T:T)</f>
        <v>0</v>
      </c>
      <c r="Q82">
        <f>SUMIF(RawData!$C:$C,$A82,RawData!U:U)</f>
        <v>0</v>
      </c>
      <c r="R82">
        <f>SUMIF(RawData!$C:$C,$A82,RawData!V:V)</f>
        <v>0</v>
      </c>
      <c r="S82">
        <f>SUMIF(RawData!$C:$C,$A82,RawData!W:W)</f>
        <v>0</v>
      </c>
      <c r="T82">
        <f>SUMIF(RawData!$C:$C,$A82,RawData!X:X)</f>
        <v>0</v>
      </c>
      <c r="U82">
        <f>SUMIF(RawData!$C:$C,$A82,RawData!Y:Y)</f>
        <v>0</v>
      </c>
      <c r="V82">
        <f>SUMIF(RawData!$C:$C,$A82,RawData!Z:Z)</f>
        <v>0</v>
      </c>
      <c r="W82">
        <f>SUMIF(RawData!$C:$C,$A82,RawData!AA:AA)</f>
        <v>0</v>
      </c>
      <c r="X82">
        <f>SUMIF(RawData!$C:$C,$A82,RawData!AB:AB)</f>
        <v>0</v>
      </c>
      <c r="Y82">
        <f>SUMIF(RawData!$C:$C,$A82,RawData!AC:AC)</f>
        <v>0</v>
      </c>
      <c r="Z82">
        <f>SUMIF(RawData!$C:$C,$A82,RawData!AD:AD)</f>
        <v>0</v>
      </c>
      <c r="AA82">
        <f>SUMIF(RawData!$C:$C,$A82,RawData!AE:AE)</f>
        <v>0</v>
      </c>
      <c r="AB82">
        <f>SUMIF(RawData!$C:$C,$A82,RawData!AF:AF)</f>
        <v>0</v>
      </c>
      <c r="AC82">
        <f>SUMIF(RawData!$C:$C,$A82,RawData!AG:AG)</f>
        <v>0</v>
      </c>
      <c r="AD82">
        <f>SUMIF(RawData!$C:$C,$A82,RawData!AH:AH)</f>
        <v>0</v>
      </c>
      <c r="AE82">
        <f>SUMIF(RawData!$C:$C,$A82,RawData!AI:AI)</f>
        <v>0</v>
      </c>
      <c r="AF82">
        <f>SUMIF(RawData!$C:$C,$A82,RawData!AJ:AJ)</f>
        <v>0</v>
      </c>
      <c r="AG82">
        <f>SUMIF(RawData!$C:$C,$A82,RawData!AK:AK)</f>
        <v>0</v>
      </c>
      <c r="AH82">
        <f>SUMIF(RawData!$C:$C,$A82,RawData!AL:AL)</f>
        <v>0</v>
      </c>
      <c r="AI82">
        <f>SUMIF(RawData!$C:$C,$A82,RawData!AM:AM)</f>
        <v>0</v>
      </c>
      <c r="AJ82">
        <f>SUMIF(RawData!$C:$C,$A82,RawData!AN:AN)</f>
        <v>0</v>
      </c>
      <c r="AK82">
        <f>SUMIF(RawData!$C:$C,$A82,RawData!AO:AO)</f>
        <v>0</v>
      </c>
      <c r="AL82">
        <f>SUMIF(RawData!$C:$C,$A82,RawData!AP:AP)</f>
        <v>0</v>
      </c>
      <c r="AM82">
        <f>SUMIF(RawData!$C:$C,$A82,RawData!AQ:AQ)</f>
        <v>0</v>
      </c>
      <c r="AN82">
        <f>SUMIF(RawData!$C:$C,$A82,RawData!AR:AR)</f>
        <v>0</v>
      </c>
      <c r="AO82">
        <f>SUMIF(RawData!$C:$C,$A82,RawData!AS:AS)</f>
        <v>0</v>
      </c>
      <c r="AP82">
        <f>SUMIF(RawData!$C:$C,$A82,RawData!AT:AT)</f>
        <v>0</v>
      </c>
      <c r="AQ82">
        <f>SUMIF(RawData!$C:$C,$A82,RawData!AU:AU)</f>
        <v>0</v>
      </c>
      <c r="AR82">
        <f>SUMIF(RawData!$C:$C,$A82,RawData!AV:AV)</f>
        <v>0</v>
      </c>
      <c r="AS82">
        <f>SUMIF(RawData!$C:$C,$A82,RawData!AW:AW)</f>
        <v>0</v>
      </c>
      <c r="AT82">
        <f>SUMIF(RawData!$C:$C,$A82,RawData!AX:AX)</f>
        <v>0</v>
      </c>
      <c r="AU82">
        <f>SUMIF(RawData!$C:$C,$A82,RawData!AY:AY)</f>
        <v>0</v>
      </c>
      <c r="AV82">
        <f>SUMIF(RawData!$C:$C,$A82,RawData!AZ:AZ)</f>
        <v>4</v>
      </c>
      <c r="AW82">
        <f>SUMIF(RawData!$C:$C,$A82,RawData!BA:BA)</f>
        <v>4</v>
      </c>
      <c r="AX82">
        <f>SUMIF(RawData!$C:$C,$A82,RawData!BB:BB)</f>
        <v>6</v>
      </c>
      <c r="AY82">
        <f>SUMIF(RawData!$C:$C,$A82,RawData!BC:BC)</f>
        <v>8</v>
      </c>
      <c r="AZ82">
        <f>SUMIF(RawData!$C:$C,$A82,RawData!BD:BD)</f>
        <v>8</v>
      </c>
      <c r="BA82">
        <f>SUMIF(RawData!$C:$C,$A82,RawData!BE:BE)</f>
        <v>9</v>
      </c>
      <c r="BB82">
        <f>SUMIF(RawData!$C:$C,$A82,RawData!BF:BF)</f>
        <v>10</v>
      </c>
      <c r="BC82">
        <f>SUMIF(RawData!$C:$C,$A82,RawData!BG:BG)</f>
        <v>13</v>
      </c>
      <c r="BD82">
        <f>SUMIF(RawData!$C:$C,$A82,RawData!BH:BH)</f>
        <v>13</v>
      </c>
      <c r="BE82">
        <f>SUMIF(RawData!$C:$C,$A82,RawData!BI:BI)</f>
        <v>0</v>
      </c>
      <c r="BF82">
        <f>SUMIF(RawData!$C:$C,$A82,RawData!BJ:BJ)</f>
        <v>0</v>
      </c>
      <c r="BG82">
        <f>SUMIF(RawData!$C:$C,$A82,RawData!BK:BK)</f>
        <v>0</v>
      </c>
      <c r="BH82">
        <f>SUMIF(RawData!$C:$C,$A82,RawData!BL:BL)</f>
        <v>0</v>
      </c>
      <c r="BI82">
        <f>SUMIF(RawData!$C:$C,$A82,RawData!BM:BM)</f>
        <v>0</v>
      </c>
      <c r="BJ82">
        <f>SUMIF(RawData!$C:$C,$A82,RawData!BN:BN)</f>
        <v>0</v>
      </c>
      <c r="BK82">
        <f>SUMIF(RawData!$C:$C,$A82,RawData!BO:BO)</f>
        <v>0</v>
      </c>
      <c r="BL82">
        <f>SUMIF(RawData!$C:$C,$A82,RawData!BP:BP)</f>
        <v>0</v>
      </c>
      <c r="BM82">
        <f>SUMIF(RawData!$C:$C,$A82,RawData!BQ:BQ)</f>
        <v>0</v>
      </c>
      <c r="BN82">
        <f>SUMIF(RawData!$C:$C,$A82,RawData!BR:BR)</f>
        <v>0</v>
      </c>
      <c r="BO82">
        <f>SUMIF(RawData!$C:$C,$A82,RawData!BS:BS)</f>
        <v>0</v>
      </c>
      <c r="BP82">
        <f>SUMIF(RawData!$C:$C,$A82,RawData!BT:BT)</f>
        <v>0</v>
      </c>
      <c r="BQ82">
        <f>SUMIF(RawData!$C:$C,$A82,RawData!BU:BU)</f>
        <v>0</v>
      </c>
      <c r="BR82">
        <f>SUMIF(RawData!$C:$C,$A82,RawData!BV:BV)</f>
        <v>0</v>
      </c>
      <c r="BS82">
        <f>SUMIF(RawData!$C:$C,$A82,RawData!BW:BW)</f>
        <v>0</v>
      </c>
      <c r="BT82">
        <f>SUMIF(RawData!$C:$C,$A82,RawData!BX:BX)</f>
        <v>0</v>
      </c>
    </row>
    <row r="83" spans="1:72" ht="15" thickBot="1" x14ac:dyDescent="0.35">
      <c r="A83" s="5" t="s">
        <v>132</v>
      </c>
      <c r="B83">
        <f>SUMIF(RawData!$C:$C,$A83,RawData!F:F)</f>
        <v>0</v>
      </c>
      <c r="C83">
        <f>SUMIF(RawData!$C:$C,$A83,RawData!G:G)</f>
        <v>0</v>
      </c>
      <c r="D83">
        <f>SUMIF(RawData!$C:$C,$A83,RawData!H:H)</f>
        <v>0</v>
      </c>
      <c r="E83">
        <f>SUMIF(RawData!$C:$C,$A83,RawData!I:I)</f>
        <v>0</v>
      </c>
      <c r="F83">
        <f>SUMIF(RawData!$C:$C,$A83,RawData!J:J)</f>
        <v>0</v>
      </c>
      <c r="G83">
        <f>SUMIF(RawData!$C:$C,$A83,RawData!K:K)</f>
        <v>0</v>
      </c>
      <c r="H83">
        <f>SUMIF(RawData!$C:$C,$A83,RawData!L:L)</f>
        <v>0</v>
      </c>
      <c r="I83">
        <f>SUMIF(RawData!$C:$C,$A83,RawData!M:M)</f>
        <v>0</v>
      </c>
      <c r="J83">
        <f>SUMIF(RawData!$C:$C,$A83,RawData!N:N)</f>
        <v>0</v>
      </c>
      <c r="K83">
        <f>SUMIF(RawData!$C:$C,$A83,RawData!O:O)</f>
        <v>0</v>
      </c>
      <c r="L83">
        <f>SUMIF(RawData!$C:$C,$A83,RawData!P:P)</f>
        <v>0</v>
      </c>
      <c r="M83">
        <f>SUMIF(RawData!$C:$C,$A83,RawData!Q:Q)</f>
        <v>0</v>
      </c>
      <c r="N83">
        <f>SUMIF(RawData!$C:$C,$A83,RawData!R:R)</f>
        <v>0</v>
      </c>
      <c r="O83">
        <f>SUMIF(RawData!$C:$C,$A83,RawData!S:S)</f>
        <v>0</v>
      </c>
      <c r="P83">
        <f>SUMIF(RawData!$C:$C,$A83,RawData!T:T)</f>
        <v>0</v>
      </c>
      <c r="Q83">
        <f>SUMIF(RawData!$C:$C,$A83,RawData!U:U)</f>
        <v>0</v>
      </c>
      <c r="R83">
        <f>SUMIF(RawData!$C:$C,$A83,RawData!V:V)</f>
        <v>0</v>
      </c>
      <c r="S83">
        <f>SUMIF(RawData!$C:$C,$A83,RawData!W:W)</f>
        <v>0</v>
      </c>
      <c r="T83">
        <f>SUMIF(RawData!$C:$C,$A83,RawData!X:X)</f>
        <v>0</v>
      </c>
      <c r="U83">
        <f>SUMIF(RawData!$C:$C,$A83,RawData!Y:Y)</f>
        <v>0</v>
      </c>
      <c r="V83">
        <f>SUMIF(RawData!$C:$C,$A83,RawData!Z:Z)</f>
        <v>0</v>
      </c>
      <c r="W83">
        <f>SUMIF(RawData!$C:$C,$A83,RawData!AA:AA)</f>
        <v>0</v>
      </c>
      <c r="X83">
        <f>SUMIF(RawData!$C:$C,$A83,RawData!AB:AB)</f>
        <v>0</v>
      </c>
      <c r="Y83">
        <f>SUMIF(RawData!$C:$C,$A83,RawData!AC:AC)</f>
        <v>0</v>
      </c>
      <c r="Z83">
        <f>SUMIF(RawData!$C:$C,$A83,RawData!AD:AD)</f>
        <v>0</v>
      </c>
      <c r="AA83">
        <f>SUMIF(RawData!$C:$C,$A83,RawData!AE:AE)</f>
        <v>0</v>
      </c>
      <c r="AB83">
        <f>SUMIF(RawData!$C:$C,$A83,RawData!AF:AF)</f>
        <v>0</v>
      </c>
      <c r="AC83">
        <f>SUMIF(RawData!$C:$C,$A83,RawData!AG:AG)</f>
        <v>0</v>
      </c>
      <c r="AD83">
        <f>SUMIF(RawData!$C:$C,$A83,RawData!AH:AH)</f>
        <v>0</v>
      </c>
      <c r="AE83">
        <f>SUMIF(RawData!$C:$C,$A83,RawData!AI:AI)</f>
        <v>0</v>
      </c>
      <c r="AF83">
        <f>SUMIF(RawData!$C:$C,$A83,RawData!AJ:AJ)</f>
        <v>0</v>
      </c>
      <c r="AG83">
        <f>SUMIF(RawData!$C:$C,$A83,RawData!AK:AK)</f>
        <v>0</v>
      </c>
      <c r="AH83">
        <f>SUMIF(RawData!$C:$C,$A83,RawData!AL:AL)</f>
        <v>0</v>
      </c>
      <c r="AI83">
        <f>SUMIF(RawData!$C:$C,$A83,RawData!AM:AM)</f>
        <v>0</v>
      </c>
      <c r="AJ83">
        <f>SUMIF(RawData!$C:$C,$A83,RawData!AN:AN)</f>
        <v>0</v>
      </c>
      <c r="AK83">
        <f>SUMIF(RawData!$C:$C,$A83,RawData!AO:AO)</f>
        <v>0</v>
      </c>
      <c r="AL83">
        <f>SUMIF(RawData!$C:$C,$A83,RawData!AP:AP)</f>
        <v>0</v>
      </c>
      <c r="AM83">
        <f>SUMIF(RawData!$C:$C,$A83,RawData!AQ:AQ)</f>
        <v>0</v>
      </c>
      <c r="AN83">
        <f>SUMIF(RawData!$C:$C,$A83,RawData!AR:AR)</f>
        <v>0</v>
      </c>
      <c r="AO83">
        <f>SUMIF(RawData!$C:$C,$A83,RawData!AS:AS)</f>
        <v>1</v>
      </c>
      <c r="AP83">
        <f>SUMIF(RawData!$C:$C,$A83,RawData!AT:AT)</f>
        <v>1</v>
      </c>
      <c r="AQ83">
        <f>SUMIF(RawData!$C:$C,$A83,RawData!AU:AU)</f>
        <v>1</v>
      </c>
      <c r="AR83">
        <f>SUMIF(RawData!$C:$C,$A83,RawData!AV:AV)</f>
        <v>1</v>
      </c>
      <c r="AS83">
        <f>SUMIF(RawData!$C:$C,$A83,RawData!AW:AW)</f>
        <v>1</v>
      </c>
      <c r="AT83">
        <f>SUMIF(RawData!$C:$C,$A83,RawData!AX:AX)</f>
        <v>1</v>
      </c>
      <c r="AU83">
        <f>SUMIF(RawData!$C:$C,$A83,RawData!AY:AY)</f>
        <v>1</v>
      </c>
      <c r="AV83">
        <f>SUMIF(RawData!$C:$C,$A83,RawData!AZ:AZ)</f>
        <v>1</v>
      </c>
      <c r="AW83">
        <f>SUMIF(RawData!$C:$C,$A83,RawData!BA:BA)</f>
        <v>1</v>
      </c>
      <c r="AX83">
        <f>SUMIF(RawData!$C:$C,$A83,RawData!BB:BB)</f>
        <v>1</v>
      </c>
      <c r="AY83">
        <f>SUMIF(RawData!$C:$C,$A83,RawData!BC:BC)</f>
        <v>1</v>
      </c>
      <c r="AZ83">
        <f>SUMIF(RawData!$C:$C,$A83,RawData!BD:BD)</f>
        <v>4</v>
      </c>
      <c r="BA83">
        <f>SUMIF(RawData!$C:$C,$A83,RawData!BE:BE)</f>
        <v>8</v>
      </c>
      <c r="BB83">
        <f>SUMIF(RawData!$C:$C,$A83,RawData!BF:BF)</f>
        <v>18</v>
      </c>
      <c r="BC83">
        <f>SUMIF(RawData!$C:$C,$A83,RawData!BG:BG)</f>
        <v>26</v>
      </c>
      <c r="BD83">
        <f>SUMIF(RawData!$C:$C,$A83,RawData!BH:BH)</f>
        <v>52</v>
      </c>
      <c r="BE83">
        <f>SUMIF(RawData!$C:$C,$A83,RawData!BI:BI)</f>
        <v>0</v>
      </c>
      <c r="BF83">
        <f>SUMIF(RawData!$C:$C,$A83,RawData!BJ:BJ)</f>
        <v>0</v>
      </c>
      <c r="BG83">
        <f>SUMIF(RawData!$C:$C,$A83,RawData!BK:BK)</f>
        <v>0</v>
      </c>
      <c r="BH83">
        <f>SUMIF(RawData!$C:$C,$A83,RawData!BL:BL)</f>
        <v>0</v>
      </c>
      <c r="BI83">
        <f>SUMIF(RawData!$C:$C,$A83,RawData!BM:BM)</f>
        <v>0</v>
      </c>
      <c r="BJ83">
        <f>SUMIF(RawData!$C:$C,$A83,RawData!BN:BN)</f>
        <v>0</v>
      </c>
      <c r="BK83">
        <f>SUMIF(RawData!$C:$C,$A83,RawData!BO:BO)</f>
        <v>0</v>
      </c>
      <c r="BL83">
        <f>SUMIF(RawData!$C:$C,$A83,RawData!BP:BP)</f>
        <v>0</v>
      </c>
      <c r="BM83">
        <f>SUMIF(RawData!$C:$C,$A83,RawData!BQ:BQ)</f>
        <v>0</v>
      </c>
      <c r="BN83">
        <f>SUMIF(RawData!$C:$C,$A83,RawData!BR:BR)</f>
        <v>0</v>
      </c>
      <c r="BO83">
        <f>SUMIF(RawData!$C:$C,$A83,RawData!BS:BS)</f>
        <v>0</v>
      </c>
      <c r="BP83">
        <f>SUMIF(RawData!$C:$C,$A83,RawData!BT:BT)</f>
        <v>0</v>
      </c>
      <c r="BQ83">
        <f>SUMIF(RawData!$C:$C,$A83,RawData!BU:BU)</f>
        <v>0</v>
      </c>
      <c r="BR83">
        <f>SUMIF(RawData!$C:$C,$A83,RawData!BV:BV)</f>
        <v>0</v>
      </c>
      <c r="BS83">
        <f>SUMIF(RawData!$C:$C,$A83,RawData!BW:BW)</f>
        <v>0</v>
      </c>
      <c r="BT83">
        <f>SUMIF(RawData!$C:$C,$A83,RawData!BX:BX)</f>
        <v>0</v>
      </c>
    </row>
    <row r="84" spans="1:72" ht="15" thickBot="1" x14ac:dyDescent="0.35">
      <c r="A84" s="4" t="s">
        <v>381</v>
      </c>
      <c r="B84">
        <f>SUMIF(RawData!$C:$C,$A84,RawData!F:F)</f>
        <v>0</v>
      </c>
      <c r="C84">
        <f>SUMIF(RawData!$C:$C,$A84,RawData!G:G)</f>
        <v>0</v>
      </c>
      <c r="D84">
        <f>SUMIF(RawData!$C:$C,$A84,RawData!H:H)</f>
        <v>0</v>
      </c>
      <c r="E84">
        <f>SUMIF(RawData!$C:$C,$A84,RawData!I:I)</f>
        <v>0</v>
      </c>
      <c r="F84">
        <f>SUMIF(RawData!$C:$C,$A84,RawData!J:J)</f>
        <v>0</v>
      </c>
      <c r="G84">
        <f>SUMIF(RawData!$C:$C,$A84,RawData!K:K)</f>
        <v>0</v>
      </c>
      <c r="H84">
        <f>SUMIF(RawData!$C:$C,$A84,RawData!L:L)</f>
        <v>0</v>
      </c>
      <c r="I84">
        <f>SUMIF(RawData!$C:$C,$A84,RawData!M:M)</f>
        <v>0</v>
      </c>
      <c r="J84">
        <f>SUMIF(RawData!$C:$C,$A84,RawData!N:N)</f>
        <v>0</v>
      </c>
      <c r="K84">
        <f>SUMIF(RawData!$C:$C,$A84,RawData!O:O)</f>
        <v>0</v>
      </c>
      <c r="L84">
        <f>SUMIF(RawData!$C:$C,$A84,RawData!P:P)</f>
        <v>0</v>
      </c>
      <c r="M84">
        <f>SUMIF(RawData!$C:$C,$A84,RawData!Q:Q)</f>
        <v>0</v>
      </c>
      <c r="N84">
        <f>SUMIF(RawData!$C:$C,$A84,RawData!R:R)</f>
        <v>0</v>
      </c>
      <c r="O84">
        <f>SUMIF(RawData!$C:$C,$A84,RawData!S:S)</f>
        <v>0</v>
      </c>
      <c r="P84">
        <f>SUMIF(RawData!$C:$C,$A84,RawData!T:T)</f>
        <v>0</v>
      </c>
      <c r="Q84">
        <f>SUMIF(RawData!$C:$C,$A84,RawData!U:U)</f>
        <v>0</v>
      </c>
      <c r="R84">
        <f>SUMIF(RawData!$C:$C,$A84,RawData!V:V)</f>
        <v>0</v>
      </c>
      <c r="S84">
        <f>SUMIF(RawData!$C:$C,$A84,RawData!W:W)</f>
        <v>0</v>
      </c>
      <c r="T84">
        <f>SUMIF(RawData!$C:$C,$A84,RawData!X:X)</f>
        <v>0</v>
      </c>
      <c r="U84">
        <f>SUMIF(RawData!$C:$C,$A84,RawData!Y:Y)</f>
        <v>0</v>
      </c>
      <c r="V84">
        <f>SUMIF(RawData!$C:$C,$A84,RawData!Z:Z)</f>
        <v>0</v>
      </c>
      <c r="W84">
        <f>SUMIF(RawData!$C:$C,$A84,RawData!AA:AA)</f>
        <v>0</v>
      </c>
      <c r="X84">
        <f>SUMIF(RawData!$C:$C,$A84,RawData!AB:AB)</f>
        <v>0</v>
      </c>
      <c r="Y84">
        <f>SUMIF(RawData!$C:$C,$A84,RawData!AC:AC)</f>
        <v>0</v>
      </c>
      <c r="Z84">
        <f>SUMIF(RawData!$C:$C,$A84,RawData!AD:AD)</f>
        <v>0</v>
      </c>
      <c r="AA84">
        <f>SUMIF(RawData!$C:$C,$A84,RawData!AE:AE)</f>
        <v>0</v>
      </c>
      <c r="AB84">
        <f>SUMIF(RawData!$C:$C,$A84,RawData!AF:AF)</f>
        <v>0</v>
      </c>
      <c r="AC84">
        <f>SUMIF(RawData!$C:$C,$A84,RawData!AG:AG)</f>
        <v>0</v>
      </c>
      <c r="AD84">
        <f>SUMIF(RawData!$C:$C,$A84,RawData!AH:AH)</f>
        <v>0</v>
      </c>
      <c r="AE84">
        <f>SUMIF(RawData!$C:$C,$A84,RawData!AI:AI)</f>
        <v>0</v>
      </c>
      <c r="AF84">
        <f>SUMIF(RawData!$C:$C,$A84,RawData!AJ:AJ)</f>
        <v>0</v>
      </c>
      <c r="AG84">
        <f>SUMIF(RawData!$C:$C,$A84,RawData!AK:AK)</f>
        <v>0</v>
      </c>
      <c r="AH84">
        <f>SUMIF(RawData!$C:$C,$A84,RawData!AL:AL)</f>
        <v>0</v>
      </c>
      <c r="AI84">
        <f>SUMIF(RawData!$C:$C,$A84,RawData!AM:AM)</f>
        <v>0</v>
      </c>
      <c r="AJ84">
        <f>SUMIF(RawData!$C:$C,$A84,RawData!AN:AN)</f>
        <v>0</v>
      </c>
      <c r="AK84">
        <f>SUMIF(RawData!$C:$C,$A84,RawData!AO:AO)</f>
        <v>0</v>
      </c>
      <c r="AL84">
        <f>SUMIF(RawData!$C:$C,$A84,RawData!AP:AP)</f>
        <v>0</v>
      </c>
      <c r="AM84">
        <f>SUMIF(RawData!$C:$C,$A84,RawData!AQ:AQ)</f>
        <v>0</v>
      </c>
      <c r="AN84">
        <f>SUMIF(RawData!$C:$C,$A84,RawData!AR:AR)</f>
        <v>0</v>
      </c>
      <c r="AO84">
        <f>SUMIF(RawData!$C:$C,$A84,RawData!AS:AS)</f>
        <v>0</v>
      </c>
      <c r="AP84">
        <f>SUMIF(RawData!$C:$C,$A84,RawData!AT:AT)</f>
        <v>0</v>
      </c>
      <c r="AQ84">
        <f>SUMIF(RawData!$C:$C,$A84,RawData!AU:AU)</f>
        <v>0</v>
      </c>
      <c r="AR84">
        <f>SUMIF(RawData!$C:$C,$A84,RawData!AV:AV)</f>
        <v>0</v>
      </c>
      <c r="AS84">
        <f>SUMIF(RawData!$C:$C,$A84,RawData!AW:AW)</f>
        <v>0</v>
      </c>
      <c r="AT84">
        <f>SUMIF(RawData!$C:$C,$A84,RawData!AX:AX)</f>
        <v>0</v>
      </c>
      <c r="AU84">
        <f>SUMIF(RawData!$C:$C,$A84,RawData!AY:AY)</f>
        <v>0</v>
      </c>
      <c r="AV84">
        <f>SUMIF(RawData!$C:$C,$A84,RawData!AZ:AZ)</f>
        <v>0</v>
      </c>
      <c r="AW84">
        <f>SUMIF(RawData!$C:$C,$A84,RawData!BA:BA)</f>
        <v>0</v>
      </c>
      <c r="AX84">
        <f>SUMIF(RawData!$C:$C,$A84,RawData!BB:BB)</f>
        <v>0</v>
      </c>
      <c r="AY84">
        <f>SUMIF(RawData!$C:$C,$A84,RawData!BC:BC)</f>
        <v>1</v>
      </c>
      <c r="AZ84">
        <f>SUMIF(RawData!$C:$C,$A84,RawData!BD:BD)</f>
        <v>2</v>
      </c>
      <c r="BA84">
        <f>SUMIF(RawData!$C:$C,$A84,RawData!BE:BE)</f>
        <v>8</v>
      </c>
      <c r="BB84">
        <f>SUMIF(RawData!$C:$C,$A84,RawData!BF:BF)</f>
        <v>8</v>
      </c>
      <c r="BC84">
        <f>SUMIF(RawData!$C:$C,$A84,RawData!BG:BG)</f>
        <v>10</v>
      </c>
      <c r="BD84">
        <f>SUMIF(RawData!$C:$C,$A84,RawData!BH:BH)</f>
        <v>10</v>
      </c>
      <c r="BE84">
        <f>SUMIF(RawData!$C:$C,$A84,RawData!BI:BI)</f>
        <v>0</v>
      </c>
      <c r="BF84">
        <f>SUMIF(RawData!$C:$C,$A84,RawData!BJ:BJ)</f>
        <v>0</v>
      </c>
      <c r="BG84">
        <f>SUMIF(RawData!$C:$C,$A84,RawData!BK:BK)</f>
        <v>0</v>
      </c>
      <c r="BH84">
        <f>SUMIF(RawData!$C:$C,$A84,RawData!BL:BL)</f>
        <v>0</v>
      </c>
      <c r="BI84">
        <f>SUMIF(RawData!$C:$C,$A84,RawData!BM:BM)</f>
        <v>0</v>
      </c>
      <c r="BJ84">
        <f>SUMIF(RawData!$C:$C,$A84,RawData!BN:BN)</f>
        <v>0</v>
      </c>
      <c r="BK84">
        <f>SUMIF(RawData!$C:$C,$A84,RawData!BO:BO)</f>
        <v>0</v>
      </c>
      <c r="BL84">
        <f>SUMIF(RawData!$C:$C,$A84,RawData!BP:BP)</f>
        <v>0</v>
      </c>
      <c r="BM84">
        <f>SUMIF(RawData!$C:$C,$A84,RawData!BQ:BQ)</f>
        <v>0</v>
      </c>
      <c r="BN84">
        <f>SUMIF(RawData!$C:$C,$A84,RawData!BR:BR)</f>
        <v>0</v>
      </c>
      <c r="BO84">
        <f>SUMIF(RawData!$C:$C,$A84,RawData!BS:BS)</f>
        <v>0</v>
      </c>
      <c r="BP84">
        <f>SUMIF(RawData!$C:$C,$A84,RawData!BT:BT)</f>
        <v>0</v>
      </c>
      <c r="BQ84">
        <f>SUMIF(RawData!$C:$C,$A84,RawData!BU:BU)</f>
        <v>0</v>
      </c>
      <c r="BR84">
        <f>SUMIF(RawData!$C:$C,$A84,RawData!BV:BV)</f>
        <v>0</v>
      </c>
      <c r="BS84">
        <f>SUMIF(RawData!$C:$C,$A84,RawData!BW:BW)</f>
        <v>0</v>
      </c>
      <c r="BT84">
        <f>SUMIF(RawData!$C:$C,$A84,RawData!BX:BX)</f>
        <v>0</v>
      </c>
    </row>
    <row r="85" spans="1:72" ht="15" thickBot="1" x14ac:dyDescent="0.35">
      <c r="A85" s="4" t="s">
        <v>99</v>
      </c>
      <c r="B85">
        <f>SUMIF(RawData!$C:$C,$A85,RawData!F:F)</f>
        <v>0</v>
      </c>
      <c r="C85">
        <f>SUMIF(RawData!$C:$C,$A85,RawData!G:G)</f>
        <v>0</v>
      </c>
      <c r="D85">
        <f>SUMIF(RawData!$C:$C,$A85,RawData!H:H)</f>
        <v>0</v>
      </c>
      <c r="E85">
        <f>SUMIF(RawData!$C:$C,$A85,RawData!I:I)</f>
        <v>0</v>
      </c>
      <c r="F85">
        <f>SUMIF(RawData!$C:$C,$A85,RawData!J:J)</f>
        <v>0</v>
      </c>
      <c r="G85">
        <f>SUMIF(RawData!$C:$C,$A85,RawData!K:K)</f>
        <v>0</v>
      </c>
      <c r="H85">
        <f>SUMIF(RawData!$C:$C,$A85,RawData!L:L)</f>
        <v>0</v>
      </c>
      <c r="I85">
        <f>SUMIF(RawData!$C:$C,$A85,RawData!M:M)</f>
        <v>0</v>
      </c>
      <c r="J85">
        <f>SUMIF(RawData!$C:$C,$A85,RawData!N:N)</f>
        <v>0</v>
      </c>
      <c r="K85">
        <f>SUMIF(RawData!$C:$C,$A85,RawData!O:O)</f>
        <v>0</v>
      </c>
      <c r="L85">
        <f>SUMIF(RawData!$C:$C,$A85,RawData!P:P)</f>
        <v>0</v>
      </c>
      <c r="M85">
        <f>SUMIF(RawData!$C:$C,$A85,RawData!Q:Q)</f>
        <v>0</v>
      </c>
      <c r="N85">
        <f>SUMIF(RawData!$C:$C,$A85,RawData!R:R)</f>
        <v>0</v>
      </c>
      <c r="O85">
        <f>SUMIF(RawData!$C:$C,$A85,RawData!S:S)</f>
        <v>0</v>
      </c>
      <c r="P85">
        <f>SUMIF(RawData!$C:$C,$A85,RawData!T:T)</f>
        <v>0</v>
      </c>
      <c r="Q85">
        <f>SUMIF(RawData!$C:$C,$A85,RawData!U:U)</f>
        <v>0</v>
      </c>
      <c r="R85">
        <f>SUMIF(RawData!$C:$C,$A85,RawData!V:V)</f>
        <v>0</v>
      </c>
      <c r="S85">
        <f>SUMIF(RawData!$C:$C,$A85,RawData!W:W)</f>
        <v>0</v>
      </c>
      <c r="T85">
        <f>SUMIF(RawData!$C:$C,$A85,RawData!X:X)</f>
        <v>0</v>
      </c>
      <c r="U85">
        <f>SUMIF(RawData!$C:$C,$A85,RawData!Y:Y)</f>
        <v>0</v>
      </c>
      <c r="V85">
        <f>SUMIF(RawData!$C:$C,$A85,RawData!Z:Z)</f>
        <v>0</v>
      </c>
      <c r="W85">
        <f>SUMIF(RawData!$C:$C,$A85,RawData!AA:AA)</f>
        <v>0</v>
      </c>
      <c r="X85">
        <f>SUMIF(RawData!$C:$C,$A85,RawData!AB:AB)</f>
        <v>0</v>
      </c>
      <c r="Y85">
        <f>SUMIF(RawData!$C:$C,$A85,RawData!AC:AC)</f>
        <v>0</v>
      </c>
      <c r="Z85">
        <f>SUMIF(RawData!$C:$C,$A85,RawData!AD:AD)</f>
        <v>0</v>
      </c>
      <c r="AA85">
        <f>SUMIF(RawData!$C:$C,$A85,RawData!AE:AE)</f>
        <v>0</v>
      </c>
      <c r="AB85">
        <f>SUMIF(RawData!$C:$C,$A85,RawData!AF:AF)</f>
        <v>0</v>
      </c>
      <c r="AC85">
        <f>SUMIF(RawData!$C:$C,$A85,RawData!AG:AG)</f>
        <v>0</v>
      </c>
      <c r="AD85">
        <f>SUMIF(RawData!$C:$C,$A85,RawData!AH:AH)</f>
        <v>0</v>
      </c>
      <c r="AE85">
        <f>SUMIF(RawData!$C:$C,$A85,RawData!AI:AI)</f>
        <v>0</v>
      </c>
      <c r="AF85">
        <f>SUMIF(RawData!$C:$C,$A85,RawData!AJ:AJ)</f>
        <v>0</v>
      </c>
      <c r="AG85">
        <f>SUMIF(RawData!$C:$C,$A85,RawData!AK:AK)</f>
        <v>0</v>
      </c>
      <c r="AH85">
        <f>SUMIF(RawData!$C:$C,$A85,RawData!AL:AL)</f>
        <v>0</v>
      </c>
      <c r="AI85">
        <f>SUMIF(RawData!$C:$C,$A85,RawData!AM:AM)</f>
        <v>1</v>
      </c>
      <c r="AJ85">
        <f>SUMIF(RawData!$C:$C,$A85,RawData!AN:AN)</f>
        <v>1</v>
      </c>
      <c r="AK85">
        <f>SUMIF(RawData!$C:$C,$A85,RawData!AO:AO)</f>
        <v>1</v>
      </c>
      <c r="AL85">
        <f>SUMIF(RawData!$C:$C,$A85,RawData!AP:AP)</f>
        <v>1</v>
      </c>
      <c r="AM85">
        <f>SUMIF(RawData!$C:$C,$A85,RawData!AQ:AQ)</f>
        <v>1</v>
      </c>
      <c r="AN85">
        <f>SUMIF(RawData!$C:$C,$A85,RawData!AR:AR)</f>
        <v>1</v>
      </c>
      <c r="AO85">
        <f>SUMIF(RawData!$C:$C,$A85,RawData!AS:AS)</f>
        <v>1</v>
      </c>
      <c r="AP85">
        <f>SUMIF(RawData!$C:$C,$A85,RawData!AT:AT)</f>
        <v>1</v>
      </c>
      <c r="AQ85">
        <f>SUMIF(RawData!$C:$C,$A85,RawData!AU:AU)</f>
        <v>1</v>
      </c>
      <c r="AR85">
        <f>SUMIF(RawData!$C:$C,$A85,RawData!AV:AV)</f>
        <v>1</v>
      </c>
      <c r="AS85">
        <f>SUMIF(RawData!$C:$C,$A85,RawData!AW:AW)</f>
        <v>1</v>
      </c>
      <c r="AT85">
        <f>SUMIF(RawData!$C:$C,$A85,RawData!AX:AX)</f>
        <v>1</v>
      </c>
      <c r="AU85">
        <f>SUMIF(RawData!$C:$C,$A85,RawData!AY:AY)</f>
        <v>1</v>
      </c>
      <c r="AV85">
        <f>SUMIF(RawData!$C:$C,$A85,RawData!AZ:AZ)</f>
        <v>4</v>
      </c>
      <c r="AW85">
        <f>SUMIF(RawData!$C:$C,$A85,RawData!BA:BA)</f>
        <v>4</v>
      </c>
      <c r="AX85">
        <f>SUMIF(RawData!$C:$C,$A85,RawData!BB:BB)</f>
        <v>5</v>
      </c>
      <c r="AY85">
        <f>SUMIF(RawData!$C:$C,$A85,RawData!BC:BC)</f>
        <v>7</v>
      </c>
      <c r="AZ85">
        <f>SUMIF(RawData!$C:$C,$A85,RawData!BD:BD)</f>
        <v>7</v>
      </c>
      <c r="BA85">
        <f>SUMIF(RawData!$C:$C,$A85,RawData!BE:BE)</f>
        <v>7</v>
      </c>
      <c r="BB85">
        <f>SUMIF(RawData!$C:$C,$A85,RawData!BF:BF)</f>
        <v>11</v>
      </c>
      <c r="BC85">
        <f>SUMIF(RawData!$C:$C,$A85,RawData!BG:BG)</f>
        <v>16</v>
      </c>
      <c r="BD85">
        <f>SUMIF(RawData!$C:$C,$A85,RawData!BH:BH)</f>
        <v>21</v>
      </c>
      <c r="BE85">
        <f>SUMIF(RawData!$C:$C,$A85,RawData!BI:BI)</f>
        <v>0</v>
      </c>
      <c r="BF85">
        <f>SUMIF(RawData!$C:$C,$A85,RawData!BJ:BJ)</f>
        <v>0</v>
      </c>
      <c r="BG85">
        <f>SUMIF(RawData!$C:$C,$A85,RawData!BK:BK)</f>
        <v>0</v>
      </c>
      <c r="BH85">
        <f>SUMIF(RawData!$C:$C,$A85,RawData!BL:BL)</f>
        <v>0</v>
      </c>
      <c r="BI85">
        <f>SUMIF(RawData!$C:$C,$A85,RawData!BM:BM)</f>
        <v>0</v>
      </c>
      <c r="BJ85">
        <f>SUMIF(RawData!$C:$C,$A85,RawData!BN:BN)</f>
        <v>0</v>
      </c>
      <c r="BK85">
        <f>SUMIF(RawData!$C:$C,$A85,RawData!BO:BO)</f>
        <v>0</v>
      </c>
      <c r="BL85">
        <f>SUMIF(RawData!$C:$C,$A85,RawData!BP:BP)</f>
        <v>0</v>
      </c>
      <c r="BM85">
        <f>SUMIF(RawData!$C:$C,$A85,RawData!BQ:BQ)</f>
        <v>0</v>
      </c>
      <c r="BN85">
        <f>SUMIF(RawData!$C:$C,$A85,RawData!BR:BR)</f>
        <v>0</v>
      </c>
      <c r="BO85">
        <f>SUMIF(RawData!$C:$C,$A85,RawData!BS:BS)</f>
        <v>0</v>
      </c>
      <c r="BP85">
        <f>SUMIF(RawData!$C:$C,$A85,RawData!BT:BT)</f>
        <v>0</v>
      </c>
      <c r="BQ85">
        <f>SUMIF(RawData!$C:$C,$A85,RawData!BU:BU)</f>
        <v>0</v>
      </c>
      <c r="BR85">
        <f>SUMIF(RawData!$C:$C,$A85,RawData!BV:BV)</f>
        <v>0</v>
      </c>
      <c r="BS85">
        <f>SUMIF(RawData!$C:$C,$A85,RawData!BW:BW)</f>
        <v>0</v>
      </c>
      <c r="BT85">
        <f>SUMIF(RawData!$C:$C,$A85,RawData!BX:BX)</f>
        <v>0</v>
      </c>
    </row>
    <row r="86" spans="1:72" ht="15" thickBot="1" x14ac:dyDescent="0.35">
      <c r="A86" s="4" t="s">
        <v>139</v>
      </c>
      <c r="B86">
        <f>SUMIF(RawData!$C:$C,$A86,RawData!F:F)</f>
        <v>0</v>
      </c>
      <c r="C86">
        <f>SUMIF(RawData!$C:$C,$A86,RawData!G:G)</f>
        <v>0</v>
      </c>
      <c r="D86">
        <f>SUMIF(RawData!$C:$C,$A86,RawData!H:H)</f>
        <v>0</v>
      </c>
      <c r="E86">
        <f>SUMIF(RawData!$C:$C,$A86,RawData!I:I)</f>
        <v>0</v>
      </c>
      <c r="F86">
        <f>SUMIF(RawData!$C:$C,$A86,RawData!J:J)</f>
        <v>0</v>
      </c>
      <c r="G86">
        <f>SUMIF(RawData!$C:$C,$A86,RawData!K:K)</f>
        <v>0</v>
      </c>
      <c r="H86">
        <f>SUMIF(RawData!$C:$C,$A86,RawData!L:L)</f>
        <v>0</v>
      </c>
      <c r="I86">
        <f>SUMIF(RawData!$C:$C,$A86,RawData!M:M)</f>
        <v>0</v>
      </c>
      <c r="J86">
        <f>SUMIF(RawData!$C:$C,$A86,RawData!N:N)</f>
        <v>0</v>
      </c>
      <c r="K86">
        <f>SUMIF(RawData!$C:$C,$A86,RawData!O:O)</f>
        <v>0</v>
      </c>
      <c r="L86">
        <f>SUMIF(RawData!$C:$C,$A86,RawData!P:P)</f>
        <v>0</v>
      </c>
      <c r="M86">
        <f>SUMIF(RawData!$C:$C,$A86,RawData!Q:Q)</f>
        <v>0</v>
      </c>
      <c r="N86">
        <f>SUMIF(RawData!$C:$C,$A86,RawData!R:R)</f>
        <v>0</v>
      </c>
      <c r="O86">
        <f>SUMIF(RawData!$C:$C,$A86,RawData!S:S)</f>
        <v>0</v>
      </c>
      <c r="P86">
        <f>SUMIF(RawData!$C:$C,$A86,RawData!T:T)</f>
        <v>0</v>
      </c>
      <c r="Q86">
        <f>SUMIF(RawData!$C:$C,$A86,RawData!U:U)</f>
        <v>0</v>
      </c>
      <c r="R86">
        <f>SUMIF(RawData!$C:$C,$A86,RawData!V:V)</f>
        <v>0</v>
      </c>
      <c r="S86">
        <f>SUMIF(RawData!$C:$C,$A86,RawData!W:W)</f>
        <v>0</v>
      </c>
      <c r="T86">
        <f>SUMIF(RawData!$C:$C,$A86,RawData!X:X)</f>
        <v>0</v>
      </c>
      <c r="U86">
        <f>SUMIF(RawData!$C:$C,$A86,RawData!Y:Y)</f>
        <v>0</v>
      </c>
      <c r="V86">
        <f>SUMIF(RawData!$C:$C,$A86,RawData!Z:Z)</f>
        <v>0</v>
      </c>
      <c r="W86">
        <f>SUMIF(RawData!$C:$C,$A86,RawData!AA:AA)</f>
        <v>0</v>
      </c>
      <c r="X86">
        <f>SUMIF(RawData!$C:$C,$A86,RawData!AB:AB)</f>
        <v>0</v>
      </c>
      <c r="Y86">
        <f>SUMIF(RawData!$C:$C,$A86,RawData!AC:AC)</f>
        <v>0</v>
      </c>
      <c r="Z86">
        <f>SUMIF(RawData!$C:$C,$A86,RawData!AD:AD)</f>
        <v>0</v>
      </c>
      <c r="AA86">
        <f>SUMIF(RawData!$C:$C,$A86,RawData!AE:AE)</f>
        <v>0</v>
      </c>
      <c r="AB86">
        <f>SUMIF(RawData!$C:$C,$A86,RawData!AF:AF)</f>
        <v>0</v>
      </c>
      <c r="AC86">
        <f>SUMIF(RawData!$C:$C,$A86,RawData!AG:AG)</f>
        <v>0</v>
      </c>
      <c r="AD86">
        <f>SUMIF(RawData!$C:$C,$A86,RawData!AH:AH)</f>
        <v>0</v>
      </c>
      <c r="AE86">
        <f>SUMIF(RawData!$C:$C,$A86,RawData!AI:AI)</f>
        <v>0</v>
      </c>
      <c r="AF86">
        <f>SUMIF(RawData!$C:$C,$A86,RawData!AJ:AJ)</f>
        <v>0</v>
      </c>
      <c r="AG86">
        <f>SUMIF(RawData!$C:$C,$A86,RawData!AK:AK)</f>
        <v>0</v>
      </c>
      <c r="AH86">
        <f>SUMIF(RawData!$C:$C,$A86,RawData!AL:AL)</f>
        <v>0</v>
      </c>
      <c r="AI86">
        <f>SUMIF(RawData!$C:$C,$A86,RawData!AM:AM)</f>
        <v>0</v>
      </c>
      <c r="AJ86">
        <f>SUMIF(RawData!$C:$C,$A86,RawData!AN:AN)</f>
        <v>0</v>
      </c>
      <c r="AK86">
        <f>SUMIF(RawData!$C:$C,$A86,RawData!AO:AO)</f>
        <v>0</v>
      </c>
      <c r="AL86">
        <f>SUMIF(RawData!$C:$C,$A86,RawData!AP:AP)</f>
        <v>0</v>
      </c>
      <c r="AM86">
        <f>SUMIF(RawData!$C:$C,$A86,RawData!AQ:AQ)</f>
        <v>0</v>
      </c>
      <c r="AN86">
        <f>SUMIF(RawData!$C:$C,$A86,RawData!AR:AR)</f>
        <v>0</v>
      </c>
      <c r="AO86">
        <f>SUMIF(RawData!$C:$C,$A86,RawData!AS:AS)</f>
        <v>0</v>
      </c>
      <c r="AP86">
        <f>SUMIF(RawData!$C:$C,$A86,RawData!AT:AT)</f>
        <v>1</v>
      </c>
      <c r="AQ86">
        <f>SUMIF(RawData!$C:$C,$A86,RawData!AU:AU)</f>
        <v>1</v>
      </c>
      <c r="AR86">
        <f>SUMIF(RawData!$C:$C,$A86,RawData!AV:AV)</f>
        <v>1</v>
      </c>
      <c r="AS86">
        <f>SUMIF(RawData!$C:$C,$A86,RawData!AW:AW)</f>
        <v>2</v>
      </c>
      <c r="AT86">
        <f>SUMIF(RawData!$C:$C,$A86,RawData!AX:AX)</f>
        <v>2</v>
      </c>
      <c r="AU86">
        <f>SUMIF(RawData!$C:$C,$A86,RawData!AY:AY)</f>
        <v>2</v>
      </c>
      <c r="AV86">
        <f>SUMIF(RawData!$C:$C,$A86,RawData!AZ:AZ)</f>
        <v>2</v>
      </c>
      <c r="AW86">
        <f>SUMIF(RawData!$C:$C,$A86,RawData!BA:BA)</f>
        <v>2</v>
      </c>
      <c r="AX86">
        <f>SUMIF(RawData!$C:$C,$A86,RawData!BB:BB)</f>
        <v>3</v>
      </c>
      <c r="AY86">
        <f>SUMIF(RawData!$C:$C,$A86,RawData!BC:BC)</f>
        <v>5</v>
      </c>
      <c r="AZ86">
        <f>SUMIF(RawData!$C:$C,$A86,RawData!BD:BD)</f>
        <v>6</v>
      </c>
      <c r="BA86">
        <f>SUMIF(RawData!$C:$C,$A86,RawData!BE:BE)</f>
        <v>7</v>
      </c>
      <c r="BB86">
        <f>SUMIF(RawData!$C:$C,$A86,RawData!BF:BF)</f>
        <v>17</v>
      </c>
      <c r="BC86">
        <f>SUMIF(RawData!$C:$C,$A86,RawData!BG:BG)</f>
        <v>28</v>
      </c>
      <c r="BD86">
        <f>SUMIF(RawData!$C:$C,$A86,RawData!BH:BH)</f>
        <v>29</v>
      </c>
      <c r="BE86">
        <f>SUMIF(RawData!$C:$C,$A86,RawData!BI:BI)</f>
        <v>0</v>
      </c>
      <c r="BF86">
        <f>SUMIF(RawData!$C:$C,$A86,RawData!BJ:BJ)</f>
        <v>0</v>
      </c>
      <c r="BG86">
        <f>SUMIF(RawData!$C:$C,$A86,RawData!BK:BK)</f>
        <v>0</v>
      </c>
      <c r="BH86">
        <f>SUMIF(RawData!$C:$C,$A86,RawData!BL:BL)</f>
        <v>0</v>
      </c>
      <c r="BI86">
        <f>SUMIF(RawData!$C:$C,$A86,RawData!BM:BM)</f>
        <v>0</v>
      </c>
      <c r="BJ86">
        <f>SUMIF(RawData!$C:$C,$A86,RawData!BN:BN)</f>
        <v>0</v>
      </c>
      <c r="BK86">
        <f>SUMIF(RawData!$C:$C,$A86,RawData!BO:BO)</f>
        <v>0</v>
      </c>
      <c r="BL86">
        <f>SUMIF(RawData!$C:$C,$A86,RawData!BP:BP)</f>
        <v>0</v>
      </c>
      <c r="BM86">
        <f>SUMIF(RawData!$C:$C,$A86,RawData!BQ:BQ)</f>
        <v>0</v>
      </c>
      <c r="BN86">
        <f>SUMIF(RawData!$C:$C,$A86,RawData!BR:BR)</f>
        <v>0</v>
      </c>
      <c r="BO86">
        <f>SUMIF(RawData!$C:$C,$A86,RawData!BS:BS)</f>
        <v>0</v>
      </c>
      <c r="BP86">
        <f>SUMIF(RawData!$C:$C,$A86,RawData!BT:BT)</f>
        <v>0</v>
      </c>
      <c r="BQ86">
        <f>SUMIF(RawData!$C:$C,$A86,RawData!BU:BU)</f>
        <v>0</v>
      </c>
      <c r="BR86">
        <f>SUMIF(RawData!$C:$C,$A86,RawData!BV:BV)</f>
        <v>0</v>
      </c>
      <c r="BS86">
        <f>SUMIF(RawData!$C:$C,$A86,RawData!BW:BW)</f>
        <v>0</v>
      </c>
      <c r="BT86">
        <f>SUMIF(RawData!$C:$C,$A86,RawData!BX:BX)</f>
        <v>0</v>
      </c>
    </row>
    <row r="87" spans="1:72" ht="15" thickBot="1" x14ac:dyDescent="0.35">
      <c r="A87" s="4" t="s">
        <v>120</v>
      </c>
      <c r="B87">
        <f>SUMIF(RawData!$C:$C,$A87,RawData!F:F)</f>
        <v>0</v>
      </c>
      <c r="C87">
        <f>SUMIF(RawData!$C:$C,$A87,RawData!G:G)</f>
        <v>0</v>
      </c>
      <c r="D87">
        <f>SUMIF(RawData!$C:$C,$A87,RawData!H:H)</f>
        <v>0</v>
      </c>
      <c r="E87">
        <f>SUMIF(RawData!$C:$C,$A87,RawData!I:I)</f>
        <v>0</v>
      </c>
      <c r="F87">
        <f>SUMIF(RawData!$C:$C,$A87,RawData!J:J)</f>
        <v>0</v>
      </c>
      <c r="G87">
        <f>SUMIF(RawData!$C:$C,$A87,RawData!K:K)</f>
        <v>0</v>
      </c>
      <c r="H87">
        <f>SUMIF(RawData!$C:$C,$A87,RawData!L:L)</f>
        <v>0</v>
      </c>
      <c r="I87">
        <f>SUMIF(RawData!$C:$C,$A87,RawData!M:M)</f>
        <v>0</v>
      </c>
      <c r="J87">
        <f>SUMIF(RawData!$C:$C,$A87,RawData!N:N)</f>
        <v>0</v>
      </c>
      <c r="K87">
        <f>SUMIF(RawData!$C:$C,$A87,RawData!O:O)</f>
        <v>0</v>
      </c>
      <c r="L87">
        <f>SUMIF(RawData!$C:$C,$A87,RawData!P:P)</f>
        <v>0</v>
      </c>
      <c r="M87">
        <f>SUMIF(RawData!$C:$C,$A87,RawData!Q:Q)</f>
        <v>0</v>
      </c>
      <c r="N87">
        <f>SUMIF(RawData!$C:$C,$A87,RawData!R:R)</f>
        <v>0</v>
      </c>
      <c r="O87">
        <f>SUMIF(RawData!$C:$C,$A87,RawData!S:S)</f>
        <v>0</v>
      </c>
      <c r="P87">
        <f>SUMIF(RawData!$C:$C,$A87,RawData!T:T)</f>
        <v>0</v>
      </c>
      <c r="Q87">
        <f>SUMIF(RawData!$C:$C,$A87,RawData!U:U)</f>
        <v>0</v>
      </c>
      <c r="R87">
        <f>SUMIF(RawData!$C:$C,$A87,RawData!V:V)</f>
        <v>0</v>
      </c>
      <c r="S87">
        <f>SUMIF(RawData!$C:$C,$A87,RawData!W:W)</f>
        <v>0</v>
      </c>
      <c r="T87">
        <f>SUMIF(RawData!$C:$C,$A87,RawData!X:X)</f>
        <v>0</v>
      </c>
      <c r="U87">
        <f>SUMIF(RawData!$C:$C,$A87,RawData!Y:Y)</f>
        <v>0</v>
      </c>
      <c r="V87">
        <f>SUMIF(RawData!$C:$C,$A87,RawData!Z:Z)</f>
        <v>0</v>
      </c>
      <c r="W87">
        <f>SUMIF(RawData!$C:$C,$A87,RawData!AA:AA)</f>
        <v>0</v>
      </c>
      <c r="X87">
        <f>SUMIF(RawData!$C:$C,$A87,RawData!AB:AB)</f>
        <v>0</v>
      </c>
      <c r="Y87">
        <f>SUMIF(RawData!$C:$C,$A87,RawData!AC:AC)</f>
        <v>0</v>
      </c>
      <c r="Z87">
        <f>SUMIF(RawData!$C:$C,$A87,RawData!AD:AD)</f>
        <v>0</v>
      </c>
      <c r="AA87">
        <f>SUMIF(RawData!$C:$C,$A87,RawData!AE:AE)</f>
        <v>0</v>
      </c>
      <c r="AB87">
        <f>SUMIF(RawData!$C:$C,$A87,RawData!AF:AF)</f>
        <v>0</v>
      </c>
      <c r="AC87">
        <f>SUMIF(RawData!$C:$C,$A87,RawData!AG:AG)</f>
        <v>0</v>
      </c>
      <c r="AD87">
        <f>SUMIF(RawData!$C:$C,$A87,RawData!AH:AH)</f>
        <v>0</v>
      </c>
      <c r="AE87">
        <f>SUMIF(RawData!$C:$C,$A87,RawData!AI:AI)</f>
        <v>0</v>
      </c>
      <c r="AF87">
        <f>SUMIF(RawData!$C:$C,$A87,RawData!AJ:AJ)</f>
        <v>0</v>
      </c>
      <c r="AG87">
        <f>SUMIF(RawData!$C:$C,$A87,RawData!AK:AK)</f>
        <v>0</v>
      </c>
      <c r="AH87">
        <f>SUMIF(RawData!$C:$C,$A87,RawData!AL:AL)</f>
        <v>0</v>
      </c>
      <c r="AI87">
        <f>SUMIF(RawData!$C:$C,$A87,RawData!AM:AM)</f>
        <v>0</v>
      </c>
      <c r="AJ87">
        <f>SUMIF(RawData!$C:$C,$A87,RawData!AN:AN)</f>
        <v>0</v>
      </c>
      <c r="AK87">
        <f>SUMIF(RawData!$C:$C,$A87,RawData!AO:AO)</f>
        <v>0</v>
      </c>
      <c r="AL87">
        <f>SUMIF(RawData!$C:$C,$A87,RawData!AP:AP)</f>
        <v>0</v>
      </c>
      <c r="AM87">
        <f>SUMIF(RawData!$C:$C,$A87,RawData!AQ:AQ)</f>
        <v>1</v>
      </c>
      <c r="AN87">
        <f>SUMIF(RawData!$C:$C,$A87,RawData!AR:AR)</f>
        <v>1</v>
      </c>
      <c r="AO87">
        <f>SUMIF(RawData!$C:$C,$A87,RawData!AS:AS)</f>
        <v>1</v>
      </c>
      <c r="AP87">
        <f>SUMIF(RawData!$C:$C,$A87,RawData!AT:AT)</f>
        <v>1</v>
      </c>
      <c r="AQ87">
        <f>SUMIF(RawData!$C:$C,$A87,RawData!AU:AU)</f>
        <v>1</v>
      </c>
      <c r="AR87">
        <f>SUMIF(RawData!$C:$C,$A87,RawData!AV:AV)</f>
        <v>1</v>
      </c>
      <c r="AS87">
        <f>SUMIF(RawData!$C:$C,$A87,RawData!AW:AW)</f>
        <v>1</v>
      </c>
      <c r="AT87">
        <f>SUMIF(RawData!$C:$C,$A87,RawData!AX:AX)</f>
        <v>1</v>
      </c>
      <c r="AU87">
        <f>SUMIF(RawData!$C:$C,$A87,RawData!AY:AY)</f>
        <v>1</v>
      </c>
      <c r="AV87">
        <f>SUMIF(RawData!$C:$C,$A87,RawData!AZ:AZ)</f>
        <v>1</v>
      </c>
      <c r="AW87">
        <f>SUMIF(RawData!$C:$C,$A87,RawData!BA:BA)</f>
        <v>1</v>
      </c>
      <c r="AX87">
        <f>SUMIF(RawData!$C:$C,$A87,RawData!BB:BB)</f>
        <v>1</v>
      </c>
      <c r="AY87">
        <f>SUMIF(RawData!$C:$C,$A87,RawData!BC:BC)</f>
        <v>3</v>
      </c>
      <c r="AZ87">
        <f>SUMIF(RawData!$C:$C,$A87,RawData!BD:BD)</f>
        <v>3</v>
      </c>
      <c r="BA87">
        <f>SUMIF(RawData!$C:$C,$A87,RawData!BE:BE)</f>
        <v>6</v>
      </c>
      <c r="BB87">
        <f>SUMIF(RawData!$C:$C,$A87,RawData!BF:BF)</f>
        <v>8</v>
      </c>
      <c r="BC87">
        <f>SUMIF(RawData!$C:$C,$A87,RawData!BG:BG)</f>
        <v>12</v>
      </c>
      <c r="BD87">
        <f>SUMIF(RawData!$C:$C,$A87,RawData!BH:BH)</f>
        <v>17</v>
      </c>
      <c r="BE87">
        <f>SUMIF(RawData!$C:$C,$A87,RawData!BI:BI)</f>
        <v>0</v>
      </c>
      <c r="BF87">
        <f>SUMIF(RawData!$C:$C,$A87,RawData!BJ:BJ)</f>
        <v>0</v>
      </c>
      <c r="BG87">
        <f>SUMIF(RawData!$C:$C,$A87,RawData!BK:BK)</f>
        <v>0</v>
      </c>
      <c r="BH87">
        <f>SUMIF(RawData!$C:$C,$A87,RawData!BL:BL)</f>
        <v>0</v>
      </c>
      <c r="BI87">
        <f>SUMIF(RawData!$C:$C,$A87,RawData!BM:BM)</f>
        <v>0</v>
      </c>
      <c r="BJ87">
        <f>SUMIF(RawData!$C:$C,$A87,RawData!BN:BN)</f>
        <v>0</v>
      </c>
      <c r="BK87">
        <f>SUMIF(RawData!$C:$C,$A87,RawData!BO:BO)</f>
        <v>0</v>
      </c>
      <c r="BL87">
        <f>SUMIF(RawData!$C:$C,$A87,RawData!BP:BP)</f>
        <v>0</v>
      </c>
      <c r="BM87">
        <f>SUMIF(RawData!$C:$C,$A87,RawData!BQ:BQ)</f>
        <v>0</v>
      </c>
      <c r="BN87">
        <f>SUMIF(RawData!$C:$C,$A87,RawData!BR:BR)</f>
        <v>0</v>
      </c>
      <c r="BO87">
        <f>SUMIF(RawData!$C:$C,$A87,RawData!BS:BS)</f>
        <v>0</v>
      </c>
      <c r="BP87">
        <f>SUMIF(RawData!$C:$C,$A87,RawData!BT:BT)</f>
        <v>0</v>
      </c>
      <c r="BQ87">
        <f>SUMIF(RawData!$C:$C,$A87,RawData!BU:BU)</f>
        <v>0</v>
      </c>
      <c r="BR87">
        <f>SUMIF(RawData!$C:$C,$A87,RawData!BV:BV)</f>
        <v>0</v>
      </c>
      <c r="BS87">
        <f>SUMIF(RawData!$C:$C,$A87,RawData!BW:BW)</f>
        <v>0</v>
      </c>
      <c r="BT87">
        <f>SUMIF(RawData!$C:$C,$A87,RawData!BX:BX)</f>
        <v>0</v>
      </c>
    </row>
    <row r="88" spans="1:72" ht="15" thickBot="1" x14ac:dyDescent="0.35">
      <c r="A88" s="5" t="s">
        <v>373</v>
      </c>
      <c r="B88">
        <f>SUMIF(RawData!$C:$C,$A88,RawData!F:F)</f>
        <v>0</v>
      </c>
      <c r="C88">
        <f>SUMIF(RawData!$C:$C,$A88,RawData!G:G)</f>
        <v>0</v>
      </c>
      <c r="D88">
        <f>SUMIF(RawData!$C:$C,$A88,RawData!H:H)</f>
        <v>0</v>
      </c>
      <c r="E88">
        <f>SUMIF(RawData!$C:$C,$A88,RawData!I:I)</f>
        <v>0</v>
      </c>
      <c r="F88">
        <f>SUMIF(RawData!$C:$C,$A88,RawData!J:J)</f>
        <v>0</v>
      </c>
      <c r="G88">
        <f>SUMIF(RawData!$C:$C,$A88,RawData!K:K)</f>
        <v>0</v>
      </c>
      <c r="H88">
        <f>SUMIF(RawData!$C:$C,$A88,RawData!L:L)</f>
        <v>0</v>
      </c>
      <c r="I88">
        <f>SUMIF(RawData!$C:$C,$A88,RawData!M:M)</f>
        <v>0</v>
      </c>
      <c r="J88">
        <f>SUMIF(RawData!$C:$C,$A88,RawData!N:N)</f>
        <v>0</v>
      </c>
      <c r="K88">
        <f>SUMIF(RawData!$C:$C,$A88,RawData!O:O)</f>
        <v>0</v>
      </c>
      <c r="L88">
        <f>SUMIF(RawData!$C:$C,$A88,RawData!P:P)</f>
        <v>0</v>
      </c>
      <c r="M88">
        <f>SUMIF(RawData!$C:$C,$A88,RawData!Q:Q)</f>
        <v>0</v>
      </c>
      <c r="N88">
        <f>SUMIF(RawData!$C:$C,$A88,RawData!R:R)</f>
        <v>0</v>
      </c>
      <c r="O88">
        <f>SUMIF(RawData!$C:$C,$A88,RawData!S:S)</f>
        <v>0</v>
      </c>
      <c r="P88">
        <f>SUMIF(RawData!$C:$C,$A88,RawData!T:T)</f>
        <v>0</v>
      </c>
      <c r="Q88">
        <f>SUMIF(RawData!$C:$C,$A88,RawData!U:U)</f>
        <v>0</v>
      </c>
      <c r="R88">
        <f>SUMIF(RawData!$C:$C,$A88,RawData!V:V)</f>
        <v>0</v>
      </c>
      <c r="S88">
        <f>SUMIF(RawData!$C:$C,$A88,RawData!W:W)</f>
        <v>0</v>
      </c>
      <c r="T88">
        <f>SUMIF(RawData!$C:$C,$A88,RawData!X:X)</f>
        <v>0</v>
      </c>
      <c r="U88">
        <f>SUMIF(RawData!$C:$C,$A88,RawData!Y:Y)</f>
        <v>0</v>
      </c>
      <c r="V88">
        <f>SUMIF(RawData!$C:$C,$A88,RawData!Z:Z)</f>
        <v>0</v>
      </c>
      <c r="W88">
        <f>SUMIF(RawData!$C:$C,$A88,RawData!AA:AA)</f>
        <v>0</v>
      </c>
      <c r="X88">
        <f>SUMIF(RawData!$C:$C,$A88,RawData!AB:AB)</f>
        <v>0</v>
      </c>
      <c r="Y88">
        <f>SUMIF(RawData!$C:$C,$A88,RawData!AC:AC)</f>
        <v>0</v>
      </c>
      <c r="Z88">
        <f>SUMIF(RawData!$C:$C,$A88,RawData!AD:AD)</f>
        <v>0</v>
      </c>
      <c r="AA88">
        <f>SUMIF(RawData!$C:$C,$A88,RawData!AE:AE)</f>
        <v>0</v>
      </c>
      <c r="AB88">
        <f>SUMIF(RawData!$C:$C,$A88,RawData!AF:AF)</f>
        <v>0</v>
      </c>
      <c r="AC88">
        <f>SUMIF(RawData!$C:$C,$A88,RawData!AG:AG)</f>
        <v>0</v>
      </c>
      <c r="AD88">
        <f>SUMIF(RawData!$C:$C,$A88,RawData!AH:AH)</f>
        <v>0</v>
      </c>
      <c r="AE88">
        <f>SUMIF(RawData!$C:$C,$A88,RawData!AI:AI)</f>
        <v>0</v>
      </c>
      <c r="AF88">
        <f>SUMIF(RawData!$C:$C,$A88,RawData!AJ:AJ)</f>
        <v>0</v>
      </c>
      <c r="AG88">
        <f>SUMIF(RawData!$C:$C,$A88,RawData!AK:AK)</f>
        <v>0</v>
      </c>
      <c r="AH88">
        <f>SUMIF(RawData!$C:$C,$A88,RawData!AL:AL)</f>
        <v>0</v>
      </c>
      <c r="AI88">
        <f>SUMIF(RawData!$C:$C,$A88,RawData!AM:AM)</f>
        <v>0</v>
      </c>
      <c r="AJ88">
        <f>SUMIF(RawData!$C:$C,$A88,RawData!AN:AN)</f>
        <v>0</v>
      </c>
      <c r="AK88">
        <f>SUMIF(RawData!$C:$C,$A88,RawData!AO:AO)</f>
        <v>0</v>
      </c>
      <c r="AL88">
        <f>SUMIF(RawData!$C:$C,$A88,RawData!AP:AP)</f>
        <v>0</v>
      </c>
      <c r="AM88">
        <f>SUMIF(RawData!$C:$C,$A88,RawData!AQ:AQ)</f>
        <v>0</v>
      </c>
      <c r="AN88">
        <f>SUMIF(RawData!$C:$C,$A88,RawData!AR:AR)</f>
        <v>0</v>
      </c>
      <c r="AO88">
        <f>SUMIF(RawData!$C:$C,$A88,RawData!AS:AS)</f>
        <v>0</v>
      </c>
      <c r="AP88">
        <f>SUMIF(RawData!$C:$C,$A88,RawData!AT:AT)</f>
        <v>0</v>
      </c>
      <c r="AQ88">
        <f>SUMIF(RawData!$C:$C,$A88,RawData!AU:AU)</f>
        <v>0</v>
      </c>
      <c r="AR88">
        <f>SUMIF(RawData!$C:$C,$A88,RawData!AV:AV)</f>
        <v>0</v>
      </c>
      <c r="AS88">
        <f>SUMIF(RawData!$C:$C,$A88,RawData!AW:AW)</f>
        <v>0</v>
      </c>
      <c r="AT88">
        <f>SUMIF(RawData!$C:$C,$A88,RawData!AX:AX)</f>
        <v>0</v>
      </c>
      <c r="AU88">
        <f>SUMIF(RawData!$C:$C,$A88,RawData!AY:AY)</f>
        <v>0</v>
      </c>
      <c r="AV88">
        <f>SUMIF(RawData!$C:$C,$A88,RawData!AZ:AZ)</f>
        <v>1</v>
      </c>
      <c r="AW88">
        <f>SUMIF(RawData!$C:$C,$A88,RawData!BA:BA)</f>
        <v>1</v>
      </c>
      <c r="AX88">
        <f>SUMIF(RawData!$C:$C,$A88,RawData!BB:BB)</f>
        <v>3</v>
      </c>
      <c r="AY88">
        <f>SUMIF(RawData!$C:$C,$A88,RawData!BC:BC)</f>
        <v>3</v>
      </c>
      <c r="AZ88">
        <f>SUMIF(RawData!$C:$C,$A88,RawData!BD:BD)</f>
        <v>3</v>
      </c>
      <c r="BA88">
        <f>SUMIF(RawData!$C:$C,$A88,RawData!BE:BE)</f>
        <v>6</v>
      </c>
      <c r="BB88">
        <f>SUMIF(RawData!$C:$C,$A88,RawData!BF:BF)</f>
        <v>12</v>
      </c>
      <c r="BC88">
        <f>SUMIF(RawData!$C:$C,$A88,RawData!BG:BG)</f>
        <v>23</v>
      </c>
      <c r="BD88">
        <f>SUMIF(RawData!$C:$C,$A88,RawData!BH:BH)</f>
        <v>23</v>
      </c>
      <c r="BE88">
        <f>SUMIF(RawData!$C:$C,$A88,RawData!BI:BI)</f>
        <v>0</v>
      </c>
      <c r="BF88">
        <f>SUMIF(RawData!$C:$C,$A88,RawData!BJ:BJ)</f>
        <v>0</v>
      </c>
      <c r="BG88">
        <f>SUMIF(RawData!$C:$C,$A88,RawData!BK:BK)</f>
        <v>0</v>
      </c>
      <c r="BH88">
        <f>SUMIF(RawData!$C:$C,$A88,RawData!BL:BL)</f>
        <v>0</v>
      </c>
      <c r="BI88">
        <f>SUMIF(RawData!$C:$C,$A88,RawData!BM:BM)</f>
        <v>0</v>
      </c>
      <c r="BJ88">
        <f>SUMIF(RawData!$C:$C,$A88,RawData!BN:BN)</f>
        <v>0</v>
      </c>
      <c r="BK88">
        <f>SUMIF(RawData!$C:$C,$A88,RawData!BO:BO)</f>
        <v>0</v>
      </c>
      <c r="BL88">
        <f>SUMIF(RawData!$C:$C,$A88,RawData!BP:BP)</f>
        <v>0</v>
      </c>
      <c r="BM88">
        <f>SUMIF(RawData!$C:$C,$A88,RawData!BQ:BQ)</f>
        <v>0</v>
      </c>
      <c r="BN88">
        <f>SUMIF(RawData!$C:$C,$A88,RawData!BR:BR)</f>
        <v>0</v>
      </c>
      <c r="BO88">
        <f>SUMIF(RawData!$C:$C,$A88,RawData!BS:BS)</f>
        <v>0</v>
      </c>
      <c r="BP88">
        <f>SUMIF(RawData!$C:$C,$A88,RawData!BT:BT)</f>
        <v>0</v>
      </c>
      <c r="BQ88">
        <f>SUMIF(RawData!$C:$C,$A88,RawData!BU:BU)</f>
        <v>0</v>
      </c>
      <c r="BR88">
        <f>SUMIF(RawData!$C:$C,$A88,RawData!BV:BV)</f>
        <v>0</v>
      </c>
      <c r="BS88">
        <f>SUMIF(RawData!$C:$C,$A88,RawData!BW:BW)</f>
        <v>0</v>
      </c>
      <c r="BT88">
        <f>SUMIF(RawData!$C:$C,$A88,RawData!BX:BX)</f>
        <v>0</v>
      </c>
    </row>
    <row r="89" spans="1:72" ht="15" thickBot="1" x14ac:dyDescent="0.35">
      <c r="A89" s="5" t="s">
        <v>233</v>
      </c>
      <c r="B89">
        <f>SUMIF(RawData!$C:$C,$A89,RawData!F:F)</f>
        <v>0</v>
      </c>
      <c r="C89">
        <f>SUMIF(RawData!$C:$C,$A89,RawData!G:G)</f>
        <v>0</v>
      </c>
      <c r="D89">
        <f>SUMIF(RawData!$C:$C,$A89,RawData!H:H)</f>
        <v>0</v>
      </c>
      <c r="E89">
        <f>SUMIF(RawData!$C:$C,$A89,RawData!I:I)</f>
        <v>0</v>
      </c>
      <c r="F89">
        <f>SUMIF(RawData!$C:$C,$A89,RawData!J:J)</f>
        <v>0</v>
      </c>
      <c r="G89">
        <f>SUMIF(RawData!$C:$C,$A89,RawData!K:K)</f>
        <v>0</v>
      </c>
      <c r="H89">
        <f>SUMIF(RawData!$C:$C,$A89,RawData!L:L)</f>
        <v>0</v>
      </c>
      <c r="I89">
        <f>SUMIF(RawData!$C:$C,$A89,RawData!M:M)</f>
        <v>0</v>
      </c>
      <c r="J89">
        <f>SUMIF(RawData!$C:$C,$A89,RawData!N:N)</f>
        <v>0</v>
      </c>
      <c r="K89">
        <f>SUMIF(RawData!$C:$C,$A89,RawData!O:O)</f>
        <v>0</v>
      </c>
      <c r="L89">
        <f>SUMIF(RawData!$C:$C,$A89,RawData!P:P)</f>
        <v>0</v>
      </c>
      <c r="M89">
        <f>SUMIF(RawData!$C:$C,$A89,RawData!Q:Q)</f>
        <v>0</v>
      </c>
      <c r="N89">
        <f>SUMIF(RawData!$C:$C,$A89,RawData!R:R)</f>
        <v>0</v>
      </c>
      <c r="O89">
        <f>SUMIF(RawData!$C:$C,$A89,RawData!S:S)</f>
        <v>0</v>
      </c>
      <c r="P89">
        <f>SUMIF(RawData!$C:$C,$A89,RawData!T:T)</f>
        <v>0</v>
      </c>
      <c r="Q89">
        <f>SUMIF(RawData!$C:$C,$A89,RawData!U:U)</f>
        <v>0</v>
      </c>
      <c r="R89">
        <f>SUMIF(RawData!$C:$C,$A89,RawData!V:V)</f>
        <v>0</v>
      </c>
      <c r="S89">
        <f>SUMIF(RawData!$C:$C,$A89,RawData!W:W)</f>
        <v>0</v>
      </c>
      <c r="T89">
        <f>SUMIF(RawData!$C:$C,$A89,RawData!X:X)</f>
        <v>0</v>
      </c>
      <c r="U89">
        <f>SUMIF(RawData!$C:$C,$A89,RawData!Y:Y)</f>
        <v>0</v>
      </c>
      <c r="V89">
        <f>SUMIF(RawData!$C:$C,$A89,RawData!Z:Z)</f>
        <v>0</v>
      </c>
      <c r="W89">
        <f>SUMIF(RawData!$C:$C,$A89,RawData!AA:AA)</f>
        <v>0</v>
      </c>
      <c r="X89">
        <f>SUMIF(RawData!$C:$C,$A89,RawData!AB:AB)</f>
        <v>0</v>
      </c>
      <c r="Y89">
        <f>SUMIF(RawData!$C:$C,$A89,RawData!AC:AC)</f>
        <v>0</v>
      </c>
      <c r="Z89">
        <f>SUMIF(RawData!$C:$C,$A89,RawData!AD:AD)</f>
        <v>0</v>
      </c>
      <c r="AA89">
        <f>SUMIF(RawData!$C:$C,$A89,RawData!AE:AE)</f>
        <v>0</v>
      </c>
      <c r="AB89">
        <f>SUMIF(RawData!$C:$C,$A89,RawData!AF:AF)</f>
        <v>0</v>
      </c>
      <c r="AC89">
        <f>SUMIF(RawData!$C:$C,$A89,RawData!AG:AG)</f>
        <v>0</v>
      </c>
      <c r="AD89">
        <f>SUMIF(RawData!$C:$C,$A89,RawData!AH:AH)</f>
        <v>0</v>
      </c>
      <c r="AE89">
        <f>SUMIF(RawData!$C:$C,$A89,RawData!AI:AI)</f>
        <v>0</v>
      </c>
      <c r="AF89">
        <f>SUMIF(RawData!$C:$C,$A89,RawData!AJ:AJ)</f>
        <v>0</v>
      </c>
      <c r="AG89">
        <f>SUMIF(RawData!$C:$C,$A89,RawData!AK:AK)</f>
        <v>0</v>
      </c>
      <c r="AH89">
        <f>SUMIF(RawData!$C:$C,$A89,RawData!AL:AL)</f>
        <v>0</v>
      </c>
      <c r="AI89">
        <f>SUMIF(RawData!$C:$C,$A89,RawData!AM:AM)</f>
        <v>0</v>
      </c>
      <c r="AJ89">
        <f>SUMIF(RawData!$C:$C,$A89,RawData!AN:AN)</f>
        <v>0</v>
      </c>
      <c r="AK89">
        <f>SUMIF(RawData!$C:$C,$A89,RawData!AO:AO)</f>
        <v>0</v>
      </c>
      <c r="AL89">
        <f>SUMIF(RawData!$C:$C,$A89,RawData!AP:AP)</f>
        <v>0</v>
      </c>
      <c r="AM89">
        <f>SUMIF(RawData!$C:$C,$A89,RawData!AQ:AQ)</f>
        <v>0</v>
      </c>
      <c r="AN89">
        <f>SUMIF(RawData!$C:$C,$A89,RawData!AR:AR)</f>
        <v>0</v>
      </c>
      <c r="AO89">
        <f>SUMIF(RawData!$C:$C,$A89,RawData!AS:AS)</f>
        <v>0</v>
      </c>
      <c r="AP89">
        <f>SUMIF(RawData!$C:$C,$A89,RawData!AT:AT)</f>
        <v>0</v>
      </c>
      <c r="AQ89">
        <f>SUMIF(RawData!$C:$C,$A89,RawData!AU:AU)</f>
        <v>0</v>
      </c>
      <c r="AR89">
        <f>SUMIF(RawData!$C:$C,$A89,RawData!AV:AV)</f>
        <v>0</v>
      </c>
      <c r="AS89">
        <f>SUMIF(RawData!$C:$C,$A89,RawData!AW:AW)</f>
        <v>0</v>
      </c>
      <c r="AT89">
        <f>SUMIF(RawData!$C:$C,$A89,RawData!AX:AX)</f>
        <v>0</v>
      </c>
      <c r="AU89">
        <f>SUMIF(RawData!$C:$C,$A89,RawData!AY:AY)</f>
        <v>0</v>
      </c>
      <c r="AV89">
        <f>SUMIF(RawData!$C:$C,$A89,RawData!AZ:AZ)</f>
        <v>1</v>
      </c>
      <c r="AW89">
        <f>SUMIF(RawData!$C:$C,$A89,RawData!BA:BA)</f>
        <v>1</v>
      </c>
      <c r="AX89">
        <f>SUMIF(RawData!$C:$C,$A89,RawData!BB:BB)</f>
        <v>1</v>
      </c>
      <c r="AY89">
        <f>SUMIF(RawData!$C:$C,$A89,RawData!BC:BC)</f>
        <v>5</v>
      </c>
      <c r="AZ89">
        <f>SUMIF(RawData!$C:$C,$A89,RawData!BD:BD)</f>
        <v>5</v>
      </c>
      <c r="BA89">
        <f>SUMIF(RawData!$C:$C,$A89,RawData!BE:BE)</f>
        <v>6</v>
      </c>
      <c r="BB89">
        <f>SUMIF(RawData!$C:$C,$A89,RawData!BF:BF)</f>
        <v>6</v>
      </c>
      <c r="BC89">
        <f>SUMIF(RawData!$C:$C,$A89,RawData!BG:BG)</f>
        <v>6</v>
      </c>
      <c r="BD89">
        <f>SUMIF(RawData!$C:$C,$A89,RawData!BH:BH)</f>
        <v>8</v>
      </c>
      <c r="BE89">
        <f>SUMIF(RawData!$C:$C,$A89,RawData!BI:BI)</f>
        <v>0</v>
      </c>
      <c r="BF89">
        <f>SUMIF(RawData!$C:$C,$A89,RawData!BJ:BJ)</f>
        <v>0</v>
      </c>
      <c r="BG89">
        <f>SUMIF(RawData!$C:$C,$A89,RawData!BK:BK)</f>
        <v>0</v>
      </c>
      <c r="BH89">
        <f>SUMIF(RawData!$C:$C,$A89,RawData!BL:BL)</f>
        <v>0</v>
      </c>
      <c r="BI89">
        <f>SUMIF(RawData!$C:$C,$A89,RawData!BM:BM)</f>
        <v>0</v>
      </c>
      <c r="BJ89">
        <f>SUMIF(RawData!$C:$C,$A89,RawData!BN:BN)</f>
        <v>0</v>
      </c>
      <c r="BK89">
        <f>SUMIF(RawData!$C:$C,$A89,RawData!BO:BO)</f>
        <v>0</v>
      </c>
      <c r="BL89">
        <f>SUMIF(RawData!$C:$C,$A89,RawData!BP:BP)</f>
        <v>0</v>
      </c>
      <c r="BM89">
        <f>SUMIF(RawData!$C:$C,$A89,RawData!BQ:BQ)</f>
        <v>0</v>
      </c>
      <c r="BN89">
        <f>SUMIF(RawData!$C:$C,$A89,RawData!BR:BR)</f>
        <v>0</v>
      </c>
      <c r="BO89">
        <f>SUMIF(RawData!$C:$C,$A89,RawData!BS:BS)</f>
        <v>0</v>
      </c>
      <c r="BP89">
        <f>SUMIF(RawData!$C:$C,$A89,RawData!BT:BT)</f>
        <v>0</v>
      </c>
      <c r="BQ89">
        <f>SUMIF(RawData!$C:$C,$A89,RawData!BU:BU)</f>
        <v>0</v>
      </c>
      <c r="BR89">
        <f>SUMIF(RawData!$C:$C,$A89,RawData!BV:BV)</f>
        <v>0</v>
      </c>
      <c r="BS89">
        <f>SUMIF(RawData!$C:$C,$A89,RawData!BW:BW)</f>
        <v>0</v>
      </c>
      <c r="BT89">
        <f>SUMIF(RawData!$C:$C,$A89,RawData!BX:BX)</f>
        <v>0</v>
      </c>
    </row>
    <row r="90" spans="1:72" ht="15" thickBot="1" x14ac:dyDescent="0.35">
      <c r="A90" s="4" t="s">
        <v>79</v>
      </c>
      <c r="B90">
        <f>SUMIF(RawData!$C:$C,$A90,RawData!F:F)</f>
        <v>0</v>
      </c>
      <c r="C90">
        <f>SUMIF(RawData!$C:$C,$A90,RawData!G:G)</f>
        <v>0</v>
      </c>
      <c r="D90">
        <f>SUMIF(RawData!$C:$C,$A90,RawData!H:H)</f>
        <v>0</v>
      </c>
      <c r="E90">
        <f>SUMIF(RawData!$C:$C,$A90,RawData!I:I)</f>
        <v>0</v>
      </c>
      <c r="F90">
        <f>SUMIF(RawData!$C:$C,$A90,RawData!J:J)</f>
        <v>0</v>
      </c>
      <c r="G90">
        <f>SUMIF(RawData!$C:$C,$A90,RawData!K:K)</f>
        <v>1</v>
      </c>
      <c r="H90">
        <f>SUMIF(RawData!$C:$C,$A90,RawData!L:L)</f>
        <v>1</v>
      </c>
      <c r="I90">
        <f>SUMIF(RawData!$C:$C,$A90,RawData!M:M)</f>
        <v>1</v>
      </c>
      <c r="J90">
        <f>SUMIF(RawData!$C:$C,$A90,RawData!N:N)</f>
        <v>1</v>
      </c>
      <c r="K90">
        <f>SUMIF(RawData!$C:$C,$A90,RawData!O:O)</f>
        <v>1</v>
      </c>
      <c r="L90">
        <f>SUMIF(RawData!$C:$C,$A90,RawData!P:P)</f>
        <v>1</v>
      </c>
      <c r="M90">
        <f>SUMIF(RawData!$C:$C,$A90,RawData!Q:Q)</f>
        <v>1</v>
      </c>
      <c r="N90">
        <f>SUMIF(RawData!$C:$C,$A90,RawData!R:R)</f>
        <v>1</v>
      </c>
      <c r="O90">
        <f>SUMIF(RawData!$C:$C,$A90,RawData!S:S)</f>
        <v>1</v>
      </c>
      <c r="P90">
        <f>SUMIF(RawData!$C:$C,$A90,RawData!T:T)</f>
        <v>1</v>
      </c>
      <c r="Q90">
        <f>SUMIF(RawData!$C:$C,$A90,RawData!U:U)</f>
        <v>1</v>
      </c>
      <c r="R90">
        <f>SUMIF(RawData!$C:$C,$A90,RawData!V:V)</f>
        <v>1</v>
      </c>
      <c r="S90">
        <f>SUMIF(RawData!$C:$C,$A90,RawData!W:W)</f>
        <v>1</v>
      </c>
      <c r="T90">
        <f>SUMIF(RawData!$C:$C,$A90,RawData!X:X)</f>
        <v>1</v>
      </c>
      <c r="U90">
        <f>SUMIF(RawData!$C:$C,$A90,RawData!Y:Y)</f>
        <v>1</v>
      </c>
      <c r="V90">
        <f>SUMIF(RawData!$C:$C,$A90,RawData!Z:Z)</f>
        <v>1</v>
      </c>
      <c r="W90">
        <f>SUMIF(RawData!$C:$C,$A90,RawData!AA:AA)</f>
        <v>1</v>
      </c>
      <c r="X90">
        <f>SUMIF(RawData!$C:$C,$A90,RawData!AB:AB)</f>
        <v>1</v>
      </c>
      <c r="Y90">
        <f>SUMIF(RawData!$C:$C,$A90,RawData!AC:AC)</f>
        <v>1</v>
      </c>
      <c r="Z90">
        <f>SUMIF(RawData!$C:$C,$A90,RawData!AD:AD)</f>
        <v>1</v>
      </c>
      <c r="AA90">
        <f>SUMIF(RawData!$C:$C,$A90,RawData!AE:AE)</f>
        <v>1</v>
      </c>
      <c r="AB90">
        <f>SUMIF(RawData!$C:$C,$A90,RawData!AF:AF)</f>
        <v>1</v>
      </c>
      <c r="AC90">
        <f>SUMIF(RawData!$C:$C,$A90,RawData!AG:AG)</f>
        <v>1</v>
      </c>
      <c r="AD90">
        <f>SUMIF(RawData!$C:$C,$A90,RawData!AH:AH)</f>
        <v>1</v>
      </c>
      <c r="AE90">
        <f>SUMIF(RawData!$C:$C,$A90,RawData!AI:AI)</f>
        <v>1</v>
      </c>
      <c r="AF90">
        <f>SUMIF(RawData!$C:$C,$A90,RawData!AJ:AJ)</f>
        <v>1</v>
      </c>
      <c r="AG90">
        <f>SUMIF(RawData!$C:$C,$A90,RawData!AK:AK)</f>
        <v>1</v>
      </c>
      <c r="AH90">
        <f>SUMIF(RawData!$C:$C,$A90,RawData!AL:AL)</f>
        <v>1</v>
      </c>
      <c r="AI90">
        <f>SUMIF(RawData!$C:$C,$A90,RawData!AM:AM)</f>
        <v>1</v>
      </c>
      <c r="AJ90">
        <f>SUMIF(RawData!$C:$C,$A90,RawData!AN:AN)</f>
        <v>1</v>
      </c>
      <c r="AK90">
        <f>SUMIF(RawData!$C:$C,$A90,RawData!AO:AO)</f>
        <v>1</v>
      </c>
      <c r="AL90">
        <f>SUMIF(RawData!$C:$C,$A90,RawData!AP:AP)</f>
        <v>1</v>
      </c>
      <c r="AM90">
        <f>SUMIF(RawData!$C:$C,$A90,RawData!AQ:AQ)</f>
        <v>1</v>
      </c>
      <c r="AN90">
        <f>SUMIF(RawData!$C:$C,$A90,RawData!AR:AR)</f>
        <v>1</v>
      </c>
      <c r="AO90">
        <f>SUMIF(RawData!$C:$C,$A90,RawData!AS:AS)</f>
        <v>1</v>
      </c>
      <c r="AP90">
        <f>SUMIF(RawData!$C:$C,$A90,RawData!AT:AT)</f>
        <v>1</v>
      </c>
      <c r="AQ90">
        <f>SUMIF(RawData!$C:$C,$A90,RawData!AU:AU)</f>
        <v>1</v>
      </c>
      <c r="AR90">
        <f>SUMIF(RawData!$C:$C,$A90,RawData!AV:AV)</f>
        <v>1</v>
      </c>
      <c r="AS90">
        <f>SUMIF(RawData!$C:$C,$A90,RawData!AW:AW)</f>
        <v>1</v>
      </c>
      <c r="AT90">
        <f>SUMIF(RawData!$C:$C,$A90,RawData!AX:AX)</f>
        <v>1</v>
      </c>
      <c r="AU90">
        <f>SUMIF(RawData!$C:$C,$A90,RawData!AY:AY)</f>
        <v>1</v>
      </c>
      <c r="AV90">
        <f>SUMIF(RawData!$C:$C,$A90,RawData!AZ:AZ)</f>
        <v>1</v>
      </c>
      <c r="AW90">
        <f>SUMIF(RawData!$C:$C,$A90,RawData!BA:BA)</f>
        <v>1</v>
      </c>
      <c r="AX90">
        <f>SUMIF(RawData!$C:$C,$A90,RawData!BB:BB)</f>
        <v>1</v>
      </c>
      <c r="AY90">
        <f>SUMIF(RawData!$C:$C,$A90,RawData!BC:BC)</f>
        <v>2</v>
      </c>
      <c r="AZ90">
        <f>SUMIF(RawData!$C:$C,$A90,RawData!BD:BD)</f>
        <v>2</v>
      </c>
      <c r="BA90">
        <f>SUMIF(RawData!$C:$C,$A90,RawData!BE:BE)</f>
        <v>6</v>
      </c>
      <c r="BB90">
        <f>SUMIF(RawData!$C:$C,$A90,RawData!BF:BF)</f>
        <v>10</v>
      </c>
      <c r="BC90">
        <f>SUMIF(RawData!$C:$C,$A90,RawData!BG:BG)</f>
        <v>18</v>
      </c>
      <c r="BD90">
        <f>SUMIF(RawData!$C:$C,$A90,RawData!BH:BH)</f>
        <v>28</v>
      </c>
      <c r="BE90">
        <f>SUMIF(RawData!$C:$C,$A90,RawData!BI:BI)</f>
        <v>0</v>
      </c>
      <c r="BF90">
        <f>SUMIF(RawData!$C:$C,$A90,RawData!BJ:BJ)</f>
        <v>0</v>
      </c>
      <c r="BG90">
        <f>SUMIF(RawData!$C:$C,$A90,RawData!BK:BK)</f>
        <v>0</v>
      </c>
      <c r="BH90">
        <f>SUMIF(RawData!$C:$C,$A90,RawData!BL:BL)</f>
        <v>0</v>
      </c>
      <c r="BI90">
        <f>SUMIF(RawData!$C:$C,$A90,RawData!BM:BM)</f>
        <v>0</v>
      </c>
      <c r="BJ90">
        <f>SUMIF(RawData!$C:$C,$A90,RawData!BN:BN)</f>
        <v>0</v>
      </c>
      <c r="BK90">
        <f>SUMIF(RawData!$C:$C,$A90,RawData!BO:BO)</f>
        <v>0</v>
      </c>
      <c r="BL90">
        <f>SUMIF(RawData!$C:$C,$A90,RawData!BP:BP)</f>
        <v>0</v>
      </c>
      <c r="BM90">
        <f>SUMIF(RawData!$C:$C,$A90,RawData!BQ:BQ)</f>
        <v>0</v>
      </c>
      <c r="BN90">
        <f>SUMIF(RawData!$C:$C,$A90,RawData!BR:BR)</f>
        <v>0</v>
      </c>
      <c r="BO90">
        <f>SUMIF(RawData!$C:$C,$A90,RawData!BS:BS)</f>
        <v>0</v>
      </c>
      <c r="BP90">
        <f>SUMIF(RawData!$C:$C,$A90,RawData!BT:BT)</f>
        <v>0</v>
      </c>
      <c r="BQ90">
        <f>SUMIF(RawData!$C:$C,$A90,RawData!BU:BU)</f>
        <v>0</v>
      </c>
      <c r="BR90">
        <f>SUMIF(RawData!$C:$C,$A90,RawData!BV:BV)</f>
        <v>0</v>
      </c>
      <c r="BS90">
        <f>SUMIF(RawData!$C:$C,$A90,RawData!BW:BW)</f>
        <v>0</v>
      </c>
      <c r="BT90">
        <f>SUMIF(RawData!$C:$C,$A90,RawData!BX:BX)</f>
        <v>0</v>
      </c>
    </row>
    <row r="91" spans="1:72" ht="15" thickBot="1" x14ac:dyDescent="0.35">
      <c r="A91" s="5" t="s">
        <v>78</v>
      </c>
      <c r="B91">
        <f>SUMIF(RawData!$C:$C,$A91,RawData!F:F)</f>
        <v>0</v>
      </c>
      <c r="C91">
        <f>SUMIF(RawData!$C:$C,$A91,RawData!G:G)</f>
        <v>0</v>
      </c>
      <c r="D91">
        <f>SUMIF(RawData!$C:$C,$A91,RawData!H:H)</f>
        <v>0</v>
      </c>
      <c r="E91">
        <f>SUMIF(RawData!$C:$C,$A91,RawData!I:I)</f>
        <v>0</v>
      </c>
      <c r="F91">
        <f>SUMIF(RawData!$C:$C,$A91,RawData!J:J)</f>
        <v>0</v>
      </c>
      <c r="G91">
        <f>SUMIF(RawData!$C:$C,$A91,RawData!K:K)</f>
        <v>1</v>
      </c>
      <c r="H91">
        <f>SUMIF(RawData!$C:$C,$A91,RawData!L:L)</f>
        <v>1</v>
      </c>
      <c r="I91">
        <f>SUMIF(RawData!$C:$C,$A91,RawData!M:M)</f>
        <v>1</v>
      </c>
      <c r="J91">
        <f>SUMIF(RawData!$C:$C,$A91,RawData!N:N)</f>
        <v>1</v>
      </c>
      <c r="K91">
        <f>SUMIF(RawData!$C:$C,$A91,RawData!O:O)</f>
        <v>1</v>
      </c>
      <c r="L91">
        <f>SUMIF(RawData!$C:$C,$A91,RawData!P:P)</f>
        <v>1</v>
      </c>
      <c r="M91">
        <f>SUMIF(RawData!$C:$C,$A91,RawData!Q:Q)</f>
        <v>1</v>
      </c>
      <c r="N91">
        <f>SUMIF(RawData!$C:$C,$A91,RawData!R:R)</f>
        <v>1</v>
      </c>
      <c r="O91">
        <f>SUMIF(RawData!$C:$C,$A91,RawData!S:S)</f>
        <v>1</v>
      </c>
      <c r="P91">
        <f>SUMIF(RawData!$C:$C,$A91,RawData!T:T)</f>
        <v>1</v>
      </c>
      <c r="Q91">
        <f>SUMIF(RawData!$C:$C,$A91,RawData!U:U)</f>
        <v>1</v>
      </c>
      <c r="R91">
        <f>SUMIF(RawData!$C:$C,$A91,RawData!V:V)</f>
        <v>1</v>
      </c>
      <c r="S91">
        <f>SUMIF(RawData!$C:$C,$A91,RawData!W:W)</f>
        <v>1</v>
      </c>
      <c r="T91">
        <f>SUMIF(RawData!$C:$C,$A91,RawData!X:X)</f>
        <v>1</v>
      </c>
      <c r="U91">
        <f>SUMIF(RawData!$C:$C,$A91,RawData!Y:Y)</f>
        <v>1</v>
      </c>
      <c r="V91">
        <f>SUMIF(RawData!$C:$C,$A91,RawData!Z:Z)</f>
        <v>1</v>
      </c>
      <c r="W91">
        <f>SUMIF(RawData!$C:$C,$A91,RawData!AA:AA)</f>
        <v>1</v>
      </c>
      <c r="X91">
        <f>SUMIF(RawData!$C:$C,$A91,RawData!AB:AB)</f>
        <v>1</v>
      </c>
      <c r="Y91">
        <f>SUMIF(RawData!$C:$C,$A91,RawData!AC:AC)</f>
        <v>1</v>
      </c>
      <c r="Z91">
        <f>SUMIF(RawData!$C:$C,$A91,RawData!AD:AD)</f>
        <v>1</v>
      </c>
      <c r="AA91">
        <f>SUMIF(RawData!$C:$C,$A91,RawData!AE:AE)</f>
        <v>1</v>
      </c>
      <c r="AB91">
        <f>SUMIF(RawData!$C:$C,$A91,RawData!AF:AF)</f>
        <v>1</v>
      </c>
      <c r="AC91">
        <f>SUMIF(RawData!$C:$C,$A91,RawData!AG:AG)</f>
        <v>1</v>
      </c>
      <c r="AD91">
        <f>SUMIF(RawData!$C:$C,$A91,RawData!AH:AH)</f>
        <v>1</v>
      </c>
      <c r="AE91">
        <f>SUMIF(RawData!$C:$C,$A91,RawData!AI:AI)</f>
        <v>1</v>
      </c>
      <c r="AF91">
        <f>SUMIF(RawData!$C:$C,$A91,RawData!AJ:AJ)</f>
        <v>1</v>
      </c>
      <c r="AG91">
        <f>SUMIF(RawData!$C:$C,$A91,RawData!AK:AK)</f>
        <v>1</v>
      </c>
      <c r="AH91">
        <f>SUMIF(RawData!$C:$C,$A91,RawData!AL:AL)</f>
        <v>1</v>
      </c>
      <c r="AI91">
        <f>SUMIF(RawData!$C:$C,$A91,RawData!AM:AM)</f>
        <v>1</v>
      </c>
      <c r="AJ91">
        <f>SUMIF(RawData!$C:$C,$A91,RawData!AN:AN)</f>
        <v>1</v>
      </c>
      <c r="AK91">
        <f>SUMIF(RawData!$C:$C,$A91,RawData!AO:AO)</f>
        <v>1</v>
      </c>
      <c r="AL91">
        <f>SUMIF(RawData!$C:$C,$A91,RawData!AP:AP)</f>
        <v>1</v>
      </c>
      <c r="AM91">
        <f>SUMIF(RawData!$C:$C,$A91,RawData!AQ:AQ)</f>
        <v>1</v>
      </c>
      <c r="AN91">
        <f>SUMIF(RawData!$C:$C,$A91,RawData!AR:AR)</f>
        <v>1</v>
      </c>
      <c r="AO91">
        <f>SUMIF(RawData!$C:$C,$A91,RawData!AS:AS)</f>
        <v>1</v>
      </c>
      <c r="AP91">
        <f>SUMIF(RawData!$C:$C,$A91,RawData!AT:AT)</f>
        <v>1</v>
      </c>
      <c r="AQ91">
        <f>SUMIF(RawData!$C:$C,$A91,RawData!AU:AU)</f>
        <v>1</v>
      </c>
      <c r="AR91">
        <f>SUMIF(RawData!$C:$C,$A91,RawData!AV:AV)</f>
        <v>1</v>
      </c>
      <c r="AS91">
        <f>SUMIF(RawData!$C:$C,$A91,RawData!AW:AW)</f>
        <v>1</v>
      </c>
      <c r="AT91">
        <f>SUMIF(RawData!$C:$C,$A91,RawData!AX:AX)</f>
        <v>1</v>
      </c>
      <c r="AU91">
        <f>SUMIF(RawData!$C:$C,$A91,RawData!AY:AY)</f>
        <v>1</v>
      </c>
      <c r="AV91">
        <f>SUMIF(RawData!$C:$C,$A91,RawData!AZ:AZ)</f>
        <v>2</v>
      </c>
      <c r="AW91">
        <f>SUMIF(RawData!$C:$C,$A91,RawData!BA:BA)</f>
        <v>2</v>
      </c>
      <c r="AX91">
        <f>SUMIF(RawData!$C:$C,$A91,RawData!BB:BB)</f>
        <v>2</v>
      </c>
      <c r="AY91">
        <f>SUMIF(RawData!$C:$C,$A91,RawData!BC:BC)</f>
        <v>3</v>
      </c>
      <c r="AZ91">
        <f>SUMIF(RawData!$C:$C,$A91,RawData!BD:BD)</f>
        <v>3</v>
      </c>
      <c r="BA91">
        <f>SUMIF(RawData!$C:$C,$A91,RawData!BE:BE)</f>
        <v>5</v>
      </c>
      <c r="BB91">
        <f>SUMIF(RawData!$C:$C,$A91,RawData!BF:BF)</f>
        <v>7</v>
      </c>
      <c r="BC91">
        <f>SUMIF(RawData!$C:$C,$A91,RawData!BG:BG)</f>
        <v>7</v>
      </c>
      <c r="BD91">
        <f>SUMIF(RawData!$C:$C,$A91,RawData!BH:BH)</f>
        <v>7</v>
      </c>
      <c r="BE91">
        <f>SUMIF(RawData!$C:$C,$A91,RawData!BI:BI)</f>
        <v>0</v>
      </c>
      <c r="BF91">
        <f>SUMIF(RawData!$C:$C,$A91,RawData!BJ:BJ)</f>
        <v>0</v>
      </c>
      <c r="BG91">
        <f>SUMIF(RawData!$C:$C,$A91,RawData!BK:BK)</f>
        <v>0</v>
      </c>
      <c r="BH91">
        <f>SUMIF(RawData!$C:$C,$A91,RawData!BL:BL)</f>
        <v>0</v>
      </c>
      <c r="BI91">
        <f>SUMIF(RawData!$C:$C,$A91,RawData!BM:BM)</f>
        <v>0</v>
      </c>
      <c r="BJ91">
        <f>SUMIF(RawData!$C:$C,$A91,RawData!BN:BN)</f>
        <v>0</v>
      </c>
      <c r="BK91">
        <f>SUMIF(RawData!$C:$C,$A91,RawData!BO:BO)</f>
        <v>0</v>
      </c>
      <c r="BL91">
        <f>SUMIF(RawData!$C:$C,$A91,RawData!BP:BP)</f>
        <v>0</v>
      </c>
      <c r="BM91">
        <f>SUMIF(RawData!$C:$C,$A91,RawData!BQ:BQ)</f>
        <v>0</v>
      </c>
      <c r="BN91">
        <f>SUMIF(RawData!$C:$C,$A91,RawData!BR:BR)</f>
        <v>0</v>
      </c>
      <c r="BO91">
        <f>SUMIF(RawData!$C:$C,$A91,RawData!BS:BS)</f>
        <v>0</v>
      </c>
      <c r="BP91">
        <f>SUMIF(RawData!$C:$C,$A91,RawData!BT:BT)</f>
        <v>0</v>
      </c>
      <c r="BQ91">
        <f>SUMIF(RawData!$C:$C,$A91,RawData!BU:BU)</f>
        <v>0</v>
      </c>
      <c r="BR91">
        <f>SUMIF(RawData!$C:$C,$A91,RawData!BV:BV)</f>
        <v>0</v>
      </c>
      <c r="BS91">
        <f>SUMIF(RawData!$C:$C,$A91,RawData!BW:BW)</f>
        <v>0</v>
      </c>
      <c r="BT91">
        <f>SUMIF(RawData!$C:$C,$A91,RawData!BX:BX)</f>
        <v>0</v>
      </c>
    </row>
    <row r="92" spans="1:72" ht="15" thickBot="1" x14ac:dyDescent="0.35">
      <c r="A92" s="4" t="s">
        <v>133</v>
      </c>
      <c r="B92">
        <f>SUMIF(RawData!$C:$C,$A92,RawData!F:F)</f>
        <v>0</v>
      </c>
      <c r="C92">
        <f>SUMIF(RawData!$C:$C,$A92,RawData!G:G)</f>
        <v>0</v>
      </c>
      <c r="D92">
        <f>SUMIF(RawData!$C:$C,$A92,RawData!H:H)</f>
        <v>0</v>
      </c>
      <c r="E92">
        <f>SUMIF(RawData!$C:$C,$A92,RawData!I:I)</f>
        <v>0</v>
      </c>
      <c r="F92">
        <f>SUMIF(RawData!$C:$C,$A92,RawData!J:J)</f>
        <v>0</v>
      </c>
      <c r="G92">
        <f>SUMIF(RawData!$C:$C,$A92,RawData!K:K)</f>
        <v>0</v>
      </c>
      <c r="H92">
        <f>SUMIF(RawData!$C:$C,$A92,RawData!L:L)</f>
        <v>0</v>
      </c>
      <c r="I92">
        <f>SUMIF(RawData!$C:$C,$A92,RawData!M:M)</f>
        <v>0</v>
      </c>
      <c r="J92">
        <f>SUMIF(RawData!$C:$C,$A92,RawData!N:N)</f>
        <v>0</v>
      </c>
      <c r="K92">
        <f>SUMIF(RawData!$C:$C,$A92,RawData!O:O)</f>
        <v>0</v>
      </c>
      <c r="L92">
        <f>SUMIF(RawData!$C:$C,$A92,RawData!P:P)</f>
        <v>0</v>
      </c>
      <c r="M92">
        <f>SUMIF(RawData!$C:$C,$A92,RawData!Q:Q)</f>
        <v>0</v>
      </c>
      <c r="N92">
        <f>SUMIF(RawData!$C:$C,$A92,RawData!R:R)</f>
        <v>0</v>
      </c>
      <c r="O92">
        <f>SUMIF(RawData!$C:$C,$A92,RawData!S:S)</f>
        <v>0</v>
      </c>
      <c r="P92">
        <f>SUMIF(RawData!$C:$C,$A92,RawData!T:T)</f>
        <v>0</v>
      </c>
      <c r="Q92">
        <f>SUMIF(RawData!$C:$C,$A92,RawData!U:U)</f>
        <v>0</v>
      </c>
      <c r="R92">
        <f>SUMIF(RawData!$C:$C,$A92,RawData!V:V)</f>
        <v>0</v>
      </c>
      <c r="S92">
        <f>SUMIF(RawData!$C:$C,$A92,RawData!W:W)</f>
        <v>0</v>
      </c>
      <c r="T92">
        <f>SUMIF(RawData!$C:$C,$A92,RawData!X:X)</f>
        <v>0</v>
      </c>
      <c r="U92">
        <f>SUMIF(RawData!$C:$C,$A92,RawData!Y:Y)</f>
        <v>0</v>
      </c>
      <c r="V92">
        <f>SUMIF(RawData!$C:$C,$A92,RawData!Z:Z)</f>
        <v>0</v>
      </c>
      <c r="W92">
        <f>SUMIF(RawData!$C:$C,$A92,RawData!AA:AA)</f>
        <v>0</v>
      </c>
      <c r="X92">
        <f>SUMIF(RawData!$C:$C,$A92,RawData!AB:AB)</f>
        <v>0</v>
      </c>
      <c r="Y92">
        <f>SUMIF(RawData!$C:$C,$A92,RawData!AC:AC)</f>
        <v>0</v>
      </c>
      <c r="Z92">
        <f>SUMIF(RawData!$C:$C,$A92,RawData!AD:AD)</f>
        <v>0</v>
      </c>
      <c r="AA92">
        <f>SUMIF(RawData!$C:$C,$A92,RawData!AE:AE)</f>
        <v>0</v>
      </c>
      <c r="AB92">
        <f>SUMIF(RawData!$C:$C,$A92,RawData!AF:AF)</f>
        <v>0</v>
      </c>
      <c r="AC92">
        <f>SUMIF(RawData!$C:$C,$A92,RawData!AG:AG)</f>
        <v>0</v>
      </c>
      <c r="AD92">
        <f>SUMIF(RawData!$C:$C,$A92,RawData!AH:AH)</f>
        <v>0</v>
      </c>
      <c r="AE92">
        <f>SUMIF(RawData!$C:$C,$A92,RawData!AI:AI)</f>
        <v>0</v>
      </c>
      <c r="AF92">
        <f>SUMIF(RawData!$C:$C,$A92,RawData!AJ:AJ)</f>
        <v>0</v>
      </c>
      <c r="AG92">
        <f>SUMIF(RawData!$C:$C,$A92,RawData!AK:AK)</f>
        <v>0</v>
      </c>
      <c r="AH92">
        <f>SUMIF(RawData!$C:$C,$A92,RawData!AL:AL)</f>
        <v>0</v>
      </c>
      <c r="AI92">
        <f>SUMIF(RawData!$C:$C,$A92,RawData!AM:AM)</f>
        <v>0</v>
      </c>
      <c r="AJ92">
        <f>SUMIF(RawData!$C:$C,$A92,RawData!AN:AN)</f>
        <v>0</v>
      </c>
      <c r="AK92">
        <f>SUMIF(RawData!$C:$C,$A92,RawData!AO:AO)</f>
        <v>0</v>
      </c>
      <c r="AL92">
        <f>SUMIF(RawData!$C:$C,$A92,RawData!AP:AP)</f>
        <v>0</v>
      </c>
      <c r="AM92">
        <f>SUMIF(RawData!$C:$C,$A92,RawData!AQ:AQ)</f>
        <v>0</v>
      </c>
      <c r="AN92">
        <f>SUMIF(RawData!$C:$C,$A92,RawData!AR:AR)</f>
        <v>0</v>
      </c>
      <c r="AO92">
        <f>SUMIF(RawData!$C:$C,$A92,RawData!AS:AS)</f>
        <v>1</v>
      </c>
      <c r="AP92">
        <f>SUMIF(RawData!$C:$C,$A92,RawData!AT:AT)</f>
        <v>1</v>
      </c>
      <c r="AQ92">
        <f>SUMIF(RawData!$C:$C,$A92,RawData!AU:AU)</f>
        <v>1</v>
      </c>
      <c r="AR92">
        <f>SUMIF(RawData!$C:$C,$A92,RawData!AV:AV)</f>
        <v>1</v>
      </c>
      <c r="AS92">
        <f>SUMIF(RawData!$C:$C,$A92,RawData!AW:AW)</f>
        <v>1</v>
      </c>
      <c r="AT92">
        <f>SUMIF(RawData!$C:$C,$A92,RawData!AX:AX)</f>
        <v>2</v>
      </c>
      <c r="AU92">
        <f>SUMIF(RawData!$C:$C,$A92,RawData!AY:AY)</f>
        <v>2</v>
      </c>
      <c r="AV92">
        <f>SUMIF(RawData!$C:$C,$A92,RawData!AZ:AZ)</f>
        <v>5</v>
      </c>
      <c r="AW92">
        <f>SUMIF(RawData!$C:$C,$A92,RawData!BA:BA)</f>
        <v>5</v>
      </c>
      <c r="AX92">
        <f>SUMIF(RawData!$C:$C,$A92,RawData!BB:BB)</f>
        <v>5</v>
      </c>
      <c r="AY92">
        <f>SUMIF(RawData!$C:$C,$A92,RawData!BC:BC)</f>
        <v>5</v>
      </c>
      <c r="AZ92">
        <f>SUMIF(RawData!$C:$C,$A92,RawData!BD:BD)</f>
        <v>5</v>
      </c>
      <c r="BA92">
        <f>SUMIF(RawData!$C:$C,$A92,RawData!BE:BE)</f>
        <v>5</v>
      </c>
      <c r="BB92">
        <f>SUMIF(RawData!$C:$C,$A92,RawData!BF:BF)</f>
        <v>11</v>
      </c>
      <c r="BC92">
        <f>SUMIF(RawData!$C:$C,$A92,RawData!BG:BG)</f>
        <v>11</v>
      </c>
      <c r="BD92">
        <f>SUMIF(RawData!$C:$C,$A92,RawData!BH:BH)</f>
        <v>11</v>
      </c>
      <c r="BE92">
        <f>SUMIF(RawData!$C:$C,$A92,RawData!BI:BI)</f>
        <v>0</v>
      </c>
      <c r="BF92">
        <f>SUMIF(RawData!$C:$C,$A92,RawData!BJ:BJ)</f>
        <v>0</v>
      </c>
      <c r="BG92">
        <f>SUMIF(RawData!$C:$C,$A92,RawData!BK:BK)</f>
        <v>0</v>
      </c>
      <c r="BH92">
        <f>SUMIF(RawData!$C:$C,$A92,RawData!BL:BL)</f>
        <v>0</v>
      </c>
      <c r="BI92">
        <f>SUMIF(RawData!$C:$C,$A92,RawData!BM:BM)</f>
        <v>0</v>
      </c>
      <c r="BJ92">
        <f>SUMIF(RawData!$C:$C,$A92,RawData!BN:BN)</f>
        <v>0</v>
      </c>
      <c r="BK92">
        <f>SUMIF(RawData!$C:$C,$A92,RawData!BO:BO)</f>
        <v>0</v>
      </c>
      <c r="BL92">
        <f>SUMIF(RawData!$C:$C,$A92,RawData!BP:BP)</f>
        <v>0</v>
      </c>
      <c r="BM92">
        <f>SUMIF(RawData!$C:$C,$A92,RawData!BQ:BQ)</f>
        <v>0</v>
      </c>
      <c r="BN92">
        <f>SUMIF(RawData!$C:$C,$A92,RawData!BR:BR)</f>
        <v>0</v>
      </c>
      <c r="BO92">
        <f>SUMIF(RawData!$C:$C,$A92,RawData!BS:BS)</f>
        <v>0</v>
      </c>
      <c r="BP92">
        <f>SUMIF(RawData!$C:$C,$A92,RawData!BT:BT)</f>
        <v>0</v>
      </c>
      <c r="BQ92">
        <f>SUMIF(RawData!$C:$C,$A92,RawData!BU:BU)</f>
        <v>0</v>
      </c>
      <c r="BR92">
        <f>SUMIF(RawData!$C:$C,$A92,RawData!BV:BV)</f>
        <v>0</v>
      </c>
      <c r="BS92">
        <f>SUMIF(RawData!$C:$C,$A92,RawData!BW:BW)</f>
        <v>0</v>
      </c>
      <c r="BT92">
        <f>SUMIF(RawData!$C:$C,$A92,RawData!BX:BX)</f>
        <v>0</v>
      </c>
    </row>
    <row r="93" spans="1:72" ht="15" thickBot="1" x14ac:dyDescent="0.35">
      <c r="A93" s="5" t="s">
        <v>203</v>
      </c>
      <c r="B93">
        <f>SUMIF(RawData!$C:$C,$A93,RawData!F:F)</f>
        <v>0</v>
      </c>
      <c r="C93">
        <f>SUMIF(RawData!$C:$C,$A93,RawData!G:G)</f>
        <v>0</v>
      </c>
      <c r="D93">
        <f>SUMIF(RawData!$C:$C,$A93,RawData!H:H)</f>
        <v>0</v>
      </c>
      <c r="E93">
        <f>SUMIF(RawData!$C:$C,$A93,RawData!I:I)</f>
        <v>0</v>
      </c>
      <c r="F93">
        <f>SUMIF(RawData!$C:$C,$A93,RawData!J:J)</f>
        <v>0</v>
      </c>
      <c r="G93">
        <f>SUMIF(RawData!$C:$C,$A93,RawData!K:K)</f>
        <v>0</v>
      </c>
      <c r="H93">
        <f>SUMIF(RawData!$C:$C,$A93,RawData!L:L)</f>
        <v>0</v>
      </c>
      <c r="I93">
        <f>SUMIF(RawData!$C:$C,$A93,RawData!M:M)</f>
        <v>0</v>
      </c>
      <c r="J93">
        <f>SUMIF(RawData!$C:$C,$A93,RawData!N:N)</f>
        <v>0</v>
      </c>
      <c r="K93">
        <f>SUMIF(RawData!$C:$C,$A93,RawData!O:O)</f>
        <v>0</v>
      </c>
      <c r="L93">
        <f>SUMIF(RawData!$C:$C,$A93,RawData!P:P)</f>
        <v>0</v>
      </c>
      <c r="M93">
        <f>SUMIF(RawData!$C:$C,$A93,RawData!Q:Q)</f>
        <v>0</v>
      </c>
      <c r="N93">
        <f>SUMIF(RawData!$C:$C,$A93,RawData!R:R)</f>
        <v>0</v>
      </c>
      <c r="O93">
        <f>SUMIF(RawData!$C:$C,$A93,RawData!S:S)</f>
        <v>0</v>
      </c>
      <c r="P93">
        <f>SUMIF(RawData!$C:$C,$A93,RawData!T:T)</f>
        <v>0</v>
      </c>
      <c r="Q93">
        <f>SUMIF(RawData!$C:$C,$A93,RawData!U:U)</f>
        <v>0</v>
      </c>
      <c r="R93">
        <f>SUMIF(RawData!$C:$C,$A93,RawData!V:V)</f>
        <v>0</v>
      </c>
      <c r="S93">
        <f>SUMIF(RawData!$C:$C,$A93,RawData!W:W)</f>
        <v>0</v>
      </c>
      <c r="T93">
        <f>SUMIF(RawData!$C:$C,$A93,RawData!X:X)</f>
        <v>0</v>
      </c>
      <c r="U93">
        <f>SUMIF(RawData!$C:$C,$A93,RawData!Y:Y)</f>
        <v>0</v>
      </c>
      <c r="V93">
        <f>SUMIF(RawData!$C:$C,$A93,RawData!Z:Z)</f>
        <v>0</v>
      </c>
      <c r="W93">
        <f>SUMIF(RawData!$C:$C,$A93,RawData!AA:AA)</f>
        <v>0</v>
      </c>
      <c r="X93">
        <f>SUMIF(RawData!$C:$C,$A93,RawData!AB:AB)</f>
        <v>0</v>
      </c>
      <c r="Y93">
        <f>SUMIF(RawData!$C:$C,$A93,RawData!AC:AC)</f>
        <v>0</v>
      </c>
      <c r="Z93">
        <f>SUMIF(RawData!$C:$C,$A93,RawData!AD:AD)</f>
        <v>0</v>
      </c>
      <c r="AA93">
        <f>SUMIF(RawData!$C:$C,$A93,RawData!AE:AE)</f>
        <v>0</v>
      </c>
      <c r="AB93">
        <f>SUMIF(RawData!$C:$C,$A93,RawData!AF:AF)</f>
        <v>0</v>
      </c>
      <c r="AC93">
        <f>SUMIF(RawData!$C:$C,$A93,RawData!AG:AG)</f>
        <v>0</v>
      </c>
      <c r="AD93">
        <f>SUMIF(RawData!$C:$C,$A93,RawData!AH:AH)</f>
        <v>0</v>
      </c>
      <c r="AE93">
        <f>SUMIF(RawData!$C:$C,$A93,RawData!AI:AI)</f>
        <v>0</v>
      </c>
      <c r="AF93">
        <f>SUMIF(RawData!$C:$C,$A93,RawData!AJ:AJ)</f>
        <v>0</v>
      </c>
      <c r="AG93">
        <f>SUMIF(RawData!$C:$C,$A93,RawData!AK:AK)</f>
        <v>0</v>
      </c>
      <c r="AH93">
        <f>SUMIF(RawData!$C:$C,$A93,RawData!AL:AL)</f>
        <v>0</v>
      </c>
      <c r="AI93">
        <f>SUMIF(RawData!$C:$C,$A93,RawData!AM:AM)</f>
        <v>0</v>
      </c>
      <c r="AJ93">
        <f>SUMIF(RawData!$C:$C,$A93,RawData!AN:AN)</f>
        <v>0</v>
      </c>
      <c r="AK93">
        <f>SUMIF(RawData!$C:$C,$A93,RawData!AO:AO)</f>
        <v>0</v>
      </c>
      <c r="AL93">
        <f>SUMIF(RawData!$C:$C,$A93,RawData!AP:AP)</f>
        <v>0</v>
      </c>
      <c r="AM93">
        <f>SUMIF(RawData!$C:$C,$A93,RawData!AQ:AQ)</f>
        <v>0</v>
      </c>
      <c r="AN93">
        <f>SUMIF(RawData!$C:$C,$A93,RawData!AR:AR)</f>
        <v>0</v>
      </c>
      <c r="AO93">
        <f>SUMIF(RawData!$C:$C,$A93,RawData!AS:AS)</f>
        <v>0</v>
      </c>
      <c r="AP93">
        <f>SUMIF(RawData!$C:$C,$A93,RawData!AT:AT)</f>
        <v>0</v>
      </c>
      <c r="AQ93">
        <f>SUMIF(RawData!$C:$C,$A93,RawData!AU:AU)</f>
        <v>0</v>
      </c>
      <c r="AR93">
        <f>SUMIF(RawData!$C:$C,$A93,RawData!AV:AV)</f>
        <v>0</v>
      </c>
      <c r="AS93">
        <f>SUMIF(RawData!$C:$C,$A93,RawData!AW:AW)</f>
        <v>0</v>
      </c>
      <c r="AT93">
        <f>SUMIF(RawData!$C:$C,$A93,RawData!AX:AX)</f>
        <v>0</v>
      </c>
      <c r="AU93">
        <f>SUMIF(RawData!$C:$C,$A93,RawData!AY:AY)</f>
        <v>0</v>
      </c>
      <c r="AV93">
        <f>SUMIF(RawData!$C:$C,$A93,RawData!AZ:AZ)</f>
        <v>0</v>
      </c>
      <c r="AW93">
        <f>SUMIF(RawData!$C:$C,$A93,RawData!BA:BA)</f>
        <v>0</v>
      </c>
      <c r="AX93">
        <f>SUMIF(RawData!$C:$C,$A93,RawData!BB:BB)</f>
        <v>0</v>
      </c>
      <c r="AY93">
        <f>SUMIF(RawData!$C:$C,$A93,RawData!BC:BC)</f>
        <v>0</v>
      </c>
      <c r="AZ93">
        <f>SUMIF(RawData!$C:$C,$A93,RawData!BD:BD)</f>
        <v>0</v>
      </c>
      <c r="BA93">
        <f>SUMIF(RawData!$C:$C,$A93,RawData!BE:BE)</f>
        <v>0</v>
      </c>
      <c r="BB93">
        <f>SUMIF(RawData!$C:$C,$A93,RawData!BF:BF)</f>
        <v>0</v>
      </c>
      <c r="BC93">
        <f>SUMIF(RawData!$C:$C,$A93,RawData!BG:BG)</f>
        <v>0</v>
      </c>
      <c r="BD93">
        <f>SUMIF(RawData!$C:$C,$A93,RawData!BH:BH)</f>
        <v>11</v>
      </c>
      <c r="BE93">
        <f>SUMIF(RawData!$C:$C,$A93,RawData!BI:BI)</f>
        <v>0</v>
      </c>
      <c r="BF93">
        <f>SUMIF(RawData!$C:$C,$A93,RawData!BJ:BJ)</f>
        <v>0</v>
      </c>
      <c r="BG93">
        <f>SUMIF(RawData!$C:$C,$A93,RawData!BK:BK)</f>
        <v>0</v>
      </c>
      <c r="BH93">
        <f>SUMIF(RawData!$C:$C,$A93,RawData!BL:BL)</f>
        <v>0</v>
      </c>
      <c r="BI93">
        <f>SUMIF(RawData!$C:$C,$A93,RawData!BM:BM)</f>
        <v>0</v>
      </c>
      <c r="BJ93">
        <f>SUMIF(RawData!$C:$C,$A93,RawData!BN:BN)</f>
        <v>0</v>
      </c>
      <c r="BK93">
        <f>SUMIF(RawData!$C:$C,$A93,RawData!BO:BO)</f>
        <v>0</v>
      </c>
      <c r="BL93">
        <f>SUMIF(RawData!$C:$C,$A93,RawData!BP:BP)</f>
        <v>0</v>
      </c>
      <c r="BM93">
        <f>SUMIF(RawData!$C:$C,$A93,RawData!BQ:BQ)</f>
        <v>0</v>
      </c>
      <c r="BN93">
        <f>SUMIF(RawData!$C:$C,$A93,RawData!BR:BR)</f>
        <v>0</v>
      </c>
      <c r="BO93">
        <f>SUMIF(RawData!$C:$C,$A93,RawData!BS:BS)</f>
        <v>0</v>
      </c>
      <c r="BP93">
        <f>SUMIF(RawData!$C:$C,$A93,RawData!BT:BT)</f>
        <v>0</v>
      </c>
      <c r="BQ93">
        <f>SUMIF(RawData!$C:$C,$A93,RawData!BU:BU)</f>
        <v>0</v>
      </c>
      <c r="BR93">
        <f>SUMIF(RawData!$C:$C,$A93,RawData!BV:BV)</f>
        <v>0</v>
      </c>
      <c r="BS93">
        <f>SUMIF(RawData!$C:$C,$A93,RawData!BW:BW)</f>
        <v>0</v>
      </c>
      <c r="BT93">
        <f>SUMIF(RawData!$C:$C,$A93,RawData!BX:BX)</f>
        <v>0</v>
      </c>
    </row>
    <row r="94" spans="1:72" ht="15" thickBot="1" x14ac:dyDescent="0.35">
      <c r="A94" s="4" t="s">
        <v>122</v>
      </c>
      <c r="B94">
        <f>SUMIF(RawData!$C:$C,$A94,RawData!F:F)</f>
        <v>0</v>
      </c>
      <c r="C94">
        <f>SUMIF(RawData!$C:$C,$A94,RawData!G:G)</f>
        <v>0</v>
      </c>
      <c r="D94">
        <f>SUMIF(RawData!$C:$C,$A94,RawData!H:H)</f>
        <v>0</v>
      </c>
      <c r="E94">
        <f>SUMIF(RawData!$C:$C,$A94,RawData!I:I)</f>
        <v>0</v>
      </c>
      <c r="F94">
        <f>SUMIF(RawData!$C:$C,$A94,RawData!J:J)</f>
        <v>0</v>
      </c>
      <c r="G94">
        <f>SUMIF(RawData!$C:$C,$A94,RawData!K:K)</f>
        <v>0</v>
      </c>
      <c r="H94">
        <f>SUMIF(RawData!$C:$C,$A94,RawData!L:L)</f>
        <v>0</v>
      </c>
      <c r="I94">
        <f>SUMIF(RawData!$C:$C,$A94,RawData!M:M)</f>
        <v>0</v>
      </c>
      <c r="J94">
        <f>SUMIF(RawData!$C:$C,$A94,RawData!N:N)</f>
        <v>0</v>
      </c>
      <c r="K94">
        <f>SUMIF(RawData!$C:$C,$A94,RawData!O:O)</f>
        <v>0</v>
      </c>
      <c r="L94">
        <f>SUMIF(RawData!$C:$C,$A94,RawData!P:P)</f>
        <v>0</v>
      </c>
      <c r="M94">
        <f>SUMIF(RawData!$C:$C,$A94,RawData!Q:Q)</f>
        <v>0</v>
      </c>
      <c r="N94">
        <f>SUMIF(RawData!$C:$C,$A94,RawData!R:R)</f>
        <v>0</v>
      </c>
      <c r="O94">
        <f>SUMIF(RawData!$C:$C,$A94,RawData!S:S)</f>
        <v>0</v>
      </c>
      <c r="P94">
        <f>SUMIF(RawData!$C:$C,$A94,RawData!T:T)</f>
        <v>0</v>
      </c>
      <c r="Q94">
        <f>SUMIF(RawData!$C:$C,$A94,RawData!U:U)</f>
        <v>0</v>
      </c>
      <c r="R94">
        <f>SUMIF(RawData!$C:$C,$A94,RawData!V:V)</f>
        <v>0</v>
      </c>
      <c r="S94">
        <f>SUMIF(RawData!$C:$C,$A94,RawData!W:W)</f>
        <v>0</v>
      </c>
      <c r="T94">
        <f>SUMIF(RawData!$C:$C,$A94,RawData!X:X)</f>
        <v>0</v>
      </c>
      <c r="U94">
        <f>SUMIF(RawData!$C:$C,$A94,RawData!Y:Y)</f>
        <v>0</v>
      </c>
      <c r="V94">
        <f>SUMIF(RawData!$C:$C,$A94,RawData!Z:Z)</f>
        <v>0</v>
      </c>
      <c r="W94">
        <f>SUMIF(RawData!$C:$C,$A94,RawData!AA:AA)</f>
        <v>0</v>
      </c>
      <c r="X94">
        <f>SUMIF(RawData!$C:$C,$A94,RawData!AB:AB)</f>
        <v>0</v>
      </c>
      <c r="Y94">
        <f>SUMIF(RawData!$C:$C,$A94,RawData!AC:AC)</f>
        <v>0</v>
      </c>
      <c r="Z94">
        <f>SUMIF(RawData!$C:$C,$A94,RawData!AD:AD)</f>
        <v>0</v>
      </c>
      <c r="AA94">
        <f>SUMIF(RawData!$C:$C,$A94,RawData!AE:AE)</f>
        <v>0</v>
      </c>
      <c r="AB94">
        <f>SUMIF(RawData!$C:$C,$A94,RawData!AF:AF)</f>
        <v>0</v>
      </c>
      <c r="AC94">
        <f>SUMIF(RawData!$C:$C,$A94,RawData!AG:AG)</f>
        <v>0</v>
      </c>
      <c r="AD94">
        <f>SUMIF(RawData!$C:$C,$A94,RawData!AH:AH)</f>
        <v>0</v>
      </c>
      <c r="AE94">
        <f>SUMIF(RawData!$C:$C,$A94,RawData!AI:AI)</f>
        <v>0</v>
      </c>
      <c r="AF94">
        <f>SUMIF(RawData!$C:$C,$A94,RawData!AJ:AJ)</f>
        <v>0</v>
      </c>
      <c r="AG94">
        <f>SUMIF(RawData!$C:$C,$A94,RawData!AK:AK)</f>
        <v>0</v>
      </c>
      <c r="AH94">
        <f>SUMIF(RawData!$C:$C,$A94,RawData!AL:AL)</f>
        <v>0</v>
      </c>
      <c r="AI94">
        <f>SUMIF(RawData!$C:$C,$A94,RawData!AM:AM)</f>
        <v>0</v>
      </c>
      <c r="AJ94">
        <f>SUMIF(RawData!$C:$C,$A94,RawData!AN:AN)</f>
        <v>0</v>
      </c>
      <c r="AK94">
        <f>SUMIF(RawData!$C:$C,$A94,RawData!AO:AO)</f>
        <v>0</v>
      </c>
      <c r="AL94">
        <f>SUMIF(RawData!$C:$C,$A94,RawData!AP:AP)</f>
        <v>0</v>
      </c>
      <c r="AM94">
        <f>SUMIF(RawData!$C:$C,$A94,RawData!AQ:AQ)</f>
        <v>1</v>
      </c>
      <c r="AN94">
        <f>SUMIF(RawData!$C:$C,$A94,RawData!AR:AR)</f>
        <v>1</v>
      </c>
      <c r="AO94">
        <f>SUMIF(RawData!$C:$C,$A94,RawData!AS:AS)</f>
        <v>1</v>
      </c>
      <c r="AP94">
        <f>SUMIF(RawData!$C:$C,$A94,RawData!AT:AT)</f>
        <v>1</v>
      </c>
      <c r="AQ94">
        <f>SUMIF(RawData!$C:$C,$A94,RawData!AU:AU)</f>
        <v>1</v>
      </c>
      <c r="AR94">
        <f>SUMIF(RawData!$C:$C,$A94,RawData!AV:AV)</f>
        <v>3</v>
      </c>
      <c r="AS94">
        <f>SUMIF(RawData!$C:$C,$A94,RawData!AW:AW)</f>
        <v>3</v>
      </c>
      <c r="AT94">
        <f>SUMIF(RawData!$C:$C,$A94,RawData!AX:AX)</f>
        <v>4</v>
      </c>
      <c r="AU94">
        <f>SUMIF(RawData!$C:$C,$A94,RawData!AY:AY)</f>
        <v>5</v>
      </c>
      <c r="AV94">
        <f>SUMIF(RawData!$C:$C,$A94,RawData!AZ:AZ)</f>
        <v>5</v>
      </c>
      <c r="AW94">
        <f>SUMIF(RawData!$C:$C,$A94,RawData!BA:BA)</f>
        <v>5</v>
      </c>
      <c r="AX94">
        <f>SUMIF(RawData!$C:$C,$A94,RawData!BB:BB)</f>
        <v>5</v>
      </c>
      <c r="AY94">
        <f>SUMIF(RawData!$C:$C,$A94,RawData!BC:BC)</f>
        <v>5</v>
      </c>
      <c r="AZ94">
        <f>SUMIF(RawData!$C:$C,$A94,RawData!BD:BD)</f>
        <v>5</v>
      </c>
      <c r="BA94">
        <f>SUMIF(RawData!$C:$C,$A94,RawData!BE:BE)</f>
        <v>5</v>
      </c>
      <c r="BB94">
        <f>SUMIF(RawData!$C:$C,$A94,RawData!BF:BF)</f>
        <v>6</v>
      </c>
      <c r="BC94">
        <f>SUMIF(RawData!$C:$C,$A94,RawData!BG:BG)</f>
        <v>8</v>
      </c>
      <c r="BD94">
        <f>SUMIF(RawData!$C:$C,$A94,RawData!BH:BH)</f>
        <v>8</v>
      </c>
      <c r="BE94">
        <f>SUMIF(RawData!$C:$C,$A94,RawData!BI:BI)</f>
        <v>0</v>
      </c>
      <c r="BF94">
        <f>SUMIF(RawData!$C:$C,$A94,RawData!BJ:BJ)</f>
        <v>0</v>
      </c>
      <c r="BG94">
        <f>SUMIF(RawData!$C:$C,$A94,RawData!BK:BK)</f>
        <v>0</v>
      </c>
      <c r="BH94">
        <f>SUMIF(RawData!$C:$C,$A94,RawData!BL:BL)</f>
        <v>0</v>
      </c>
      <c r="BI94">
        <f>SUMIF(RawData!$C:$C,$A94,RawData!BM:BM)</f>
        <v>0</v>
      </c>
      <c r="BJ94">
        <f>SUMIF(RawData!$C:$C,$A94,RawData!BN:BN)</f>
        <v>0</v>
      </c>
      <c r="BK94">
        <f>SUMIF(RawData!$C:$C,$A94,RawData!BO:BO)</f>
        <v>0</v>
      </c>
      <c r="BL94">
        <f>SUMIF(RawData!$C:$C,$A94,RawData!BP:BP)</f>
        <v>0</v>
      </c>
      <c r="BM94">
        <f>SUMIF(RawData!$C:$C,$A94,RawData!BQ:BQ)</f>
        <v>0</v>
      </c>
      <c r="BN94">
        <f>SUMIF(RawData!$C:$C,$A94,RawData!BR:BR)</f>
        <v>0</v>
      </c>
      <c r="BO94">
        <f>SUMIF(RawData!$C:$C,$A94,RawData!BS:BS)</f>
        <v>0</v>
      </c>
      <c r="BP94">
        <f>SUMIF(RawData!$C:$C,$A94,RawData!BT:BT)</f>
        <v>0</v>
      </c>
      <c r="BQ94">
        <f>SUMIF(RawData!$C:$C,$A94,RawData!BU:BU)</f>
        <v>0</v>
      </c>
      <c r="BR94">
        <f>SUMIF(RawData!$C:$C,$A94,RawData!BV:BV)</f>
        <v>0</v>
      </c>
      <c r="BS94">
        <f>SUMIF(RawData!$C:$C,$A94,RawData!BW:BW)</f>
        <v>0</v>
      </c>
      <c r="BT94">
        <f>SUMIF(RawData!$C:$C,$A94,RawData!BX:BX)</f>
        <v>0</v>
      </c>
    </row>
    <row r="95" spans="1:72" ht="15" thickBot="1" x14ac:dyDescent="0.35">
      <c r="A95" s="5" t="s">
        <v>382</v>
      </c>
      <c r="B95">
        <f>SUMIF(RawData!$C:$C,$A95,RawData!F:F)</f>
        <v>0</v>
      </c>
      <c r="C95">
        <f>SUMIF(RawData!$C:$C,$A95,RawData!G:G)</f>
        <v>0</v>
      </c>
      <c r="D95">
        <f>SUMIF(RawData!$C:$C,$A95,RawData!H:H)</f>
        <v>0</v>
      </c>
      <c r="E95">
        <f>SUMIF(RawData!$C:$C,$A95,RawData!I:I)</f>
        <v>0</v>
      </c>
      <c r="F95">
        <f>SUMIF(RawData!$C:$C,$A95,RawData!J:J)</f>
        <v>0</v>
      </c>
      <c r="G95">
        <f>SUMIF(RawData!$C:$C,$A95,RawData!K:K)</f>
        <v>0</v>
      </c>
      <c r="H95">
        <f>SUMIF(RawData!$C:$C,$A95,RawData!L:L)</f>
        <v>0</v>
      </c>
      <c r="I95">
        <f>SUMIF(RawData!$C:$C,$A95,RawData!M:M)</f>
        <v>0</v>
      </c>
      <c r="J95">
        <f>SUMIF(RawData!$C:$C,$A95,RawData!N:N)</f>
        <v>0</v>
      </c>
      <c r="K95">
        <f>SUMIF(RawData!$C:$C,$A95,RawData!O:O)</f>
        <v>0</v>
      </c>
      <c r="L95">
        <f>SUMIF(RawData!$C:$C,$A95,RawData!P:P)</f>
        <v>0</v>
      </c>
      <c r="M95">
        <f>SUMIF(RawData!$C:$C,$A95,RawData!Q:Q)</f>
        <v>0</v>
      </c>
      <c r="N95">
        <f>SUMIF(RawData!$C:$C,$A95,RawData!R:R)</f>
        <v>0</v>
      </c>
      <c r="O95">
        <f>SUMIF(RawData!$C:$C,$A95,RawData!S:S)</f>
        <v>0</v>
      </c>
      <c r="P95">
        <f>SUMIF(RawData!$C:$C,$A95,RawData!T:T)</f>
        <v>0</v>
      </c>
      <c r="Q95">
        <f>SUMIF(RawData!$C:$C,$A95,RawData!U:U)</f>
        <v>0</v>
      </c>
      <c r="R95">
        <f>SUMIF(RawData!$C:$C,$A95,RawData!V:V)</f>
        <v>0</v>
      </c>
      <c r="S95">
        <f>SUMIF(RawData!$C:$C,$A95,RawData!W:W)</f>
        <v>0</v>
      </c>
      <c r="T95">
        <f>SUMIF(RawData!$C:$C,$A95,RawData!X:X)</f>
        <v>0</v>
      </c>
      <c r="U95">
        <f>SUMIF(RawData!$C:$C,$A95,RawData!Y:Y)</f>
        <v>0</v>
      </c>
      <c r="V95">
        <f>SUMIF(RawData!$C:$C,$A95,RawData!Z:Z)</f>
        <v>0</v>
      </c>
      <c r="W95">
        <f>SUMIF(RawData!$C:$C,$A95,RawData!AA:AA)</f>
        <v>0</v>
      </c>
      <c r="X95">
        <f>SUMIF(RawData!$C:$C,$A95,RawData!AB:AB)</f>
        <v>0</v>
      </c>
      <c r="Y95">
        <f>SUMIF(RawData!$C:$C,$A95,RawData!AC:AC)</f>
        <v>0</v>
      </c>
      <c r="Z95">
        <f>SUMIF(RawData!$C:$C,$A95,RawData!AD:AD)</f>
        <v>0</v>
      </c>
      <c r="AA95">
        <f>SUMIF(RawData!$C:$C,$A95,RawData!AE:AE)</f>
        <v>0</v>
      </c>
      <c r="AB95">
        <f>SUMIF(RawData!$C:$C,$A95,RawData!AF:AF)</f>
        <v>0</v>
      </c>
      <c r="AC95">
        <f>SUMIF(RawData!$C:$C,$A95,RawData!AG:AG)</f>
        <v>0</v>
      </c>
      <c r="AD95">
        <f>SUMIF(RawData!$C:$C,$A95,RawData!AH:AH)</f>
        <v>0</v>
      </c>
      <c r="AE95">
        <f>SUMIF(RawData!$C:$C,$A95,RawData!AI:AI)</f>
        <v>0</v>
      </c>
      <c r="AF95">
        <f>SUMIF(RawData!$C:$C,$A95,RawData!AJ:AJ)</f>
        <v>0</v>
      </c>
      <c r="AG95">
        <f>SUMIF(RawData!$C:$C,$A95,RawData!AK:AK)</f>
        <v>0</v>
      </c>
      <c r="AH95">
        <f>SUMIF(RawData!$C:$C,$A95,RawData!AL:AL)</f>
        <v>0</v>
      </c>
      <c r="AI95">
        <f>SUMIF(RawData!$C:$C,$A95,RawData!AM:AM)</f>
        <v>0</v>
      </c>
      <c r="AJ95">
        <f>SUMIF(RawData!$C:$C,$A95,RawData!AN:AN)</f>
        <v>0</v>
      </c>
      <c r="AK95">
        <f>SUMIF(RawData!$C:$C,$A95,RawData!AO:AO)</f>
        <v>0</v>
      </c>
      <c r="AL95">
        <f>SUMIF(RawData!$C:$C,$A95,RawData!AP:AP)</f>
        <v>0</v>
      </c>
      <c r="AM95">
        <f>SUMIF(RawData!$C:$C,$A95,RawData!AQ:AQ)</f>
        <v>0</v>
      </c>
      <c r="AN95">
        <f>SUMIF(RawData!$C:$C,$A95,RawData!AR:AR)</f>
        <v>0</v>
      </c>
      <c r="AO95">
        <f>SUMIF(RawData!$C:$C,$A95,RawData!AS:AS)</f>
        <v>0</v>
      </c>
      <c r="AP95">
        <f>SUMIF(RawData!$C:$C,$A95,RawData!AT:AT)</f>
        <v>0</v>
      </c>
      <c r="AQ95">
        <f>SUMIF(RawData!$C:$C,$A95,RawData!AU:AU)</f>
        <v>0</v>
      </c>
      <c r="AR95">
        <f>SUMIF(RawData!$C:$C,$A95,RawData!AV:AV)</f>
        <v>0</v>
      </c>
      <c r="AS95">
        <f>SUMIF(RawData!$C:$C,$A95,RawData!AW:AW)</f>
        <v>0</v>
      </c>
      <c r="AT95">
        <f>SUMIF(RawData!$C:$C,$A95,RawData!AX:AX)</f>
        <v>0</v>
      </c>
      <c r="AU95">
        <f>SUMIF(RawData!$C:$C,$A95,RawData!AY:AY)</f>
        <v>0</v>
      </c>
      <c r="AV95">
        <f>SUMIF(RawData!$C:$C,$A95,RawData!AZ:AZ)</f>
        <v>0</v>
      </c>
      <c r="AW95">
        <f>SUMIF(RawData!$C:$C,$A95,RawData!BA:BA)</f>
        <v>0</v>
      </c>
      <c r="AX95">
        <f>SUMIF(RawData!$C:$C,$A95,RawData!BB:BB)</f>
        <v>0</v>
      </c>
      <c r="AY95">
        <f>SUMIF(RawData!$C:$C,$A95,RawData!BC:BC)</f>
        <v>1</v>
      </c>
      <c r="AZ95">
        <f>SUMIF(RawData!$C:$C,$A95,RawData!BD:BD)</f>
        <v>1</v>
      </c>
      <c r="BA95">
        <f>SUMIF(RawData!$C:$C,$A95,RawData!BE:BE)</f>
        <v>5</v>
      </c>
      <c r="BB95">
        <f>SUMIF(RawData!$C:$C,$A95,RawData!BF:BF)</f>
        <v>6</v>
      </c>
      <c r="BC95">
        <f>SUMIF(RawData!$C:$C,$A95,RawData!BG:BG)</f>
        <v>7</v>
      </c>
      <c r="BD95">
        <f>SUMIF(RawData!$C:$C,$A95,RawData!BH:BH)</f>
        <v>9</v>
      </c>
      <c r="BE95">
        <f>SUMIF(RawData!$C:$C,$A95,RawData!BI:BI)</f>
        <v>0</v>
      </c>
      <c r="BF95">
        <f>SUMIF(RawData!$C:$C,$A95,RawData!BJ:BJ)</f>
        <v>0</v>
      </c>
      <c r="BG95">
        <f>SUMIF(RawData!$C:$C,$A95,RawData!BK:BK)</f>
        <v>0</v>
      </c>
      <c r="BH95">
        <f>SUMIF(RawData!$C:$C,$A95,RawData!BL:BL)</f>
        <v>0</v>
      </c>
      <c r="BI95">
        <f>SUMIF(RawData!$C:$C,$A95,RawData!BM:BM)</f>
        <v>0</v>
      </c>
      <c r="BJ95">
        <f>SUMIF(RawData!$C:$C,$A95,RawData!BN:BN)</f>
        <v>0</v>
      </c>
      <c r="BK95">
        <f>SUMIF(RawData!$C:$C,$A95,RawData!BO:BO)</f>
        <v>0</v>
      </c>
      <c r="BL95">
        <f>SUMIF(RawData!$C:$C,$A95,RawData!BP:BP)</f>
        <v>0</v>
      </c>
      <c r="BM95">
        <f>SUMIF(RawData!$C:$C,$A95,RawData!BQ:BQ)</f>
        <v>0</v>
      </c>
      <c r="BN95">
        <f>SUMIF(RawData!$C:$C,$A95,RawData!BR:BR)</f>
        <v>0</v>
      </c>
      <c r="BO95">
        <f>SUMIF(RawData!$C:$C,$A95,RawData!BS:BS)</f>
        <v>0</v>
      </c>
      <c r="BP95">
        <f>SUMIF(RawData!$C:$C,$A95,RawData!BT:BT)</f>
        <v>0</v>
      </c>
      <c r="BQ95">
        <f>SUMIF(RawData!$C:$C,$A95,RawData!BU:BU)</f>
        <v>0</v>
      </c>
      <c r="BR95">
        <f>SUMIF(RawData!$C:$C,$A95,RawData!BV:BV)</f>
        <v>0</v>
      </c>
      <c r="BS95">
        <f>SUMIF(RawData!$C:$C,$A95,RawData!BW:BW)</f>
        <v>0</v>
      </c>
      <c r="BT95">
        <f>SUMIF(RawData!$C:$C,$A95,RawData!BX:BX)</f>
        <v>0</v>
      </c>
    </row>
    <row r="96" spans="1:72" ht="15" thickBot="1" x14ac:dyDescent="0.35">
      <c r="A96" s="4" t="s">
        <v>383</v>
      </c>
      <c r="B96">
        <f>SUMIF(RawData!$C:$C,$A96,RawData!F:F)</f>
        <v>0</v>
      </c>
      <c r="C96">
        <f>SUMIF(RawData!$C:$C,$A96,RawData!G:G)</f>
        <v>0</v>
      </c>
      <c r="D96">
        <f>SUMIF(RawData!$C:$C,$A96,RawData!H:H)</f>
        <v>0</v>
      </c>
      <c r="E96">
        <f>SUMIF(RawData!$C:$C,$A96,RawData!I:I)</f>
        <v>0</v>
      </c>
      <c r="F96">
        <f>SUMIF(RawData!$C:$C,$A96,RawData!J:J)</f>
        <v>0</v>
      </c>
      <c r="G96">
        <f>SUMIF(RawData!$C:$C,$A96,RawData!K:K)</f>
        <v>0</v>
      </c>
      <c r="H96">
        <f>SUMIF(RawData!$C:$C,$A96,RawData!L:L)</f>
        <v>0</v>
      </c>
      <c r="I96">
        <f>SUMIF(RawData!$C:$C,$A96,RawData!M:M)</f>
        <v>0</v>
      </c>
      <c r="J96">
        <f>SUMIF(RawData!$C:$C,$A96,RawData!N:N)</f>
        <v>0</v>
      </c>
      <c r="K96">
        <f>SUMIF(RawData!$C:$C,$A96,RawData!O:O)</f>
        <v>0</v>
      </c>
      <c r="L96">
        <f>SUMIF(RawData!$C:$C,$A96,RawData!P:P)</f>
        <v>0</v>
      </c>
      <c r="M96">
        <f>SUMIF(RawData!$C:$C,$A96,RawData!Q:Q)</f>
        <v>0</v>
      </c>
      <c r="N96">
        <f>SUMIF(RawData!$C:$C,$A96,RawData!R:R)</f>
        <v>0</v>
      </c>
      <c r="O96">
        <f>SUMIF(RawData!$C:$C,$A96,RawData!S:S)</f>
        <v>0</v>
      </c>
      <c r="P96">
        <f>SUMIF(RawData!$C:$C,$A96,RawData!T:T)</f>
        <v>0</v>
      </c>
      <c r="Q96">
        <f>SUMIF(RawData!$C:$C,$A96,RawData!U:U)</f>
        <v>0</v>
      </c>
      <c r="R96">
        <f>SUMIF(RawData!$C:$C,$A96,RawData!V:V)</f>
        <v>0</v>
      </c>
      <c r="S96">
        <f>SUMIF(RawData!$C:$C,$A96,RawData!W:W)</f>
        <v>0</v>
      </c>
      <c r="T96">
        <f>SUMIF(RawData!$C:$C,$A96,RawData!X:X)</f>
        <v>0</v>
      </c>
      <c r="U96">
        <f>SUMIF(RawData!$C:$C,$A96,RawData!Y:Y)</f>
        <v>0</v>
      </c>
      <c r="V96">
        <f>SUMIF(RawData!$C:$C,$A96,RawData!Z:Z)</f>
        <v>0</v>
      </c>
      <c r="W96">
        <f>SUMIF(RawData!$C:$C,$A96,RawData!AA:AA)</f>
        <v>0</v>
      </c>
      <c r="X96">
        <f>SUMIF(RawData!$C:$C,$A96,RawData!AB:AB)</f>
        <v>0</v>
      </c>
      <c r="Y96">
        <f>SUMIF(RawData!$C:$C,$A96,RawData!AC:AC)</f>
        <v>0</v>
      </c>
      <c r="Z96">
        <f>SUMIF(RawData!$C:$C,$A96,RawData!AD:AD)</f>
        <v>0</v>
      </c>
      <c r="AA96">
        <f>SUMIF(RawData!$C:$C,$A96,RawData!AE:AE)</f>
        <v>0</v>
      </c>
      <c r="AB96">
        <f>SUMIF(RawData!$C:$C,$A96,RawData!AF:AF)</f>
        <v>0</v>
      </c>
      <c r="AC96">
        <f>SUMIF(RawData!$C:$C,$A96,RawData!AG:AG)</f>
        <v>0</v>
      </c>
      <c r="AD96">
        <f>SUMIF(RawData!$C:$C,$A96,RawData!AH:AH)</f>
        <v>0</v>
      </c>
      <c r="AE96">
        <f>SUMIF(RawData!$C:$C,$A96,RawData!AI:AI)</f>
        <v>0</v>
      </c>
      <c r="AF96">
        <f>SUMIF(RawData!$C:$C,$A96,RawData!AJ:AJ)</f>
        <v>0</v>
      </c>
      <c r="AG96">
        <f>SUMIF(RawData!$C:$C,$A96,RawData!AK:AK)</f>
        <v>0</v>
      </c>
      <c r="AH96">
        <f>SUMIF(RawData!$C:$C,$A96,RawData!AL:AL)</f>
        <v>0</v>
      </c>
      <c r="AI96">
        <f>SUMIF(RawData!$C:$C,$A96,RawData!AM:AM)</f>
        <v>0</v>
      </c>
      <c r="AJ96">
        <f>SUMIF(RawData!$C:$C,$A96,RawData!AN:AN)</f>
        <v>0</v>
      </c>
      <c r="AK96">
        <f>SUMIF(RawData!$C:$C,$A96,RawData!AO:AO)</f>
        <v>0</v>
      </c>
      <c r="AL96">
        <f>SUMIF(RawData!$C:$C,$A96,RawData!AP:AP)</f>
        <v>0</v>
      </c>
      <c r="AM96">
        <f>SUMIF(RawData!$C:$C,$A96,RawData!AQ:AQ)</f>
        <v>0</v>
      </c>
      <c r="AN96">
        <f>SUMIF(RawData!$C:$C,$A96,RawData!AR:AR)</f>
        <v>0</v>
      </c>
      <c r="AO96">
        <f>SUMIF(RawData!$C:$C,$A96,RawData!AS:AS)</f>
        <v>0</v>
      </c>
      <c r="AP96">
        <f>SUMIF(RawData!$C:$C,$A96,RawData!AT:AT)</f>
        <v>0</v>
      </c>
      <c r="AQ96">
        <f>SUMIF(RawData!$C:$C,$A96,RawData!AU:AU)</f>
        <v>0</v>
      </c>
      <c r="AR96">
        <f>SUMIF(RawData!$C:$C,$A96,RawData!AV:AV)</f>
        <v>0</v>
      </c>
      <c r="AS96">
        <f>SUMIF(RawData!$C:$C,$A96,RawData!AW:AW)</f>
        <v>0</v>
      </c>
      <c r="AT96">
        <f>SUMIF(RawData!$C:$C,$A96,RawData!AX:AX)</f>
        <v>0</v>
      </c>
      <c r="AU96">
        <f>SUMIF(RawData!$C:$C,$A96,RawData!AY:AY)</f>
        <v>0</v>
      </c>
      <c r="AV96">
        <f>SUMIF(RawData!$C:$C,$A96,RawData!AZ:AZ)</f>
        <v>0</v>
      </c>
      <c r="AW96">
        <f>SUMIF(RawData!$C:$C,$A96,RawData!BA:BA)</f>
        <v>0</v>
      </c>
      <c r="AX96">
        <f>SUMIF(RawData!$C:$C,$A96,RawData!BB:BB)</f>
        <v>0</v>
      </c>
      <c r="AY96">
        <f>SUMIF(RawData!$C:$C,$A96,RawData!BC:BC)</f>
        <v>1</v>
      </c>
      <c r="AZ96">
        <f>SUMIF(RawData!$C:$C,$A96,RawData!BD:BD)</f>
        <v>1</v>
      </c>
      <c r="BA96">
        <f>SUMIF(RawData!$C:$C,$A96,RawData!BE:BE)</f>
        <v>5</v>
      </c>
      <c r="BB96">
        <f>SUMIF(RawData!$C:$C,$A96,RawData!BF:BF)</f>
        <v>5</v>
      </c>
      <c r="BC96">
        <f>SUMIF(RawData!$C:$C,$A96,RawData!BG:BG)</f>
        <v>6</v>
      </c>
      <c r="BD96">
        <f>SUMIF(RawData!$C:$C,$A96,RawData!BH:BH)</f>
        <v>18</v>
      </c>
      <c r="BE96">
        <f>SUMIF(RawData!$C:$C,$A96,RawData!BI:BI)</f>
        <v>0</v>
      </c>
      <c r="BF96">
        <f>SUMIF(RawData!$C:$C,$A96,RawData!BJ:BJ)</f>
        <v>0</v>
      </c>
      <c r="BG96">
        <f>SUMIF(RawData!$C:$C,$A96,RawData!BK:BK)</f>
        <v>0</v>
      </c>
      <c r="BH96">
        <f>SUMIF(RawData!$C:$C,$A96,RawData!BL:BL)</f>
        <v>0</v>
      </c>
      <c r="BI96">
        <f>SUMIF(RawData!$C:$C,$A96,RawData!BM:BM)</f>
        <v>0</v>
      </c>
      <c r="BJ96">
        <f>SUMIF(RawData!$C:$C,$A96,RawData!BN:BN)</f>
        <v>0</v>
      </c>
      <c r="BK96">
        <f>SUMIF(RawData!$C:$C,$A96,RawData!BO:BO)</f>
        <v>0</v>
      </c>
      <c r="BL96">
        <f>SUMIF(RawData!$C:$C,$A96,RawData!BP:BP)</f>
        <v>0</v>
      </c>
      <c r="BM96">
        <f>SUMIF(RawData!$C:$C,$A96,RawData!BQ:BQ)</f>
        <v>0</v>
      </c>
      <c r="BN96">
        <f>SUMIF(RawData!$C:$C,$A96,RawData!BR:BR)</f>
        <v>0</v>
      </c>
      <c r="BO96">
        <f>SUMIF(RawData!$C:$C,$A96,RawData!BS:BS)</f>
        <v>0</v>
      </c>
      <c r="BP96">
        <f>SUMIF(RawData!$C:$C,$A96,RawData!BT:BT)</f>
        <v>0</v>
      </c>
      <c r="BQ96">
        <f>SUMIF(RawData!$C:$C,$A96,RawData!BU:BU)</f>
        <v>0</v>
      </c>
      <c r="BR96">
        <f>SUMIF(RawData!$C:$C,$A96,RawData!BV:BV)</f>
        <v>0</v>
      </c>
      <c r="BS96">
        <f>SUMIF(RawData!$C:$C,$A96,RawData!BW:BW)</f>
        <v>0</v>
      </c>
      <c r="BT96">
        <f>SUMIF(RawData!$C:$C,$A96,RawData!BX:BX)</f>
        <v>0</v>
      </c>
    </row>
    <row r="97" spans="1:72" ht="15" thickBot="1" x14ac:dyDescent="0.35">
      <c r="A97" s="5" t="s">
        <v>438</v>
      </c>
      <c r="B97">
        <f>SUMIF(RawData!$C:$C,$A97,RawData!F:F)</f>
        <v>0</v>
      </c>
      <c r="C97">
        <f>SUMIF(RawData!$C:$C,$A97,RawData!G:G)</f>
        <v>0</v>
      </c>
      <c r="D97">
        <f>SUMIF(RawData!$C:$C,$A97,RawData!H:H)</f>
        <v>0</v>
      </c>
      <c r="E97">
        <f>SUMIF(RawData!$C:$C,$A97,RawData!I:I)</f>
        <v>0</v>
      </c>
      <c r="F97">
        <f>SUMIF(RawData!$C:$C,$A97,RawData!J:J)</f>
        <v>0</v>
      </c>
      <c r="G97">
        <f>SUMIF(RawData!$C:$C,$A97,RawData!K:K)</f>
        <v>0</v>
      </c>
      <c r="H97">
        <f>SUMIF(RawData!$C:$C,$A97,RawData!L:L)</f>
        <v>0</v>
      </c>
      <c r="I97">
        <f>SUMIF(RawData!$C:$C,$A97,RawData!M:M)</f>
        <v>0</v>
      </c>
      <c r="J97">
        <f>SUMIF(RawData!$C:$C,$A97,RawData!N:N)</f>
        <v>0</v>
      </c>
      <c r="K97">
        <f>SUMIF(RawData!$C:$C,$A97,RawData!O:O)</f>
        <v>0</v>
      </c>
      <c r="L97">
        <f>SUMIF(RawData!$C:$C,$A97,RawData!P:P)</f>
        <v>0</v>
      </c>
      <c r="M97">
        <f>SUMIF(RawData!$C:$C,$A97,RawData!Q:Q)</f>
        <v>0</v>
      </c>
      <c r="N97">
        <f>SUMIF(RawData!$C:$C,$A97,RawData!R:R)</f>
        <v>0</v>
      </c>
      <c r="O97">
        <f>SUMIF(RawData!$C:$C,$A97,RawData!S:S)</f>
        <v>0</v>
      </c>
      <c r="P97">
        <f>SUMIF(RawData!$C:$C,$A97,RawData!T:T)</f>
        <v>0</v>
      </c>
      <c r="Q97">
        <f>SUMIF(RawData!$C:$C,$A97,RawData!U:U)</f>
        <v>0</v>
      </c>
      <c r="R97">
        <f>SUMIF(RawData!$C:$C,$A97,RawData!V:V)</f>
        <v>0</v>
      </c>
      <c r="S97">
        <f>SUMIF(RawData!$C:$C,$A97,RawData!W:W)</f>
        <v>0</v>
      </c>
      <c r="T97">
        <f>SUMIF(RawData!$C:$C,$A97,RawData!X:X)</f>
        <v>0</v>
      </c>
      <c r="U97">
        <f>SUMIF(RawData!$C:$C,$A97,RawData!Y:Y)</f>
        <v>0</v>
      </c>
      <c r="V97">
        <f>SUMIF(RawData!$C:$C,$A97,RawData!Z:Z)</f>
        <v>0</v>
      </c>
      <c r="W97">
        <f>SUMIF(RawData!$C:$C,$A97,RawData!AA:AA)</f>
        <v>0</v>
      </c>
      <c r="X97">
        <f>SUMIF(RawData!$C:$C,$A97,RawData!AB:AB)</f>
        <v>0</v>
      </c>
      <c r="Y97">
        <f>SUMIF(RawData!$C:$C,$A97,RawData!AC:AC)</f>
        <v>0</v>
      </c>
      <c r="Z97">
        <f>SUMIF(RawData!$C:$C,$A97,RawData!AD:AD)</f>
        <v>0</v>
      </c>
      <c r="AA97">
        <f>SUMIF(RawData!$C:$C,$A97,RawData!AE:AE)</f>
        <v>0</v>
      </c>
      <c r="AB97">
        <f>SUMIF(RawData!$C:$C,$A97,RawData!AF:AF)</f>
        <v>0</v>
      </c>
      <c r="AC97">
        <f>SUMIF(RawData!$C:$C,$A97,RawData!AG:AG)</f>
        <v>0</v>
      </c>
      <c r="AD97">
        <f>SUMIF(RawData!$C:$C,$A97,RawData!AH:AH)</f>
        <v>0</v>
      </c>
      <c r="AE97">
        <f>SUMIF(RawData!$C:$C,$A97,RawData!AI:AI)</f>
        <v>0</v>
      </c>
      <c r="AF97">
        <f>SUMIF(RawData!$C:$C,$A97,RawData!AJ:AJ)</f>
        <v>0</v>
      </c>
      <c r="AG97">
        <f>SUMIF(RawData!$C:$C,$A97,RawData!AK:AK)</f>
        <v>0</v>
      </c>
      <c r="AH97">
        <f>SUMIF(RawData!$C:$C,$A97,RawData!AL:AL)</f>
        <v>0</v>
      </c>
      <c r="AI97">
        <f>SUMIF(RawData!$C:$C,$A97,RawData!AM:AM)</f>
        <v>0</v>
      </c>
      <c r="AJ97">
        <f>SUMIF(RawData!$C:$C,$A97,RawData!AN:AN)</f>
        <v>0</v>
      </c>
      <c r="AK97">
        <f>SUMIF(RawData!$C:$C,$A97,RawData!AO:AO)</f>
        <v>0</v>
      </c>
      <c r="AL97">
        <f>SUMIF(RawData!$C:$C,$A97,RawData!AP:AP)</f>
        <v>0</v>
      </c>
      <c r="AM97">
        <f>SUMIF(RawData!$C:$C,$A97,RawData!AQ:AQ)</f>
        <v>0</v>
      </c>
      <c r="AN97">
        <f>SUMIF(RawData!$C:$C,$A97,RawData!AR:AR)</f>
        <v>0</v>
      </c>
      <c r="AO97">
        <f>SUMIF(RawData!$C:$C,$A97,RawData!AS:AS)</f>
        <v>0</v>
      </c>
      <c r="AP97">
        <f>SUMIF(RawData!$C:$C,$A97,RawData!AT:AT)</f>
        <v>0</v>
      </c>
      <c r="AQ97">
        <f>SUMIF(RawData!$C:$C,$A97,RawData!AU:AU)</f>
        <v>0</v>
      </c>
      <c r="AR97">
        <f>SUMIF(RawData!$C:$C,$A97,RawData!AV:AV)</f>
        <v>0</v>
      </c>
      <c r="AS97">
        <f>SUMIF(RawData!$C:$C,$A97,RawData!AW:AW)</f>
        <v>0</v>
      </c>
      <c r="AT97">
        <f>SUMIF(RawData!$C:$C,$A97,RawData!AX:AX)</f>
        <v>0</v>
      </c>
      <c r="AU97">
        <f>SUMIF(RawData!$C:$C,$A97,RawData!AY:AY)</f>
        <v>0</v>
      </c>
      <c r="AV97">
        <f>SUMIF(RawData!$C:$C,$A97,RawData!AZ:AZ)</f>
        <v>0</v>
      </c>
      <c r="AW97">
        <f>SUMIF(RawData!$C:$C,$A97,RawData!BA:BA)</f>
        <v>0</v>
      </c>
      <c r="AX97">
        <f>SUMIF(RawData!$C:$C,$A97,RawData!BB:BB)</f>
        <v>0</v>
      </c>
      <c r="AY97">
        <f>SUMIF(RawData!$C:$C,$A97,RawData!BC:BC)</f>
        <v>0</v>
      </c>
      <c r="AZ97">
        <f>SUMIF(RawData!$C:$C,$A97,RawData!BD:BD)</f>
        <v>3</v>
      </c>
      <c r="BA97">
        <f>SUMIF(RawData!$C:$C,$A97,RawData!BE:BE)</f>
        <v>4</v>
      </c>
      <c r="BB97">
        <f>SUMIF(RawData!$C:$C,$A97,RawData!BF:BF)</f>
        <v>4</v>
      </c>
      <c r="BC97">
        <f>SUMIF(RawData!$C:$C,$A97,RawData!BG:BG)</f>
        <v>4</v>
      </c>
      <c r="BD97">
        <f>SUMIF(RawData!$C:$C,$A97,RawData!BH:BH)</f>
        <v>4</v>
      </c>
      <c r="BE97">
        <f>SUMIF(RawData!$C:$C,$A97,RawData!BI:BI)</f>
        <v>0</v>
      </c>
      <c r="BF97">
        <f>SUMIF(RawData!$C:$C,$A97,RawData!BJ:BJ)</f>
        <v>0</v>
      </c>
      <c r="BG97">
        <f>SUMIF(RawData!$C:$C,$A97,RawData!BK:BK)</f>
        <v>0</v>
      </c>
      <c r="BH97">
        <f>SUMIF(RawData!$C:$C,$A97,RawData!BL:BL)</f>
        <v>0</v>
      </c>
      <c r="BI97">
        <f>SUMIF(RawData!$C:$C,$A97,RawData!BM:BM)</f>
        <v>0</v>
      </c>
      <c r="BJ97">
        <f>SUMIF(RawData!$C:$C,$A97,RawData!BN:BN)</f>
        <v>0</v>
      </c>
      <c r="BK97">
        <f>SUMIF(RawData!$C:$C,$A97,RawData!BO:BO)</f>
        <v>0</v>
      </c>
      <c r="BL97">
        <f>SUMIF(RawData!$C:$C,$A97,RawData!BP:BP)</f>
        <v>0</v>
      </c>
      <c r="BM97">
        <f>SUMIF(RawData!$C:$C,$A97,RawData!BQ:BQ)</f>
        <v>0</v>
      </c>
      <c r="BN97">
        <f>SUMIF(RawData!$C:$C,$A97,RawData!BR:BR)</f>
        <v>0</v>
      </c>
      <c r="BO97">
        <f>SUMIF(RawData!$C:$C,$A97,RawData!BS:BS)</f>
        <v>0</v>
      </c>
      <c r="BP97">
        <f>SUMIF(RawData!$C:$C,$A97,RawData!BT:BT)</f>
        <v>0</v>
      </c>
      <c r="BQ97">
        <f>SUMIF(RawData!$C:$C,$A97,RawData!BU:BU)</f>
        <v>0</v>
      </c>
      <c r="BR97">
        <f>SUMIF(RawData!$C:$C,$A97,RawData!BV:BV)</f>
        <v>0</v>
      </c>
      <c r="BS97">
        <f>SUMIF(RawData!$C:$C,$A97,RawData!BW:BW)</f>
        <v>0</v>
      </c>
      <c r="BT97">
        <f>SUMIF(RawData!$C:$C,$A97,RawData!BX:BX)</f>
        <v>0</v>
      </c>
    </row>
    <row r="98" spans="1:72" ht="15" thickBot="1" x14ac:dyDescent="0.35">
      <c r="A98" s="5" t="s">
        <v>441</v>
      </c>
      <c r="B98">
        <f>SUMIF(RawData!$C:$C,$A98,RawData!F:F)</f>
        <v>0</v>
      </c>
      <c r="C98">
        <f>SUMIF(RawData!$C:$C,$A98,RawData!G:G)</f>
        <v>0</v>
      </c>
      <c r="D98">
        <f>SUMIF(RawData!$C:$C,$A98,RawData!H:H)</f>
        <v>0</v>
      </c>
      <c r="E98">
        <f>SUMIF(RawData!$C:$C,$A98,RawData!I:I)</f>
        <v>0</v>
      </c>
      <c r="F98">
        <f>SUMIF(RawData!$C:$C,$A98,RawData!J:J)</f>
        <v>0</v>
      </c>
      <c r="G98">
        <f>SUMIF(RawData!$C:$C,$A98,RawData!K:K)</f>
        <v>0</v>
      </c>
      <c r="H98">
        <f>SUMIF(RawData!$C:$C,$A98,RawData!L:L)</f>
        <v>0</v>
      </c>
      <c r="I98">
        <f>SUMIF(RawData!$C:$C,$A98,RawData!M:M)</f>
        <v>0</v>
      </c>
      <c r="J98">
        <f>SUMIF(RawData!$C:$C,$A98,RawData!N:N)</f>
        <v>0</v>
      </c>
      <c r="K98">
        <f>SUMIF(RawData!$C:$C,$A98,RawData!O:O)</f>
        <v>0</v>
      </c>
      <c r="L98">
        <f>SUMIF(RawData!$C:$C,$A98,RawData!P:P)</f>
        <v>0</v>
      </c>
      <c r="M98">
        <f>SUMIF(RawData!$C:$C,$A98,RawData!Q:Q)</f>
        <v>0</v>
      </c>
      <c r="N98">
        <f>SUMIF(RawData!$C:$C,$A98,RawData!R:R)</f>
        <v>0</v>
      </c>
      <c r="O98">
        <f>SUMIF(RawData!$C:$C,$A98,RawData!S:S)</f>
        <v>0</v>
      </c>
      <c r="P98">
        <f>SUMIF(RawData!$C:$C,$A98,RawData!T:T)</f>
        <v>0</v>
      </c>
      <c r="Q98">
        <f>SUMIF(RawData!$C:$C,$A98,RawData!U:U)</f>
        <v>0</v>
      </c>
      <c r="R98">
        <f>SUMIF(RawData!$C:$C,$A98,RawData!V:V)</f>
        <v>0</v>
      </c>
      <c r="S98">
        <f>SUMIF(RawData!$C:$C,$A98,RawData!W:W)</f>
        <v>0</v>
      </c>
      <c r="T98">
        <f>SUMIF(RawData!$C:$C,$A98,RawData!X:X)</f>
        <v>0</v>
      </c>
      <c r="U98">
        <f>SUMIF(RawData!$C:$C,$A98,RawData!Y:Y)</f>
        <v>0</v>
      </c>
      <c r="V98">
        <f>SUMIF(RawData!$C:$C,$A98,RawData!Z:Z)</f>
        <v>0</v>
      </c>
      <c r="W98">
        <f>SUMIF(RawData!$C:$C,$A98,RawData!AA:AA)</f>
        <v>0</v>
      </c>
      <c r="X98">
        <f>SUMIF(RawData!$C:$C,$A98,RawData!AB:AB)</f>
        <v>0</v>
      </c>
      <c r="Y98">
        <f>SUMIF(RawData!$C:$C,$A98,RawData!AC:AC)</f>
        <v>0</v>
      </c>
      <c r="Z98">
        <f>SUMIF(RawData!$C:$C,$A98,RawData!AD:AD)</f>
        <v>0</v>
      </c>
      <c r="AA98">
        <f>SUMIF(RawData!$C:$C,$A98,RawData!AE:AE)</f>
        <v>0</v>
      </c>
      <c r="AB98">
        <f>SUMIF(RawData!$C:$C,$A98,RawData!AF:AF)</f>
        <v>0</v>
      </c>
      <c r="AC98">
        <f>SUMIF(RawData!$C:$C,$A98,RawData!AG:AG)</f>
        <v>0</v>
      </c>
      <c r="AD98">
        <f>SUMIF(RawData!$C:$C,$A98,RawData!AH:AH)</f>
        <v>0</v>
      </c>
      <c r="AE98">
        <f>SUMIF(RawData!$C:$C,$A98,RawData!AI:AI)</f>
        <v>0</v>
      </c>
      <c r="AF98">
        <f>SUMIF(RawData!$C:$C,$A98,RawData!AJ:AJ)</f>
        <v>0</v>
      </c>
      <c r="AG98">
        <f>SUMIF(RawData!$C:$C,$A98,RawData!AK:AK)</f>
        <v>0</v>
      </c>
      <c r="AH98">
        <f>SUMIF(RawData!$C:$C,$A98,RawData!AL:AL)</f>
        <v>0</v>
      </c>
      <c r="AI98">
        <f>SUMIF(RawData!$C:$C,$A98,RawData!AM:AM)</f>
        <v>0</v>
      </c>
      <c r="AJ98">
        <f>SUMIF(RawData!$C:$C,$A98,RawData!AN:AN)</f>
        <v>0</v>
      </c>
      <c r="AK98">
        <f>SUMIF(RawData!$C:$C,$A98,RawData!AO:AO)</f>
        <v>0</v>
      </c>
      <c r="AL98">
        <f>SUMIF(RawData!$C:$C,$A98,RawData!AP:AP)</f>
        <v>0</v>
      </c>
      <c r="AM98">
        <f>SUMIF(RawData!$C:$C,$A98,RawData!AQ:AQ)</f>
        <v>0</v>
      </c>
      <c r="AN98">
        <f>SUMIF(RawData!$C:$C,$A98,RawData!AR:AR)</f>
        <v>0</v>
      </c>
      <c r="AO98">
        <f>SUMIF(RawData!$C:$C,$A98,RawData!AS:AS)</f>
        <v>0</v>
      </c>
      <c r="AP98">
        <f>SUMIF(RawData!$C:$C,$A98,RawData!AT:AT)</f>
        <v>0</v>
      </c>
      <c r="AQ98">
        <f>SUMIF(RawData!$C:$C,$A98,RawData!AU:AU)</f>
        <v>0</v>
      </c>
      <c r="AR98">
        <f>SUMIF(RawData!$C:$C,$A98,RawData!AV:AV)</f>
        <v>0</v>
      </c>
      <c r="AS98">
        <f>SUMIF(RawData!$C:$C,$A98,RawData!AW:AW)</f>
        <v>0</v>
      </c>
      <c r="AT98">
        <f>SUMIF(RawData!$C:$C,$A98,RawData!AX:AX)</f>
        <v>0</v>
      </c>
      <c r="AU98">
        <f>SUMIF(RawData!$C:$C,$A98,RawData!AY:AY)</f>
        <v>0</v>
      </c>
      <c r="AV98">
        <f>SUMIF(RawData!$C:$C,$A98,RawData!AZ:AZ)</f>
        <v>0</v>
      </c>
      <c r="AW98">
        <f>SUMIF(RawData!$C:$C,$A98,RawData!BA:BA)</f>
        <v>0</v>
      </c>
      <c r="AX98">
        <f>SUMIF(RawData!$C:$C,$A98,RawData!BB:BB)</f>
        <v>0</v>
      </c>
      <c r="AY98">
        <f>SUMIF(RawData!$C:$C,$A98,RawData!BC:BC)</f>
        <v>0</v>
      </c>
      <c r="AZ98">
        <f>SUMIF(RawData!$C:$C,$A98,RawData!BD:BD)</f>
        <v>0</v>
      </c>
      <c r="BA98">
        <f>SUMIF(RawData!$C:$C,$A98,RawData!BE:BE)</f>
        <v>4</v>
      </c>
      <c r="BB98">
        <f>SUMIF(RawData!$C:$C,$A98,RawData!BF:BF)</f>
        <v>6</v>
      </c>
      <c r="BC98">
        <f>SUMIF(RawData!$C:$C,$A98,RawData!BG:BG)</f>
        <v>9</v>
      </c>
      <c r="BD98">
        <f>SUMIF(RawData!$C:$C,$A98,RawData!BH:BH)</f>
        <v>10</v>
      </c>
      <c r="BE98">
        <f>SUMIF(RawData!$C:$C,$A98,RawData!BI:BI)</f>
        <v>0</v>
      </c>
      <c r="BF98">
        <f>SUMIF(RawData!$C:$C,$A98,RawData!BJ:BJ)</f>
        <v>0</v>
      </c>
      <c r="BG98">
        <f>SUMIF(RawData!$C:$C,$A98,RawData!BK:BK)</f>
        <v>0</v>
      </c>
      <c r="BH98">
        <f>SUMIF(RawData!$C:$C,$A98,RawData!BL:BL)</f>
        <v>0</v>
      </c>
      <c r="BI98">
        <f>SUMIF(RawData!$C:$C,$A98,RawData!BM:BM)</f>
        <v>0</v>
      </c>
      <c r="BJ98">
        <f>SUMIF(RawData!$C:$C,$A98,RawData!BN:BN)</f>
        <v>0</v>
      </c>
      <c r="BK98">
        <f>SUMIF(RawData!$C:$C,$A98,RawData!BO:BO)</f>
        <v>0</v>
      </c>
      <c r="BL98">
        <f>SUMIF(RawData!$C:$C,$A98,RawData!BP:BP)</f>
        <v>0</v>
      </c>
      <c r="BM98">
        <f>SUMIF(RawData!$C:$C,$A98,RawData!BQ:BQ)</f>
        <v>0</v>
      </c>
      <c r="BN98">
        <f>SUMIF(RawData!$C:$C,$A98,RawData!BR:BR)</f>
        <v>0</v>
      </c>
      <c r="BO98">
        <f>SUMIF(RawData!$C:$C,$A98,RawData!BS:BS)</f>
        <v>0</v>
      </c>
      <c r="BP98">
        <f>SUMIF(RawData!$C:$C,$A98,RawData!BT:BT)</f>
        <v>0</v>
      </c>
      <c r="BQ98">
        <f>SUMIF(RawData!$C:$C,$A98,RawData!BU:BU)</f>
        <v>0</v>
      </c>
      <c r="BR98">
        <f>SUMIF(RawData!$C:$C,$A98,RawData!BV:BV)</f>
        <v>0</v>
      </c>
      <c r="BS98">
        <f>SUMIF(RawData!$C:$C,$A98,RawData!BW:BW)</f>
        <v>0</v>
      </c>
      <c r="BT98">
        <f>SUMIF(RawData!$C:$C,$A98,RawData!BX:BX)</f>
        <v>0</v>
      </c>
    </row>
    <row r="99" spans="1:72" ht="15" thickBot="1" x14ac:dyDescent="0.35">
      <c r="A99" s="4" t="s">
        <v>229</v>
      </c>
      <c r="B99">
        <f>SUMIF(RawData!$C:$C,$A99,RawData!F:F)</f>
        <v>0</v>
      </c>
      <c r="C99">
        <f>SUMIF(RawData!$C:$C,$A99,RawData!G:G)</f>
        <v>0</v>
      </c>
      <c r="D99">
        <f>SUMIF(RawData!$C:$C,$A99,RawData!H:H)</f>
        <v>0</v>
      </c>
      <c r="E99">
        <f>SUMIF(RawData!$C:$C,$A99,RawData!I:I)</f>
        <v>0</v>
      </c>
      <c r="F99">
        <f>SUMIF(RawData!$C:$C,$A99,RawData!J:J)</f>
        <v>0</v>
      </c>
      <c r="G99">
        <f>SUMIF(RawData!$C:$C,$A99,RawData!K:K)</f>
        <v>0</v>
      </c>
      <c r="H99">
        <f>SUMIF(RawData!$C:$C,$A99,RawData!L:L)</f>
        <v>0</v>
      </c>
      <c r="I99">
        <f>SUMIF(RawData!$C:$C,$A99,RawData!M:M)</f>
        <v>0</v>
      </c>
      <c r="J99">
        <f>SUMIF(RawData!$C:$C,$A99,RawData!N:N)</f>
        <v>0</v>
      </c>
      <c r="K99">
        <f>SUMIF(RawData!$C:$C,$A99,RawData!O:O)</f>
        <v>0</v>
      </c>
      <c r="L99">
        <f>SUMIF(RawData!$C:$C,$A99,RawData!P:P)</f>
        <v>0</v>
      </c>
      <c r="M99">
        <f>SUMIF(RawData!$C:$C,$A99,RawData!Q:Q)</f>
        <v>0</v>
      </c>
      <c r="N99">
        <f>SUMIF(RawData!$C:$C,$A99,RawData!R:R)</f>
        <v>0</v>
      </c>
      <c r="O99">
        <f>SUMIF(RawData!$C:$C,$A99,RawData!S:S)</f>
        <v>0</v>
      </c>
      <c r="P99">
        <f>SUMIF(RawData!$C:$C,$A99,RawData!T:T)</f>
        <v>0</v>
      </c>
      <c r="Q99">
        <f>SUMIF(RawData!$C:$C,$A99,RawData!U:U)</f>
        <v>0</v>
      </c>
      <c r="R99">
        <f>SUMIF(RawData!$C:$C,$A99,RawData!V:V)</f>
        <v>0</v>
      </c>
      <c r="S99">
        <f>SUMIF(RawData!$C:$C,$A99,RawData!W:W)</f>
        <v>0</v>
      </c>
      <c r="T99">
        <f>SUMIF(RawData!$C:$C,$A99,RawData!X:X)</f>
        <v>0</v>
      </c>
      <c r="U99">
        <f>SUMIF(RawData!$C:$C,$A99,RawData!Y:Y)</f>
        <v>0</v>
      </c>
      <c r="V99">
        <f>SUMIF(RawData!$C:$C,$A99,RawData!Z:Z)</f>
        <v>0</v>
      </c>
      <c r="W99">
        <f>SUMIF(RawData!$C:$C,$A99,RawData!AA:AA)</f>
        <v>0</v>
      </c>
      <c r="X99">
        <f>SUMIF(RawData!$C:$C,$A99,RawData!AB:AB)</f>
        <v>0</v>
      </c>
      <c r="Y99">
        <f>SUMIF(RawData!$C:$C,$A99,RawData!AC:AC)</f>
        <v>0</v>
      </c>
      <c r="Z99">
        <f>SUMIF(RawData!$C:$C,$A99,RawData!AD:AD)</f>
        <v>0</v>
      </c>
      <c r="AA99">
        <f>SUMIF(RawData!$C:$C,$A99,RawData!AE:AE)</f>
        <v>0</v>
      </c>
      <c r="AB99">
        <f>SUMIF(RawData!$C:$C,$A99,RawData!AF:AF)</f>
        <v>0</v>
      </c>
      <c r="AC99">
        <f>SUMIF(RawData!$C:$C,$A99,RawData!AG:AG)</f>
        <v>0</v>
      </c>
      <c r="AD99">
        <f>SUMIF(RawData!$C:$C,$A99,RawData!AH:AH)</f>
        <v>0</v>
      </c>
      <c r="AE99">
        <f>SUMIF(RawData!$C:$C,$A99,RawData!AI:AI)</f>
        <v>0</v>
      </c>
      <c r="AF99">
        <f>SUMIF(RawData!$C:$C,$A99,RawData!AJ:AJ)</f>
        <v>0</v>
      </c>
      <c r="AG99">
        <f>SUMIF(RawData!$C:$C,$A99,RawData!AK:AK)</f>
        <v>0</v>
      </c>
      <c r="AH99">
        <f>SUMIF(RawData!$C:$C,$A99,RawData!AL:AL)</f>
        <v>0</v>
      </c>
      <c r="AI99">
        <f>SUMIF(RawData!$C:$C,$A99,RawData!AM:AM)</f>
        <v>0</v>
      </c>
      <c r="AJ99">
        <f>SUMIF(RawData!$C:$C,$A99,RawData!AN:AN)</f>
        <v>0</v>
      </c>
      <c r="AK99">
        <f>SUMIF(RawData!$C:$C,$A99,RawData!AO:AO)</f>
        <v>0</v>
      </c>
      <c r="AL99">
        <f>SUMIF(RawData!$C:$C,$A99,RawData!AP:AP)</f>
        <v>0</v>
      </c>
      <c r="AM99">
        <f>SUMIF(RawData!$C:$C,$A99,RawData!AQ:AQ)</f>
        <v>0</v>
      </c>
      <c r="AN99">
        <f>SUMIF(RawData!$C:$C,$A99,RawData!AR:AR)</f>
        <v>0</v>
      </c>
      <c r="AO99">
        <f>SUMIF(RawData!$C:$C,$A99,RawData!AS:AS)</f>
        <v>0</v>
      </c>
      <c r="AP99">
        <f>SUMIF(RawData!$C:$C,$A99,RawData!AT:AT)</f>
        <v>0</v>
      </c>
      <c r="AQ99">
        <f>SUMIF(RawData!$C:$C,$A99,RawData!AU:AU)</f>
        <v>0</v>
      </c>
      <c r="AR99">
        <f>SUMIF(RawData!$C:$C,$A99,RawData!AV:AV)</f>
        <v>0</v>
      </c>
      <c r="AS99">
        <f>SUMIF(RawData!$C:$C,$A99,RawData!AW:AW)</f>
        <v>0</v>
      </c>
      <c r="AT99">
        <f>SUMIF(RawData!$C:$C,$A99,RawData!AX:AX)</f>
        <v>0</v>
      </c>
      <c r="AU99">
        <f>SUMIF(RawData!$C:$C,$A99,RawData!AY:AY)</f>
        <v>0</v>
      </c>
      <c r="AV99">
        <f>SUMIF(RawData!$C:$C,$A99,RawData!AZ:AZ)</f>
        <v>3</v>
      </c>
      <c r="AW99">
        <f>SUMIF(RawData!$C:$C,$A99,RawData!BA:BA)</f>
        <v>3</v>
      </c>
      <c r="AX99">
        <f>SUMIF(RawData!$C:$C,$A99,RawData!BB:BB)</f>
        <v>3</v>
      </c>
      <c r="AY99">
        <f>SUMIF(RawData!$C:$C,$A99,RawData!BC:BC)</f>
        <v>3</v>
      </c>
      <c r="AZ99">
        <f>SUMIF(RawData!$C:$C,$A99,RawData!BD:BD)</f>
        <v>3</v>
      </c>
      <c r="BA99">
        <f>SUMIF(RawData!$C:$C,$A99,RawData!BE:BE)</f>
        <v>3</v>
      </c>
      <c r="BB99">
        <f>SUMIF(RawData!$C:$C,$A99,RawData!BF:BF)</f>
        <v>3</v>
      </c>
      <c r="BC99">
        <f>SUMIF(RawData!$C:$C,$A99,RawData!BG:BG)</f>
        <v>5</v>
      </c>
      <c r="BD99">
        <f>SUMIF(RawData!$C:$C,$A99,RawData!BH:BH)</f>
        <v>8</v>
      </c>
      <c r="BE99">
        <f>SUMIF(RawData!$C:$C,$A99,RawData!BI:BI)</f>
        <v>0</v>
      </c>
      <c r="BF99">
        <f>SUMIF(RawData!$C:$C,$A99,RawData!BJ:BJ)</f>
        <v>0</v>
      </c>
      <c r="BG99">
        <f>SUMIF(RawData!$C:$C,$A99,RawData!BK:BK)</f>
        <v>0</v>
      </c>
      <c r="BH99">
        <f>SUMIF(RawData!$C:$C,$A99,RawData!BL:BL)</f>
        <v>0</v>
      </c>
      <c r="BI99">
        <f>SUMIF(RawData!$C:$C,$A99,RawData!BM:BM)</f>
        <v>0</v>
      </c>
      <c r="BJ99">
        <f>SUMIF(RawData!$C:$C,$A99,RawData!BN:BN)</f>
        <v>0</v>
      </c>
      <c r="BK99">
        <f>SUMIF(RawData!$C:$C,$A99,RawData!BO:BO)</f>
        <v>0</v>
      </c>
      <c r="BL99">
        <f>SUMIF(RawData!$C:$C,$A99,RawData!BP:BP)</f>
        <v>0</v>
      </c>
      <c r="BM99">
        <f>SUMIF(RawData!$C:$C,$A99,RawData!BQ:BQ)</f>
        <v>0</v>
      </c>
      <c r="BN99">
        <f>SUMIF(RawData!$C:$C,$A99,RawData!BR:BR)</f>
        <v>0</v>
      </c>
      <c r="BO99">
        <f>SUMIF(RawData!$C:$C,$A99,RawData!BS:BS)</f>
        <v>0</v>
      </c>
      <c r="BP99">
        <f>SUMIF(RawData!$C:$C,$A99,RawData!BT:BT)</f>
        <v>0</v>
      </c>
      <c r="BQ99">
        <f>SUMIF(RawData!$C:$C,$A99,RawData!BU:BU)</f>
        <v>0</v>
      </c>
      <c r="BR99">
        <f>SUMIF(RawData!$C:$C,$A99,RawData!BV:BV)</f>
        <v>0</v>
      </c>
      <c r="BS99">
        <f>SUMIF(RawData!$C:$C,$A99,RawData!BW:BW)</f>
        <v>0</v>
      </c>
      <c r="BT99">
        <f>SUMIF(RawData!$C:$C,$A99,RawData!BX:BX)</f>
        <v>0</v>
      </c>
    </row>
    <row r="100" spans="1:72" ht="15" thickBot="1" x14ac:dyDescent="0.35">
      <c r="A100" s="4" t="s">
        <v>374</v>
      </c>
      <c r="B100">
        <f>SUMIF(RawData!$C:$C,$A100,RawData!F:F)</f>
        <v>0</v>
      </c>
      <c r="C100">
        <f>SUMIF(RawData!$C:$C,$A100,RawData!G:G)</f>
        <v>0</v>
      </c>
      <c r="D100">
        <f>SUMIF(RawData!$C:$C,$A100,RawData!H:H)</f>
        <v>0</v>
      </c>
      <c r="E100">
        <f>SUMIF(RawData!$C:$C,$A100,RawData!I:I)</f>
        <v>0</v>
      </c>
      <c r="F100">
        <f>SUMIF(RawData!$C:$C,$A100,RawData!J:J)</f>
        <v>0</v>
      </c>
      <c r="G100">
        <f>SUMIF(RawData!$C:$C,$A100,RawData!K:K)</f>
        <v>0</v>
      </c>
      <c r="H100">
        <f>SUMIF(RawData!$C:$C,$A100,RawData!L:L)</f>
        <v>0</v>
      </c>
      <c r="I100">
        <f>SUMIF(RawData!$C:$C,$A100,RawData!M:M)</f>
        <v>0</v>
      </c>
      <c r="J100">
        <f>SUMIF(RawData!$C:$C,$A100,RawData!N:N)</f>
        <v>0</v>
      </c>
      <c r="K100">
        <f>SUMIF(RawData!$C:$C,$A100,RawData!O:O)</f>
        <v>0</v>
      </c>
      <c r="L100">
        <f>SUMIF(RawData!$C:$C,$A100,RawData!P:P)</f>
        <v>0</v>
      </c>
      <c r="M100">
        <f>SUMIF(RawData!$C:$C,$A100,RawData!Q:Q)</f>
        <v>0</v>
      </c>
      <c r="N100">
        <f>SUMIF(RawData!$C:$C,$A100,RawData!R:R)</f>
        <v>0</v>
      </c>
      <c r="O100">
        <f>SUMIF(RawData!$C:$C,$A100,RawData!S:S)</f>
        <v>0</v>
      </c>
      <c r="P100">
        <f>SUMIF(RawData!$C:$C,$A100,RawData!T:T)</f>
        <v>0</v>
      </c>
      <c r="Q100">
        <f>SUMIF(RawData!$C:$C,$A100,RawData!U:U)</f>
        <v>0</v>
      </c>
      <c r="R100">
        <f>SUMIF(RawData!$C:$C,$A100,RawData!V:V)</f>
        <v>0</v>
      </c>
      <c r="S100">
        <f>SUMIF(RawData!$C:$C,$A100,RawData!W:W)</f>
        <v>0</v>
      </c>
      <c r="T100">
        <f>SUMIF(RawData!$C:$C,$A100,RawData!X:X)</f>
        <v>0</v>
      </c>
      <c r="U100">
        <f>SUMIF(RawData!$C:$C,$A100,RawData!Y:Y)</f>
        <v>0</v>
      </c>
      <c r="V100">
        <f>SUMIF(RawData!$C:$C,$A100,RawData!Z:Z)</f>
        <v>0</v>
      </c>
      <c r="W100">
        <f>SUMIF(RawData!$C:$C,$A100,RawData!AA:AA)</f>
        <v>0</v>
      </c>
      <c r="X100">
        <f>SUMIF(RawData!$C:$C,$A100,RawData!AB:AB)</f>
        <v>0</v>
      </c>
      <c r="Y100">
        <f>SUMIF(RawData!$C:$C,$A100,RawData!AC:AC)</f>
        <v>0</v>
      </c>
      <c r="Z100">
        <f>SUMIF(RawData!$C:$C,$A100,RawData!AD:AD)</f>
        <v>0</v>
      </c>
      <c r="AA100">
        <f>SUMIF(RawData!$C:$C,$A100,RawData!AE:AE)</f>
        <v>0</v>
      </c>
      <c r="AB100">
        <f>SUMIF(RawData!$C:$C,$A100,RawData!AF:AF)</f>
        <v>0</v>
      </c>
      <c r="AC100">
        <f>SUMIF(RawData!$C:$C,$A100,RawData!AG:AG)</f>
        <v>0</v>
      </c>
      <c r="AD100">
        <f>SUMIF(RawData!$C:$C,$A100,RawData!AH:AH)</f>
        <v>0</v>
      </c>
      <c r="AE100">
        <f>SUMIF(RawData!$C:$C,$A100,RawData!AI:AI)</f>
        <v>0</v>
      </c>
      <c r="AF100">
        <f>SUMIF(RawData!$C:$C,$A100,RawData!AJ:AJ)</f>
        <v>0</v>
      </c>
      <c r="AG100">
        <f>SUMIF(RawData!$C:$C,$A100,RawData!AK:AK)</f>
        <v>0</v>
      </c>
      <c r="AH100">
        <f>SUMIF(RawData!$C:$C,$A100,RawData!AL:AL)</f>
        <v>0</v>
      </c>
      <c r="AI100">
        <f>SUMIF(RawData!$C:$C,$A100,RawData!AM:AM)</f>
        <v>0</v>
      </c>
      <c r="AJ100">
        <f>SUMIF(RawData!$C:$C,$A100,RawData!AN:AN)</f>
        <v>0</v>
      </c>
      <c r="AK100">
        <f>SUMIF(RawData!$C:$C,$A100,RawData!AO:AO)</f>
        <v>0</v>
      </c>
      <c r="AL100">
        <f>SUMIF(RawData!$C:$C,$A100,RawData!AP:AP)</f>
        <v>0</v>
      </c>
      <c r="AM100">
        <f>SUMIF(RawData!$C:$C,$A100,RawData!AQ:AQ)</f>
        <v>0</v>
      </c>
      <c r="AN100">
        <f>SUMIF(RawData!$C:$C,$A100,RawData!AR:AR)</f>
        <v>0</v>
      </c>
      <c r="AO100">
        <f>SUMIF(RawData!$C:$C,$A100,RawData!AS:AS)</f>
        <v>0</v>
      </c>
      <c r="AP100">
        <f>SUMIF(RawData!$C:$C,$A100,RawData!AT:AT)</f>
        <v>0</v>
      </c>
      <c r="AQ100">
        <f>SUMIF(RawData!$C:$C,$A100,RawData!AU:AU)</f>
        <v>0</v>
      </c>
      <c r="AR100">
        <f>SUMIF(RawData!$C:$C,$A100,RawData!AV:AV)</f>
        <v>0</v>
      </c>
      <c r="AS100">
        <f>SUMIF(RawData!$C:$C,$A100,RawData!AW:AW)</f>
        <v>0</v>
      </c>
      <c r="AT100">
        <f>SUMIF(RawData!$C:$C,$A100,RawData!AX:AX)</f>
        <v>0</v>
      </c>
      <c r="AU100">
        <f>SUMIF(RawData!$C:$C,$A100,RawData!AY:AY)</f>
        <v>0</v>
      </c>
      <c r="AV100">
        <f>SUMIF(RawData!$C:$C,$A100,RawData!AZ:AZ)</f>
        <v>0</v>
      </c>
      <c r="AW100">
        <f>SUMIF(RawData!$C:$C,$A100,RawData!BA:BA)</f>
        <v>0</v>
      </c>
      <c r="AX100">
        <f>SUMIF(RawData!$C:$C,$A100,RawData!BB:BB)</f>
        <v>0</v>
      </c>
      <c r="AY100">
        <f>SUMIF(RawData!$C:$C,$A100,RawData!BC:BC)</f>
        <v>2</v>
      </c>
      <c r="AZ100">
        <f>SUMIF(RawData!$C:$C,$A100,RawData!BD:BD)</f>
        <v>2</v>
      </c>
      <c r="BA100">
        <f>SUMIF(RawData!$C:$C,$A100,RawData!BE:BE)</f>
        <v>3</v>
      </c>
      <c r="BB100">
        <f>SUMIF(RawData!$C:$C,$A100,RawData!BF:BF)</f>
        <v>10</v>
      </c>
      <c r="BC100">
        <f>SUMIF(RawData!$C:$C,$A100,RawData!BG:BG)</f>
        <v>10</v>
      </c>
      <c r="BD100">
        <f>SUMIF(RawData!$C:$C,$A100,RawData!BH:BH)</f>
        <v>11</v>
      </c>
      <c r="BE100">
        <f>SUMIF(RawData!$C:$C,$A100,RawData!BI:BI)</f>
        <v>0</v>
      </c>
      <c r="BF100">
        <f>SUMIF(RawData!$C:$C,$A100,RawData!BJ:BJ)</f>
        <v>0</v>
      </c>
      <c r="BG100">
        <f>SUMIF(RawData!$C:$C,$A100,RawData!BK:BK)</f>
        <v>0</v>
      </c>
      <c r="BH100">
        <f>SUMIF(RawData!$C:$C,$A100,RawData!BL:BL)</f>
        <v>0</v>
      </c>
      <c r="BI100">
        <f>SUMIF(RawData!$C:$C,$A100,RawData!BM:BM)</f>
        <v>0</v>
      </c>
      <c r="BJ100">
        <f>SUMIF(RawData!$C:$C,$A100,RawData!BN:BN)</f>
        <v>0</v>
      </c>
      <c r="BK100">
        <f>SUMIF(RawData!$C:$C,$A100,RawData!BO:BO)</f>
        <v>0</v>
      </c>
      <c r="BL100">
        <f>SUMIF(RawData!$C:$C,$A100,RawData!BP:BP)</f>
        <v>0</v>
      </c>
      <c r="BM100">
        <f>SUMIF(RawData!$C:$C,$A100,RawData!BQ:BQ)</f>
        <v>0</v>
      </c>
      <c r="BN100">
        <f>SUMIF(RawData!$C:$C,$A100,RawData!BR:BR)</f>
        <v>0</v>
      </c>
      <c r="BO100">
        <f>SUMIF(RawData!$C:$C,$A100,RawData!BS:BS)</f>
        <v>0</v>
      </c>
      <c r="BP100">
        <f>SUMIF(RawData!$C:$C,$A100,RawData!BT:BT)</f>
        <v>0</v>
      </c>
      <c r="BQ100">
        <f>SUMIF(RawData!$C:$C,$A100,RawData!BU:BU)</f>
        <v>0</v>
      </c>
      <c r="BR100">
        <f>SUMIF(RawData!$C:$C,$A100,RawData!BV:BV)</f>
        <v>0</v>
      </c>
      <c r="BS100">
        <f>SUMIF(RawData!$C:$C,$A100,RawData!BW:BW)</f>
        <v>0</v>
      </c>
      <c r="BT100">
        <f>SUMIF(RawData!$C:$C,$A100,RawData!BX:BX)</f>
        <v>0</v>
      </c>
    </row>
    <row r="101" spans="1:72" ht="15" thickBot="1" x14ac:dyDescent="0.35">
      <c r="A101" s="5" t="s">
        <v>207</v>
      </c>
      <c r="B101">
        <f>SUMIF(RawData!$C:$C,$A101,RawData!F:F)</f>
        <v>0</v>
      </c>
      <c r="C101">
        <f>SUMIF(RawData!$C:$C,$A101,RawData!G:G)</f>
        <v>0</v>
      </c>
      <c r="D101">
        <f>SUMIF(RawData!$C:$C,$A101,RawData!H:H)</f>
        <v>0</v>
      </c>
      <c r="E101">
        <f>SUMIF(RawData!$C:$C,$A101,RawData!I:I)</f>
        <v>0</v>
      </c>
      <c r="F101">
        <f>SUMIF(RawData!$C:$C,$A101,RawData!J:J)</f>
        <v>0</v>
      </c>
      <c r="G101">
        <f>SUMIF(RawData!$C:$C,$A101,RawData!K:K)</f>
        <v>0</v>
      </c>
      <c r="H101">
        <f>SUMIF(RawData!$C:$C,$A101,RawData!L:L)</f>
        <v>0</v>
      </c>
      <c r="I101">
        <f>SUMIF(RawData!$C:$C,$A101,RawData!M:M)</f>
        <v>0</v>
      </c>
      <c r="J101">
        <f>SUMIF(RawData!$C:$C,$A101,RawData!N:N)</f>
        <v>0</v>
      </c>
      <c r="K101">
        <f>SUMIF(RawData!$C:$C,$A101,RawData!O:O)</f>
        <v>0</v>
      </c>
      <c r="L101">
        <f>SUMIF(RawData!$C:$C,$A101,RawData!P:P)</f>
        <v>0</v>
      </c>
      <c r="M101">
        <f>SUMIF(RawData!$C:$C,$A101,RawData!Q:Q)</f>
        <v>0</v>
      </c>
      <c r="N101">
        <f>SUMIF(RawData!$C:$C,$A101,RawData!R:R)</f>
        <v>0</v>
      </c>
      <c r="O101">
        <f>SUMIF(RawData!$C:$C,$A101,RawData!S:S)</f>
        <v>0</v>
      </c>
      <c r="P101">
        <f>SUMIF(RawData!$C:$C,$A101,RawData!T:T)</f>
        <v>0</v>
      </c>
      <c r="Q101">
        <f>SUMIF(RawData!$C:$C,$A101,RawData!U:U)</f>
        <v>0</v>
      </c>
      <c r="R101">
        <f>SUMIF(RawData!$C:$C,$A101,RawData!V:V)</f>
        <v>0</v>
      </c>
      <c r="S101">
        <f>SUMIF(RawData!$C:$C,$A101,RawData!W:W)</f>
        <v>0</v>
      </c>
      <c r="T101">
        <f>SUMIF(RawData!$C:$C,$A101,RawData!X:X)</f>
        <v>0</v>
      </c>
      <c r="U101">
        <f>SUMIF(RawData!$C:$C,$A101,RawData!Y:Y)</f>
        <v>0</v>
      </c>
      <c r="V101">
        <f>SUMIF(RawData!$C:$C,$A101,RawData!Z:Z)</f>
        <v>0</v>
      </c>
      <c r="W101">
        <f>SUMIF(RawData!$C:$C,$A101,RawData!AA:AA)</f>
        <v>0</v>
      </c>
      <c r="X101">
        <f>SUMIF(RawData!$C:$C,$A101,RawData!AB:AB)</f>
        <v>0</v>
      </c>
      <c r="Y101">
        <f>SUMIF(RawData!$C:$C,$A101,RawData!AC:AC)</f>
        <v>0</v>
      </c>
      <c r="Z101">
        <f>SUMIF(RawData!$C:$C,$A101,RawData!AD:AD)</f>
        <v>0</v>
      </c>
      <c r="AA101">
        <f>SUMIF(RawData!$C:$C,$A101,RawData!AE:AE)</f>
        <v>0</v>
      </c>
      <c r="AB101">
        <f>SUMIF(RawData!$C:$C,$A101,RawData!AF:AF)</f>
        <v>0</v>
      </c>
      <c r="AC101">
        <f>SUMIF(RawData!$C:$C,$A101,RawData!AG:AG)</f>
        <v>0</v>
      </c>
      <c r="AD101">
        <f>SUMIF(RawData!$C:$C,$A101,RawData!AH:AH)</f>
        <v>0</v>
      </c>
      <c r="AE101">
        <f>SUMIF(RawData!$C:$C,$A101,RawData!AI:AI)</f>
        <v>0</v>
      </c>
      <c r="AF101">
        <f>SUMIF(RawData!$C:$C,$A101,RawData!AJ:AJ)</f>
        <v>0</v>
      </c>
      <c r="AG101">
        <f>SUMIF(RawData!$C:$C,$A101,RawData!AK:AK)</f>
        <v>0</v>
      </c>
      <c r="AH101">
        <f>SUMIF(RawData!$C:$C,$A101,RawData!AL:AL)</f>
        <v>0</v>
      </c>
      <c r="AI101">
        <f>SUMIF(RawData!$C:$C,$A101,RawData!AM:AM)</f>
        <v>0</v>
      </c>
      <c r="AJ101">
        <f>SUMIF(RawData!$C:$C,$A101,RawData!AN:AN)</f>
        <v>0</v>
      </c>
      <c r="AK101">
        <f>SUMIF(RawData!$C:$C,$A101,RawData!AO:AO)</f>
        <v>0</v>
      </c>
      <c r="AL101">
        <f>SUMIF(RawData!$C:$C,$A101,RawData!AP:AP)</f>
        <v>0</v>
      </c>
      <c r="AM101">
        <f>SUMIF(RawData!$C:$C,$A101,RawData!AQ:AQ)</f>
        <v>0</v>
      </c>
      <c r="AN101">
        <f>SUMIF(RawData!$C:$C,$A101,RawData!AR:AR)</f>
        <v>0</v>
      </c>
      <c r="AO101">
        <f>SUMIF(RawData!$C:$C,$A101,RawData!AS:AS)</f>
        <v>0</v>
      </c>
      <c r="AP101">
        <f>SUMIF(RawData!$C:$C,$A101,RawData!AT:AT)</f>
        <v>0</v>
      </c>
      <c r="AQ101">
        <f>SUMIF(RawData!$C:$C,$A101,RawData!AU:AU)</f>
        <v>0</v>
      </c>
      <c r="AR101">
        <f>SUMIF(RawData!$C:$C,$A101,RawData!AV:AV)</f>
        <v>0</v>
      </c>
      <c r="AS101">
        <f>SUMIF(RawData!$C:$C,$A101,RawData!AW:AW)</f>
        <v>0</v>
      </c>
      <c r="AT101">
        <f>SUMIF(RawData!$C:$C,$A101,RawData!AX:AX)</f>
        <v>0</v>
      </c>
      <c r="AU101">
        <f>SUMIF(RawData!$C:$C,$A101,RawData!AY:AY)</f>
        <v>2</v>
      </c>
      <c r="AV101">
        <f>SUMIF(RawData!$C:$C,$A101,RawData!AZ:AZ)</f>
        <v>2</v>
      </c>
      <c r="AW101">
        <f>SUMIF(RawData!$C:$C,$A101,RawData!BA:BA)</f>
        <v>2</v>
      </c>
      <c r="AX101">
        <f>SUMIF(RawData!$C:$C,$A101,RawData!BB:BB)</f>
        <v>2</v>
      </c>
      <c r="AY101">
        <f>SUMIF(RawData!$C:$C,$A101,RawData!BC:BC)</f>
        <v>3</v>
      </c>
      <c r="AZ101">
        <f>SUMIF(RawData!$C:$C,$A101,RawData!BD:BD)</f>
        <v>3</v>
      </c>
      <c r="BA101">
        <f>SUMIF(RawData!$C:$C,$A101,RawData!BE:BE)</f>
        <v>3</v>
      </c>
      <c r="BB101">
        <f>SUMIF(RawData!$C:$C,$A101,RawData!BF:BF)</f>
        <v>9</v>
      </c>
      <c r="BC101">
        <f>SUMIF(RawData!$C:$C,$A101,RawData!BG:BG)</f>
        <v>9</v>
      </c>
      <c r="BD101">
        <f>SUMIF(RawData!$C:$C,$A101,RawData!BH:BH)</f>
        <v>15</v>
      </c>
      <c r="BE101">
        <f>SUMIF(RawData!$C:$C,$A101,RawData!BI:BI)</f>
        <v>0</v>
      </c>
      <c r="BF101">
        <f>SUMIF(RawData!$C:$C,$A101,RawData!BJ:BJ)</f>
        <v>0</v>
      </c>
      <c r="BG101">
        <f>SUMIF(RawData!$C:$C,$A101,RawData!BK:BK)</f>
        <v>0</v>
      </c>
      <c r="BH101">
        <f>SUMIF(RawData!$C:$C,$A101,RawData!BL:BL)</f>
        <v>0</v>
      </c>
      <c r="BI101">
        <f>SUMIF(RawData!$C:$C,$A101,RawData!BM:BM)</f>
        <v>0</v>
      </c>
      <c r="BJ101">
        <f>SUMIF(RawData!$C:$C,$A101,RawData!BN:BN)</f>
        <v>0</v>
      </c>
      <c r="BK101">
        <f>SUMIF(RawData!$C:$C,$A101,RawData!BO:BO)</f>
        <v>0</v>
      </c>
      <c r="BL101">
        <f>SUMIF(RawData!$C:$C,$A101,RawData!BP:BP)</f>
        <v>0</v>
      </c>
      <c r="BM101">
        <f>SUMIF(RawData!$C:$C,$A101,RawData!BQ:BQ)</f>
        <v>0</v>
      </c>
      <c r="BN101">
        <f>SUMIF(RawData!$C:$C,$A101,RawData!BR:BR)</f>
        <v>0</v>
      </c>
      <c r="BO101">
        <f>SUMIF(RawData!$C:$C,$A101,RawData!BS:BS)</f>
        <v>0</v>
      </c>
      <c r="BP101">
        <f>SUMIF(RawData!$C:$C,$A101,RawData!BT:BT)</f>
        <v>0</v>
      </c>
      <c r="BQ101">
        <f>SUMIF(RawData!$C:$C,$A101,RawData!BU:BU)</f>
        <v>0</v>
      </c>
      <c r="BR101">
        <f>SUMIF(RawData!$C:$C,$A101,RawData!BV:BV)</f>
        <v>0</v>
      </c>
      <c r="BS101">
        <f>SUMIF(RawData!$C:$C,$A101,RawData!BW:BW)</f>
        <v>0</v>
      </c>
      <c r="BT101">
        <f>SUMIF(RawData!$C:$C,$A101,RawData!BX:BX)</f>
        <v>0</v>
      </c>
    </row>
    <row r="102" spans="1:72" ht="15" thickBot="1" x14ac:dyDescent="0.35">
      <c r="A102" s="4" t="s">
        <v>156</v>
      </c>
      <c r="B102">
        <f>SUMIF(RawData!$C:$C,$A102,RawData!F:F)</f>
        <v>0</v>
      </c>
      <c r="C102">
        <f>SUMIF(RawData!$C:$C,$A102,RawData!G:G)</f>
        <v>0</v>
      </c>
      <c r="D102">
        <f>SUMIF(RawData!$C:$C,$A102,RawData!H:H)</f>
        <v>0</v>
      </c>
      <c r="E102">
        <f>SUMIF(RawData!$C:$C,$A102,RawData!I:I)</f>
        <v>0</v>
      </c>
      <c r="F102">
        <f>SUMIF(RawData!$C:$C,$A102,RawData!J:J)</f>
        <v>0</v>
      </c>
      <c r="G102">
        <f>SUMIF(RawData!$C:$C,$A102,RawData!K:K)</f>
        <v>0</v>
      </c>
      <c r="H102">
        <f>SUMIF(RawData!$C:$C,$A102,RawData!L:L)</f>
        <v>0</v>
      </c>
      <c r="I102">
        <f>SUMIF(RawData!$C:$C,$A102,RawData!M:M)</f>
        <v>0</v>
      </c>
      <c r="J102">
        <f>SUMIF(RawData!$C:$C,$A102,RawData!N:N)</f>
        <v>0</v>
      </c>
      <c r="K102">
        <f>SUMIF(RawData!$C:$C,$A102,RawData!O:O)</f>
        <v>0</v>
      </c>
      <c r="L102">
        <f>SUMIF(RawData!$C:$C,$A102,RawData!P:P)</f>
        <v>0</v>
      </c>
      <c r="M102">
        <f>SUMIF(RawData!$C:$C,$A102,RawData!Q:Q)</f>
        <v>0</v>
      </c>
      <c r="N102">
        <f>SUMIF(RawData!$C:$C,$A102,RawData!R:R)</f>
        <v>0</v>
      </c>
      <c r="O102">
        <f>SUMIF(RawData!$C:$C,$A102,RawData!S:S)</f>
        <v>0</v>
      </c>
      <c r="P102">
        <f>SUMIF(RawData!$C:$C,$A102,RawData!T:T)</f>
        <v>0</v>
      </c>
      <c r="Q102">
        <f>SUMIF(RawData!$C:$C,$A102,RawData!U:U)</f>
        <v>0</v>
      </c>
      <c r="R102">
        <f>SUMIF(RawData!$C:$C,$A102,RawData!V:V)</f>
        <v>0</v>
      </c>
      <c r="S102">
        <f>SUMIF(RawData!$C:$C,$A102,RawData!W:W)</f>
        <v>0</v>
      </c>
      <c r="T102">
        <f>SUMIF(RawData!$C:$C,$A102,RawData!X:X)</f>
        <v>0</v>
      </c>
      <c r="U102">
        <f>SUMIF(RawData!$C:$C,$A102,RawData!Y:Y)</f>
        <v>0</v>
      </c>
      <c r="V102">
        <f>SUMIF(RawData!$C:$C,$A102,RawData!Z:Z)</f>
        <v>0</v>
      </c>
      <c r="W102">
        <f>SUMIF(RawData!$C:$C,$A102,RawData!AA:AA)</f>
        <v>0</v>
      </c>
      <c r="X102">
        <f>SUMIF(RawData!$C:$C,$A102,RawData!AB:AB)</f>
        <v>0</v>
      </c>
      <c r="Y102">
        <f>SUMIF(RawData!$C:$C,$A102,RawData!AC:AC)</f>
        <v>0</v>
      </c>
      <c r="Z102">
        <f>SUMIF(RawData!$C:$C,$A102,RawData!AD:AD)</f>
        <v>0</v>
      </c>
      <c r="AA102">
        <f>SUMIF(RawData!$C:$C,$A102,RawData!AE:AE)</f>
        <v>0</v>
      </c>
      <c r="AB102">
        <f>SUMIF(RawData!$C:$C,$A102,RawData!AF:AF)</f>
        <v>0</v>
      </c>
      <c r="AC102">
        <f>SUMIF(RawData!$C:$C,$A102,RawData!AG:AG)</f>
        <v>0</v>
      </c>
      <c r="AD102">
        <f>SUMIF(RawData!$C:$C,$A102,RawData!AH:AH)</f>
        <v>0</v>
      </c>
      <c r="AE102">
        <f>SUMIF(RawData!$C:$C,$A102,RawData!AI:AI)</f>
        <v>0</v>
      </c>
      <c r="AF102">
        <f>SUMIF(RawData!$C:$C,$A102,RawData!AJ:AJ)</f>
        <v>0</v>
      </c>
      <c r="AG102">
        <f>SUMIF(RawData!$C:$C,$A102,RawData!AK:AK)</f>
        <v>0</v>
      </c>
      <c r="AH102">
        <f>SUMIF(RawData!$C:$C,$A102,RawData!AL:AL)</f>
        <v>0</v>
      </c>
      <c r="AI102">
        <f>SUMIF(RawData!$C:$C,$A102,RawData!AM:AM)</f>
        <v>0</v>
      </c>
      <c r="AJ102">
        <f>SUMIF(RawData!$C:$C,$A102,RawData!AN:AN)</f>
        <v>0</v>
      </c>
      <c r="AK102">
        <f>SUMIF(RawData!$C:$C,$A102,RawData!AO:AO)</f>
        <v>0</v>
      </c>
      <c r="AL102">
        <f>SUMIF(RawData!$C:$C,$A102,RawData!AP:AP)</f>
        <v>0</v>
      </c>
      <c r="AM102">
        <f>SUMIF(RawData!$C:$C,$A102,RawData!AQ:AQ)</f>
        <v>0</v>
      </c>
      <c r="AN102">
        <f>SUMIF(RawData!$C:$C,$A102,RawData!AR:AR)</f>
        <v>0</v>
      </c>
      <c r="AO102">
        <f>SUMIF(RawData!$C:$C,$A102,RawData!AS:AS)</f>
        <v>0</v>
      </c>
      <c r="AP102">
        <f>SUMIF(RawData!$C:$C,$A102,RawData!AT:AT)</f>
        <v>0</v>
      </c>
      <c r="AQ102">
        <f>SUMIF(RawData!$C:$C,$A102,RawData!AU:AU)</f>
        <v>1</v>
      </c>
      <c r="AR102">
        <f>SUMIF(RawData!$C:$C,$A102,RawData!AV:AV)</f>
        <v>1</v>
      </c>
      <c r="AS102">
        <f>SUMIF(RawData!$C:$C,$A102,RawData!AW:AW)</f>
        <v>1</v>
      </c>
      <c r="AT102">
        <f>SUMIF(RawData!$C:$C,$A102,RawData!AX:AX)</f>
        <v>1</v>
      </c>
      <c r="AU102">
        <f>SUMIF(RawData!$C:$C,$A102,RawData!AY:AY)</f>
        <v>1</v>
      </c>
      <c r="AV102">
        <f>SUMIF(RawData!$C:$C,$A102,RawData!AZ:AZ)</f>
        <v>1</v>
      </c>
      <c r="AW102">
        <f>SUMIF(RawData!$C:$C,$A102,RawData!BA:BA)</f>
        <v>1</v>
      </c>
      <c r="AX102">
        <f>SUMIF(RawData!$C:$C,$A102,RawData!BB:BB)</f>
        <v>1</v>
      </c>
      <c r="AY102">
        <f>SUMIF(RawData!$C:$C,$A102,RawData!BC:BC)</f>
        <v>1</v>
      </c>
      <c r="AZ102">
        <f>SUMIF(RawData!$C:$C,$A102,RawData!BD:BD)</f>
        <v>1</v>
      </c>
      <c r="BA102">
        <f>SUMIF(RawData!$C:$C,$A102,RawData!BE:BE)</f>
        <v>3</v>
      </c>
      <c r="BB102">
        <f>SUMIF(RawData!$C:$C,$A102,RawData!BF:BF)</f>
        <v>3</v>
      </c>
      <c r="BC102">
        <f>SUMIF(RawData!$C:$C,$A102,RawData!BG:BG)</f>
        <v>3</v>
      </c>
      <c r="BD102">
        <f>SUMIF(RawData!$C:$C,$A102,RawData!BH:BH)</f>
        <v>7</v>
      </c>
      <c r="BE102">
        <f>SUMIF(RawData!$C:$C,$A102,RawData!BI:BI)</f>
        <v>0</v>
      </c>
      <c r="BF102">
        <f>SUMIF(RawData!$C:$C,$A102,RawData!BJ:BJ)</f>
        <v>0</v>
      </c>
      <c r="BG102">
        <f>SUMIF(RawData!$C:$C,$A102,RawData!BK:BK)</f>
        <v>0</v>
      </c>
      <c r="BH102">
        <f>SUMIF(RawData!$C:$C,$A102,RawData!BL:BL)</f>
        <v>0</v>
      </c>
      <c r="BI102">
        <f>SUMIF(RawData!$C:$C,$A102,RawData!BM:BM)</f>
        <v>0</v>
      </c>
      <c r="BJ102">
        <f>SUMIF(RawData!$C:$C,$A102,RawData!BN:BN)</f>
        <v>0</v>
      </c>
      <c r="BK102">
        <f>SUMIF(RawData!$C:$C,$A102,RawData!BO:BO)</f>
        <v>0</v>
      </c>
      <c r="BL102">
        <f>SUMIF(RawData!$C:$C,$A102,RawData!BP:BP)</f>
        <v>0</v>
      </c>
      <c r="BM102">
        <f>SUMIF(RawData!$C:$C,$A102,RawData!BQ:BQ)</f>
        <v>0</v>
      </c>
      <c r="BN102">
        <f>SUMIF(RawData!$C:$C,$A102,RawData!BR:BR)</f>
        <v>0</v>
      </c>
      <c r="BO102">
        <f>SUMIF(RawData!$C:$C,$A102,RawData!BS:BS)</f>
        <v>0</v>
      </c>
      <c r="BP102">
        <f>SUMIF(RawData!$C:$C,$A102,RawData!BT:BT)</f>
        <v>0</v>
      </c>
      <c r="BQ102">
        <f>SUMIF(RawData!$C:$C,$A102,RawData!BU:BU)</f>
        <v>0</v>
      </c>
      <c r="BR102">
        <f>SUMIF(RawData!$C:$C,$A102,RawData!BV:BV)</f>
        <v>0</v>
      </c>
      <c r="BS102">
        <f>SUMIF(RawData!$C:$C,$A102,RawData!BW:BW)</f>
        <v>0</v>
      </c>
      <c r="BT102">
        <f>SUMIF(RawData!$C:$C,$A102,RawData!BX:BX)</f>
        <v>0</v>
      </c>
    </row>
    <row r="103" spans="1:72" ht="15" thickBot="1" x14ac:dyDescent="0.35">
      <c r="A103" s="4" t="s">
        <v>450</v>
      </c>
      <c r="B103">
        <f>SUMIF(RawData!$C:$C,$A103,RawData!F:F)</f>
        <v>0</v>
      </c>
      <c r="C103">
        <f>SUMIF(RawData!$C:$C,$A103,RawData!G:G)</f>
        <v>0</v>
      </c>
      <c r="D103">
        <f>SUMIF(RawData!$C:$C,$A103,RawData!H:H)</f>
        <v>0</v>
      </c>
      <c r="E103">
        <f>SUMIF(RawData!$C:$C,$A103,RawData!I:I)</f>
        <v>0</v>
      </c>
      <c r="F103">
        <f>SUMIF(RawData!$C:$C,$A103,RawData!J:J)</f>
        <v>0</v>
      </c>
      <c r="G103">
        <f>SUMIF(RawData!$C:$C,$A103,RawData!K:K)</f>
        <v>0</v>
      </c>
      <c r="H103">
        <f>SUMIF(RawData!$C:$C,$A103,RawData!L:L)</f>
        <v>0</v>
      </c>
      <c r="I103">
        <f>SUMIF(RawData!$C:$C,$A103,RawData!M:M)</f>
        <v>0</v>
      </c>
      <c r="J103">
        <f>SUMIF(RawData!$C:$C,$A103,RawData!N:N)</f>
        <v>0</v>
      </c>
      <c r="K103">
        <f>SUMIF(RawData!$C:$C,$A103,RawData!O:O)</f>
        <v>0</v>
      </c>
      <c r="L103">
        <f>SUMIF(RawData!$C:$C,$A103,RawData!P:P)</f>
        <v>0</v>
      </c>
      <c r="M103">
        <f>SUMIF(RawData!$C:$C,$A103,RawData!Q:Q)</f>
        <v>0</v>
      </c>
      <c r="N103">
        <f>SUMIF(RawData!$C:$C,$A103,RawData!R:R)</f>
        <v>0</v>
      </c>
      <c r="O103">
        <f>SUMIF(RawData!$C:$C,$A103,RawData!S:S)</f>
        <v>0</v>
      </c>
      <c r="P103">
        <f>SUMIF(RawData!$C:$C,$A103,RawData!T:T)</f>
        <v>0</v>
      </c>
      <c r="Q103">
        <f>SUMIF(RawData!$C:$C,$A103,RawData!U:U)</f>
        <v>0</v>
      </c>
      <c r="R103">
        <f>SUMIF(RawData!$C:$C,$A103,RawData!V:V)</f>
        <v>0</v>
      </c>
      <c r="S103">
        <f>SUMIF(RawData!$C:$C,$A103,RawData!W:W)</f>
        <v>0</v>
      </c>
      <c r="T103">
        <f>SUMIF(RawData!$C:$C,$A103,RawData!X:X)</f>
        <v>0</v>
      </c>
      <c r="U103">
        <f>SUMIF(RawData!$C:$C,$A103,RawData!Y:Y)</f>
        <v>0</v>
      </c>
      <c r="V103">
        <f>SUMIF(RawData!$C:$C,$A103,RawData!Z:Z)</f>
        <v>0</v>
      </c>
      <c r="W103">
        <f>SUMIF(RawData!$C:$C,$A103,RawData!AA:AA)</f>
        <v>0</v>
      </c>
      <c r="X103">
        <f>SUMIF(RawData!$C:$C,$A103,RawData!AB:AB)</f>
        <v>0</v>
      </c>
      <c r="Y103">
        <f>SUMIF(RawData!$C:$C,$A103,RawData!AC:AC)</f>
        <v>0</v>
      </c>
      <c r="Z103">
        <f>SUMIF(RawData!$C:$C,$A103,RawData!AD:AD)</f>
        <v>0</v>
      </c>
      <c r="AA103">
        <f>SUMIF(RawData!$C:$C,$A103,RawData!AE:AE)</f>
        <v>0</v>
      </c>
      <c r="AB103">
        <f>SUMIF(RawData!$C:$C,$A103,RawData!AF:AF)</f>
        <v>0</v>
      </c>
      <c r="AC103">
        <f>SUMIF(RawData!$C:$C,$A103,RawData!AG:AG)</f>
        <v>0</v>
      </c>
      <c r="AD103">
        <f>SUMIF(RawData!$C:$C,$A103,RawData!AH:AH)</f>
        <v>0</v>
      </c>
      <c r="AE103">
        <f>SUMIF(RawData!$C:$C,$A103,RawData!AI:AI)</f>
        <v>0</v>
      </c>
      <c r="AF103">
        <f>SUMIF(RawData!$C:$C,$A103,RawData!AJ:AJ)</f>
        <v>0</v>
      </c>
      <c r="AG103">
        <f>SUMIF(RawData!$C:$C,$A103,RawData!AK:AK)</f>
        <v>0</v>
      </c>
      <c r="AH103">
        <f>SUMIF(RawData!$C:$C,$A103,RawData!AL:AL)</f>
        <v>0</v>
      </c>
      <c r="AI103">
        <f>SUMIF(RawData!$C:$C,$A103,RawData!AM:AM)</f>
        <v>0</v>
      </c>
      <c r="AJ103">
        <f>SUMIF(RawData!$C:$C,$A103,RawData!AN:AN)</f>
        <v>0</v>
      </c>
      <c r="AK103">
        <f>SUMIF(RawData!$C:$C,$A103,RawData!AO:AO)</f>
        <v>0</v>
      </c>
      <c r="AL103">
        <f>SUMIF(RawData!$C:$C,$A103,RawData!AP:AP)</f>
        <v>0</v>
      </c>
      <c r="AM103">
        <f>SUMIF(RawData!$C:$C,$A103,RawData!AQ:AQ)</f>
        <v>0</v>
      </c>
      <c r="AN103">
        <f>SUMIF(RawData!$C:$C,$A103,RawData!AR:AR)</f>
        <v>0</v>
      </c>
      <c r="AO103">
        <f>SUMIF(RawData!$C:$C,$A103,RawData!AS:AS)</f>
        <v>0</v>
      </c>
      <c r="AP103">
        <f>SUMIF(RawData!$C:$C,$A103,RawData!AT:AT)</f>
        <v>0</v>
      </c>
      <c r="AQ103">
        <f>SUMIF(RawData!$C:$C,$A103,RawData!AU:AU)</f>
        <v>0</v>
      </c>
      <c r="AR103">
        <f>SUMIF(RawData!$C:$C,$A103,RawData!AV:AV)</f>
        <v>0</v>
      </c>
      <c r="AS103">
        <f>SUMIF(RawData!$C:$C,$A103,RawData!AW:AW)</f>
        <v>0</v>
      </c>
      <c r="AT103">
        <f>SUMIF(RawData!$C:$C,$A103,RawData!AX:AX)</f>
        <v>0</v>
      </c>
      <c r="AU103">
        <f>SUMIF(RawData!$C:$C,$A103,RawData!AY:AY)</f>
        <v>0</v>
      </c>
      <c r="AV103">
        <f>SUMIF(RawData!$C:$C,$A103,RawData!AZ:AZ)</f>
        <v>0</v>
      </c>
      <c r="AW103">
        <f>SUMIF(RawData!$C:$C,$A103,RawData!BA:BA)</f>
        <v>0</v>
      </c>
      <c r="AX103">
        <f>SUMIF(RawData!$C:$C,$A103,RawData!BB:BB)</f>
        <v>0</v>
      </c>
      <c r="AY103">
        <f>SUMIF(RawData!$C:$C,$A103,RawData!BC:BC)</f>
        <v>0</v>
      </c>
      <c r="AZ103">
        <f>SUMIF(RawData!$C:$C,$A103,RawData!BD:BD)</f>
        <v>0</v>
      </c>
      <c r="BA103">
        <f>SUMIF(RawData!$C:$C,$A103,RawData!BE:BE)</f>
        <v>2</v>
      </c>
      <c r="BB103">
        <f>SUMIF(RawData!$C:$C,$A103,RawData!BF:BF)</f>
        <v>2</v>
      </c>
      <c r="BC103">
        <f>SUMIF(RawData!$C:$C,$A103,RawData!BG:BG)</f>
        <v>2</v>
      </c>
      <c r="BD103">
        <f>SUMIF(RawData!$C:$C,$A103,RawData!BH:BH)</f>
        <v>2</v>
      </c>
      <c r="BE103">
        <f>SUMIF(RawData!$C:$C,$A103,RawData!BI:BI)</f>
        <v>0</v>
      </c>
      <c r="BF103">
        <f>SUMIF(RawData!$C:$C,$A103,RawData!BJ:BJ)</f>
        <v>0</v>
      </c>
      <c r="BG103">
        <f>SUMIF(RawData!$C:$C,$A103,RawData!BK:BK)</f>
        <v>0</v>
      </c>
      <c r="BH103">
        <f>SUMIF(RawData!$C:$C,$A103,RawData!BL:BL)</f>
        <v>0</v>
      </c>
      <c r="BI103">
        <f>SUMIF(RawData!$C:$C,$A103,RawData!BM:BM)</f>
        <v>0</v>
      </c>
      <c r="BJ103">
        <f>SUMIF(RawData!$C:$C,$A103,RawData!BN:BN)</f>
        <v>0</v>
      </c>
      <c r="BK103">
        <f>SUMIF(RawData!$C:$C,$A103,RawData!BO:BO)</f>
        <v>0</v>
      </c>
      <c r="BL103">
        <f>SUMIF(RawData!$C:$C,$A103,RawData!BP:BP)</f>
        <v>0</v>
      </c>
      <c r="BM103">
        <f>SUMIF(RawData!$C:$C,$A103,RawData!BQ:BQ)</f>
        <v>0</v>
      </c>
      <c r="BN103">
        <f>SUMIF(RawData!$C:$C,$A103,RawData!BR:BR)</f>
        <v>0</v>
      </c>
      <c r="BO103">
        <f>SUMIF(RawData!$C:$C,$A103,RawData!BS:BS)</f>
        <v>0</v>
      </c>
      <c r="BP103">
        <f>SUMIF(RawData!$C:$C,$A103,RawData!BT:BT)</f>
        <v>0</v>
      </c>
      <c r="BQ103">
        <f>SUMIF(RawData!$C:$C,$A103,RawData!BU:BU)</f>
        <v>0</v>
      </c>
      <c r="BR103">
        <f>SUMIF(RawData!$C:$C,$A103,RawData!BV:BV)</f>
        <v>0</v>
      </c>
      <c r="BS103">
        <f>SUMIF(RawData!$C:$C,$A103,RawData!BW:BW)</f>
        <v>0</v>
      </c>
      <c r="BT103">
        <f>SUMIF(RawData!$C:$C,$A103,RawData!BX:BX)</f>
        <v>0</v>
      </c>
    </row>
    <row r="104" spans="1:72" ht="15" thickBot="1" x14ac:dyDescent="0.35">
      <c r="A104" s="5" t="s">
        <v>306</v>
      </c>
      <c r="B104">
        <f>SUMIF(RawData!$C:$C,$A104,RawData!F:F)</f>
        <v>0</v>
      </c>
      <c r="C104">
        <f>SUMIF(RawData!$C:$C,$A104,RawData!G:G)</f>
        <v>0</v>
      </c>
      <c r="D104">
        <f>SUMIF(RawData!$C:$C,$A104,RawData!H:H)</f>
        <v>0</v>
      </c>
      <c r="E104">
        <f>SUMIF(RawData!$C:$C,$A104,RawData!I:I)</f>
        <v>0</v>
      </c>
      <c r="F104">
        <f>SUMIF(RawData!$C:$C,$A104,RawData!J:J)</f>
        <v>0</v>
      </c>
      <c r="G104">
        <f>SUMIF(RawData!$C:$C,$A104,RawData!K:K)</f>
        <v>0</v>
      </c>
      <c r="H104">
        <f>SUMIF(RawData!$C:$C,$A104,RawData!L:L)</f>
        <v>0</v>
      </c>
      <c r="I104">
        <f>SUMIF(RawData!$C:$C,$A104,RawData!M:M)</f>
        <v>0</v>
      </c>
      <c r="J104">
        <f>SUMIF(RawData!$C:$C,$A104,RawData!N:N)</f>
        <v>0</v>
      </c>
      <c r="K104">
        <f>SUMIF(RawData!$C:$C,$A104,RawData!O:O)</f>
        <v>0</v>
      </c>
      <c r="L104">
        <f>SUMIF(RawData!$C:$C,$A104,RawData!P:P)</f>
        <v>0</v>
      </c>
      <c r="M104">
        <f>SUMIF(RawData!$C:$C,$A104,RawData!Q:Q)</f>
        <v>0</v>
      </c>
      <c r="N104">
        <f>SUMIF(RawData!$C:$C,$A104,RawData!R:R)</f>
        <v>0</v>
      </c>
      <c r="O104">
        <f>SUMIF(RawData!$C:$C,$A104,RawData!S:S)</f>
        <v>0</v>
      </c>
      <c r="P104">
        <f>SUMIF(RawData!$C:$C,$A104,RawData!T:T)</f>
        <v>0</v>
      </c>
      <c r="Q104">
        <f>SUMIF(RawData!$C:$C,$A104,RawData!U:U)</f>
        <v>0</v>
      </c>
      <c r="R104">
        <f>SUMIF(RawData!$C:$C,$A104,RawData!V:V)</f>
        <v>0</v>
      </c>
      <c r="S104">
        <f>SUMIF(RawData!$C:$C,$A104,RawData!W:W)</f>
        <v>0</v>
      </c>
      <c r="T104">
        <f>SUMIF(RawData!$C:$C,$A104,RawData!X:X)</f>
        <v>0</v>
      </c>
      <c r="U104">
        <f>SUMIF(RawData!$C:$C,$A104,RawData!Y:Y)</f>
        <v>0</v>
      </c>
      <c r="V104">
        <f>SUMIF(RawData!$C:$C,$A104,RawData!Z:Z)</f>
        <v>0</v>
      </c>
      <c r="W104">
        <f>SUMIF(RawData!$C:$C,$A104,RawData!AA:AA)</f>
        <v>0</v>
      </c>
      <c r="X104">
        <f>SUMIF(RawData!$C:$C,$A104,RawData!AB:AB)</f>
        <v>0</v>
      </c>
      <c r="Y104">
        <f>SUMIF(RawData!$C:$C,$A104,RawData!AC:AC)</f>
        <v>0</v>
      </c>
      <c r="Z104">
        <f>SUMIF(RawData!$C:$C,$A104,RawData!AD:AD)</f>
        <v>0</v>
      </c>
      <c r="AA104">
        <f>SUMIF(RawData!$C:$C,$A104,RawData!AE:AE)</f>
        <v>0</v>
      </c>
      <c r="AB104">
        <f>SUMIF(RawData!$C:$C,$A104,RawData!AF:AF)</f>
        <v>0</v>
      </c>
      <c r="AC104">
        <f>SUMIF(RawData!$C:$C,$A104,RawData!AG:AG)</f>
        <v>0</v>
      </c>
      <c r="AD104">
        <f>SUMIF(RawData!$C:$C,$A104,RawData!AH:AH)</f>
        <v>0</v>
      </c>
      <c r="AE104">
        <f>SUMIF(RawData!$C:$C,$A104,RawData!AI:AI)</f>
        <v>0</v>
      </c>
      <c r="AF104">
        <f>SUMIF(RawData!$C:$C,$A104,RawData!AJ:AJ)</f>
        <v>0</v>
      </c>
      <c r="AG104">
        <f>SUMIF(RawData!$C:$C,$A104,RawData!AK:AK)</f>
        <v>0</v>
      </c>
      <c r="AH104">
        <f>SUMIF(RawData!$C:$C,$A104,RawData!AL:AL)</f>
        <v>0</v>
      </c>
      <c r="AI104">
        <f>SUMIF(RawData!$C:$C,$A104,RawData!AM:AM)</f>
        <v>0</v>
      </c>
      <c r="AJ104">
        <f>SUMIF(RawData!$C:$C,$A104,RawData!AN:AN)</f>
        <v>0</v>
      </c>
      <c r="AK104">
        <f>SUMIF(RawData!$C:$C,$A104,RawData!AO:AO)</f>
        <v>0</v>
      </c>
      <c r="AL104">
        <f>SUMIF(RawData!$C:$C,$A104,RawData!AP:AP)</f>
        <v>0</v>
      </c>
      <c r="AM104">
        <f>SUMIF(RawData!$C:$C,$A104,RawData!AQ:AQ)</f>
        <v>0</v>
      </c>
      <c r="AN104">
        <f>SUMIF(RawData!$C:$C,$A104,RawData!AR:AR)</f>
        <v>0</v>
      </c>
      <c r="AO104">
        <f>SUMIF(RawData!$C:$C,$A104,RawData!AS:AS)</f>
        <v>0</v>
      </c>
      <c r="AP104">
        <f>SUMIF(RawData!$C:$C,$A104,RawData!AT:AT)</f>
        <v>0</v>
      </c>
      <c r="AQ104">
        <f>SUMIF(RawData!$C:$C,$A104,RawData!AU:AU)</f>
        <v>0</v>
      </c>
      <c r="AR104">
        <f>SUMIF(RawData!$C:$C,$A104,RawData!AV:AV)</f>
        <v>0</v>
      </c>
      <c r="AS104">
        <f>SUMIF(RawData!$C:$C,$A104,RawData!AW:AW)</f>
        <v>0</v>
      </c>
      <c r="AT104">
        <f>SUMIF(RawData!$C:$C,$A104,RawData!AX:AX)</f>
        <v>0</v>
      </c>
      <c r="AU104">
        <f>SUMIF(RawData!$C:$C,$A104,RawData!AY:AY)</f>
        <v>0</v>
      </c>
      <c r="AV104">
        <f>SUMIF(RawData!$C:$C,$A104,RawData!AZ:AZ)</f>
        <v>0</v>
      </c>
      <c r="AW104">
        <f>SUMIF(RawData!$C:$C,$A104,RawData!BA:BA)</f>
        <v>0</v>
      </c>
      <c r="AX104">
        <f>SUMIF(RawData!$C:$C,$A104,RawData!BB:BB)</f>
        <v>1</v>
      </c>
      <c r="AY104">
        <f>SUMIF(RawData!$C:$C,$A104,RawData!BC:BC)</f>
        <v>2</v>
      </c>
      <c r="AZ104">
        <f>SUMIF(RawData!$C:$C,$A104,RawData!BD:BD)</f>
        <v>2</v>
      </c>
      <c r="BA104">
        <f>SUMIF(RawData!$C:$C,$A104,RawData!BE:BE)</f>
        <v>2</v>
      </c>
      <c r="BB104">
        <f>SUMIF(RawData!$C:$C,$A104,RawData!BF:BF)</f>
        <v>2</v>
      </c>
      <c r="BC104">
        <f>SUMIF(RawData!$C:$C,$A104,RawData!BG:BG)</f>
        <v>3</v>
      </c>
      <c r="BD104">
        <f>SUMIF(RawData!$C:$C,$A104,RawData!BH:BH)</f>
        <v>15</v>
      </c>
      <c r="BE104">
        <f>SUMIF(RawData!$C:$C,$A104,RawData!BI:BI)</f>
        <v>0</v>
      </c>
      <c r="BF104">
        <f>SUMIF(RawData!$C:$C,$A104,RawData!BJ:BJ)</f>
        <v>0</v>
      </c>
      <c r="BG104">
        <f>SUMIF(RawData!$C:$C,$A104,RawData!BK:BK)</f>
        <v>0</v>
      </c>
      <c r="BH104">
        <f>SUMIF(RawData!$C:$C,$A104,RawData!BL:BL)</f>
        <v>0</v>
      </c>
      <c r="BI104">
        <f>SUMIF(RawData!$C:$C,$A104,RawData!BM:BM)</f>
        <v>0</v>
      </c>
      <c r="BJ104">
        <f>SUMIF(RawData!$C:$C,$A104,RawData!BN:BN)</f>
        <v>0</v>
      </c>
      <c r="BK104">
        <f>SUMIF(RawData!$C:$C,$A104,RawData!BO:BO)</f>
        <v>0</v>
      </c>
      <c r="BL104">
        <f>SUMIF(RawData!$C:$C,$A104,RawData!BP:BP)</f>
        <v>0</v>
      </c>
      <c r="BM104">
        <f>SUMIF(RawData!$C:$C,$A104,RawData!BQ:BQ)</f>
        <v>0</v>
      </c>
      <c r="BN104">
        <f>SUMIF(RawData!$C:$C,$A104,RawData!BR:BR)</f>
        <v>0</v>
      </c>
      <c r="BO104">
        <f>SUMIF(RawData!$C:$C,$A104,RawData!BS:BS)</f>
        <v>0</v>
      </c>
      <c r="BP104">
        <f>SUMIF(RawData!$C:$C,$A104,RawData!BT:BT)</f>
        <v>0</v>
      </c>
      <c r="BQ104">
        <f>SUMIF(RawData!$C:$C,$A104,RawData!BU:BU)</f>
        <v>0</v>
      </c>
      <c r="BR104">
        <f>SUMIF(RawData!$C:$C,$A104,RawData!BV:BV)</f>
        <v>0</v>
      </c>
      <c r="BS104">
        <f>SUMIF(RawData!$C:$C,$A104,RawData!BW:BW)</f>
        <v>0</v>
      </c>
      <c r="BT104">
        <f>SUMIF(RawData!$C:$C,$A104,RawData!BX:BX)</f>
        <v>0</v>
      </c>
    </row>
    <row r="105" spans="1:72" ht="15" thickBot="1" x14ac:dyDescent="0.35">
      <c r="A105" s="4" t="s">
        <v>184</v>
      </c>
      <c r="B105">
        <f>SUMIF(RawData!$C:$C,$A105,RawData!F:F)</f>
        <v>0</v>
      </c>
      <c r="C105">
        <f>SUMIF(RawData!$C:$C,$A105,RawData!G:G)</f>
        <v>0</v>
      </c>
      <c r="D105">
        <f>SUMIF(RawData!$C:$C,$A105,RawData!H:H)</f>
        <v>0</v>
      </c>
      <c r="E105">
        <f>SUMIF(RawData!$C:$C,$A105,RawData!I:I)</f>
        <v>0</v>
      </c>
      <c r="F105">
        <f>SUMIF(RawData!$C:$C,$A105,RawData!J:J)</f>
        <v>0</v>
      </c>
      <c r="G105">
        <f>SUMIF(RawData!$C:$C,$A105,RawData!K:K)</f>
        <v>0</v>
      </c>
      <c r="H105">
        <f>SUMIF(RawData!$C:$C,$A105,RawData!L:L)</f>
        <v>0</v>
      </c>
      <c r="I105">
        <f>SUMIF(RawData!$C:$C,$A105,RawData!M:M)</f>
        <v>0</v>
      </c>
      <c r="J105">
        <f>SUMIF(RawData!$C:$C,$A105,RawData!N:N)</f>
        <v>0</v>
      </c>
      <c r="K105">
        <f>SUMIF(RawData!$C:$C,$A105,RawData!O:O)</f>
        <v>0</v>
      </c>
      <c r="L105">
        <f>SUMIF(RawData!$C:$C,$A105,RawData!P:P)</f>
        <v>0</v>
      </c>
      <c r="M105">
        <f>SUMIF(RawData!$C:$C,$A105,RawData!Q:Q)</f>
        <v>0</v>
      </c>
      <c r="N105">
        <f>SUMIF(RawData!$C:$C,$A105,RawData!R:R)</f>
        <v>0</v>
      </c>
      <c r="O105">
        <f>SUMIF(RawData!$C:$C,$A105,RawData!S:S)</f>
        <v>0</v>
      </c>
      <c r="P105">
        <f>SUMIF(RawData!$C:$C,$A105,RawData!T:T)</f>
        <v>0</v>
      </c>
      <c r="Q105">
        <f>SUMIF(RawData!$C:$C,$A105,RawData!U:U)</f>
        <v>0</v>
      </c>
      <c r="R105">
        <f>SUMIF(RawData!$C:$C,$A105,RawData!V:V)</f>
        <v>0</v>
      </c>
      <c r="S105">
        <f>SUMIF(RawData!$C:$C,$A105,RawData!W:W)</f>
        <v>0</v>
      </c>
      <c r="T105">
        <f>SUMIF(RawData!$C:$C,$A105,RawData!X:X)</f>
        <v>0</v>
      </c>
      <c r="U105">
        <f>SUMIF(RawData!$C:$C,$A105,RawData!Y:Y)</f>
        <v>0</v>
      </c>
      <c r="V105">
        <f>SUMIF(RawData!$C:$C,$A105,RawData!Z:Z)</f>
        <v>0</v>
      </c>
      <c r="W105">
        <f>SUMIF(RawData!$C:$C,$A105,RawData!AA:AA)</f>
        <v>0</v>
      </c>
      <c r="X105">
        <f>SUMIF(RawData!$C:$C,$A105,RawData!AB:AB)</f>
        <v>0</v>
      </c>
      <c r="Y105">
        <f>SUMIF(RawData!$C:$C,$A105,RawData!AC:AC)</f>
        <v>0</v>
      </c>
      <c r="Z105">
        <f>SUMIF(RawData!$C:$C,$A105,RawData!AD:AD)</f>
        <v>0</v>
      </c>
      <c r="AA105">
        <f>SUMIF(RawData!$C:$C,$A105,RawData!AE:AE)</f>
        <v>0</v>
      </c>
      <c r="AB105">
        <f>SUMIF(RawData!$C:$C,$A105,RawData!AF:AF)</f>
        <v>0</v>
      </c>
      <c r="AC105">
        <f>SUMIF(RawData!$C:$C,$A105,RawData!AG:AG)</f>
        <v>0</v>
      </c>
      <c r="AD105">
        <f>SUMIF(RawData!$C:$C,$A105,RawData!AH:AH)</f>
        <v>0</v>
      </c>
      <c r="AE105">
        <f>SUMIF(RawData!$C:$C,$A105,RawData!AI:AI)</f>
        <v>0</v>
      </c>
      <c r="AF105">
        <f>SUMIF(RawData!$C:$C,$A105,RawData!AJ:AJ)</f>
        <v>0</v>
      </c>
      <c r="AG105">
        <f>SUMIF(RawData!$C:$C,$A105,RawData!AK:AK)</f>
        <v>0</v>
      </c>
      <c r="AH105">
        <f>SUMIF(RawData!$C:$C,$A105,RawData!AL:AL)</f>
        <v>0</v>
      </c>
      <c r="AI105">
        <f>SUMIF(RawData!$C:$C,$A105,RawData!AM:AM)</f>
        <v>0</v>
      </c>
      <c r="AJ105">
        <f>SUMIF(RawData!$C:$C,$A105,RawData!AN:AN)</f>
        <v>0</v>
      </c>
      <c r="AK105">
        <f>SUMIF(RawData!$C:$C,$A105,RawData!AO:AO)</f>
        <v>0</v>
      </c>
      <c r="AL105">
        <f>SUMIF(RawData!$C:$C,$A105,RawData!AP:AP)</f>
        <v>0</v>
      </c>
      <c r="AM105">
        <f>SUMIF(RawData!$C:$C,$A105,RawData!AQ:AQ)</f>
        <v>0</v>
      </c>
      <c r="AN105">
        <f>SUMIF(RawData!$C:$C,$A105,RawData!AR:AR)</f>
        <v>0</v>
      </c>
      <c r="AO105">
        <f>SUMIF(RawData!$C:$C,$A105,RawData!AS:AS)</f>
        <v>0</v>
      </c>
      <c r="AP105">
        <f>SUMIF(RawData!$C:$C,$A105,RawData!AT:AT)</f>
        <v>0</v>
      </c>
      <c r="AQ105">
        <f>SUMIF(RawData!$C:$C,$A105,RawData!AU:AU)</f>
        <v>0</v>
      </c>
      <c r="AR105">
        <f>SUMIF(RawData!$C:$C,$A105,RawData!AV:AV)</f>
        <v>0</v>
      </c>
      <c r="AS105">
        <f>SUMIF(RawData!$C:$C,$A105,RawData!AW:AW)</f>
        <v>0</v>
      </c>
      <c r="AT105">
        <f>SUMIF(RawData!$C:$C,$A105,RawData!AX:AX)</f>
        <v>1</v>
      </c>
      <c r="AU105">
        <f>SUMIF(RawData!$C:$C,$A105,RawData!AY:AY)</f>
        <v>1</v>
      </c>
      <c r="AV105">
        <f>SUMIF(RawData!$C:$C,$A105,RawData!AZ:AZ)</f>
        <v>2</v>
      </c>
      <c r="AW105">
        <f>SUMIF(RawData!$C:$C,$A105,RawData!BA:BA)</f>
        <v>2</v>
      </c>
      <c r="AX105">
        <f>SUMIF(RawData!$C:$C,$A105,RawData!BB:BB)</f>
        <v>2</v>
      </c>
      <c r="AY105">
        <f>SUMIF(RawData!$C:$C,$A105,RawData!BC:BC)</f>
        <v>2</v>
      </c>
      <c r="AZ105">
        <f>SUMIF(RawData!$C:$C,$A105,RawData!BD:BD)</f>
        <v>2</v>
      </c>
      <c r="BA105">
        <f>SUMIF(RawData!$C:$C,$A105,RawData!BE:BE)</f>
        <v>2</v>
      </c>
      <c r="BB105">
        <f>SUMIF(RawData!$C:$C,$A105,RawData!BF:BF)</f>
        <v>2</v>
      </c>
      <c r="BC105">
        <f>SUMIF(RawData!$C:$C,$A105,RawData!BG:BG)</f>
        <v>2</v>
      </c>
      <c r="BD105">
        <f>SUMIF(RawData!$C:$C,$A105,RawData!BH:BH)</f>
        <v>4</v>
      </c>
      <c r="BE105">
        <f>SUMIF(RawData!$C:$C,$A105,RawData!BI:BI)</f>
        <v>0</v>
      </c>
      <c r="BF105">
        <f>SUMIF(RawData!$C:$C,$A105,RawData!BJ:BJ)</f>
        <v>0</v>
      </c>
      <c r="BG105">
        <f>SUMIF(RawData!$C:$C,$A105,RawData!BK:BK)</f>
        <v>0</v>
      </c>
      <c r="BH105">
        <f>SUMIF(RawData!$C:$C,$A105,RawData!BL:BL)</f>
        <v>0</v>
      </c>
      <c r="BI105">
        <f>SUMIF(RawData!$C:$C,$A105,RawData!BM:BM)</f>
        <v>0</v>
      </c>
      <c r="BJ105">
        <f>SUMIF(RawData!$C:$C,$A105,RawData!BN:BN)</f>
        <v>0</v>
      </c>
      <c r="BK105">
        <f>SUMIF(RawData!$C:$C,$A105,RawData!BO:BO)</f>
        <v>0</v>
      </c>
      <c r="BL105">
        <f>SUMIF(RawData!$C:$C,$A105,RawData!BP:BP)</f>
        <v>0</v>
      </c>
      <c r="BM105">
        <f>SUMIF(RawData!$C:$C,$A105,RawData!BQ:BQ)</f>
        <v>0</v>
      </c>
      <c r="BN105">
        <f>SUMIF(RawData!$C:$C,$A105,RawData!BR:BR)</f>
        <v>0</v>
      </c>
      <c r="BO105">
        <f>SUMIF(RawData!$C:$C,$A105,RawData!BS:BS)</f>
        <v>0</v>
      </c>
      <c r="BP105">
        <f>SUMIF(RawData!$C:$C,$A105,RawData!BT:BT)</f>
        <v>0</v>
      </c>
      <c r="BQ105">
        <f>SUMIF(RawData!$C:$C,$A105,RawData!BU:BU)</f>
        <v>0</v>
      </c>
      <c r="BR105">
        <f>SUMIF(RawData!$C:$C,$A105,RawData!BV:BV)</f>
        <v>0</v>
      </c>
      <c r="BS105">
        <f>SUMIF(RawData!$C:$C,$A105,RawData!BW:BW)</f>
        <v>0</v>
      </c>
      <c r="BT105">
        <f>SUMIF(RawData!$C:$C,$A105,RawData!BX:BX)</f>
        <v>0</v>
      </c>
    </row>
    <row r="106" spans="1:72" ht="15" thickBot="1" x14ac:dyDescent="0.35">
      <c r="A106" s="5" t="s">
        <v>379</v>
      </c>
      <c r="B106">
        <f>SUMIF(RawData!$C:$C,$A106,RawData!F:F)</f>
        <v>0</v>
      </c>
      <c r="C106">
        <f>SUMIF(RawData!$C:$C,$A106,RawData!G:G)</f>
        <v>0</v>
      </c>
      <c r="D106">
        <f>SUMIF(RawData!$C:$C,$A106,RawData!H:H)</f>
        <v>0</v>
      </c>
      <c r="E106">
        <f>SUMIF(RawData!$C:$C,$A106,RawData!I:I)</f>
        <v>0</v>
      </c>
      <c r="F106">
        <f>SUMIF(RawData!$C:$C,$A106,RawData!J:J)</f>
        <v>0</v>
      </c>
      <c r="G106">
        <f>SUMIF(RawData!$C:$C,$A106,RawData!K:K)</f>
        <v>0</v>
      </c>
      <c r="H106">
        <f>SUMIF(RawData!$C:$C,$A106,RawData!L:L)</f>
        <v>0</v>
      </c>
      <c r="I106">
        <f>SUMIF(RawData!$C:$C,$A106,RawData!M:M)</f>
        <v>0</v>
      </c>
      <c r="J106">
        <f>SUMIF(RawData!$C:$C,$A106,RawData!N:N)</f>
        <v>0</v>
      </c>
      <c r="K106">
        <f>SUMIF(RawData!$C:$C,$A106,RawData!O:O)</f>
        <v>0</v>
      </c>
      <c r="L106">
        <f>SUMIF(RawData!$C:$C,$A106,RawData!P:P)</f>
        <v>0</v>
      </c>
      <c r="M106">
        <f>SUMIF(RawData!$C:$C,$A106,RawData!Q:Q)</f>
        <v>0</v>
      </c>
      <c r="N106">
        <f>SUMIF(RawData!$C:$C,$A106,RawData!R:R)</f>
        <v>0</v>
      </c>
      <c r="O106">
        <f>SUMIF(RawData!$C:$C,$A106,RawData!S:S)</f>
        <v>0</v>
      </c>
      <c r="P106">
        <f>SUMIF(RawData!$C:$C,$A106,RawData!T:T)</f>
        <v>0</v>
      </c>
      <c r="Q106">
        <f>SUMIF(RawData!$C:$C,$A106,RawData!U:U)</f>
        <v>0</v>
      </c>
      <c r="R106">
        <f>SUMIF(RawData!$C:$C,$A106,RawData!V:V)</f>
        <v>0</v>
      </c>
      <c r="S106">
        <f>SUMIF(RawData!$C:$C,$A106,RawData!W:W)</f>
        <v>0</v>
      </c>
      <c r="T106">
        <f>SUMIF(RawData!$C:$C,$A106,RawData!X:X)</f>
        <v>0</v>
      </c>
      <c r="U106">
        <f>SUMIF(RawData!$C:$C,$A106,RawData!Y:Y)</f>
        <v>0</v>
      </c>
      <c r="V106">
        <f>SUMIF(RawData!$C:$C,$A106,RawData!Z:Z)</f>
        <v>0</v>
      </c>
      <c r="W106">
        <f>SUMIF(RawData!$C:$C,$A106,RawData!AA:AA)</f>
        <v>0</v>
      </c>
      <c r="X106">
        <f>SUMIF(RawData!$C:$C,$A106,RawData!AB:AB)</f>
        <v>0</v>
      </c>
      <c r="Y106">
        <f>SUMIF(RawData!$C:$C,$A106,RawData!AC:AC)</f>
        <v>0</v>
      </c>
      <c r="Z106">
        <f>SUMIF(RawData!$C:$C,$A106,RawData!AD:AD)</f>
        <v>0</v>
      </c>
      <c r="AA106">
        <f>SUMIF(RawData!$C:$C,$A106,RawData!AE:AE)</f>
        <v>0</v>
      </c>
      <c r="AB106">
        <f>SUMIF(RawData!$C:$C,$A106,RawData!AF:AF)</f>
        <v>0</v>
      </c>
      <c r="AC106">
        <f>SUMIF(RawData!$C:$C,$A106,RawData!AG:AG)</f>
        <v>0</v>
      </c>
      <c r="AD106">
        <f>SUMIF(RawData!$C:$C,$A106,RawData!AH:AH)</f>
        <v>0</v>
      </c>
      <c r="AE106">
        <f>SUMIF(RawData!$C:$C,$A106,RawData!AI:AI)</f>
        <v>0</v>
      </c>
      <c r="AF106">
        <f>SUMIF(RawData!$C:$C,$A106,RawData!AJ:AJ)</f>
        <v>0</v>
      </c>
      <c r="AG106">
        <f>SUMIF(RawData!$C:$C,$A106,RawData!AK:AK)</f>
        <v>0</v>
      </c>
      <c r="AH106">
        <f>SUMIF(RawData!$C:$C,$A106,RawData!AL:AL)</f>
        <v>0</v>
      </c>
      <c r="AI106">
        <f>SUMIF(RawData!$C:$C,$A106,RawData!AM:AM)</f>
        <v>0</v>
      </c>
      <c r="AJ106">
        <f>SUMIF(RawData!$C:$C,$A106,RawData!AN:AN)</f>
        <v>0</v>
      </c>
      <c r="AK106">
        <f>SUMIF(RawData!$C:$C,$A106,RawData!AO:AO)</f>
        <v>0</v>
      </c>
      <c r="AL106">
        <f>SUMIF(RawData!$C:$C,$A106,RawData!AP:AP)</f>
        <v>0</v>
      </c>
      <c r="AM106">
        <f>SUMIF(RawData!$C:$C,$A106,RawData!AQ:AQ)</f>
        <v>0</v>
      </c>
      <c r="AN106">
        <f>SUMIF(RawData!$C:$C,$A106,RawData!AR:AR)</f>
        <v>0</v>
      </c>
      <c r="AO106">
        <f>SUMIF(RawData!$C:$C,$A106,RawData!AS:AS)</f>
        <v>0</v>
      </c>
      <c r="AP106">
        <f>SUMIF(RawData!$C:$C,$A106,RawData!AT:AT)</f>
        <v>0</v>
      </c>
      <c r="AQ106">
        <f>SUMIF(RawData!$C:$C,$A106,RawData!AU:AU)</f>
        <v>0</v>
      </c>
      <c r="AR106">
        <f>SUMIF(RawData!$C:$C,$A106,RawData!AV:AV)</f>
        <v>0</v>
      </c>
      <c r="AS106">
        <f>SUMIF(RawData!$C:$C,$A106,RawData!AW:AW)</f>
        <v>0</v>
      </c>
      <c r="AT106">
        <f>SUMIF(RawData!$C:$C,$A106,RawData!AX:AX)</f>
        <v>0</v>
      </c>
      <c r="AU106">
        <f>SUMIF(RawData!$C:$C,$A106,RawData!AY:AY)</f>
        <v>0</v>
      </c>
      <c r="AV106">
        <f>SUMIF(RawData!$C:$C,$A106,RawData!AZ:AZ)</f>
        <v>0</v>
      </c>
      <c r="AW106">
        <f>SUMIF(RawData!$C:$C,$A106,RawData!BA:BA)</f>
        <v>0</v>
      </c>
      <c r="AX106">
        <f>SUMIF(RawData!$C:$C,$A106,RawData!BB:BB)</f>
        <v>0</v>
      </c>
      <c r="AY106">
        <f>SUMIF(RawData!$C:$C,$A106,RawData!BC:BC)</f>
        <v>1</v>
      </c>
      <c r="AZ106">
        <f>SUMIF(RawData!$C:$C,$A106,RawData!BD:BD)</f>
        <v>1</v>
      </c>
      <c r="BA106">
        <f>SUMIF(RawData!$C:$C,$A106,RawData!BE:BE)</f>
        <v>2</v>
      </c>
      <c r="BB106">
        <f>SUMIF(RawData!$C:$C,$A106,RawData!BF:BF)</f>
        <v>2</v>
      </c>
      <c r="BC106">
        <f>SUMIF(RawData!$C:$C,$A106,RawData!BG:BG)</f>
        <v>2</v>
      </c>
      <c r="BD106">
        <f>SUMIF(RawData!$C:$C,$A106,RawData!BH:BH)</f>
        <v>2</v>
      </c>
      <c r="BE106">
        <f>SUMIF(RawData!$C:$C,$A106,RawData!BI:BI)</f>
        <v>0</v>
      </c>
      <c r="BF106">
        <f>SUMIF(RawData!$C:$C,$A106,RawData!BJ:BJ)</f>
        <v>0</v>
      </c>
      <c r="BG106">
        <f>SUMIF(RawData!$C:$C,$A106,RawData!BK:BK)</f>
        <v>0</v>
      </c>
      <c r="BH106">
        <f>SUMIF(RawData!$C:$C,$A106,RawData!BL:BL)</f>
        <v>0</v>
      </c>
      <c r="BI106">
        <f>SUMIF(RawData!$C:$C,$A106,RawData!BM:BM)</f>
        <v>0</v>
      </c>
      <c r="BJ106">
        <f>SUMIF(RawData!$C:$C,$A106,RawData!BN:BN)</f>
        <v>0</v>
      </c>
      <c r="BK106">
        <f>SUMIF(RawData!$C:$C,$A106,RawData!BO:BO)</f>
        <v>0</v>
      </c>
      <c r="BL106">
        <f>SUMIF(RawData!$C:$C,$A106,RawData!BP:BP)</f>
        <v>0</v>
      </c>
      <c r="BM106">
        <f>SUMIF(RawData!$C:$C,$A106,RawData!BQ:BQ)</f>
        <v>0</v>
      </c>
      <c r="BN106">
        <f>SUMIF(RawData!$C:$C,$A106,RawData!BR:BR)</f>
        <v>0</v>
      </c>
      <c r="BO106">
        <f>SUMIF(RawData!$C:$C,$A106,RawData!BS:BS)</f>
        <v>0</v>
      </c>
      <c r="BP106">
        <f>SUMIF(RawData!$C:$C,$A106,RawData!BT:BT)</f>
        <v>0</v>
      </c>
      <c r="BQ106">
        <f>SUMIF(RawData!$C:$C,$A106,RawData!BU:BU)</f>
        <v>0</v>
      </c>
      <c r="BR106">
        <f>SUMIF(RawData!$C:$C,$A106,RawData!BV:BV)</f>
        <v>0</v>
      </c>
      <c r="BS106">
        <f>SUMIF(RawData!$C:$C,$A106,RawData!BW:BW)</f>
        <v>0</v>
      </c>
      <c r="BT106">
        <f>SUMIF(RawData!$C:$C,$A106,RawData!BX:BX)</f>
        <v>0</v>
      </c>
    </row>
    <row r="107" spans="1:72" ht="15" thickBot="1" x14ac:dyDescent="0.35">
      <c r="A107" s="5" t="s">
        <v>376</v>
      </c>
      <c r="B107">
        <f>SUMIF(RawData!$C:$C,$A107,RawData!F:F)</f>
        <v>0</v>
      </c>
      <c r="C107">
        <f>SUMIF(RawData!$C:$C,$A107,RawData!G:G)</f>
        <v>0</v>
      </c>
      <c r="D107">
        <f>SUMIF(RawData!$C:$C,$A107,RawData!H:H)</f>
        <v>0</v>
      </c>
      <c r="E107">
        <f>SUMIF(RawData!$C:$C,$A107,RawData!I:I)</f>
        <v>0</v>
      </c>
      <c r="F107">
        <f>SUMIF(RawData!$C:$C,$A107,RawData!J:J)</f>
        <v>0</v>
      </c>
      <c r="G107">
        <f>SUMIF(RawData!$C:$C,$A107,RawData!K:K)</f>
        <v>0</v>
      </c>
      <c r="H107">
        <f>SUMIF(RawData!$C:$C,$A107,RawData!L:L)</f>
        <v>0</v>
      </c>
      <c r="I107">
        <f>SUMIF(RawData!$C:$C,$A107,RawData!M:M)</f>
        <v>0</v>
      </c>
      <c r="J107">
        <f>SUMIF(RawData!$C:$C,$A107,RawData!N:N)</f>
        <v>0</v>
      </c>
      <c r="K107">
        <f>SUMIF(RawData!$C:$C,$A107,RawData!O:O)</f>
        <v>0</v>
      </c>
      <c r="L107">
        <f>SUMIF(RawData!$C:$C,$A107,RawData!P:P)</f>
        <v>0</v>
      </c>
      <c r="M107">
        <f>SUMIF(RawData!$C:$C,$A107,RawData!Q:Q)</f>
        <v>0</v>
      </c>
      <c r="N107">
        <f>SUMIF(RawData!$C:$C,$A107,RawData!R:R)</f>
        <v>0</v>
      </c>
      <c r="O107">
        <f>SUMIF(RawData!$C:$C,$A107,RawData!S:S)</f>
        <v>0</v>
      </c>
      <c r="P107">
        <f>SUMIF(RawData!$C:$C,$A107,RawData!T:T)</f>
        <v>0</v>
      </c>
      <c r="Q107">
        <f>SUMIF(RawData!$C:$C,$A107,RawData!U:U)</f>
        <v>0</v>
      </c>
      <c r="R107">
        <f>SUMIF(RawData!$C:$C,$A107,RawData!V:V)</f>
        <v>0</v>
      </c>
      <c r="S107">
        <f>SUMIF(RawData!$C:$C,$A107,RawData!W:W)</f>
        <v>0</v>
      </c>
      <c r="T107">
        <f>SUMIF(RawData!$C:$C,$A107,RawData!X:X)</f>
        <v>0</v>
      </c>
      <c r="U107">
        <f>SUMIF(RawData!$C:$C,$A107,RawData!Y:Y)</f>
        <v>0</v>
      </c>
      <c r="V107">
        <f>SUMIF(RawData!$C:$C,$A107,RawData!Z:Z)</f>
        <v>0</v>
      </c>
      <c r="W107">
        <f>SUMIF(RawData!$C:$C,$A107,RawData!AA:AA)</f>
        <v>0</v>
      </c>
      <c r="X107">
        <f>SUMIF(RawData!$C:$C,$A107,RawData!AB:AB)</f>
        <v>0</v>
      </c>
      <c r="Y107">
        <f>SUMIF(RawData!$C:$C,$A107,RawData!AC:AC)</f>
        <v>0</v>
      </c>
      <c r="Z107">
        <f>SUMIF(RawData!$C:$C,$A107,RawData!AD:AD)</f>
        <v>0</v>
      </c>
      <c r="AA107">
        <f>SUMIF(RawData!$C:$C,$A107,RawData!AE:AE)</f>
        <v>0</v>
      </c>
      <c r="AB107">
        <f>SUMIF(RawData!$C:$C,$A107,RawData!AF:AF)</f>
        <v>0</v>
      </c>
      <c r="AC107">
        <f>SUMIF(RawData!$C:$C,$A107,RawData!AG:AG)</f>
        <v>0</v>
      </c>
      <c r="AD107">
        <f>SUMIF(RawData!$C:$C,$A107,RawData!AH:AH)</f>
        <v>0</v>
      </c>
      <c r="AE107">
        <f>SUMIF(RawData!$C:$C,$A107,RawData!AI:AI)</f>
        <v>0</v>
      </c>
      <c r="AF107">
        <f>SUMIF(RawData!$C:$C,$A107,RawData!AJ:AJ)</f>
        <v>0</v>
      </c>
      <c r="AG107">
        <f>SUMIF(RawData!$C:$C,$A107,RawData!AK:AK)</f>
        <v>0</v>
      </c>
      <c r="AH107">
        <f>SUMIF(RawData!$C:$C,$A107,RawData!AL:AL)</f>
        <v>0</v>
      </c>
      <c r="AI107">
        <f>SUMIF(RawData!$C:$C,$A107,RawData!AM:AM)</f>
        <v>0</v>
      </c>
      <c r="AJ107">
        <f>SUMIF(RawData!$C:$C,$A107,RawData!AN:AN)</f>
        <v>0</v>
      </c>
      <c r="AK107">
        <f>SUMIF(RawData!$C:$C,$A107,RawData!AO:AO)</f>
        <v>0</v>
      </c>
      <c r="AL107">
        <f>SUMIF(RawData!$C:$C,$A107,RawData!AP:AP)</f>
        <v>0</v>
      </c>
      <c r="AM107">
        <f>SUMIF(RawData!$C:$C,$A107,RawData!AQ:AQ)</f>
        <v>0</v>
      </c>
      <c r="AN107">
        <f>SUMIF(RawData!$C:$C,$A107,RawData!AR:AR)</f>
        <v>0</v>
      </c>
      <c r="AO107">
        <f>SUMIF(RawData!$C:$C,$A107,RawData!AS:AS)</f>
        <v>0</v>
      </c>
      <c r="AP107">
        <f>SUMIF(RawData!$C:$C,$A107,RawData!AT:AT)</f>
        <v>0</v>
      </c>
      <c r="AQ107">
        <f>SUMIF(RawData!$C:$C,$A107,RawData!AU:AU)</f>
        <v>0</v>
      </c>
      <c r="AR107">
        <f>SUMIF(RawData!$C:$C,$A107,RawData!AV:AV)</f>
        <v>0</v>
      </c>
      <c r="AS107">
        <f>SUMIF(RawData!$C:$C,$A107,RawData!AW:AW)</f>
        <v>0</v>
      </c>
      <c r="AT107">
        <f>SUMIF(RawData!$C:$C,$A107,RawData!AX:AX)</f>
        <v>0</v>
      </c>
      <c r="AU107">
        <f>SUMIF(RawData!$C:$C,$A107,RawData!AY:AY)</f>
        <v>0</v>
      </c>
      <c r="AV107">
        <f>SUMIF(RawData!$C:$C,$A107,RawData!AZ:AZ)</f>
        <v>0</v>
      </c>
      <c r="AW107">
        <f>SUMIF(RawData!$C:$C,$A107,RawData!BA:BA)</f>
        <v>0</v>
      </c>
      <c r="AX107">
        <f>SUMIF(RawData!$C:$C,$A107,RawData!BB:BB)</f>
        <v>0</v>
      </c>
      <c r="AY107">
        <f>SUMIF(RawData!$C:$C,$A107,RawData!BC:BC)</f>
        <v>2</v>
      </c>
      <c r="AZ107">
        <f>SUMIF(RawData!$C:$C,$A107,RawData!BD:BD)</f>
        <v>2</v>
      </c>
      <c r="BA107">
        <f>SUMIF(RawData!$C:$C,$A107,RawData!BE:BE)</f>
        <v>2</v>
      </c>
      <c r="BB107">
        <f>SUMIF(RawData!$C:$C,$A107,RawData!BF:BF)</f>
        <v>2</v>
      </c>
      <c r="BC107">
        <f>SUMIF(RawData!$C:$C,$A107,RawData!BG:BG)</f>
        <v>3</v>
      </c>
      <c r="BD107">
        <f>SUMIF(RawData!$C:$C,$A107,RawData!BH:BH)</f>
        <v>6</v>
      </c>
      <c r="BE107">
        <f>SUMIF(RawData!$C:$C,$A107,RawData!BI:BI)</f>
        <v>0</v>
      </c>
      <c r="BF107">
        <f>SUMIF(RawData!$C:$C,$A107,RawData!BJ:BJ)</f>
        <v>0</v>
      </c>
      <c r="BG107">
        <f>SUMIF(RawData!$C:$C,$A107,RawData!BK:BK)</f>
        <v>0</v>
      </c>
      <c r="BH107">
        <f>SUMIF(RawData!$C:$C,$A107,RawData!BL:BL)</f>
        <v>0</v>
      </c>
      <c r="BI107">
        <f>SUMIF(RawData!$C:$C,$A107,RawData!BM:BM)</f>
        <v>0</v>
      </c>
      <c r="BJ107">
        <f>SUMIF(RawData!$C:$C,$A107,RawData!BN:BN)</f>
        <v>0</v>
      </c>
      <c r="BK107">
        <f>SUMIF(RawData!$C:$C,$A107,RawData!BO:BO)</f>
        <v>0</v>
      </c>
      <c r="BL107">
        <f>SUMIF(RawData!$C:$C,$A107,RawData!BP:BP)</f>
        <v>0</v>
      </c>
      <c r="BM107">
        <f>SUMIF(RawData!$C:$C,$A107,RawData!BQ:BQ)</f>
        <v>0</v>
      </c>
      <c r="BN107">
        <f>SUMIF(RawData!$C:$C,$A107,RawData!BR:BR)</f>
        <v>0</v>
      </c>
      <c r="BO107">
        <f>SUMIF(RawData!$C:$C,$A107,RawData!BS:BS)</f>
        <v>0</v>
      </c>
      <c r="BP107">
        <f>SUMIF(RawData!$C:$C,$A107,RawData!BT:BT)</f>
        <v>0</v>
      </c>
      <c r="BQ107">
        <f>SUMIF(RawData!$C:$C,$A107,RawData!BU:BU)</f>
        <v>0</v>
      </c>
      <c r="BR107">
        <f>SUMIF(RawData!$C:$C,$A107,RawData!BV:BV)</f>
        <v>0</v>
      </c>
      <c r="BS107">
        <f>SUMIF(RawData!$C:$C,$A107,RawData!BW:BW)</f>
        <v>0</v>
      </c>
      <c r="BT107">
        <f>SUMIF(RawData!$C:$C,$A107,RawData!BX:BX)</f>
        <v>0</v>
      </c>
    </row>
    <row r="108" spans="1:72" ht="15" thickBot="1" x14ac:dyDescent="0.35">
      <c r="A108" s="5" t="s">
        <v>127</v>
      </c>
      <c r="B108">
        <f>SUMIF(RawData!$C:$C,$A108,RawData!F:F)</f>
        <v>0</v>
      </c>
      <c r="C108">
        <f>SUMIF(RawData!$C:$C,$A108,RawData!G:G)</f>
        <v>0</v>
      </c>
      <c r="D108">
        <f>SUMIF(RawData!$C:$C,$A108,RawData!H:H)</f>
        <v>0</v>
      </c>
      <c r="E108">
        <f>SUMIF(RawData!$C:$C,$A108,RawData!I:I)</f>
        <v>0</v>
      </c>
      <c r="F108">
        <f>SUMIF(RawData!$C:$C,$A108,RawData!J:J)</f>
        <v>0</v>
      </c>
      <c r="G108">
        <f>SUMIF(RawData!$C:$C,$A108,RawData!K:K)</f>
        <v>0</v>
      </c>
      <c r="H108">
        <f>SUMIF(RawData!$C:$C,$A108,RawData!L:L)</f>
        <v>0</v>
      </c>
      <c r="I108">
        <f>SUMIF(RawData!$C:$C,$A108,RawData!M:M)</f>
        <v>0</v>
      </c>
      <c r="J108">
        <f>SUMIF(RawData!$C:$C,$A108,RawData!N:N)</f>
        <v>0</v>
      </c>
      <c r="K108">
        <f>SUMIF(RawData!$C:$C,$A108,RawData!O:O)</f>
        <v>0</v>
      </c>
      <c r="L108">
        <f>SUMIF(RawData!$C:$C,$A108,RawData!P:P)</f>
        <v>0</v>
      </c>
      <c r="M108">
        <f>SUMIF(RawData!$C:$C,$A108,RawData!Q:Q)</f>
        <v>0</v>
      </c>
      <c r="N108">
        <f>SUMIF(RawData!$C:$C,$A108,RawData!R:R)</f>
        <v>0</v>
      </c>
      <c r="O108">
        <f>SUMIF(RawData!$C:$C,$A108,RawData!S:S)</f>
        <v>0</v>
      </c>
      <c r="P108">
        <f>SUMIF(RawData!$C:$C,$A108,RawData!T:T)</f>
        <v>0</v>
      </c>
      <c r="Q108">
        <f>SUMIF(RawData!$C:$C,$A108,RawData!U:U)</f>
        <v>0</v>
      </c>
      <c r="R108">
        <f>SUMIF(RawData!$C:$C,$A108,RawData!V:V)</f>
        <v>0</v>
      </c>
      <c r="S108">
        <f>SUMIF(RawData!$C:$C,$A108,RawData!W:W)</f>
        <v>0</v>
      </c>
      <c r="T108">
        <f>SUMIF(RawData!$C:$C,$A108,RawData!X:X)</f>
        <v>0</v>
      </c>
      <c r="U108">
        <f>SUMIF(RawData!$C:$C,$A108,RawData!Y:Y)</f>
        <v>0</v>
      </c>
      <c r="V108">
        <f>SUMIF(RawData!$C:$C,$A108,RawData!Z:Z)</f>
        <v>0</v>
      </c>
      <c r="W108">
        <f>SUMIF(RawData!$C:$C,$A108,RawData!AA:AA)</f>
        <v>0</v>
      </c>
      <c r="X108">
        <f>SUMIF(RawData!$C:$C,$A108,RawData!AB:AB)</f>
        <v>0</v>
      </c>
      <c r="Y108">
        <f>SUMIF(RawData!$C:$C,$A108,RawData!AC:AC)</f>
        <v>0</v>
      </c>
      <c r="Z108">
        <f>SUMIF(RawData!$C:$C,$A108,RawData!AD:AD)</f>
        <v>0</v>
      </c>
      <c r="AA108">
        <f>SUMIF(RawData!$C:$C,$A108,RawData!AE:AE)</f>
        <v>0</v>
      </c>
      <c r="AB108">
        <f>SUMIF(RawData!$C:$C,$A108,RawData!AF:AF)</f>
        <v>0</v>
      </c>
      <c r="AC108">
        <f>SUMIF(RawData!$C:$C,$A108,RawData!AG:AG)</f>
        <v>0</v>
      </c>
      <c r="AD108">
        <f>SUMIF(RawData!$C:$C,$A108,RawData!AH:AH)</f>
        <v>0</v>
      </c>
      <c r="AE108">
        <f>SUMIF(RawData!$C:$C,$A108,RawData!AI:AI)</f>
        <v>0</v>
      </c>
      <c r="AF108">
        <f>SUMIF(RawData!$C:$C,$A108,RawData!AJ:AJ)</f>
        <v>0</v>
      </c>
      <c r="AG108">
        <f>SUMIF(RawData!$C:$C,$A108,RawData!AK:AK)</f>
        <v>0</v>
      </c>
      <c r="AH108">
        <f>SUMIF(RawData!$C:$C,$A108,RawData!AL:AL)</f>
        <v>0</v>
      </c>
      <c r="AI108">
        <f>SUMIF(RawData!$C:$C,$A108,RawData!AM:AM)</f>
        <v>0</v>
      </c>
      <c r="AJ108">
        <f>SUMIF(RawData!$C:$C,$A108,RawData!AN:AN)</f>
        <v>0</v>
      </c>
      <c r="AK108">
        <f>SUMIF(RawData!$C:$C,$A108,RawData!AO:AO)</f>
        <v>0</v>
      </c>
      <c r="AL108">
        <f>SUMIF(RawData!$C:$C,$A108,RawData!AP:AP)</f>
        <v>0</v>
      </c>
      <c r="AM108">
        <f>SUMIF(RawData!$C:$C,$A108,RawData!AQ:AQ)</f>
        <v>0</v>
      </c>
      <c r="AN108">
        <f>SUMIF(RawData!$C:$C,$A108,RawData!AR:AR)</f>
        <v>1</v>
      </c>
      <c r="AO108">
        <f>SUMIF(RawData!$C:$C,$A108,RawData!AS:AS)</f>
        <v>1</v>
      </c>
      <c r="AP108">
        <f>SUMIF(RawData!$C:$C,$A108,RawData!AT:AT)</f>
        <v>1</v>
      </c>
      <c r="AQ108">
        <f>SUMIF(RawData!$C:$C,$A108,RawData!AU:AU)</f>
        <v>1</v>
      </c>
      <c r="AR108">
        <f>SUMIF(RawData!$C:$C,$A108,RawData!AV:AV)</f>
        <v>1</v>
      </c>
      <c r="AS108">
        <f>SUMIF(RawData!$C:$C,$A108,RawData!AW:AW)</f>
        <v>1</v>
      </c>
      <c r="AT108">
        <f>SUMIF(RawData!$C:$C,$A108,RawData!AX:AX)</f>
        <v>1</v>
      </c>
      <c r="AU108">
        <f>SUMIF(RawData!$C:$C,$A108,RawData!AY:AY)</f>
        <v>1</v>
      </c>
      <c r="AV108">
        <f>SUMIF(RawData!$C:$C,$A108,RawData!AZ:AZ)</f>
        <v>1</v>
      </c>
      <c r="AW108">
        <f>SUMIF(RawData!$C:$C,$A108,RawData!BA:BA)</f>
        <v>1</v>
      </c>
      <c r="AX108">
        <f>SUMIF(RawData!$C:$C,$A108,RawData!BB:BB)</f>
        <v>1</v>
      </c>
      <c r="AY108">
        <f>SUMIF(RawData!$C:$C,$A108,RawData!BC:BC)</f>
        <v>1</v>
      </c>
      <c r="AZ108">
        <f>SUMIF(RawData!$C:$C,$A108,RawData!BD:BD)</f>
        <v>2</v>
      </c>
      <c r="BA108">
        <f>SUMIF(RawData!$C:$C,$A108,RawData!BE:BE)</f>
        <v>2</v>
      </c>
      <c r="BB108">
        <f>SUMIF(RawData!$C:$C,$A108,RawData!BF:BF)</f>
        <v>2</v>
      </c>
      <c r="BC108">
        <f>SUMIF(RawData!$C:$C,$A108,RawData!BG:BG)</f>
        <v>2</v>
      </c>
      <c r="BD108">
        <f>SUMIF(RawData!$C:$C,$A108,RawData!BH:BH)</f>
        <v>7</v>
      </c>
      <c r="BE108">
        <f>SUMIF(RawData!$C:$C,$A108,RawData!BI:BI)</f>
        <v>0</v>
      </c>
      <c r="BF108">
        <f>SUMIF(RawData!$C:$C,$A108,RawData!BJ:BJ)</f>
        <v>0</v>
      </c>
      <c r="BG108">
        <f>SUMIF(RawData!$C:$C,$A108,RawData!BK:BK)</f>
        <v>0</v>
      </c>
      <c r="BH108">
        <f>SUMIF(RawData!$C:$C,$A108,RawData!BL:BL)</f>
        <v>0</v>
      </c>
      <c r="BI108">
        <f>SUMIF(RawData!$C:$C,$A108,RawData!BM:BM)</f>
        <v>0</v>
      </c>
      <c r="BJ108">
        <f>SUMIF(RawData!$C:$C,$A108,RawData!BN:BN)</f>
        <v>0</v>
      </c>
      <c r="BK108">
        <f>SUMIF(RawData!$C:$C,$A108,RawData!BO:BO)</f>
        <v>0</v>
      </c>
      <c r="BL108">
        <f>SUMIF(RawData!$C:$C,$A108,RawData!BP:BP)</f>
        <v>0</v>
      </c>
      <c r="BM108">
        <f>SUMIF(RawData!$C:$C,$A108,RawData!BQ:BQ)</f>
        <v>0</v>
      </c>
      <c r="BN108">
        <f>SUMIF(RawData!$C:$C,$A108,RawData!BR:BR)</f>
        <v>0</v>
      </c>
      <c r="BO108">
        <f>SUMIF(RawData!$C:$C,$A108,RawData!BS:BS)</f>
        <v>0</v>
      </c>
      <c r="BP108">
        <f>SUMIF(RawData!$C:$C,$A108,RawData!BT:BT)</f>
        <v>0</v>
      </c>
      <c r="BQ108">
        <f>SUMIF(RawData!$C:$C,$A108,RawData!BU:BU)</f>
        <v>0</v>
      </c>
      <c r="BR108">
        <f>SUMIF(RawData!$C:$C,$A108,RawData!BV:BV)</f>
        <v>0</v>
      </c>
      <c r="BS108">
        <f>SUMIF(RawData!$C:$C,$A108,RawData!BW:BW)</f>
        <v>0</v>
      </c>
      <c r="BT108">
        <f>SUMIF(RawData!$C:$C,$A108,RawData!BX:BX)</f>
        <v>0</v>
      </c>
    </row>
    <row r="109" spans="1:72" ht="15" thickBot="1" x14ac:dyDescent="0.35">
      <c r="A109" s="5" t="s">
        <v>123</v>
      </c>
      <c r="B109">
        <f>SUMIF(RawData!$C:$C,$A109,RawData!F:F)</f>
        <v>0</v>
      </c>
      <c r="C109">
        <f>SUMIF(RawData!$C:$C,$A109,RawData!G:G)</f>
        <v>0</v>
      </c>
      <c r="D109">
        <f>SUMIF(RawData!$C:$C,$A109,RawData!H:H)</f>
        <v>0</v>
      </c>
      <c r="E109">
        <f>SUMIF(RawData!$C:$C,$A109,RawData!I:I)</f>
        <v>0</v>
      </c>
      <c r="F109">
        <f>SUMIF(RawData!$C:$C,$A109,RawData!J:J)</f>
        <v>0</v>
      </c>
      <c r="G109">
        <f>SUMIF(RawData!$C:$C,$A109,RawData!K:K)</f>
        <v>0</v>
      </c>
      <c r="H109">
        <f>SUMIF(RawData!$C:$C,$A109,RawData!L:L)</f>
        <v>0</v>
      </c>
      <c r="I109">
        <f>SUMIF(RawData!$C:$C,$A109,RawData!M:M)</f>
        <v>0</v>
      </c>
      <c r="J109">
        <f>SUMIF(RawData!$C:$C,$A109,RawData!N:N)</f>
        <v>0</v>
      </c>
      <c r="K109">
        <f>SUMIF(RawData!$C:$C,$A109,RawData!O:O)</f>
        <v>0</v>
      </c>
      <c r="L109">
        <f>SUMIF(RawData!$C:$C,$A109,RawData!P:P)</f>
        <v>0</v>
      </c>
      <c r="M109">
        <f>SUMIF(RawData!$C:$C,$A109,RawData!Q:Q)</f>
        <v>0</v>
      </c>
      <c r="N109">
        <f>SUMIF(RawData!$C:$C,$A109,RawData!R:R)</f>
        <v>0</v>
      </c>
      <c r="O109">
        <f>SUMIF(RawData!$C:$C,$A109,RawData!S:S)</f>
        <v>0</v>
      </c>
      <c r="P109">
        <f>SUMIF(RawData!$C:$C,$A109,RawData!T:T)</f>
        <v>0</v>
      </c>
      <c r="Q109">
        <f>SUMIF(RawData!$C:$C,$A109,RawData!U:U)</f>
        <v>0</v>
      </c>
      <c r="R109">
        <f>SUMIF(RawData!$C:$C,$A109,RawData!V:V)</f>
        <v>0</v>
      </c>
      <c r="S109">
        <f>SUMIF(RawData!$C:$C,$A109,RawData!W:W)</f>
        <v>0</v>
      </c>
      <c r="T109">
        <f>SUMIF(RawData!$C:$C,$A109,RawData!X:X)</f>
        <v>0</v>
      </c>
      <c r="U109">
        <f>SUMIF(RawData!$C:$C,$A109,RawData!Y:Y)</f>
        <v>0</v>
      </c>
      <c r="V109">
        <f>SUMIF(RawData!$C:$C,$A109,RawData!Z:Z)</f>
        <v>0</v>
      </c>
      <c r="W109">
        <f>SUMIF(RawData!$C:$C,$A109,RawData!AA:AA)</f>
        <v>0</v>
      </c>
      <c r="X109">
        <f>SUMIF(RawData!$C:$C,$A109,RawData!AB:AB)</f>
        <v>0</v>
      </c>
      <c r="Y109">
        <f>SUMIF(RawData!$C:$C,$A109,RawData!AC:AC)</f>
        <v>0</v>
      </c>
      <c r="Z109">
        <f>SUMIF(RawData!$C:$C,$A109,RawData!AD:AD)</f>
        <v>0</v>
      </c>
      <c r="AA109">
        <f>SUMIF(RawData!$C:$C,$A109,RawData!AE:AE)</f>
        <v>0</v>
      </c>
      <c r="AB109">
        <f>SUMIF(RawData!$C:$C,$A109,RawData!AF:AF)</f>
        <v>0</v>
      </c>
      <c r="AC109">
        <f>SUMIF(RawData!$C:$C,$A109,RawData!AG:AG)</f>
        <v>0</v>
      </c>
      <c r="AD109">
        <f>SUMIF(RawData!$C:$C,$A109,RawData!AH:AH)</f>
        <v>0</v>
      </c>
      <c r="AE109">
        <f>SUMIF(RawData!$C:$C,$A109,RawData!AI:AI)</f>
        <v>0</v>
      </c>
      <c r="AF109">
        <f>SUMIF(RawData!$C:$C,$A109,RawData!AJ:AJ)</f>
        <v>0</v>
      </c>
      <c r="AG109">
        <f>SUMIF(RawData!$C:$C,$A109,RawData!AK:AK)</f>
        <v>0</v>
      </c>
      <c r="AH109">
        <f>SUMIF(RawData!$C:$C,$A109,RawData!AL:AL)</f>
        <v>0</v>
      </c>
      <c r="AI109">
        <f>SUMIF(RawData!$C:$C,$A109,RawData!AM:AM)</f>
        <v>0</v>
      </c>
      <c r="AJ109">
        <f>SUMIF(RawData!$C:$C,$A109,RawData!AN:AN)</f>
        <v>0</v>
      </c>
      <c r="AK109">
        <f>SUMIF(RawData!$C:$C,$A109,RawData!AO:AO)</f>
        <v>0</v>
      </c>
      <c r="AL109">
        <f>SUMIF(RawData!$C:$C,$A109,RawData!AP:AP)</f>
        <v>0</v>
      </c>
      <c r="AM109">
        <f>SUMIF(RawData!$C:$C,$A109,RawData!AQ:AQ)</f>
        <v>1</v>
      </c>
      <c r="AN109">
        <f>SUMIF(RawData!$C:$C,$A109,RawData!AR:AR)</f>
        <v>1</v>
      </c>
      <c r="AO109">
        <f>SUMIF(RawData!$C:$C,$A109,RawData!AS:AS)</f>
        <v>1</v>
      </c>
      <c r="AP109">
        <f>SUMIF(RawData!$C:$C,$A109,RawData!AT:AT)</f>
        <v>1</v>
      </c>
      <c r="AQ109">
        <f>SUMIF(RawData!$C:$C,$A109,RawData!AU:AU)</f>
        <v>1</v>
      </c>
      <c r="AR109">
        <f>SUMIF(RawData!$C:$C,$A109,RawData!AV:AV)</f>
        <v>1</v>
      </c>
      <c r="AS109">
        <f>SUMIF(RawData!$C:$C,$A109,RawData!AW:AW)</f>
        <v>1</v>
      </c>
      <c r="AT109">
        <f>SUMIF(RawData!$C:$C,$A109,RawData!AX:AX)</f>
        <v>1</v>
      </c>
      <c r="AU109">
        <f>SUMIF(RawData!$C:$C,$A109,RawData!AY:AY)</f>
        <v>1</v>
      </c>
      <c r="AV109">
        <f>SUMIF(RawData!$C:$C,$A109,RawData!AZ:AZ)</f>
        <v>1</v>
      </c>
      <c r="AW109">
        <f>SUMIF(RawData!$C:$C,$A109,RawData!BA:BA)</f>
        <v>2</v>
      </c>
      <c r="AX109">
        <f>SUMIF(RawData!$C:$C,$A109,RawData!BB:BB)</f>
        <v>2</v>
      </c>
      <c r="AY109">
        <f>SUMIF(RawData!$C:$C,$A109,RawData!BC:BC)</f>
        <v>2</v>
      </c>
      <c r="AZ109">
        <f>SUMIF(RawData!$C:$C,$A109,RawData!BD:BD)</f>
        <v>2</v>
      </c>
      <c r="BA109">
        <f>SUMIF(RawData!$C:$C,$A109,RawData!BE:BE)</f>
        <v>2</v>
      </c>
      <c r="BB109">
        <f>SUMIF(RawData!$C:$C,$A109,RawData!BF:BF)</f>
        <v>2</v>
      </c>
      <c r="BC109">
        <f>SUMIF(RawData!$C:$C,$A109,RawData!BG:BG)</f>
        <v>2</v>
      </c>
      <c r="BD109">
        <f>SUMIF(RawData!$C:$C,$A109,RawData!BH:BH)</f>
        <v>2</v>
      </c>
      <c r="BE109">
        <f>SUMIF(RawData!$C:$C,$A109,RawData!BI:BI)</f>
        <v>0</v>
      </c>
      <c r="BF109">
        <f>SUMIF(RawData!$C:$C,$A109,RawData!BJ:BJ)</f>
        <v>0</v>
      </c>
      <c r="BG109">
        <f>SUMIF(RawData!$C:$C,$A109,RawData!BK:BK)</f>
        <v>0</v>
      </c>
      <c r="BH109">
        <f>SUMIF(RawData!$C:$C,$A109,RawData!BL:BL)</f>
        <v>0</v>
      </c>
      <c r="BI109">
        <f>SUMIF(RawData!$C:$C,$A109,RawData!BM:BM)</f>
        <v>0</v>
      </c>
      <c r="BJ109">
        <f>SUMIF(RawData!$C:$C,$A109,RawData!BN:BN)</f>
        <v>0</v>
      </c>
      <c r="BK109">
        <f>SUMIF(RawData!$C:$C,$A109,RawData!BO:BO)</f>
        <v>0</v>
      </c>
      <c r="BL109">
        <f>SUMIF(RawData!$C:$C,$A109,RawData!BP:BP)</f>
        <v>0</v>
      </c>
      <c r="BM109">
        <f>SUMIF(RawData!$C:$C,$A109,RawData!BQ:BQ)</f>
        <v>0</v>
      </c>
      <c r="BN109">
        <f>SUMIF(RawData!$C:$C,$A109,RawData!BR:BR)</f>
        <v>0</v>
      </c>
      <c r="BO109">
        <f>SUMIF(RawData!$C:$C,$A109,RawData!BS:BS)</f>
        <v>0</v>
      </c>
      <c r="BP109">
        <f>SUMIF(RawData!$C:$C,$A109,RawData!BT:BT)</f>
        <v>0</v>
      </c>
      <c r="BQ109">
        <f>SUMIF(RawData!$C:$C,$A109,RawData!BU:BU)</f>
        <v>0</v>
      </c>
      <c r="BR109">
        <f>SUMIF(RawData!$C:$C,$A109,RawData!BV:BV)</f>
        <v>0</v>
      </c>
      <c r="BS109">
        <f>SUMIF(RawData!$C:$C,$A109,RawData!BW:BW)</f>
        <v>0</v>
      </c>
      <c r="BT109">
        <f>SUMIF(RawData!$C:$C,$A109,RawData!BX:BX)</f>
        <v>0</v>
      </c>
    </row>
    <row r="110" spans="1:72" ht="15" thickBot="1" x14ac:dyDescent="0.35">
      <c r="A110" s="5" t="s">
        <v>136</v>
      </c>
      <c r="B110">
        <f>SUMIF(RawData!$C:$C,$A110,RawData!F:F)</f>
        <v>0</v>
      </c>
      <c r="C110">
        <f>SUMIF(RawData!$C:$C,$A110,RawData!G:G)</f>
        <v>0</v>
      </c>
      <c r="D110">
        <f>SUMIF(RawData!$C:$C,$A110,RawData!H:H)</f>
        <v>0</v>
      </c>
      <c r="E110">
        <f>SUMIF(RawData!$C:$C,$A110,RawData!I:I)</f>
        <v>0</v>
      </c>
      <c r="F110">
        <f>SUMIF(RawData!$C:$C,$A110,RawData!J:J)</f>
        <v>0</v>
      </c>
      <c r="G110">
        <f>SUMIF(RawData!$C:$C,$A110,RawData!K:K)</f>
        <v>0</v>
      </c>
      <c r="H110">
        <f>SUMIF(RawData!$C:$C,$A110,RawData!L:L)</f>
        <v>0</v>
      </c>
      <c r="I110">
        <f>SUMIF(RawData!$C:$C,$A110,RawData!M:M)</f>
        <v>0</v>
      </c>
      <c r="J110">
        <f>SUMIF(RawData!$C:$C,$A110,RawData!N:N)</f>
        <v>0</v>
      </c>
      <c r="K110">
        <f>SUMIF(RawData!$C:$C,$A110,RawData!O:O)</f>
        <v>0</v>
      </c>
      <c r="L110">
        <f>SUMIF(RawData!$C:$C,$A110,RawData!P:P)</f>
        <v>0</v>
      </c>
      <c r="M110">
        <f>SUMIF(RawData!$C:$C,$A110,RawData!Q:Q)</f>
        <v>0</v>
      </c>
      <c r="N110">
        <f>SUMIF(RawData!$C:$C,$A110,RawData!R:R)</f>
        <v>0</v>
      </c>
      <c r="O110">
        <f>SUMIF(RawData!$C:$C,$A110,RawData!S:S)</f>
        <v>0</v>
      </c>
      <c r="P110">
        <f>SUMIF(RawData!$C:$C,$A110,RawData!T:T)</f>
        <v>0</v>
      </c>
      <c r="Q110">
        <f>SUMIF(RawData!$C:$C,$A110,RawData!U:U)</f>
        <v>0</v>
      </c>
      <c r="R110">
        <f>SUMIF(RawData!$C:$C,$A110,RawData!V:V)</f>
        <v>0</v>
      </c>
      <c r="S110">
        <f>SUMIF(RawData!$C:$C,$A110,RawData!W:W)</f>
        <v>0</v>
      </c>
      <c r="T110">
        <f>SUMIF(RawData!$C:$C,$A110,RawData!X:X)</f>
        <v>0</v>
      </c>
      <c r="U110">
        <f>SUMIF(RawData!$C:$C,$A110,RawData!Y:Y)</f>
        <v>0</v>
      </c>
      <c r="V110">
        <f>SUMIF(RawData!$C:$C,$A110,RawData!Z:Z)</f>
        <v>0</v>
      </c>
      <c r="W110">
        <f>SUMIF(RawData!$C:$C,$A110,RawData!AA:AA)</f>
        <v>0</v>
      </c>
      <c r="X110">
        <f>SUMIF(RawData!$C:$C,$A110,RawData!AB:AB)</f>
        <v>0</v>
      </c>
      <c r="Y110">
        <f>SUMIF(RawData!$C:$C,$A110,RawData!AC:AC)</f>
        <v>0</v>
      </c>
      <c r="Z110">
        <f>SUMIF(RawData!$C:$C,$A110,RawData!AD:AD)</f>
        <v>0</v>
      </c>
      <c r="AA110">
        <f>SUMIF(RawData!$C:$C,$A110,RawData!AE:AE)</f>
        <v>0</v>
      </c>
      <c r="AB110">
        <f>SUMIF(RawData!$C:$C,$A110,RawData!AF:AF)</f>
        <v>0</v>
      </c>
      <c r="AC110">
        <f>SUMIF(RawData!$C:$C,$A110,RawData!AG:AG)</f>
        <v>0</v>
      </c>
      <c r="AD110">
        <f>SUMIF(RawData!$C:$C,$A110,RawData!AH:AH)</f>
        <v>0</v>
      </c>
      <c r="AE110">
        <f>SUMIF(RawData!$C:$C,$A110,RawData!AI:AI)</f>
        <v>0</v>
      </c>
      <c r="AF110">
        <f>SUMIF(RawData!$C:$C,$A110,RawData!AJ:AJ)</f>
        <v>0</v>
      </c>
      <c r="AG110">
        <f>SUMIF(RawData!$C:$C,$A110,RawData!AK:AK)</f>
        <v>0</v>
      </c>
      <c r="AH110">
        <f>SUMIF(RawData!$C:$C,$A110,RawData!AL:AL)</f>
        <v>0</v>
      </c>
      <c r="AI110">
        <f>SUMIF(RawData!$C:$C,$A110,RawData!AM:AM)</f>
        <v>0</v>
      </c>
      <c r="AJ110">
        <f>SUMIF(RawData!$C:$C,$A110,RawData!AN:AN)</f>
        <v>0</v>
      </c>
      <c r="AK110">
        <f>SUMIF(RawData!$C:$C,$A110,RawData!AO:AO)</f>
        <v>0</v>
      </c>
      <c r="AL110">
        <f>SUMIF(RawData!$C:$C,$A110,RawData!AP:AP)</f>
        <v>0</v>
      </c>
      <c r="AM110">
        <f>SUMIF(RawData!$C:$C,$A110,RawData!AQ:AQ)</f>
        <v>0</v>
      </c>
      <c r="AN110">
        <f>SUMIF(RawData!$C:$C,$A110,RawData!AR:AR)</f>
        <v>0</v>
      </c>
      <c r="AO110">
        <f>SUMIF(RawData!$C:$C,$A110,RawData!AS:AS)</f>
        <v>0</v>
      </c>
      <c r="AP110">
        <f>SUMIF(RawData!$C:$C,$A110,RawData!AT:AT)</f>
        <v>1</v>
      </c>
      <c r="AQ110">
        <f>SUMIF(RawData!$C:$C,$A110,RawData!AU:AU)</f>
        <v>1</v>
      </c>
      <c r="AR110">
        <f>SUMIF(RawData!$C:$C,$A110,RawData!AV:AV)</f>
        <v>1</v>
      </c>
      <c r="AS110">
        <f>SUMIF(RawData!$C:$C,$A110,RawData!AW:AW)</f>
        <v>1</v>
      </c>
      <c r="AT110">
        <f>SUMIF(RawData!$C:$C,$A110,RawData!AX:AX)</f>
        <v>1</v>
      </c>
      <c r="AU110">
        <f>SUMIF(RawData!$C:$C,$A110,RawData!AY:AY)</f>
        <v>1</v>
      </c>
      <c r="AV110">
        <f>SUMIF(RawData!$C:$C,$A110,RawData!AZ:AZ)</f>
        <v>1</v>
      </c>
      <c r="AW110">
        <f>SUMIF(RawData!$C:$C,$A110,RawData!BA:BA)</f>
        <v>1</v>
      </c>
      <c r="AX110">
        <f>SUMIF(RawData!$C:$C,$A110,RawData!BB:BB)</f>
        <v>1</v>
      </c>
      <c r="AY110">
        <f>SUMIF(RawData!$C:$C,$A110,RawData!BC:BC)</f>
        <v>1</v>
      </c>
      <c r="AZ110">
        <f>SUMIF(RawData!$C:$C,$A110,RawData!BD:BD)</f>
        <v>1</v>
      </c>
      <c r="BA110">
        <f>SUMIF(RawData!$C:$C,$A110,RawData!BE:BE)</f>
        <v>1</v>
      </c>
      <c r="BB110">
        <f>SUMIF(RawData!$C:$C,$A110,RawData!BF:BF)</f>
        <v>1</v>
      </c>
      <c r="BC110">
        <f>SUMIF(RawData!$C:$C,$A110,RawData!BG:BG)</f>
        <v>1</v>
      </c>
      <c r="BD110">
        <f>SUMIF(RawData!$C:$C,$A110,RawData!BH:BH)</f>
        <v>2</v>
      </c>
      <c r="BE110">
        <f>SUMIF(RawData!$C:$C,$A110,RawData!BI:BI)</f>
        <v>0</v>
      </c>
      <c r="BF110">
        <f>SUMIF(RawData!$C:$C,$A110,RawData!BJ:BJ)</f>
        <v>0</v>
      </c>
      <c r="BG110">
        <f>SUMIF(RawData!$C:$C,$A110,RawData!BK:BK)</f>
        <v>0</v>
      </c>
      <c r="BH110">
        <f>SUMIF(RawData!$C:$C,$A110,RawData!BL:BL)</f>
        <v>0</v>
      </c>
      <c r="BI110">
        <f>SUMIF(RawData!$C:$C,$A110,RawData!BM:BM)</f>
        <v>0</v>
      </c>
      <c r="BJ110">
        <f>SUMIF(RawData!$C:$C,$A110,RawData!BN:BN)</f>
        <v>0</v>
      </c>
      <c r="BK110">
        <f>SUMIF(RawData!$C:$C,$A110,RawData!BO:BO)</f>
        <v>0</v>
      </c>
      <c r="BL110">
        <f>SUMIF(RawData!$C:$C,$A110,RawData!BP:BP)</f>
        <v>0</v>
      </c>
      <c r="BM110">
        <f>SUMIF(RawData!$C:$C,$A110,RawData!BQ:BQ)</f>
        <v>0</v>
      </c>
      <c r="BN110">
        <f>SUMIF(RawData!$C:$C,$A110,RawData!BR:BR)</f>
        <v>0</v>
      </c>
      <c r="BO110">
        <f>SUMIF(RawData!$C:$C,$A110,RawData!BS:BS)</f>
        <v>0</v>
      </c>
      <c r="BP110">
        <f>SUMIF(RawData!$C:$C,$A110,RawData!BT:BT)</f>
        <v>0</v>
      </c>
      <c r="BQ110">
        <f>SUMIF(RawData!$C:$C,$A110,RawData!BU:BU)</f>
        <v>0</v>
      </c>
      <c r="BR110">
        <f>SUMIF(RawData!$C:$C,$A110,RawData!BV:BV)</f>
        <v>0</v>
      </c>
      <c r="BS110">
        <f>SUMIF(RawData!$C:$C,$A110,RawData!BW:BW)</f>
        <v>0</v>
      </c>
      <c r="BT110">
        <f>SUMIF(RawData!$C:$C,$A110,RawData!BX:BX)</f>
        <v>0</v>
      </c>
    </row>
    <row r="111" spans="1:72" ht="15" thickBot="1" x14ac:dyDescent="0.35">
      <c r="A111" s="5" t="s">
        <v>452</v>
      </c>
      <c r="B111">
        <f>SUMIF(RawData!$C:$C,$A111,RawData!F:F)</f>
        <v>0</v>
      </c>
      <c r="C111">
        <f>SUMIF(RawData!$C:$C,$A111,RawData!G:G)</f>
        <v>0</v>
      </c>
      <c r="D111">
        <f>SUMIF(RawData!$C:$C,$A111,RawData!H:H)</f>
        <v>0</v>
      </c>
      <c r="E111">
        <f>SUMIF(RawData!$C:$C,$A111,RawData!I:I)</f>
        <v>0</v>
      </c>
      <c r="F111">
        <f>SUMIF(RawData!$C:$C,$A111,RawData!J:J)</f>
        <v>0</v>
      </c>
      <c r="G111">
        <f>SUMIF(RawData!$C:$C,$A111,RawData!K:K)</f>
        <v>0</v>
      </c>
      <c r="H111">
        <f>SUMIF(RawData!$C:$C,$A111,RawData!L:L)</f>
        <v>0</v>
      </c>
      <c r="I111">
        <f>SUMIF(RawData!$C:$C,$A111,RawData!M:M)</f>
        <v>0</v>
      </c>
      <c r="J111">
        <f>SUMIF(RawData!$C:$C,$A111,RawData!N:N)</f>
        <v>0</v>
      </c>
      <c r="K111">
        <f>SUMIF(RawData!$C:$C,$A111,RawData!O:O)</f>
        <v>0</v>
      </c>
      <c r="L111">
        <f>SUMIF(RawData!$C:$C,$A111,RawData!P:P)</f>
        <v>0</v>
      </c>
      <c r="M111">
        <f>SUMIF(RawData!$C:$C,$A111,RawData!Q:Q)</f>
        <v>0</v>
      </c>
      <c r="N111">
        <f>SUMIF(RawData!$C:$C,$A111,RawData!R:R)</f>
        <v>0</v>
      </c>
      <c r="O111">
        <f>SUMIF(RawData!$C:$C,$A111,RawData!S:S)</f>
        <v>0</v>
      </c>
      <c r="P111">
        <f>SUMIF(RawData!$C:$C,$A111,RawData!T:T)</f>
        <v>0</v>
      </c>
      <c r="Q111">
        <f>SUMIF(RawData!$C:$C,$A111,RawData!U:U)</f>
        <v>0</v>
      </c>
      <c r="R111">
        <f>SUMIF(RawData!$C:$C,$A111,RawData!V:V)</f>
        <v>0</v>
      </c>
      <c r="S111">
        <f>SUMIF(RawData!$C:$C,$A111,RawData!W:W)</f>
        <v>0</v>
      </c>
      <c r="T111">
        <f>SUMIF(RawData!$C:$C,$A111,RawData!X:X)</f>
        <v>0</v>
      </c>
      <c r="U111">
        <f>SUMIF(RawData!$C:$C,$A111,RawData!Y:Y)</f>
        <v>0</v>
      </c>
      <c r="V111">
        <f>SUMIF(RawData!$C:$C,$A111,RawData!Z:Z)</f>
        <v>0</v>
      </c>
      <c r="W111">
        <f>SUMIF(RawData!$C:$C,$A111,RawData!AA:AA)</f>
        <v>0</v>
      </c>
      <c r="X111">
        <f>SUMIF(RawData!$C:$C,$A111,RawData!AB:AB)</f>
        <v>0</v>
      </c>
      <c r="Y111">
        <f>SUMIF(RawData!$C:$C,$A111,RawData!AC:AC)</f>
        <v>0</v>
      </c>
      <c r="Z111">
        <f>SUMIF(RawData!$C:$C,$A111,RawData!AD:AD)</f>
        <v>0</v>
      </c>
      <c r="AA111">
        <f>SUMIF(RawData!$C:$C,$A111,RawData!AE:AE)</f>
        <v>0</v>
      </c>
      <c r="AB111">
        <f>SUMIF(RawData!$C:$C,$A111,RawData!AF:AF)</f>
        <v>0</v>
      </c>
      <c r="AC111">
        <f>SUMIF(RawData!$C:$C,$A111,RawData!AG:AG)</f>
        <v>0</v>
      </c>
      <c r="AD111">
        <f>SUMIF(RawData!$C:$C,$A111,RawData!AH:AH)</f>
        <v>0</v>
      </c>
      <c r="AE111">
        <f>SUMIF(RawData!$C:$C,$A111,RawData!AI:AI)</f>
        <v>0</v>
      </c>
      <c r="AF111">
        <f>SUMIF(RawData!$C:$C,$A111,RawData!AJ:AJ)</f>
        <v>0</v>
      </c>
      <c r="AG111">
        <f>SUMIF(RawData!$C:$C,$A111,RawData!AK:AK)</f>
        <v>0</v>
      </c>
      <c r="AH111">
        <f>SUMIF(RawData!$C:$C,$A111,RawData!AL:AL)</f>
        <v>0</v>
      </c>
      <c r="AI111">
        <f>SUMIF(RawData!$C:$C,$A111,RawData!AM:AM)</f>
        <v>0</v>
      </c>
      <c r="AJ111">
        <f>SUMIF(RawData!$C:$C,$A111,RawData!AN:AN)</f>
        <v>0</v>
      </c>
      <c r="AK111">
        <f>SUMIF(RawData!$C:$C,$A111,RawData!AO:AO)</f>
        <v>0</v>
      </c>
      <c r="AL111">
        <f>SUMIF(RawData!$C:$C,$A111,RawData!AP:AP)</f>
        <v>0</v>
      </c>
      <c r="AM111">
        <f>SUMIF(RawData!$C:$C,$A111,RawData!AQ:AQ)</f>
        <v>0</v>
      </c>
      <c r="AN111">
        <f>SUMIF(RawData!$C:$C,$A111,RawData!AR:AR)</f>
        <v>0</v>
      </c>
      <c r="AO111">
        <f>SUMIF(RawData!$C:$C,$A111,RawData!AS:AS)</f>
        <v>0</v>
      </c>
      <c r="AP111">
        <f>SUMIF(RawData!$C:$C,$A111,RawData!AT:AT)</f>
        <v>0</v>
      </c>
      <c r="AQ111">
        <f>SUMIF(RawData!$C:$C,$A111,RawData!AU:AU)</f>
        <v>0</v>
      </c>
      <c r="AR111">
        <f>SUMIF(RawData!$C:$C,$A111,RawData!AV:AV)</f>
        <v>0</v>
      </c>
      <c r="AS111">
        <f>SUMIF(RawData!$C:$C,$A111,RawData!AW:AW)</f>
        <v>0</v>
      </c>
      <c r="AT111">
        <f>SUMIF(RawData!$C:$C,$A111,RawData!AX:AX)</f>
        <v>0</v>
      </c>
      <c r="AU111">
        <f>SUMIF(RawData!$C:$C,$A111,RawData!AY:AY)</f>
        <v>0</v>
      </c>
      <c r="AV111">
        <f>SUMIF(RawData!$C:$C,$A111,RawData!AZ:AZ)</f>
        <v>0</v>
      </c>
      <c r="AW111">
        <f>SUMIF(RawData!$C:$C,$A111,RawData!BA:BA)</f>
        <v>0</v>
      </c>
      <c r="AX111">
        <f>SUMIF(RawData!$C:$C,$A111,RawData!BB:BB)</f>
        <v>0</v>
      </c>
      <c r="AY111">
        <f>SUMIF(RawData!$C:$C,$A111,RawData!BC:BC)</f>
        <v>0</v>
      </c>
      <c r="AZ111">
        <f>SUMIF(RawData!$C:$C,$A111,RawData!BD:BD)</f>
        <v>0</v>
      </c>
      <c r="BA111">
        <f>SUMIF(RawData!$C:$C,$A111,RawData!BE:BE)</f>
        <v>1</v>
      </c>
      <c r="BB111">
        <f>SUMIF(RawData!$C:$C,$A111,RawData!BF:BF)</f>
        <v>1</v>
      </c>
      <c r="BC111">
        <f>SUMIF(RawData!$C:$C,$A111,RawData!BG:BG)</f>
        <v>1</v>
      </c>
      <c r="BD111">
        <f>SUMIF(RawData!$C:$C,$A111,RawData!BH:BH)</f>
        <v>1</v>
      </c>
      <c r="BE111">
        <f>SUMIF(RawData!$C:$C,$A111,RawData!BI:BI)</f>
        <v>0</v>
      </c>
      <c r="BF111">
        <f>SUMIF(RawData!$C:$C,$A111,RawData!BJ:BJ)</f>
        <v>0</v>
      </c>
      <c r="BG111">
        <f>SUMIF(RawData!$C:$C,$A111,RawData!BK:BK)</f>
        <v>0</v>
      </c>
      <c r="BH111">
        <f>SUMIF(RawData!$C:$C,$A111,RawData!BL:BL)</f>
        <v>0</v>
      </c>
      <c r="BI111">
        <f>SUMIF(RawData!$C:$C,$A111,RawData!BM:BM)</f>
        <v>0</v>
      </c>
      <c r="BJ111">
        <f>SUMIF(RawData!$C:$C,$A111,RawData!BN:BN)</f>
        <v>0</v>
      </c>
      <c r="BK111">
        <f>SUMIF(RawData!$C:$C,$A111,RawData!BO:BO)</f>
        <v>0</v>
      </c>
      <c r="BL111">
        <f>SUMIF(RawData!$C:$C,$A111,RawData!BP:BP)</f>
        <v>0</v>
      </c>
      <c r="BM111">
        <f>SUMIF(RawData!$C:$C,$A111,RawData!BQ:BQ)</f>
        <v>0</v>
      </c>
      <c r="BN111">
        <f>SUMIF(RawData!$C:$C,$A111,RawData!BR:BR)</f>
        <v>0</v>
      </c>
      <c r="BO111">
        <f>SUMIF(RawData!$C:$C,$A111,RawData!BS:BS)</f>
        <v>0</v>
      </c>
      <c r="BP111">
        <f>SUMIF(RawData!$C:$C,$A111,RawData!BT:BT)</f>
        <v>0</v>
      </c>
      <c r="BQ111">
        <f>SUMIF(RawData!$C:$C,$A111,RawData!BU:BU)</f>
        <v>0</v>
      </c>
      <c r="BR111">
        <f>SUMIF(RawData!$C:$C,$A111,RawData!BV:BV)</f>
        <v>0</v>
      </c>
      <c r="BS111">
        <f>SUMIF(RawData!$C:$C,$A111,RawData!BW:BW)</f>
        <v>0</v>
      </c>
      <c r="BT111">
        <f>SUMIF(RawData!$C:$C,$A111,RawData!BX:BX)</f>
        <v>0</v>
      </c>
    </row>
    <row r="112" spans="1:72" ht="15" thickBot="1" x14ac:dyDescent="0.35">
      <c r="A112" s="5" t="s">
        <v>183</v>
      </c>
      <c r="B112">
        <f>SUMIF(RawData!$C:$C,$A112,RawData!F:F)</f>
        <v>0</v>
      </c>
      <c r="C112">
        <f>SUMIF(RawData!$C:$C,$A112,RawData!G:G)</f>
        <v>0</v>
      </c>
      <c r="D112">
        <f>SUMIF(RawData!$C:$C,$A112,RawData!H:H)</f>
        <v>0</v>
      </c>
      <c r="E112">
        <f>SUMIF(RawData!$C:$C,$A112,RawData!I:I)</f>
        <v>0</v>
      </c>
      <c r="F112">
        <f>SUMIF(RawData!$C:$C,$A112,RawData!J:J)</f>
        <v>0</v>
      </c>
      <c r="G112">
        <f>SUMIF(RawData!$C:$C,$A112,RawData!K:K)</f>
        <v>0</v>
      </c>
      <c r="H112">
        <f>SUMIF(RawData!$C:$C,$A112,RawData!L:L)</f>
        <v>0</v>
      </c>
      <c r="I112">
        <f>SUMIF(RawData!$C:$C,$A112,RawData!M:M)</f>
        <v>0</v>
      </c>
      <c r="J112">
        <f>SUMIF(RawData!$C:$C,$A112,RawData!N:N)</f>
        <v>0</v>
      </c>
      <c r="K112">
        <f>SUMIF(RawData!$C:$C,$A112,RawData!O:O)</f>
        <v>0</v>
      </c>
      <c r="L112">
        <f>SUMIF(RawData!$C:$C,$A112,RawData!P:P)</f>
        <v>0</v>
      </c>
      <c r="M112">
        <f>SUMIF(RawData!$C:$C,$A112,RawData!Q:Q)</f>
        <v>0</v>
      </c>
      <c r="N112">
        <f>SUMIF(RawData!$C:$C,$A112,RawData!R:R)</f>
        <v>0</v>
      </c>
      <c r="O112">
        <f>SUMIF(RawData!$C:$C,$A112,RawData!S:S)</f>
        <v>0</v>
      </c>
      <c r="P112">
        <f>SUMIF(RawData!$C:$C,$A112,RawData!T:T)</f>
        <v>0</v>
      </c>
      <c r="Q112">
        <f>SUMIF(RawData!$C:$C,$A112,RawData!U:U)</f>
        <v>0</v>
      </c>
      <c r="R112">
        <f>SUMIF(RawData!$C:$C,$A112,RawData!V:V)</f>
        <v>0</v>
      </c>
      <c r="S112">
        <f>SUMIF(RawData!$C:$C,$A112,RawData!W:W)</f>
        <v>0</v>
      </c>
      <c r="T112">
        <f>SUMIF(RawData!$C:$C,$A112,RawData!X:X)</f>
        <v>0</v>
      </c>
      <c r="U112">
        <f>SUMIF(RawData!$C:$C,$A112,RawData!Y:Y)</f>
        <v>0</v>
      </c>
      <c r="V112">
        <f>SUMIF(RawData!$C:$C,$A112,RawData!Z:Z)</f>
        <v>0</v>
      </c>
      <c r="W112">
        <f>SUMIF(RawData!$C:$C,$A112,RawData!AA:AA)</f>
        <v>0</v>
      </c>
      <c r="X112">
        <f>SUMIF(RawData!$C:$C,$A112,RawData!AB:AB)</f>
        <v>0</v>
      </c>
      <c r="Y112">
        <f>SUMIF(RawData!$C:$C,$A112,RawData!AC:AC)</f>
        <v>0</v>
      </c>
      <c r="Z112">
        <f>SUMIF(RawData!$C:$C,$A112,RawData!AD:AD)</f>
        <v>0</v>
      </c>
      <c r="AA112">
        <f>SUMIF(RawData!$C:$C,$A112,RawData!AE:AE)</f>
        <v>0</v>
      </c>
      <c r="AB112">
        <f>SUMIF(RawData!$C:$C,$A112,RawData!AF:AF)</f>
        <v>0</v>
      </c>
      <c r="AC112">
        <f>SUMIF(RawData!$C:$C,$A112,RawData!AG:AG)</f>
        <v>0</v>
      </c>
      <c r="AD112">
        <f>SUMIF(RawData!$C:$C,$A112,RawData!AH:AH)</f>
        <v>0</v>
      </c>
      <c r="AE112">
        <f>SUMIF(RawData!$C:$C,$A112,RawData!AI:AI)</f>
        <v>0</v>
      </c>
      <c r="AF112">
        <f>SUMIF(RawData!$C:$C,$A112,RawData!AJ:AJ)</f>
        <v>0</v>
      </c>
      <c r="AG112">
        <f>SUMIF(RawData!$C:$C,$A112,RawData!AK:AK)</f>
        <v>0</v>
      </c>
      <c r="AH112">
        <f>SUMIF(RawData!$C:$C,$A112,RawData!AL:AL)</f>
        <v>0</v>
      </c>
      <c r="AI112">
        <f>SUMIF(RawData!$C:$C,$A112,RawData!AM:AM)</f>
        <v>0</v>
      </c>
      <c r="AJ112">
        <f>SUMIF(RawData!$C:$C,$A112,RawData!AN:AN)</f>
        <v>0</v>
      </c>
      <c r="AK112">
        <f>SUMIF(RawData!$C:$C,$A112,RawData!AO:AO)</f>
        <v>0</v>
      </c>
      <c r="AL112">
        <f>SUMIF(RawData!$C:$C,$A112,RawData!AP:AP)</f>
        <v>0</v>
      </c>
      <c r="AM112">
        <f>SUMIF(RawData!$C:$C,$A112,RawData!AQ:AQ)</f>
        <v>0</v>
      </c>
      <c r="AN112">
        <f>SUMIF(RawData!$C:$C,$A112,RawData!AR:AR)</f>
        <v>0</v>
      </c>
      <c r="AO112">
        <f>SUMIF(RawData!$C:$C,$A112,RawData!AS:AS)</f>
        <v>0</v>
      </c>
      <c r="AP112">
        <f>SUMIF(RawData!$C:$C,$A112,RawData!AT:AT)</f>
        <v>0</v>
      </c>
      <c r="AQ112">
        <f>SUMIF(RawData!$C:$C,$A112,RawData!AU:AU)</f>
        <v>0</v>
      </c>
      <c r="AR112">
        <f>SUMIF(RawData!$C:$C,$A112,RawData!AV:AV)</f>
        <v>0</v>
      </c>
      <c r="AS112">
        <f>SUMIF(RawData!$C:$C,$A112,RawData!AW:AW)</f>
        <v>0</v>
      </c>
      <c r="AT112">
        <f>SUMIF(RawData!$C:$C,$A112,RawData!AX:AX)</f>
        <v>1</v>
      </c>
      <c r="AU112">
        <f>SUMIF(RawData!$C:$C,$A112,RawData!AY:AY)</f>
        <v>1</v>
      </c>
      <c r="AV112">
        <f>SUMIF(RawData!$C:$C,$A112,RawData!AZ:AZ)</f>
        <v>1</v>
      </c>
      <c r="AW112">
        <f>SUMIF(RawData!$C:$C,$A112,RawData!BA:BA)</f>
        <v>1</v>
      </c>
      <c r="AX112">
        <f>SUMIF(RawData!$C:$C,$A112,RawData!BB:BB)</f>
        <v>1</v>
      </c>
      <c r="AY112">
        <f>SUMIF(RawData!$C:$C,$A112,RawData!BC:BC)</f>
        <v>1</v>
      </c>
      <c r="AZ112">
        <f>SUMIF(RawData!$C:$C,$A112,RawData!BD:BD)</f>
        <v>1</v>
      </c>
      <c r="BA112">
        <f>SUMIF(RawData!$C:$C,$A112,RawData!BE:BE)</f>
        <v>1</v>
      </c>
      <c r="BB112">
        <f>SUMIF(RawData!$C:$C,$A112,RawData!BF:BF)</f>
        <v>1</v>
      </c>
      <c r="BC112">
        <f>SUMIF(RawData!$C:$C,$A112,RawData!BG:BG)</f>
        <v>1</v>
      </c>
      <c r="BD112">
        <f>SUMIF(RawData!$C:$C,$A112,RawData!BH:BH)</f>
        <v>1</v>
      </c>
      <c r="BE112">
        <f>SUMIF(RawData!$C:$C,$A112,RawData!BI:BI)</f>
        <v>0</v>
      </c>
      <c r="BF112">
        <f>SUMIF(RawData!$C:$C,$A112,RawData!BJ:BJ)</f>
        <v>0</v>
      </c>
      <c r="BG112">
        <f>SUMIF(RawData!$C:$C,$A112,RawData!BK:BK)</f>
        <v>0</v>
      </c>
      <c r="BH112">
        <f>SUMIF(RawData!$C:$C,$A112,RawData!BL:BL)</f>
        <v>0</v>
      </c>
      <c r="BI112">
        <f>SUMIF(RawData!$C:$C,$A112,RawData!BM:BM)</f>
        <v>0</v>
      </c>
      <c r="BJ112">
        <f>SUMIF(RawData!$C:$C,$A112,RawData!BN:BN)</f>
        <v>0</v>
      </c>
      <c r="BK112">
        <f>SUMIF(RawData!$C:$C,$A112,RawData!BO:BO)</f>
        <v>0</v>
      </c>
      <c r="BL112">
        <f>SUMIF(RawData!$C:$C,$A112,RawData!BP:BP)</f>
        <v>0</v>
      </c>
      <c r="BM112">
        <f>SUMIF(RawData!$C:$C,$A112,RawData!BQ:BQ)</f>
        <v>0</v>
      </c>
      <c r="BN112">
        <f>SUMIF(RawData!$C:$C,$A112,RawData!BR:BR)</f>
        <v>0</v>
      </c>
      <c r="BO112">
        <f>SUMIF(RawData!$C:$C,$A112,RawData!BS:BS)</f>
        <v>0</v>
      </c>
      <c r="BP112">
        <f>SUMIF(RawData!$C:$C,$A112,RawData!BT:BT)</f>
        <v>0</v>
      </c>
      <c r="BQ112">
        <f>SUMIF(RawData!$C:$C,$A112,RawData!BU:BU)</f>
        <v>0</v>
      </c>
      <c r="BR112">
        <f>SUMIF(RawData!$C:$C,$A112,RawData!BV:BV)</f>
        <v>0</v>
      </c>
      <c r="BS112">
        <f>SUMIF(RawData!$C:$C,$A112,RawData!BW:BW)</f>
        <v>0</v>
      </c>
      <c r="BT112">
        <f>SUMIF(RawData!$C:$C,$A112,RawData!BX:BX)</f>
        <v>0</v>
      </c>
    </row>
    <row r="113" spans="1:72" ht="15" thickBot="1" x14ac:dyDescent="0.35">
      <c r="A113" s="5" t="s">
        <v>443</v>
      </c>
      <c r="B113">
        <f>SUMIF(RawData!$C:$C,$A113,RawData!F:F)</f>
        <v>0</v>
      </c>
      <c r="C113">
        <f>SUMIF(RawData!$C:$C,$A113,RawData!G:G)</f>
        <v>0</v>
      </c>
      <c r="D113">
        <f>SUMIF(RawData!$C:$C,$A113,RawData!H:H)</f>
        <v>0</v>
      </c>
      <c r="E113">
        <f>SUMIF(RawData!$C:$C,$A113,RawData!I:I)</f>
        <v>0</v>
      </c>
      <c r="F113">
        <f>SUMIF(RawData!$C:$C,$A113,RawData!J:J)</f>
        <v>0</v>
      </c>
      <c r="G113">
        <f>SUMIF(RawData!$C:$C,$A113,RawData!K:K)</f>
        <v>0</v>
      </c>
      <c r="H113">
        <f>SUMIF(RawData!$C:$C,$A113,RawData!L:L)</f>
        <v>0</v>
      </c>
      <c r="I113">
        <f>SUMIF(RawData!$C:$C,$A113,RawData!M:M)</f>
        <v>0</v>
      </c>
      <c r="J113">
        <f>SUMIF(RawData!$C:$C,$A113,RawData!N:N)</f>
        <v>0</v>
      </c>
      <c r="K113">
        <f>SUMIF(RawData!$C:$C,$A113,RawData!O:O)</f>
        <v>0</v>
      </c>
      <c r="L113">
        <f>SUMIF(RawData!$C:$C,$A113,RawData!P:P)</f>
        <v>0</v>
      </c>
      <c r="M113">
        <f>SUMIF(RawData!$C:$C,$A113,RawData!Q:Q)</f>
        <v>0</v>
      </c>
      <c r="N113">
        <f>SUMIF(RawData!$C:$C,$A113,RawData!R:R)</f>
        <v>0</v>
      </c>
      <c r="O113">
        <f>SUMIF(RawData!$C:$C,$A113,RawData!S:S)</f>
        <v>0</v>
      </c>
      <c r="P113">
        <f>SUMIF(RawData!$C:$C,$A113,RawData!T:T)</f>
        <v>0</v>
      </c>
      <c r="Q113">
        <f>SUMIF(RawData!$C:$C,$A113,RawData!U:U)</f>
        <v>0</v>
      </c>
      <c r="R113">
        <f>SUMIF(RawData!$C:$C,$A113,RawData!V:V)</f>
        <v>0</v>
      </c>
      <c r="S113">
        <f>SUMIF(RawData!$C:$C,$A113,RawData!W:W)</f>
        <v>0</v>
      </c>
      <c r="T113">
        <f>SUMIF(RawData!$C:$C,$A113,RawData!X:X)</f>
        <v>0</v>
      </c>
      <c r="U113">
        <f>SUMIF(RawData!$C:$C,$A113,RawData!Y:Y)</f>
        <v>0</v>
      </c>
      <c r="V113">
        <f>SUMIF(RawData!$C:$C,$A113,RawData!Z:Z)</f>
        <v>0</v>
      </c>
      <c r="W113">
        <f>SUMIF(RawData!$C:$C,$A113,RawData!AA:AA)</f>
        <v>0</v>
      </c>
      <c r="X113">
        <f>SUMIF(RawData!$C:$C,$A113,RawData!AB:AB)</f>
        <v>0</v>
      </c>
      <c r="Y113">
        <f>SUMIF(RawData!$C:$C,$A113,RawData!AC:AC)</f>
        <v>0</v>
      </c>
      <c r="Z113">
        <f>SUMIF(RawData!$C:$C,$A113,RawData!AD:AD)</f>
        <v>0</v>
      </c>
      <c r="AA113">
        <f>SUMIF(RawData!$C:$C,$A113,RawData!AE:AE)</f>
        <v>0</v>
      </c>
      <c r="AB113">
        <f>SUMIF(RawData!$C:$C,$A113,RawData!AF:AF)</f>
        <v>0</v>
      </c>
      <c r="AC113">
        <f>SUMIF(RawData!$C:$C,$A113,RawData!AG:AG)</f>
        <v>0</v>
      </c>
      <c r="AD113">
        <f>SUMIF(RawData!$C:$C,$A113,RawData!AH:AH)</f>
        <v>0</v>
      </c>
      <c r="AE113">
        <f>SUMIF(RawData!$C:$C,$A113,RawData!AI:AI)</f>
        <v>0</v>
      </c>
      <c r="AF113">
        <f>SUMIF(RawData!$C:$C,$A113,RawData!AJ:AJ)</f>
        <v>0</v>
      </c>
      <c r="AG113">
        <f>SUMIF(RawData!$C:$C,$A113,RawData!AK:AK)</f>
        <v>0</v>
      </c>
      <c r="AH113">
        <f>SUMIF(RawData!$C:$C,$A113,RawData!AL:AL)</f>
        <v>0</v>
      </c>
      <c r="AI113">
        <f>SUMIF(RawData!$C:$C,$A113,RawData!AM:AM)</f>
        <v>0</v>
      </c>
      <c r="AJ113">
        <f>SUMIF(RawData!$C:$C,$A113,RawData!AN:AN)</f>
        <v>0</v>
      </c>
      <c r="AK113">
        <f>SUMIF(RawData!$C:$C,$A113,RawData!AO:AO)</f>
        <v>0</v>
      </c>
      <c r="AL113">
        <f>SUMIF(RawData!$C:$C,$A113,RawData!AP:AP)</f>
        <v>0</v>
      </c>
      <c r="AM113">
        <f>SUMIF(RawData!$C:$C,$A113,RawData!AQ:AQ)</f>
        <v>0</v>
      </c>
      <c r="AN113">
        <f>SUMIF(RawData!$C:$C,$A113,RawData!AR:AR)</f>
        <v>0</v>
      </c>
      <c r="AO113">
        <f>SUMIF(RawData!$C:$C,$A113,RawData!AS:AS)</f>
        <v>0</v>
      </c>
      <c r="AP113">
        <f>SUMIF(RawData!$C:$C,$A113,RawData!AT:AT)</f>
        <v>0</v>
      </c>
      <c r="AQ113">
        <f>SUMIF(RawData!$C:$C,$A113,RawData!AU:AU)</f>
        <v>0</v>
      </c>
      <c r="AR113">
        <f>SUMIF(RawData!$C:$C,$A113,RawData!AV:AV)</f>
        <v>0</v>
      </c>
      <c r="AS113">
        <f>SUMIF(RawData!$C:$C,$A113,RawData!AW:AW)</f>
        <v>0</v>
      </c>
      <c r="AT113">
        <f>SUMIF(RawData!$C:$C,$A113,RawData!AX:AX)</f>
        <v>0</v>
      </c>
      <c r="AU113">
        <f>SUMIF(RawData!$C:$C,$A113,RawData!AY:AY)</f>
        <v>0</v>
      </c>
      <c r="AV113">
        <f>SUMIF(RawData!$C:$C,$A113,RawData!AZ:AZ)</f>
        <v>0</v>
      </c>
      <c r="AW113">
        <f>SUMIF(RawData!$C:$C,$A113,RawData!BA:BA)</f>
        <v>0</v>
      </c>
      <c r="AX113">
        <f>SUMIF(RawData!$C:$C,$A113,RawData!BB:BB)</f>
        <v>0</v>
      </c>
      <c r="AY113">
        <f>SUMIF(RawData!$C:$C,$A113,RawData!BC:BC)</f>
        <v>0</v>
      </c>
      <c r="AZ113">
        <f>SUMIF(RawData!$C:$C,$A113,RawData!BD:BD)</f>
        <v>0</v>
      </c>
      <c r="BA113">
        <f>SUMIF(RawData!$C:$C,$A113,RawData!BE:BE)</f>
        <v>0</v>
      </c>
      <c r="BB113">
        <f>SUMIF(RawData!$C:$C,$A113,RawData!BF:BF)</f>
        <v>0</v>
      </c>
      <c r="BC113">
        <f>SUMIF(RawData!$C:$C,$A113,RawData!BG:BG)</f>
        <v>0</v>
      </c>
      <c r="BD113">
        <f>SUMIF(RawData!$C:$C,$A113,RawData!BH:BH)</f>
        <v>0</v>
      </c>
      <c r="BE113">
        <f>SUMIF(RawData!$C:$C,$A113,RawData!BI:BI)</f>
        <v>0</v>
      </c>
      <c r="BF113">
        <f>SUMIF(RawData!$C:$C,$A113,RawData!BJ:BJ)</f>
        <v>0</v>
      </c>
      <c r="BG113">
        <f>SUMIF(RawData!$C:$C,$A113,RawData!BK:BK)</f>
        <v>0</v>
      </c>
      <c r="BH113">
        <f>SUMIF(RawData!$C:$C,$A113,RawData!BL:BL)</f>
        <v>0</v>
      </c>
      <c r="BI113">
        <f>SUMIF(RawData!$C:$C,$A113,RawData!BM:BM)</f>
        <v>0</v>
      </c>
      <c r="BJ113">
        <f>SUMIF(RawData!$C:$C,$A113,RawData!BN:BN)</f>
        <v>0</v>
      </c>
      <c r="BK113">
        <f>SUMIF(RawData!$C:$C,$A113,RawData!BO:BO)</f>
        <v>0</v>
      </c>
      <c r="BL113">
        <f>SUMIF(RawData!$C:$C,$A113,RawData!BP:BP)</f>
        <v>0</v>
      </c>
      <c r="BM113">
        <f>SUMIF(RawData!$C:$C,$A113,RawData!BQ:BQ)</f>
        <v>0</v>
      </c>
      <c r="BN113">
        <f>SUMIF(RawData!$C:$C,$A113,RawData!BR:BR)</f>
        <v>0</v>
      </c>
      <c r="BO113">
        <f>SUMIF(RawData!$C:$C,$A113,RawData!BS:BS)</f>
        <v>0</v>
      </c>
      <c r="BP113">
        <f>SUMIF(RawData!$C:$C,$A113,RawData!BT:BT)</f>
        <v>0</v>
      </c>
      <c r="BQ113">
        <f>SUMIF(RawData!$C:$C,$A113,RawData!BU:BU)</f>
        <v>0</v>
      </c>
      <c r="BR113">
        <f>SUMIF(RawData!$C:$C,$A113,RawData!BV:BV)</f>
        <v>0</v>
      </c>
      <c r="BS113">
        <f>SUMIF(RawData!$C:$C,$A113,RawData!BW:BW)</f>
        <v>0</v>
      </c>
      <c r="BT113">
        <f>SUMIF(RawData!$C:$C,$A113,RawData!BX:BX)</f>
        <v>0</v>
      </c>
    </row>
    <row r="114" spans="1:72" ht="15" thickBot="1" x14ac:dyDescent="0.35">
      <c r="A114" s="4" t="s">
        <v>380</v>
      </c>
      <c r="B114">
        <f>SUMIF(RawData!$C:$C,$A114,RawData!F:F)</f>
        <v>0</v>
      </c>
      <c r="C114">
        <f>SUMIF(RawData!$C:$C,$A114,RawData!G:G)</f>
        <v>0</v>
      </c>
      <c r="D114">
        <f>SUMIF(RawData!$C:$C,$A114,RawData!H:H)</f>
        <v>0</v>
      </c>
      <c r="E114">
        <f>SUMIF(RawData!$C:$C,$A114,RawData!I:I)</f>
        <v>0</v>
      </c>
      <c r="F114">
        <f>SUMIF(RawData!$C:$C,$A114,RawData!J:J)</f>
        <v>0</v>
      </c>
      <c r="G114">
        <f>SUMIF(RawData!$C:$C,$A114,RawData!K:K)</f>
        <v>0</v>
      </c>
      <c r="H114">
        <f>SUMIF(RawData!$C:$C,$A114,RawData!L:L)</f>
        <v>0</v>
      </c>
      <c r="I114">
        <f>SUMIF(RawData!$C:$C,$A114,RawData!M:M)</f>
        <v>0</v>
      </c>
      <c r="J114">
        <f>SUMIF(RawData!$C:$C,$A114,RawData!N:N)</f>
        <v>0</v>
      </c>
      <c r="K114">
        <f>SUMIF(RawData!$C:$C,$A114,RawData!O:O)</f>
        <v>0</v>
      </c>
      <c r="L114">
        <f>SUMIF(RawData!$C:$C,$A114,RawData!P:P)</f>
        <v>0</v>
      </c>
      <c r="M114">
        <f>SUMIF(RawData!$C:$C,$A114,RawData!Q:Q)</f>
        <v>0</v>
      </c>
      <c r="N114">
        <f>SUMIF(RawData!$C:$C,$A114,RawData!R:R)</f>
        <v>0</v>
      </c>
      <c r="O114">
        <f>SUMIF(RawData!$C:$C,$A114,RawData!S:S)</f>
        <v>0</v>
      </c>
      <c r="P114">
        <f>SUMIF(RawData!$C:$C,$A114,RawData!T:T)</f>
        <v>0</v>
      </c>
      <c r="Q114">
        <f>SUMIF(RawData!$C:$C,$A114,RawData!U:U)</f>
        <v>0</v>
      </c>
      <c r="R114">
        <f>SUMIF(RawData!$C:$C,$A114,RawData!V:V)</f>
        <v>0</v>
      </c>
      <c r="S114">
        <f>SUMIF(RawData!$C:$C,$A114,RawData!W:W)</f>
        <v>0</v>
      </c>
      <c r="T114">
        <f>SUMIF(RawData!$C:$C,$A114,RawData!X:X)</f>
        <v>0</v>
      </c>
      <c r="U114">
        <f>SUMIF(RawData!$C:$C,$A114,RawData!Y:Y)</f>
        <v>0</v>
      </c>
      <c r="V114">
        <f>SUMIF(RawData!$C:$C,$A114,RawData!Z:Z)</f>
        <v>0</v>
      </c>
      <c r="W114">
        <f>SUMIF(RawData!$C:$C,$A114,RawData!AA:AA)</f>
        <v>0</v>
      </c>
      <c r="X114">
        <f>SUMIF(RawData!$C:$C,$A114,RawData!AB:AB)</f>
        <v>0</v>
      </c>
      <c r="Y114">
        <f>SUMIF(RawData!$C:$C,$A114,RawData!AC:AC)</f>
        <v>0</v>
      </c>
      <c r="Z114">
        <f>SUMIF(RawData!$C:$C,$A114,RawData!AD:AD)</f>
        <v>0</v>
      </c>
      <c r="AA114">
        <f>SUMIF(RawData!$C:$C,$A114,RawData!AE:AE)</f>
        <v>0</v>
      </c>
      <c r="AB114">
        <f>SUMIF(RawData!$C:$C,$A114,RawData!AF:AF)</f>
        <v>0</v>
      </c>
      <c r="AC114">
        <f>SUMIF(RawData!$C:$C,$A114,RawData!AG:AG)</f>
        <v>0</v>
      </c>
      <c r="AD114">
        <f>SUMIF(RawData!$C:$C,$A114,RawData!AH:AH)</f>
        <v>0</v>
      </c>
      <c r="AE114">
        <f>SUMIF(RawData!$C:$C,$A114,RawData!AI:AI)</f>
        <v>0</v>
      </c>
      <c r="AF114">
        <f>SUMIF(RawData!$C:$C,$A114,RawData!AJ:AJ)</f>
        <v>0</v>
      </c>
      <c r="AG114">
        <f>SUMIF(RawData!$C:$C,$A114,RawData!AK:AK)</f>
        <v>0</v>
      </c>
      <c r="AH114">
        <f>SUMIF(RawData!$C:$C,$A114,RawData!AL:AL)</f>
        <v>0</v>
      </c>
      <c r="AI114">
        <f>SUMIF(RawData!$C:$C,$A114,RawData!AM:AM)</f>
        <v>0</v>
      </c>
      <c r="AJ114">
        <f>SUMIF(RawData!$C:$C,$A114,RawData!AN:AN)</f>
        <v>0</v>
      </c>
      <c r="AK114">
        <f>SUMIF(RawData!$C:$C,$A114,RawData!AO:AO)</f>
        <v>0</v>
      </c>
      <c r="AL114">
        <f>SUMIF(RawData!$C:$C,$A114,RawData!AP:AP)</f>
        <v>0</v>
      </c>
      <c r="AM114">
        <f>SUMIF(RawData!$C:$C,$A114,RawData!AQ:AQ)</f>
        <v>0</v>
      </c>
      <c r="AN114">
        <f>SUMIF(RawData!$C:$C,$A114,RawData!AR:AR)</f>
        <v>0</v>
      </c>
      <c r="AO114">
        <f>SUMIF(RawData!$C:$C,$A114,RawData!AS:AS)</f>
        <v>0</v>
      </c>
      <c r="AP114">
        <f>SUMIF(RawData!$C:$C,$A114,RawData!AT:AT)</f>
        <v>0</v>
      </c>
      <c r="AQ114">
        <f>SUMIF(RawData!$C:$C,$A114,RawData!AU:AU)</f>
        <v>0</v>
      </c>
      <c r="AR114">
        <f>SUMIF(RawData!$C:$C,$A114,RawData!AV:AV)</f>
        <v>0</v>
      </c>
      <c r="AS114">
        <f>SUMIF(RawData!$C:$C,$A114,RawData!AW:AW)</f>
        <v>0</v>
      </c>
      <c r="AT114">
        <f>SUMIF(RawData!$C:$C,$A114,RawData!AX:AX)</f>
        <v>0</v>
      </c>
      <c r="AU114">
        <f>SUMIF(RawData!$C:$C,$A114,RawData!AY:AY)</f>
        <v>0</v>
      </c>
      <c r="AV114">
        <f>SUMIF(RawData!$C:$C,$A114,RawData!AZ:AZ)</f>
        <v>0</v>
      </c>
      <c r="AW114">
        <f>SUMIF(RawData!$C:$C,$A114,RawData!BA:BA)</f>
        <v>0</v>
      </c>
      <c r="AX114">
        <f>SUMIF(RawData!$C:$C,$A114,RawData!BB:BB)</f>
        <v>0</v>
      </c>
      <c r="AY114">
        <f>SUMIF(RawData!$C:$C,$A114,RawData!BC:BC)</f>
        <v>1</v>
      </c>
      <c r="AZ114">
        <f>SUMIF(RawData!$C:$C,$A114,RawData!BD:BD)</f>
        <v>1</v>
      </c>
      <c r="BA114">
        <f>SUMIF(RawData!$C:$C,$A114,RawData!BE:BE)</f>
        <v>1</v>
      </c>
      <c r="BB114">
        <f>SUMIF(RawData!$C:$C,$A114,RawData!BF:BF)</f>
        <v>1</v>
      </c>
      <c r="BC114">
        <f>SUMIF(RawData!$C:$C,$A114,RawData!BG:BG)</f>
        <v>1</v>
      </c>
      <c r="BD114">
        <f>SUMIF(RawData!$C:$C,$A114,RawData!BH:BH)</f>
        <v>1</v>
      </c>
      <c r="BE114">
        <f>SUMIF(RawData!$C:$C,$A114,RawData!BI:BI)</f>
        <v>0</v>
      </c>
      <c r="BF114">
        <f>SUMIF(RawData!$C:$C,$A114,RawData!BJ:BJ)</f>
        <v>0</v>
      </c>
      <c r="BG114">
        <f>SUMIF(RawData!$C:$C,$A114,RawData!BK:BK)</f>
        <v>0</v>
      </c>
      <c r="BH114">
        <f>SUMIF(RawData!$C:$C,$A114,RawData!BL:BL)</f>
        <v>0</v>
      </c>
      <c r="BI114">
        <f>SUMIF(RawData!$C:$C,$A114,RawData!BM:BM)</f>
        <v>0</v>
      </c>
      <c r="BJ114">
        <f>SUMIF(RawData!$C:$C,$A114,RawData!BN:BN)</f>
        <v>0</v>
      </c>
      <c r="BK114">
        <f>SUMIF(RawData!$C:$C,$A114,RawData!BO:BO)</f>
        <v>0</v>
      </c>
      <c r="BL114">
        <f>SUMIF(RawData!$C:$C,$A114,RawData!BP:BP)</f>
        <v>0</v>
      </c>
      <c r="BM114">
        <f>SUMIF(RawData!$C:$C,$A114,RawData!BQ:BQ)</f>
        <v>0</v>
      </c>
      <c r="BN114">
        <f>SUMIF(RawData!$C:$C,$A114,RawData!BR:BR)</f>
        <v>0</v>
      </c>
      <c r="BO114">
        <f>SUMIF(RawData!$C:$C,$A114,RawData!BS:BS)</f>
        <v>0</v>
      </c>
      <c r="BP114">
        <f>SUMIF(RawData!$C:$C,$A114,RawData!BT:BT)</f>
        <v>0</v>
      </c>
      <c r="BQ114">
        <f>SUMIF(RawData!$C:$C,$A114,RawData!BU:BU)</f>
        <v>0</v>
      </c>
      <c r="BR114">
        <f>SUMIF(RawData!$C:$C,$A114,RawData!BV:BV)</f>
        <v>0</v>
      </c>
      <c r="BS114">
        <f>SUMIF(RawData!$C:$C,$A114,RawData!BW:BW)</f>
        <v>0</v>
      </c>
      <c r="BT114">
        <f>SUMIF(RawData!$C:$C,$A114,RawData!BX:BX)</f>
        <v>0</v>
      </c>
    </row>
    <row r="115" spans="1:72" ht="15" thickBot="1" x14ac:dyDescent="0.35">
      <c r="A115" s="5" t="s">
        <v>447</v>
      </c>
      <c r="B115">
        <f>SUMIF(RawData!$C:$C,$A115,RawData!F:F)</f>
        <v>0</v>
      </c>
      <c r="C115">
        <f>SUMIF(RawData!$C:$C,$A115,RawData!G:G)</f>
        <v>0</v>
      </c>
      <c r="D115">
        <f>SUMIF(RawData!$C:$C,$A115,RawData!H:H)</f>
        <v>0</v>
      </c>
      <c r="E115">
        <f>SUMIF(RawData!$C:$C,$A115,RawData!I:I)</f>
        <v>0</v>
      </c>
      <c r="F115">
        <f>SUMIF(RawData!$C:$C,$A115,RawData!J:J)</f>
        <v>0</v>
      </c>
      <c r="G115">
        <f>SUMIF(RawData!$C:$C,$A115,RawData!K:K)</f>
        <v>0</v>
      </c>
      <c r="H115">
        <f>SUMIF(RawData!$C:$C,$A115,RawData!L:L)</f>
        <v>0</v>
      </c>
      <c r="I115">
        <f>SUMIF(RawData!$C:$C,$A115,RawData!M:M)</f>
        <v>0</v>
      </c>
      <c r="J115">
        <f>SUMIF(RawData!$C:$C,$A115,RawData!N:N)</f>
        <v>0</v>
      </c>
      <c r="K115">
        <f>SUMIF(RawData!$C:$C,$A115,RawData!O:O)</f>
        <v>0</v>
      </c>
      <c r="L115">
        <f>SUMIF(RawData!$C:$C,$A115,RawData!P:P)</f>
        <v>0</v>
      </c>
      <c r="M115">
        <f>SUMIF(RawData!$C:$C,$A115,RawData!Q:Q)</f>
        <v>0</v>
      </c>
      <c r="N115">
        <f>SUMIF(RawData!$C:$C,$A115,RawData!R:R)</f>
        <v>0</v>
      </c>
      <c r="O115">
        <f>SUMIF(RawData!$C:$C,$A115,RawData!S:S)</f>
        <v>0</v>
      </c>
      <c r="P115">
        <f>SUMIF(RawData!$C:$C,$A115,RawData!T:T)</f>
        <v>0</v>
      </c>
      <c r="Q115">
        <f>SUMIF(RawData!$C:$C,$A115,RawData!U:U)</f>
        <v>0</v>
      </c>
      <c r="R115">
        <f>SUMIF(RawData!$C:$C,$A115,RawData!V:V)</f>
        <v>0</v>
      </c>
      <c r="S115">
        <f>SUMIF(RawData!$C:$C,$A115,RawData!W:W)</f>
        <v>0</v>
      </c>
      <c r="T115">
        <f>SUMIF(RawData!$C:$C,$A115,RawData!X:X)</f>
        <v>0</v>
      </c>
      <c r="U115">
        <f>SUMIF(RawData!$C:$C,$A115,RawData!Y:Y)</f>
        <v>0</v>
      </c>
      <c r="V115">
        <f>SUMIF(RawData!$C:$C,$A115,RawData!Z:Z)</f>
        <v>0</v>
      </c>
      <c r="W115">
        <f>SUMIF(RawData!$C:$C,$A115,RawData!AA:AA)</f>
        <v>0</v>
      </c>
      <c r="X115">
        <f>SUMIF(RawData!$C:$C,$A115,RawData!AB:AB)</f>
        <v>0</v>
      </c>
      <c r="Y115">
        <f>SUMIF(RawData!$C:$C,$A115,RawData!AC:AC)</f>
        <v>0</v>
      </c>
      <c r="Z115">
        <f>SUMIF(RawData!$C:$C,$A115,RawData!AD:AD)</f>
        <v>0</v>
      </c>
      <c r="AA115">
        <f>SUMIF(RawData!$C:$C,$A115,RawData!AE:AE)</f>
        <v>0</v>
      </c>
      <c r="AB115">
        <f>SUMIF(RawData!$C:$C,$A115,RawData!AF:AF)</f>
        <v>0</v>
      </c>
      <c r="AC115">
        <f>SUMIF(RawData!$C:$C,$A115,RawData!AG:AG)</f>
        <v>0</v>
      </c>
      <c r="AD115">
        <f>SUMIF(RawData!$C:$C,$A115,RawData!AH:AH)</f>
        <v>0</v>
      </c>
      <c r="AE115">
        <f>SUMIF(RawData!$C:$C,$A115,RawData!AI:AI)</f>
        <v>0</v>
      </c>
      <c r="AF115">
        <f>SUMIF(RawData!$C:$C,$A115,RawData!AJ:AJ)</f>
        <v>0</v>
      </c>
      <c r="AG115">
        <f>SUMIF(RawData!$C:$C,$A115,RawData!AK:AK)</f>
        <v>0</v>
      </c>
      <c r="AH115">
        <f>SUMIF(RawData!$C:$C,$A115,RawData!AL:AL)</f>
        <v>0</v>
      </c>
      <c r="AI115">
        <f>SUMIF(RawData!$C:$C,$A115,RawData!AM:AM)</f>
        <v>0</v>
      </c>
      <c r="AJ115">
        <f>SUMIF(RawData!$C:$C,$A115,RawData!AN:AN)</f>
        <v>0</v>
      </c>
      <c r="AK115">
        <f>SUMIF(RawData!$C:$C,$A115,RawData!AO:AO)</f>
        <v>0</v>
      </c>
      <c r="AL115">
        <f>SUMIF(RawData!$C:$C,$A115,RawData!AP:AP)</f>
        <v>0</v>
      </c>
      <c r="AM115">
        <f>SUMIF(RawData!$C:$C,$A115,RawData!AQ:AQ)</f>
        <v>0</v>
      </c>
      <c r="AN115">
        <f>SUMIF(RawData!$C:$C,$A115,RawData!AR:AR)</f>
        <v>0</v>
      </c>
      <c r="AO115">
        <f>SUMIF(RawData!$C:$C,$A115,RawData!AS:AS)</f>
        <v>0</v>
      </c>
      <c r="AP115">
        <f>SUMIF(RawData!$C:$C,$A115,RawData!AT:AT)</f>
        <v>0</v>
      </c>
      <c r="AQ115">
        <f>SUMIF(RawData!$C:$C,$A115,RawData!AU:AU)</f>
        <v>0</v>
      </c>
      <c r="AR115">
        <f>SUMIF(RawData!$C:$C,$A115,RawData!AV:AV)</f>
        <v>0</v>
      </c>
      <c r="AS115">
        <f>SUMIF(RawData!$C:$C,$A115,RawData!AW:AW)</f>
        <v>0</v>
      </c>
      <c r="AT115">
        <f>SUMIF(RawData!$C:$C,$A115,RawData!AX:AX)</f>
        <v>0</v>
      </c>
      <c r="AU115">
        <f>SUMIF(RawData!$C:$C,$A115,RawData!AY:AY)</f>
        <v>0</v>
      </c>
      <c r="AV115">
        <f>SUMIF(RawData!$C:$C,$A115,RawData!AZ:AZ)</f>
        <v>0</v>
      </c>
      <c r="AW115">
        <f>SUMIF(RawData!$C:$C,$A115,RawData!BA:BA)</f>
        <v>0</v>
      </c>
      <c r="AX115">
        <f>SUMIF(RawData!$C:$C,$A115,RawData!BB:BB)</f>
        <v>0</v>
      </c>
      <c r="AY115">
        <f>SUMIF(RawData!$C:$C,$A115,RawData!BC:BC)</f>
        <v>0</v>
      </c>
      <c r="AZ115">
        <f>SUMIF(RawData!$C:$C,$A115,RawData!BD:BD)</f>
        <v>0</v>
      </c>
      <c r="BA115">
        <f>SUMIF(RawData!$C:$C,$A115,RawData!BE:BE)</f>
        <v>1</v>
      </c>
      <c r="BB115">
        <f>SUMIF(RawData!$C:$C,$A115,RawData!BF:BF)</f>
        <v>1</v>
      </c>
      <c r="BC115">
        <f>SUMIF(RawData!$C:$C,$A115,RawData!BG:BG)</f>
        <v>1</v>
      </c>
      <c r="BD115">
        <f>SUMIF(RawData!$C:$C,$A115,RawData!BH:BH)</f>
        <v>5</v>
      </c>
      <c r="BE115">
        <f>SUMIF(RawData!$C:$C,$A115,RawData!BI:BI)</f>
        <v>0</v>
      </c>
      <c r="BF115">
        <f>SUMIF(RawData!$C:$C,$A115,RawData!BJ:BJ)</f>
        <v>0</v>
      </c>
      <c r="BG115">
        <f>SUMIF(RawData!$C:$C,$A115,RawData!BK:BK)</f>
        <v>0</v>
      </c>
      <c r="BH115">
        <f>SUMIF(RawData!$C:$C,$A115,RawData!BL:BL)</f>
        <v>0</v>
      </c>
      <c r="BI115">
        <f>SUMIF(RawData!$C:$C,$A115,RawData!BM:BM)</f>
        <v>0</v>
      </c>
      <c r="BJ115">
        <f>SUMIF(RawData!$C:$C,$A115,RawData!BN:BN)</f>
        <v>0</v>
      </c>
      <c r="BK115">
        <f>SUMIF(RawData!$C:$C,$A115,RawData!BO:BO)</f>
        <v>0</v>
      </c>
      <c r="BL115">
        <f>SUMIF(RawData!$C:$C,$A115,RawData!BP:BP)</f>
        <v>0</v>
      </c>
      <c r="BM115">
        <f>SUMIF(RawData!$C:$C,$A115,RawData!BQ:BQ)</f>
        <v>0</v>
      </c>
      <c r="BN115">
        <f>SUMIF(RawData!$C:$C,$A115,RawData!BR:BR)</f>
        <v>0</v>
      </c>
      <c r="BO115">
        <f>SUMIF(RawData!$C:$C,$A115,RawData!BS:BS)</f>
        <v>0</v>
      </c>
      <c r="BP115">
        <f>SUMIF(RawData!$C:$C,$A115,RawData!BT:BT)</f>
        <v>0</v>
      </c>
      <c r="BQ115">
        <f>SUMIF(RawData!$C:$C,$A115,RawData!BU:BU)</f>
        <v>0</v>
      </c>
      <c r="BR115">
        <f>SUMIF(RawData!$C:$C,$A115,RawData!BV:BV)</f>
        <v>0</v>
      </c>
      <c r="BS115">
        <f>SUMIF(RawData!$C:$C,$A115,RawData!BW:BW)</f>
        <v>0</v>
      </c>
      <c r="BT115">
        <f>SUMIF(RawData!$C:$C,$A115,RawData!BX:BX)</f>
        <v>0</v>
      </c>
    </row>
    <row r="116" spans="1:72" ht="15" thickBot="1" x14ac:dyDescent="0.35">
      <c r="A116" s="4" t="s">
        <v>444</v>
      </c>
      <c r="B116">
        <f>SUMIF(RawData!$C:$C,$A116,RawData!F:F)</f>
        <v>0</v>
      </c>
      <c r="C116">
        <f>SUMIF(RawData!$C:$C,$A116,RawData!G:G)</f>
        <v>0</v>
      </c>
      <c r="D116">
        <f>SUMIF(RawData!$C:$C,$A116,RawData!H:H)</f>
        <v>0</v>
      </c>
      <c r="E116">
        <f>SUMIF(RawData!$C:$C,$A116,RawData!I:I)</f>
        <v>0</v>
      </c>
      <c r="F116">
        <f>SUMIF(RawData!$C:$C,$A116,RawData!J:J)</f>
        <v>0</v>
      </c>
      <c r="G116">
        <f>SUMIF(RawData!$C:$C,$A116,RawData!K:K)</f>
        <v>0</v>
      </c>
      <c r="H116">
        <f>SUMIF(RawData!$C:$C,$A116,RawData!L:L)</f>
        <v>0</v>
      </c>
      <c r="I116">
        <f>SUMIF(RawData!$C:$C,$A116,RawData!M:M)</f>
        <v>0</v>
      </c>
      <c r="J116">
        <f>SUMIF(RawData!$C:$C,$A116,RawData!N:N)</f>
        <v>0</v>
      </c>
      <c r="K116">
        <f>SUMIF(RawData!$C:$C,$A116,RawData!O:O)</f>
        <v>0</v>
      </c>
      <c r="L116">
        <f>SUMIF(RawData!$C:$C,$A116,RawData!P:P)</f>
        <v>0</v>
      </c>
      <c r="M116">
        <f>SUMIF(RawData!$C:$C,$A116,RawData!Q:Q)</f>
        <v>0</v>
      </c>
      <c r="N116">
        <f>SUMIF(RawData!$C:$C,$A116,RawData!R:R)</f>
        <v>0</v>
      </c>
      <c r="O116">
        <f>SUMIF(RawData!$C:$C,$A116,RawData!S:S)</f>
        <v>0</v>
      </c>
      <c r="P116">
        <f>SUMIF(RawData!$C:$C,$A116,RawData!T:T)</f>
        <v>0</v>
      </c>
      <c r="Q116">
        <f>SUMIF(RawData!$C:$C,$A116,RawData!U:U)</f>
        <v>0</v>
      </c>
      <c r="R116">
        <f>SUMIF(RawData!$C:$C,$A116,RawData!V:V)</f>
        <v>0</v>
      </c>
      <c r="S116">
        <f>SUMIF(RawData!$C:$C,$A116,RawData!W:W)</f>
        <v>0</v>
      </c>
      <c r="T116">
        <f>SUMIF(RawData!$C:$C,$A116,RawData!X:X)</f>
        <v>0</v>
      </c>
      <c r="U116">
        <f>SUMIF(RawData!$C:$C,$A116,RawData!Y:Y)</f>
        <v>0</v>
      </c>
      <c r="V116">
        <f>SUMIF(RawData!$C:$C,$A116,RawData!Z:Z)</f>
        <v>0</v>
      </c>
      <c r="W116">
        <f>SUMIF(RawData!$C:$C,$A116,RawData!AA:AA)</f>
        <v>0</v>
      </c>
      <c r="X116">
        <f>SUMIF(RawData!$C:$C,$A116,RawData!AB:AB)</f>
        <v>0</v>
      </c>
      <c r="Y116">
        <f>SUMIF(RawData!$C:$C,$A116,RawData!AC:AC)</f>
        <v>0</v>
      </c>
      <c r="Z116">
        <f>SUMIF(RawData!$C:$C,$A116,RawData!AD:AD)</f>
        <v>0</v>
      </c>
      <c r="AA116">
        <f>SUMIF(RawData!$C:$C,$A116,RawData!AE:AE)</f>
        <v>0</v>
      </c>
      <c r="AB116">
        <f>SUMIF(RawData!$C:$C,$A116,RawData!AF:AF)</f>
        <v>0</v>
      </c>
      <c r="AC116">
        <f>SUMIF(RawData!$C:$C,$A116,RawData!AG:AG)</f>
        <v>0</v>
      </c>
      <c r="AD116">
        <f>SUMIF(RawData!$C:$C,$A116,RawData!AH:AH)</f>
        <v>0</v>
      </c>
      <c r="AE116">
        <f>SUMIF(RawData!$C:$C,$A116,RawData!AI:AI)</f>
        <v>0</v>
      </c>
      <c r="AF116">
        <f>SUMIF(RawData!$C:$C,$A116,RawData!AJ:AJ)</f>
        <v>0</v>
      </c>
      <c r="AG116">
        <f>SUMIF(RawData!$C:$C,$A116,RawData!AK:AK)</f>
        <v>0</v>
      </c>
      <c r="AH116">
        <f>SUMIF(RawData!$C:$C,$A116,RawData!AL:AL)</f>
        <v>0</v>
      </c>
      <c r="AI116">
        <f>SUMIF(RawData!$C:$C,$A116,RawData!AM:AM)</f>
        <v>0</v>
      </c>
      <c r="AJ116">
        <f>SUMIF(RawData!$C:$C,$A116,RawData!AN:AN)</f>
        <v>0</v>
      </c>
      <c r="AK116">
        <f>SUMIF(RawData!$C:$C,$A116,RawData!AO:AO)</f>
        <v>0</v>
      </c>
      <c r="AL116">
        <f>SUMIF(RawData!$C:$C,$A116,RawData!AP:AP)</f>
        <v>0</v>
      </c>
      <c r="AM116">
        <f>SUMIF(RawData!$C:$C,$A116,RawData!AQ:AQ)</f>
        <v>0</v>
      </c>
      <c r="AN116">
        <f>SUMIF(RawData!$C:$C,$A116,RawData!AR:AR)</f>
        <v>0</v>
      </c>
      <c r="AO116">
        <f>SUMIF(RawData!$C:$C,$A116,RawData!AS:AS)</f>
        <v>0</v>
      </c>
      <c r="AP116">
        <f>SUMIF(RawData!$C:$C,$A116,RawData!AT:AT)</f>
        <v>0</v>
      </c>
      <c r="AQ116">
        <f>SUMIF(RawData!$C:$C,$A116,RawData!AU:AU)</f>
        <v>0</v>
      </c>
      <c r="AR116">
        <f>SUMIF(RawData!$C:$C,$A116,RawData!AV:AV)</f>
        <v>0</v>
      </c>
      <c r="AS116">
        <f>SUMIF(RawData!$C:$C,$A116,RawData!AW:AW)</f>
        <v>0</v>
      </c>
      <c r="AT116">
        <f>SUMIF(RawData!$C:$C,$A116,RawData!AX:AX)</f>
        <v>0</v>
      </c>
      <c r="AU116">
        <f>SUMIF(RawData!$C:$C,$A116,RawData!AY:AY)</f>
        <v>0</v>
      </c>
      <c r="AV116">
        <f>SUMIF(RawData!$C:$C,$A116,RawData!AZ:AZ)</f>
        <v>0</v>
      </c>
      <c r="AW116">
        <f>SUMIF(RawData!$C:$C,$A116,RawData!BA:BA)</f>
        <v>0</v>
      </c>
      <c r="AX116">
        <f>SUMIF(RawData!$C:$C,$A116,RawData!BB:BB)</f>
        <v>0</v>
      </c>
      <c r="AY116">
        <f>SUMIF(RawData!$C:$C,$A116,RawData!BC:BC)</f>
        <v>0</v>
      </c>
      <c r="AZ116">
        <f>SUMIF(RawData!$C:$C,$A116,RawData!BD:BD)</f>
        <v>0</v>
      </c>
      <c r="BA116">
        <f>SUMIF(RawData!$C:$C,$A116,RawData!BE:BE)</f>
        <v>1</v>
      </c>
      <c r="BB116">
        <f>SUMIF(RawData!$C:$C,$A116,RawData!BF:BF)</f>
        <v>1</v>
      </c>
      <c r="BC116">
        <f>SUMIF(RawData!$C:$C,$A116,RawData!BG:BG)</f>
        <v>3</v>
      </c>
      <c r="BD116">
        <f>SUMIF(RawData!$C:$C,$A116,RawData!BH:BH)</f>
        <v>6</v>
      </c>
      <c r="BE116">
        <f>SUMIF(RawData!$C:$C,$A116,RawData!BI:BI)</f>
        <v>0</v>
      </c>
      <c r="BF116">
        <f>SUMIF(RawData!$C:$C,$A116,RawData!BJ:BJ)</f>
        <v>0</v>
      </c>
      <c r="BG116">
        <f>SUMIF(RawData!$C:$C,$A116,RawData!BK:BK)</f>
        <v>0</v>
      </c>
      <c r="BH116">
        <f>SUMIF(RawData!$C:$C,$A116,RawData!BL:BL)</f>
        <v>0</v>
      </c>
      <c r="BI116">
        <f>SUMIF(RawData!$C:$C,$A116,RawData!BM:BM)</f>
        <v>0</v>
      </c>
      <c r="BJ116">
        <f>SUMIF(RawData!$C:$C,$A116,RawData!BN:BN)</f>
        <v>0</v>
      </c>
      <c r="BK116">
        <f>SUMIF(RawData!$C:$C,$A116,RawData!BO:BO)</f>
        <v>0</v>
      </c>
      <c r="BL116">
        <f>SUMIF(RawData!$C:$C,$A116,RawData!BP:BP)</f>
        <v>0</v>
      </c>
      <c r="BM116">
        <f>SUMIF(RawData!$C:$C,$A116,RawData!BQ:BQ)</f>
        <v>0</v>
      </c>
      <c r="BN116">
        <f>SUMIF(RawData!$C:$C,$A116,RawData!BR:BR)</f>
        <v>0</v>
      </c>
      <c r="BO116">
        <f>SUMIF(RawData!$C:$C,$A116,RawData!BS:BS)</f>
        <v>0</v>
      </c>
      <c r="BP116">
        <f>SUMIF(RawData!$C:$C,$A116,RawData!BT:BT)</f>
        <v>0</v>
      </c>
      <c r="BQ116">
        <f>SUMIF(RawData!$C:$C,$A116,RawData!BU:BU)</f>
        <v>0</v>
      </c>
      <c r="BR116">
        <f>SUMIF(RawData!$C:$C,$A116,RawData!BV:BV)</f>
        <v>0</v>
      </c>
      <c r="BS116">
        <f>SUMIF(RawData!$C:$C,$A116,RawData!BW:BW)</f>
        <v>0</v>
      </c>
      <c r="BT116">
        <f>SUMIF(RawData!$C:$C,$A116,RawData!BX:BX)</f>
        <v>0</v>
      </c>
    </row>
    <row r="117" spans="1:72" ht="15" thickBot="1" x14ac:dyDescent="0.35">
      <c r="A117" s="5" t="s">
        <v>449</v>
      </c>
      <c r="B117">
        <f>SUMIF(RawData!$C:$C,$A117,RawData!F:F)</f>
        <v>0</v>
      </c>
      <c r="C117">
        <f>SUMIF(RawData!$C:$C,$A117,RawData!G:G)</f>
        <v>0</v>
      </c>
      <c r="D117">
        <f>SUMIF(RawData!$C:$C,$A117,RawData!H:H)</f>
        <v>0</v>
      </c>
      <c r="E117">
        <f>SUMIF(RawData!$C:$C,$A117,RawData!I:I)</f>
        <v>0</v>
      </c>
      <c r="F117">
        <f>SUMIF(RawData!$C:$C,$A117,RawData!J:J)</f>
        <v>0</v>
      </c>
      <c r="G117">
        <f>SUMIF(RawData!$C:$C,$A117,RawData!K:K)</f>
        <v>0</v>
      </c>
      <c r="H117">
        <f>SUMIF(RawData!$C:$C,$A117,RawData!L:L)</f>
        <v>0</v>
      </c>
      <c r="I117">
        <f>SUMIF(RawData!$C:$C,$A117,RawData!M:M)</f>
        <v>0</v>
      </c>
      <c r="J117">
        <f>SUMIF(RawData!$C:$C,$A117,RawData!N:N)</f>
        <v>0</v>
      </c>
      <c r="K117">
        <f>SUMIF(RawData!$C:$C,$A117,RawData!O:O)</f>
        <v>0</v>
      </c>
      <c r="L117">
        <f>SUMIF(RawData!$C:$C,$A117,RawData!P:P)</f>
        <v>0</v>
      </c>
      <c r="M117">
        <f>SUMIF(RawData!$C:$C,$A117,RawData!Q:Q)</f>
        <v>0</v>
      </c>
      <c r="N117">
        <f>SUMIF(RawData!$C:$C,$A117,RawData!R:R)</f>
        <v>0</v>
      </c>
      <c r="O117">
        <f>SUMIF(RawData!$C:$C,$A117,RawData!S:S)</f>
        <v>0</v>
      </c>
      <c r="P117">
        <f>SUMIF(RawData!$C:$C,$A117,RawData!T:T)</f>
        <v>0</v>
      </c>
      <c r="Q117">
        <f>SUMIF(RawData!$C:$C,$A117,RawData!U:U)</f>
        <v>0</v>
      </c>
      <c r="R117">
        <f>SUMIF(RawData!$C:$C,$A117,RawData!V:V)</f>
        <v>0</v>
      </c>
      <c r="S117">
        <f>SUMIF(RawData!$C:$C,$A117,RawData!W:W)</f>
        <v>0</v>
      </c>
      <c r="T117">
        <f>SUMIF(RawData!$C:$C,$A117,RawData!X:X)</f>
        <v>0</v>
      </c>
      <c r="U117">
        <f>SUMIF(RawData!$C:$C,$A117,RawData!Y:Y)</f>
        <v>0</v>
      </c>
      <c r="V117">
        <f>SUMIF(RawData!$C:$C,$A117,RawData!Z:Z)</f>
        <v>0</v>
      </c>
      <c r="W117">
        <f>SUMIF(RawData!$C:$C,$A117,RawData!AA:AA)</f>
        <v>0</v>
      </c>
      <c r="X117">
        <f>SUMIF(RawData!$C:$C,$A117,RawData!AB:AB)</f>
        <v>0</v>
      </c>
      <c r="Y117">
        <f>SUMIF(RawData!$C:$C,$A117,RawData!AC:AC)</f>
        <v>0</v>
      </c>
      <c r="Z117">
        <f>SUMIF(RawData!$C:$C,$A117,RawData!AD:AD)</f>
        <v>0</v>
      </c>
      <c r="AA117">
        <f>SUMIF(RawData!$C:$C,$A117,RawData!AE:AE)</f>
        <v>0</v>
      </c>
      <c r="AB117">
        <f>SUMIF(RawData!$C:$C,$A117,RawData!AF:AF)</f>
        <v>0</v>
      </c>
      <c r="AC117">
        <f>SUMIF(RawData!$C:$C,$A117,RawData!AG:AG)</f>
        <v>0</v>
      </c>
      <c r="AD117">
        <f>SUMIF(RawData!$C:$C,$A117,RawData!AH:AH)</f>
        <v>0</v>
      </c>
      <c r="AE117">
        <f>SUMIF(RawData!$C:$C,$A117,RawData!AI:AI)</f>
        <v>0</v>
      </c>
      <c r="AF117">
        <f>SUMIF(RawData!$C:$C,$A117,RawData!AJ:AJ)</f>
        <v>0</v>
      </c>
      <c r="AG117">
        <f>SUMIF(RawData!$C:$C,$A117,RawData!AK:AK)</f>
        <v>0</v>
      </c>
      <c r="AH117">
        <f>SUMIF(RawData!$C:$C,$A117,RawData!AL:AL)</f>
        <v>0</v>
      </c>
      <c r="AI117">
        <f>SUMIF(RawData!$C:$C,$A117,RawData!AM:AM)</f>
        <v>0</v>
      </c>
      <c r="AJ117">
        <f>SUMIF(RawData!$C:$C,$A117,RawData!AN:AN)</f>
        <v>0</v>
      </c>
      <c r="AK117">
        <f>SUMIF(RawData!$C:$C,$A117,RawData!AO:AO)</f>
        <v>0</v>
      </c>
      <c r="AL117">
        <f>SUMIF(RawData!$C:$C,$A117,RawData!AP:AP)</f>
        <v>0</v>
      </c>
      <c r="AM117">
        <f>SUMIF(RawData!$C:$C,$A117,RawData!AQ:AQ)</f>
        <v>0</v>
      </c>
      <c r="AN117">
        <f>SUMIF(RawData!$C:$C,$A117,RawData!AR:AR)</f>
        <v>0</v>
      </c>
      <c r="AO117">
        <f>SUMIF(RawData!$C:$C,$A117,RawData!AS:AS)</f>
        <v>0</v>
      </c>
      <c r="AP117">
        <f>SUMIF(RawData!$C:$C,$A117,RawData!AT:AT)</f>
        <v>0</v>
      </c>
      <c r="AQ117">
        <f>SUMIF(RawData!$C:$C,$A117,RawData!AU:AU)</f>
        <v>0</v>
      </c>
      <c r="AR117">
        <f>SUMIF(RawData!$C:$C,$A117,RawData!AV:AV)</f>
        <v>0</v>
      </c>
      <c r="AS117">
        <f>SUMIF(RawData!$C:$C,$A117,RawData!AW:AW)</f>
        <v>0</v>
      </c>
      <c r="AT117">
        <f>SUMIF(RawData!$C:$C,$A117,RawData!AX:AX)</f>
        <v>0</v>
      </c>
      <c r="AU117">
        <f>SUMIF(RawData!$C:$C,$A117,RawData!AY:AY)</f>
        <v>0</v>
      </c>
      <c r="AV117">
        <f>SUMIF(RawData!$C:$C,$A117,RawData!AZ:AZ)</f>
        <v>0</v>
      </c>
      <c r="AW117">
        <f>SUMIF(RawData!$C:$C,$A117,RawData!BA:BA)</f>
        <v>0</v>
      </c>
      <c r="AX117">
        <f>SUMIF(RawData!$C:$C,$A117,RawData!BB:BB)</f>
        <v>0</v>
      </c>
      <c r="AY117">
        <f>SUMIF(RawData!$C:$C,$A117,RawData!BC:BC)</f>
        <v>0</v>
      </c>
      <c r="AZ117">
        <f>SUMIF(RawData!$C:$C,$A117,RawData!BD:BD)</f>
        <v>0</v>
      </c>
      <c r="BA117">
        <f>SUMIF(RawData!$C:$C,$A117,RawData!BE:BE)</f>
        <v>1</v>
      </c>
      <c r="BB117">
        <f>SUMIF(RawData!$C:$C,$A117,RawData!BF:BF)</f>
        <v>1</v>
      </c>
      <c r="BC117">
        <f>SUMIF(RawData!$C:$C,$A117,RawData!BG:BG)</f>
        <v>1</v>
      </c>
      <c r="BD117">
        <f>SUMIF(RawData!$C:$C,$A117,RawData!BH:BH)</f>
        <v>1</v>
      </c>
      <c r="BE117">
        <f>SUMIF(RawData!$C:$C,$A117,RawData!BI:BI)</f>
        <v>0</v>
      </c>
      <c r="BF117">
        <f>SUMIF(RawData!$C:$C,$A117,RawData!BJ:BJ)</f>
        <v>0</v>
      </c>
      <c r="BG117">
        <f>SUMIF(RawData!$C:$C,$A117,RawData!BK:BK)</f>
        <v>0</v>
      </c>
      <c r="BH117">
        <f>SUMIF(RawData!$C:$C,$A117,RawData!BL:BL)</f>
        <v>0</v>
      </c>
      <c r="BI117">
        <f>SUMIF(RawData!$C:$C,$A117,RawData!BM:BM)</f>
        <v>0</v>
      </c>
      <c r="BJ117">
        <f>SUMIF(RawData!$C:$C,$A117,RawData!BN:BN)</f>
        <v>0</v>
      </c>
      <c r="BK117">
        <f>SUMIF(RawData!$C:$C,$A117,RawData!BO:BO)</f>
        <v>0</v>
      </c>
      <c r="BL117">
        <f>SUMIF(RawData!$C:$C,$A117,RawData!BP:BP)</f>
        <v>0</v>
      </c>
      <c r="BM117">
        <f>SUMIF(RawData!$C:$C,$A117,RawData!BQ:BQ)</f>
        <v>0</v>
      </c>
      <c r="BN117">
        <f>SUMIF(RawData!$C:$C,$A117,RawData!BR:BR)</f>
        <v>0</v>
      </c>
      <c r="BO117">
        <f>SUMIF(RawData!$C:$C,$A117,RawData!BS:BS)</f>
        <v>0</v>
      </c>
      <c r="BP117">
        <f>SUMIF(RawData!$C:$C,$A117,RawData!BT:BT)</f>
        <v>0</v>
      </c>
      <c r="BQ117">
        <f>SUMIF(RawData!$C:$C,$A117,RawData!BU:BU)</f>
        <v>0</v>
      </c>
      <c r="BR117">
        <f>SUMIF(RawData!$C:$C,$A117,RawData!BV:BV)</f>
        <v>0</v>
      </c>
      <c r="BS117">
        <f>SUMIF(RawData!$C:$C,$A117,RawData!BW:BW)</f>
        <v>0</v>
      </c>
      <c r="BT117">
        <f>SUMIF(RawData!$C:$C,$A117,RawData!BX:BX)</f>
        <v>0</v>
      </c>
    </row>
    <row r="118" spans="1:72" ht="15" thickBot="1" x14ac:dyDescent="0.35">
      <c r="A118" s="4" t="s">
        <v>439</v>
      </c>
      <c r="B118">
        <f>SUMIF(RawData!$C:$C,$A118,RawData!F:F)</f>
        <v>0</v>
      </c>
      <c r="C118">
        <f>SUMIF(RawData!$C:$C,$A118,RawData!G:G)</f>
        <v>0</v>
      </c>
      <c r="D118">
        <f>SUMIF(RawData!$C:$C,$A118,RawData!H:H)</f>
        <v>0</v>
      </c>
      <c r="E118">
        <f>SUMIF(RawData!$C:$C,$A118,RawData!I:I)</f>
        <v>0</v>
      </c>
      <c r="F118">
        <f>SUMIF(RawData!$C:$C,$A118,RawData!J:J)</f>
        <v>0</v>
      </c>
      <c r="G118">
        <f>SUMIF(RawData!$C:$C,$A118,RawData!K:K)</f>
        <v>0</v>
      </c>
      <c r="H118">
        <f>SUMIF(RawData!$C:$C,$A118,RawData!L:L)</f>
        <v>0</v>
      </c>
      <c r="I118">
        <f>SUMIF(RawData!$C:$C,$A118,RawData!M:M)</f>
        <v>0</v>
      </c>
      <c r="J118">
        <f>SUMIF(RawData!$C:$C,$A118,RawData!N:N)</f>
        <v>0</v>
      </c>
      <c r="K118">
        <f>SUMIF(RawData!$C:$C,$A118,RawData!O:O)</f>
        <v>0</v>
      </c>
      <c r="L118">
        <f>SUMIF(RawData!$C:$C,$A118,RawData!P:P)</f>
        <v>0</v>
      </c>
      <c r="M118">
        <f>SUMIF(RawData!$C:$C,$A118,RawData!Q:Q)</f>
        <v>0</v>
      </c>
      <c r="N118">
        <f>SUMIF(RawData!$C:$C,$A118,RawData!R:R)</f>
        <v>0</v>
      </c>
      <c r="O118">
        <f>SUMIF(RawData!$C:$C,$A118,RawData!S:S)</f>
        <v>0</v>
      </c>
      <c r="P118">
        <f>SUMIF(RawData!$C:$C,$A118,RawData!T:T)</f>
        <v>0</v>
      </c>
      <c r="Q118">
        <f>SUMIF(RawData!$C:$C,$A118,RawData!U:U)</f>
        <v>0</v>
      </c>
      <c r="R118">
        <f>SUMIF(RawData!$C:$C,$A118,RawData!V:V)</f>
        <v>0</v>
      </c>
      <c r="S118">
        <f>SUMIF(RawData!$C:$C,$A118,RawData!W:W)</f>
        <v>0</v>
      </c>
      <c r="T118">
        <f>SUMIF(RawData!$C:$C,$A118,RawData!X:X)</f>
        <v>0</v>
      </c>
      <c r="U118">
        <f>SUMIF(RawData!$C:$C,$A118,RawData!Y:Y)</f>
        <v>0</v>
      </c>
      <c r="V118">
        <f>SUMIF(RawData!$C:$C,$A118,RawData!Z:Z)</f>
        <v>0</v>
      </c>
      <c r="W118">
        <f>SUMIF(RawData!$C:$C,$A118,RawData!AA:AA)</f>
        <v>0</v>
      </c>
      <c r="X118">
        <f>SUMIF(RawData!$C:$C,$A118,RawData!AB:AB)</f>
        <v>0</v>
      </c>
      <c r="Y118">
        <f>SUMIF(RawData!$C:$C,$A118,RawData!AC:AC)</f>
        <v>0</v>
      </c>
      <c r="Z118">
        <f>SUMIF(RawData!$C:$C,$A118,RawData!AD:AD)</f>
        <v>0</v>
      </c>
      <c r="AA118">
        <f>SUMIF(RawData!$C:$C,$A118,RawData!AE:AE)</f>
        <v>0</v>
      </c>
      <c r="AB118">
        <f>SUMIF(RawData!$C:$C,$A118,RawData!AF:AF)</f>
        <v>0</v>
      </c>
      <c r="AC118">
        <f>SUMIF(RawData!$C:$C,$A118,RawData!AG:AG)</f>
        <v>0</v>
      </c>
      <c r="AD118">
        <f>SUMIF(RawData!$C:$C,$A118,RawData!AH:AH)</f>
        <v>0</v>
      </c>
      <c r="AE118">
        <f>SUMIF(RawData!$C:$C,$A118,RawData!AI:AI)</f>
        <v>0</v>
      </c>
      <c r="AF118">
        <f>SUMIF(RawData!$C:$C,$A118,RawData!AJ:AJ)</f>
        <v>0</v>
      </c>
      <c r="AG118">
        <f>SUMIF(RawData!$C:$C,$A118,RawData!AK:AK)</f>
        <v>0</v>
      </c>
      <c r="AH118">
        <f>SUMIF(RawData!$C:$C,$A118,RawData!AL:AL)</f>
        <v>0</v>
      </c>
      <c r="AI118">
        <f>SUMIF(RawData!$C:$C,$A118,RawData!AM:AM)</f>
        <v>0</v>
      </c>
      <c r="AJ118">
        <f>SUMIF(RawData!$C:$C,$A118,RawData!AN:AN)</f>
        <v>0</v>
      </c>
      <c r="AK118">
        <f>SUMIF(RawData!$C:$C,$A118,RawData!AO:AO)</f>
        <v>0</v>
      </c>
      <c r="AL118">
        <f>SUMIF(RawData!$C:$C,$A118,RawData!AP:AP)</f>
        <v>0</v>
      </c>
      <c r="AM118">
        <f>SUMIF(RawData!$C:$C,$A118,RawData!AQ:AQ)</f>
        <v>0</v>
      </c>
      <c r="AN118">
        <f>SUMIF(RawData!$C:$C,$A118,RawData!AR:AR)</f>
        <v>0</v>
      </c>
      <c r="AO118">
        <f>SUMIF(RawData!$C:$C,$A118,RawData!AS:AS)</f>
        <v>0</v>
      </c>
      <c r="AP118">
        <f>SUMIF(RawData!$C:$C,$A118,RawData!AT:AT)</f>
        <v>0</v>
      </c>
      <c r="AQ118">
        <f>SUMIF(RawData!$C:$C,$A118,RawData!AU:AU)</f>
        <v>0</v>
      </c>
      <c r="AR118">
        <f>SUMIF(RawData!$C:$C,$A118,RawData!AV:AV)</f>
        <v>0</v>
      </c>
      <c r="AS118">
        <f>SUMIF(RawData!$C:$C,$A118,RawData!AW:AW)</f>
        <v>0</v>
      </c>
      <c r="AT118">
        <f>SUMIF(RawData!$C:$C,$A118,RawData!AX:AX)</f>
        <v>0</v>
      </c>
      <c r="AU118">
        <f>SUMIF(RawData!$C:$C,$A118,RawData!AY:AY)</f>
        <v>0</v>
      </c>
      <c r="AV118">
        <f>SUMIF(RawData!$C:$C,$A118,RawData!AZ:AZ)</f>
        <v>0</v>
      </c>
      <c r="AW118">
        <f>SUMIF(RawData!$C:$C,$A118,RawData!BA:BA)</f>
        <v>0</v>
      </c>
      <c r="AX118">
        <f>SUMIF(RawData!$C:$C,$A118,RawData!BB:BB)</f>
        <v>0</v>
      </c>
      <c r="AY118">
        <f>SUMIF(RawData!$C:$C,$A118,RawData!BC:BC)</f>
        <v>0</v>
      </c>
      <c r="AZ118">
        <f>SUMIF(RawData!$C:$C,$A118,RawData!BD:BD)</f>
        <v>1</v>
      </c>
      <c r="BA118">
        <f>SUMIF(RawData!$C:$C,$A118,RawData!BE:BE)</f>
        <v>1</v>
      </c>
      <c r="BB118">
        <f>SUMIF(RawData!$C:$C,$A118,RawData!BF:BF)</f>
        <v>1</v>
      </c>
      <c r="BC118">
        <f>SUMIF(RawData!$C:$C,$A118,RawData!BG:BG)</f>
        <v>4</v>
      </c>
      <c r="BD118">
        <f>SUMIF(RawData!$C:$C,$A118,RawData!BH:BH)</f>
        <v>4</v>
      </c>
      <c r="BE118">
        <f>SUMIF(RawData!$C:$C,$A118,RawData!BI:BI)</f>
        <v>0</v>
      </c>
      <c r="BF118">
        <f>SUMIF(RawData!$C:$C,$A118,RawData!BJ:BJ)</f>
        <v>0</v>
      </c>
      <c r="BG118">
        <f>SUMIF(RawData!$C:$C,$A118,RawData!BK:BK)</f>
        <v>0</v>
      </c>
      <c r="BH118">
        <f>SUMIF(RawData!$C:$C,$A118,RawData!BL:BL)</f>
        <v>0</v>
      </c>
      <c r="BI118">
        <f>SUMIF(RawData!$C:$C,$A118,RawData!BM:BM)</f>
        <v>0</v>
      </c>
      <c r="BJ118">
        <f>SUMIF(RawData!$C:$C,$A118,RawData!BN:BN)</f>
        <v>0</v>
      </c>
      <c r="BK118">
        <f>SUMIF(RawData!$C:$C,$A118,RawData!BO:BO)</f>
        <v>0</v>
      </c>
      <c r="BL118">
        <f>SUMIF(RawData!$C:$C,$A118,RawData!BP:BP)</f>
        <v>0</v>
      </c>
      <c r="BM118">
        <f>SUMIF(RawData!$C:$C,$A118,RawData!BQ:BQ)</f>
        <v>0</v>
      </c>
      <c r="BN118">
        <f>SUMIF(RawData!$C:$C,$A118,RawData!BR:BR)</f>
        <v>0</v>
      </c>
      <c r="BO118">
        <f>SUMIF(RawData!$C:$C,$A118,RawData!BS:BS)</f>
        <v>0</v>
      </c>
      <c r="BP118">
        <f>SUMIF(RawData!$C:$C,$A118,RawData!BT:BT)</f>
        <v>0</v>
      </c>
      <c r="BQ118">
        <f>SUMIF(RawData!$C:$C,$A118,RawData!BU:BU)</f>
        <v>0</v>
      </c>
      <c r="BR118">
        <f>SUMIF(RawData!$C:$C,$A118,RawData!BV:BV)</f>
        <v>0</v>
      </c>
      <c r="BS118">
        <f>SUMIF(RawData!$C:$C,$A118,RawData!BW:BW)</f>
        <v>0</v>
      </c>
      <c r="BT118">
        <f>SUMIF(RawData!$C:$C,$A118,RawData!BX:BX)</f>
        <v>0</v>
      </c>
    </row>
    <row r="119" spans="1:72" ht="15" thickBot="1" x14ac:dyDescent="0.35">
      <c r="A119" s="4" t="s">
        <v>308</v>
      </c>
      <c r="B119">
        <f>SUMIF(RawData!$C:$C,$A119,RawData!F:F)</f>
        <v>0</v>
      </c>
      <c r="C119">
        <f>SUMIF(RawData!$C:$C,$A119,RawData!G:G)</f>
        <v>0</v>
      </c>
      <c r="D119">
        <f>SUMIF(RawData!$C:$C,$A119,RawData!H:H)</f>
        <v>0</v>
      </c>
      <c r="E119">
        <f>SUMIF(RawData!$C:$C,$A119,RawData!I:I)</f>
        <v>0</v>
      </c>
      <c r="F119">
        <f>SUMIF(RawData!$C:$C,$A119,RawData!J:J)</f>
        <v>0</v>
      </c>
      <c r="G119">
        <f>SUMIF(RawData!$C:$C,$A119,RawData!K:K)</f>
        <v>0</v>
      </c>
      <c r="H119">
        <f>SUMIF(RawData!$C:$C,$A119,RawData!L:L)</f>
        <v>0</v>
      </c>
      <c r="I119">
        <f>SUMIF(RawData!$C:$C,$A119,RawData!M:M)</f>
        <v>0</v>
      </c>
      <c r="J119">
        <f>SUMIF(RawData!$C:$C,$A119,RawData!N:N)</f>
        <v>0</v>
      </c>
      <c r="K119">
        <f>SUMIF(RawData!$C:$C,$A119,RawData!O:O)</f>
        <v>0</v>
      </c>
      <c r="L119">
        <f>SUMIF(RawData!$C:$C,$A119,RawData!P:P)</f>
        <v>0</v>
      </c>
      <c r="M119">
        <f>SUMIF(RawData!$C:$C,$A119,RawData!Q:Q)</f>
        <v>0</v>
      </c>
      <c r="N119">
        <f>SUMIF(RawData!$C:$C,$A119,RawData!R:R)</f>
        <v>0</v>
      </c>
      <c r="O119">
        <f>SUMIF(RawData!$C:$C,$A119,RawData!S:S)</f>
        <v>0</v>
      </c>
      <c r="P119">
        <f>SUMIF(RawData!$C:$C,$A119,RawData!T:T)</f>
        <v>0</v>
      </c>
      <c r="Q119">
        <f>SUMIF(RawData!$C:$C,$A119,RawData!U:U)</f>
        <v>0</v>
      </c>
      <c r="R119">
        <f>SUMIF(RawData!$C:$C,$A119,RawData!V:V)</f>
        <v>0</v>
      </c>
      <c r="S119">
        <f>SUMIF(RawData!$C:$C,$A119,RawData!W:W)</f>
        <v>0</v>
      </c>
      <c r="T119">
        <f>SUMIF(RawData!$C:$C,$A119,RawData!X:X)</f>
        <v>0</v>
      </c>
      <c r="U119">
        <f>SUMIF(RawData!$C:$C,$A119,RawData!Y:Y)</f>
        <v>0</v>
      </c>
      <c r="V119">
        <f>SUMIF(RawData!$C:$C,$A119,RawData!Z:Z)</f>
        <v>0</v>
      </c>
      <c r="W119">
        <f>SUMIF(RawData!$C:$C,$A119,RawData!AA:AA)</f>
        <v>0</v>
      </c>
      <c r="X119">
        <f>SUMIF(RawData!$C:$C,$A119,RawData!AB:AB)</f>
        <v>0</v>
      </c>
      <c r="Y119">
        <f>SUMIF(RawData!$C:$C,$A119,RawData!AC:AC)</f>
        <v>0</v>
      </c>
      <c r="Z119">
        <f>SUMIF(RawData!$C:$C,$A119,RawData!AD:AD)</f>
        <v>0</v>
      </c>
      <c r="AA119">
        <f>SUMIF(RawData!$C:$C,$A119,RawData!AE:AE)</f>
        <v>0</v>
      </c>
      <c r="AB119">
        <f>SUMIF(RawData!$C:$C,$A119,RawData!AF:AF)</f>
        <v>0</v>
      </c>
      <c r="AC119">
        <f>SUMIF(RawData!$C:$C,$A119,RawData!AG:AG)</f>
        <v>0</v>
      </c>
      <c r="AD119">
        <f>SUMIF(RawData!$C:$C,$A119,RawData!AH:AH)</f>
        <v>0</v>
      </c>
      <c r="AE119">
        <f>SUMIF(RawData!$C:$C,$A119,RawData!AI:AI)</f>
        <v>0</v>
      </c>
      <c r="AF119">
        <f>SUMIF(RawData!$C:$C,$A119,RawData!AJ:AJ)</f>
        <v>0</v>
      </c>
      <c r="AG119">
        <f>SUMIF(RawData!$C:$C,$A119,RawData!AK:AK)</f>
        <v>0</v>
      </c>
      <c r="AH119">
        <f>SUMIF(RawData!$C:$C,$A119,RawData!AL:AL)</f>
        <v>0</v>
      </c>
      <c r="AI119">
        <f>SUMIF(RawData!$C:$C,$A119,RawData!AM:AM)</f>
        <v>0</v>
      </c>
      <c r="AJ119">
        <f>SUMIF(RawData!$C:$C,$A119,RawData!AN:AN)</f>
        <v>0</v>
      </c>
      <c r="AK119">
        <f>SUMIF(RawData!$C:$C,$A119,RawData!AO:AO)</f>
        <v>0</v>
      </c>
      <c r="AL119">
        <f>SUMIF(RawData!$C:$C,$A119,RawData!AP:AP)</f>
        <v>0</v>
      </c>
      <c r="AM119">
        <f>SUMIF(RawData!$C:$C,$A119,RawData!AQ:AQ)</f>
        <v>0</v>
      </c>
      <c r="AN119">
        <f>SUMIF(RawData!$C:$C,$A119,RawData!AR:AR)</f>
        <v>0</v>
      </c>
      <c r="AO119">
        <f>SUMIF(RawData!$C:$C,$A119,RawData!AS:AS)</f>
        <v>0</v>
      </c>
      <c r="AP119">
        <f>SUMIF(RawData!$C:$C,$A119,RawData!AT:AT)</f>
        <v>0</v>
      </c>
      <c r="AQ119">
        <f>SUMIF(RawData!$C:$C,$A119,RawData!AU:AU)</f>
        <v>0</v>
      </c>
      <c r="AR119">
        <f>SUMIF(RawData!$C:$C,$A119,RawData!AV:AV)</f>
        <v>0</v>
      </c>
      <c r="AS119">
        <f>SUMIF(RawData!$C:$C,$A119,RawData!AW:AW)</f>
        <v>0</v>
      </c>
      <c r="AT119">
        <f>SUMIF(RawData!$C:$C,$A119,RawData!AX:AX)</f>
        <v>1</v>
      </c>
      <c r="AU119">
        <f>SUMIF(RawData!$C:$C,$A119,RawData!AY:AY)</f>
        <v>1</v>
      </c>
      <c r="AV119">
        <f>SUMIF(RawData!$C:$C,$A119,RawData!AZ:AZ)</f>
        <v>1</v>
      </c>
      <c r="AW119">
        <f>SUMIF(RawData!$C:$C,$A119,RawData!BA:BA)</f>
        <v>1</v>
      </c>
      <c r="AX119">
        <f>SUMIF(RawData!$C:$C,$A119,RawData!BB:BB)</f>
        <v>1</v>
      </c>
      <c r="AY119">
        <f>SUMIF(RawData!$C:$C,$A119,RawData!BC:BC)</f>
        <v>1</v>
      </c>
      <c r="AZ119">
        <f>SUMIF(RawData!$C:$C,$A119,RawData!BD:BD)</f>
        <v>1</v>
      </c>
      <c r="BA119">
        <f>SUMIF(RawData!$C:$C,$A119,RawData!BE:BE)</f>
        <v>1</v>
      </c>
      <c r="BB119">
        <f>SUMIF(RawData!$C:$C,$A119,RawData!BF:BF)</f>
        <v>1</v>
      </c>
      <c r="BC119">
        <f>SUMIF(RawData!$C:$C,$A119,RawData!BG:BG)</f>
        <v>1</v>
      </c>
      <c r="BD119">
        <f>SUMIF(RawData!$C:$C,$A119,RawData!BH:BH)</f>
        <v>1</v>
      </c>
      <c r="BE119">
        <f>SUMIF(RawData!$C:$C,$A119,RawData!BI:BI)</f>
        <v>0</v>
      </c>
      <c r="BF119">
        <f>SUMIF(RawData!$C:$C,$A119,RawData!BJ:BJ)</f>
        <v>0</v>
      </c>
      <c r="BG119">
        <f>SUMIF(RawData!$C:$C,$A119,RawData!BK:BK)</f>
        <v>0</v>
      </c>
      <c r="BH119">
        <f>SUMIF(RawData!$C:$C,$A119,RawData!BL:BL)</f>
        <v>0</v>
      </c>
      <c r="BI119">
        <f>SUMIF(RawData!$C:$C,$A119,RawData!BM:BM)</f>
        <v>0</v>
      </c>
      <c r="BJ119">
        <f>SUMIF(RawData!$C:$C,$A119,RawData!BN:BN)</f>
        <v>0</v>
      </c>
      <c r="BK119">
        <f>SUMIF(RawData!$C:$C,$A119,RawData!BO:BO)</f>
        <v>0</v>
      </c>
      <c r="BL119">
        <f>SUMIF(RawData!$C:$C,$A119,RawData!BP:BP)</f>
        <v>0</v>
      </c>
      <c r="BM119">
        <f>SUMIF(RawData!$C:$C,$A119,RawData!BQ:BQ)</f>
        <v>0</v>
      </c>
      <c r="BN119">
        <f>SUMIF(RawData!$C:$C,$A119,RawData!BR:BR)</f>
        <v>0</v>
      </c>
      <c r="BO119">
        <f>SUMIF(RawData!$C:$C,$A119,RawData!BS:BS)</f>
        <v>0</v>
      </c>
      <c r="BP119">
        <f>SUMIF(RawData!$C:$C,$A119,RawData!BT:BT)</f>
        <v>0</v>
      </c>
      <c r="BQ119">
        <f>SUMIF(RawData!$C:$C,$A119,RawData!BU:BU)</f>
        <v>0</v>
      </c>
      <c r="BR119">
        <f>SUMIF(RawData!$C:$C,$A119,RawData!BV:BV)</f>
        <v>0</v>
      </c>
      <c r="BS119">
        <f>SUMIF(RawData!$C:$C,$A119,RawData!BW:BW)</f>
        <v>0</v>
      </c>
      <c r="BT119">
        <f>SUMIF(RawData!$C:$C,$A119,RawData!BX:BX)</f>
        <v>0</v>
      </c>
    </row>
    <row r="120" spans="1:72" ht="15" thickBot="1" x14ac:dyDescent="0.35">
      <c r="A120" s="5" t="s">
        <v>152</v>
      </c>
      <c r="B120">
        <f>SUMIF(RawData!$C:$C,$A120,RawData!F:F)</f>
        <v>0</v>
      </c>
      <c r="C120">
        <f>SUMIF(RawData!$C:$C,$A120,RawData!G:G)</f>
        <v>0</v>
      </c>
      <c r="D120">
        <f>SUMIF(RawData!$C:$C,$A120,RawData!H:H)</f>
        <v>0</v>
      </c>
      <c r="E120">
        <f>SUMIF(RawData!$C:$C,$A120,RawData!I:I)</f>
        <v>0</v>
      </c>
      <c r="F120">
        <f>SUMIF(RawData!$C:$C,$A120,RawData!J:J)</f>
        <v>0</v>
      </c>
      <c r="G120">
        <f>SUMIF(RawData!$C:$C,$A120,RawData!K:K)</f>
        <v>0</v>
      </c>
      <c r="H120">
        <f>SUMIF(RawData!$C:$C,$A120,RawData!L:L)</f>
        <v>0</v>
      </c>
      <c r="I120">
        <f>SUMIF(RawData!$C:$C,$A120,RawData!M:M)</f>
        <v>0</v>
      </c>
      <c r="J120">
        <f>SUMIF(RawData!$C:$C,$A120,RawData!N:N)</f>
        <v>0</v>
      </c>
      <c r="K120">
        <f>SUMIF(RawData!$C:$C,$A120,RawData!O:O)</f>
        <v>0</v>
      </c>
      <c r="L120">
        <f>SUMIF(RawData!$C:$C,$A120,RawData!P:P)</f>
        <v>0</v>
      </c>
      <c r="M120">
        <f>SUMIF(RawData!$C:$C,$A120,RawData!Q:Q)</f>
        <v>0</v>
      </c>
      <c r="N120">
        <f>SUMIF(RawData!$C:$C,$A120,RawData!R:R)</f>
        <v>0</v>
      </c>
      <c r="O120">
        <f>SUMIF(RawData!$C:$C,$A120,RawData!S:S)</f>
        <v>0</v>
      </c>
      <c r="P120">
        <f>SUMIF(RawData!$C:$C,$A120,RawData!T:T)</f>
        <v>0</v>
      </c>
      <c r="Q120">
        <f>SUMIF(RawData!$C:$C,$A120,RawData!U:U)</f>
        <v>0</v>
      </c>
      <c r="R120">
        <f>SUMIF(RawData!$C:$C,$A120,RawData!V:V)</f>
        <v>0</v>
      </c>
      <c r="S120">
        <f>SUMIF(RawData!$C:$C,$A120,RawData!W:W)</f>
        <v>0</v>
      </c>
      <c r="T120">
        <f>SUMIF(RawData!$C:$C,$A120,RawData!X:X)</f>
        <v>0</v>
      </c>
      <c r="U120">
        <f>SUMIF(RawData!$C:$C,$A120,RawData!Y:Y)</f>
        <v>0</v>
      </c>
      <c r="V120">
        <f>SUMIF(RawData!$C:$C,$A120,RawData!Z:Z)</f>
        <v>0</v>
      </c>
      <c r="W120">
        <f>SUMIF(RawData!$C:$C,$A120,RawData!AA:AA)</f>
        <v>0</v>
      </c>
      <c r="X120">
        <f>SUMIF(RawData!$C:$C,$A120,RawData!AB:AB)</f>
        <v>0</v>
      </c>
      <c r="Y120">
        <f>SUMIF(RawData!$C:$C,$A120,RawData!AC:AC)</f>
        <v>0</v>
      </c>
      <c r="Z120">
        <f>SUMIF(RawData!$C:$C,$A120,RawData!AD:AD)</f>
        <v>0</v>
      </c>
      <c r="AA120">
        <f>SUMIF(RawData!$C:$C,$A120,RawData!AE:AE)</f>
        <v>0</v>
      </c>
      <c r="AB120">
        <f>SUMIF(RawData!$C:$C,$A120,RawData!AF:AF)</f>
        <v>0</v>
      </c>
      <c r="AC120">
        <f>SUMIF(RawData!$C:$C,$A120,RawData!AG:AG)</f>
        <v>0</v>
      </c>
      <c r="AD120">
        <f>SUMIF(RawData!$C:$C,$A120,RawData!AH:AH)</f>
        <v>0</v>
      </c>
      <c r="AE120">
        <f>SUMIF(RawData!$C:$C,$A120,RawData!AI:AI)</f>
        <v>0</v>
      </c>
      <c r="AF120">
        <f>SUMIF(RawData!$C:$C,$A120,RawData!AJ:AJ)</f>
        <v>0</v>
      </c>
      <c r="AG120">
        <f>SUMIF(RawData!$C:$C,$A120,RawData!AK:AK)</f>
        <v>0</v>
      </c>
      <c r="AH120">
        <f>SUMIF(RawData!$C:$C,$A120,RawData!AL:AL)</f>
        <v>0</v>
      </c>
      <c r="AI120">
        <f>SUMIF(RawData!$C:$C,$A120,RawData!AM:AM)</f>
        <v>0</v>
      </c>
      <c r="AJ120">
        <f>SUMIF(RawData!$C:$C,$A120,RawData!AN:AN)</f>
        <v>0</v>
      </c>
      <c r="AK120">
        <f>SUMIF(RawData!$C:$C,$A120,RawData!AO:AO)</f>
        <v>0</v>
      </c>
      <c r="AL120">
        <f>SUMIF(RawData!$C:$C,$A120,RawData!AP:AP)</f>
        <v>0</v>
      </c>
      <c r="AM120">
        <f>SUMIF(RawData!$C:$C,$A120,RawData!AQ:AQ)</f>
        <v>0</v>
      </c>
      <c r="AN120">
        <f>SUMIF(RawData!$C:$C,$A120,RawData!AR:AR)</f>
        <v>0</v>
      </c>
      <c r="AO120">
        <f>SUMIF(RawData!$C:$C,$A120,RawData!AS:AS)</f>
        <v>0</v>
      </c>
      <c r="AP120">
        <f>SUMIF(RawData!$C:$C,$A120,RawData!AT:AT)</f>
        <v>0</v>
      </c>
      <c r="AQ120">
        <f>SUMIF(RawData!$C:$C,$A120,RawData!AU:AU)</f>
        <v>1</v>
      </c>
      <c r="AR120">
        <f>SUMIF(RawData!$C:$C,$A120,RawData!AV:AV)</f>
        <v>1</v>
      </c>
      <c r="AS120">
        <f>SUMIF(RawData!$C:$C,$A120,RawData!AW:AW)</f>
        <v>1</v>
      </c>
      <c r="AT120">
        <f>SUMIF(RawData!$C:$C,$A120,RawData!AX:AX)</f>
        <v>1</v>
      </c>
      <c r="AU120">
        <f>SUMIF(RawData!$C:$C,$A120,RawData!AY:AY)</f>
        <v>1</v>
      </c>
      <c r="AV120">
        <f>SUMIF(RawData!$C:$C,$A120,RawData!AZ:AZ)</f>
        <v>1</v>
      </c>
      <c r="AW120">
        <f>SUMIF(RawData!$C:$C,$A120,RawData!BA:BA)</f>
        <v>1</v>
      </c>
      <c r="AX120">
        <f>SUMIF(RawData!$C:$C,$A120,RawData!BB:BB)</f>
        <v>1</v>
      </c>
      <c r="AY120">
        <f>SUMIF(RawData!$C:$C,$A120,RawData!BC:BC)</f>
        <v>1</v>
      </c>
      <c r="AZ120">
        <f>SUMIF(RawData!$C:$C,$A120,RawData!BD:BD)</f>
        <v>1</v>
      </c>
      <c r="BA120">
        <f>SUMIF(RawData!$C:$C,$A120,RawData!BE:BE)</f>
        <v>1</v>
      </c>
      <c r="BB120">
        <f>SUMIF(RawData!$C:$C,$A120,RawData!BF:BF)</f>
        <v>1</v>
      </c>
      <c r="BC120">
        <f>SUMIF(RawData!$C:$C,$A120,RawData!BG:BG)</f>
        <v>8</v>
      </c>
      <c r="BD120">
        <f>SUMIF(RawData!$C:$C,$A120,RawData!BH:BH)</f>
        <v>17</v>
      </c>
      <c r="BE120">
        <f>SUMIF(RawData!$C:$C,$A120,RawData!BI:BI)</f>
        <v>0</v>
      </c>
      <c r="BF120">
        <f>SUMIF(RawData!$C:$C,$A120,RawData!BJ:BJ)</f>
        <v>0</v>
      </c>
      <c r="BG120">
        <f>SUMIF(RawData!$C:$C,$A120,RawData!BK:BK)</f>
        <v>0</v>
      </c>
      <c r="BH120">
        <f>SUMIF(RawData!$C:$C,$A120,RawData!BL:BL)</f>
        <v>0</v>
      </c>
      <c r="BI120">
        <f>SUMIF(RawData!$C:$C,$A120,RawData!BM:BM)</f>
        <v>0</v>
      </c>
      <c r="BJ120">
        <f>SUMIF(RawData!$C:$C,$A120,RawData!BN:BN)</f>
        <v>0</v>
      </c>
      <c r="BK120">
        <f>SUMIF(RawData!$C:$C,$A120,RawData!BO:BO)</f>
        <v>0</v>
      </c>
      <c r="BL120">
        <f>SUMIF(RawData!$C:$C,$A120,RawData!BP:BP)</f>
        <v>0</v>
      </c>
      <c r="BM120">
        <f>SUMIF(RawData!$C:$C,$A120,RawData!BQ:BQ)</f>
        <v>0</v>
      </c>
      <c r="BN120">
        <f>SUMIF(RawData!$C:$C,$A120,RawData!BR:BR)</f>
        <v>0</v>
      </c>
      <c r="BO120">
        <f>SUMIF(RawData!$C:$C,$A120,RawData!BS:BS)</f>
        <v>0</v>
      </c>
      <c r="BP120">
        <f>SUMIF(RawData!$C:$C,$A120,RawData!BT:BT)</f>
        <v>0</v>
      </c>
      <c r="BQ120">
        <f>SUMIF(RawData!$C:$C,$A120,RawData!BU:BU)</f>
        <v>0</v>
      </c>
      <c r="BR120">
        <f>SUMIF(RawData!$C:$C,$A120,RawData!BV:BV)</f>
        <v>0</v>
      </c>
      <c r="BS120">
        <f>SUMIF(RawData!$C:$C,$A120,RawData!BW:BW)</f>
        <v>0</v>
      </c>
      <c r="BT120">
        <f>SUMIF(RawData!$C:$C,$A120,RawData!BX:BX)</f>
        <v>0</v>
      </c>
    </row>
    <row r="121" spans="1:72" ht="15" thickBot="1" x14ac:dyDescent="0.35">
      <c r="A121" s="4" t="s">
        <v>451</v>
      </c>
      <c r="B121">
        <f>SUMIF(RawData!$C:$C,$A121,RawData!F:F)</f>
        <v>0</v>
      </c>
      <c r="C121">
        <f>SUMIF(RawData!$C:$C,$A121,RawData!G:G)</f>
        <v>0</v>
      </c>
      <c r="D121">
        <f>SUMIF(RawData!$C:$C,$A121,RawData!H:H)</f>
        <v>0</v>
      </c>
      <c r="E121">
        <f>SUMIF(RawData!$C:$C,$A121,RawData!I:I)</f>
        <v>0</v>
      </c>
      <c r="F121">
        <f>SUMIF(RawData!$C:$C,$A121,RawData!J:J)</f>
        <v>0</v>
      </c>
      <c r="G121">
        <f>SUMIF(RawData!$C:$C,$A121,RawData!K:K)</f>
        <v>0</v>
      </c>
      <c r="H121">
        <f>SUMIF(RawData!$C:$C,$A121,RawData!L:L)</f>
        <v>0</v>
      </c>
      <c r="I121">
        <f>SUMIF(RawData!$C:$C,$A121,RawData!M:M)</f>
        <v>0</v>
      </c>
      <c r="J121">
        <f>SUMIF(RawData!$C:$C,$A121,RawData!N:N)</f>
        <v>0</v>
      </c>
      <c r="K121">
        <f>SUMIF(RawData!$C:$C,$A121,RawData!O:O)</f>
        <v>0</v>
      </c>
      <c r="L121">
        <f>SUMIF(RawData!$C:$C,$A121,RawData!P:P)</f>
        <v>0</v>
      </c>
      <c r="M121">
        <f>SUMIF(RawData!$C:$C,$A121,RawData!Q:Q)</f>
        <v>0</v>
      </c>
      <c r="N121">
        <f>SUMIF(RawData!$C:$C,$A121,RawData!R:R)</f>
        <v>0</v>
      </c>
      <c r="O121">
        <f>SUMIF(RawData!$C:$C,$A121,RawData!S:S)</f>
        <v>0</v>
      </c>
      <c r="P121">
        <f>SUMIF(RawData!$C:$C,$A121,RawData!T:T)</f>
        <v>0</v>
      </c>
      <c r="Q121">
        <f>SUMIF(RawData!$C:$C,$A121,RawData!U:U)</f>
        <v>0</v>
      </c>
      <c r="R121">
        <f>SUMIF(RawData!$C:$C,$A121,RawData!V:V)</f>
        <v>0</v>
      </c>
      <c r="S121">
        <f>SUMIF(RawData!$C:$C,$A121,RawData!W:W)</f>
        <v>0</v>
      </c>
      <c r="T121">
        <f>SUMIF(RawData!$C:$C,$A121,RawData!X:X)</f>
        <v>0</v>
      </c>
      <c r="U121">
        <f>SUMIF(RawData!$C:$C,$A121,RawData!Y:Y)</f>
        <v>0</v>
      </c>
      <c r="V121">
        <f>SUMIF(RawData!$C:$C,$A121,RawData!Z:Z)</f>
        <v>0</v>
      </c>
      <c r="W121">
        <f>SUMIF(RawData!$C:$C,$A121,RawData!AA:AA)</f>
        <v>0</v>
      </c>
      <c r="X121">
        <f>SUMIF(RawData!$C:$C,$A121,RawData!AB:AB)</f>
        <v>0</v>
      </c>
      <c r="Y121">
        <f>SUMIF(RawData!$C:$C,$A121,RawData!AC:AC)</f>
        <v>0</v>
      </c>
      <c r="Z121">
        <f>SUMIF(RawData!$C:$C,$A121,RawData!AD:AD)</f>
        <v>0</v>
      </c>
      <c r="AA121">
        <f>SUMIF(RawData!$C:$C,$A121,RawData!AE:AE)</f>
        <v>0</v>
      </c>
      <c r="AB121">
        <f>SUMIF(RawData!$C:$C,$A121,RawData!AF:AF)</f>
        <v>0</v>
      </c>
      <c r="AC121">
        <f>SUMIF(RawData!$C:$C,$A121,RawData!AG:AG)</f>
        <v>0</v>
      </c>
      <c r="AD121">
        <f>SUMIF(RawData!$C:$C,$A121,RawData!AH:AH)</f>
        <v>0</v>
      </c>
      <c r="AE121">
        <f>SUMIF(RawData!$C:$C,$A121,RawData!AI:AI)</f>
        <v>0</v>
      </c>
      <c r="AF121">
        <f>SUMIF(RawData!$C:$C,$A121,RawData!AJ:AJ)</f>
        <v>0</v>
      </c>
      <c r="AG121">
        <f>SUMIF(RawData!$C:$C,$A121,RawData!AK:AK)</f>
        <v>0</v>
      </c>
      <c r="AH121">
        <f>SUMIF(RawData!$C:$C,$A121,RawData!AL:AL)</f>
        <v>0</v>
      </c>
      <c r="AI121">
        <f>SUMIF(RawData!$C:$C,$A121,RawData!AM:AM)</f>
        <v>0</v>
      </c>
      <c r="AJ121">
        <f>SUMIF(RawData!$C:$C,$A121,RawData!AN:AN)</f>
        <v>0</v>
      </c>
      <c r="AK121">
        <f>SUMIF(RawData!$C:$C,$A121,RawData!AO:AO)</f>
        <v>0</v>
      </c>
      <c r="AL121">
        <f>SUMIF(RawData!$C:$C,$A121,RawData!AP:AP)</f>
        <v>0</v>
      </c>
      <c r="AM121">
        <f>SUMIF(RawData!$C:$C,$A121,RawData!AQ:AQ)</f>
        <v>0</v>
      </c>
      <c r="AN121">
        <f>SUMIF(RawData!$C:$C,$A121,RawData!AR:AR)</f>
        <v>0</v>
      </c>
      <c r="AO121">
        <f>SUMIF(RawData!$C:$C,$A121,RawData!AS:AS)</f>
        <v>0</v>
      </c>
      <c r="AP121">
        <f>SUMIF(RawData!$C:$C,$A121,RawData!AT:AT)</f>
        <v>0</v>
      </c>
      <c r="AQ121">
        <f>SUMIF(RawData!$C:$C,$A121,RawData!AU:AU)</f>
        <v>0</v>
      </c>
      <c r="AR121">
        <f>SUMIF(RawData!$C:$C,$A121,RawData!AV:AV)</f>
        <v>0</v>
      </c>
      <c r="AS121">
        <f>SUMIF(RawData!$C:$C,$A121,RawData!AW:AW)</f>
        <v>0</v>
      </c>
      <c r="AT121">
        <f>SUMIF(RawData!$C:$C,$A121,RawData!AX:AX)</f>
        <v>0</v>
      </c>
      <c r="AU121">
        <f>SUMIF(RawData!$C:$C,$A121,RawData!AY:AY)</f>
        <v>0</v>
      </c>
      <c r="AV121">
        <f>SUMIF(RawData!$C:$C,$A121,RawData!AZ:AZ)</f>
        <v>0</v>
      </c>
      <c r="AW121">
        <f>SUMIF(RawData!$C:$C,$A121,RawData!BA:BA)</f>
        <v>0</v>
      </c>
      <c r="AX121">
        <f>SUMIF(RawData!$C:$C,$A121,RawData!BB:BB)</f>
        <v>0</v>
      </c>
      <c r="AY121">
        <f>SUMIF(RawData!$C:$C,$A121,RawData!BC:BC)</f>
        <v>0</v>
      </c>
      <c r="AZ121">
        <f>SUMIF(RawData!$C:$C,$A121,RawData!BD:BD)</f>
        <v>0</v>
      </c>
      <c r="BA121">
        <f>SUMIF(RawData!$C:$C,$A121,RawData!BE:BE)</f>
        <v>1</v>
      </c>
      <c r="BB121">
        <f>SUMIF(RawData!$C:$C,$A121,RawData!BF:BF)</f>
        <v>1</v>
      </c>
      <c r="BC121">
        <f>SUMIF(RawData!$C:$C,$A121,RawData!BG:BG)</f>
        <v>3</v>
      </c>
      <c r="BD121">
        <f>SUMIF(RawData!$C:$C,$A121,RawData!BH:BH)</f>
        <v>3</v>
      </c>
      <c r="BE121">
        <f>SUMIF(RawData!$C:$C,$A121,RawData!BI:BI)</f>
        <v>0</v>
      </c>
      <c r="BF121">
        <f>SUMIF(RawData!$C:$C,$A121,RawData!BJ:BJ)</f>
        <v>0</v>
      </c>
      <c r="BG121">
        <f>SUMIF(RawData!$C:$C,$A121,RawData!BK:BK)</f>
        <v>0</v>
      </c>
      <c r="BH121">
        <f>SUMIF(RawData!$C:$C,$A121,RawData!BL:BL)</f>
        <v>0</v>
      </c>
      <c r="BI121">
        <f>SUMIF(RawData!$C:$C,$A121,RawData!BM:BM)</f>
        <v>0</v>
      </c>
      <c r="BJ121">
        <f>SUMIF(RawData!$C:$C,$A121,RawData!BN:BN)</f>
        <v>0</v>
      </c>
      <c r="BK121">
        <f>SUMIF(RawData!$C:$C,$A121,RawData!BO:BO)</f>
        <v>0</v>
      </c>
      <c r="BL121">
        <f>SUMIF(RawData!$C:$C,$A121,RawData!BP:BP)</f>
        <v>0</v>
      </c>
      <c r="BM121">
        <f>SUMIF(RawData!$C:$C,$A121,RawData!BQ:BQ)</f>
        <v>0</v>
      </c>
      <c r="BN121">
        <f>SUMIF(RawData!$C:$C,$A121,RawData!BR:BR)</f>
        <v>0</v>
      </c>
      <c r="BO121">
        <f>SUMIF(RawData!$C:$C,$A121,RawData!BS:BS)</f>
        <v>0</v>
      </c>
      <c r="BP121">
        <f>SUMIF(RawData!$C:$C,$A121,RawData!BT:BT)</f>
        <v>0</v>
      </c>
      <c r="BQ121">
        <f>SUMIF(RawData!$C:$C,$A121,RawData!BU:BU)</f>
        <v>0</v>
      </c>
      <c r="BR121">
        <f>SUMIF(RawData!$C:$C,$A121,RawData!BV:BV)</f>
        <v>0</v>
      </c>
      <c r="BS121">
        <f>SUMIF(RawData!$C:$C,$A121,RawData!BW:BW)</f>
        <v>0</v>
      </c>
      <c r="BT121">
        <f>SUMIF(RawData!$C:$C,$A121,RawData!BX:BX)</f>
        <v>0</v>
      </c>
    </row>
    <row r="122" spans="1:72" ht="15" thickBot="1" x14ac:dyDescent="0.35">
      <c r="A122" s="5" t="s">
        <v>163</v>
      </c>
      <c r="B122">
        <f>SUMIF(RawData!$C:$C,$A122,RawData!F:F)</f>
        <v>0</v>
      </c>
      <c r="C122">
        <f>SUMIF(RawData!$C:$C,$A122,RawData!G:G)</f>
        <v>0</v>
      </c>
      <c r="D122">
        <f>SUMIF(RawData!$C:$C,$A122,RawData!H:H)</f>
        <v>0</v>
      </c>
      <c r="E122">
        <f>SUMIF(RawData!$C:$C,$A122,RawData!I:I)</f>
        <v>0</v>
      </c>
      <c r="F122">
        <f>SUMIF(RawData!$C:$C,$A122,RawData!J:J)</f>
        <v>0</v>
      </c>
      <c r="G122">
        <f>SUMIF(RawData!$C:$C,$A122,RawData!K:K)</f>
        <v>0</v>
      </c>
      <c r="H122">
        <f>SUMIF(RawData!$C:$C,$A122,RawData!L:L)</f>
        <v>0</v>
      </c>
      <c r="I122">
        <f>SUMIF(RawData!$C:$C,$A122,RawData!M:M)</f>
        <v>0</v>
      </c>
      <c r="J122">
        <f>SUMIF(RawData!$C:$C,$A122,RawData!N:N)</f>
        <v>0</v>
      </c>
      <c r="K122">
        <f>SUMIF(RawData!$C:$C,$A122,RawData!O:O)</f>
        <v>0</v>
      </c>
      <c r="L122">
        <f>SUMIF(RawData!$C:$C,$A122,RawData!P:P)</f>
        <v>0</v>
      </c>
      <c r="M122">
        <f>SUMIF(RawData!$C:$C,$A122,RawData!Q:Q)</f>
        <v>0</v>
      </c>
      <c r="N122">
        <f>SUMIF(RawData!$C:$C,$A122,RawData!R:R)</f>
        <v>0</v>
      </c>
      <c r="O122">
        <f>SUMIF(RawData!$C:$C,$A122,RawData!S:S)</f>
        <v>0</v>
      </c>
      <c r="P122">
        <f>SUMIF(RawData!$C:$C,$A122,RawData!T:T)</f>
        <v>0</v>
      </c>
      <c r="Q122">
        <f>SUMIF(RawData!$C:$C,$A122,RawData!U:U)</f>
        <v>0</v>
      </c>
      <c r="R122">
        <f>SUMIF(RawData!$C:$C,$A122,RawData!V:V)</f>
        <v>0</v>
      </c>
      <c r="S122">
        <f>SUMIF(RawData!$C:$C,$A122,RawData!W:W)</f>
        <v>0</v>
      </c>
      <c r="T122">
        <f>SUMIF(RawData!$C:$C,$A122,RawData!X:X)</f>
        <v>0</v>
      </c>
      <c r="U122">
        <f>SUMIF(RawData!$C:$C,$A122,RawData!Y:Y)</f>
        <v>0</v>
      </c>
      <c r="V122">
        <f>SUMIF(RawData!$C:$C,$A122,RawData!Z:Z)</f>
        <v>0</v>
      </c>
      <c r="W122">
        <f>SUMIF(RawData!$C:$C,$A122,RawData!AA:AA)</f>
        <v>0</v>
      </c>
      <c r="X122">
        <f>SUMIF(RawData!$C:$C,$A122,RawData!AB:AB)</f>
        <v>0</v>
      </c>
      <c r="Y122">
        <f>SUMIF(RawData!$C:$C,$A122,RawData!AC:AC)</f>
        <v>0</v>
      </c>
      <c r="Z122">
        <f>SUMIF(RawData!$C:$C,$A122,RawData!AD:AD)</f>
        <v>0</v>
      </c>
      <c r="AA122">
        <f>SUMIF(RawData!$C:$C,$A122,RawData!AE:AE)</f>
        <v>0</v>
      </c>
      <c r="AB122">
        <f>SUMIF(RawData!$C:$C,$A122,RawData!AF:AF)</f>
        <v>0</v>
      </c>
      <c r="AC122">
        <f>SUMIF(RawData!$C:$C,$A122,RawData!AG:AG)</f>
        <v>0</v>
      </c>
      <c r="AD122">
        <f>SUMIF(RawData!$C:$C,$A122,RawData!AH:AH)</f>
        <v>0</v>
      </c>
      <c r="AE122">
        <f>SUMIF(RawData!$C:$C,$A122,RawData!AI:AI)</f>
        <v>0</v>
      </c>
      <c r="AF122">
        <f>SUMIF(RawData!$C:$C,$A122,RawData!AJ:AJ)</f>
        <v>0</v>
      </c>
      <c r="AG122">
        <f>SUMIF(RawData!$C:$C,$A122,RawData!AK:AK)</f>
        <v>0</v>
      </c>
      <c r="AH122">
        <f>SUMIF(RawData!$C:$C,$A122,RawData!AL:AL)</f>
        <v>0</v>
      </c>
      <c r="AI122">
        <f>SUMIF(RawData!$C:$C,$A122,RawData!AM:AM)</f>
        <v>0</v>
      </c>
      <c r="AJ122">
        <f>SUMIF(RawData!$C:$C,$A122,RawData!AN:AN)</f>
        <v>0</v>
      </c>
      <c r="AK122">
        <f>SUMIF(RawData!$C:$C,$A122,RawData!AO:AO)</f>
        <v>0</v>
      </c>
      <c r="AL122">
        <f>SUMIF(RawData!$C:$C,$A122,RawData!AP:AP)</f>
        <v>0</v>
      </c>
      <c r="AM122">
        <f>SUMIF(RawData!$C:$C,$A122,RawData!AQ:AQ)</f>
        <v>0</v>
      </c>
      <c r="AN122">
        <f>SUMIF(RawData!$C:$C,$A122,RawData!AR:AR)</f>
        <v>0</v>
      </c>
      <c r="AO122">
        <f>SUMIF(RawData!$C:$C,$A122,RawData!AS:AS)</f>
        <v>0</v>
      </c>
      <c r="AP122">
        <f>SUMIF(RawData!$C:$C,$A122,RawData!AT:AT)</f>
        <v>0</v>
      </c>
      <c r="AQ122">
        <f>SUMIF(RawData!$C:$C,$A122,RawData!AU:AU)</f>
        <v>0</v>
      </c>
      <c r="AR122">
        <f>SUMIF(RawData!$C:$C,$A122,RawData!AV:AV)</f>
        <v>1</v>
      </c>
      <c r="AS122">
        <f>SUMIF(RawData!$C:$C,$A122,RawData!AW:AW)</f>
        <v>1</v>
      </c>
      <c r="AT122">
        <f>SUMIF(RawData!$C:$C,$A122,RawData!AX:AX)</f>
        <v>1</v>
      </c>
      <c r="AU122">
        <f>SUMIF(RawData!$C:$C,$A122,RawData!AY:AY)</f>
        <v>1</v>
      </c>
      <c r="AV122">
        <f>SUMIF(RawData!$C:$C,$A122,RawData!AZ:AZ)</f>
        <v>1</v>
      </c>
      <c r="AW122">
        <f>SUMIF(RawData!$C:$C,$A122,RawData!BA:BA)</f>
        <v>1</v>
      </c>
      <c r="AX122">
        <f>SUMIF(RawData!$C:$C,$A122,RawData!BB:BB)</f>
        <v>1</v>
      </c>
      <c r="AY122">
        <f>SUMIF(RawData!$C:$C,$A122,RawData!BC:BC)</f>
        <v>1</v>
      </c>
      <c r="AZ122">
        <f>SUMIF(RawData!$C:$C,$A122,RawData!BD:BD)</f>
        <v>1</v>
      </c>
      <c r="BA122">
        <f>SUMIF(RawData!$C:$C,$A122,RawData!BE:BE)</f>
        <v>1</v>
      </c>
      <c r="BB122">
        <f>SUMIF(RawData!$C:$C,$A122,RawData!BF:BF)</f>
        <v>4</v>
      </c>
      <c r="BC122">
        <f>SUMIF(RawData!$C:$C,$A122,RawData!BG:BG)</f>
        <v>4</v>
      </c>
      <c r="BD122">
        <f>SUMIF(RawData!$C:$C,$A122,RawData!BH:BH)</f>
        <v>4</v>
      </c>
      <c r="BE122">
        <f>SUMIF(RawData!$C:$C,$A122,RawData!BI:BI)</f>
        <v>0</v>
      </c>
      <c r="BF122">
        <f>SUMIF(RawData!$C:$C,$A122,RawData!BJ:BJ)</f>
        <v>0</v>
      </c>
      <c r="BG122">
        <f>SUMIF(RawData!$C:$C,$A122,RawData!BK:BK)</f>
        <v>0</v>
      </c>
      <c r="BH122">
        <f>SUMIF(RawData!$C:$C,$A122,RawData!BL:BL)</f>
        <v>0</v>
      </c>
      <c r="BI122">
        <f>SUMIF(RawData!$C:$C,$A122,RawData!BM:BM)</f>
        <v>0</v>
      </c>
      <c r="BJ122">
        <f>SUMIF(RawData!$C:$C,$A122,RawData!BN:BN)</f>
        <v>0</v>
      </c>
      <c r="BK122">
        <f>SUMIF(RawData!$C:$C,$A122,RawData!BO:BO)</f>
        <v>0</v>
      </c>
      <c r="BL122">
        <f>SUMIF(RawData!$C:$C,$A122,RawData!BP:BP)</f>
        <v>0</v>
      </c>
      <c r="BM122">
        <f>SUMIF(RawData!$C:$C,$A122,RawData!BQ:BQ)</f>
        <v>0</v>
      </c>
      <c r="BN122">
        <f>SUMIF(RawData!$C:$C,$A122,RawData!BR:BR)</f>
        <v>0</v>
      </c>
      <c r="BO122">
        <f>SUMIF(RawData!$C:$C,$A122,RawData!BS:BS)</f>
        <v>0</v>
      </c>
      <c r="BP122">
        <f>SUMIF(RawData!$C:$C,$A122,RawData!BT:BT)</f>
        <v>0</v>
      </c>
      <c r="BQ122">
        <f>SUMIF(RawData!$C:$C,$A122,RawData!BU:BU)</f>
        <v>0</v>
      </c>
      <c r="BR122">
        <f>SUMIF(RawData!$C:$C,$A122,RawData!BV:BV)</f>
        <v>0</v>
      </c>
      <c r="BS122">
        <f>SUMIF(RawData!$C:$C,$A122,RawData!BW:BW)</f>
        <v>0</v>
      </c>
      <c r="BT122">
        <f>SUMIF(RawData!$C:$C,$A122,RawData!BX:BX)</f>
        <v>0</v>
      </c>
    </row>
    <row r="123" spans="1:72" ht="15" thickBot="1" x14ac:dyDescent="0.35">
      <c r="A123" s="5" t="s">
        <v>309</v>
      </c>
      <c r="B123">
        <f>SUMIF(RawData!$C:$C,$A123,RawData!F:F)</f>
        <v>0</v>
      </c>
      <c r="C123">
        <f>SUMIF(RawData!$C:$C,$A123,RawData!G:G)</f>
        <v>0</v>
      </c>
      <c r="D123">
        <f>SUMIF(RawData!$C:$C,$A123,RawData!H:H)</f>
        <v>0</v>
      </c>
      <c r="E123">
        <f>SUMIF(RawData!$C:$C,$A123,RawData!I:I)</f>
        <v>0</v>
      </c>
      <c r="F123">
        <f>SUMIF(RawData!$C:$C,$A123,RawData!J:J)</f>
        <v>0</v>
      </c>
      <c r="G123">
        <f>SUMIF(RawData!$C:$C,$A123,RawData!K:K)</f>
        <v>0</v>
      </c>
      <c r="H123">
        <f>SUMIF(RawData!$C:$C,$A123,RawData!L:L)</f>
        <v>0</v>
      </c>
      <c r="I123">
        <f>SUMIF(RawData!$C:$C,$A123,RawData!M:M)</f>
        <v>0</v>
      </c>
      <c r="J123">
        <f>SUMIF(RawData!$C:$C,$A123,RawData!N:N)</f>
        <v>0</v>
      </c>
      <c r="K123">
        <f>SUMIF(RawData!$C:$C,$A123,RawData!O:O)</f>
        <v>0</v>
      </c>
      <c r="L123">
        <f>SUMIF(RawData!$C:$C,$A123,RawData!P:P)</f>
        <v>0</v>
      </c>
      <c r="M123">
        <f>SUMIF(RawData!$C:$C,$A123,RawData!Q:Q)</f>
        <v>0</v>
      </c>
      <c r="N123">
        <f>SUMIF(RawData!$C:$C,$A123,RawData!R:R)</f>
        <v>0</v>
      </c>
      <c r="O123">
        <f>SUMIF(RawData!$C:$C,$A123,RawData!S:S)</f>
        <v>0</v>
      </c>
      <c r="P123">
        <f>SUMIF(RawData!$C:$C,$A123,RawData!T:T)</f>
        <v>0</v>
      </c>
      <c r="Q123">
        <f>SUMIF(RawData!$C:$C,$A123,RawData!U:U)</f>
        <v>0</v>
      </c>
      <c r="R123">
        <f>SUMIF(RawData!$C:$C,$A123,RawData!V:V)</f>
        <v>0</v>
      </c>
      <c r="S123">
        <f>SUMIF(RawData!$C:$C,$A123,RawData!W:W)</f>
        <v>0</v>
      </c>
      <c r="T123">
        <f>SUMIF(RawData!$C:$C,$A123,RawData!X:X)</f>
        <v>0</v>
      </c>
      <c r="U123">
        <f>SUMIF(RawData!$C:$C,$A123,RawData!Y:Y)</f>
        <v>0</v>
      </c>
      <c r="V123">
        <f>SUMIF(RawData!$C:$C,$A123,RawData!Z:Z)</f>
        <v>0</v>
      </c>
      <c r="W123">
        <f>SUMIF(RawData!$C:$C,$A123,RawData!AA:AA)</f>
        <v>0</v>
      </c>
      <c r="X123">
        <f>SUMIF(RawData!$C:$C,$A123,RawData!AB:AB)</f>
        <v>0</v>
      </c>
      <c r="Y123">
        <f>SUMIF(RawData!$C:$C,$A123,RawData!AC:AC)</f>
        <v>0</v>
      </c>
      <c r="Z123">
        <f>SUMIF(RawData!$C:$C,$A123,RawData!AD:AD)</f>
        <v>0</v>
      </c>
      <c r="AA123">
        <f>SUMIF(RawData!$C:$C,$A123,RawData!AE:AE)</f>
        <v>0</v>
      </c>
      <c r="AB123">
        <f>SUMIF(RawData!$C:$C,$A123,RawData!AF:AF)</f>
        <v>0</v>
      </c>
      <c r="AC123">
        <f>SUMIF(RawData!$C:$C,$A123,RawData!AG:AG)</f>
        <v>0</v>
      </c>
      <c r="AD123">
        <f>SUMIF(RawData!$C:$C,$A123,RawData!AH:AH)</f>
        <v>0</v>
      </c>
      <c r="AE123">
        <f>SUMIF(RawData!$C:$C,$A123,RawData!AI:AI)</f>
        <v>0</v>
      </c>
      <c r="AF123">
        <f>SUMIF(RawData!$C:$C,$A123,RawData!AJ:AJ)</f>
        <v>0</v>
      </c>
      <c r="AG123">
        <f>SUMIF(RawData!$C:$C,$A123,RawData!AK:AK)</f>
        <v>0</v>
      </c>
      <c r="AH123">
        <f>SUMIF(RawData!$C:$C,$A123,RawData!AL:AL)</f>
        <v>0</v>
      </c>
      <c r="AI123">
        <f>SUMIF(RawData!$C:$C,$A123,RawData!AM:AM)</f>
        <v>0</v>
      </c>
      <c r="AJ123">
        <f>SUMIF(RawData!$C:$C,$A123,RawData!AN:AN)</f>
        <v>0</v>
      </c>
      <c r="AK123">
        <f>SUMIF(RawData!$C:$C,$A123,RawData!AO:AO)</f>
        <v>0</v>
      </c>
      <c r="AL123">
        <f>SUMIF(RawData!$C:$C,$A123,RawData!AP:AP)</f>
        <v>0</v>
      </c>
      <c r="AM123">
        <f>SUMIF(RawData!$C:$C,$A123,RawData!AQ:AQ)</f>
        <v>0</v>
      </c>
      <c r="AN123">
        <f>SUMIF(RawData!$C:$C,$A123,RawData!AR:AR)</f>
        <v>0</v>
      </c>
      <c r="AO123">
        <f>SUMIF(RawData!$C:$C,$A123,RawData!AS:AS)</f>
        <v>0</v>
      </c>
      <c r="AP123">
        <f>SUMIF(RawData!$C:$C,$A123,RawData!AT:AT)</f>
        <v>0</v>
      </c>
      <c r="AQ123">
        <f>SUMIF(RawData!$C:$C,$A123,RawData!AU:AU)</f>
        <v>0</v>
      </c>
      <c r="AR123">
        <f>SUMIF(RawData!$C:$C,$A123,RawData!AV:AV)</f>
        <v>0</v>
      </c>
      <c r="AS123">
        <f>SUMIF(RawData!$C:$C,$A123,RawData!AW:AW)</f>
        <v>0</v>
      </c>
      <c r="AT123">
        <f>SUMIF(RawData!$C:$C,$A123,RawData!AX:AX)</f>
        <v>0</v>
      </c>
      <c r="AU123">
        <f>SUMIF(RawData!$C:$C,$A123,RawData!AY:AY)</f>
        <v>0</v>
      </c>
      <c r="AV123">
        <f>SUMIF(RawData!$C:$C,$A123,RawData!AZ:AZ)</f>
        <v>0</v>
      </c>
      <c r="AW123">
        <f>SUMIF(RawData!$C:$C,$A123,RawData!BA:BA)</f>
        <v>0</v>
      </c>
      <c r="AX123">
        <f>SUMIF(RawData!$C:$C,$A123,RawData!BB:BB)</f>
        <v>1</v>
      </c>
      <c r="AY123">
        <f>SUMIF(RawData!$C:$C,$A123,RawData!BC:BC)</f>
        <v>1</v>
      </c>
      <c r="AZ123">
        <f>SUMIF(RawData!$C:$C,$A123,RawData!BD:BD)</f>
        <v>1</v>
      </c>
      <c r="BA123">
        <f>SUMIF(RawData!$C:$C,$A123,RawData!BE:BE)</f>
        <v>1</v>
      </c>
      <c r="BB123">
        <f>SUMIF(RawData!$C:$C,$A123,RawData!BF:BF)</f>
        <v>1</v>
      </c>
      <c r="BC123">
        <f>SUMIF(RawData!$C:$C,$A123,RawData!BG:BG)</f>
        <v>1</v>
      </c>
      <c r="BD123">
        <f>SUMIF(RawData!$C:$C,$A123,RawData!BH:BH)</f>
        <v>1</v>
      </c>
      <c r="BE123">
        <f>SUMIF(RawData!$C:$C,$A123,RawData!BI:BI)</f>
        <v>0</v>
      </c>
      <c r="BF123">
        <f>SUMIF(RawData!$C:$C,$A123,RawData!BJ:BJ)</f>
        <v>0</v>
      </c>
      <c r="BG123">
        <f>SUMIF(RawData!$C:$C,$A123,RawData!BK:BK)</f>
        <v>0</v>
      </c>
      <c r="BH123">
        <f>SUMIF(RawData!$C:$C,$A123,RawData!BL:BL)</f>
        <v>0</v>
      </c>
      <c r="BI123">
        <f>SUMIF(RawData!$C:$C,$A123,RawData!BM:BM)</f>
        <v>0</v>
      </c>
      <c r="BJ123">
        <f>SUMIF(RawData!$C:$C,$A123,RawData!BN:BN)</f>
        <v>0</v>
      </c>
      <c r="BK123">
        <f>SUMIF(RawData!$C:$C,$A123,RawData!BO:BO)</f>
        <v>0</v>
      </c>
      <c r="BL123">
        <f>SUMIF(RawData!$C:$C,$A123,RawData!BP:BP)</f>
        <v>0</v>
      </c>
      <c r="BM123">
        <f>SUMIF(RawData!$C:$C,$A123,RawData!BQ:BQ)</f>
        <v>0</v>
      </c>
      <c r="BN123">
        <f>SUMIF(RawData!$C:$C,$A123,RawData!BR:BR)</f>
        <v>0</v>
      </c>
      <c r="BO123">
        <f>SUMIF(RawData!$C:$C,$A123,RawData!BS:BS)</f>
        <v>0</v>
      </c>
      <c r="BP123">
        <f>SUMIF(RawData!$C:$C,$A123,RawData!BT:BT)</f>
        <v>0</v>
      </c>
      <c r="BQ123">
        <f>SUMIF(RawData!$C:$C,$A123,RawData!BU:BU)</f>
        <v>0</v>
      </c>
      <c r="BR123">
        <f>SUMIF(RawData!$C:$C,$A123,RawData!BV:BV)</f>
        <v>0</v>
      </c>
      <c r="BS123">
        <f>SUMIF(RawData!$C:$C,$A123,RawData!BW:BW)</f>
        <v>0</v>
      </c>
      <c r="BT123">
        <f>SUMIF(RawData!$C:$C,$A123,RawData!BX:BX)</f>
        <v>0</v>
      </c>
    </row>
    <row r="124" spans="1:72" ht="15" thickBot="1" x14ac:dyDescent="0.35">
      <c r="A124" s="5" t="s">
        <v>69</v>
      </c>
      <c r="B124">
        <f>SUMIF(RawData!$C:$C,$A124,RawData!F:F)</f>
        <v>0</v>
      </c>
      <c r="C124">
        <f>SUMIF(RawData!$C:$C,$A124,RawData!G:G)</f>
        <v>0</v>
      </c>
      <c r="D124">
        <f>SUMIF(RawData!$C:$C,$A124,RawData!H:H)</f>
        <v>0</v>
      </c>
      <c r="E124">
        <f>SUMIF(RawData!$C:$C,$A124,RawData!I:I)</f>
        <v>1</v>
      </c>
      <c r="F124">
        <f>SUMIF(RawData!$C:$C,$A124,RawData!J:J)</f>
        <v>1</v>
      </c>
      <c r="G124">
        <f>SUMIF(RawData!$C:$C,$A124,RawData!K:K)</f>
        <v>1</v>
      </c>
      <c r="H124">
        <f>SUMIF(RawData!$C:$C,$A124,RawData!L:L)</f>
        <v>1</v>
      </c>
      <c r="I124">
        <f>SUMIF(RawData!$C:$C,$A124,RawData!M:M)</f>
        <v>1</v>
      </c>
      <c r="J124">
        <f>SUMIF(RawData!$C:$C,$A124,RawData!N:N)</f>
        <v>1</v>
      </c>
      <c r="K124">
        <f>SUMIF(RawData!$C:$C,$A124,RawData!O:O)</f>
        <v>1</v>
      </c>
      <c r="L124">
        <f>SUMIF(RawData!$C:$C,$A124,RawData!P:P)</f>
        <v>1</v>
      </c>
      <c r="M124">
        <f>SUMIF(RawData!$C:$C,$A124,RawData!Q:Q)</f>
        <v>1</v>
      </c>
      <c r="N124">
        <f>SUMIF(RawData!$C:$C,$A124,RawData!R:R)</f>
        <v>1</v>
      </c>
      <c r="O124">
        <f>SUMIF(RawData!$C:$C,$A124,RawData!S:S)</f>
        <v>1</v>
      </c>
      <c r="P124">
        <f>SUMIF(RawData!$C:$C,$A124,RawData!T:T)</f>
        <v>1</v>
      </c>
      <c r="Q124">
        <f>SUMIF(RawData!$C:$C,$A124,RawData!U:U)</f>
        <v>1</v>
      </c>
      <c r="R124">
        <f>SUMIF(RawData!$C:$C,$A124,RawData!V:V)</f>
        <v>1</v>
      </c>
      <c r="S124">
        <f>SUMIF(RawData!$C:$C,$A124,RawData!W:W)</f>
        <v>1</v>
      </c>
      <c r="T124">
        <f>SUMIF(RawData!$C:$C,$A124,RawData!X:X)</f>
        <v>1</v>
      </c>
      <c r="U124">
        <f>SUMIF(RawData!$C:$C,$A124,RawData!Y:Y)</f>
        <v>1</v>
      </c>
      <c r="V124">
        <f>SUMIF(RawData!$C:$C,$A124,RawData!Z:Z)</f>
        <v>1</v>
      </c>
      <c r="W124">
        <f>SUMIF(RawData!$C:$C,$A124,RawData!AA:AA)</f>
        <v>1</v>
      </c>
      <c r="X124">
        <f>SUMIF(RawData!$C:$C,$A124,RawData!AB:AB)</f>
        <v>1</v>
      </c>
      <c r="Y124">
        <f>SUMIF(RawData!$C:$C,$A124,RawData!AC:AC)</f>
        <v>1</v>
      </c>
      <c r="Z124">
        <f>SUMIF(RawData!$C:$C,$A124,RawData!AD:AD)</f>
        <v>1</v>
      </c>
      <c r="AA124">
        <f>SUMIF(RawData!$C:$C,$A124,RawData!AE:AE)</f>
        <v>1</v>
      </c>
      <c r="AB124">
        <f>SUMIF(RawData!$C:$C,$A124,RawData!AF:AF)</f>
        <v>1</v>
      </c>
      <c r="AC124">
        <f>SUMIF(RawData!$C:$C,$A124,RawData!AG:AG)</f>
        <v>1</v>
      </c>
      <c r="AD124">
        <f>SUMIF(RawData!$C:$C,$A124,RawData!AH:AH)</f>
        <v>1</v>
      </c>
      <c r="AE124">
        <f>SUMIF(RawData!$C:$C,$A124,RawData!AI:AI)</f>
        <v>1</v>
      </c>
      <c r="AF124">
        <f>SUMIF(RawData!$C:$C,$A124,RawData!AJ:AJ)</f>
        <v>1</v>
      </c>
      <c r="AG124">
        <f>SUMIF(RawData!$C:$C,$A124,RawData!AK:AK)</f>
        <v>1</v>
      </c>
      <c r="AH124">
        <f>SUMIF(RawData!$C:$C,$A124,RawData!AL:AL)</f>
        <v>1</v>
      </c>
      <c r="AI124">
        <f>SUMIF(RawData!$C:$C,$A124,RawData!AM:AM)</f>
        <v>1</v>
      </c>
      <c r="AJ124">
        <f>SUMIF(RawData!$C:$C,$A124,RawData!AN:AN)</f>
        <v>1</v>
      </c>
      <c r="AK124">
        <f>SUMIF(RawData!$C:$C,$A124,RawData!AO:AO)</f>
        <v>1</v>
      </c>
      <c r="AL124">
        <f>SUMIF(RawData!$C:$C,$A124,RawData!AP:AP)</f>
        <v>1</v>
      </c>
      <c r="AM124">
        <f>SUMIF(RawData!$C:$C,$A124,RawData!AQ:AQ)</f>
        <v>1</v>
      </c>
      <c r="AN124">
        <f>SUMIF(RawData!$C:$C,$A124,RawData!AR:AR)</f>
        <v>1</v>
      </c>
      <c r="AO124">
        <f>SUMIF(RawData!$C:$C,$A124,RawData!AS:AS)</f>
        <v>1</v>
      </c>
      <c r="AP124">
        <f>SUMIF(RawData!$C:$C,$A124,RawData!AT:AT)</f>
        <v>1</v>
      </c>
      <c r="AQ124">
        <f>SUMIF(RawData!$C:$C,$A124,RawData!AU:AU)</f>
        <v>1</v>
      </c>
      <c r="AR124">
        <f>SUMIF(RawData!$C:$C,$A124,RawData!AV:AV)</f>
        <v>1</v>
      </c>
      <c r="AS124">
        <f>SUMIF(RawData!$C:$C,$A124,RawData!AW:AW)</f>
        <v>1</v>
      </c>
      <c r="AT124">
        <f>SUMIF(RawData!$C:$C,$A124,RawData!AX:AX)</f>
        <v>1</v>
      </c>
      <c r="AU124">
        <f>SUMIF(RawData!$C:$C,$A124,RawData!AY:AY)</f>
        <v>1</v>
      </c>
      <c r="AV124">
        <f>SUMIF(RawData!$C:$C,$A124,RawData!AZ:AZ)</f>
        <v>1</v>
      </c>
      <c r="AW124">
        <f>SUMIF(RawData!$C:$C,$A124,RawData!BA:BA)</f>
        <v>1</v>
      </c>
      <c r="AX124">
        <f>SUMIF(RawData!$C:$C,$A124,RawData!BB:BB)</f>
        <v>1</v>
      </c>
      <c r="AY124">
        <f>SUMIF(RawData!$C:$C,$A124,RawData!BC:BC)</f>
        <v>1</v>
      </c>
      <c r="AZ124">
        <f>SUMIF(RawData!$C:$C,$A124,RawData!BD:BD)</f>
        <v>1</v>
      </c>
      <c r="BA124">
        <f>SUMIF(RawData!$C:$C,$A124,RawData!BE:BE)</f>
        <v>1</v>
      </c>
      <c r="BB124">
        <f>SUMIF(RawData!$C:$C,$A124,RawData!BF:BF)</f>
        <v>1</v>
      </c>
      <c r="BC124">
        <f>SUMIF(RawData!$C:$C,$A124,RawData!BG:BG)</f>
        <v>1</v>
      </c>
      <c r="BD124">
        <f>SUMIF(RawData!$C:$C,$A124,RawData!BH:BH)</f>
        <v>1</v>
      </c>
      <c r="BE124">
        <f>SUMIF(RawData!$C:$C,$A124,RawData!BI:BI)</f>
        <v>0</v>
      </c>
      <c r="BF124">
        <f>SUMIF(RawData!$C:$C,$A124,RawData!BJ:BJ)</f>
        <v>0</v>
      </c>
      <c r="BG124">
        <f>SUMIF(RawData!$C:$C,$A124,RawData!BK:BK)</f>
        <v>0</v>
      </c>
      <c r="BH124">
        <f>SUMIF(RawData!$C:$C,$A124,RawData!BL:BL)</f>
        <v>0</v>
      </c>
      <c r="BI124">
        <f>SUMIF(RawData!$C:$C,$A124,RawData!BM:BM)</f>
        <v>0</v>
      </c>
      <c r="BJ124">
        <f>SUMIF(RawData!$C:$C,$A124,RawData!BN:BN)</f>
        <v>0</v>
      </c>
      <c r="BK124">
        <f>SUMIF(RawData!$C:$C,$A124,RawData!BO:BO)</f>
        <v>0</v>
      </c>
      <c r="BL124">
        <f>SUMIF(RawData!$C:$C,$A124,RawData!BP:BP)</f>
        <v>0</v>
      </c>
      <c r="BM124">
        <f>SUMIF(RawData!$C:$C,$A124,RawData!BQ:BQ)</f>
        <v>0</v>
      </c>
      <c r="BN124">
        <f>SUMIF(RawData!$C:$C,$A124,RawData!BR:BR)</f>
        <v>0</v>
      </c>
      <c r="BO124">
        <f>SUMIF(RawData!$C:$C,$A124,RawData!BS:BS)</f>
        <v>0</v>
      </c>
      <c r="BP124">
        <f>SUMIF(RawData!$C:$C,$A124,RawData!BT:BT)</f>
        <v>0</v>
      </c>
      <c r="BQ124">
        <f>SUMIF(RawData!$C:$C,$A124,RawData!BU:BU)</f>
        <v>0</v>
      </c>
      <c r="BR124">
        <f>SUMIF(RawData!$C:$C,$A124,RawData!BV:BV)</f>
        <v>0</v>
      </c>
      <c r="BS124">
        <f>SUMIF(RawData!$C:$C,$A124,RawData!BW:BW)</f>
        <v>0</v>
      </c>
      <c r="BT124">
        <f>SUMIF(RawData!$C:$C,$A124,RawData!BX:BX)</f>
        <v>0</v>
      </c>
    </row>
    <row r="125" spans="1:72" ht="15" thickBot="1" x14ac:dyDescent="0.35">
      <c r="A125" s="4" t="s">
        <v>448</v>
      </c>
      <c r="B125">
        <f>SUMIF(RawData!$C:$C,$A125,RawData!F:F)</f>
        <v>0</v>
      </c>
      <c r="C125">
        <f>SUMIF(RawData!$C:$C,$A125,RawData!G:G)</f>
        <v>0</v>
      </c>
      <c r="D125">
        <f>SUMIF(RawData!$C:$C,$A125,RawData!H:H)</f>
        <v>0</v>
      </c>
      <c r="E125">
        <f>SUMIF(RawData!$C:$C,$A125,RawData!I:I)</f>
        <v>0</v>
      </c>
      <c r="F125">
        <f>SUMIF(RawData!$C:$C,$A125,RawData!J:J)</f>
        <v>0</v>
      </c>
      <c r="G125">
        <f>SUMIF(RawData!$C:$C,$A125,RawData!K:K)</f>
        <v>0</v>
      </c>
      <c r="H125">
        <f>SUMIF(RawData!$C:$C,$A125,RawData!L:L)</f>
        <v>0</v>
      </c>
      <c r="I125">
        <f>SUMIF(RawData!$C:$C,$A125,RawData!M:M)</f>
        <v>0</v>
      </c>
      <c r="J125">
        <f>SUMIF(RawData!$C:$C,$A125,RawData!N:N)</f>
        <v>0</v>
      </c>
      <c r="K125">
        <f>SUMIF(RawData!$C:$C,$A125,RawData!O:O)</f>
        <v>0</v>
      </c>
      <c r="L125">
        <f>SUMIF(RawData!$C:$C,$A125,RawData!P:P)</f>
        <v>0</v>
      </c>
      <c r="M125">
        <f>SUMIF(RawData!$C:$C,$A125,RawData!Q:Q)</f>
        <v>0</v>
      </c>
      <c r="N125">
        <f>SUMIF(RawData!$C:$C,$A125,RawData!R:R)</f>
        <v>0</v>
      </c>
      <c r="O125">
        <f>SUMIF(RawData!$C:$C,$A125,RawData!S:S)</f>
        <v>0</v>
      </c>
      <c r="P125">
        <f>SUMIF(RawData!$C:$C,$A125,RawData!T:T)</f>
        <v>0</v>
      </c>
      <c r="Q125">
        <f>SUMIF(RawData!$C:$C,$A125,RawData!U:U)</f>
        <v>0</v>
      </c>
      <c r="R125">
        <f>SUMIF(RawData!$C:$C,$A125,RawData!V:V)</f>
        <v>0</v>
      </c>
      <c r="S125">
        <f>SUMIF(RawData!$C:$C,$A125,RawData!W:W)</f>
        <v>0</v>
      </c>
      <c r="T125">
        <f>SUMIF(RawData!$C:$C,$A125,RawData!X:X)</f>
        <v>0</v>
      </c>
      <c r="U125">
        <f>SUMIF(RawData!$C:$C,$A125,RawData!Y:Y)</f>
        <v>0</v>
      </c>
      <c r="V125">
        <f>SUMIF(RawData!$C:$C,$A125,RawData!Z:Z)</f>
        <v>0</v>
      </c>
      <c r="W125">
        <f>SUMIF(RawData!$C:$C,$A125,RawData!AA:AA)</f>
        <v>0</v>
      </c>
      <c r="X125">
        <f>SUMIF(RawData!$C:$C,$A125,RawData!AB:AB)</f>
        <v>0</v>
      </c>
      <c r="Y125">
        <f>SUMIF(RawData!$C:$C,$A125,RawData!AC:AC)</f>
        <v>0</v>
      </c>
      <c r="Z125">
        <f>SUMIF(RawData!$C:$C,$A125,RawData!AD:AD)</f>
        <v>0</v>
      </c>
      <c r="AA125">
        <f>SUMIF(RawData!$C:$C,$A125,RawData!AE:AE)</f>
        <v>0</v>
      </c>
      <c r="AB125">
        <f>SUMIF(RawData!$C:$C,$A125,RawData!AF:AF)</f>
        <v>0</v>
      </c>
      <c r="AC125">
        <f>SUMIF(RawData!$C:$C,$A125,RawData!AG:AG)</f>
        <v>0</v>
      </c>
      <c r="AD125">
        <f>SUMIF(RawData!$C:$C,$A125,RawData!AH:AH)</f>
        <v>0</v>
      </c>
      <c r="AE125">
        <f>SUMIF(RawData!$C:$C,$A125,RawData!AI:AI)</f>
        <v>0</v>
      </c>
      <c r="AF125">
        <f>SUMIF(RawData!$C:$C,$A125,RawData!AJ:AJ)</f>
        <v>0</v>
      </c>
      <c r="AG125">
        <f>SUMIF(RawData!$C:$C,$A125,RawData!AK:AK)</f>
        <v>0</v>
      </c>
      <c r="AH125">
        <f>SUMIF(RawData!$C:$C,$A125,RawData!AL:AL)</f>
        <v>0</v>
      </c>
      <c r="AI125">
        <f>SUMIF(RawData!$C:$C,$A125,RawData!AM:AM)</f>
        <v>0</v>
      </c>
      <c r="AJ125">
        <f>SUMIF(RawData!$C:$C,$A125,RawData!AN:AN)</f>
        <v>0</v>
      </c>
      <c r="AK125">
        <f>SUMIF(RawData!$C:$C,$A125,RawData!AO:AO)</f>
        <v>0</v>
      </c>
      <c r="AL125">
        <f>SUMIF(RawData!$C:$C,$A125,RawData!AP:AP)</f>
        <v>0</v>
      </c>
      <c r="AM125">
        <f>SUMIF(RawData!$C:$C,$A125,RawData!AQ:AQ)</f>
        <v>0</v>
      </c>
      <c r="AN125">
        <f>SUMIF(RawData!$C:$C,$A125,RawData!AR:AR)</f>
        <v>0</v>
      </c>
      <c r="AO125">
        <f>SUMIF(RawData!$C:$C,$A125,RawData!AS:AS)</f>
        <v>0</v>
      </c>
      <c r="AP125">
        <f>SUMIF(RawData!$C:$C,$A125,RawData!AT:AT)</f>
        <v>0</v>
      </c>
      <c r="AQ125">
        <f>SUMIF(RawData!$C:$C,$A125,RawData!AU:AU)</f>
        <v>0</v>
      </c>
      <c r="AR125">
        <f>SUMIF(RawData!$C:$C,$A125,RawData!AV:AV)</f>
        <v>0</v>
      </c>
      <c r="AS125">
        <f>SUMIF(RawData!$C:$C,$A125,RawData!AW:AW)</f>
        <v>0</v>
      </c>
      <c r="AT125">
        <f>SUMIF(RawData!$C:$C,$A125,RawData!AX:AX)</f>
        <v>0</v>
      </c>
      <c r="AU125">
        <f>SUMIF(RawData!$C:$C,$A125,RawData!AY:AY)</f>
        <v>0</v>
      </c>
      <c r="AV125">
        <f>SUMIF(RawData!$C:$C,$A125,RawData!AZ:AZ)</f>
        <v>0</v>
      </c>
      <c r="AW125">
        <f>SUMIF(RawData!$C:$C,$A125,RawData!BA:BA)</f>
        <v>0</v>
      </c>
      <c r="AX125">
        <f>SUMIF(RawData!$C:$C,$A125,RawData!BB:BB)</f>
        <v>0</v>
      </c>
      <c r="AY125">
        <f>SUMIF(RawData!$C:$C,$A125,RawData!BC:BC)</f>
        <v>0</v>
      </c>
      <c r="AZ125">
        <f>SUMIF(RawData!$C:$C,$A125,RawData!BD:BD)</f>
        <v>0</v>
      </c>
      <c r="BA125">
        <f>SUMIF(RawData!$C:$C,$A125,RawData!BE:BE)</f>
        <v>1</v>
      </c>
      <c r="BB125">
        <f>SUMIF(RawData!$C:$C,$A125,RawData!BF:BF)</f>
        <v>1</v>
      </c>
      <c r="BC125">
        <f>SUMIF(RawData!$C:$C,$A125,RawData!BG:BG)</f>
        <v>1</v>
      </c>
      <c r="BD125">
        <f>SUMIF(RawData!$C:$C,$A125,RawData!BH:BH)</f>
        <v>1</v>
      </c>
      <c r="BE125">
        <f>SUMIF(RawData!$C:$C,$A125,RawData!BI:BI)</f>
        <v>0</v>
      </c>
      <c r="BF125">
        <f>SUMIF(RawData!$C:$C,$A125,RawData!BJ:BJ)</f>
        <v>0</v>
      </c>
      <c r="BG125">
        <f>SUMIF(RawData!$C:$C,$A125,RawData!BK:BK)</f>
        <v>0</v>
      </c>
      <c r="BH125">
        <f>SUMIF(RawData!$C:$C,$A125,RawData!BL:BL)</f>
        <v>0</v>
      </c>
      <c r="BI125">
        <f>SUMIF(RawData!$C:$C,$A125,RawData!BM:BM)</f>
        <v>0</v>
      </c>
      <c r="BJ125">
        <f>SUMIF(RawData!$C:$C,$A125,RawData!BN:BN)</f>
        <v>0</v>
      </c>
      <c r="BK125">
        <f>SUMIF(RawData!$C:$C,$A125,RawData!BO:BO)</f>
        <v>0</v>
      </c>
      <c r="BL125">
        <f>SUMIF(RawData!$C:$C,$A125,RawData!BP:BP)</f>
        <v>0</v>
      </c>
      <c r="BM125">
        <f>SUMIF(RawData!$C:$C,$A125,RawData!BQ:BQ)</f>
        <v>0</v>
      </c>
      <c r="BN125">
        <f>SUMIF(RawData!$C:$C,$A125,RawData!BR:BR)</f>
        <v>0</v>
      </c>
      <c r="BO125">
        <f>SUMIF(RawData!$C:$C,$A125,RawData!BS:BS)</f>
        <v>0</v>
      </c>
      <c r="BP125">
        <f>SUMIF(RawData!$C:$C,$A125,RawData!BT:BT)</f>
        <v>0</v>
      </c>
      <c r="BQ125">
        <f>SUMIF(RawData!$C:$C,$A125,RawData!BU:BU)</f>
        <v>0</v>
      </c>
      <c r="BR125">
        <f>SUMIF(RawData!$C:$C,$A125,RawData!BV:BV)</f>
        <v>0</v>
      </c>
      <c r="BS125">
        <f>SUMIF(RawData!$C:$C,$A125,RawData!BW:BW)</f>
        <v>0</v>
      </c>
      <c r="BT125">
        <f>SUMIF(RawData!$C:$C,$A125,RawData!BX:BX)</f>
        <v>0</v>
      </c>
    </row>
    <row r="126" spans="1:72" ht="15" thickBot="1" x14ac:dyDescent="0.35">
      <c r="A126" s="4" t="s">
        <v>190</v>
      </c>
      <c r="B126">
        <f>SUMIF(RawData!$C:$C,$A126,RawData!F:F)</f>
        <v>0</v>
      </c>
      <c r="C126">
        <f>SUMIF(RawData!$C:$C,$A126,RawData!G:G)</f>
        <v>0</v>
      </c>
      <c r="D126">
        <f>SUMIF(RawData!$C:$C,$A126,RawData!H:H)</f>
        <v>0</v>
      </c>
      <c r="E126">
        <f>SUMIF(RawData!$C:$C,$A126,RawData!I:I)</f>
        <v>0</v>
      </c>
      <c r="F126">
        <f>SUMIF(RawData!$C:$C,$A126,RawData!J:J)</f>
        <v>0</v>
      </c>
      <c r="G126">
        <f>SUMIF(RawData!$C:$C,$A126,RawData!K:K)</f>
        <v>0</v>
      </c>
      <c r="H126">
        <f>SUMIF(RawData!$C:$C,$A126,RawData!L:L)</f>
        <v>0</v>
      </c>
      <c r="I126">
        <f>SUMIF(RawData!$C:$C,$A126,RawData!M:M)</f>
        <v>0</v>
      </c>
      <c r="J126">
        <f>SUMIF(RawData!$C:$C,$A126,RawData!N:N)</f>
        <v>0</v>
      </c>
      <c r="K126">
        <f>SUMIF(RawData!$C:$C,$A126,RawData!O:O)</f>
        <v>0</v>
      </c>
      <c r="L126">
        <f>SUMIF(RawData!$C:$C,$A126,RawData!P:P)</f>
        <v>0</v>
      </c>
      <c r="M126">
        <f>SUMIF(RawData!$C:$C,$A126,RawData!Q:Q)</f>
        <v>0</v>
      </c>
      <c r="N126">
        <f>SUMIF(RawData!$C:$C,$A126,RawData!R:R)</f>
        <v>0</v>
      </c>
      <c r="O126">
        <f>SUMIF(RawData!$C:$C,$A126,RawData!S:S)</f>
        <v>0</v>
      </c>
      <c r="P126">
        <f>SUMIF(RawData!$C:$C,$A126,RawData!T:T)</f>
        <v>0</v>
      </c>
      <c r="Q126">
        <f>SUMIF(RawData!$C:$C,$A126,RawData!U:U)</f>
        <v>0</v>
      </c>
      <c r="R126">
        <f>SUMIF(RawData!$C:$C,$A126,RawData!V:V)</f>
        <v>0</v>
      </c>
      <c r="S126">
        <f>SUMIF(RawData!$C:$C,$A126,RawData!W:W)</f>
        <v>0</v>
      </c>
      <c r="T126">
        <f>SUMIF(RawData!$C:$C,$A126,RawData!X:X)</f>
        <v>0</v>
      </c>
      <c r="U126">
        <f>SUMIF(RawData!$C:$C,$A126,RawData!Y:Y)</f>
        <v>0</v>
      </c>
      <c r="V126">
        <f>SUMIF(RawData!$C:$C,$A126,RawData!Z:Z)</f>
        <v>0</v>
      </c>
      <c r="W126">
        <f>SUMIF(RawData!$C:$C,$A126,RawData!AA:AA)</f>
        <v>0</v>
      </c>
      <c r="X126">
        <f>SUMIF(RawData!$C:$C,$A126,RawData!AB:AB)</f>
        <v>0</v>
      </c>
      <c r="Y126">
        <f>SUMIF(RawData!$C:$C,$A126,RawData!AC:AC)</f>
        <v>0</v>
      </c>
      <c r="Z126">
        <f>SUMIF(RawData!$C:$C,$A126,RawData!AD:AD)</f>
        <v>0</v>
      </c>
      <c r="AA126">
        <f>SUMIF(RawData!$C:$C,$A126,RawData!AE:AE)</f>
        <v>0</v>
      </c>
      <c r="AB126">
        <f>SUMIF(RawData!$C:$C,$A126,RawData!AF:AF)</f>
        <v>0</v>
      </c>
      <c r="AC126">
        <f>SUMIF(RawData!$C:$C,$A126,RawData!AG:AG)</f>
        <v>0</v>
      </c>
      <c r="AD126">
        <f>SUMIF(RawData!$C:$C,$A126,RawData!AH:AH)</f>
        <v>0</v>
      </c>
      <c r="AE126">
        <f>SUMIF(RawData!$C:$C,$A126,RawData!AI:AI)</f>
        <v>0</v>
      </c>
      <c r="AF126">
        <f>SUMIF(RawData!$C:$C,$A126,RawData!AJ:AJ)</f>
        <v>0</v>
      </c>
      <c r="AG126">
        <f>SUMIF(RawData!$C:$C,$A126,RawData!AK:AK)</f>
        <v>0</v>
      </c>
      <c r="AH126">
        <f>SUMIF(RawData!$C:$C,$A126,RawData!AL:AL)</f>
        <v>0</v>
      </c>
      <c r="AI126">
        <f>SUMIF(RawData!$C:$C,$A126,RawData!AM:AM)</f>
        <v>0</v>
      </c>
      <c r="AJ126">
        <f>SUMIF(RawData!$C:$C,$A126,RawData!AN:AN)</f>
        <v>0</v>
      </c>
      <c r="AK126">
        <f>SUMIF(RawData!$C:$C,$A126,RawData!AO:AO)</f>
        <v>0</v>
      </c>
      <c r="AL126">
        <f>SUMIF(RawData!$C:$C,$A126,RawData!AP:AP)</f>
        <v>0</v>
      </c>
      <c r="AM126">
        <f>SUMIF(RawData!$C:$C,$A126,RawData!AQ:AQ)</f>
        <v>0</v>
      </c>
      <c r="AN126">
        <f>SUMIF(RawData!$C:$C,$A126,RawData!AR:AR)</f>
        <v>0</v>
      </c>
      <c r="AO126">
        <f>SUMIF(RawData!$C:$C,$A126,RawData!AS:AS)</f>
        <v>0</v>
      </c>
      <c r="AP126">
        <f>SUMIF(RawData!$C:$C,$A126,RawData!AT:AT)</f>
        <v>0</v>
      </c>
      <c r="AQ126">
        <f>SUMIF(RawData!$C:$C,$A126,RawData!AU:AU)</f>
        <v>0</v>
      </c>
      <c r="AR126">
        <f>SUMIF(RawData!$C:$C,$A126,RawData!AV:AV)</f>
        <v>0</v>
      </c>
      <c r="AS126">
        <f>SUMIF(RawData!$C:$C,$A126,RawData!AW:AW)</f>
        <v>0</v>
      </c>
      <c r="AT126">
        <f>SUMIF(RawData!$C:$C,$A126,RawData!AX:AX)</f>
        <v>1</v>
      </c>
      <c r="AU126">
        <f>SUMIF(RawData!$C:$C,$A126,RawData!AY:AY)</f>
        <v>1</v>
      </c>
      <c r="AV126">
        <f>SUMIF(RawData!$C:$C,$A126,RawData!AZ:AZ)</f>
        <v>1</v>
      </c>
      <c r="AW126">
        <f>SUMIF(RawData!$C:$C,$A126,RawData!BA:BA)</f>
        <v>1</v>
      </c>
      <c r="AX126">
        <f>SUMIF(RawData!$C:$C,$A126,RawData!BB:BB)</f>
        <v>1</v>
      </c>
      <c r="AY126">
        <f>SUMIF(RawData!$C:$C,$A126,RawData!BC:BC)</f>
        <v>1</v>
      </c>
      <c r="AZ126">
        <f>SUMIF(RawData!$C:$C,$A126,RawData!BD:BD)</f>
        <v>1</v>
      </c>
      <c r="BA126">
        <f>SUMIF(RawData!$C:$C,$A126,RawData!BE:BE)</f>
        <v>1</v>
      </c>
      <c r="BB126">
        <f>SUMIF(RawData!$C:$C,$A126,RawData!BF:BF)</f>
        <v>1</v>
      </c>
      <c r="BC126">
        <f>SUMIF(RawData!$C:$C,$A126,RawData!BG:BG)</f>
        <v>1</v>
      </c>
      <c r="BD126">
        <f>SUMIF(RawData!$C:$C,$A126,RawData!BH:BH)</f>
        <v>1</v>
      </c>
      <c r="BE126">
        <f>SUMIF(RawData!$C:$C,$A126,RawData!BI:BI)</f>
        <v>0</v>
      </c>
      <c r="BF126">
        <f>SUMIF(RawData!$C:$C,$A126,RawData!BJ:BJ)</f>
        <v>0</v>
      </c>
      <c r="BG126">
        <f>SUMIF(RawData!$C:$C,$A126,RawData!BK:BK)</f>
        <v>0</v>
      </c>
      <c r="BH126">
        <f>SUMIF(RawData!$C:$C,$A126,RawData!BL:BL)</f>
        <v>0</v>
      </c>
      <c r="BI126">
        <f>SUMIF(RawData!$C:$C,$A126,RawData!BM:BM)</f>
        <v>0</v>
      </c>
      <c r="BJ126">
        <f>SUMIF(RawData!$C:$C,$A126,RawData!BN:BN)</f>
        <v>0</v>
      </c>
      <c r="BK126">
        <f>SUMIF(RawData!$C:$C,$A126,RawData!BO:BO)</f>
        <v>0</v>
      </c>
      <c r="BL126">
        <f>SUMIF(RawData!$C:$C,$A126,RawData!BP:BP)</f>
        <v>0</v>
      </c>
      <c r="BM126">
        <f>SUMIF(RawData!$C:$C,$A126,RawData!BQ:BQ)</f>
        <v>0</v>
      </c>
      <c r="BN126">
        <f>SUMIF(RawData!$C:$C,$A126,RawData!BR:BR)</f>
        <v>0</v>
      </c>
      <c r="BO126">
        <f>SUMIF(RawData!$C:$C,$A126,RawData!BS:BS)</f>
        <v>0</v>
      </c>
      <c r="BP126">
        <f>SUMIF(RawData!$C:$C,$A126,RawData!BT:BT)</f>
        <v>0</v>
      </c>
      <c r="BQ126">
        <f>SUMIF(RawData!$C:$C,$A126,RawData!BU:BU)</f>
        <v>0</v>
      </c>
      <c r="BR126">
        <f>SUMIF(RawData!$C:$C,$A126,RawData!BV:BV)</f>
        <v>0</v>
      </c>
      <c r="BS126">
        <f>SUMIF(RawData!$C:$C,$A126,RawData!BW:BW)</f>
        <v>0</v>
      </c>
      <c r="BT126">
        <f>SUMIF(RawData!$C:$C,$A126,RawData!BX:BX)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I464"/>
  <sheetViews>
    <sheetView topLeftCell="A170" workbookViewId="0">
      <selection activeCell="H185" sqref="H185"/>
    </sheetView>
  </sheetViews>
  <sheetFormatPr defaultRowHeight="14.4" x14ac:dyDescent="0.3"/>
  <sheetData>
    <row r="1" spans="1:60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s="17">
        <v>43832</v>
      </c>
      <c r="Q1" s="17">
        <v>43863</v>
      </c>
      <c r="R1" s="17">
        <v>43892</v>
      </c>
      <c r="S1" s="17">
        <v>43923</v>
      </c>
      <c r="T1" s="17">
        <v>43953</v>
      </c>
      <c r="U1" s="17">
        <v>43984</v>
      </c>
      <c r="V1" s="17">
        <v>44014</v>
      </c>
      <c r="W1" s="17">
        <v>44045</v>
      </c>
      <c r="X1" s="17">
        <v>44076</v>
      </c>
      <c r="Y1" s="17">
        <v>44106</v>
      </c>
      <c r="Z1" s="17">
        <v>44137</v>
      </c>
      <c r="AA1" s="17">
        <v>44167</v>
      </c>
      <c r="AB1" t="s">
        <v>14</v>
      </c>
      <c r="AC1" t="s">
        <v>15</v>
      </c>
      <c r="AD1" t="s">
        <v>16</v>
      </c>
      <c r="AE1" t="s">
        <v>17</v>
      </c>
      <c r="AF1" t="s">
        <v>18</v>
      </c>
      <c r="AG1" t="s">
        <v>19</v>
      </c>
      <c r="AH1" t="s">
        <v>20</v>
      </c>
      <c r="AI1" t="s">
        <v>21</v>
      </c>
      <c r="AJ1" t="s">
        <v>22</v>
      </c>
      <c r="AK1" t="s">
        <v>23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s="17">
        <v>43833</v>
      </c>
      <c r="AT1" s="17">
        <v>43864</v>
      </c>
      <c r="AU1" s="17">
        <v>43893</v>
      </c>
      <c r="AV1" s="17">
        <v>43924</v>
      </c>
      <c r="AW1" s="17">
        <v>43954</v>
      </c>
      <c r="AX1" s="17">
        <v>43985</v>
      </c>
      <c r="AY1" s="17">
        <v>44015</v>
      </c>
      <c r="AZ1" s="17">
        <v>44046</v>
      </c>
      <c r="BA1" s="17">
        <v>44077</v>
      </c>
      <c r="BB1" s="17">
        <v>44107</v>
      </c>
      <c r="BC1" s="17">
        <v>44138</v>
      </c>
      <c r="BD1" s="17">
        <v>44168</v>
      </c>
      <c r="BE1" t="s">
        <v>364</v>
      </c>
      <c r="BF1" t="s">
        <v>461</v>
      </c>
      <c r="BG1" t="s">
        <v>490</v>
      </c>
      <c r="BH1" t="s">
        <v>504</v>
      </c>
    </row>
    <row r="2" spans="1:60" x14ac:dyDescent="0.3">
      <c r="A2" s="2"/>
      <c r="C2" t="s">
        <v>62</v>
      </c>
      <c r="D2">
        <v>15</v>
      </c>
      <c r="E2">
        <v>101</v>
      </c>
      <c r="F2">
        <v>2</v>
      </c>
      <c r="G2">
        <v>3</v>
      </c>
      <c r="H2">
        <v>5</v>
      </c>
      <c r="I2">
        <v>7</v>
      </c>
      <c r="J2">
        <v>8</v>
      </c>
      <c r="K2">
        <v>8</v>
      </c>
      <c r="L2">
        <v>14</v>
      </c>
      <c r="M2">
        <v>14</v>
      </c>
      <c r="N2">
        <v>14</v>
      </c>
      <c r="O2">
        <v>19</v>
      </c>
      <c r="P2">
        <v>19</v>
      </c>
      <c r="Q2">
        <v>19</v>
      </c>
      <c r="R2">
        <v>19</v>
      </c>
      <c r="S2">
        <v>25</v>
      </c>
      <c r="T2">
        <v>25</v>
      </c>
      <c r="U2">
        <v>25</v>
      </c>
      <c r="V2">
        <v>25</v>
      </c>
      <c r="W2">
        <v>32</v>
      </c>
      <c r="X2">
        <v>32</v>
      </c>
      <c r="Y2">
        <v>32</v>
      </c>
      <c r="Z2">
        <v>33</v>
      </c>
      <c r="AA2">
        <v>33</v>
      </c>
      <c r="AB2">
        <v>33</v>
      </c>
      <c r="AC2">
        <v>33</v>
      </c>
      <c r="AD2">
        <v>33</v>
      </c>
      <c r="AE2">
        <v>34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35</v>
      </c>
      <c r="AN2">
        <v>37</v>
      </c>
      <c r="AO2">
        <v>40</v>
      </c>
      <c r="AP2">
        <v>40</v>
      </c>
      <c r="AQ2">
        <v>41</v>
      </c>
      <c r="AR2">
        <v>42</v>
      </c>
      <c r="AS2">
        <v>42</v>
      </c>
      <c r="AT2">
        <v>43</v>
      </c>
      <c r="AU2">
        <v>43</v>
      </c>
      <c r="AV2">
        <v>43</v>
      </c>
      <c r="AW2">
        <v>47</v>
      </c>
      <c r="AX2">
        <v>48</v>
      </c>
      <c r="AY2">
        <v>50</v>
      </c>
      <c r="AZ2">
        <v>50</v>
      </c>
      <c r="BA2">
        <v>50</v>
      </c>
      <c r="BB2">
        <v>53</v>
      </c>
      <c r="BC2">
        <v>59</v>
      </c>
      <c r="BD2">
        <v>70</v>
      </c>
      <c r="BE2">
        <v>75</v>
      </c>
      <c r="BF2">
        <v>82</v>
      </c>
      <c r="BG2">
        <v>114</v>
      </c>
      <c r="BH2">
        <v>147</v>
      </c>
    </row>
    <row r="3" spans="1:60" x14ac:dyDescent="0.3">
      <c r="A3" s="2"/>
      <c r="C3" t="s">
        <v>63</v>
      </c>
      <c r="D3">
        <v>36</v>
      </c>
      <c r="E3">
        <v>138</v>
      </c>
      <c r="F3">
        <v>2</v>
      </c>
      <c r="G3">
        <v>1</v>
      </c>
      <c r="H3">
        <v>2</v>
      </c>
      <c r="I3">
        <v>2</v>
      </c>
      <c r="J3">
        <v>4</v>
      </c>
      <c r="K3">
        <v>4</v>
      </c>
      <c r="L3">
        <v>7</v>
      </c>
      <c r="M3">
        <v>7</v>
      </c>
      <c r="N3">
        <v>11</v>
      </c>
      <c r="O3">
        <v>15</v>
      </c>
      <c r="P3">
        <v>20</v>
      </c>
      <c r="Q3">
        <v>20</v>
      </c>
      <c r="R3">
        <v>20</v>
      </c>
      <c r="S3">
        <v>22</v>
      </c>
      <c r="T3">
        <v>22</v>
      </c>
      <c r="U3">
        <v>45</v>
      </c>
      <c r="V3">
        <v>25</v>
      </c>
      <c r="W3">
        <v>25</v>
      </c>
      <c r="X3">
        <v>26</v>
      </c>
      <c r="Y3">
        <v>26</v>
      </c>
      <c r="Z3">
        <v>26</v>
      </c>
      <c r="AA3">
        <v>28</v>
      </c>
      <c r="AB3">
        <v>28</v>
      </c>
      <c r="AC3">
        <v>29</v>
      </c>
      <c r="AD3">
        <v>43</v>
      </c>
      <c r="AE3">
        <v>59</v>
      </c>
      <c r="AF3">
        <v>66</v>
      </c>
      <c r="AG3">
        <v>74</v>
      </c>
      <c r="AH3">
        <v>84</v>
      </c>
      <c r="AI3">
        <v>94</v>
      </c>
      <c r="AJ3">
        <v>105</v>
      </c>
      <c r="AK3">
        <v>122</v>
      </c>
      <c r="AL3">
        <v>147</v>
      </c>
      <c r="AM3">
        <v>159</v>
      </c>
      <c r="AN3">
        <v>170</v>
      </c>
      <c r="AO3">
        <v>189</v>
      </c>
      <c r="AP3">
        <v>214</v>
      </c>
      <c r="AQ3">
        <v>228</v>
      </c>
      <c r="AR3">
        <v>241</v>
      </c>
      <c r="AS3">
        <v>256</v>
      </c>
      <c r="AT3">
        <v>274</v>
      </c>
      <c r="AU3">
        <v>293</v>
      </c>
      <c r="AV3">
        <v>331</v>
      </c>
      <c r="AW3">
        <v>360</v>
      </c>
      <c r="AX3">
        <v>420</v>
      </c>
      <c r="AY3">
        <v>461</v>
      </c>
      <c r="AZ3">
        <v>502</v>
      </c>
      <c r="BA3">
        <v>511</v>
      </c>
      <c r="BB3">
        <v>581</v>
      </c>
      <c r="BC3">
        <v>639</v>
      </c>
      <c r="BD3">
        <v>639</v>
      </c>
      <c r="BE3">
        <v>701</v>
      </c>
      <c r="BF3">
        <v>773</v>
      </c>
      <c r="BG3">
        <v>839</v>
      </c>
      <c r="BH3">
        <v>825</v>
      </c>
    </row>
    <row r="4" spans="1:60" x14ac:dyDescent="0.3">
      <c r="A4" s="2"/>
      <c r="C4" t="s">
        <v>67</v>
      </c>
      <c r="D4">
        <v>1.2833000000000001</v>
      </c>
      <c r="E4">
        <v>103.83329999999999</v>
      </c>
      <c r="F4">
        <v>0</v>
      </c>
      <c r="G4">
        <v>1</v>
      </c>
      <c r="H4">
        <v>3</v>
      </c>
      <c r="I4">
        <v>3</v>
      </c>
      <c r="J4">
        <v>4</v>
      </c>
      <c r="K4">
        <v>5</v>
      </c>
      <c r="L4">
        <v>7</v>
      </c>
      <c r="M4">
        <v>7</v>
      </c>
      <c r="N4">
        <v>10</v>
      </c>
      <c r="O4">
        <v>13</v>
      </c>
      <c r="P4">
        <v>16</v>
      </c>
      <c r="Q4">
        <v>18</v>
      </c>
      <c r="R4">
        <v>18</v>
      </c>
      <c r="S4">
        <v>24</v>
      </c>
      <c r="T4">
        <v>28</v>
      </c>
      <c r="U4">
        <v>28</v>
      </c>
      <c r="V4">
        <v>30</v>
      </c>
      <c r="W4">
        <v>33</v>
      </c>
      <c r="X4">
        <v>40</v>
      </c>
      <c r="Y4">
        <v>45</v>
      </c>
      <c r="Z4">
        <v>47</v>
      </c>
      <c r="AA4">
        <v>50</v>
      </c>
      <c r="AB4">
        <v>58</v>
      </c>
      <c r="AC4">
        <v>67</v>
      </c>
      <c r="AD4">
        <v>72</v>
      </c>
      <c r="AE4">
        <v>75</v>
      </c>
      <c r="AF4">
        <v>77</v>
      </c>
      <c r="AG4">
        <v>81</v>
      </c>
      <c r="AH4">
        <v>84</v>
      </c>
      <c r="AI4">
        <v>84</v>
      </c>
      <c r="AJ4">
        <v>85</v>
      </c>
      <c r="AK4">
        <v>85</v>
      </c>
      <c r="AL4">
        <v>89</v>
      </c>
      <c r="AM4">
        <v>89</v>
      </c>
      <c r="AN4">
        <v>91</v>
      </c>
      <c r="AO4">
        <v>93</v>
      </c>
      <c r="AP4">
        <v>93</v>
      </c>
      <c r="AQ4">
        <v>93</v>
      </c>
      <c r="AR4">
        <v>102</v>
      </c>
      <c r="AS4">
        <v>106</v>
      </c>
      <c r="AT4">
        <v>108</v>
      </c>
      <c r="AU4">
        <v>110</v>
      </c>
      <c r="AV4">
        <v>110</v>
      </c>
      <c r="AW4">
        <v>117</v>
      </c>
      <c r="AX4">
        <v>130</v>
      </c>
      <c r="AY4">
        <v>138</v>
      </c>
      <c r="AZ4">
        <v>150</v>
      </c>
      <c r="BA4">
        <v>150</v>
      </c>
      <c r="BB4">
        <v>160</v>
      </c>
      <c r="BC4">
        <v>178</v>
      </c>
      <c r="BD4">
        <v>178</v>
      </c>
      <c r="BE4">
        <v>200</v>
      </c>
      <c r="BF4">
        <v>212</v>
      </c>
      <c r="BG4">
        <v>226</v>
      </c>
      <c r="BH4">
        <v>243</v>
      </c>
    </row>
    <row r="5" spans="1:60" x14ac:dyDescent="0.3">
      <c r="A5" s="2"/>
      <c r="C5" t="s">
        <v>69</v>
      </c>
      <c r="D5">
        <v>28.166699999999999</v>
      </c>
      <c r="E5">
        <v>84.25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3">
      <c r="A6" s="2"/>
      <c r="C6" t="s">
        <v>70</v>
      </c>
      <c r="D6">
        <v>2.5</v>
      </c>
      <c r="E6">
        <v>112.5</v>
      </c>
      <c r="F6">
        <v>0</v>
      </c>
      <c r="G6">
        <v>0</v>
      </c>
      <c r="H6">
        <v>0</v>
      </c>
      <c r="I6">
        <v>3</v>
      </c>
      <c r="J6">
        <v>4</v>
      </c>
      <c r="K6">
        <v>4</v>
      </c>
      <c r="L6">
        <v>4</v>
      </c>
      <c r="M6">
        <v>7</v>
      </c>
      <c r="N6">
        <v>8</v>
      </c>
      <c r="O6">
        <v>8</v>
      </c>
      <c r="P6">
        <v>8</v>
      </c>
      <c r="Q6">
        <v>8</v>
      </c>
      <c r="R6">
        <v>8</v>
      </c>
      <c r="S6">
        <v>10</v>
      </c>
      <c r="T6">
        <v>12</v>
      </c>
      <c r="U6">
        <v>12</v>
      </c>
      <c r="V6">
        <v>12</v>
      </c>
      <c r="W6">
        <v>16</v>
      </c>
      <c r="X6">
        <v>16</v>
      </c>
      <c r="Y6">
        <v>18</v>
      </c>
      <c r="Z6">
        <v>18</v>
      </c>
      <c r="AA6">
        <v>18</v>
      </c>
      <c r="AB6">
        <v>19</v>
      </c>
      <c r="AC6">
        <v>19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22</v>
      </c>
      <c r="AP6">
        <v>23</v>
      </c>
      <c r="AQ6">
        <v>23</v>
      </c>
      <c r="AR6">
        <v>25</v>
      </c>
      <c r="AS6">
        <v>29</v>
      </c>
      <c r="AT6">
        <v>29</v>
      </c>
      <c r="AU6">
        <v>36</v>
      </c>
      <c r="AV6">
        <v>50</v>
      </c>
      <c r="AW6">
        <v>50</v>
      </c>
      <c r="AX6">
        <v>83</v>
      </c>
      <c r="AY6">
        <v>93</v>
      </c>
      <c r="AZ6">
        <v>99</v>
      </c>
      <c r="BA6">
        <v>117</v>
      </c>
      <c r="BB6">
        <v>129</v>
      </c>
      <c r="BC6">
        <v>149</v>
      </c>
      <c r="BD6">
        <v>149</v>
      </c>
      <c r="BE6">
        <v>197</v>
      </c>
      <c r="BF6">
        <v>238</v>
      </c>
      <c r="BG6">
        <v>428</v>
      </c>
      <c r="BH6">
        <v>566</v>
      </c>
    </row>
    <row r="7" spans="1:60" x14ac:dyDescent="0.3">
      <c r="A7" s="2"/>
      <c r="B7" t="s">
        <v>71</v>
      </c>
      <c r="C7" t="s">
        <v>72</v>
      </c>
      <c r="D7">
        <v>49.282699999999998</v>
      </c>
      <c r="E7">
        <v>-123.1207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2</v>
      </c>
      <c r="U7">
        <v>2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4</v>
      </c>
      <c r="AF7">
        <v>5</v>
      </c>
      <c r="AG7">
        <v>5</v>
      </c>
      <c r="AH7">
        <v>5</v>
      </c>
      <c r="AI7">
        <v>5</v>
      </c>
      <c r="AJ7">
        <v>6</v>
      </c>
      <c r="AK7">
        <v>6</v>
      </c>
      <c r="AL7">
        <v>6</v>
      </c>
      <c r="AM7">
        <v>6</v>
      </c>
      <c r="AN7">
        <v>7</v>
      </c>
      <c r="AO7">
        <v>7</v>
      </c>
      <c r="AP7">
        <v>7</v>
      </c>
      <c r="AQ7">
        <v>7</v>
      </c>
      <c r="AR7">
        <v>8</v>
      </c>
      <c r="AS7">
        <v>8</v>
      </c>
      <c r="AT7">
        <v>8</v>
      </c>
      <c r="AU7">
        <v>9</v>
      </c>
      <c r="AV7">
        <v>12</v>
      </c>
      <c r="AW7">
        <v>13</v>
      </c>
      <c r="AX7">
        <v>21</v>
      </c>
      <c r="AY7">
        <v>21</v>
      </c>
      <c r="AZ7">
        <v>27</v>
      </c>
      <c r="BA7">
        <v>32</v>
      </c>
      <c r="BB7">
        <v>32</v>
      </c>
      <c r="BC7">
        <v>39</v>
      </c>
      <c r="BD7">
        <v>46</v>
      </c>
      <c r="BE7">
        <v>64</v>
      </c>
      <c r="BF7">
        <v>64</v>
      </c>
      <c r="BG7">
        <v>73</v>
      </c>
      <c r="BH7">
        <v>103</v>
      </c>
    </row>
    <row r="8" spans="1:60" x14ac:dyDescent="0.3">
      <c r="A8" s="2"/>
      <c r="B8" t="s">
        <v>74</v>
      </c>
      <c r="C8" t="s">
        <v>75</v>
      </c>
      <c r="D8">
        <v>-33.8688</v>
      </c>
      <c r="E8">
        <v>151.20930000000001</v>
      </c>
      <c r="F8">
        <v>0</v>
      </c>
      <c r="G8">
        <v>0</v>
      </c>
      <c r="H8">
        <v>0</v>
      </c>
      <c r="I8">
        <v>0</v>
      </c>
      <c r="J8">
        <v>3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6</v>
      </c>
      <c r="AT8">
        <v>6</v>
      </c>
      <c r="AU8">
        <v>13</v>
      </c>
      <c r="AV8">
        <v>22</v>
      </c>
      <c r="AW8">
        <v>22</v>
      </c>
      <c r="AX8">
        <v>26</v>
      </c>
      <c r="AY8">
        <v>28</v>
      </c>
      <c r="AZ8">
        <v>38</v>
      </c>
      <c r="BA8">
        <v>48</v>
      </c>
      <c r="BB8">
        <v>55</v>
      </c>
      <c r="BC8">
        <v>65</v>
      </c>
      <c r="BD8">
        <v>65</v>
      </c>
      <c r="BE8">
        <v>92</v>
      </c>
      <c r="BF8">
        <v>112</v>
      </c>
      <c r="BG8">
        <v>134</v>
      </c>
      <c r="BH8">
        <v>171</v>
      </c>
    </row>
    <row r="9" spans="1:60" x14ac:dyDescent="0.3">
      <c r="A9" s="2"/>
      <c r="B9" t="s">
        <v>76</v>
      </c>
      <c r="C9" t="s">
        <v>75</v>
      </c>
      <c r="D9">
        <v>-37.813600000000001</v>
      </c>
      <c r="E9">
        <v>144.9631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1</v>
      </c>
      <c r="M9">
        <v>1</v>
      </c>
      <c r="N9">
        <v>2</v>
      </c>
      <c r="O9">
        <v>3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7</v>
      </c>
      <c r="AS9">
        <v>7</v>
      </c>
      <c r="AT9">
        <v>9</v>
      </c>
      <c r="AU9">
        <v>9</v>
      </c>
      <c r="AV9">
        <v>10</v>
      </c>
      <c r="AW9">
        <v>10</v>
      </c>
      <c r="AX9">
        <v>10</v>
      </c>
      <c r="AY9">
        <v>11</v>
      </c>
      <c r="AZ9">
        <v>11</v>
      </c>
      <c r="BA9">
        <v>15</v>
      </c>
      <c r="BB9">
        <v>18</v>
      </c>
      <c r="BC9">
        <v>21</v>
      </c>
      <c r="BD9">
        <v>21</v>
      </c>
      <c r="BE9">
        <v>36</v>
      </c>
      <c r="BF9">
        <v>49</v>
      </c>
      <c r="BG9">
        <v>57</v>
      </c>
      <c r="BH9">
        <v>71</v>
      </c>
    </row>
    <row r="10" spans="1:60" x14ac:dyDescent="0.3">
      <c r="A10" s="2"/>
      <c r="B10" t="s">
        <v>77</v>
      </c>
      <c r="C10" t="s">
        <v>75</v>
      </c>
      <c r="D10">
        <v>-28.0167</v>
      </c>
      <c r="E10">
        <v>153.4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3</v>
      </c>
      <c r="O10">
        <v>2</v>
      </c>
      <c r="P10">
        <v>3</v>
      </c>
      <c r="Q10">
        <v>2</v>
      </c>
      <c r="R10">
        <v>2</v>
      </c>
      <c r="S10">
        <v>3</v>
      </c>
      <c r="T10">
        <v>3</v>
      </c>
      <c r="U10">
        <v>4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5</v>
      </c>
      <c r="AR10">
        <v>9</v>
      </c>
      <c r="AS10">
        <v>9</v>
      </c>
      <c r="AT10">
        <v>9</v>
      </c>
      <c r="AU10">
        <v>11</v>
      </c>
      <c r="AV10">
        <v>11</v>
      </c>
      <c r="AW10">
        <v>13</v>
      </c>
      <c r="AX10">
        <v>13</v>
      </c>
      <c r="AY10">
        <v>13</v>
      </c>
      <c r="AZ10">
        <v>15</v>
      </c>
      <c r="BA10">
        <v>15</v>
      </c>
      <c r="BB10">
        <v>18</v>
      </c>
      <c r="BC10">
        <v>20</v>
      </c>
      <c r="BD10">
        <v>20</v>
      </c>
      <c r="BE10">
        <v>35</v>
      </c>
      <c r="BF10">
        <v>46</v>
      </c>
      <c r="BG10">
        <v>61</v>
      </c>
      <c r="BH10">
        <v>68</v>
      </c>
    </row>
    <row r="11" spans="1:60" x14ac:dyDescent="0.3">
      <c r="A11" s="2"/>
      <c r="C11" t="s">
        <v>78</v>
      </c>
      <c r="D11">
        <v>11.55</v>
      </c>
      <c r="E11">
        <v>104.91670000000001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2</v>
      </c>
      <c r="BA11">
        <v>2</v>
      </c>
      <c r="BB11">
        <v>2</v>
      </c>
      <c r="BC11">
        <v>3</v>
      </c>
      <c r="BD11">
        <v>3</v>
      </c>
      <c r="BE11">
        <v>5</v>
      </c>
      <c r="BF11">
        <v>7</v>
      </c>
      <c r="BG11">
        <v>7</v>
      </c>
      <c r="BH11">
        <v>7</v>
      </c>
    </row>
    <row r="12" spans="1:60" x14ac:dyDescent="0.3">
      <c r="A12" s="2"/>
      <c r="C12" t="s">
        <v>79</v>
      </c>
      <c r="D12">
        <v>7</v>
      </c>
      <c r="E12">
        <v>81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2</v>
      </c>
      <c r="BD12">
        <v>2</v>
      </c>
      <c r="BE12">
        <v>6</v>
      </c>
      <c r="BF12">
        <v>10</v>
      </c>
      <c r="BG12">
        <v>18</v>
      </c>
      <c r="BH12">
        <v>28</v>
      </c>
    </row>
    <row r="13" spans="1:60" x14ac:dyDescent="0.3">
      <c r="A13" s="2"/>
      <c r="C13" t="s">
        <v>80</v>
      </c>
      <c r="D13">
        <v>51</v>
      </c>
      <c r="E13">
        <v>9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4</v>
      </c>
      <c r="M13">
        <v>4</v>
      </c>
      <c r="N13">
        <v>4</v>
      </c>
      <c r="O13">
        <v>5</v>
      </c>
      <c r="P13">
        <v>8</v>
      </c>
      <c r="Q13">
        <v>10</v>
      </c>
      <c r="R13">
        <v>12</v>
      </c>
      <c r="S13">
        <v>12</v>
      </c>
      <c r="T13">
        <v>12</v>
      </c>
      <c r="U13">
        <v>12</v>
      </c>
      <c r="V13">
        <v>13</v>
      </c>
      <c r="W13">
        <v>13</v>
      </c>
      <c r="X13">
        <v>14</v>
      </c>
      <c r="Y13">
        <v>14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16</v>
      </c>
      <c r="AN13">
        <v>17</v>
      </c>
      <c r="AO13">
        <v>27</v>
      </c>
      <c r="AP13">
        <v>46</v>
      </c>
      <c r="AQ13">
        <v>48</v>
      </c>
      <c r="AR13">
        <v>79</v>
      </c>
      <c r="AS13">
        <v>130</v>
      </c>
      <c r="AT13">
        <v>159</v>
      </c>
      <c r="AU13">
        <v>196</v>
      </c>
      <c r="AV13">
        <v>262</v>
      </c>
      <c r="AW13">
        <v>482</v>
      </c>
      <c r="AX13">
        <v>670</v>
      </c>
      <c r="AY13">
        <v>799</v>
      </c>
      <c r="AZ13">
        <v>1040</v>
      </c>
      <c r="BA13">
        <v>1176</v>
      </c>
      <c r="BB13">
        <v>1457</v>
      </c>
      <c r="BC13">
        <v>1908</v>
      </c>
      <c r="BD13">
        <v>2078</v>
      </c>
      <c r="BE13">
        <v>3675</v>
      </c>
      <c r="BF13">
        <v>4585</v>
      </c>
      <c r="BG13">
        <v>5795</v>
      </c>
      <c r="BH13">
        <v>7272</v>
      </c>
    </row>
    <row r="14" spans="1:60" x14ac:dyDescent="0.3">
      <c r="A14" s="2"/>
      <c r="C14" t="s">
        <v>81</v>
      </c>
      <c r="D14">
        <v>64</v>
      </c>
      <c r="E14">
        <v>26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2</v>
      </c>
      <c r="AP14">
        <v>2</v>
      </c>
      <c r="AQ14">
        <v>2</v>
      </c>
      <c r="AR14">
        <v>3</v>
      </c>
      <c r="AS14">
        <v>6</v>
      </c>
      <c r="AT14">
        <v>6</v>
      </c>
      <c r="AU14">
        <v>6</v>
      </c>
      <c r="AV14">
        <v>6</v>
      </c>
      <c r="AW14">
        <v>12</v>
      </c>
      <c r="AX14">
        <v>15</v>
      </c>
      <c r="AY14">
        <v>15</v>
      </c>
      <c r="AZ14">
        <v>23</v>
      </c>
      <c r="BA14">
        <v>30</v>
      </c>
      <c r="BB14">
        <v>40</v>
      </c>
      <c r="BC14">
        <v>59</v>
      </c>
      <c r="BD14">
        <v>59</v>
      </c>
      <c r="BE14">
        <v>155</v>
      </c>
      <c r="BF14">
        <v>225</v>
      </c>
      <c r="BG14">
        <v>244</v>
      </c>
      <c r="BH14">
        <v>277</v>
      </c>
    </row>
    <row r="15" spans="1:60" x14ac:dyDescent="0.3">
      <c r="A15" s="2"/>
      <c r="C15" t="s">
        <v>82</v>
      </c>
      <c r="D15">
        <v>24</v>
      </c>
      <c r="E15">
        <v>54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4</v>
      </c>
      <c r="O15">
        <v>4</v>
      </c>
      <c r="P15">
        <v>4</v>
      </c>
      <c r="Q15">
        <v>5</v>
      </c>
      <c r="R15">
        <v>5</v>
      </c>
      <c r="S15">
        <v>5</v>
      </c>
      <c r="T15">
        <v>5</v>
      </c>
      <c r="U15">
        <v>5</v>
      </c>
      <c r="V15">
        <v>5</v>
      </c>
      <c r="W15">
        <v>7</v>
      </c>
      <c r="X15">
        <v>7</v>
      </c>
      <c r="Y15">
        <v>8</v>
      </c>
      <c r="Z15">
        <v>8</v>
      </c>
      <c r="AA15">
        <v>8</v>
      </c>
      <c r="AB15">
        <v>8</v>
      </c>
      <c r="AC15">
        <v>8</v>
      </c>
      <c r="AD15">
        <v>8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9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13</v>
      </c>
      <c r="AQ15">
        <v>19</v>
      </c>
      <c r="AR15">
        <v>21</v>
      </c>
      <c r="AS15">
        <v>21</v>
      </c>
      <c r="AT15">
        <v>21</v>
      </c>
      <c r="AU15">
        <v>27</v>
      </c>
      <c r="AV15">
        <v>27</v>
      </c>
      <c r="AW15">
        <v>29</v>
      </c>
      <c r="AX15">
        <v>29</v>
      </c>
      <c r="AY15">
        <v>45</v>
      </c>
      <c r="AZ15">
        <v>45</v>
      </c>
      <c r="BA15">
        <v>45</v>
      </c>
      <c r="BB15">
        <v>74</v>
      </c>
      <c r="BC15">
        <v>74</v>
      </c>
      <c r="BD15">
        <v>85</v>
      </c>
      <c r="BE15">
        <v>85</v>
      </c>
      <c r="BF15">
        <v>85</v>
      </c>
      <c r="BG15">
        <v>98</v>
      </c>
      <c r="BH15">
        <v>98</v>
      </c>
    </row>
    <row r="16" spans="1:60" x14ac:dyDescent="0.3">
      <c r="A16" s="2"/>
      <c r="C16" t="s">
        <v>83</v>
      </c>
      <c r="D16">
        <v>13</v>
      </c>
      <c r="E16">
        <v>122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2</v>
      </c>
      <c r="R16">
        <v>2</v>
      </c>
      <c r="S16">
        <v>2</v>
      </c>
      <c r="T16">
        <v>2</v>
      </c>
      <c r="U16">
        <v>2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5</v>
      </c>
      <c r="AY16">
        <v>6</v>
      </c>
      <c r="AZ16">
        <v>10</v>
      </c>
      <c r="BA16">
        <v>20</v>
      </c>
      <c r="BB16">
        <v>33</v>
      </c>
      <c r="BC16">
        <v>49</v>
      </c>
      <c r="BD16">
        <v>52</v>
      </c>
      <c r="BE16">
        <v>64</v>
      </c>
      <c r="BF16">
        <v>111</v>
      </c>
      <c r="BG16">
        <v>140</v>
      </c>
      <c r="BH16">
        <v>142</v>
      </c>
    </row>
    <row r="17" spans="1:60" x14ac:dyDescent="0.3">
      <c r="A17" s="2"/>
      <c r="C17" t="s">
        <v>84</v>
      </c>
      <c r="D17">
        <v>21</v>
      </c>
      <c r="E17">
        <v>78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1</v>
      </c>
      <c r="P17">
        <v>1</v>
      </c>
      <c r="Q17">
        <v>2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5</v>
      </c>
      <c r="AU17">
        <v>5</v>
      </c>
      <c r="AV17">
        <v>28</v>
      </c>
      <c r="AW17">
        <v>30</v>
      </c>
      <c r="AX17">
        <v>31</v>
      </c>
      <c r="AY17">
        <v>34</v>
      </c>
      <c r="AZ17">
        <v>39</v>
      </c>
      <c r="BA17">
        <v>43</v>
      </c>
      <c r="BB17">
        <v>56</v>
      </c>
      <c r="BC17">
        <v>62</v>
      </c>
      <c r="BD17">
        <v>73</v>
      </c>
      <c r="BE17">
        <v>82</v>
      </c>
      <c r="BF17">
        <v>102</v>
      </c>
      <c r="BG17">
        <v>113</v>
      </c>
      <c r="BH17">
        <v>119</v>
      </c>
    </row>
    <row r="18" spans="1:60" x14ac:dyDescent="0.3">
      <c r="A18" s="2"/>
      <c r="C18" t="s">
        <v>85</v>
      </c>
      <c r="D18">
        <v>43</v>
      </c>
      <c r="E18">
        <v>12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2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3</v>
      </c>
      <c r="AJ18">
        <v>20</v>
      </c>
      <c r="AK18">
        <v>62</v>
      </c>
      <c r="AL18">
        <v>155</v>
      </c>
      <c r="AM18">
        <v>229</v>
      </c>
      <c r="AN18">
        <v>322</v>
      </c>
      <c r="AO18">
        <v>453</v>
      </c>
      <c r="AP18">
        <v>655</v>
      </c>
      <c r="AQ18">
        <v>888</v>
      </c>
      <c r="AR18">
        <v>1128</v>
      </c>
      <c r="AS18">
        <v>1694</v>
      </c>
      <c r="AT18">
        <v>2036</v>
      </c>
      <c r="AU18">
        <v>2502</v>
      </c>
      <c r="AV18">
        <v>3089</v>
      </c>
      <c r="AW18">
        <v>3858</v>
      </c>
      <c r="AX18">
        <v>4636</v>
      </c>
      <c r="AY18">
        <v>5883</v>
      </c>
      <c r="AZ18">
        <v>7375</v>
      </c>
      <c r="BA18">
        <v>9172</v>
      </c>
      <c r="BB18">
        <v>10149</v>
      </c>
      <c r="BC18">
        <v>12462</v>
      </c>
      <c r="BD18">
        <v>12462</v>
      </c>
      <c r="BE18">
        <v>17660</v>
      </c>
      <c r="BF18">
        <v>21157</v>
      </c>
      <c r="BG18">
        <v>24747</v>
      </c>
      <c r="BH18">
        <v>27980</v>
      </c>
    </row>
    <row r="19" spans="1:60" x14ac:dyDescent="0.3">
      <c r="A19" s="2"/>
      <c r="C19" t="s">
        <v>86</v>
      </c>
      <c r="D19">
        <v>63</v>
      </c>
      <c r="E19">
        <v>16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2</v>
      </c>
      <c r="AP19">
        <v>7</v>
      </c>
      <c r="AQ19">
        <v>7</v>
      </c>
      <c r="AR19">
        <v>12</v>
      </c>
      <c r="AS19">
        <v>14</v>
      </c>
      <c r="AT19">
        <v>15</v>
      </c>
      <c r="AU19">
        <v>21</v>
      </c>
      <c r="AV19">
        <v>35</v>
      </c>
      <c r="AW19">
        <v>94</v>
      </c>
      <c r="AX19">
        <v>101</v>
      </c>
      <c r="AY19">
        <v>161</v>
      </c>
      <c r="AZ19">
        <v>203</v>
      </c>
      <c r="BA19">
        <v>248</v>
      </c>
      <c r="BB19">
        <v>355</v>
      </c>
      <c r="BC19">
        <v>500</v>
      </c>
      <c r="BD19">
        <v>599</v>
      </c>
      <c r="BE19">
        <v>814</v>
      </c>
      <c r="BF19">
        <v>961</v>
      </c>
      <c r="BG19">
        <v>1022</v>
      </c>
      <c r="BH19">
        <v>1103</v>
      </c>
    </row>
    <row r="20" spans="1:60" x14ac:dyDescent="0.3">
      <c r="A20" s="2"/>
      <c r="C20" t="s">
        <v>87</v>
      </c>
      <c r="D20">
        <v>40</v>
      </c>
      <c r="E20">
        <v>-4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6</v>
      </c>
      <c r="AO20">
        <v>13</v>
      </c>
      <c r="AP20">
        <v>15</v>
      </c>
      <c r="AQ20">
        <v>32</v>
      </c>
      <c r="AR20">
        <v>45</v>
      </c>
      <c r="AS20">
        <v>84</v>
      </c>
      <c r="AT20">
        <v>120</v>
      </c>
      <c r="AU20">
        <v>165</v>
      </c>
      <c r="AV20">
        <v>222</v>
      </c>
      <c r="AW20">
        <v>259</v>
      </c>
      <c r="AX20">
        <v>400</v>
      </c>
      <c r="AY20">
        <v>500</v>
      </c>
      <c r="AZ20">
        <v>673</v>
      </c>
      <c r="BA20">
        <v>1073</v>
      </c>
      <c r="BB20">
        <v>1695</v>
      </c>
      <c r="BC20">
        <v>2277</v>
      </c>
      <c r="BD20">
        <v>2277</v>
      </c>
      <c r="BE20">
        <v>5232</v>
      </c>
      <c r="BF20">
        <v>6391</v>
      </c>
      <c r="BG20">
        <v>7798</v>
      </c>
      <c r="BH20">
        <v>9942</v>
      </c>
    </row>
    <row r="21" spans="1:60" x14ac:dyDescent="0.3">
      <c r="A21" s="2"/>
      <c r="B21" t="s">
        <v>88</v>
      </c>
      <c r="C21" t="s">
        <v>75</v>
      </c>
      <c r="D21">
        <v>-34.9285</v>
      </c>
      <c r="E21">
        <v>138.60069999999999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3</v>
      </c>
      <c r="AS21">
        <v>3</v>
      </c>
      <c r="AT21">
        <v>3</v>
      </c>
      <c r="AU21">
        <v>3</v>
      </c>
      <c r="AV21">
        <v>5</v>
      </c>
      <c r="AW21">
        <v>5</v>
      </c>
      <c r="AX21">
        <v>7</v>
      </c>
      <c r="AY21">
        <v>7</v>
      </c>
      <c r="AZ21">
        <v>7</v>
      </c>
      <c r="BA21">
        <v>7</v>
      </c>
      <c r="BB21">
        <v>7</v>
      </c>
      <c r="BC21">
        <v>9</v>
      </c>
      <c r="BD21">
        <v>9</v>
      </c>
      <c r="BE21">
        <v>16</v>
      </c>
      <c r="BF21">
        <v>19</v>
      </c>
      <c r="BG21">
        <v>20</v>
      </c>
      <c r="BH21">
        <v>29</v>
      </c>
    </row>
    <row r="22" spans="1:60" x14ac:dyDescent="0.3">
      <c r="A22" s="2"/>
      <c r="C22" t="s">
        <v>90</v>
      </c>
      <c r="D22">
        <v>50.833300000000001</v>
      </c>
      <c r="E22">
        <v>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2</v>
      </c>
      <c r="AT22">
        <v>8</v>
      </c>
      <c r="AU22">
        <v>13</v>
      </c>
      <c r="AV22">
        <v>23</v>
      </c>
      <c r="AW22">
        <v>50</v>
      </c>
      <c r="AX22">
        <v>109</v>
      </c>
      <c r="AY22">
        <v>169</v>
      </c>
      <c r="AZ22">
        <v>200</v>
      </c>
      <c r="BA22">
        <v>239</v>
      </c>
      <c r="BB22">
        <v>267</v>
      </c>
      <c r="BC22">
        <v>314</v>
      </c>
      <c r="BD22">
        <v>314</v>
      </c>
      <c r="BE22">
        <v>559</v>
      </c>
      <c r="BF22">
        <v>689</v>
      </c>
      <c r="BG22">
        <v>886</v>
      </c>
      <c r="BH22">
        <v>1058</v>
      </c>
    </row>
    <row r="23" spans="1:60" x14ac:dyDescent="0.3">
      <c r="A23" s="2"/>
      <c r="C23" t="s">
        <v>92</v>
      </c>
      <c r="D23">
        <v>26</v>
      </c>
      <c r="E23">
        <v>30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2</v>
      </c>
      <c r="AT23">
        <v>2</v>
      </c>
      <c r="AU23">
        <v>2</v>
      </c>
      <c r="AV23">
        <v>2</v>
      </c>
      <c r="AW23">
        <v>3</v>
      </c>
      <c r="AX23">
        <v>15</v>
      </c>
      <c r="AY23">
        <v>15</v>
      </c>
      <c r="AZ23">
        <v>49</v>
      </c>
      <c r="BA23">
        <v>55</v>
      </c>
      <c r="BB23">
        <v>59</v>
      </c>
      <c r="BC23">
        <v>60</v>
      </c>
      <c r="BD23">
        <v>67</v>
      </c>
      <c r="BE23">
        <v>80</v>
      </c>
      <c r="BF23">
        <v>109</v>
      </c>
      <c r="BG23">
        <v>110</v>
      </c>
      <c r="BH23">
        <v>150</v>
      </c>
    </row>
    <row r="24" spans="1:60" x14ac:dyDescent="0.3">
      <c r="A24" s="2"/>
      <c r="B24" t="s">
        <v>93</v>
      </c>
      <c r="C24" t="s">
        <v>75</v>
      </c>
      <c r="D24">
        <v>35.4437</v>
      </c>
      <c r="E24">
        <v>139.63800000000001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4</v>
      </c>
      <c r="AK24">
        <v>7</v>
      </c>
      <c r="AL24">
        <v>7</v>
      </c>
      <c r="AM24">
        <v>7</v>
      </c>
      <c r="AN24">
        <v>7</v>
      </c>
      <c r="AO24">
        <v>7</v>
      </c>
      <c r="AP24">
        <v>8</v>
      </c>
      <c r="AQ24">
        <v>8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A25" s="2"/>
      <c r="C25" t="s">
        <v>94</v>
      </c>
      <c r="D25">
        <v>33.854700000000001</v>
      </c>
      <c r="E25">
        <v>35.862299999999998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2</v>
      </c>
      <c r="AP25">
        <v>2</v>
      </c>
      <c r="AQ25">
        <v>2</v>
      </c>
      <c r="AR25">
        <v>4</v>
      </c>
      <c r="AS25">
        <v>10</v>
      </c>
      <c r="AT25">
        <v>13</v>
      </c>
      <c r="AU25">
        <v>13</v>
      </c>
      <c r="AV25">
        <v>13</v>
      </c>
      <c r="AW25">
        <v>16</v>
      </c>
      <c r="AX25">
        <v>22</v>
      </c>
      <c r="AY25">
        <v>22</v>
      </c>
      <c r="AZ25">
        <v>32</v>
      </c>
      <c r="BA25">
        <v>32</v>
      </c>
      <c r="BB25">
        <v>41</v>
      </c>
      <c r="BC25">
        <v>61</v>
      </c>
      <c r="BD25">
        <v>61</v>
      </c>
      <c r="BE25">
        <v>77</v>
      </c>
      <c r="BF25">
        <v>93</v>
      </c>
      <c r="BG25">
        <v>110</v>
      </c>
      <c r="BH25">
        <v>99</v>
      </c>
    </row>
    <row r="26" spans="1:60" x14ac:dyDescent="0.3">
      <c r="A26" s="2"/>
      <c r="C26" t="s">
        <v>97</v>
      </c>
      <c r="D26">
        <v>33</v>
      </c>
      <c r="E26">
        <v>44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1</v>
      </c>
      <c r="AN26">
        <v>1</v>
      </c>
      <c r="AO26">
        <v>5</v>
      </c>
      <c r="AP26">
        <v>7</v>
      </c>
      <c r="AQ26">
        <v>7</v>
      </c>
      <c r="AR26">
        <v>13</v>
      </c>
      <c r="AS26">
        <v>19</v>
      </c>
      <c r="AT26">
        <v>26</v>
      </c>
      <c r="AU26">
        <v>32</v>
      </c>
      <c r="AV26">
        <v>35</v>
      </c>
      <c r="AW26">
        <v>35</v>
      </c>
      <c r="AX26">
        <v>40</v>
      </c>
      <c r="AY26">
        <v>54</v>
      </c>
      <c r="AZ26">
        <v>60</v>
      </c>
      <c r="BA26">
        <v>60</v>
      </c>
      <c r="BB26">
        <v>71</v>
      </c>
      <c r="BC26">
        <v>71</v>
      </c>
      <c r="BD26">
        <v>71</v>
      </c>
      <c r="BE26">
        <v>101</v>
      </c>
      <c r="BF26">
        <v>110</v>
      </c>
      <c r="BG26">
        <v>116</v>
      </c>
      <c r="BH26">
        <v>124</v>
      </c>
    </row>
    <row r="27" spans="1:60" x14ac:dyDescent="0.3">
      <c r="A27" s="2"/>
      <c r="C27" t="s">
        <v>98</v>
      </c>
      <c r="D27">
        <v>21</v>
      </c>
      <c r="E27">
        <v>57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2</v>
      </c>
      <c r="AN27">
        <v>2</v>
      </c>
      <c r="AO27">
        <v>4</v>
      </c>
      <c r="AP27">
        <v>4</v>
      </c>
      <c r="AQ27">
        <v>4</v>
      </c>
      <c r="AR27">
        <v>6</v>
      </c>
      <c r="AS27">
        <v>6</v>
      </c>
      <c r="AT27">
        <v>6</v>
      </c>
      <c r="AU27">
        <v>12</v>
      </c>
      <c r="AV27">
        <v>15</v>
      </c>
      <c r="AW27">
        <v>16</v>
      </c>
      <c r="AX27">
        <v>16</v>
      </c>
      <c r="AY27">
        <v>16</v>
      </c>
      <c r="AZ27">
        <v>16</v>
      </c>
      <c r="BA27">
        <v>16</v>
      </c>
      <c r="BB27">
        <v>18</v>
      </c>
      <c r="BC27">
        <v>18</v>
      </c>
      <c r="BD27">
        <v>18</v>
      </c>
      <c r="BE27">
        <v>19</v>
      </c>
      <c r="BF27">
        <v>19</v>
      </c>
      <c r="BG27">
        <v>22</v>
      </c>
      <c r="BH27">
        <v>22</v>
      </c>
    </row>
    <row r="28" spans="1:60" x14ac:dyDescent="0.3">
      <c r="A28" s="2"/>
      <c r="C28" t="s">
        <v>99</v>
      </c>
      <c r="D28">
        <v>33</v>
      </c>
      <c r="E28">
        <v>65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4</v>
      </c>
      <c r="BA28">
        <v>4</v>
      </c>
      <c r="BB28">
        <v>5</v>
      </c>
      <c r="BC28">
        <v>7</v>
      </c>
      <c r="BD28">
        <v>7</v>
      </c>
      <c r="BE28">
        <v>7</v>
      </c>
      <c r="BF28">
        <v>11</v>
      </c>
      <c r="BG28">
        <v>16</v>
      </c>
      <c r="BH28">
        <v>21</v>
      </c>
    </row>
    <row r="29" spans="1:60" x14ac:dyDescent="0.3">
      <c r="A29" s="2"/>
      <c r="C29" t="s">
        <v>100</v>
      </c>
      <c r="D29">
        <v>26.0275</v>
      </c>
      <c r="E29">
        <v>50.55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1</v>
      </c>
      <c r="AN29">
        <v>23</v>
      </c>
      <c r="AO29">
        <v>33</v>
      </c>
      <c r="AP29">
        <v>33</v>
      </c>
      <c r="AQ29">
        <v>36</v>
      </c>
      <c r="AR29">
        <v>41</v>
      </c>
      <c r="AS29">
        <v>47</v>
      </c>
      <c r="AT29">
        <v>49</v>
      </c>
      <c r="AU29">
        <v>49</v>
      </c>
      <c r="AV29">
        <v>52</v>
      </c>
      <c r="AW29">
        <v>55</v>
      </c>
      <c r="AX29">
        <v>60</v>
      </c>
      <c r="AY29">
        <v>85</v>
      </c>
      <c r="AZ29">
        <v>85</v>
      </c>
      <c r="BA29">
        <v>95</v>
      </c>
      <c r="BB29">
        <v>110</v>
      </c>
      <c r="BC29">
        <v>195</v>
      </c>
      <c r="BD29">
        <v>195</v>
      </c>
      <c r="BE29">
        <v>189</v>
      </c>
      <c r="BF29">
        <v>210</v>
      </c>
      <c r="BG29">
        <v>214</v>
      </c>
      <c r="BH29">
        <v>214</v>
      </c>
    </row>
    <row r="30" spans="1:60" x14ac:dyDescent="0.3">
      <c r="A30" s="2"/>
      <c r="C30" t="s">
        <v>101</v>
      </c>
      <c r="D30">
        <v>29.5</v>
      </c>
      <c r="E30">
        <v>47.75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1</v>
      </c>
      <c r="AN30">
        <v>11</v>
      </c>
      <c r="AO30">
        <v>26</v>
      </c>
      <c r="AP30">
        <v>43</v>
      </c>
      <c r="AQ30">
        <v>45</v>
      </c>
      <c r="AR30">
        <v>45</v>
      </c>
      <c r="AS30">
        <v>45</v>
      </c>
      <c r="AT30">
        <v>56</v>
      </c>
      <c r="AU30">
        <v>56</v>
      </c>
      <c r="AV30">
        <v>56</v>
      </c>
      <c r="AW30">
        <v>58</v>
      </c>
      <c r="AX30">
        <v>58</v>
      </c>
      <c r="AY30">
        <v>61</v>
      </c>
      <c r="AZ30">
        <v>64</v>
      </c>
      <c r="BA30">
        <v>64</v>
      </c>
      <c r="BB30">
        <v>69</v>
      </c>
      <c r="BC30">
        <v>72</v>
      </c>
      <c r="BD30">
        <v>80</v>
      </c>
      <c r="BE30">
        <v>80</v>
      </c>
      <c r="BF30">
        <v>104</v>
      </c>
      <c r="BG30">
        <v>112</v>
      </c>
      <c r="BH30">
        <v>123</v>
      </c>
    </row>
    <row r="31" spans="1:60" x14ac:dyDescent="0.3">
      <c r="A31" s="2"/>
      <c r="C31" t="s">
        <v>102</v>
      </c>
      <c r="D31">
        <v>28.033899999999999</v>
      </c>
      <c r="E31">
        <v>1.6596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1</v>
      </c>
      <c r="AT31">
        <v>3</v>
      </c>
      <c r="AU31">
        <v>5</v>
      </c>
      <c r="AV31">
        <v>12</v>
      </c>
      <c r="AW31">
        <v>12</v>
      </c>
      <c r="AX31">
        <v>17</v>
      </c>
      <c r="AY31">
        <v>17</v>
      </c>
      <c r="AZ31">
        <v>19</v>
      </c>
      <c r="BA31">
        <v>20</v>
      </c>
      <c r="BB31">
        <v>20</v>
      </c>
      <c r="BC31">
        <v>20</v>
      </c>
      <c r="BD31">
        <v>24</v>
      </c>
      <c r="BE31">
        <v>26</v>
      </c>
      <c r="BF31">
        <v>37</v>
      </c>
      <c r="BG31">
        <v>48</v>
      </c>
      <c r="BH31">
        <v>54</v>
      </c>
    </row>
    <row r="32" spans="1:60" x14ac:dyDescent="0.3">
      <c r="A32" s="2"/>
      <c r="C32" t="s">
        <v>103</v>
      </c>
      <c r="D32">
        <v>45.1</v>
      </c>
      <c r="E32">
        <v>15.2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1</v>
      </c>
      <c r="AO32">
        <v>3</v>
      </c>
      <c r="AP32">
        <v>3</v>
      </c>
      <c r="AQ32">
        <v>5</v>
      </c>
      <c r="AR32">
        <v>6</v>
      </c>
      <c r="AS32">
        <v>7</v>
      </c>
      <c r="AT32">
        <v>7</v>
      </c>
      <c r="AU32">
        <v>9</v>
      </c>
      <c r="AV32">
        <v>10</v>
      </c>
      <c r="AW32">
        <v>10</v>
      </c>
      <c r="AX32">
        <v>11</v>
      </c>
      <c r="AY32">
        <v>12</v>
      </c>
      <c r="AZ32">
        <v>12</v>
      </c>
      <c r="BA32">
        <v>12</v>
      </c>
      <c r="BB32">
        <v>14</v>
      </c>
      <c r="BC32">
        <v>19</v>
      </c>
      <c r="BD32">
        <v>19</v>
      </c>
      <c r="BE32">
        <v>32</v>
      </c>
      <c r="BF32">
        <v>38</v>
      </c>
      <c r="BG32">
        <v>49</v>
      </c>
      <c r="BH32">
        <v>57</v>
      </c>
    </row>
    <row r="33" spans="1:60" x14ac:dyDescent="0.3">
      <c r="A33" s="2"/>
      <c r="C33" t="s">
        <v>104</v>
      </c>
      <c r="D33">
        <v>46.818199999999997</v>
      </c>
      <c r="E33">
        <v>8.2274999999999991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1</v>
      </c>
      <c r="AO33">
        <v>1</v>
      </c>
      <c r="AP33">
        <v>8</v>
      </c>
      <c r="AQ33">
        <v>8</v>
      </c>
      <c r="AR33">
        <v>18</v>
      </c>
      <c r="AS33">
        <v>27</v>
      </c>
      <c r="AT33">
        <v>42</v>
      </c>
      <c r="AU33">
        <v>56</v>
      </c>
      <c r="AV33">
        <v>90</v>
      </c>
      <c r="AW33">
        <v>114</v>
      </c>
      <c r="AX33">
        <v>214</v>
      </c>
      <c r="AY33">
        <v>268</v>
      </c>
      <c r="AZ33">
        <v>337</v>
      </c>
      <c r="BA33">
        <v>374</v>
      </c>
      <c r="BB33">
        <v>491</v>
      </c>
      <c r="BC33">
        <v>652</v>
      </c>
      <c r="BD33">
        <v>652</v>
      </c>
      <c r="BE33">
        <v>1139</v>
      </c>
      <c r="BF33">
        <v>1359</v>
      </c>
      <c r="BG33">
        <v>2200</v>
      </c>
      <c r="BH33">
        <v>2200</v>
      </c>
    </row>
    <row r="34" spans="1:60" x14ac:dyDescent="0.3">
      <c r="A34" s="2"/>
      <c r="C34" t="s">
        <v>105</v>
      </c>
      <c r="D34">
        <v>47.516199999999998</v>
      </c>
      <c r="E34">
        <v>14.5501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2</v>
      </c>
      <c r="AO34">
        <v>2</v>
      </c>
      <c r="AP34">
        <v>3</v>
      </c>
      <c r="AQ34">
        <v>3</v>
      </c>
      <c r="AR34">
        <v>9</v>
      </c>
      <c r="AS34">
        <v>14</v>
      </c>
      <c r="AT34">
        <v>18</v>
      </c>
      <c r="AU34">
        <v>21</v>
      </c>
      <c r="AV34">
        <v>29</v>
      </c>
      <c r="AW34">
        <v>41</v>
      </c>
      <c r="AX34">
        <v>55</v>
      </c>
      <c r="AY34">
        <v>79</v>
      </c>
      <c r="AZ34">
        <v>104</v>
      </c>
      <c r="BA34">
        <v>131</v>
      </c>
      <c r="BB34">
        <v>182</v>
      </c>
      <c r="BC34">
        <v>246</v>
      </c>
      <c r="BD34">
        <v>302</v>
      </c>
      <c r="BE34">
        <v>504</v>
      </c>
      <c r="BF34">
        <v>655</v>
      </c>
      <c r="BG34">
        <v>860</v>
      </c>
      <c r="BH34">
        <v>1018</v>
      </c>
    </row>
    <row r="35" spans="1:60" x14ac:dyDescent="0.3">
      <c r="A35" s="2"/>
      <c r="C35" t="s">
        <v>106</v>
      </c>
      <c r="D35">
        <v>31</v>
      </c>
      <c r="E35">
        <v>35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2</v>
      </c>
      <c r="AP35">
        <v>3</v>
      </c>
      <c r="AQ35">
        <v>4</v>
      </c>
      <c r="AR35">
        <v>7</v>
      </c>
      <c r="AS35">
        <v>10</v>
      </c>
      <c r="AT35">
        <v>10</v>
      </c>
      <c r="AU35">
        <v>12</v>
      </c>
      <c r="AV35">
        <v>15</v>
      </c>
      <c r="AW35">
        <v>20</v>
      </c>
      <c r="AX35">
        <v>37</v>
      </c>
      <c r="AY35">
        <v>43</v>
      </c>
      <c r="AZ35">
        <v>61</v>
      </c>
      <c r="BA35">
        <v>61</v>
      </c>
      <c r="BB35">
        <v>83</v>
      </c>
      <c r="BC35">
        <v>109</v>
      </c>
      <c r="BD35">
        <v>131</v>
      </c>
      <c r="BE35">
        <v>161</v>
      </c>
      <c r="BF35">
        <v>193</v>
      </c>
      <c r="BG35">
        <v>251</v>
      </c>
      <c r="BH35">
        <v>255</v>
      </c>
    </row>
    <row r="36" spans="1:60" x14ac:dyDescent="0.3">
      <c r="A36" s="2"/>
      <c r="C36" t="s">
        <v>107</v>
      </c>
      <c r="D36">
        <v>30.375299999999999</v>
      </c>
      <c r="E36">
        <v>69.345100000000002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2</v>
      </c>
      <c r="AP36">
        <v>2</v>
      </c>
      <c r="AQ36">
        <v>2</v>
      </c>
      <c r="AR36">
        <v>4</v>
      </c>
      <c r="AS36">
        <v>4</v>
      </c>
      <c r="AT36">
        <v>4</v>
      </c>
      <c r="AU36">
        <v>5</v>
      </c>
      <c r="AV36">
        <v>5</v>
      </c>
      <c r="AW36">
        <v>5</v>
      </c>
      <c r="AX36">
        <v>6</v>
      </c>
      <c r="AY36">
        <v>6</v>
      </c>
      <c r="AZ36">
        <v>6</v>
      </c>
      <c r="BA36">
        <v>6</v>
      </c>
      <c r="BB36">
        <v>16</v>
      </c>
      <c r="BC36">
        <v>19</v>
      </c>
      <c r="BD36">
        <v>20</v>
      </c>
      <c r="BE36">
        <v>28</v>
      </c>
      <c r="BF36">
        <v>31</v>
      </c>
      <c r="BG36">
        <v>53</v>
      </c>
      <c r="BH36">
        <v>136</v>
      </c>
    </row>
    <row r="37" spans="1:60" x14ac:dyDescent="0.3">
      <c r="A37" s="2"/>
      <c r="C37" t="s">
        <v>108</v>
      </c>
      <c r="D37">
        <v>-14.234999999999999</v>
      </c>
      <c r="E37">
        <v>-51.9253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>
        <v>2</v>
      </c>
      <c r="AS37">
        <v>2</v>
      </c>
      <c r="AT37">
        <v>2</v>
      </c>
      <c r="AU37">
        <v>2</v>
      </c>
      <c r="AV37">
        <v>4</v>
      </c>
      <c r="AW37">
        <v>4</v>
      </c>
      <c r="AX37">
        <v>13</v>
      </c>
      <c r="AY37">
        <v>13</v>
      </c>
      <c r="AZ37">
        <v>20</v>
      </c>
      <c r="BA37">
        <v>25</v>
      </c>
      <c r="BB37">
        <v>31</v>
      </c>
      <c r="BC37">
        <v>38</v>
      </c>
      <c r="BD37">
        <v>52</v>
      </c>
      <c r="BE37">
        <v>151</v>
      </c>
      <c r="BF37">
        <v>151</v>
      </c>
      <c r="BG37">
        <v>162</v>
      </c>
      <c r="BH37">
        <v>200</v>
      </c>
    </row>
    <row r="38" spans="1:60" x14ac:dyDescent="0.3">
      <c r="A38" s="2"/>
      <c r="C38" t="s">
        <v>109</v>
      </c>
      <c r="D38">
        <v>42.315399999999997</v>
      </c>
      <c r="E38">
        <v>43.356900000000003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>
        <v>1</v>
      </c>
      <c r="AS38">
        <v>3</v>
      </c>
      <c r="AT38">
        <v>3</v>
      </c>
      <c r="AU38">
        <v>3</v>
      </c>
      <c r="AV38">
        <v>3</v>
      </c>
      <c r="AW38">
        <v>4</v>
      </c>
      <c r="AX38">
        <v>4</v>
      </c>
      <c r="AY38">
        <v>4</v>
      </c>
      <c r="AZ38">
        <v>13</v>
      </c>
      <c r="BA38">
        <v>15</v>
      </c>
      <c r="BB38">
        <v>15</v>
      </c>
      <c r="BC38">
        <v>24</v>
      </c>
      <c r="BD38">
        <v>24</v>
      </c>
      <c r="BE38">
        <v>25</v>
      </c>
      <c r="BF38">
        <v>30</v>
      </c>
      <c r="BG38">
        <v>33</v>
      </c>
      <c r="BH38">
        <v>33</v>
      </c>
    </row>
    <row r="39" spans="1:60" x14ac:dyDescent="0.3">
      <c r="A39" s="2"/>
      <c r="C39" t="s">
        <v>110</v>
      </c>
      <c r="D39">
        <v>39.074199999999998</v>
      </c>
      <c r="E39">
        <v>21.824300000000001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1</v>
      </c>
      <c r="AP39">
        <v>3</v>
      </c>
      <c r="AQ39">
        <v>4</v>
      </c>
      <c r="AR39">
        <v>4</v>
      </c>
      <c r="AS39">
        <v>7</v>
      </c>
      <c r="AT39">
        <v>7</v>
      </c>
      <c r="AU39">
        <v>7</v>
      </c>
      <c r="AV39">
        <v>9</v>
      </c>
      <c r="AW39">
        <v>31</v>
      </c>
      <c r="AX39">
        <v>45</v>
      </c>
      <c r="AY39">
        <v>46</v>
      </c>
      <c r="AZ39">
        <v>73</v>
      </c>
      <c r="BA39">
        <v>73</v>
      </c>
      <c r="BB39">
        <v>89</v>
      </c>
      <c r="BC39">
        <v>99</v>
      </c>
      <c r="BD39">
        <v>99</v>
      </c>
      <c r="BE39">
        <v>190</v>
      </c>
      <c r="BF39">
        <v>228</v>
      </c>
      <c r="BG39">
        <v>331</v>
      </c>
      <c r="BH39">
        <v>331</v>
      </c>
    </row>
    <row r="40" spans="1:60" x14ac:dyDescent="0.3">
      <c r="A40" s="2"/>
      <c r="C40" t="s">
        <v>111</v>
      </c>
      <c r="D40">
        <v>41.608600000000003</v>
      </c>
      <c r="E40">
        <v>21.7453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3</v>
      </c>
      <c r="AY40">
        <v>3</v>
      </c>
      <c r="AZ40">
        <v>3</v>
      </c>
      <c r="BA40">
        <v>3</v>
      </c>
      <c r="BB40">
        <v>7</v>
      </c>
      <c r="BC40">
        <v>7</v>
      </c>
      <c r="BD40">
        <v>7</v>
      </c>
      <c r="BE40">
        <v>14</v>
      </c>
      <c r="BF40">
        <v>14</v>
      </c>
      <c r="BG40">
        <v>14</v>
      </c>
      <c r="BH40">
        <v>18</v>
      </c>
    </row>
    <row r="41" spans="1:60" x14ac:dyDescent="0.3">
      <c r="A41" s="2"/>
      <c r="C41" t="s">
        <v>112</v>
      </c>
      <c r="D41">
        <v>60.472000000000001</v>
      </c>
      <c r="E41">
        <v>8.4688999999999997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6</v>
      </c>
      <c r="AR41">
        <v>15</v>
      </c>
      <c r="AS41">
        <v>19</v>
      </c>
      <c r="AT41">
        <v>25</v>
      </c>
      <c r="AU41">
        <v>32</v>
      </c>
      <c r="AV41">
        <v>56</v>
      </c>
      <c r="AW41">
        <v>87</v>
      </c>
      <c r="AX41">
        <v>108</v>
      </c>
      <c r="AY41">
        <v>147</v>
      </c>
      <c r="AZ41">
        <v>176</v>
      </c>
      <c r="BA41">
        <v>205</v>
      </c>
      <c r="BB41">
        <v>400</v>
      </c>
      <c r="BC41">
        <v>598</v>
      </c>
      <c r="BD41">
        <v>702</v>
      </c>
      <c r="BE41">
        <v>996</v>
      </c>
      <c r="BF41">
        <v>1090</v>
      </c>
      <c r="BG41">
        <v>1221</v>
      </c>
      <c r="BH41">
        <v>1333</v>
      </c>
    </row>
    <row r="42" spans="1:60" x14ac:dyDescent="0.3">
      <c r="A42" s="2"/>
      <c r="C42" t="s">
        <v>113</v>
      </c>
      <c r="D42">
        <v>45.943199999999997</v>
      </c>
      <c r="E42">
        <v>24.966799999999999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3</v>
      </c>
      <c r="AR42">
        <v>3</v>
      </c>
      <c r="AS42">
        <v>3</v>
      </c>
      <c r="AT42">
        <v>3</v>
      </c>
      <c r="AU42">
        <v>3</v>
      </c>
      <c r="AV42">
        <v>4</v>
      </c>
      <c r="AW42">
        <v>6</v>
      </c>
      <c r="AX42">
        <v>9</v>
      </c>
      <c r="AY42">
        <v>9</v>
      </c>
      <c r="AZ42">
        <v>15</v>
      </c>
      <c r="BA42">
        <v>15</v>
      </c>
      <c r="BB42">
        <v>25</v>
      </c>
      <c r="BC42">
        <v>45</v>
      </c>
      <c r="BD42">
        <v>49</v>
      </c>
      <c r="BE42">
        <v>89</v>
      </c>
      <c r="BF42">
        <v>123</v>
      </c>
      <c r="BG42">
        <v>131</v>
      </c>
      <c r="BH42">
        <v>158</v>
      </c>
    </row>
    <row r="43" spans="1:60" x14ac:dyDescent="0.3">
      <c r="A43" s="2"/>
      <c r="C43" t="s">
        <v>115</v>
      </c>
      <c r="D43">
        <v>58.595300000000002</v>
      </c>
      <c r="E43">
        <v>25.0136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2</v>
      </c>
      <c r="AV43">
        <v>2</v>
      </c>
      <c r="AW43">
        <v>3</v>
      </c>
      <c r="AX43">
        <v>10</v>
      </c>
      <c r="AY43">
        <v>10</v>
      </c>
      <c r="AZ43">
        <v>10</v>
      </c>
      <c r="BA43">
        <v>10</v>
      </c>
      <c r="BB43">
        <v>12</v>
      </c>
      <c r="BC43">
        <v>16</v>
      </c>
      <c r="BD43">
        <v>16</v>
      </c>
      <c r="BE43">
        <v>79</v>
      </c>
      <c r="BF43">
        <v>115</v>
      </c>
      <c r="BG43">
        <v>171</v>
      </c>
      <c r="BH43">
        <v>205</v>
      </c>
    </row>
    <row r="44" spans="1:60" x14ac:dyDescent="0.3">
      <c r="A44" s="2"/>
      <c r="C44" t="s">
        <v>117</v>
      </c>
      <c r="D44">
        <v>43.942399999999999</v>
      </c>
      <c r="E44">
        <v>12.457800000000001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1</v>
      </c>
      <c r="AS44">
        <v>1</v>
      </c>
      <c r="AT44">
        <v>8</v>
      </c>
      <c r="AU44">
        <v>10</v>
      </c>
      <c r="AV44">
        <v>16</v>
      </c>
      <c r="AW44">
        <v>21</v>
      </c>
      <c r="AX44">
        <v>21</v>
      </c>
      <c r="AY44">
        <v>23</v>
      </c>
      <c r="AZ44">
        <v>36</v>
      </c>
      <c r="BA44">
        <v>36</v>
      </c>
      <c r="BB44">
        <v>51</v>
      </c>
      <c r="BC44">
        <v>62</v>
      </c>
      <c r="BD44">
        <v>69</v>
      </c>
      <c r="BE44">
        <v>80</v>
      </c>
      <c r="BF44">
        <v>80</v>
      </c>
      <c r="BG44">
        <v>101</v>
      </c>
      <c r="BH44">
        <v>109</v>
      </c>
    </row>
    <row r="45" spans="1:60" x14ac:dyDescent="0.3">
      <c r="A45" s="2"/>
      <c r="C45" t="s">
        <v>118</v>
      </c>
      <c r="D45">
        <v>53.709800000000001</v>
      </c>
      <c r="E45">
        <v>27.953399999999998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6</v>
      </c>
      <c r="BB45">
        <v>9</v>
      </c>
      <c r="BC45">
        <v>9</v>
      </c>
      <c r="BD45">
        <v>12</v>
      </c>
      <c r="BE45">
        <v>27</v>
      </c>
      <c r="BF45">
        <v>27</v>
      </c>
      <c r="BG45">
        <v>27</v>
      </c>
      <c r="BH45">
        <v>36</v>
      </c>
    </row>
    <row r="46" spans="1:60" x14ac:dyDescent="0.3">
      <c r="A46" s="2"/>
      <c r="C46" t="s">
        <v>119</v>
      </c>
      <c r="D46">
        <v>64.963099999999997</v>
      </c>
      <c r="E46">
        <v>-19.020800000000001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1</v>
      </c>
      <c r="AR46">
        <v>1</v>
      </c>
      <c r="AS46">
        <v>3</v>
      </c>
      <c r="AT46">
        <v>6</v>
      </c>
      <c r="AU46">
        <v>11</v>
      </c>
      <c r="AV46">
        <v>26</v>
      </c>
      <c r="AW46">
        <v>34</v>
      </c>
      <c r="AX46">
        <v>43</v>
      </c>
      <c r="AY46">
        <v>50</v>
      </c>
      <c r="AZ46">
        <v>50</v>
      </c>
      <c r="BA46">
        <v>58</v>
      </c>
      <c r="BB46">
        <v>69</v>
      </c>
      <c r="BC46">
        <v>85</v>
      </c>
      <c r="BD46">
        <v>103</v>
      </c>
      <c r="BE46">
        <v>134</v>
      </c>
      <c r="BF46">
        <v>156</v>
      </c>
      <c r="BG46">
        <v>171</v>
      </c>
      <c r="BH46">
        <v>180</v>
      </c>
    </row>
    <row r="47" spans="1:60" x14ac:dyDescent="0.3">
      <c r="A47" s="2"/>
      <c r="C47" t="s">
        <v>120</v>
      </c>
      <c r="D47">
        <v>55.169400000000003</v>
      </c>
      <c r="E47">
        <v>23.8813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3</v>
      </c>
      <c r="BE47">
        <v>6</v>
      </c>
      <c r="BF47">
        <v>8</v>
      </c>
      <c r="BG47">
        <v>12</v>
      </c>
      <c r="BH47">
        <v>17</v>
      </c>
    </row>
    <row r="48" spans="1:60" x14ac:dyDescent="0.3">
      <c r="A48" s="2"/>
      <c r="C48" t="s">
        <v>121</v>
      </c>
      <c r="D48">
        <v>23.634499999999999</v>
      </c>
      <c r="E48">
        <v>-102.5528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1</v>
      </c>
      <c r="AR48">
        <v>4</v>
      </c>
      <c r="AS48">
        <v>5</v>
      </c>
      <c r="AT48">
        <v>5</v>
      </c>
      <c r="AU48">
        <v>5</v>
      </c>
      <c r="AV48">
        <v>5</v>
      </c>
      <c r="AW48">
        <v>5</v>
      </c>
      <c r="AX48">
        <v>6</v>
      </c>
      <c r="AY48">
        <v>6</v>
      </c>
      <c r="AZ48">
        <v>7</v>
      </c>
      <c r="BA48">
        <v>7</v>
      </c>
      <c r="BB48">
        <v>7</v>
      </c>
      <c r="BC48">
        <v>8</v>
      </c>
      <c r="BD48">
        <v>12</v>
      </c>
      <c r="BE48">
        <v>12</v>
      </c>
      <c r="BF48">
        <v>26</v>
      </c>
      <c r="BG48">
        <v>41</v>
      </c>
      <c r="BH48">
        <v>53</v>
      </c>
    </row>
    <row r="49" spans="1:60" x14ac:dyDescent="0.3">
      <c r="A49" s="2"/>
      <c r="C49" t="s">
        <v>122</v>
      </c>
      <c r="D49">
        <v>-40.900599999999997</v>
      </c>
      <c r="E49">
        <v>174.886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3</v>
      </c>
      <c r="AW49">
        <v>3</v>
      </c>
      <c r="AX49">
        <v>4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6</v>
      </c>
      <c r="BG49">
        <v>8</v>
      </c>
      <c r="BH49">
        <v>8</v>
      </c>
    </row>
    <row r="50" spans="1:60" x14ac:dyDescent="0.3">
      <c r="A50" s="2"/>
      <c r="C50" t="s">
        <v>123</v>
      </c>
      <c r="D50">
        <v>9.0820000000000007</v>
      </c>
      <c r="E50">
        <v>8.6753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2</v>
      </c>
    </row>
    <row r="51" spans="1:60" x14ac:dyDescent="0.3">
      <c r="A51" s="2"/>
      <c r="B51" t="s">
        <v>124</v>
      </c>
      <c r="C51" t="s">
        <v>75</v>
      </c>
      <c r="D51">
        <v>-31.950500000000002</v>
      </c>
      <c r="E51">
        <v>115.8605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2</v>
      </c>
      <c r="AS51">
        <v>2</v>
      </c>
      <c r="AT51">
        <v>2</v>
      </c>
      <c r="AU51">
        <v>2</v>
      </c>
      <c r="AV51">
        <v>2</v>
      </c>
      <c r="AW51">
        <v>3</v>
      </c>
      <c r="AX51">
        <v>3</v>
      </c>
      <c r="AY51">
        <v>3</v>
      </c>
      <c r="AZ51">
        <v>3</v>
      </c>
      <c r="BA51">
        <v>4</v>
      </c>
      <c r="BB51">
        <v>6</v>
      </c>
      <c r="BC51">
        <v>9</v>
      </c>
      <c r="BD51">
        <v>9</v>
      </c>
      <c r="BE51">
        <v>14</v>
      </c>
      <c r="BF51">
        <v>17</v>
      </c>
      <c r="BG51">
        <v>17</v>
      </c>
      <c r="BH51">
        <v>28</v>
      </c>
    </row>
    <row r="52" spans="1:60" x14ac:dyDescent="0.3">
      <c r="A52" s="2"/>
      <c r="C52" t="s">
        <v>125</v>
      </c>
      <c r="D52">
        <v>53.142400000000002</v>
      </c>
      <c r="E52">
        <v>-7.6920999999999999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1</v>
      </c>
      <c r="AS52">
        <v>1</v>
      </c>
      <c r="AT52">
        <v>1</v>
      </c>
      <c r="AU52">
        <v>2</v>
      </c>
      <c r="AV52">
        <v>6</v>
      </c>
      <c r="AW52">
        <v>6</v>
      </c>
      <c r="AX52">
        <v>18</v>
      </c>
      <c r="AY52">
        <v>18</v>
      </c>
      <c r="AZ52">
        <v>19</v>
      </c>
      <c r="BA52">
        <v>21</v>
      </c>
      <c r="BB52">
        <v>34</v>
      </c>
      <c r="BC52">
        <v>43</v>
      </c>
      <c r="BD52">
        <v>43</v>
      </c>
      <c r="BE52">
        <v>90</v>
      </c>
      <c r="BF52">
        <v>129</v>
      </c>
      <c r="BG52">
        <v>129</v>
      </c>
      <c r="BH52">
        <v>169</v>
      </c>
    </row>
    <row r="53" spans="1:60" x14ac:dyDescent="0.3">
      <c r="A53" s="2"/>
      <c r="C53" t="s">
        <v>126</v>
      </c>
      <c r="D53">
        <v>49.815300000000001</v>
      </c>
      <c r="E53">
        <v>6.1295999999999999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2</v>
      </c>
      <c r="AY53">
        <v>2</v>
      </c>
      <c r="AZ53">
        <v>3</v>
      </c>
      <c r="BA53">
        <v>3</v>
      </c>
      <c r="BB53">
        <v>5</v>
      </c>
      <c r="BC53">
        <v>7</v>
      </c>
      <c r="BD53">
        <v>19</v>
      </c>
      <c r="BE53">
        <v>34</v>
      </c>
      <c r="BF53">
        <v>51</v>
      </c>
      <c r="BG53">
        <v>59</v>
      </c>
      <c r="BH53">
        <v>77</v>
      </c>
    </row>
    <row r="54" spans="1:60" x14ac:dyDescent="0.3">
      <c r="A54" s="2"/>
      <c r="C54" t="s">
        <v>127</v>
      </c>
      <c r="D54">
        <v>43.7333</v>
      </c>
      <c r="E54">
        <v>7.4166999999999996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2</v>
      </c>
      <c r="BE54">
        <v>2</v>
      </c>
      <c r="BF54">
        <v>2</v>
      </c>
      <c r="BG54">
        <v>2</v>
      </c>
      <c r="BH54">
        <v>7</v>
      </c>
    </row>
    <row r="55" spans="1:60" x14ac:dyDescent="0.3">
      <c r="A55" s="2"/>
      <c r="C55" t="s">
        <v>128</v>
      </c>
      <c r="D55">
        <v>25.354800000000001</v>
      </c>
      <c r="E55">
        <v>51.183900000000001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1</v>
      </c>
      <c r="AS55">
        <v>3</v>
      </c>
      <c r="AT55">
        <v>3</v>
      </c>
      <c r="AU55">
        <v>7</v>
      </c>
      <c r="AV55">
        <v>8</v>
      </c>
      <c r="AW55">
        <v>8</v>
      </c>
      <c r="AX55">
        <v>8</v>
      </c>
      <c r="AY55">
        <v>8</v>
      </c>
      <c r="AZ55">
        <v>15</v>
      </c>
      <c r="BA55">
        <v>18</v>
      </c>
      <c r="BB55">
        <v>24</v>
      </c>
      <c r="BC55">
        <v>262</v>
      </c>
      <c r="BD55">
        <v>262</v>
      </c>
      <c r="BE55">
        <v>320</v>
      </c>
      <c r="BF55">
        <v>337</v>
      </c>
      <c r="BG55">
        <v>401</v>
      </c>
      <c r="BH55">
        <v>439</v>
      </c>
    </row>
    <row r="56" spans="1:60" x14ac:dyDescent="0.3">
      <c r="A56" s="2"/>
      <c r="C56" t="s">
        <v>130</v>
      </c>
      <c r="D56">
        <v>-1.8311999999999999</v>
      </c>
      <c r="E56">
        <v>-78.183400000000006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6</v>
      </c>
      <c r="AT56">
        <v>6</v>
      </c>
      <c r="AU56">
        <v>7</v>
      </c>
      <c r="AV56">
        <v>10</v>
      </c>
      <c r="AW56">
        <v>13</v>
      </c>
      <c r="AX56">
        <v>13</v>
      </c>
      <c r="AY56">
        <v>13</v>
      </c>
      <c r="AZ56">
        <v>14</v>
      </c>
      <c r="BA56">
        <v>15</v>
      </c>
      <c r="BB56">
        <v>15</v>
      </c>
      <c r="BC56">
        <v>17</v>
      </c>
      <c r="BD56">
        <v>17</v>
      </c>
      <c r="BE56">
        <v>17</v>
      </c>
      <c r="BF56">
        <v>28</v>
      </c>
      <c r="BG56">
        <v>28</v>
      </c>
      <c r="BH56">
        <v>37</v>
      </c>
    </row>
    <row r="57" spans="1:60" x14ac:dyDescent="0.3">
      <c r="A57" s="2"/>
      <c r="C57" t="s">
        <v>131</v>
      </c>
      <c r="D57">
        <v>40.143099999999997</v>
      </c>
      <c r="E57">
        <v>47.576900000000002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3</v>
      </c>
      <c r="AT57">
        <v>3</v>
      </c>
      <c r="AU57">
        <v>3</v>
      </c>
      <c r="AV57">
        <v>3</v>
      </c>
      <c r="AW57">
        <v>6</v>
      </c>
      <c r="AX57">
        <v>6</v>
      </c>
      <c r="AY57">
        <v>9</v>
      </c>
      <c r="AZ57">
        <v>9</v>
      </c>
      <c r="BA57">
        <v>9</v>
      </c>
      <c r="BB57">
        <v>11</v>
      </c>
      <c r="BC57">
        <v>11</v>
      </c>
      <c r="BD57">
        <v>11</v>
      </c>
      <c r="BE57">
        <v>15</v>
      </c>
      <c r="BF57">
        <v>15</v>
      </c>
      <c r="BG57">
        <v>23</v>
      </c>
      <c r="BH57">
        <v>15</v>
      </c>
    </row>
    <row r="58" spans="1:60" x14ac:dyDescent="0.3">
      <c r="A58" s="2"/>
      <c r="C58" t="s">
        <v>132</v>
      </c>
      <c r="D58">
        <v>40.069099999999999</v>
      </c>
      <c r="E58">
        <v>45.038200000000003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4</v>
      </c>
      <c r="BE58">
        <v>8</v>
      </c>
      <c r="BF58">
        <v>18</v>
      </c>
      <c r="BG58">
        <v>26</v>
      </c>
      <c r="BH58">
        <v>52</v>
      </c>
    </row>
    <row r="59" spans="1:60" x14ac:dyDescent="0.3">
      <c r="A59" s="2"/>
      <c r="C59" t="s">
        <v>133</v>
      </c>
      <c r="D59">
        <v>18.735700000000001</v>
      </c>
      <c r="E59">
        <v>-70.162700000000001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2</v>
      </c>
      <c r="AY59">
        <v>2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5</v>
      </c>
      <c r="BF59">
        <v>11</v>
      </c>
      <c r="BG59">
        <v>11</v>
      </c>
      <c r="BH59">
        <v>11</v>
      </c>
    </row>
    <row r="60" spans="1:60" x14ac:dyDescent="0.3">
      <c r="A60" s="2"/>
      <c r="C60" t="s">
        <v>134</v>
      </c>
      <c r="D60">
        <v>-0.7893</v>
      </c>
      <c r="E60">
        <v>113.9213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2</v>
      </c>
      <c r="AU60">
        <v>2</v>
      </c>
      <c r="AV60">
        <v>2</v>
      </c>
      <c r="AW60">
        <v>2</v>
      </c>
      <c r="AX60">
        <v>4</v>
      </c>
      <c r="AY60">
        <v>4</v>
      </c>
      <c r="AZ60">
        <v>6</v>
      </c>
      <c r="BA60">
        <v>19</v>
      </c>
      <c r="BB60">
        <v>27</v>
      </c>
      <c r="BC60">
        <v>34</v>
      </c>
      <c r="BD60">
        <v>34</v>
      </c>
      <c r="BE60">
        <v>69</v>
      </c>
      <c r="BF60">
        <v>96</v>
      </c>
      <c r="BG60">
        <v>117</v>
      </c>
      <c r="BH60">
        <v>134</v>
      </c>
    </row>
    <row r="61" spans="1:60" x14ac:dyDescent="0.3">
      <c r="A61" s="2"/>
      <c r="C61" t="s">
        <v>135</v>
      </c>
      <c r="D61">
        <v>39.399900000000002</v>
      </c>
      <c r="E61">
        <v>-8.2245000000000008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2</v>
      </c>
      <c r="AU61">
        <v>2</v>
      </c>
      <c r="AV61">
        <v>5</v>
      </c>
      <c r="AW61">
        <v>8</v>
      </c>
      <c r="AX61">
        <v>13</v>
      </c>
      <c r="AY61">
        <v>20</v>
      </c>
      <c r="AZ61">
        <v>30</v>
      </c>
      <c r="BA61">
        <v>30</v>
      </c>
      <c r="BB61">
        <v>41</v>
      </c>
      <c r="BC61">
        <v>59</v>
      </c>
      <c r="BD61">
        <v>59</v>
      </c>
      <c r="BE61">
        <v>112</v>
      </c>
      <c r="BF61">
        <v>169</v>
      </c>
      <c r="BG61">
        <v>245</v>
      </c>
      <c r="BH61">
        <v>331</v>
      </c>
    </row>
    <row r="62" spans="1:60" x14ac:dyDescent="0.3">
      <c r="A62" s="2"/>
      <c r="C62" t="s">
        <v>136</v>
      </c>
      <c r="D62">
        <v>42.506300000000003</v>
      </c>
      <c r="E62">
        <v>1.5218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2</v>
      </c>
    </row>
    <row r="63" spans="1:60" x14ac:dyDescent="0.3">
      <c r="A63" s="2"/>
      <c r="B63" t="s">
        <v>137</v>
      </c>
      <c r="C63" t="s">
        <v>75</v>
      </c>
      <c r="D63">
        <v>-41.454500000000003</v>
      </c>
      <c r="E63">
        <v>145.97069999999999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2</v>
      </c>
      <c r="BA63">
        <v>2</v>
      </c>
      <c r="BB63">
        <v>2</v>
      </c>
      <c r="BC63">
        <v>3</v>
      </c>
      <c r="BD63">
        <v>3</v>
      </c>
      <c r="BE63">
        <v>5</v>
      </c>
      <c r="BF63">
        <v>5</v>
      </c>
      <c r="BG63">
        <v>6</v>
      </c>
      <c r="BH63">
        <v>7</v>
      </c>
    </row>
    <row r="64" spans="1:60" x14ac:dyDescent="0.3">
      <c r="A64" s="2"/>
      <c r="C64" t="s">
        <v>138</v>
      </c>
      <c r="D64">
        <v>56.879600000000003</v>
      </c>
      <c r="E64">
        <v>24.603200000000001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2</v>
      </c>
      <c r="BA64">
        <v>6</v>
      </c>
      <c r="BB64">
        <v>8</v>
      </c>
      <c r="BC64">
        <v>10</v>
      </c>
      <c r="BD64">
        <v>10</v>
      </c>
      <c r="BE64">
        <v>17</v>
      </c>
      <c r="BF64">
        <v>26</v>
      </c>
      <c r="BG64">
        <v>30</v>
      </c>
      <c r="BH64">
        <v>34</v>
      </c>
    </row>
    <row r="65" spans="1:60" x14ac:dyDescent="0.3">
      <c r="A65" s="2"/>
      <c r="C65" t="s">
        <v>139</v>
      </c>
      <c r="D65">
        <v>31.791699999999999</v>
      </c>
      <c r="E65">
        <v>-7.0926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</v>
      </c>
      <c r="AW65">
        <v>2</v>
      </c>
      <c r="AX65">
        <v>2</v>
      </c>
      <c r="AY65">
        <v>2</v>
      </c>
      <c r="AZ65">
        <v>2</v>
      </c>
      <c r="BA65">
        <v>2</v>
      </c>
      <c r="BB65">
        <v>3</v>
      </c>
      <c r="BC65">
        <v>5</v>
      </c>
      <c r="BD65">
        <v>6</v>
      </c>
      <c r="BE65">
        <v>7</v>
      </c>
      <c r="BF65">
        <v>17</v>
      </c>
      <c r="BG65">
        <v>28</v>
      </c>
      <c r="BH65">
        <v>29</v>
      </c>
    </row>
    <row r="66" spans="1:60" x14ac:dyDescent="0.3">
      <c r="A66" s="2"/>
      <c r="C66" t="s">
        <v>140</v>
      </c>
      <c r="D66">
        <v>24</v>
      </c>
      <c r="E66">
        <v>45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5</v>
      </c>
      <c r="AX66">
        <v>5</v>
      </c>
      <c r="AY66">
        <v>5</v>
      </c>
      <c r="AZ66">
        <v>11</v>
      </c>
      <c r="BA66">
        <v>15</v>
      </c>
      <c r="BB66">
        <v>20</v>
      </c>
      <c r="BC66">
        <v>21</v>
      </c>
      <c r="BD66">
        <v>45</v>
      </c>
      <c r="BE66">
        <v>86</v>
      </c>
      <c r="BF66">
        <v>103</v>
      </c>
      <c r="BG66">
        <v>103</v>
      </c>
      <c r="BH66">
        <v>118</v>
      </c>
    </row>
    <row r="67" spans="1:60" x14ac:dyDescent="0.3">
      <c r="A67" s="2"/>
      <c r="C67" t="s">
        <v>141</v>
      </c>
      <c r="D67">
        <v>14.497400000000001</v>
      </c>
      <c r="E67">
        <v>-14.452400000000001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1</v>
      </c>
      <c r="AU67">
        <v>2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4</v>
      </c>
      <c r="BE67">
        <v>10</v>
      </c>
      <c r="BF67">
        <v>10</v>
      </c>
      <c r="BG67">
        <v>24</v>
      </c>
      <c r="BH67">
        <v>24</v>
      </c>
    </row>
    <row r="68" spans="1:60" x14ac:dyDescent="0.3">
      <c r="A68" s="2"/>
      <c r="C68" t="s">
        <v>150</v>
      </c>
      <c r="D68">
        <v>-38.4161</v>
      </c>
      <c r="E68">
        <v>-63.616700000000002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1</v>
      </c>
      <c r="AV68">
        <v>1</v>
      </c>
      <c r="AW68">
        <v>1</v>
      </c>
      <c r="AX68">
        <v>2</v>
      </c>
      <c r="AY68">
        <v>8</v>
      </c>
      <c r="AZ68">
        <v>12</v>
      </c>
      <c r="BA68">
        <v>12</v>
      </c>
      <c r="BB68">
        <v>17</v>
      </c>
      <c r="BC68">
        <v>19</v>
      </c>
      <c r="BD68">
        <v>19</v>
      </c>
      <c r="BE68">
        <v>31</v>
      </c>
      <c r="BF68">
        <v>34</v>
      </c>
      <c r="BG68">
        <v>45</v>
      </c>
      <c r="BH68">
        <v>56</v>
      </c>
    </row>
    <row r="69" spans="1:60" x14ac:dyDescent="0.3">
      <c r="A69" s="2"/>
      <c r="C69" t="s">
        <v>151</v>
      </c>
      <c r="D69">
        <v>-35.6751</v>
      </c>
      <c r="E69">
        <v>-71.543000000000006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1</v>
      </c>
      <c r="AV69">
        <v>1</v>
      </c>
      <c r="AW69">
        <v>4</v>
      </c>
      <c r="AX69">
        <v>4</v>
      </c>
      <c r="AY69">
        <v>4</v>
      </c>
      <c r="AZ69">
        <v>8</v>
      </c>
      <c r="BA69">
        <v>8</v>
      </c>
      <c r="BB69">
        <v>13</v>
      </c>
      <c r="BC69">
        <v>23</v>
      </c>
      <c r="BD69">
        <v>23</v>
      </c>
      <c r="BE69">
        <v>43</v>
      </c>
      <c r="BF69">
        <v>61</v>
      </c>
      <c r="BG69">
        <v>74</v>
      </c>
      <c r="BH69">
        <v>155</v>
      </c>
    </row>
    <row r="70" spans="1:60" x14ac:dyDescent="0.3">
      <c r="A70" s="2"/>
      <c r="C70" t="s">
        <v>152</v>
      </c>
      <c r="D70">
        <v>31.24</v>
      </c>
      <c r="E70">
        <v>36.51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8</v>
      </c>
      <c r="BH70">
        <v>17</v>
      </c>
    </row>
    <row r="71" spans="1:60" x14ac:dyDescent="0.3">
      <c r="A71" s="2"/>
      <c r="C71" t="s">
        <v>156</v>
      </c>
      <c r="D71">
        <v>48.379399999999997</v>
      </c>
      <c r="E71">
        <v>31.165600000000001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3</v>
      </c>
      <c r="BF71">
        <v>3</v>
      </c>
      <c r="BG71">
        <v>3</v>
      </c>
      <c r="BH71">
        <v>7</v>
      </c>
    </row>
    <row r="72" spans="1:60" x14ac:dyDescent="0.3">
      <c r="A72" s="2"/>
      <c r="C72" t="s">
        <v>159</v>
      </c>
      <c r="D72">
        <v>47.162500000000001</v>
      </c>
      <c r="E72">
        <v>19.503299999999999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2</v>
      </c>
      <c r="AW72">
        <v>2</v>
      </c>
      <c r="AX72">
        <v>2</v>
      </c>
      <c r="AY72">
        <v>4</v>
      </c>
      <c r="AZ72">
        <v>7</v>
      </c>
      <c r="BA72">
        <v>9</v>
      </c>
      <c r="BB72">
        <v>9</v>
      </c>
      <c r="BC72">
        <v>13</v>
      </c>
      <c r="BD72">
        <v>13</v>
      </c>
      <c r="BE72">
        <v>19</v>
      </c>
      <c r="BF72">
        <v>30</v>
      </c>
      <c r="BG72">
        <v>32</v>
      </c>
      <c r="BH72">
        <v>39</v>
      </c>
    </row>
    <row r="73" spans="1:60" x14ac:dyDescent="0.3">
      <c r="A73" s="2"/>
      <c r="B73" t="s">
        <v>160</v>
      </c>
      <c r="C73" t="s">
        <v>75</v>
      </c>
      <c r="D73">
        <v>-12.4634</v>
      </c>
      <c r="E73">
        <v>130.84559999999999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1</v>
      </c>
      <c r="AW73">
        <v>1</v>
      </c>
      <c r="AX73">
        <v>0</v>
      </c>
      <c r="AY73">
        <v>0</v>
      </c>
      <c r="AZ73">
        <v>0</v>
      </c>
      <c r="BA73">
        <v>0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</row>
    <row r="74" spans="1:60" x14ac:dyDescent="0.3">
      <c r="A74" s="2"/>
      <c r="C74" t="s">
        <v>163</v>
      </c>
      <c r="D74">
        <v>47.14</v>
      </c>
      <c r="E74">
        <v>9.5500000000000007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F74">
        <v>4</v>
      </c>
      <c r="BG74">
        <v>4</v>
      </c>
      <c r="BH74">
        <v>4</v>
      </c>
    </row>
    <row r="75" spans="1:60" x14ac:dyDescent="0.3">
      <c r="A75" s="2"/>
      <c r="C75" t="s">
        <v>164</v>
      </c>
      <c r="D75">
        <v>51.919400000000003</v>
      </c>
      <c r="E75">
        <v>19.145099999999999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1</v>
      </c>
      <c r="AW75">
        <v>1</v>
      </c>
      <c r="AX75">
        <v>5</v>
      </c>
      <c r="AY75">
        <v>5</v>
      </c>
      <c r="AZ75">
        <v>11</v>
      </c>
      <c r="BA75">
        <v>16</v>
      </c>
      <c r="BB75">
        <v>22</v>
      </c>
      <c r="BC75">
        <v>31</v>
      </c>
      <c r="BD75">
        <v>49</v>
      </c>
      <c r="BE75">
        <v>68</v>
      </c>
      <c r="BF75">
        <v>103</v>
      </c>
      <c r="BG75">
        <v>119</v>
      </c>
      <c r="BH75">
        <v>177</v>
      </c>
    </row>
    <row r="76" spans="1:60" x14ac:dyDescent="0.3">
      <c r="A76" s="2"/>
      <c r="C76" t="s">
        <v>165</v>
      </c>
      <c r="D76">
        <v>34</v>
      </c>
      <c r="E76">
        <v>9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1</v>
      </c>
      <c r="AW76">
        <v>1</v>
      </c>
      <c r="AX76">
        <v>1</v>
      </c>
      <c r="AY76">
        <v>1</v>
      </c>
      <c r="AZ76">
        <v>2</v>
      </c>
      <c r="BA76">
        <v>2</v>
      </c>
      <c r="BB76">
        <v>5</v>
      </c>
      <c r="BC76">
        <v>7</v>
      </c>
      <c r="BD76">
        <v>7</v>
      </c>
      <c r="BE76">
        <v>16</v>
      </c>
      <c r="BF76">
        <v>18</v>
      </c>
      <c r="BG76">
        <v>18</v>
      </c>
      <c r="BH76">
        <v>20</v>
      </c>
    </row>
    <row r="77" spans="1:60" x14ac:dyDescent="0.3">
      <c r="A77" s="2"/>
      <c r="C77" t="s">
        <v>167</v>
      </c>
      <c r="D77">
        <v>43.915900000000001</v>
      </c>
      <c r="E77">
        <v>17.679099999999998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2</v>
      </c>
      <c r="AX77">
        <v>2</v>
      </c>
      <c r="AY77">
        <v>3</v>
      </c>
      <c r="AZ77">
        <v>3</v>
      </c>
      <c r="BA77">
        <v>3</v>
      </c>
      <c r="BB77">
        <v>5</v>
      </c>
      <c r="BC77">
        <v>7</v>
      </c>
      <c r="BD77">
        <v>11</v>
      </c>
      <c r="BE77">
        <v>13</v>
      </c>
      <c r="BF77">
        <v>18</v>
      </c>
      <c r="BG77">
        <v>24</v>
      </c>
      <c r="BH77">
        <v>25</v>
      </c>
    </row>
    <row r="78" spans="1:60" x14ac:dyDescent="0.3">
      <c r="A78" s="2"/>
      <c r="C78" t="s">
        <v>168</v>
      </c>
      <c r="D78">
        <v>46.151200000000003</v>
      </c>
      <c r="E78">
        <v>14.9955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2</v>
      </c>
      <c r="AX78">
        <v>7</v>
      </c>
      <c r="AY78">
        <v>7</v>
      </c>
      <c r="AZ78">
        <v>16</v>
      </c>
      <c r="BA78">
        <v>16</v>
      </c>
      <c r="BB78">
        <v>31</v>
      </c>
      <c r="BC78">
        <v>57</v>
      </c>
      <c r="BD78">
        <v>89</v>
      </c>
      <c r="BE78">
        <v>141</v>
      </c>
      <c r="BF78">
        <v>181</v>
      </c>
      <c r="BG78">
        <v>219</v>
      </c>
      <c r="BH78">
        <v>253</v>
      </c>
    </row>
    <row r="79" spans="1:60" x14ac:dyDescent="0.3">
      <c r="A79" s="2"/>
      <c r="C79" t="s">
        <v>172</v>
      </c>
      <c r="D79">
        <v>-30.5595</v>
      </c>
      <c r="E79">
        <v>22.9375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1</v>
      </c>
      <c r="AX79">
        <v>1</v>
      </c>
      <c r="AY79">
        <v>1</v>
      </c>
      <c r="AZ79">
        <v>3</v>
      </c>
      <c r="BA79">
        <v>3</v>
      </c>
      <c r="BB79">
        <v>7</v>
      </c>
      <c r="BC79">
        <v>13</v>
      </c>
      <c r="BD79">
        <v>17</v>
      </c>
      <c r="BE79">
        <v>24</v>
      </c>
      <c r="BF79">
        <v>38</v>
      </c>
      <c r="BG79">
        <v>51</v>
      </c>
      <c r="BH79">
        <v>62</v>
      </c>
    </row>
    <row r="80" spans="1:60" x14ac:dyDescent="0.3">
      <c r="A80" s="2"/>
      <c r="C80" t="s">
        <v>183</v>
      </c>
      <c r="D80">
        <v>27.514199999999999</v>
      </c>
      <c r="E80">
        <v>90.433599999999998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</row>
    <row r="81" spans="1:60" x14ac:dyDescent="0.3">
      <c r="A81" s="2"/>
      <c r="C81" t="s">
        <v>184</v>
      </c>
      <c r="D81">
        <v>3.8479999999999999</v>
      </c>
      <c r="E81">
        <v>11.5021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1</v>
      </c>
      <c r="AY81">
        <v>1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2</v>
      </c>
      <c r="BH81">
        <v>4</v>
      </c>
    </row>
    <row r="82" spans="1:60" x14ac:dyDescent="0.3">
      <c r="A82" s="2"/>
      <c r="C82" t="s">
        <v>185</v>
      </c>
      <c r="D82">
        <v>4.5709</v>
      </c>
      <c r="E82">
        <v>-74.297300000000007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1</v>
      </c>
      <c r="AY82">
        <v>1</v>
      </c>
      <c r="AZ82">
        <v>1</v>
      </c>
      <c r="BA82">
        <v>1</v>
      </c>
      <c r="BB82">
        <v>3</v>
      </c>
      <c r="BC82">
        <v>9</v>
      </c>
      <c r="BD82">
        <v>9</v>
      </c>
      <c r="BE82">
        <v>13</v>
      </c>
      <c r="BF82">
        <v>22</v>
      </c>
      <c r="BG82">
        <v>34</v>
      </c>
      <c r="BH82">
        <v>54</v>
      </c>
    </row>
    <row r="83" spans="1:60" x14ac:dyDescent="0.3">
      <c r="A83" s="2"/>
      <c r="C83" t="s">
        <v>186</v>
      </c>
      <c r="D83">
        <v>9.7489000000000008</v>
      </c>
      <c r="E83">
        <v>-83.753399999999999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1</v>
      </c>
      <c r="AY83">
        <v>1</v>
      </c>
      <c r="AZ83">
        <v>5</v>
      </c>
      <c r="BA83">
        <v>9</v>
      </c>
      <c r="BB83">
        <v>9</v>
      </c>
      <c r="BC83">
        <v>13</v>
      </c>
      <c r="BD83">
        <v>22</v>
      </c>
      <c r="BE83">
        <v>23</v>
      </c>
      <c r="BF83">
        <v>26</v>
      </c>
      <c r="BG83">
        <v>27</v>
      </c>
      <c r="BH83">
        <v>35</v>
      </c>
    </row>
    <row r="84" spans="1:60" x14ac:dyDescent="0.3">
      <c r="A84" s="2"/>
      <c r="C84" t="s">
        <v>187</v>
      </c>
      <c r="D84">
        <v>-9.19</v>
      </c>
      <c r="E84">
        <v>-75.015199999999993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1</v>
      </c>
      <c r="AY84">
        <v>1</v>
      </c>
      <c r="AZ84">
        <v>6</v>
      </c>
      <c r="BA84">
        <v>7</v>
      </c>
      <c r="BB84">
        <v>11</v>
      </c>
      <c r="BC84">
        <v>11</v>
      </c>
      <c r="BD84">
        <v>15</v>
      </c>
      <c r="BE84">
        <v>28</v>
      </c>
      <c r="BF84">
        <v>38</v>
      </c>
      <c r="BG84">
        <v>43</v>
      </c>
      <c r="BH84">
        <v>86</v>
      </c>
    </row>
    <row r="85" spans="1:60" x14ac:dyDescent="0.3">
      <c r="A85" s="2"/>
      <c r="C85" t="s">
        <v>188</v>
      </c>
      <c r="D85">
        <v>44.016500000000001</v>
      </c>
      <c r="E85">
        <v>21.0059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1</v>
      </c>
      <c r="AY85">
        <v>1</v>
      </c>
      <c r="AZ85">
        <v>1</v>
      </c>
      <c r="BA85">
        <v>1</v>
      </c>
      <c r="BB85">
        <v>5</v>
      </c>
      <c r="BC85">
        <v>12</v>
      </c>
      <c r="BD85">
        <v>19</v>
      </c>
      <c r="BE85">
        <v>35</v>
      </c>
      <c r="BF85">
        <v>46</v>
      </c>
      <c r="BG85">
        <v>48</v>
      </c>
      <c r="BH85">
        <v>55</v>
      </c>
    </row>
    <row r="86" spans="1:60" x14ac:dyDescent="0.3">
      <c r="A86" s="2"/>
      <c r="C86" t="s">
        <v>189</v>
      </c>
      <c r="D86">
        <v>48.668999999999997</v>
      </c>
      <c r="E86">
        <v>19.699000000000002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1</v>
      </c>
      <c r="AY86">
        <v>1</v>
      </c>
      <c r="AZ86">
        <v>3</v>
      </c>
      <c r="BA86">
        <v>3</v>
      </c>
      <c r="BB86">
        <v>7</v>
      </c>
      <c r="BC86">
        <v>10</v>
      </c>
      <c r="BD86">
        <v>16</v>
      </c>
      <c r="BE86">
        <v>32</v>
      </c>
      <c r="BF86">
        <v>44</v>
      </c>
      <c r="BG86">
        <v>54</v>
      </c>
      <c r="BH86">
        <v>63</v>
      </c>
    </row>
    <row r="87" spans="1:60" x14ac:dyDescent="0.3">
      <c r="A87" s="2"/>
      <c r="C87" t="s">
        <v>190</v>
      </c>
      <c r="D87">
        <v>8.6195000000000004</v>
      </c>
      <c r="E87">
        <v>0.82479999999999998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</row>
    <row r="88" spans="1:60" x14ac:dyDescent="0.3">
      <c r="A88" s="2"/>
      <c r="C88" t="s">
        <v>204</v>
      </c>
      <c r="D88">
        <v>35.9375</v>
      </c>
      <c r="E88">
        <v>14.375400000000001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3</v>
      </c>
      <c r="AZ88">
        <v>3</v>
      </c>
      <c r="BA88">
        <v>3</v>
      </c>
      <c r="BB88">
        <v>5</v>
      </c>
      <c r="BC88">
        <v>6</v>
      </c>
      <c r="BD88">
        <v>6</v>
      </c>
      <c r="BE88">
        <v>12</v>
      </c>
      <c r="BF88">
        <v>18</v>
      </c>
      <c r="BG88">
        <v>21</v>
      </c>
      <c r="BH88">
        <v>30</v>
      </c>
    </row>
    <row r="89" spans="1:60" x14ac:dyDescent="0.3">
      <c r="A89" s="2"/>
      <c r="C89" t="s">
        <v>207</v>
      </c>
      <c r="D89">
        <v>14.641500000000001</v>
      </c>
      <c r="E89">
        <v>-61.0242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2</v>
      </c>
      <c r="AZ89">
        <v>2</v>
      </c>
      <c r="BA89">
        <v>2</v>
      </c>
      <c r="BB89">
        <v>2</v>
      </c>
      <c r="BC89">
        <v>3</v>
      </c>
      <c r="BD89">
        <v>3</v>
      </c>
      <c r="BE89">
        <v>3</v>
      </c>
      <c r="BF89">
        <v>9</v>
      </c>
      <c r="BG89">
        <v>9</v>
      </c>
      <c r="BH89">
        <v>15</v>
      </c>
    </row>
    <row r="90" spans="1:60" x14ac:dyDescent="0.3">
      <c r="A90" s="2"/>
      <c r="C90" t="s">
        <v>226</v>
      </c>
      <c r="D90">
        <v>42.733899999999998</v>
      </c>
      <c r="E90">
        <v>25.485800000000001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4</v>
      </c>
      <c r="BA90">
        <v>4</v>
      </c>
      <c r="BB90">
        <v>4</v>
      </c>
      <c r="BC90">
        <v>7</v>
      </c>
      <c r="BD90">
        <v>7</v>
      </c>
      <c r="BE90">
        <v>23</v>
      </c>
      <c r="BF90">
        <v>41</v>
      </c>
      <c r="BG90">
        <v>51</v>
      </c>
      <c r="BH90">
        <v>52</v>
      </c>
    </row>
    <row r="91" spans="1:60" x14ac:dyDescent="0.3">
      <c r="A91" s="2"/>
      <c r="C91" t="s">
        <v>227</v>
      </c>
      <c r="D91">
        <v>3.2027999999999999</v>
      </c>
      <c r="E91">
        <v>73.220699999999994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4</v>
      </c>
      <c r="BA91">
        <v>4</v>
      </c>
      <c r="BB91">
        <v>6</v>
      </c>
      <c r="BC91">
        <v>8</v>
      </c>
      <c r="BD91">
        <v>8</v>
      </c>
      <c r="BE91">
        <v>9</v>
      </c>
      <c r="BF91">
        <v>10</v>
      </c>
      <c r="BG91">
        <v>13</v>
      </c>
      <c r="BH91">
        <v>13</v>
      </c>
    </row>
    <row r="92" spans="1:60" x14ac:dyDescent="0.3">
      <c r="A92" s="2"/>
      <c r="C92" t="s">
        <v>229</v>
      </c>
      <c r="D92">
        <v>23.684999999999999</v>
      </c>
      <c r="E92">
        <v>90.356300000000005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3</v>
      </c>
      <c r="BG92">
        <v>5</v>
      </c>
      <c r="BH92">
        <v>8</v>
      </c>
    </row>
    <row r="93" spans="1:60" x14ac:dyDescent="0.3">
      <c r="A93" s="2"/>
      <c r="C93" t="s">
        <v>233</v>
      </c>
      <c r="D93">
        <v>-23.442499999999999</v>
      </c>
      <c r="E93">
        <v>-58.443800000000003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1</v>
      </c>
      <c r="BA93">
        <v>1</v>
      </c>
      <c r="BB93">
        <v>1</v>
      </c>
      <c r="BC93">
        <v>5</v>
      </c>
      <c r="BD93">
        <v>5</v>
      </c>
      <c r="BE93">
        <v>6</v>
      </c>
      <c r="BF93">
        <v>6</v>
      </c>
      <c r="BG93">
        <v>6</v>
      </c>
      <c r="BH93">
        <v>8</v>
      </c>
    </row>
    <row r="94" spans="1:60" x14ac:dyDescent="0.3">
      <c r="A94" s="2"/>
      <c r="B94" t="s">
        <v>253</v>
      </c>
      <c r="C94" t="s">
        <v>72</v>
      </c>
      <c r="D94">
        <v>51.253799999999998</v>
      </c>
      <c r="E94">
        <v>-85.3232</v>
      </c>
      <c r="F94">
        <v>0</v>
      </c>
      <c r="G94">
        <v>0</v>
      </c>
      <c r="H94">
        <v>0</v>
      </c>
      <c r="I94">
        <v>0</v>
      </c>
      <c r="J94">
        <v>1</v>
      </c>
      <c r="K94">
        <v>1</v>
      </c>
      <c r="L94">
        <v>1</v>
      </c>
      <c r="M94">
        <v>1</v>
      </c>
      <c r="N94">
        <v>1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3</v>
      </c>
      <c r="AM94">
        <v>4</v>
      </c>
      <c r="AN94">
        <v>4</v>
      </c>
      <c r="AO94">
        <v>4</v>
      </c>
      <c r="AP94">
        <v>6</v>
      </c>
      <c r="AQ94">
        <v>6</v>
      </c>
      <c r="AR94">
        <v>11</v>
      </c>
      <c r="AS94">
        <v>15</v>
      </c>
      <c r="AT94">
        <v>18</v>
      </c>
      <c r="AU94">
        <v>20</v>
      </c>
      <c r="AV94">
        <v>20</v>
      </c>
      <c r="AW94">
        <v>22</v>
      </c>
      <c r="AX94">
        <v>25</v>
      </c>
      <c r="AY94">
        <v>28</v>
      </c>
      <c r="AZ94">
        <v>29</v>
      </c>
      <c r="BA94">
        <v>34</v>
      </c>
      <c r="BB94">
        <v>36</v>
      </c>
      <c r="BC94">
        <v>41</v>
      </c>
      <c r="BD94">
        <v>42</v>
      </c>
      <c r="BE94">
        <v>74</v>
      </c>
      <c r="BF94">
        <v>79</v>
      </c>
      <c r="BG94">
        <v>104</v>
      </c>
      <c r="BH94">
        <v>177</v>
      </c>
    </row>
    <row r="95" spans="1:60" x14ac:dyDescent="0.3">
      <c r="A95" s="2"/>
      <c r="B95" t="s">
        <v>254</v>
      </c>
      <c r="C95" t="s">
        <v>72</v>
      </c>
      <c r="D95">
        <v>53.933300000000003</v>
      </c>
      <c r="E95">
        <v>-116.5765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1</v>
      </c>
      <c r="AY95">
        <v>2</v>
      </c>
      <c r="AZ95">
        <v>4</v>
      </c>
      <c r="BA95">
        <v>7</v>
      </c>
      <c r="BB95">
        <v>7</v>
      </c>
      <c r="BC95">
        <v>19</v>
      </c>
      <c r="BD95">
        <v>19</v>
      </c>
      <c r="BE95">
        <v>29</v>
      </c>
      <c r="BF95">
        <v>29</v>
      </c>
      <c r="BG95">
        <v>39</v>
      </c>
      <c r="BH95">
        <v>56</v>
      </c>
    </row>
    <row r="96" spans="1:60" x14ac:dyDescent="0.3">
      <c r="A96" s="2"/>
      <c r="B96" t="s">
        <v>255</v>
      </c>
      <c r="C96" t="s">
        <v>72</v>
      </c>
      <c r="D96">
        <v>52.939900000000002</v>
      </c>
      <c r="E96">
        <v>-73.549099999999996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2</v>
      </c>
      <c r="AX96">
        <v>2</v>
      </c>
      <c r="AY96">
        <v>3</v>
      </c>
      <c r="AZ96">
        <v>4</v>
      </c>
      <c r="BA96">
        <v>4</v>
      </c>
      <c r="BB96">
        <v>4</v>
      </c>
      <c r="BC96">
        <v>8</v>
      </c>
      <c r="BD96">
        <v>9</v>
      </c>
      <c r="BE96">
        <v>17</v>
      </c>
      <c r="BF96">
        <v>17</v>
      </c>
      <c r="BG96">
        <v>24</v>
      </c>
      <c r="BH96">
        <v>50</v>
      </c>
    </row>
    <row r="97" spans="1:60" x14ac:dyDescent="0.3">
      <c r="A97" s="2"/>
      <c r="C97" t="s">
        <v>257</v>
      </c>
      <c r="D97">
        <v>41.153300000000002</v>
      </c>
      <c r="E97">
        <v>20.168299999999999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2</v>
      </c>
      <c r="BB97">
        <v>10</v>
      </c>
      <c r="BC97">
        <v>12</v>
      </c>
      <c r="BD97">
        <v>23</v>
      </c>
      <c r="BE97">
        <v>33</v>
      </c>
      <c r="BF97">
        <v>38</v>
      </c>
      <c r="BG97">
        <v>42</v>
      </c>
      <c r="BH97">
        <v>51</v>
      </c>
    </row>
    <row r="98" spans="1:60" x14ac:dyDescent="0.3">
      <c r="A98" s="2"/>
      <c r="C98" t="s">
        <v>258</v>
      </c>
      <c r="D98">
        <v>35.126399999999997</v>
      </c>
      <c r="E98">
        <v>33.429900000000004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2</v>
      </c>
      <c r="BB98">
        <v>3</v>
      </c>
      <c r="BC98">
        <v>6</v>
      </c>
      <c r="BD98">
        <v>6</v>
      </c>
      <c r="BE98">
        <v>14</v>
      </c>
      <c r="BF98">
        <v>26</v>
      </c>
      <c r="BG98">
        <v>26</v>
      </c>
      <c r="BH98">
        <v>33</v>
      </c>
    </row>
    <row r="99" spans="1:60" x14ac:dyDescent="0.3">
      <c r="A99" s="2"/>
      <c r="C99" t="s">
        <v>260</v>
      </c>
      <c r="D99">
        <v>4.5353000000000003</v>
      </c>
      <c r="E99">
        <v>114.7277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1</v>
      </c>
      <c r="BB99">
        <v>1</v>
      </c>
      <c r="BC99">
        <v>11</v>
      </c>
      <c r="BD99">
        <v>11</v>
      </c>
      <c r="BE99">
        <v>37</v>
      </c>
      <c r="BF99">
        <v>40</v>
      </c>
      <c r="BG99">
        <v>50</v>
      </c>
      <c r="BH99">
        <v>54</v>
      </c>
    </row>
    <row r="100" spans="1:60" x14ac:dyDescent="0.3">
      <c r="A100" s="2"/>
      <c r="B100" t="s">
        <v>270</v>
      </c>
      <c r="C100" t="s">
        <v>65</v>
      </c>
      <c r="D100">
        <v>47.4009</v>
      </c>
      <c r="E100">
        <v>-121.4905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267</v>
      </c>
      <c r="BC100">
        <v>366</v>
      </c>
      <c r="BD100">
        <v>442</v>
      </c>
      <c r="BE100">
        <v>568</v>
      </c>
      <c r="BF100">
        <v>572</v>
      </c>
      <c r="BG100">
        <v>643</v>
      </c>
      <c r="BH100">
        <v>904</v>
      </c>
    </row>
    <row r="101" spans="1:60" x14ac:dyDescent="0.3">
      <c r="A101" s="2"/>
      <c r="B101" t="s">
        <v>271</v>
      </c>
      <c r="C101" t="s">
        <v>65</v>
      </c>
      <c r="D101">
        <v>42.165700000000001</v>
      </c>
      <c r="E101">
        <v>-74.948099999999997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173</v>
      </c>
      <c r="BC101">
        <v>220</v>
      </c>
      <c r="BD101">
        <v>328</v>
      </c>
      <c r="BE101">
        <v>421</v>
      </c>
      <c r="BF101">
        <v>525</v>
      </c>
      <c r="BG101">
        <v>732</v>
      </c>
      <c r="BH101">
        <v>967</v>
      </c>
    </row>
    <row r="102" spans="1:60" x14ac:dyDescent="0.3">
      <c r="A102" s="2"/>
      <c r="B102" t="s">
        <v>272</v>
      </c>
      <c r="C102" t="s">
        <v>65</v>
      </c>
      <c r="D102">
        <v>36.116199999999999</v>
      </c>
      <c r="E102">
        <v>-119.6816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144</v>
      </c>
      <c r="BC102">
        <v>177</v>
      </c>
      <c r="BD102">
        <v>221</v>
      </c>
      <c r="BE102">
        <v>282</v>
      </c>
      <c r="BF102">
        <v>340</v>
      </c>
      <c r="BG102">
        <v>426</v>
      </c>
      <c r="BH102">
        <v>557</v>
      </c>
    </row>
    <row r="103" spans="1:60" x14ac:dyDescent="0.3">
      <c r="A103" s="2"/>
      <c r="B103" t="s">
        <v>274</v>
      </c>
      <c r="C103" t="s">
        <v>65</v>
      </c>
      <c r="D103">
        <v>42.230200000000004</v>
      </c>
      <c r="E103">
        <v>-71.530100000000004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92</v>
      </c>
      <c r="BC103">
        <v>95</v>
      </c>
      <c r="BD103">
        <v>108</v>
      </c>
      <c r="BE103">
        <v>123</v>
      </c>
      <c r="BF103">
        <v>138</v>
      </c>
      <c r="BG103">
        <v>164</v>
      </c>
      <c r="BH103">
        <v>197</v>
      </c>
    </row>
    <row r="104" spans="1:60" x14ac:dyDescent="0.3">
      <c r="A104" s="2"/>
      <c r="B104" t="s">
        <v>275</v>
      </c>
      <c r="C104" t="s">
        <v>65</v>
      </c>
      <c r="D104">
        <v>35.4437</v>
      </c>
      <c r="E104">
        <v>139.63800000000001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36</v>
      </c>
      <c r="AN104">
        <v>36</v>
      </c>
      <c r="AO104">
        <v>42</v>
      </c>
      <c r="AP104">
        <v>42</v>
      </c>
      <c r="AQ104">
        <v>44</v>
      </c>
      <c r="AR104">
        <v>44</v>
      </c>
      <c r="AS104">
        <v>44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45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46</v>
      </c>
      <c r="BH104">
        <v>47</v>
      </c>
    </row>
    <row r="105" spans="1:60" x14ac:dyDescent="0.3">
      <c r="A105" s="2"/>
      <c r="B105" t="s">
        <v>276</v>
      </c>
      <c r="C105" t="s">
        <v>65</v>
      </c>
      <c r="D105">
        <v>37.648899999999998</v>
      </c>
      <c r="E105">
        <v>-122.66549999999999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21</v>
      </c>
      <c r="BH105">
        <v>20</v>
      </c>
    </row>
    <row r="106" spans="1:60" x14ac:dyDescent="0.3">
      <c r="A106" s="2"/>
      <c r="B106" t="s">
        <v>109</v>
      </c>
      <c r="C106" t="s">
        <v>65</v>
      </c>
      <c r="D106">
        <v>33.040599999999998</v>
      </c>
      <c r="E106">
        <v>-83.643100000000004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17</v>
      </c>
      <c r="BC106">
        <v>23</v>
      </c>
      <c r="BD106">
        <v>31</v>
      </c>
      <c r="BE106">
        <v>42</v>
      </c>
      <c r="BF106">
        <v>66</v>
      </c>
      <c r="BG106">
        <v>99</v>
      </c>
      <c r="BH106">
        <v>121</v>
      </c>
    </row>
    <row r="107" spans="1:60" x14ac:dyDescent="0.3">
      <c r="A107" s="2"/>
      <c r="B107" t="s">
        <v>277</v>
      </c>
      <c r="C107" t="s">
        <v>65</v>
      </c>
      <c r="D107">
        <v>39.059800000000003</v>
      </c>
      <c r="E107">
        <v>-105.3111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15</v>
      </c>
      <c r="BC107">
        <v>34</v>
      </c>
      <c r="BD107">
        <v>45</v>
      </c>
      <c r="BE107">
        <v>49</v>
      </c>
      <c r="BF107">
        <v>101</v>
      </c>
      <c r="BG107">
        <v>131</v>
      </c>
      <c r="BH107">
        <v>160</v>
      </c>
    </row>
    <row r="108" spans="1:60" x14ac:dyDescent="0.3">
      <c r="A108" s="2"/>
      <c r="B108" t="s">
        <v>278</v>
      </c>
      <c r="C108" t="s">
        <v>65</v>
      </c>
      <c r="D108">
        <v>27.766300000000001</v>
      </c>
      <c r="E108">
        <v>-81.686800000000005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15</v>
      </c>
      <c r="BC108">
        <v>28</v>
      </c>
      <c r="BD108">
        <v>35</v>
      </c>
      <c r="BE108">
        <v>50</v>
      </c>
      <c r="BF108">
        <v>76</v>
      </c>
      <c r="BG108">
        <v>115</v>
      </c>
      <c r="BH108">
        <v>155</v>
      </c>
    </row>
    <row r="109" spans="1:60" x14ac:dyDescent="0.3">
      <c r="A109" s="2"/>
      <c r="B109" t="s">
        <v>279</v>
      </c>
      <c r="C109" t="s">
        <v>65</v>
      </c>
      <c r="D109">
        <v>40.298900000000003</v>
      </c>
      <c r="E109">
        <v>-74.521000000000001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15</v>
      </c>
      <c r="BC109">
        <v>23</v>
      </c>
      <c r="BD109">
        <v>29</v>
      </c>
      <c r="BE109">
        <v>29</v>
      </c>
      <c r="BF109">
        <v>69</v>
      </c>
      <c r="BG109">
        <v>98</v>
      </c>
      <c r="BH109">
        <v>178</v>
      </c>
    </row>
    <row r="110" spans="1:60" x14ac:dyDescent="0.3">
      <c r="A110" s="2"/>
      <c r="B110" t="s">
        <v>280</v>
      </c>
      <c r="C110" t="s">
        <v>65</v>
      </c>
      <c r="D110">
        <v>44.572000000000003</v>
      </c>
      <c r="E110">
        <v>-122.07089999999999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15</v>
      </c>
      <c r="BC110">
        <v>19</v>
      </c>
      <c r="BD110">
        <v>24</v>
      </c>
      <c r="BE110">
        <v>30</v>
      </c>
      <c r="BF110">
        <v>32</v>
      </c>
      <c r="BG110">
        <v>36</v>
      </c>
      <c r="BH110">
        <v>39</v>
      </c>
    </row>
    <row r="111" spans="1:60" x14ac:dyDescent="0.3">
      <c r="A111" s="2"/>
      <c r="B111" t="s">
        <v>281</v>
      </c>
      <c r="C111" t="s">
        <v>65</v>
      </c>
      <c r="D111">
        <v>31.054500000000001</v>
      </c>
      <c r="E111">
        <v>-97.563500000000005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13</v>
      </c>
      <c r="BC111">
        <v>21</v>
      </c>
      <c r="BD111">
        <v>27</v>
      </c>
      <c r="BE111">
        <v>43</v>
      </c>
      <c r="BF111">
        <v>57</v>
      </c>
      <c r="BG111">
        <v>72</v>
      </c>
      <c r="BH111">
        <v>85</v>
      </c>
    </row>
    <row r="112" spans="1:60" x14ac:dyDescent="0.3">
      <c r="A112" s="2"/>
      <c r="B112" t="s">
        <v>282</v>
      </c>
      <c r="C112" t="s">
        <v>65</v>
      </c>
      <c r="D112">
        <v>40.349499999999999</v>
      </c>
      <c r="E112">
        <v>-88.986099999999993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12</v>
      </c>
      <c r="BC112">
        <v>25</v>
      </c>
      <c r="BD112">
        <v>32</v>
      </c>
      <c r="BE112">
        <v>46</v>
      </c>
      <c r="BF112">
        <v>64</v>
      </c>
      <c r="BG112">
        <v>93</v>
      </c>
      <c r="BH112">
        <v>105</v>
      </c>
    </row>
    <row r="113" spans="1:60" x14ac:dyDescent="0.3">
      <c r="A113" s="2"/>
      <c r="B113" t="s">
        <v>283</v>
      </c>
      <c r="C113" t="s">
        <v>65</v>
      </c>
      <c r="D113">
        <v>40.590800000000002</v>
      </c>
      <c r="E113">
        <v>-77.209800000000001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12</v>
      </c>
      <c r="BC113">
        <v>16</v>
      </c>
      <c r="BD113">
        <v>22</v>
      </c>
      <c r="BE113">
        <v>41</v>
      </c>
      <c r="BF113">
        <v>47</v>
      </c>
      <c r="BG113">
        <v>66</v>
      </c>
      <c r="BH113">
        <v>77</v>
      </c>
    </row>
    <row r="114" spans="1:60" x14ac:dyDescent="0.3">
      <c r="A114" s="2"/>
      <c r="B114" t="s">
        <v>285</v>
      </c>
      <c r="C114" t="s">
        <v>65</v>
      </c>
      <c r="D114">
        <v>42.011499999999998</v>
      </c>
      <c r="E114">
        <v>-93.210499999999996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8</v>
      </c>
      <c r="BC114">
        <v>13</v>
      </c>
      <c r="BD114">
        <v>16</v>
      </c>
      <c r="BE114">
        <v>17</v>
      </c>
      <c r="BF114">
        <v>17</v>
      </c>
      <c r="BG114">
        <v>18</v>
      </c>
      <c r="BH114">
        <v>23</v>
      </c>
    </row>
    <row r="115" spans="1:60" x14ac:dyDescent="0.3">
      <c r="A115" s="2"/>
      <c r="B115" t="s">
        <v>286</v>
      </c>
      <c r="C115" t="s">
        <v>65</v>
      </c>
      <c r="D115">
        <v>39.063899999999997</v>
      </c>
      <c r="E115">
        <v>-76.802099999999996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8</v>
      </c>
      <c r="BC115">
        <v>9</v>
      </c>
      <c r="BD115">
        <v>12</v>
      </c>
      <c r="BE115">
        <v>18</v>
      </c>
      <c r="BF115">
        <v>26</v>
      </c>
      <c r="BG115">
        <v>32</v>
      </c>
      <c r="BH115">
        <v>41</v>
      </c>
    </row>
    <row r="116" spans="1:60" x14ac:dyDescent="0.3">
      <c r="A116" s="2"/>
      <c r="B116" t="s">
        <v>287</v>
      </c>
      <c r="C116" t="s">
        <v>65</v>
      </c>
      <c r="D116">
        <v>35.630099999999999</v>
      </c>
      <c r="E116">
        <v>-79.806399999999996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7</v>
      </c>
      <c r="BC116">
        <v>7</v>
      </c>
      <c r="BD116">
        <v>15</v>
      </c>
      <c r="BE116">
        <v>17</v>
      </c>
      <c r="BF116">
        <v>24</v>
      </c>
      <c r="BG116">
        <v>33</v>
      </c>
      <c r="BH116">
        <v>38</v>
      </c>
    </row>
    <row r="117" spans="1:60" x14ac:dyDescent="0.3">
      <c r="A117" s="2"/>
      <c r="B117" t="s">
        <v>288</v>
      </c>
      <c r="C117" t="s">
        <v>65</v>
      </c>
      <c r="D117">
        <v>33.856900000000003</v>
      </c>
      <c r="E117">
        <v>-80.944999999999993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7</v>
      </c>
      <c r="BC117">
        <v>10</v>
      </c>
      <c r="BD117">
        <v>12</v>
      </c>
      <c r="BE117">
        <v>13</v>
      </c>
      <c r="BF117">
        <v>19</v>
      </c>
      <c r="BG117">
        <v>28</v>
      </c>
      <c r="BH117">
        <v>33</v>
      </c>
    </row>
    <row r="118" spans="1:60" x14ac:dyDescent="0.3">
      <c r="A118" s="2"/>
      <c r="B118" t="s">
        <v>289</v>
      </c>
      <c r="C118" t="s">
        <v>65</v>
      </c>
      <c r="D118">
        <v>35.747799999999998</v>
      </c>
      <c r="E118">
        <v>-86.692300000000003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7</v>
      </c>
      <c r="BC118">
        <v>9</v>
      </c>
      <c r="BD118">
        <v>18</v>
      </c>
      <c r="BE118">
        <v>26</v>
      </c>
      <c r="BF118">
        <v>32</v>
      </c>
      <c r="BG118">
        <v>39</v>
      </c>
      <c r="BH118">
        <v>52</v>
      </c>
    </row>
    <row r="119" spans="1:60" x14ac:dyDescent="0.3">
      <c r="A119" s="2"/>
      <c r="B119" t="s">
        <v>290</v>
      </c>
      <c r="C119" t="s">
        <v>65</v>
      </c>
      <c r="D119">
        <v>37.769300000000001</v>
      </c>
      <c r="E119">
        <v>-78.17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7</v>
      </c>
      <c r="BC119">
        <v>9</v>
      </c>
      <c r="BD119">
        <v>17</v>
      </c>
      <c r="BE119">
        <v>30</v>
      </c>
      <c r="BF119">
        <v>41</v>
      </c>
      <c r="BG119">
        <v>45</v>
      </c>
      <c r="BH119">
        <v>49</v>
      </c>
    </row>
    <row r="120" spans="1:60" x14ac:dyDescent="0.3">
      <c r="A120" s="2"/>
      <c r="B120" t="s">
        <v>291</v>
      </c>
      <c r="C120" t="s">
        <v>65</v>
      </c>
      <c r="D120">
        <v>33.729799999999997</v>
      </c>
      <c r="E120">
        <v>-111.4312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6</v>
      </c>
      <c r="BC120">
        <v>9</v>
      </c>
      <c r="BD120">
        <v>9</v>
      </c>
      <c r="BE120">
        <v>9</v>
      </c>
      <c r="BF120">
        <v>12</v>
      </c>
      <c r="BG120">
        <v>13</v>
      </c>
      <c r="BH120">
        <v>18</v>
      </c>
    </row>
    <row r="121" spans="1:60" x14ac:dyDescent="0.3">
      <c r="A121" s="2"/>
      <c r="B121" t="s">
        <v>292</v>
      </c>
      <c r="C121" t="s">
        <v>65</v>
      </c>
      <c r="D121">
        <v>39.849400000000003</v>
      </c>
      <c r="E121">
        <v>-86.258300000000006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6</v>
      </c>
      <c r="BC121">
        <v>11</v>
      </c>
      <c r="BD121">
        <v>13</v>
      </c>
      <c r="BE121">
        <v>13</v>
      </c>
      <c r="BF121">
        <v>16</v>
      </c>
      <c r="BG121">
        <v>20</v>
      </c>
      <c r="BH121">
        <v>25</v>
      </c>
    </row>
    <row r="122" spans="1:60" x14ac:dyDescent="0.3">
      <c r="A122" s="2"/>
      <c r="B122" t="s">
        <v>293</v>
      </c>
      <c r="C122" t="s">
        <v>65</v>
      </c>
      <c r="D122">
        <v>37.668100000000003</v>
      </c>
      <c r="E122">
        <v>-84.670100000000005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6</v>
      </c>
      <c r="BC122">
        <v>8</v>
      </c>
      <c r="BD122">
        <v>10</v>
      </c>
      <c r="BE122">
        <v>14</v>
      </c>
      <c r="BF122">
        <v>14</v>
      </c>
      <c r="BG122">
        <v>20</v>
      </c>
      <c r="BH122">
        <v>21</v>
      </c>
    </row>
    <row r="123" spans="1:60" x14ac:dyDescent="0.3">
      <c r="A123" s="2"/>
      <c r="B123" t="s">
        <v>294</v>
      </c>
      <c r="C123" t="s">
        <v>65</v>
      </c>
      <c r="D123">
        <v>38.897399999999998</v>
      </c>
      <c r="E123">
        <v>-77.026799999999994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5</v>
      </c>
      <c r="BC123">
        <v>10</v>
      </c>
      <c r="BD123">
        <v>10</v>
      </c>
      <c r="BE123">
        <v>10</v>
      </c>
      <c r="BF123">
        <v>10</v>
      </c>
      <c r="BG123">
        <v>16</v>
      </c>
      <c r="BH123">
        <v>22</v>
      </c>
    </row>
    <row r="124" spans="1:60" x14ac:dyDescent="0.3">
      <c r="A124" s="2"/>
      <c r="B124" t="s">
        <v>295</v>
      </c>
      <c r="C124" t="s">
        <v>65</v>
      </c>
      <c r="D124">
        <v>38.313499999999998</v>
      </c>
      <c r="E124">
        <v>-117.05540000000001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4</v>
      </c>
      <c r="BC124">
        <v>7</v>
      </c>
      <c r="BD124">
        <v>14</v>
      </c>
      <c r="BE124">
        <v>17</v>
      </c>
      <c r="BF124">
        <v>21</v>
      </c>
      <c r="BG124">
        <v>24</v>
      </c>
      <c r="BH124">
        <v>45</v>
      </c>
    </row>
    <row r="125" spans="1:60" x14ac:dyDescent="0.3">
      <c r="A125" s="2"/>
      <c r="B125" t="s">
        <v>296</v>
      </c>
      <c r="C125" t="s">
        <v>65</v>
      </c>
      <c r="D125">
        <v>43.452500000000001</v>
      </c>
      <c r="E125">
        <v>-71.563900000000004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4</v>
      </c>
      <c r="BC125">
        <v>5</v>
      </c>
      <c r="BD125">
        <v>6</v>
      </c>
      <c r="BE125">
        <v>6</v>
      </c>
      <c r="BF125">
        <v>7</v>
      </c>
      <c r="BG125">
        <v>13</v>
      </c>
      <c r="BH125">
        <v>17</v>
      </c>
    </row>
    <row r="126" spans="1:60" x14ac:dyDescent="0.3">
      <c r="A126" s="2"/>
      <c r="B126" t="s">
        <v>297</v>
      </c>
      <c r="C126" t="s">
        <v>65</v>
      </c>
      <c r="D126">
        <v>45.694499999999998</v>
      </c>
      <c r="E126">
        <v>-93.900199999999998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3</v>
      </c>
      <c r="BC126">
        <v>5</v>
      </c>
      <c r="BD126">
        <v>9</v>
      </c>
      <c r="BE126">
        <v>14</v>
      </c>
      <c r="BF126">
        <v>21</v>
      </c>
      <c r="BG126">
        <v>35</v>
      </c>
      <c r="BH126">
        <v>54</v>
      </c>
    </row>
    <row r="127" spans="1:60" x14ac:dyDescent="0.3">
      <c r="A127" s="2"/>
      <c r="B127" t="s">
        <v>298</v>
      </c>
      <c r="C127" t="s">
        <v>65</v>
      </c>
      <c r="D127">
        <v>41.125399999999999</v>
      </c>
      <c r="E127">
        <v>-98.268100000000004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3</v>
      </c>
      <c r="BC127">
        <v>5</v>
      </c>
      <c r="BD127">
        <v>10</v>
      </c>
      <c r="BE127">
        <v>13</v>
      </c>
      <c r="BF127">
        <v>14</v>
      </c>
      <c r="BG127">
        <v>17</v>
      </c>
      <c r="BH127">
        <v>18</v>
      </c>
    </row>
    <row r="128" spans="1:60" x14ac:dyDescent="0.3">
      <c r="A128" s="2"/>
      <c r="B128" t="s">
        <v>299</v>
      </c>
      <c r="C128" t="s">
        <v>65</v>
      </c>
      <c r="D128">
        <v>40.388800000000003</v>
      </c>
      <c r="E128">
        <v>-82.764899999999997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3</v>
      </c>
      <c r="BC128">
        <v>4</v>
      </c>
      <c r="BD128">
        <v>5</v>
      </c>
      <c r="BE128">
        <v>13</v>
      </c>
      <c r="BF128">
        <v>26</v>
      </c>
      <c r="BG128">
        <v>37</v>
      </c>
      <c r="BH128">
        <v>50</v>
      </c>
    </row>
    <row r="129" spans="1:60" x14ac:dyDescent="0.3">
      <c r="A129" s="2"/>
      <c r="B129" t="s">
        <v>300</v>
      </c>
      <c r="C129" t="s">
        <v>65</v>
      </c>
      <c r="D129">
        <v>41.680900000000001</v>
      </c>
      <c r="E129">
        <v>-71.511799999999994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3</v>
      </c>
      <c r="BC129">
        <v>5</v>
      </c>
      <c r="BD129">
        <v>5</v>
      </c>
      <c r="BE129">
        <v>14</v>
      </c>
      <c r="BF129">
        <v>20</v>
      </c>
      <c r="BG129">
        <v>20</v>
      </c>
      <c r="BH129">
        <v>21</v>
      </c>
    </row>
    <row r="130" spans="1:60" x14ac:dyDescent="0.3">
      <c r="A130" s="2"/>
      <c r="B130" t="s">
        <v>301</v>
      </c>
      <c r="C130" t="s">
        <v>65</v>
      </c>
      <c r="D130">
        <v>44.268500000000003</v>
      </c>
      <c r="E130">
        <v>-89.616500000000002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3</v>
      </c>
      <c r="BC130">
        <v>6</v>
      </c>
      <c r="BD130">
        <v>8</v>
      </c>
      <c r="BE130">
        <v>19</v>
      </c>
      <c r="BF130">
        <v>27</v>
      </c>
      <c r="BG130">
        <v>32</v>
      </c>
      <c r="BH130">
        <v>47</v>
      </c>
    </row>
    <row r="131" spans="1:60" x14ac:dyDescent="0.3">
      <c r="A131" s="2"/>
      <c r="B131" t="s">
        <v>302</v>
      </c>
      <c r="C131" t="s">
        <v>65</v>
      </c>
      <c r="D131">
        <v>41.597799999999999</v>
      </c>
      <c r="E131">
        <v>-72.755399999999995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2</v>
      </c>
      <c r="BC131">
        <v>3</v>
      </c>
      <c r="BD131">
        <v>5</v>
      </c>
      <c r="BE131">
        <v>11</v>
      </c>
      <c r="BF131">
        <v>22</v>
      </c>
      <c r="BG131">
        <v>24</v>
      </c>
      <c r="BH131">
        <v>30</v>
      </c>
    </row>
    <row r="132" spans="1:60" x14ac:dyDescent="0.3">
      <c r="A132" s="2"/>
      <c r="B132" t="s">
        <v>303</v>
      </c>
      <c r="C132" t="s">
        <v>65</v>
      </c>
      <c r="D132">
        <v>21.0943</v>
      </c>
      <c r="E132">
        <v>-157.4983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2</v>
      </c>
      <c r="BC132">
        <v>2</v>
      </c>
      <c r="BD132">
        <v>2</v>
      </c>
      <c r="BE132">
        <v>2</v>
      </c>
      <c r="BF132">
        <v>4</v>
      </c>
      <c r="BG132">
        <v>6</v>
      </c>
      <c r="BH132">
        <v>7</v>
      </c>
    </row>
    <row r="133" spans="1:60" x14ac:dyDescent="0.3">
      <c r="A133" s="2"/>
      <c r="B133" t="s">
        <v>304</v>
      </c>
      <c r="C133" t="s">
        <v>65</v>
      </c>
      <c r="D133">
        <v>35.565300000000001</v>
      </c>
      <c r="E133">
        <v>-96.928899999999999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2</v>
      </c>
      <c r="BC133">
        <v>2</v>
      </c>
      <c r="BD133">
        <v>2</v>
      </c>
      <c r="BE133">
        <v>2</v>
      </c>
      <c r="BF133">
        <v>4</v>
      </c>
      <c r="BG133">
        <v>7</v>
      </c>
      <c r="BH133">
        <v>10</v>
      </c>
    </row>
    <row r="134" spans="1:60" x14ac:dyDescent="0.3">
      <c r="A134" s="2"/>
      <c r="B134" t="s">
        <v>305</v>
      </c>
      <c r="C134" t="s">
        <v>65</v>
      </c>
      <c r="D134">
        <v>40.15</v>
      </c>
      <c r="E134">
        <v>-111.86239999999999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2</v>
      </c>
      <c r="BC134">
        <v>3</v>
      </c>
      <c r="BD134">
        <v>5</v>
      </c>
      <c r="BE134">
        <v>9</v>
      </c>
      <c r="BF134">
        <v>10</v>
      </c>
      <c r="BG134">
        <v>28</v>
      </c>
      <c r="BH134">
        <v>39</v>
      </c>
    </row>
    <row r="135" spans="1:60" x14ac:dyDescent="0.3">
      <c r="A135" s="2"/>
      <c r="C135" t="s">
        <v>306</v>
      </c>
      <c r="D135">
        <v>12.238300000000001</v>
      </c>
      <c r="E135">
        <v>-1.5616000000000001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1</v>
      </c>
      <c r="BC135">
        <v>2</v>
      </c>
      <c r="BD135">
        <v>2</v>
      </c>
      <c r="BE135">
        <v>2</v>
      </c>
      <c r="BF135">
        <v>2</v>
      </c>
      <c r="BG135">
        <v>3</v>
      </c>
      <c r="BH135">
        <v>15</v>
      </c>
    </row>
    <row r="136" spans="1:60" x14ac:dyDescent="0.3">
      <c r="A136" s="2"/>
      <c r="C136" t="s">
        <v>308</v>
      </c>
      <c r="D136">
        <v>41.902900000000002</v>
      </c>
      <c r="E136">
        <v>12.4534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</row>
    <row r="137" spans="1:60" x14ac:dyDescent="0.3">
      <c r="A137" s="2"/>
      <c r="C137" t="s">
        <v>309</v>
      </c>
      <c r="D137">
        <v>46.862499999999997</v>
      </c>
      <c r="E137">
        <v>103.8467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1</v>
      </c>
    </row>
    <row r="138" spans="1:60" x14ac:dyDescent="0.3">
      <c r="A138" s="2"/>
      <c r="C138" t="s">
        <v>310</v>
      </c>
      <c r="D138">
        <v>8.5380000000000003</v>
      </c>
      <c r="E138">
        <v>-80.7821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8</v>
      </c>
      <c r="BD138">
        <v>11</v>
      </c>
      <c r="BE138">
        <v>27</v>
      </c>
      <c r="BF138">
        <v>36</v>
      </c>
      <c r="BG138">
        <v>43</v>
      </c>
      <c r="BH138">
        <v>55</v>
      </c>
    </row>
    <row r="139" spans="1:60" x14ac:dyDescent="0.3">
      <c r="A139" s="2"/>
      <c r="B139" t="s">
        <v>311</v>
      </c>
      <c r="C139" t="s">
        <v>65</v>
      </c>
      <c r="D139">
        <v>38.526600000000002</v>
      </c>
      <c r="E139">
        <v>-96.726500000000001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1</v>
      </c>
      <c r="BC139">
        <v>1</v>
      </c>
      <c r="BD139">
        <v>1</v>
      </c>
      <c r="BE139">
        <v>5</v>
      </c>
      <c r="BF139">
        <v>8</v>
      </c>
      <c r="BG139">
        <v>8</v>
      </c>
      <c r="BH139">
        <v>11</v>
      </c>
    </row>
    <row r="140" spans="1:60" x14ac:dyDescent="0.3">
      <c r="A140" s="2"/>
      <c r="B140" t="s">
        <v>312</v>
      </c>
      <c r="C140" t="s">
        <v>65</v>
      </c>
      <c r="D140">
        <v>31.169499999999999</v>
      </c>
      <c r="E140">
        <v>-91.867800000000003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6</v>
      </c>
      <c r="BD140">
        <v>19</v>
      </c>
      <c r="BE140">
        <v>36</v>
      </c>
      <c r="BF140">
        <v>77</v>
      </c>
      <c r="BG140">
        <v>91</v>
      </c>
      <c r="BH140">
        <v>136</v>
      </c>
    </row>
    <row r="141" spans="1:60" x14ac:dyDescent="0.3">
      <c r="A141" s="2"/>
      <c r="B141" t="s">
        <v>313</v>
      </c>
      <c r="C141" t="s">
        <v>65</v>
      </c>
      <c r="D141">
        <v>38.456099999999999</v>
      </c>
      <c r="E141">
        <v>-92.288399999999996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1</v>
      </c>
      <c r="BC141">
        <v>1</v>
      </c>
      <c r="BD141">
        <v>1</v>
      </c>
      <c r="BE141">
        <v>2</v>
      </c>
      <c r="BF141">
        <v>4</v>
      </c>
      <c r="BG141">
        <v>5</v>
      </c>
      <c r="BH141">
        <v>6</v>
      </c>
    </row>
    <row r="142" spans="1:60" x14ac:dyDescent="0.3">
      <c r="A142" s="2"/>
      <c r="B142" t="s">
        <v>314</v>
      </c>
      <c r="C142" t="s">
        <v>65</v>
      </c>
      <c r="D142">
        <v>44.045900000000003</v>
      </c>
      <c r="E142">
        <v>-72.710700000000003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1</v>
      </c>
      <c r="BC142">
        <v>1</v>
      </c>
      <c r="BD142">
        <v>2</v>
      </c>
      <c r="BE142">
        <v>2</v>
      </c>
      <c r="BF142">
        <v>5</v>
      </c>
      <c r="BG142">
        <v>8</v>
      </c>
      <c r="BH142">
        <v>12</v>
      </c>
    </row>
    <row r="143" spans="1:60" x14ac:dyDescent="0.3">
      <c r="A143" s="2"/>
      <c r="B143" t="s">
        <v>315</v>
      </c>
      <c r="C143" t="s">
        <v>65</v>
      </c>
      <c r="D143">
        <v>61.370699999999999</v>
      </c>
      <c r="E143">
        <v>-152.40440000000001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1</v>
      </c>
      <c r="BF143">
        <v>1</v>
      </c>
      <c r="BG143">
        <v>1</v>
      </c>
      <c r="BH143">
        <v>1</v>
      </c>
    </row>
    <row r="144" spans="1:60" x14ac:dyDescent="0.3">
      <c r="A144" s="2"/>
      <c r="B144" t="s">
        <v>316</v>
      </c>
      <c r="C144" t="s">
        <v>65</v>
      </c>
      <c r="D144">
        <v>34.969700000000003</v>
      </c>
      <c r="E144">
        <v>-92.373099999999994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1</v>
      </c>
      <c r="BD144">
        <v>6</v>
      </c>
      <c r="BE144">
        <v>6</v>
      </c>
      <c r="BF144">
        <v>12</v>
      </c>
      <c r="BG144">
        <v>16</v>
      </c>
      <c r="BH144">
        <v>22</v>
      </c>
    </row>
    <row r="145" spans="1:60" x14ac:dyDescent="0.3">
      <c r="A145" s="2"/>
      <c r="B145" t="s">
        <v>317</v>
      </c>
      <c r="C145" t="s">
        <v>65</v>
      </c>
      <c r="D145">
        <v>39.3185</v>
      </c>
      <c r="E145">
        <v>-75.507099999999994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1</v>
      </c>
      <c r="BD145">
        <v>1</v>
      </c>
      <c r="BE145">
        <v>4</v>
      </c>
      <c r="BF145">
        <v>6</v>
      </c>
      <c r="BG145">
        <v>7</v>
      </c>
      <c r="BH145">
        <v>8</v>
      </c>
    </row>
    <row r="146" spans="1:60" x14ac:dyDescent="0.3">
      <c r="A146" s="2"/>
      <c r="B146" t="s">
        <v>318</v>
      </c>
      <c r="C146" t="s">
        <v>65</v>
      </c>
      <c r="D146">
        <v>44.240499999999997</v>
      </c>
      <c r="E146">
        <v>-114.47880000000001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1</v>
      </c>
      <c r="BF146">
        <v>2</v>
      </c>
      <c r="BG146">
        <v>5</v>
      </c>
      <c r="BH146">
        <v>5</v>
      </c>
    </row>
    <row r="147" spans="1:60" x14ac:dyDescent="0.3">
      <c r="A147" s="2"/>
      <c r="B147" t="s">
        <v>319</v>
      </c>
      <c r="C147" t="s">
        <v>65</v>
      </c>
      <c r="D147">
        <v>44.693899999999999</v>
      </c>
      <c r="E147">
        <v>-69.381900000000002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1</v>
      </c>
      <c r="BF147">
        <v>3</v>
      </c>
      <c r="BG147">
        <v>12</v>
      </c>
      <c r="BH147">
        <v>17</v>
      </c>
    </row>
    <row r="148" spans="1:60" x14ac:dyDescent="0.3">
      <c r="A148" s="2"/>
      <c r="B148" t="s">
        <v>320</v>
      </c>
      <c r="C148" t="s">
        <v>65</v>
      </c>
      <c r="D148">
        <v>43.326599999999999</v>
      </c>
      <c r="E148">
        <v>-84.536100000000005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2</v>
      </c>
      <c r="BD148">
        <v>2</v>
      </c>
      <c r="BE148">
        <v>16</v>
      </c>
      <c r="BF148">
        <v>25</v>
      </c>
      <c r="BG148">
        <v>33</v>
      </c>
      <c r="BH148">
        <v>53</v>
      </c>
    </row>
    <row r="149" spans="1:60" x14ac:dyDescent="0.3">
      <c r="A149" s="2"/>
      <c r="B149" t="s">
        <v>321</v>
      </c>
      <c r="C149" t="s">
        <v>65</v>
      </c>
      <c r="D149">
        <v>32.741599999999998</v>
      </c>
      <c r="E149">
        <v>-89.678700000000006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1</v>
      </c>
      <c r="BE149">
        <v>1</v>
      </c>
      <c r="BF149">
        <v>6</v>
      </c>
      <c r="BG149">
        <v>10</v>
      </c>
      <c r="BH149">
        <v>13</v>
      </c>
    </row>
    <row r="150" spans="1:60" x14ac:dyDescent="0.3">
      <c r="A150" s="2"/>
      <c r="B150" t="s">
        <v>322</v>
      </c>
      <c r="C150" t="s">
        <v>65</v>
      </c>
      <c r="D150">
        <v>46.921900000000001</v>
      </c>
      <c r="E150">
        <v>-110.45440000000001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1</v>
      </c>
      <c r="BD150">
        <v>1</v>
      </c>
      <c r="BE150">
        <v>1</v>
      </c>
      <c r="BF150">
        <v>5</v>
      </c>
      <c r="BG150">
        <v>7</v>
      </c>
      <c r="BH150">
        <v>7</v>
      </c>
    </row>
    <row r="151" spans="1:60" x14ac:dyDescent="0.3">
      <c r="A151" s="2"/>
      <c r="B151" t="s">
        <v>323</v>
      </c>
      <c r="C151" t="s">
        <v>65</v>
      </c>
      <c r="D151">
        <v>34.840499999999999</v>
      </c>
      <c r="E151">
        <v>-106.24850000000001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3</v>
      </c>
      <c r="BD151">
        <v>5</v>
      </c>
      <c r="BE151">
        <v>10</v>
      </c>
      <c r="BF151">
        <v>10</v>
      </c>
      <c r="BG151">
        <v>13</v>
      </c>
      <c r="BH151">
        <v>17</v>
      </c>
    </row>
    <row r="152" spans="1:60" x14ac:dyDescent="0.3">
      <c r="A152" s="2"/>
      <c r="B152" t="s">
        <v>324</v>
      </c>
      <c r="C152" t="s">
        <v>65</v>
      </c>
      <c r="D152">
        <v>47.5289</v>
      </c>
      <c r="E152">
        <v>-99.784000000000006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1</v>
      </c>
      <c r="BE152">
        <v>1</v>
      </c>
      <c r="BF152">
        <v>1</v>
      </c>
      <c r="BG152">
        <v>1</v>
      </c>
      <c r="BH152">
        <v>1</v>
      </c>
    </row>
    <row r="153" spans="1:60" x14ac:dyDescent="0.3">
      <c r="A153" s="2"/>
      <c r="B153" t="s">
        <v>325</v>
      </c>
      <c r="C153" t="s">
        <v>65</v>
      </c>
      <c r="D153">
        <v>44.299799999999998</v>
      </c>
      <c r="E153">
        <v>-99.438800000000001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8</v>
      </c>
      <c r="BD153">
        <v>8</v>
      </c>
      <c r="BE153">
        <v>8</v>
      </c>
      <c r="BF153">
        <v>9</v>
      </c>
      <c r="BG153">
        <v>9</v>
      </c>
      <c r="BH153">
        <v>10</v>
      </c>
    </row>
    <row r="154" spans="1:60" x14ac:dyDescent="0.3">
      <c r="A154" s="2"/>
      <c r="B154" t="s">
        <v>326</v>
      </c>
      <c r="C154" t="s">
        <v>65</v>
      </c>
      <c r="D154">
        <v>38.491199999999999</v>
      </c>
      <c r="E154">
        <v>-80.954499999999996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3">
      <c r="A155" s="2"/>
      <c r="B155" t="s">
        <v>327</v>
      </c>
      <c r="C155" t="s">
        <v>65</v>
      </c>
      <c r="D155">
        <v>42.756</v>
      </c>
      <c r="E155">
        <v>-107.30249999999999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1</v>
      </c>
      <c r="BE155">
        <v>1</v>
      </c>
      <c r="BF155">
        <v>2</v>
      </c>
      <c r="BG155">
        <v>3</v>
      </c>
      <c r="BH155">
        <v>3</v>
      </c>
    </row>
    <row r="156" spans="1:60" x14ac:dyDescent="0.3">
      <c r="A156" s="2"/>
      <c r="B156" t="s">
        <v>43</v>
      </c>
      <c r="C156" t="s">
        <v>365</v>
      </c>
      <c r="D156">
        <v>30.9756</v>
      </c>
      <c r="E156">
        <v>112.27070000000001</v>
      </c>
      <c r="F156">
        <v>444</v>
      </c>
      <c r="G156">
        <v>444</v>
      </c>
      <c r="H156">
        <v>549</v>
      </c>
      <c r="I156">
        <v>761</v>
      </c>
      <c r="J156">
        <v>1058</v>
      </c>
      <c r="K156">
        <v>1423</v>
      </c>
      <c r="L156">
        <v>3554</v>
      </c>
      <c r="M156">
        <v>3554</v>
      </c>
      <c r="N156">
        <v>4903</v>
      </c>
      <c r="O156">
        <v>5806</v>
      </c>
      <c r="P156">
        <v>7153</v>
      </c>
      <c r="Q156">
        <v>11177</v>
      </c>
      <c r="R156">
        <v>13522</v>
      </c>
      <c r="S156">
        <v>16678</v>
      </c>
      <c r="T156">
        <v>19665</v>
      </c>
      <c r="U156">
        <v>22112</v>
      </c>
      <c r="V156">
        <v>24953</v>
      </c>
      <c r="W156">
        <v>27100</v>
      </c>
      <c r="X156">
        <v>29631</v>
      </c>
      <c r="Y156">
        <v>31728</v>
      </c>
      <c r="Z156">
        <v>33366</v>
      </c>
      <c r="AA156">
        <v>33366</v>
      </c>
      <c r="AB156">
        <v>48206</v>
      </c>
      <c r="AC156">
        <v>54406</v>
      </c>
      <c r="AD156">
        <v>56249</v>
      </c>
      <c r="AE156">
        <v>58182</v>
      </c>
      <c r="AF156">
        <v>59989</v>
      </c>
      <c r="AG156">
        <v>61682</v>
      </c>
      <c r="AH156">
        <v>62031</v>
      </c>
      <c r="AI156">
        <v>62442</v>
      </c>
      <c r="AJ156">
        <v>62662</v>
      </c>
      <c r="AK156">
        <v>64084</v>
      </c>
      <c r="AL156">
        <v>64084</v>
      </c>
      <c r="AM156">
        <v>64287</v>
      </c>
      <c r="AN156">
        <v>64786</v>
      </c>
      <c r="AO156">
        <v>65187</v>
      </c>
      <c r="AP156">
        <v>65596</v>
      </c>
      <c r="AQ156">
        <v>65914</v>
      </c>
      <c r="AR156">
        <v>66337</v>
      </c>
      <c r="AS156">
        <v>66907</v>
      </c>
      <c r="AT156">
        <v>67103</v>
      </c>
      <c r="AU156">
        <v>67217</v>
      </c>
      <c r="AV156">
        <v>67332</v>
      </c>
      <c r="AW156">
        <v>67466</v>
      </c>
      <c r="AX156">
        <v>67592</v>
      </c>
      <c r="AY156">
        <v>67666</v>
      </c>
      <c r="AZ156">
        <v>67707</v>
      </c>
      <c r="BA156">
        <v>67743</v>
      </c>
      <c r="BB156">
        <v>67760</v>
      </c>
      <c r="BC156">
        <v>67773</v>
      </c>
      <c r="BD156">
        <v>67781</v>
      </c>
      <c r="BE156">
        <v>67786</v>
      </c>
      <c r="BF156">
        <v>67790</v>
      </c>
      <c r="BG156">
        <v>67794</v>
      </c>
      <c r="BH156">
        <v>67798</v>
      </c>
    </row>
    <row r="157" spans="1:60" x14ac:dyDescent="0.3">
      <c r="A157" s="2"/>
      <c r="C157" t="s">
        <v>366</v>
      </c>
      <c r="D157">
        <v>32</v>
      </c>
      <c r="E157">
        <v>53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2</v>
      </c>
      <c r="AI157">
        <v>5</v>
      </c>
      <c r="AJ157">
        <v>18</v>
      </c>
      <c r="AK157">
        <v>28</v>
      </c>
      <c r="AL157">
        <v>43</v>
      </c>
      <c r="AM157">
        <v>61</v>
      </c>
      <c r="AN157">
        <v>95</v>
      </c>
      <c r="AO157">
        <v>139</v>
      </c>
      <c r="AP157">
        <v>245</v>
      </c>
      <c r="AQ157">
        <v>388</v>
      </c>
      <c r="AR157">
        <v>593</v>
      </c>
      <c r="AS157">
        <v>978</v>
      </c>
      <c r="AT157">
        <v>1501</v>
      </c>
      <c r="AU157">
        <v>2336</v>
      </c>
      <c r="AV157">
        <v>2922</v>
      </c>
      <c r="AW157">
        <v>3513</v>
      </c>
      <c r="AX157">
        <v>4747</v>
      </c>
      <c r="AY157">
        <v>5823</v>
      </c>
      <c r="AZ157">
        <v>6566</v>
      </c>
      <c r="BA157">
        <v>7161</v>
      </c>
      <c r="BB157">
        <v>8042</v>
      </c>
      <c r="BC157">
        <v>9000</v>
      </c>
      <c r="BD157">
        <v>10075</v>
      </c>
      <c r="BE157">
        <v>11364</v>
      </c>
      <c r="BF157">
        <v>12729</v>
      </c>
      <c r="BG157">
        <v>13938</v>
      </c>
      <c r="BH157">
        <v>14991</v>
      </c>
    </row>
    <row r="158" spans="1:60" x14ac:dyDescent="0.3">
      <c r="A158" s="2"/>
      <c r="C158" t="s">
        <v>367</v>
      </c>
      <c r="D158">
        <v>36</v>
      </c>
      <c r="E158">
        <v>128</v>
      </c>
      <c r="F158">
        <v>1</v>
      </c>
      <c r="G158">
        <v>1</v>
      </c>
      <c r="H158">
        <v>2</v>
      </c>
      <c r="I158">
        <v>2</v>
      </c>
      <c r="J158">
        <v>3</v>
      </c>
      <c r="K158">
        <v>4</v>
      </c>
      <c r="L158">
        <v>4</v>
      </c>
      <c r="M158">
        <v>4</v>
      </c>
      <c r="N158">
        <v>4</v>
      </c>
      <c r="O158">
        <v>11</v>
      </c>
      <c r="P158">
        <v>12</v>
      </c>
      <c r="Q158">
        <v>15</v>
      </c>
      <c r="R158">
        <v>15</v>
      </c>
      <c r="S158">
        <v>16</v>
      </c>
      <c r="T158">
        <v>19</v>
      </c>
      <c r="U158">
        <v>23</v>
      </c>
      <c r="V158">
        <v>24</v>
      </c>
      <c r="W158">
        <v>24</v>
      </c>
      <c r="X158">
        <v>25</v>
      </c>
      <c r="Y158">
        <v>27</v>
      </c>
      <c r="Z158">
        <v>28</v>
      </c>
      <c r="AA158">
        <v>28</v>
      </c>
      <c r="AB158">
        <v>28</v>
      </c>
      <c r="AC158">
        <v>28</v>
      </c>
      <c r="AD158">
        <v>28</v>
      </c>
      <c r="AE158">
        <v>29</v>
      </c>
      <c r="AF158">
        <v>30</v>
      </c>
      <c r="AG158">
        <v>31</v>
      </c>
      <c r="AH158">
        <v>31</v>
      </c>
      <c r="AI158">
        <v>104</v>
      </c>
      <c r="AJ158">
        <v>204</v>
      </c>
      <c r="AK158">
        <v>433</v>
      </c>
      <c r="AL158">
        <v>602</v>
      </c>
      <c r="AM158">
        <v>833</v>
      </c>
      <c r="AN158">
        <v>977</v>
      </c>
      <c r="AO158">
        <v>1261</v>
      </c>
      <c r="AP158">
        <v>1766</v>
      </c>
      <c r="AQ158">
        <v>2337</v>
      </c>
      <c r="AR158">
        <v>3150</v>
      </c>
      <c r="AS158">
        <v>3736</v>
      </c>
      <c r="AT158">
        <v>4335</v>
      </c>
      <c r="AU158">
        <v>5186</v>
      </c>
      <c r="AV158">
        <v>5621</v>
      </c>
      <c r="AW158">
        <v>6088</v>
      </c>
      <c r="AX158">
        <v>6593</v>
      </c>
      <c r="AY158">
        <v>7041</v>
      </c>
      <c r="AZ158">
        <v>7314</v>
      </c>
      <c r="BA158">
        <v>7478</v>
      </c>
      <c r="BB158">
        <v>7513</v>
      </c>
      <c r="BC158">
        <v>7755</v>
      </c>
      <c r="BD158">
        <v>7869</v>
      </c>
      <c r="BE158">
        <v>7979</v>
      </c>
      <c r="BF158">
        <v>8086</v>
      </c>
      <c r="BG158">
        <v>8162</v>
      </c>
      <c r="BH158">
        <v>8236</v>
      </c>
    </row>
    <row r="159" spans="1:60" x14ac:dyDescent="0.3">
      <c r="A159" s="2"/>
      <c r="B159" t="s">
        <v>68</v>
      </c>
      <c r="C159" t="s">
        <v>68</v>
      </c>
      <c r="D159">
        <v>46.227600000000002</v>
      </c>
      <c r="E159">
        <v>2.2136999999999998</v>
      </c>
      <c r="F159">
        <v>0</v>
      </c>
      <c r="G159">
        <v>0</v>
      </c>
      <c r="H159">
        <v>2</v>
      </c>
      <c r="I159">
        <v>3</v>
      </c>
      <c r="J159">
        <v>3</v>
      </c>
      <c r="K159">
        <v>3</v>
      </c>
      <c r="L159">
        <v>4</v>
      </c>
      <c r="M159">
        <v>5</v>
      </c>
      <c r="N159">
        <v>5</v>
      </c>
      <c r="O159">
        <v>5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6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11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12</v>
      </c>
      <c r="AN159">
        <v>14</v>
      </c>
      <c r="AO159">
        <v>18</v>
      </c>
      <c r="AP159">
        <v>38</v>
      </c>
      <c r="AQ159">
        <v>57</v>
      </c>
      <c r="AR159">
        <v>100</v>
      </c>
      <c r="AS159">
        <v>130</v>
      </c>
      <c r="AT159">
        <v>191</v>
      </c>
      <c r="AU159">
        <v>204</v>
      </c>
      <c r="AV159">
        <v>285</v>
      </c>
      <c r="AW159">
        <v>377</v>
      </c>
      <c r="AX159">
        <v>653</v>
      </c>
      <c r="AY159">
        <v>949</v>
      </c>
      <c r="AZ159">
        <v>1126</v>
      </c>
      <c r="BA159">
        <v>1209</v>
      </c>
      <c r="BB159">
        <v>1784</v>
      </c>
      <c r="BC159">
        <v>2281</v>
      </c>
      <c r="BD159">
        <v>2281</v>
      </c>
      <c r="BE159">
        <v>3661</v>
      </c>
      <c r="BF159">
        <v>4469</v>
      </c>
      <c r="BG159">
        <v>4499</v>
      </c>
      <c r="BH159">
        <v>6633</v>
      </c>
    </row>
    <row r="160" spans="1:60" x14ac:dyDescent="0.3">
      <c r="A160" s="2"/>
      <c r="B160" t="s">
        <v>36</v>
      </c>
      <c r="C160" t="s">
        <v>365</v>
      </c>
      <c r="D160">
        <v>23.341699999999999</v>
      </c>
      <c r="E160">
        <v>113.42440000000001</v>
      </c>
      <c r="F160">
        <v>26</v>
      </c>
      <c r="G160">
        <v>32</v>
      </c>
      <c r="H160">
        <v>53</v>
      </c>
      <c r="I160">
        <v>78</v>
      </c>
      <c r="J160">
        <v>111</v>
      </c>
      <c r="K160">
        <v>151</v>
      </c>
      <c r="L160">
        <v>207</v>
      </c>
      <c r="M160">
        <v>277</v>
      </c>
      <c r="N160">
        <v>354</v>
      </c>
      <c r="O160">
        <v>436</v>
      </c>
      <c r="P160">
        <v>535</v>
      </c>
      <c r="Q160">
        <v>632</v>
      </c>
      <c r="R160">
        <v>725</v>
      </c>
      <c r="S160">
        <v>813</v>
      </c>
      <c r="T160">
        <v>895</v>
      </c>
      <c r="U160">
        <v>970</v>
      </c>
      <c r="V160">
        <v>1034</v>
      </c>
      <c r="W160">
        <v>1095</v>
      </c>
      <c r="X160">
        <v>1131</v>
      </c>
      <c r="Y160">
        <v>1159</v>
      </c>
      <c r="Z160">
        <v>1177</v>
      </c>
      <c r="AA160">
        <v>1219</v>
      </c>
      <c r="AB160">
        <v>1241</v>
      </c>
      <c r="AC160">
        <v>1261</v>
      </c>
      <c r="AD160">
        <v>1294</v>
      </c>
      <c r="AE160">
        <v>1316</v>
      </c>
      <c r="AF160">
        <v>1322</v>
      </c>
      <c r="AG160">
        <v>1328</v>
      </c>
      <c r="AH160">
        <v>1331</v>
      </c>
      <c r="AI160">
        <v>1332</v>
      </c>
      <c r="AJ160">
        <v>1333</v>
      </c>
      <c r="AK160">
        <v>1339</v>
      </c>
      <c r="AL160">
        <v>1342</v>
      </c>
      <c r="AM160">
        <v>1345</v>
      </c>
      <c r="AN160">
        <v>1347</v>
      </c>
      <c r="AO160">
        <v>1347</v>
      </c>
      <c r="AP160">
        <v>1347</v>
      </c>
      <c r="AQ160">
        <v>1348</v>
      </c>
      <c r="AR160">
        <v>1349</v>
      </c>
      <c r="AS160">
        <v>1349</v>
      </c>
      <c r="AT160">
        <v>1350</v>
      </c>
      <c r="AU160">
        <v>1350</v>
      </c>
      <c r="AV160">
        <v>1350</v>
      </c>
      <c r="AW160">
        <v>1351</v>
      </c>
      <c r="AX160">
        <v>1352</v>
      </c>
      <c r="AY160">
        <v>1352</v>
      </c>
      <c r="AZ160">
        <v>1352</v>
      </c>
      <c r="BA160">
        <v>1352</v>
      </c>
      <c r="BB160">
        <v>1353</v>
      </c>
      <c r="BC160">
        <v>1356</v>
      </c>
      <c r="BD160">
        <v>1356</v>
      </c>
      <c r="BE160">
        <v>1356</v>
      </c>
      <c r="BF160">
        <v>1356</v>
      </c>
      <c r="BG160">
        <v>1360</v>
      </c>
      <c r="BH160">
        <v>1361</v>
      </c>
    </row>
    <row r="161" spans="1:60" x14ac:dyDescent="0.3">
      <c r="A161" s="2"/>
      <c r="B161" t="s">
        <v>42</v>
      </c>
      <c r="C161" t="s">
        <v>365</v>
      </c>
      <c r="D161">
        <v>33.881999999999998</v>
      </c>
      <c r="E161">
        <v>113.614</v>
      </c>
      <c r="F161">
        <v>5</v>
      </c>
      <c r="G161">
        <v>5</v>
      </c>
      <c r="H161">
        <v>9</v>
      </c>
      <c r="I161">
        <v>32</v>
      </c>
      <c r="J161">
        <v>83</v>
      </c>
      <c r="K161">
        <v>128</v>
      </c>
      <c r="L161">
        <v>168</v>
      </c>
      <c r="M161">
        <v>206</v>
      </c>
      <c r="N161">
        <v>278</v>
      </c>
      <c r="O161">
        <v>352</v>
      </c>
      <c r="P161">
        <v>422</v>
      </c>
      <c r="Q161">
        <v>493</v>
      </c>
      <c r="R161">
        <v>566</v>
      </c>
      <c r="S161">
        <v>675</v>
      </c>
      <c r="T161">
        <v>764</v>
      </c>
      <c r="U161">
        <v>851</v>
      </c>
      <c r="V161">
        <v>914</v>
      </c>
      <c r="W161">
        <v>981</v>
      </c>
      <c r="X161">
        <v>1033</v>
      </c>
      <c r="Y161">
        <v>1073</v>
      </c>
      <c r="Z161">
        <v>1105</v>
      </c>
      <c r="AA161">
        <v>1135</v>
      </c>
      <c r="AB161">
        <v>1169</v>
      </c>
      <c r="AC161">
        <v>1184</v>
      </c>
      <c r="AD161">
        <v>1212</v>
      </c>
      <c r="AE161">
        <v>1231</v>
      </c>
      <c r="AF161">
        <v>1246</v>
      </c>
      <c r="AG161">
        <v>1257</v>
      </c>
      <c r="AH161">
        <v>1262</v>
      </c>
      <c r="AI161">
        <v>1265</v>
      </c>
      <c r="AJ161">
        <v>1267</v>
      </c>
      <c r="AK161">
        <v>1270</v>
      </c>
      <c r="AL161">
        <v>1271</v>
      </c>
      <c r="AM161">
        <v>1271</v>
      </c>
      <c r="AN161">
        <v>1271</v>
      </c>
      <c r="AO161">
        <v>1271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1272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</row>
    <row r="162" spans="1:60" x14ac:dyDescent="0.3">
      <c r="A162" s="2"/>
      <c r="B162" t="s">
        <v>61</v>
      </c>
      <c r="C162" t="s">
        <v>365</v>
      </c>
      <c r="D162">
        <v>29.183199999999999</v>
      </c>
      <c r="E162">
        <v>120.0934</v>
      </c>
      <c r="F162">
        <v>10</v>
      </c>
      <c r="G162">
        <v>27</v>
      </c>
      <c r="H162">
        <v>43</v>
      </c>
      <c r="I162">
        <v>62</v>
      </c>
      <c r="J162">
        <v>104</v>
      </c>
      <c r="K162">
        <v>128</v>
      </c>
      <c r="L162">
        <v>173</v>
      </c>
      <c r="M162">
        <v>296</v>
      </c>
      <c r="N162">
        <v>428</v>
      </c>
      <c r="O162">
        <v>538</v>
      </c>
      <c r="P162">
        <v>599</v>
      </c>
      <c r="Q162">
        <v>661</v>
      </c>
      <c r="R162">
        <v>724</v>
      </c>
      <c r="S162">
        <v>829</v>
      </c>
      <c r="T162">
        <v>895</v>
      </c>
      <c r="U162">
        <v>954</v>
      </c>
      <c r="V162">
        <v>1006</v>
      </c>
      <c r="W162">
        <v>1048</v>
      </c>
      <c r="X162">
        <v>1075</v>
      </c>
      <c r="Y162">
        <v>1092</v>
      </c>
      <c r="Z162">
        <v>1117</v>
      </c>
      <c r="AA162">
        <v>1131</v>
      </c>
      <c r="AB162">
        <v>1145</v>
      </c>
      <c r="AC162">
        <v>1155</v>
      </c>
      <c r="AD162">
        <v>1162</v>
      </c>
      <c r="AE162">
        <v>1167</v>
      </c>
      <c r="AF162">
        <v>1171</v>
      </c>
      <c r="AG162">
        <v>1172</v>
      </c>
      <c r="AH162">
        <v>1174</v>
      </c>
      <c r="AI162">
        <v>1175</v>
      </c>
      <c r="AJ162">
        <v>1203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1205</v>
      </c>
      <c r="AT162">
        <v>1206</v>
      </c>
      <c r="AU162">
        <v>1213</v>
      </c>
      <c r="AV162">
        <v>1213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1215</v>
      </c>
      <c r="BF162">
        <v>1227</v>
      </c>
      <c r="BG162">
        <v>1231</v>
      </c>
      <c r="BH162">
        <v>1231</v>
      </c>
    </row>
    <row r="163" spans="1:60" x14ac:dyDescent="0.3">
      <c r="A163" s="2"/>
      <c r="B163" t="s">
        <v>44</v>
      </c>
      <c r="C163" t="s">
        <v>365</v>
      </c>
      <c r="D163">
        <v>27.610399999999998</v>
      </c>
      <c r="E163">
        <v>111.7088</v>
      </c>
      <c r="F163">
        <v>4</v>
      </c>
      <c r="G163">
        <v>9</v>
      </c>
      <c r="H163">
        <v>24</v>
      </c>
      <c r="I163">
        <v>43</v>
      </c>
      <c r="J163">
        <v>69</v>
      </c>
      <c r="K163">
        <v>100</v>
      </c>
      <c r="L163">
        <v>143</v>
      </c>
      <c r="M163">
        <v>221</v>
      </c>
      <c r="N163">
        <v>277</v>
      </c>
      <c r="O163">
        <v>332</v>
      </c>
      <c r="P163">
        <v>389</v>
      </c>
      <c r="Q163">
        <v>463</v>
      </c>
      <c r="R163">
        <v>521</v>
      </c>
      <c r="S163">
        <v>593</v>
      </c>
      <c r="T163">
        <v>661</v>
      </c>
      <c r="U163">
        <v>711</v>
      </c>
      <c r="V163">
        <v>772</v>
      </c>
      <c r="W163">
        <v>803</v>
      </c>
      <c r="X163">
        <v>838</v>
      </c>
      <c r="Y163">
        <v>879</v>
      </c>
      <c r="Z163">
        <v>912</v>
      </c>
      <c r="AA163">
        <v>946</v>
      </c>
      <c r="AB163">
        <v>968</v>
      </c>
      <c r="AC163">
        <v>988</v>
      </c>
      <c r="AD163">
        <v>1001</v>
      </c>
      <c r="AE163">
        <v>1004</v>
      </c>
      <c r="AF163">
        <v>1006</v>
      </c>
      <c r="AG163">
        <v>1007</v>
      </c>
      <c r="AH163">
        <v>1008</v>
      </c>
      <c r="AI163">
        <v>1010</v>
      </c>
      <c r="AJ163">
        <v>1011</v>
      </c>
      <c r="AK163">
        <v>1013</v>
      </c>
      <c r="AL163">
        <v>1016</v>
      </c>
      <c r="AM163">
        <v>1016</v>
      </c>
      <c r="AN163">
        <v>1016</v>
      </c>
      <c r="AO163">
        <v>1016</v>
      </c>
      <c r="AP163">
        <v>1017</v>
      </c>
      <c r="AQ163">
        <v>1017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</row>
    <row r="164" spans="1:60" x14ac:dyDescent="0.3">
      <c r="A164" s="2"/>
      <c r="B164" t="s">
        <v>31</v>
      </c>
      <c r="C164" t="s">
        <v>365</v>
      </c>
      <c r="D164">
        <v>31.825700000000001</v>
      </c>
      <c r="E164">
        <v>117.2264</v>
      </c>
      <c r="F164">
        <v>1</v>
      </c>
      <c r="G164">
        <v>9</v>
      </c>
      <c r="H164">
        <v>15</v>
      </c>
      <c r="I164">
        <v>39</v>
      </c>
      <c r="J164">
        <v>60</v>
      </c>
      <c r="K164">
        <v>70</v>
      </c>
      <c r="L164">
        <v>106</v>
      </c>
      <c r="M164">
        <v>152</v>
      </c>
      <c r="N164">
        <v>200</v>
      </c>
      <c r="O164">
        <v>237</v>
      </c>
      <c r="P164">
        <v>297</v>
      </c>
      <c r="Q164">
        <v>340</v>
      </c>
      <c r="R164">
        <v>408</v>
      </c>
      <c r="S164">
        <v>480</v>
      </c>
      <c r="T164">
        <v>530</v>
      </c>
      <c r="U164">
        <v>591</v>
      </c>
      <c r="V164">
        <v>665</v>
      </c>
      <c r="W164">
        <v>733</v>
      </c>
      <c r="X164">
        <v>779</v>
      </c>
      <c r="Y164">
        <v>830</v>
      </c>
      <c r="Z164">
        <v>860</v>
      </c>
      <c r="AA164">
        <v>889</v>
      </c>
      <c r="AB164">
        <v>910</v>
      </c>
      <c r="AC164">
        <v>934</v>
      </c>
      <c r="AD164">
        <v>950</v>
      </c>
      <c r="AE164">
        <v>962</v>
      </c>
      <c r="AF164">
        <v>973</v>
      </c>
      <c r="AG164">
        <v>982</v>
      </c>
      <c r="AH164">
        <v>986</v>
      </c>
      <c r="AI164">
        <v>987</v>
      </c>
      <c r="AJ164">
        <v>988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989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</row>
    <row r="165" spans="1:60" x14ac:dyDescent="0.3">
      <c r="A165" s="2"/>
      <c r="B165" t="s">
        <v>47</v>
      </c>
      <c r="C165" t="s">
        <v>365</v>
      </c>
      <c r="D165">
        <v>27.614000000000001</v>
      </c>
      <c r="E165">
        <v>115.7221</v>
      </c>
      <c r="F165">
        <v>2</v>
      </c>
      <c r="G165">
        <v>7</v>
      </c>
      <c r="H165">
        <v>18</v>
      </c>
      <c r="I165">
        <v>18</v>
      </c>
      <c r="J165">
        <v>36</v>
      </c>
      <c r="K165">
        <v>72</v>
      </c>
      <c r="L165">
        <v>109</v>
      </c>
      <c r="M165">
        <v>109</v>
      </c>
      <c r="N165">
        <v>162</v>
      </c>
      <c r="O165">
        <v>240</v>
      </c>
      <c r="P165">
        <v>286</v>
      </c>
      <c r="Q165">
        <v>333</v>
      </c>
      <c r="R165">
        <v>391</v>
      </c>
      <c r="S165">
        <v>476</v>
      </c>
      <c r="T165">
        <v>548</v>
      </c>
      <c r="U165">
        <v>600</v>
      </c>
      <c r="V165">
        <v>661</v>
      </c>
      <c r="W165">
        <v>698</v>
      </c>
      <c r="X165">
        <v>740</v>
      </c>
      <c r="Y165">
        <v>771</v>
      </c>
      <c r="Z165">
        <v>804</v>
      </c>
      <c r="AA165">
        <v>844</v>
      </c>
      <c r="AB165">
        <v>872</v>
      </c>
      <c r="AC165">
        <v>900</v>
      </c>
      <c r="AD165">
        <v>913</v>
      </c>
      <c r="AE165">
        <v>925</v>
      </c>
      <c r="AF165">
        <v>930</v>
      </c>
      <c r="AG165">
        <v>933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934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</row>
    <row r="166" spans="1:60" x14ac:dyDescent="0.3">
      <c r="A166" s="2"/>
      <c r="B166" t="s">
        <v>53</v>
      </c>
      <c r="C166" t="s">
        <v>365</v>
      </c>
      <c r="D166">
        <v>36.342700000000001</v>
      </c>
      <c r="E166">
        <v>118.1498</v>
      </c>
      <c r="F166">
        <v>2</v>
      </c>
      <c r="G166">
        <v>6</v>
      </c>
      <c r="H166">
        <v>15</v>
      </c>
      <c r="I166">
        <v>27</v>
      </c>
      <c r="J166">
        <v>46</v>
      </c>
      <c r="K166">
        <v>75</v>
      </c>
      <c r="L166">
        <v>95</v>
      </c>
      <c r="M166">
        <v>130</v>
      </c>
      <c r="N166">
        <v>158</v>
      </c>
      <c r="O166">
        <v>184</v>
      </c>
      <c r="P166">
        <v>206</v>
      </c>
      <c r="Q166">
        <v>230</v>
      </c>
      <c r="R166">
        <v>259</v>
      </c>
      <c r="S166">
        <v>275</v>
      </c>
      <c r="T166">
        <v>307</v>
      </c>
      <c r="U166">
        <v>347</v>
      </c>
      <c r="V166">
        <v>386</v>
      </c>
      <c r="W166">
        <v>416</v>
      </c>
      <c r="X166">
        <v>444</v>
      </c>
      <c r="Y166">
        <v>466</v>
      </c>
      <c r="Z166">
        <v>487</v>
      </c>
      <c r="AA166">
        <v>497</v>
      </c>
      <c r="AB166">
        <v>509</v>
      </c>
      <c r="AC166">
        <v>523</v>
      </c>
      <c r="AD166">
        <v>532</v>
      </c>
      <c r="AE166">
        <v>537</v>
      </c>
      <c r="AF166">
        <v>541</v>
      </c>
      <c r="AG166">
        <v>543</v>
      </c>
      <c r="AH166">
        <v>544</v>
      </c>
      <c r="AI166">
        <v>546</v>
      </c>
      <c r="AJ166">
        <v>749</v>
      </c>
      <c r="AK166">
        <v>750</v>
      </c>
      <c r="AL166">
        <v>754</v>
      </c>
      <c r="AM166">
        <v>755</v>
      </c>
      <c r="AN166">
        <v>756</v>
      </c>
      <c r="AO166">
        <v>756</v>
      </c>
      <c r="AP166">
        <v>756</v>
      </c>
      <c r="AQ166">
        <v>756</v>
      </c>
      <c r="AR166">
        <v>756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758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760</v>
      </c>
    </row>
    <row r="167" spans="1:60" x14ac:dyDescent="0.3">
      <c r="A167" s="2"/>
      <c r="B167" t="s">
        <v>275</v>
      </c>
      <c r="C167" t="s">
        <v>368</v>
      </c>
      <c r="D167">
        <v>35.4437</v>
      </c>
      <c r="E167">
        <v>139.63800000000001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61</v>
      </c>
      <c r="W167">
        <v>61</v>
      </c>
      <c r="X167">
        <v>64</v>
      </c>
      <c r="Y167">
        <v>135</v>
      </c>
      <c r="Z167">
        <v>135</v>
      </c>
      <c r="AA167">
        <v>175</v>
      </c>
      <c r="AB167">
        <v>175</v>
      </c>
      <c r="AC167">
        <v>218</v>
      </c>
      <c r="AD167">
        <v>285</v>
      </c>
      <c r="AE167">
        <v>355</v>
      </c>
      <c r="AF167">
        <v>454</v>
      </c>
      <c r="AG167">
        <v>542</v>
      </c>
      <c r="AH167">
        <v>621</v>
      </c>
      <c r="AI167">
        <v>634</v>
      </c>
      <c r="AJ167">
        <v>634</v>
      </c>
      <c r="AK167">
        <v>634</v>
      </c>
      <c r="AL167">
        <v>691</v>
      </c>
      <c r="AM167">
        <v>691</v>
      </c>
      <c r="AN167">
        <v>691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705</v>
      </c>
      <c r="AU167">
        <v>706</v>
      </c>
      <c r="AV167">
        <v>706</v>
      </c>
      <c r="AW167">
        <v>706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</row>
    <row r="168" spans="1:60" x14ac:dyDescent="0.3">
      <c r="A168" s="2"/>
      <c r="B168" t="s">
        <v>46</v>
      </c>
      <c r="C168" t="s">
        <v>365</v>
      </c>
      <c r="D168">
        <v>32.9711</v>
      </c>
      <c r="E168">
        <v>119.455</v>
      </c>
      <c r="F168">
        <v>1</v>
      </c>
      <c r="G168">
        <v>5</v>
      </c>
      <c r="H168">
        <v>9</v>
      </c>
      <c r="I168">
        <v>18</v>
      </c>
      <c r="J168">
        <v>33</v>
      </c>
      <c r="K168">
        <v>47</v>
      </c>
      <c r="L168">
        <v>70</v>
      </c>
      <c r="M168">
        <v>99</v>
      </c>
      <c r="N168">
        <v>129</v>
      </c>
      <c r="O168">
        <v>168</v>
      </c>
      <c r="P168">
        <v>202</v>
      </c>
      <c r="Q168">
        <v>236</v>
      </c>
      <c r="R168">
        <v>271</v>
      </c>
      <c r="S168">
        <v>308</v>
      </c>
      <c r="T168">
        <v>341</v>
      </c>
      <c r="U168">
        <v>373</v>
      </c>
      <c r="V168">
        <v>408</v>
      </c>
      <c r="W168">
        <v>439</v>
      </c>
      <c r="X168">
        <v>468</v>
      </c>
      <c r="Y168">
        <v>492</v>
      </c>
      <c r="Z168">
        <v>515</v>
      </c>
      <c r="AA168">
        <v>543</v>
      </c>
      <c r="AB168">
        <v>570</v>
      </c>
      <c r="AC168">
        <v>593</v>
      </c>
      <c r="AD168">
        <v>604</v>
      </c>
      <c r="AE168">
        <v>617</v>
      </c>
      <c r="AF168">
        <v>626</v>
      </c>
      <c r="AG168">
        <v>629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</row>
    <row r="169" spans="1:60" x14ac:dyDescent="0.3">
      <c r="A169" s="2"/>
      <c r="B169" t="s">
        <v>33</v>
      </c>
      <c r="C169" t="s">
        <v>365</v>
      </c>
      <c r="D169">
        <v>30.057200000000002</v>
      </c>
      <c r="E169">
        <v>107.874</v>
      </c>
      <c r="F169">
        <v>6</v>
      </c>
      <c r="G169">
        <v>9</v>
      </c>
      <c r="H169">
        <v>27</v>
      </c>
      <c r="I169">
        <v>57</v>
      </c>
      <c r="J169">
        <v>75</v>
      </c>
      <c r="K169">
        <v>110</v>
      </c>
      <c r="L169">
        <v>132</v>
      </c>
      <c r="M169">
        <v>147</v>
      </c>
      <c r="N169">
        <v>182</v>
      </c>
      <c r="O169">
        <v>211</v>
      </c>
      <c r="P169">
        <v>247</v>
      </c>
      <c r="Q169">
        <v>300</v>
      </c>
      <c r="R169">
        <v>337</v>
      </c>
      <c r="S169">
        <v>366</v>
      </c>
      <c r="T169">
        <v>389</v>
      </c>
      <c r="U169">
        <v>411</v>
      </c>
      <c r="V169">
        <v>426</v>
      </c>
      <c r="W169">
        <v>428</v>
      </c>
      <c r="X169">
        <v>468</v>
      </c>
      <c r="Y169">
        <v>486</v>
      </c>
      <c r="Z169">
        <v>505</v>
      </c>
      <c r="AA169">
        <v>518</v>
      </c>
      <c r="AB169">
        <v>529</v>
      </c>
      <c r="AC169">
        <v>537</v>
      </c>
      <c r="AD169">
        <v>544</v>
      </c>
      <c r="AE169">
        <v>551</v>
      </c>
      <c r="AF169">
        <v>553</v>
      </c>
      <c r="AG169">
        <v>555</v>
      </c>
      <c r="AH169">
        <v>560</v>
      </c>
      <c r="AI169">
        <v>567</v>
      </c>
      <c r="AJ169">
        <v>572</v>
      </c>
      <c r="AK169">
        <v>573</v>
      </c>
      <c r="AL169">
        <v>575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</row>
    <row r="170" spans="1:60" x14ac:dyDescent="0.3">
      <c r="A170" s="2"/>
      <c r="B170" t="s">
        <v>56</v>
      </c>
      <c r="C170" t="s">
        <v>365</v>
      </c>
      <c r="D170">
        <v>30.617100000000001</v>
      </c>
      <c r="E170">
        <v>102.7103</v>
      </c>
      <c r="F170">
        <v>5</v>
      </c>
      <c r="G170">
        <v>8</v>
      </c>
      <c r="H170">
        <v>15</v>
      </c>
      <c r="I170">
        <v>28</v>
      </c>
      <c r="J170">
        <v>44</v>
      </c>
      <c r="K170">
        <v>69</v>
      </c>
      <c r="L170">
        <v>90</v>
      </c>
      <c r="M170">
        <v>108</v>
      </c>
      <c r="N170">
        <v>142</v>
      </c>
      <c r="O170">
        <v>177</v>
      </c>
      <c r="P170">
        <v>207</v>
      </c>
      <c r="Q170">
        <v>231</v>
      </c>
      <c r="R170">
        <v>254</v>
      </c>
      <c r="S170">
        <v>282</v>
      </c>
      <c r="T170">
        <v>301</v>
      </c>
      <c r="U170">
        <v>321</v>
      </c>
      <c r="V170">
        <v>344</v>
      </c>
      <c r="W170">
        <v>364</v>
      </c>
      <c r="X170">
        <v>386</v>
      </c>
      <c r="Y170">
        <v>405</v>
      </c>
      <c r="Z170">
        <v>417</v>
      </c>
      <c r="AA170">
        <v>436</v>
      </c>
      <c r="AB170">
        <v>451</v>
      </c>
      <c r="AC170">
        <v>463</v>
      </c>
      <c r="AD170">
        <v>470</v>
      </c>
      <c r="AE170">
        <v>481</v>
      </c>
      <c r="AF170">
        <v>495</v>
      </c>
      <c r="AG170">
        <v>508</v>
      </c>
      <c r="AH170">
        <v>514</v>
      </c>
      <c r="AI170">
        <v>520</v>
      </c>
      <c r="AJ170">
        <v>525</v>
      </c>
      <c r="AK170">
        <v>526</v>
      </c>
      <c r="AL170">
        <v>526</v>
      </c>
      <c r="AM170">
        <v>527</v>
      </c>
      <c r="AN170">
        <v>529</v>
      </c>
      <c r="AO170">
        <v>531</v>
      </c>
      <c r="AP170">
        <v>534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538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539</v>
      </c>
    </row>
    <row r="171" spans="1:60" x14ac:dyDescent="0.3">
      <c r="A171" s="2"/>
      <c r="B171" t="s">
        <v>41</v>
      </c>
      <c r="C171" t="s">
        <v>365</v>
      </c>
      <c r="D171">
        <v>47.862000000000002</v>
      </c>
      <c r="E171">
        <v>127.7615</v>
      </c>
      <c r="F171">
        <v>0</v>
      </c>
      <c r="G171">
        <v>2</v>
      </c>
      <c r="H171">
        <v>4</v>
      </c>
      <c r="I171">
        <v>9</v>
      </c>
      <c r="J171">
        <v>15</v>
      </c>
      <c r="K171">
        <v>21</v>
      </c>
      <c r="L171">
        <v>33</v>
      </c>
      <c r="M171">
        <v>38</v>
      </c>
      <c r="N171">
        <v>44</v>
      </c>
      <c r="O171">
        <v>59</v>
      </c>
      <c r="P171">
        <v>80</v>
      </c>
      <c r="Q171">
        <v>95</v>
      </c>
      <c r="R171">
        <v>121</v>
      </c>
      <c r="S171">
        <v>155</v>
      </c>
      <c r="T171">
        <v>190</v>
      </c>
      <c r="U171">
        <v>227</v>
      </c>
      <c r="V171">
        <v>277</v>
      </c>
      <c r="W171">
        <v>295</v>
      </c>
      <c r="X171">
        <v>307</v>
      </c>
      <c r="Y171">
        <v>331</v>
      </c>
      <c r="Z171">
        <v>360</v>
      </c>
      <c r="AA171">
        <v>378</v>
      </c>
      <c r="AB171">
        <v>395</v>
      </c>
      <c r="AC171">
        <v>419</v>
      </c>
      <c r="AD171">
        <v>425</v>
      </c>
      <c r="AE171">
        <v>445</v>
      </c>
      <c r="AF171">
        <v>457</v>
      </c>
      <c r="AG171">
        <v>464</v>
      </c>
      <c r="AH171">
        <v>470</v>
      </c>
      <c r="AI171">
        <v>476</v>
      </c>
      <c r="AJ171">
        <v>479</v>
      </c>
      <c r="AK171">
        <v>479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480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481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</row>
    <row r="172" spans="1:60" x14ac:dyDescent="0.3">
      <c r="A172" s="2"/>
      <c r="B172" t="s">
        <v>114</v>
      </c>
      <c r="C172" t="s">
        <v>114</v>
      </c>
      <c r="D172">
        <v>56.2639</v>
      </c>
      <c r="E172">
        <v>9.5017999999999994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3</v>
      </c>
      <c r="AS172">
        <v>4</v>
      </c>
      <c r="AT172">
        <v>4</v>
      </c>
      <c r="AU172">
        <v>6</v>
      </c>
      <c r="AV172">
        <v>10</v>
      </c>
      <c r="AW172">
        <v>10</v>
      </c>
      <c r="AX172">
        <v>23</v>
      </c>
      <c r="AY172">
        <v>23</v>
      </c>
      <c r="AZ172">
        <v>35</v>
      </c>
      <c r="BA172">
        <v>90</v>
      </c>
      <c r="BB172">
        <v>262</v>
      </c>
      <c r="BC172">
        <v>442</v>
      </c>
      <c r="BD172">
        <v>615</v>
      </c>
      <c r="BE172">
        <v>801</v>
      </c>
      <c r="BF172">
        <v>827</v>
      </c>
      <c r="BG172">
        <v>864</v>
      </c>
      <c r="BH172">
        <v>914</v>
      </c>
    </row>
    <row r="173" spans="1:60" x14ac:dyDescent="0.3">
      <c r="A173" s="2"/>
      <c r="B173" t="s">
        <v>32</v>
      </c>
      <c r="C173" t="s">
        <v>365</v>
      </c>
      <c r="D173">
        <v>40.182400000000001</v>
      </c>
      <c r="E173">
        <v>116.41419999999999</v>
      </c>
      <c r="F173">
        <v>14</v>
      </c>
      <c r="G173">
        <v>22</v>
      </c>
      <c r="H173">
        <v>36</v>
      </c>
      <c r="I173">
        <v>41</v>
      </c>
      <c r="J173">
        <v>68</v>
      </c>
      <c r="K173">
        <v>80</v>
      </c>
      <c r="L173">
        <v>91</v>
      </c>
      <c r="M173">
        <v>111</v>
      </c>
      <c r="N173">
        <v>114</v>
      </c>
      <c r="O173">
        <v>139</v>
      </c>
      <c r="P173">
        <v>168</v>
      </c>
      <c r="Q173">
        <v>191</v>
      </c>
      <c r="R173">
        <v>212</v>
      </c>
      <c r="S173">
        <v>228</v>
      </c>
      <c r="T173">
        <v>253</v>
      </c>
      <c r="U173">
        <v>274</v>
      </c>
      <c r="V173">
        <v>297</v>
      </c>
      <c r="W173">
        <v>315</v>
      </c>
      <c r="X173">
        <v>326</v>
      </c>
      <c r="Y173">
        <v>337</v>
      </c>
      <c r="Z173">
        <v>342</v>
      </c>
      <c r="AA173">
        <v>352</v>
      </c>
      <c r="AB173">
        <v>366</v>
      </c>
      <c r="AC173">
        <v>372</v>
      </c>
      <c r="AD173">
        <v>375</v>
      </c>
      <c r="AE173">
        <v>380</v>
      </c>
      <c r="AF173">
        <v>381</v>
      </c>
      <c r="AG173">
        <v>387</v>
      </c>
      <c r="AH173">
        <v>393</v>
      </c>
      <c r="AI173">
        <v>395</v>
      </c>
      <c r="AJ173">
        <v>396</v>
      </c>
      <c r="AK173">
        <v>399</v>
      </c>
      <c r="AL173">
        <v>399</v>
      </c>
      <c r="AM173">
        <v>399</v>
      </c>
      <c r="AN173">
        <v>400</v>
      </c>
      <c r="AO173">
        <v>400</v>
      </c>
      <c r="AP173">
        <v>410</v>
      </c>
      <c r="AQ173">
        <v>410</v>
      </c>
      <c r="AR173">
        <v>411</v>
      </c>
      <c r="AS173">
        <v>413</v>
      </c>
      <c r="AT173">
        <v>414</v>
      </c>
      <c r="AU173">
        <v>414</v>
      </c>
      <c r="AV173">
        <v>418</v>
      </c>
      <c r="AW173">
        <v>418</v>
      </c>
      <c r="AX173">
        <v>422</v>
      </c>
      <c r="AY173">
        <v>426</v>
      </c>
      <c r="AZ173">
        <v>428</v>
      </c>
      <c r="BA173">
        <v>428</v>
      </c>
      <c r="BB173">
        <v>429</v>
      </c>
      <c r="BC173">
        <v>435</v>
      </c>
      <c r="BD173">
        <v>435</v>
      </c>
      <c r="BE173">
        <v>436</v>
      </c>
      <c r="BF173">
        <v>437</v>
      </c>
      <c r="BG173">
        <v>442</v>
      </c>
      <c r="BH173">
        <v>452</v>
      </c>
    </row>
    <row r="174" spans="1:60" x14ac:dyDescent="0.3">
      <c r="A174" s="2"/>
      <c r="B174" t="s">
        <v>54</v>
      </c>
      <c r="C174" t="s">
        <v>365</v>
      </c>
      <c r="D174">
        <v>31.202000000000002</v>
      </c>
      <c r="E174">
        <v>121.4491</v>
      </c>
      <c r="F174">
        <v>9</v>
      </c>
      <c r="G174">
        <v>16</v>
      </c>
      <c r="H174">
        <v>20</v>
      </c>
      <c r="I174">
        <v>33</v>
      </c>
      <c r="J174">
        <v>40</v>
      </c>
      <c r="K174">
        <v>53</v>
      </c>
      <c r="L174">
        <v>66</v>
      </c>
      <c r="M174">
        <v>96</v>
      </c>
      <c r="N174">
        <v>112</v>
      </c>
      <c r="O174">
        <v>135</v>
      </c>
      <c r="P174">
        <v>169</v>
      </c>
      <c r="Q174">
        <v>182</v>
      </c>
      <c r="R174">
        <v>203</v>
      </c>
      <c r="S174">
        <v>219</v>
      </c>
      <c r="T174">
        <v>243</v>
      </c>
      <c r="U174">
        <v>257</v>
      </c>
      <c r="V174">
        <v>277</v>
      </c>
      <c r="W174">
        <v>286</v>
      </c>
      <c r="X174">
        <v>293</v>
      </c>
      <c r="Y174">
        <v>299</v>
      </c>
      <c r="Z174">
        <v>303</v>
      </c>
      <c r="AA174">
        <v>311</v>
      </c>
      <c r="AB174">
        <v>315</v>
      </c>
      <c r="AC174">
        <v>318</v>
      </c>
      <c r="AD174">
        <v>326</v>
      </c>
      <c r="AE174">
        <v>328</v>
      </c>
      <c r="AF174">
        <v>333</v>
      </c>
      <c r="AG174">
        <v>333</v>
      </c>
      <c r="AH174">
        <v>333</v>
      </c>
      <c r="AI174">
        <v>334</v>
      </c>
      <c r="AJ174">
        <v>334</v>
      </c>
      <c r="AK174">
        <v>335</v>
      </c>
      <c r="AL174">
        <v>335</v>
      </c>
      <c r="AM174">
        <v>335</v>
      </c>
      <c r="AN174">
        <v>336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337</v>
      </c>
      <c r="AU174">
        <v>338</v>
      </c>
      <c r="AV174">
        <v>338</v>
      </c>
      <c r="AW174">
        <v>339</v>
      </c>
      <c r="AX174">
        <v>342</v>
      </c>
      <c r="AY174">
        <v>342</v>
      </c>
      <c r="AZ174">
        <v>342</v>
      </c>
      <c r="BA174">
        <v>342</v>
      </c>
      <c r="BB174">
        <v>344</v>
      </c>
      <c r="BC174">
        <v>344</v>
      </c>
      <c r="BD174">
        <v>344</v>
      </c>
      <c r="BE174">
        <v>346</v>
      </c>
      <c r="BF174">
        <v>353</v>
      </c>
      <c r="BG174">
        <v>353</v>
      </c>
      <c r="BH174">
        <v>355</v>
      </c>
    </row>
    <row r="175" spans="1:60" x14ac:dyDescent="0.3">
      <c r="A175" s="2"/>
      <c r="B175" t="s">
        <v>40</v>
      </c>
      <c r="C175" t="s">
        <v>365</v>
      </c>
      <c r="D175">
        <v>39.548999999999999</v>
      </c>
      <c r="E175">
        <v>116.1306</v>
      </c>
      <c r="F175">
        <v>1</v>
      </c>
      <c r="G175">
        <v>1</v>
      </c>
      <c r="H175">
        <v>2</v>
      </c>
      <c r="I175">
        <v>8</v>
      </c>
      <c r="J175">
        <v>13</v>
      </c>
      <c r="K175">
        <v>18</v>
      </c>
      <c r="L175">
        <v>33</v>
      </c>
      <c r="M175">
        <v>48</v>
      </c>
      <c r="N175">
        <v>65</v>
      </c>
      <c r="O175">
        <v>82</v>
      </c>
      <c r="P175">
        <v>96</v>
      </c>
      <c r="Q175">
        <v>104</v>
      </c>
      <c r="R175">
        <v>113</v>
      </c>
      <c r="S175">
        <v>126</v>
      </c>
      <c r="T175">
        <v>135</v>
      </c>
      <c r="U175">
        <v>157</v>
      </c>
      <c r="V175">
        <v>172</v>
      </c>
      <c r="W175">
        <v>195</v>
      </c>
      <c r="X175">
        <v>206</v>
      </c>
      <c r="Y175">
        <v>218</v>
      </c>
      <c r="Z175">
        <v>239</v>
      </c>
      <c r="AA175">
        <v>251</v>
      </c>
      <c r="AB175">
        <v>265</v>
      </c>
      <c r="AC175">
        <v>283</v>
      </c>
      <c r="AD175">
        <v>291</v>
      </c>
      <c r="AE175">
        <v>300</v>
      </c>
      <c r="AF175">
        <v>301</v>
      </c>
      <c r="AG175">
        <v>306</v>
      </c>
      <c r="AH175">
        <v>306</v>
      </c>
      <c r="AI175">
        <v>307</v>
      </c>
      <c r="AJ175">
        <v>308</v>
      </c>
      <c r="AK175">
        <v>309</v>
      </c>
      <c r="AL175">
        <v>311</v>
      </c>
      <c r="AM175">
        <v>311</v>
      </c>
      <c r="AN175">
        <v>311</v>
      </c>
      <c r="AO175">
        <v>312</v>
      </c>
      <c r="AP175">
        <v>317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</row>
    <row r="176" spans="1:60" x14ac:dyDescent="0.3">
      <c r="A176" s="2"/>
      <c r="B176" t="s">
        <v>34</v>
      </c>
      <c r="C176" t="s">
        <v>365</v>
      </c>
      <c r="D176">
        <v>26.078900000000001</v>
      </c>
      <c r="E176">
        <v>117.98739999999999</v>
      </c>
      <c r="F176">
        <v>1</v>
      </c>
      <c r="G176">
        <v>5</v>
      </c>
      <c r="H176">
        <v>10</v>
      </c>
      <c r="I176">
        <v>18</v>
      </c>
      <c r="J176">
        <v>35</v>
      </c>
      <c r="K176">
        <v>59</v>
      </c>
      <c r="L176">
        <v>80</v>
      </c>
      <c r="M176">
        <v>84</v>
      </c>
      <c r="N176">
        <v>101</v>
      </c>
      <c r="O176">
        <v>120</v>
      </c>
      <c r="P176">
        <v>144</v>
      </c>
      <c r="Q176">
        <v>159</v>
      </c>
      <c r="R176">
        <v>179</v>
      </c>
      <c r="S176">
        <v>194</v>
      </c>
      <c r="T176">
        <v>205</v>
      </c>
      <c r="U176">
        <v>215</v>
      </c>
      <c r="V176">
        <v>224</v>
      </c>
      <c r="W176">
        <v>239</v>
      </c>
      <c r="X176">
        <v>250</v>
      </c>
      <c r="Y176">
        <v>261</v>
      </c>
      <c r="Z176">
        <v>267</v>
      </c>
      <c r="AA176">
        <v>272</v>
      </c>
      <c r="AB176">
        <v>279</v>
      </c>
      <c r="AC176">
        <v>281</v>
      </c>
      <c r="AD176">
        <v>285</v>
      </c>
      <c r="AE176">
        <v>287</v>
      </c>
      <c r="AF176">
        <v>290</v>
      </c>
      <c r="AG176">
        <v>292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293</v>
      </c>
      <c r="AN176">
        <v>294</v>
      </c>
      <c r="AO176">
        <v>294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</row>
    <row r="177" spans="1:60" x14ac:dyDescent="0.3">
      <c r="A177" s="2"/>
      <c r="B177" t="s">
        <v>37</v>
      </c>
      <c r="C177" t="s">
        <v>365</v>
      </c>
      <c r="D177">
        <v>23.829799999999999</v>
      </c>
      <c r="E177">
        <v>108.7881</v>
      </c>
      <c r="F177">
        <v>2</v>
      </c>
      <c r="G177">
        <v>5</v>
      </c>
      <c r="H177">
        <v>23</v>
      </c>
      <c r="I177">
        <v>23</v>
      </c>
      <c r="J177">
        <v>36</v>
      </c>
      <c r="K177">
        <v>46</v>
      </c>
      <c r="L177">
        <v>51</v>
      </c>
      <c r="M177">
        <v>58</v>
      </c>
      <c r="N177">
        <v>78</v>
      </c>
      <c r="O177">
        <v>87</v>
      </c>
      <c r="P177">
        <v>100</v>
      </c>
      <c r="Q177">
        <v>111</v>
      </c>
      <c r="R177">
        <v>127</v>
      </c>
      <c r="S177">
        <v>139</v>
      </c>
      <c r="T177">
        <v>150</v>
      </c>
      <c r="U177">
        <v>168</v>
      </c>
      <c r="V177">
        <v>172</v>
      </c>
      <c r="W177">
        <v>183</v>
      </c>
      <c r="X177">
        <v>195</v>
      </c>
      <c r="Y177">
        <v>210</v>
      </c>
      <c r="Z177">
        <v>215</v>
      </c>
      <c r="AA177">
        <v>222</v>
      </c>
      <c r="AB177">
        <v>222</v>
      </c>
      <c r="AC177">
        <v>226</v>
      </c>
      <c r="AD177">
        <v>235</v>
      </c>
      <c r="AE177">
        <v>237</v>
      </c>
      <c r="AF177">
        <v>238</v>
      </c>
      <c r="AG177">
        <v>242</v>
      </c>
      <c r="AH177">
        <v>244</v>
      </c>
      <c r="AI177">
        <v>245</v>
      </c>
      <c r="AJ177">
        <v>246</v>
      </c>
      <c r="AK177">
        <v>249</v>
      </c>
      <c r="AL177">
        <v>249</v>
      </c>
      <c r="AM177">
        <v>251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252</v>
      </c>
    </row>
    <row r="178" spans="1:60" x14ac:dyDescent="0.3">
      <c r="A178" s="2"/>
      <c r="B178" t="s">
        <v>52</v>
      </c>
      <c r="C178" t="s">
        <v>365</v>
      </c>
      <c r="D178">
        <v>35.191699999999997</v>
      </c>
      <c r="E178">
        <v>108.87009999999999</v>
      </c>
      <c r="F178">
        <v>0</v>
      </c>
      <c r="G178">
        <v>3</v>
      </c>
      <c r="H178">
        <v>5</v>
      </c>
      <c r="I178">
        <v>15</v>
      </c>
      <c r="J178">
        <v>22</v>
      </c>
      <c r="K178">
        <v>35</v>
      </c>
      <c r="L178">
        <v>46</v>
      </c>
      <c r="M178">
        <v>56</v>
      </c>
      <c r="N178">
        <v>63</v>
      </c>
      <c r="O178">
        <v>87</v>
      </c>
      <c r="P178">
        <v>101</v>
      </c>
      <c r="Q178">
        <v>116</v>
      </c>
      <c r="R178">
        <v>128</v>
      </c>
      <c r="S178">
        <v>142</v>
      </c>
      <c r="T178">
        <v>165</v>
      </c>
      <c r="U178">
        <v>173</v>
      </c>
      <c r="V178">
        <v>184</v>
      </c>
      <c r="W178">
        <v>195</v>
      </c>
      <c r="X178">
        <v>208</v>
      </c>
      <c r="Y178">
        <v>213</v>
      </c>
      <c r="Z178">
        <v>219</v>
      </c>
      <c r="AA178">
        <v>225</v>
      </c>
      <c r="AB178">
        <v>229</v>
      </c>
      <c r="AC178">
        <v>230</v>
      </c>
      <c r="AD178">
        <v>232</v>
      </c>
      <c r="AE178">
        <v>236</v>
      </c>
      <c r="AF178">
        <v>240</v>
      </c>
      <c r="AG178">
        <v>240</v>
      </c>
      <c r="AH178">
        <v>242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245</v>
      </c>
    </row>
    <row r="179" spans="1:60" x14ac:dyDescent="0.3">
      <c r="A179" s="2"/>
      <c r="B179" t="s">
        <v>60</v>
      </c>
      <c r="C179" t="s">
        <v>365</v>
      </c>
      <c r="D179">
        <v>24.974</v>
      </c>
      <c r="E179">
        <v>101.48699999999999</v>
      </c>
      <c r="F179">
        <v>1</v>
      </c>
      <c r="G179">
        <v>2</v>
      </c>
      <c r="H179">
        <v>5</v>
      </c>
      <c r="I179">
        <v>11</v>
      </c>
      <c r="J179">
        <v>16</v>
      </c>
      <c r="K179">
        <v>26</v>
      </c>
      <c r="L179">
        <v>44</v>
      </c>
      <c r="M179">
        <v>55</v>
      </c>
      <c r="N179">
        <v>70</v>
      </c>
      <c r="O179">
        <v>83</v>
      </c>
      <c r="P179">
        <v>93</v>
      </c>
      <c r="Q179">
        <v>105</v>
      </c>
      <c r="R179">
        <v>117</v>
      </c>
      <c r="S179">
        <v>122</v>
      </c>
      <c r="T179">
        <v>128</v>
      </c>
      <c r="U179">
        <v>133</v>
      </c>
      <c r="V179">
        <v>138</v>
      </c>
      <c r="W179">
        <v>138</v>
      </c>
      <c r="X179">
        <v>141</v>
      </c>
      <c r="Y179">
        <v>149</v>
      </c>
      <c r="Z179">
        <v>153</v>
      </c>
      <c r="AA179">
        <v>154</v>
      </c>
      <c r="AB179">
        <v>156</v>
      </c>
      <c r="AC179">
        <v>162</v>
      </c>
      <c r="AD179">
        <v>168</v>
      </c>
      <c r="AE179">
        <v>171</v>
      </c>
      <c r="AF179">
        <v>171</v>
      </c>
      <c r="AG179">
        <v>172</v>
      </c>
      <c r="AH179">
        <v>172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174</v>
      </c>
      <c r="BH179">
        <v>176</v>
      </c>
    </row>
    <row r="180" spans="1:60" x14ac:dyDescent="0.3">
      <c r="A180" s="2"/>
      <c r="B180" t="s">
        <v>39</v>
      </c>
      <c r="C180" t="s">
        <v>365</v>
      </c>
      <c r="D180">
        <v>19.195900000000002</v>
      </c>
      <c r="E180">
        <v>109.7453</v>
      </c>
      <c r="F180">
        <v>4</v>
      </c>
      <c r="G180">
        <v>5</v>
      </c>
      <c r="H180">
        <v>8</v>
      </c>
      <c r="I180">
        <v>19</v>
      </c>
      <c r="J180">
        <v>22</v>
      </c>
      <c r="K180">
        <v>33</v>
      </c>
      <c r="L180">
        <v>40</v>
      </c>
      <c r="M180">
        <v>43</v>
      </c>
      <c r="N180">
        <v>46</v>
      </c>
      <c r="O180">
        <v>52</v>
      </c>
      <c r="P180">
        <v>62</v>
      </c>
      <c r="Q180">
        <v>64</v>
      </c>
      <c r="R180">
        <v>72</v>
      </c>
      <c r="S180">
        <v>80</v>
      </c>
      <c r="T180">
        <v>99</v>
      </c>
      <c r="U180">
        <v>106</v>
      </c>
      <c r="V180">
        <v>117</v>
      </c>
      <c r="W180">
        <v>124</v>
      </c>
      <c r="X180">
        <v>131</v>
      </c>
      <c r="Y180">
        <v>138</v>
      </c>
      <c r="Z180">
        <v>144</v>
      </c>
      <c r="AA180">
        <v>157</v>
      </c>
      <c r="AB180">
        <v>157</v>
      </c>
      <c r="AC180">
        <v>159</v>
      </c>
      <c r="AD180">
        <v>162</v>
      </c>
      <c r="AE180">
        <v>162</v>
      </c>
      <c r="AF180">
        <v>163</v>
      </c>
      <c r="AG180">
        <v>163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</row>
    <row r="181" spans="1:60" x14ac:dyDescent="0.3">
      <c r="A181" s="2"/>
      <c r="B181" t="s">
        <v>38</v>
      </c>
      <c r="C181" t="s">
        <v>365</v>
      </c>
      <c r="D181">
        <v>26.8154</v>
      </c>
      <c r="E181">
        <v>106.87479999999999</v>
      </c>
      <c r="F181">
        <v>1</v>
      </c>
      <c r="G181">
        <v>3</v>
      </c>
      <c r="H181">
        <v>3</v>
      </c>
      <c r="I181">
        <v>4</v>
      </c>
      <c r="J181">
        <v>5</v>
      </c>
      <c r="K181">
        <v>7</v>
      </c>
      <c r="L181">
        <v>9</v>
      </c>
      <c r="M181">
        <v>9</v>
      </c>
      <c r="N181">
        <v>12</v>
      </c>
      <c r="O181">
        <v>29</v>
      </c>
      <c r="P181">
        <v>29</v>
      </c>
      <c r="Q181">
        <v>38</v>
      </c>
      <c r="R181">
        <v>46</v>
      </c>
      <c r="S181">
        <v>58</v>
      </c>
      <c r="T181">
        <v>64</v>
      </c>
      <c r="U181">
        <v>71</v>
      </c>
      <c r="V181">
        <v>81</v>
      </c>
      <c r="W181">
        <v>89</v>
      </c>
      <c r="X181">
        <v>99</v>
      </c>
      <c r="Y181">
        <v>109</v>
      </c>
      <c r="Z181">
        <v>127</v>
      </c>
      <c r="AA181">
        <v>133</v>
      </c>
      <c r="AB181">
        <v>135</v>
      </c>
      <c r="AC181">
        <v>140</v>
      </c>
      <c r="AD181">
        <v>143</v>
      </c>
      <c r="AE181">
        <v>144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146</v>
      </c>
    </row>
    <row r="182" spans="1:60" x14ac:dyDescent="0.3">
      <c r="A182" s="2"/>
      <c r="B182" t="s">
        <v>57</v>
      </c>
      <c r="C182" t="s">
        <v>365</v>
      </c>
      <c r="D182">
        <v>39.305399999999999</v>
      </c>
      <c r="E182">
        <v>117.32299999999999</v>
      </c>
      <c r="F182">
        <v>4</v>
      </c>
      <c r="G182">
        <v>4</v>
      </c>
      <c r="H182">
        <v>8</v>
      </c>
      <c r="I182">
        <v>10</v>
      </c>
      <c r="J182">
        <v>14</v>
      </c>
      <c r="K182">
        <v>23</v>
      </c>
      <c r="L182">
        <v>24</v>
      </c>
      <c r="M182">
        <v>27</v>
      </c>
      <c r="N182">
        <v>31</v>
      </c>
      <c r="O182">
        <v>32</v>
      </c>
      <c r="P182">
        <v>41</v>
      </c>
      <c r="Q182">
        <v>48</v>
      </c>
      <c r="R182">
        <v>60</v>
      </c>
      <c r="S182">
        <v>67</v>
      </c>
      <c r="T182">
        <v>69</v>
      </c>
      <c r="U182">
        <v>79</v>
      </c>
      <c r="V182">
        <v>81</v>
      </c>
      <c r="W182">
        <v>88</v>
      </c>
      <c r="X182">
        <v>91</v>
      </c>
      <c r="Y182">
        <v>95</v>
      </c>
      <c r="Z182">
        <v>106</v>
      </c>
      <c r="AA182">
        <v>112</v>
      </c>
      <c r="AB182">
        <v>119</v>
      </c>
      <c r="AC182">
        <v>120</v>
      </c>
      <c r="AD182">
        <v>122</v>
      </c>
      <c r="AE182">
        <v>124</v>
      </c>
      <c r="AF182">
        <v>125</v>
      </c>
      <c r="AG182">
        <v>128</v>
      </c>
      <c r="AH182">
        <v>130</v>
      </c>
      <c r="AI182">
        <v>131</v>
      </c>
      <c r="AJ182">
        <v>132</v>
      </c>
      <c r="AK182">
        <v>135</v>
      </c>
      <c r="AL182">
        <v>135</v>
      </c>
      <c r="AM182">
        <v>135</v>
      </c>
      <c r="AN182">
        <v>135</v>
      </c>
      <c r="AO182">
        <v>135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</row>
    <row r="183" spans="1:60" x14ac:dyDescent="0.3">
      <c r="A183" s="2"/>
      <c r="B183" t="s">
        <v>55</v>
      </c>
      <c r="C183" t="s">
        <v>365</v>
      </c>
      <c r="D183">
        <v>37.5777</v>
      </c>
      <c r="E183">
        <v>112.29219999999999</v>
      </c>
      <c r="F183">
        <v>1</v>
      </c>
      <c r="G183">
        <v>1</v>
      </c>
      <c r="H183">
        <v>1</v>
      </c>
      <c r="I183">
        <v>6</v>
      </c>
      <c r="J183">
        <v>9</v>
      </c>
      <c r="K183">
        <v>13</v>
      </c>
      <c r="L183">
        <v>27</v>
      </c>
      <c r="M183">
        <v>27</v>
      </c>
      <c r="N183">
        <v>35</v>
      </c>
      <c r="O183">
        <v>39</v>
      </c>
      <c r="P183">
        <v>47</v>
      </c>
      <c r="Q183">
        <v>66</v>
      </c>
      <c r="R183">
        <v>74</v>
      </c>
      <c r="S183">
        <v>81</v>
      </c>
      <c r="T183">
        <v>81</v>
      </c>
      <c r="U183">
        <v>96</v>
      </c>
      <c r="V183">
        <v>104</v>
      </c>
      <c r="W183">
        <v>115</v>
      </c>
      <c r="X183">
        <v>119</v>
      </c>
      <c r="Y183">
        <v>119</v>
      </c>
      <c r="Z183">
        <v>124</v>
      </c>
      <c r="AA183">
        <v>126</v>
      </c>
      <c r="AB183">
        <v>126</v>
      </c>
      <c r="AC183">
        <v>127</v>
      </c>
      <c r="AD183">
        <v>128</v>
      </c>
      <c r="AE183">
        <v>129</v>
      </c>
      <c r="AF183">
        <v>130</v>
      </c>
      <c r="AG183">
        <v>131</v>
      </c>
      <c r="AH183">
        <v>131</v>
      </c>
      <c r="AI183">
        <v>132</v>
      </c>
      <c r="AJ183">
        <v>132</v>
      </c>
      <c r="AK183">
        <v>132</v>
      </c>
      <c r="AL183">
        <v>132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</row>
    <row r="184" spans="1:60" x14ac:dyDescent="0.3">
      <c r="A184" s="2"/>
      <c r="B184" t="s">
        <v>35</v>
      </c>
      <c r="C184" t="s">
        <v>365</v>
      </c>
      <c r="D184">
        <v>37.809899999999999</v>
      </c>
      <c r="E184">
        <v>101.0583</v>
      </c>
      <c r="F184">
        <v>0</v>
      </c>
      <c r="G184">
        <v>2</v>
      </c>
      <c r="H184">
        <v>2</v>
      </c>
      <c r="I184">
        <v>4</v>
      </c>
      <c r="J184">
        <v>7</v>
      </c>
      <c r="K184">
        <v>14</v>
      </c>
      <c r="L184">
        <v>19</v>
      </c>
      <c r="M184">
        <v>24</v>
      </c>
      <c r="N184">
        <v>26</v>
      </c>
      <c r="O184">
        <v>29</v>
      </c>
      <c r="P184">
        <v>40</v>
      </c>
      <c r="Q184">
        <v>51</v>
      </c>
      <c r="R184">
        <v>55</v>
      </c>
      <c r="S184">
        <v>57</v>
      </c>
      <c r="T184">
        <v>62</v>
      </c>
      <c r="U184">
        <v>62</v>
      </c>
      <c r="V184">
        <v>67</v>
      </c>
      <c r="W184">
        <v>79</v>
      </c>
      <c r="X184">
        <v>83</v>
      </c>
      <c r="Y184">
        <v>83</v>
      </c>
      <c r="Z184">
        <v>86</v>
      </c>
      <c r="AA184">
        <v>87</v>
      </c>
      <c r="AB184">
        <v>90</v>
      </c>
      <c r="AC184">
        <v>90</v>
      </c>
      <c r="AD184">
        <v>90</v>
      </c>
      <c r="AE184">
        <v>90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91</v>
      </c>
      <c r="AW184">
        <v>102</v>
      </c>
      <c r="AX184">
        <v>119</v>
      </c>
      <c r="AY184">
        <v>120</v>
      </c>
      <c r="AZ184">
        <v>124</v>
      </c>
      <c r="BA184">
        <v>124</v>
      </c>
      <c r="BB184">
        <v>125</v>
      </c>
      <c r="BC184">
        <v>127</v>
      </c>
      <c r="BD184">
        <v>127</v>
      </c>
      <c r="BE184">
        <v>127</v>
      </c>
      <c r="BF184">
        <v>129</v>
      </c>
      <c r="BG184">
        <v>133</v>
      </c>
      <c r="BH184">
        <v>133</v>
      </c>
    </row>
    <row r="185" spans="1:60" x14ac:dyDescent="0.3">
      <c r="A185" s="2"/>
      <c r="B185" t="s">
        <v>273</v>
      </c>
      <c r="C185" t="s">
        <v>365</v>
      </c>
      <c r="D185">
        <v>22.3</v>
      </c>
      <c r="E185">
        <v>114.2</v>
      </c>
      <c r="F185">
        <v>0</v>
      </c>
      <c r="G185">
        <v>2</v>
      </c>
      <c r="H185">
        <v>2</v>
      </c>
      <c r="I185">
        <v>5</v>
      </c>
      <c r="J185">
        <v>8</v>
      </c>
      <c r="K185">
        <v>8</v>
      </c>
      <c r="L185">
        <v>8</v>
      </c>
      <c r="M185">
        <v>10</v>
      </c>
      <c r="N185">
        <v>10</v>
      </c>
      <c r="O185">
        <v>12</v>
      </c>
      <c r="P185">
        <v>13</v>
      </c>
      <c r="Q185">
        <v>15</v>
      </c>
      <c r="R185">
        <v>15</v>
      </c>
      <c r="S185">
        <v>17</v>
      </c>
      <c r="T185">
        <v>21</v>
      </c>
      <c r="U185">
        <v>24</v>
      </c>
      <c r="V185">
        <v>25</v>
      </c>
      <c r="W185">
        <v>26</v>
      </c>
      <c r="X185">
        <v>29</v>
      </c>
      <c r="Y185">
        <v>38</v>
      </c>
      <c r="Z185">
        <v>49</v>
      </c>
      <c r="AA185">
        <v>50</v>
      </c>
      <c r="AB185">
        <v>53</v>
      </c>
      <c r="AC185">
        <v>56</v>
      </c>
      <c r="AD185">
        <v>56</v>
      </c>
      <c r="AE185">
        <v>57</v>
      </c>
      <c r="AF185">
        <v>60</v>
      </c>
      <c r="AG185">
        <v>62</v>
      </c>
      <c r="AH185">
        <v>63</v>
      </c>
      <c r="AI185">
        <v>68</v>
      </c>
      <c r="AJ185">
        <v>68</v>
      </c>
      <c r="AK185">
        <v>69</v>
      </c>
      <c r="AL185">
        <v>74</v>
      </c>
      <c r="AM185">
        <v>79</v>
      </c>
      <c r="AN185">
        <v>84</v>
      </c>
      <c r="AO185">
        <v>91</v>
      </c>
      <c r="AP185">
        <v>92</v>
      </c>
      <c r="AQ185">
        <v>94</v>
      </c>
      <c r="AR185">
        <v>95</v>
      </c>
      <c r="AS185">
        <v>96</v>
      </c>
      <c r="AT185">
        <v>100</v>
      </c>
      <c r="AU185">
        <v>100</v>
      </c>
      <c r="AV185">
        <v>105</v>
      </c>
      <c r="AW185">
        <v>105</v>
      </c>
      <c r="AX185">
        <v>107</v>
      </c>
      <c r="AY185">
        <v>108</v>
      </c>
      <c r="AZ185">
        <v>114</v>
      </c>
      <c r="BA185">
        <v>115</v>
      </c>
      <c r="BB185">
        <v>120</v>
      </c>
      <c r="BC185">
        <v>126</v>
      </c>
      <c r="BD185">
        <v>129</v>
      </c>
      <c r="BE185">
        <v>134</v>
      </c>
      <c r="BF185">
        <v>140</v>
      </c>
      <c r="BG185">
        <v>145</v>
      </c>
      <c r="BH185">
        <v>155</v>
      </c>
    </row>
    <row r="186" spans="1:60" x14ac:dyDescent="0.3">
      <c r="A186" s="2"/>
      <c r="B186" t="s">
        <v>49</v>
      </c>
      <c r="C186" t="s">
        <v>365</v>
      </c>
      <c r="D186">
        <v>41.2956</v>
      </c>
      <c r="E186">
        <v>122.60850000000001</v>
      </c>
      <c r="F186">
        <v>2</v>
      </c>
      <c r="G186">
        <v>3</v>
      </c>
      <c r="H186">
        <v>4</v>
      </c>
      <c r="I186">
        <v>17</v>
      </c>
      <c r="J186">
        <v>21</v>
      </c>
      <c r="K186">
        <v>27</v>
      </c>
      <c r="L186">
        <v>34</v>
      </c>
      <c r="M186">
        <v>39</v>
      </c>
      <c r="N186">
        <v>41</v>
      </c>
      <c r="O186">
        <v>48</v>
      </c>
      <c r="P186">
        <v>64</v>
      </c>
      <c r="Q186">
        <v>70</v>
      </c>
      <c r="R186">
        <v>74</v>
      </c>
      <c r="S186">
        <v>81</v>
      </c>
      <c r="T186">
        <v>89</v>
      </c>
      <c r="U186">
        <v>94</v>
      </c>
      <c r="V186">
        <v>99</v>
      </c>
      <c r="W186">
        <v>105</v>
      </c>
      <c r="X186">
        <v>107</v>
      </c>
      <c r="Y186">
        <v>108</v>
      </c>
      <c r="Z186">
        <v>111</v>
      </c>
      <c r="AA186">
        <v>116</v>
      </c>
      <c r="AB186">
        <v>117</v>
      </c>
      <c r="AC186">
        <v>119</v>
      </c>
      <c r="AD186">
        <v>119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121</v>
      </c>
      <c r="AS186">
        <v>122</v>
      </c>
      <c r="AT186">
        <v>122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</row>
    <row r="187" spans="1:60" x14ac:dyDescent="0.3">
      <c r="A187" s="2"/>
      <c r="B187" t="s">
        <v>48</v>
      </c>
      <c r="C187" t="s">
        <v>365</v>
      </c>
      <c r="D187">
        <v>43.6661</v>
      </c>
      <c r="E187">
        <v>126.1923</v>
      </c>
      <c r="F187">
        <v>0</v>
      </c>
      <c r="G187">
        <v>1</v>
      </c>
      <c r="H187">
        <v>3</v>
      </c>
      <c r="I187">
        <v>4</v>
      </c>
      <c r="J187">
        <v>4</v>
      </c>
      <c r="K187">
        <v>6</v>
      </c>
      <c r="L187">
        <v>8</v>
      </c>
      <c r="M187">
        <v>9</v>
      </c>
      <c r="N187">
        <v>14</v>
      </c>
      <c r="O187">
        <v>14</v>
      </c>
      <c r="P187">
        <v>17</v>
      </c>
      <c r="Q187">
        <v>23</v>
      </c>
      <c r="R187">
        <v>31</v>
      </c>
      <c r="S187">
        <v>42</v>
      </c>
      <c r="T187">
        <v>54</v>
      </c>
      <c r="U187">
        <v>59</v>
      </c>
      <c r="V187">
        <v>65</v>
      </c>
      <c r="W187">
        <v>69</v>
      </c>
      <c r="X187">
        <v>78</v>
      </c>
      <c r="Y187">
        <v>80</v>
      </c>
      <c r="Z187">
        <v>81</v>
      </c>
      <c r="AA187">
        <v>83</v>
      </c>
      <c r="AB187">
        <v>84</v>
      </c>
      <c r="AC187">
        <v>86</v>
      </c>
      <c r="AD187">
        <v>88</v>
      </c>
      <c r="AE187">
        <v>89</v>
      </c>
      <c r="AF187">
        <v>89</v>
      </c>
      <c r="AG187">
        <v>89</v>
      </c>
      <c r="AH187">
        <v>90</v>
      </c>
      <c r="AI187">
        <v>91</v>
      </c>
      <c r="AJ187">
        <v>91</v>
      </c>
      <c r="AK187">
        <v>91</v>
      </c>
      <c r="AL187">
        <v>91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</row>
    <row r="188" spans="1:60" x14ac:dyDescent="0.3">
      <c r="A188" s="2"/>
      <c r="C188" t="s">
        <v>369</v>
      </c>
      <c r="D188">
        <v>49.817500000000003</v>
      </c>
      <c r="E188">
        <v>15.473000000000001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3</v>
      </c>
      <c r="AT188">
        <v>3</v>
      </c>
      <c r="AU188">
        <v>5</v>
      </c>
      <c r="AV188">
        <v>8</v>
      </c>
      <c r="AW188">
        <v>12</v>
      </c>
      <c r="AX188">
        <v>18</v>
      </c>
      <c r="AY188">
        <v>19</v>
      </c>
      <c r="AZ188">
        <v>31</v>
      </c>
      <c r="BA188">
        <v>31</v>
      </c>
      <c r="BB188">
        <v>41</v>
      </c>
      <c r="BC188">
        <v>91</v>
      </c>
      <c r="BD188">
        <v>94</v>
      </c>
      <c r="BE188">
        <v>141</v>
      </c>
      <c r="BF188">
        <v>189</v>
      </c>
      <c r="BG188">
        <v>253</v>
      </c>
      <c r="BH188">
        <v>298</v>
      </c>
    </row>
    <row r="189" spans="1:60" x14ac:dyDescent="0.3">
      <c r="A189" s="2"/>
      <c r="B189" t="s">
        <v>59</v>
      </c>
      <c r="C189" t="s">
        <v>365</v>
      </c>
      <c r="D189">
        <v>41.112900000000003</v>
      </c>
      <c r="E189">
        <v>85.240099999999998</v>
      </c>
      <c r="F189">
        <v>0</v>
      </c>
      <c r="G189">
        <v>2</v>
      </c>
      <c r="H189">
        <v>2</v>
      </c>
      <c r="I189">
        <v>3</v>
      </c>
      <c r="J189">
        <v>4</v>
      </c>
      <c r="K189">
        <v>5</v>
      </c>
      <c r="L189">
        <v>10</v>
      </c>
      <c r="M189">
        <v>13</v>
      </c>
      <c r="N189">
        <v>14</v>
      </c>
      <c r="O189">
        <v>17</v>
      </c>
      <c r="P189">
        <v>18</v>
      </c>
      <c r="Q189">
        <v>21</v>
      </c>
      <c r="R189">
        <v>24</v>
      </c>
      <c r="S189">
        <v>29</v>
      </c>
      <c r="T189">
        <v>32</v>
      </c>
      <c r="U189">
        <v>36</v>
      </c>
      <c r="V189">
        <v>39</v>
      </c>
      <c r="W189">
        <v>42</v>
      </c>
      <c r="X189">
        <v>45</v>
      </c>
      <c r="Y189">
        <v>49</v>
      </c>
      <c r="Z189">
        <v>55</v>
      </c>
      <c r="AA189">
        <v>59</v>
      </c>
      <c r="AB189">
        <v>63</v>
      </c>
      <c r="AC189">
        <v>65</v>
      </c>
      <c r="AD189">
        <v>70</v>
      </c>
      <c r="AE189">
        <v>71</v>
      </c>
      <c r="AF189">
        <v>75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</row>
    <row r="190" spans="1:60" x14ac:dyDescent="0.3">
      <c r="A190" s="2"/>
      <c r="B190" t="s">
        <v>45</v>
      </c>
      <c r="C190" t="s">
        <v>365</v>
      </c>
      <c r="D190">
        <v>44.093499999999999</v>
      </c>
      <c r="E190">
        <v>113.9448</v>
      </c>
      <c r="F190">
        <v>0</v>
      </c>
      <c r="G190">
        <v>0</v>
      </c>
      <c r="H190">
        <v>1</v>
      </c>
      <c r="I190">
        <v>7</v>
      </c>
      <c r="J190">
        <v>7</v>
      </c>
      <c r="K190">
        <v>11</v>
      </c>
      <c r="L190">
        <v>15</v>
      </c>
      <c r="M190">
        <v>16</v>
      </c>
      <c r="N190">
        <v>19</v>
      </c>
      <c r="O190">
        <v>20</v>
      </c>
      <c r="P190">
        <v>23</v>
      </c>
      <c r="Q190">
        <v>27</v>
      </c>
      <c r="R190">
        <v>34</v>
      </c>
      <c r="S190">
        <v>35</v>
      </c>
      <c r="T190">
        <v>42</v>
      </c>
      <c r="U190">
        <v>46</v>
      </c>
      <c r="V190">
        <v>50</v>
      </c>
      <c r="W190">
        <v>52</v>
      </c>
      <c r="X190">
        <v>54</v>
      </c>
      <c r="Y190">
        <v>58</v>
      </c>
      <c r="Z190">
        <v>58</v>
      </c>
      <c r="AA190">
        <v>60</v>
      </c>
      <c r="AB190">
        <v>61</v>
      </c>
      <c r="AC190">
        <v>65</v>
      </c>
      <c r="AD190">
        <v>68</v>
      </c>
      <c r="AE190">
        <v>70</v>
      </c>
      <c r="AF190">
        <v>72</v>
      </c>
      <c r="AG190">
        <v>73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</row>
    <row r="191" spans="1:60" x14ac:dyDescent="0.3">
      <c r="A191" s="2"/>
      <c r="B191" t="s">
        <v>50</v>
      </c>
      <c r="C191" t="s">
        <v>365</v>
      </c>
      <c r="D191">
        <v>37.269199999999998</v>
      </c>
      <c r="E191">
        <v>106.16549999999999</v>
      </c>
      <c r="F191">
        <v>1</v>
      </c>
      <c r="G191">
        <v>1</v>
      </c>
      <c r="H191">
        <v>2</v>
      </c>
      <c r="I191">
        <v>3</v>
      </c>
      <c r="J191">
        <v>4</v>
      </c>
      <c r="K191">
        <v>7</v>
      </c>
      <c r="L191">
        <v>11</v>
      </c>
      <c r="M191">
        <v>12</v>
      </c>
      <c r="N191">
        <v>17</v>
      </c>
      <c r="O191">
        <v>21</v>
      </c>
      <c r="P191">
        <v>26</v>
      </c>
      <c r="Q191">
        <v>28</v>
      </c>
      <c r="R191">
        <v>31</v>
      </c>
      <c r="S191">
        <v>34</v>
      </c>
      <c r="T191">
        <v>34</v>
      </c>
      <c r="U191">
        <v>40</v>
      </c>
      <c r="V191">
        <v>43</v>
      </c>
      <c r="W191">
        <v>45</v>
      </c>
      <c r="X191">
        <v>45</v>
      </c>
      <c r="Y191">
        <v>49</v>
      </c>
      <c r="Z191">
        <v>53</v>
      </c>
      <c r="AA191">
        <v>58</v>
      </c>
      <c r="AB191">
        <v>64</v>
      </c>
      <c r="AC191">
        <v>67</v>
      </c>
      <c r="AD191">
        <v>70</v>
      </c>
      <c r="AE191">
        <v>70</v>
      </c>
      <c r="AF191">
        <v>70</v>
      </c>
      <c r="AG191">
        <v>70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71</v>
      </c>
      <c r="AP191">
        <v>72</v>
      </c>
      <c r="AQ191">
        <v>72</v>
      </c>
      <c r="AR191">
        <v>73</v>
      </c>
      <c r="AS191">
        <v>73</v>
      </c>
      <c r="AT191">
        <v>74</v>
      </c>
      <c r="AU191">
        <v>74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</row>
    <row r="192" spans="1:60" x14ac:dyDescent="0.3">
      <c r="A192" s="2"/>
      <c r="C192" t="s">
        <v>370</v>
      </c>
      <c r="D192">
        <v>23.7</v>
      </c>
      <c r="E192">
        <v>121</v>
      </c>
      <c r="F192">
        <v>1</v>
      </c>
      <c r="G192">
        <v>1</v>
      </c>
      <c r="H192">
        <v>3</v>
      </c>
      <c r="I192">
        <v>3</v>
      </c>
      <c r="J192">
        <v>4</v>
      </c>
      <c r="K192">
        <v>5</v>
      </c>
      <c r="L192">
        <v>8</v>
      </c>
      <c r="M192">
        <v>8</v>
      </c>
      <c r="N192">
        <v>9</v>
      </c>
      <c r="O192">
        <v>10</v>
      </c>
      <c r="P192">
        <v>10</v>
      </c>
      <c r="Q192">
        <v>10</v>
      </c>
      <c r="R192">
        <v>10</v>
      </c>
      <c r="S192">
        <v>11</v>
      </c>
      <c r="T192">
        <v>11</v>
      </c>
      <c r="U192">
        <v>16</v>
      </c>
      <c r="V192">
        <v>16</v>
      </c>
      <c r="W192">
        <v>17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18</v>
      </c>
      <c r="AE192">
        <v>20</v>
      </c>
      <c r="AF192">
        <v>22</v>
      </c>
      <c r="AG192">
        <v>22</v>
      </c>
      <c r="AH192">
        <v>23</v>
      </c>
      <c r="AI192">
        <v>24</v>
      </c>
      <c r="AJ192">
        <v>26</v>
      </c>
      <c r="AK192">
        <v>26</v>
      </c>
      <c r="AL192">
        <v>28</v>
      </c>
      <c r="AM192">
        <v>30</v>
      </c>
      <c r="AN192">
        <v>31</v>
      </c>
      <c r="AO192">
        <v>32</v>
      </c>
      <c r="AP192">
        <v>32</v>
      </c>
      <c r="AQ192">
        <v>34</v>
      </c>
      <c r="AR192">
        <v>39</v>
      </c>
      <c r="AS192">
        <v>40</v>
      </c>
      <c r="AT192">
        <v>41</v>
      </c>
      <c r="AU192">
        <v>42</v>
      </c>
      <c r="AV192">
        <v>42</v>
      </c>
      <c r="AW192">
        <v>44</v>
      </c>
      <c r="AX192">
        <v>45</v>
      </c>
      <c r="AY192">
        <v>45</v>
      </c>
      <c r="AZ192">
        <v>45</v>
      </c>
      <c r="BA192">
        <v>45</v>
      </c>
      <c r="BB192">
        <v>47</v>
      </c>
      <c r="BC192">
        <v>48</v>
      </c>
      <c r="BD192">
        <v>49</v>
      </c>
      <c r="BE192">
        <v>50</v>
      </c>
      <c r="BF192">
        <v>53</v>
      </c>
      <c r="BG192">
        <v>59</v>
      </c>
      <c r="BH192">
        <v>67</v>
      </c>
    </row>
    <row r="193" spans="1:60" x14ac:dyDescent="0.3">
      <c r="A193" s="2"/>
      <c r="C193" t="s">
        <v>371</v>
      </c>
      <c r="D193">
        <v>16</v>
      </c>
      <c r="E193">
        <v>108</v>
      </c>
      <c r="F193">
        <v>0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2</v>
      </c>
      <c r="P193">
        <v>6</v>
      </c>
      <c r="Q193">
        <v>6</v>
      </c>
      <c r="R193">
        <v>8</v>
      </c>
      <c r="S193">
        <v>8</v>
      </c>
      <c r="T193">
        <v>8</v>
      </c>
      <c r="U193">
        <v>10</v>
      </c>
      <c r="V193">
        <v>10</v>
      </c>
      <c r="W193">
        <v>13</v>
      </c>
      <c r="X193">
        <v>13</v>
      </c>
      <c r="Y193">
        <v>14</v>
      </c>
      <c r="Z193">
        <v>15</v>
      </c>
      <c r="AA193">
        <v>15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18</v>
      </c>
      <c r="AZ193">
        <v>30</v>
      </c>
      <c r="BA193">
        <v>30</v>
      </c>
      <c r="BB193">
        <v>31</v>
      </c>
      <c r="BC193">
        <v>38</v>
      </c>
      <c r="BD193">
        <v>39</v>
      </c>
      <c r="BE193">
        <v>47</v>
      </c>
      <c r="BF193">
        <v>53</v>
      </c>
      <c r="BG193">
        <v>56</v>
      </c>
      <c r="BH193">
        <v>61</v>
      </c>
    </row>
    <row r="194" spans="1:60" x14ac:dyDescent="0.3">
      <c r="A194" s="2"/>
      <c r="C194" t="s">
        <v>372</v>
      </c>
      <c r="D194">
        <v>60</v>
      </c>
      <c r="E194">
        <v>90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3</v>
      </c>
      <c r="AU194">
        <v>3</v>
      </c>
      <c r="AV194">
        <v>3</v>
      </c>
      <c r="AW194">
        <v>4</v>
      </c>
      <c r="AX194">
        <v>13</v>
      </c>
      <c r="AY194">
        <v>13</v>
      </c>
      <c r="AZ194">
        <v>17</v>
      </c>
      <c r="BA194">
        <v>17</v>
      </c>
      <c r="BB194">
        <v>20</v>
      </c>
      <c r="BC194">
        <v>20</v>
      </c>
      <c r="BD194">
        <v>28</v>
      </c>
      <c r="BE194">
        <v>45</v>
      </c>
      <c r="BF194">
        <v>59</v>
      </c>
      <c r="BG194">
        <v>63</v>
      </c>
      <c r="BH194">
        <v>90</v>
      </c>
    </row>
    <row r="195" spans="1:60" x14ac:dyDescent="0.3">
      <c r="A195" s="2"/>
      <c r="B195" t="s">
        <v>51</v>
      </c>
      <c r="C195" t="s">
        <v>365</v>
      </c>
      <c r="D195">
        <v>35.745199999999997</v>
      </c>
      <c r="E195">
        <v>95.995599999999996</v>
      </c>
      <c r="F195">
        <v>0</v>
      </c>
      <c r="G195">
        <v>0</v>
      </c>
      <c r="H195">
        <v>0</v>
      </c>
      <c r="I195">
        <v>1</v>
      </c>
      <c r="J195">
        <v>1</v>
      </c>
      <c r="K195">
        <v>6</v>
      </c>
      <c r="L195">
        <v>6</v>
      </c>
      <c r="M195">
        <v>6</v>
      </c>
      <c r="N195">
        <v>8</v>
      </c>
      <c r="O195">
        <v>8</v>
      </c>
      <c r="P195">
        <v>9</v>
      </c>
      <c r="Q195">
        <v>11</v>
      </c>
      <c r="R195">
        <v>13</v>
      </c>
      <c r="S195">
        <v>15</v>
      </c>
      <c r="T195">
        <v>17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</row>
    <row r="196" spans="1:60" x14ac:dyDescent="0.3">
      <c r="A196" s="2"/>
      <c r="B196" t="s">
        <v>284</v>
      </c>
      <c r="C196" t="s">
        <v>365</v>
      </c>
      <c r="D196">
        <v>22.166699999999999</v>
      </c>
      <c r="E196">
        <v>113.55</v>
      </c>
      <c r="F196">
        <v>1</v>
      </c>
      <c r="G196">
        <v>2</v>
      </c>
      <c r="H196">
        <v>2</v>
      </c>
      <c r="I196">
        <v>2</v>
      </c>
      <c r="J196">
        <v>5</v>
      </c>
      <c r="K196">
        <v>6</v>
      </c>
      <c r="L196">
        <v>7</v>
      </c>
      <c r="M196">
        <v>7</v>
      </c>
      <c r="N196">
        <v>7</v>
      </c>
      <c r="O196">
        <v>7</v>
      </c>
      <c r="P196">
        <v>7</v>
      </c>
      <c r="Q196">
        <v>8</v>
      </c>
      <c r="R196">
        <v>8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11</v>
      </c>
    </row>
    <row r="197" spans="1:60" x14ac:dyDescent="0.3">
      <c r="A197" s="2"/>
      <c r="C197" t="s">
        <v>373</v>
      </c>
      <c r="D197">
        <v>47.4116</v>
      </c>
      <c r="E197">
        <v>28.369900000000001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1</v>
      </c>
      <c r="BA197">
        <v>1</v>
      </c>
      <c r="BB197">
        <v>3</v>
      </c>
      <c r="BC197">
        <v>3</v>
      </c>
      <c r="BD197">
        <v>3</v>
      </c>
      <c r="BE197">
        <v>6</v>
      </c>
      <c r="BF197">
        <v>12</v>
      </c>
      <c r="BG197">
        <v>23</v>
      </c>
      <c r="BH197">
        <v>23</v>
      </c>
    </row>
    <row r="198" spans="1:60" x14ac:dyDescent="0.3">
      <c r="A198" s="2"/>
      <c r="C198" t="s">
        <v>374</v>
      </c>
      <c r="D198">
        <v>-16.290199999999999</v>
      </c>
      <c r="E198">
        <v>-63.588700000000003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2</v>
      </c>
      <c r="BD198">
        <v>2</v>
      </c>
      <c r="BE198">
        <v>3</v>
      </c>
      <c r="BF198">
        <v>10</v>
      </c>
      <c r="BG198">
        <v>10</v>
      </c>
      <c r="BH198">
        <v>11</v>
      </c>
    </row>
    <row r="199" spans="1:60" x14ac:dyDescent="0.3">
      <c r="A199" s="2"/>
      <c r="B199" t="s">
        <v>161</v>
      </c>
      <c r="C199" t="s">
        <v>114</v>
      </c>
      <c r="D199">
        <v>61.892600000000002</v>
      </c>
      <c r="E199">
        <v>-6.9118000000000004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1</v>
      </c>
      <c r="AW199">
        <v>1</v>
      </c>
      <c r="AX199">
        <v>1</v>
      </c>
      <c r="AY199">
        <v>1</v>
      </c>
      <c r="AZ199">
        <v>2</v>
      </c>
      <c r="BA199">
        <v>2</v>
      </c>
      <c r="BB199">
        <v>2</v>
      </c>
      <c r="BC199">
        <v>2</v>
      </c>
      <c r="BD199">
        <v>2</v>
      </c>
      <c r="BE199">
        <v>3</v>
      </c>
      <c r="BF199">
        <v>9</v>
      </c>
      <c r="BG199">
        <v>11</v>
      </c>
      <c r="BH199">
        <v>18</v>
      </c>
    </row>
    <row r="200" spans="1:60" x14ac:dyDescent="0.3">
      <c r="A200" s="2"/>
      <c r="B200" t="s">
        <v>375</v>
      </c>
      <c r="C200" t="s">
        <v>68</v>
      </c>
      <c r="D200">
        <v>18.070799999999998</v>
      </c>
      <c r="E200">
        <v>-63.0501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</row>
    <row r="201" spans="1:60" x14ac:dyDescent="0.3">
      <c r="A201" s="2"/>
      <c r="C201" t="s">
        <v>376</v>
      </c>
      <c r="D201">
        <v>15.2</v>
      </c>
      <c r="E201">
        <v>-86.241900000000001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2</v>
      </c>
      <c r="BD201">
        <v>2</v>
      </c>
      <c r="BE201">
        <v>2</v>
      </c>
      <c r="BF201">
        <v>2</v>
      </c>
      <c r="BG201">
        <v>3</v>
      </c>
      <c r="BH201">
        <v>6</v>
      </c>
    </row>
    <row r="202" spans="1:60" x14ac:dyDescent="0.3">
      <c r="A202" s="2"/>
      <c r="B202" t="s">
        <v>307</v>
      </c>
      <c r="C202" t="s">
        <v>377</v>
      </c>
      <c r="D202">
        <v>49.372300000000003</v>
      </c>
      <c r="E202">
        <v>-2.3643999999999998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1</v>
      </c>
      <c r="BC202">
        <v>2</v>
      </c>
      <c r="BD202">
        <v>2</v>
      </c>
      <c r="BE202">
        <v>2</v>
      </c>
      <c r="BF202">
        <v>2</v>
      </c>
      <c r="BG202">
        <v>3</v>
      </c>
      <c r="BH202">
        <v>6</v>
      </c>
    </row>
    <row r="203" spans="1:60" x14ac:dyDescent="0.3">
      <c r="A203" s="2"/>
      <c r="B203" t="s">
        <v>378</v>
      </c>
      <c r="C203" t="s">
        <v>72</v>
      </c>
      <c r="D203">
        <v>46.565300000000001</v>
      </c>
      <c r="E203">
        <v>-66.4619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1</v>
      </c>
      <c r="BD203">
        <v>1</v>
      </c>
      <c r="BE203">
        <v>1</v>
      </c>
      <c r="BF203">
        <v>1</v>
      </c>
      <c r="BG203">
        <v>2</v>
      </c>
      <c r="BH203">
        <v>6</v>
      </c>
    </row>
    <row r="204" spans="1:60" x14ac:dyDescent="0.3">
      <c r="A204" s="2"/>
      <c r="B204" t="s">
        <v>58</v>
      </c>
      <c r="C204" t="s">
        <v>365</v>
      </c>
      <c r="D204">
        <v>31.692699999999999</v>
      </c>
      <c r="E204">
        <v>88.092399999999998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</row>
    <row r="205" spans="1:60" x14ac:dyDescent="0.3">
      <c r="A205" s="2"/>
      <c r="C205" t="s">
        <v>379</v>
      </c>
      <c r="D205">
        <v>-4.0382999999999996</v>
      </c>
      <c r="E205">
        <v>21.758700000000001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1</v>
      </c>
      <c r="BD205">
        <v>1</v>
      </c>
      <c r="BE205">
        <v>2</v>
      </c>
      <c r="BF205">
        <v>2</v>
      </c>
      <c r="BG205">
        <v>2</v>
      </c>
      <c r="BH205">
        <v>2</v>
      </c>
    </row>
    <row r="206" spans="1:60" x14ac:dyDescent="0.3">
      <c r="A206" s="2"/>
      <c r="C206" t="s">
        <v>380</v>
      </c>
      <c r="D206">
        <v>7.54</v>
      </c>
      <c r="E206">
        <v>-5.5471000000000004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</row>
    <row r="207" spans="1:60" x14ac:dyDescent="0.3">
      <c r="A207" s="2"/>
      <c r="B207" t="s">
        <v>157</v>
      </c>
      <c r="C207" t="s">
        <v>68</v>
      </c>
      <c r="D207">
        <v>17.899999999999999</v>
      </c>
      <c r="E207">
        <v>-62.833300000000001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3</v>
      </c>
      <c r="AW207">
        <v>3</v>
      </c>
      <c r="AX207">
        <v>3</v>
      </c>
      <c r="AY207">
        <v>3</v>
      </c>
      <c r="AZ207">
        <v>3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1</v>
      </c>
      <c r="BH207">
        <v>3</v>
      </c>
    </row>
    <row r="208" spans="1:60" x14ac:dyDescent="0.3">
      <c r="A208" s="2"/>
      <c r="C208" t="s">
        <v>381</v>
      </c>
      <c r="D208">
        <v>18.1096</v>
      </c>
      <c r="E208">
        <v>-77.297499999999999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1</v>
      </c>
      <c r="BD208">
        <v>2</v>
      </c>
      <c r="BE208">
        <v>8</v>
      </c>
      <c r="BF208">
        <v>8</v>
      </c>
      <c r="BG208">
        <v>10</v>
      </c>
      <c r="BH208">
        <v>10</v>
      </c>
    </row>
    <row r="209" spans="1:60" x14ac:dyDescent="0.3">
      <c r="A209" s="2"/>
      <c r="C209" t="s">
        <v>382</v>
      </c>
      <c r="D209">
        <v>-21.115100000000002</v>
      </c>
      <c r="E209">
        <v>55.5364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1</v>
      </c>
      <c r="BD209">
        <v>1</v>
      </c>
      <c r="BE209">
        <v>5</v>
      </c>
      <c r="BF209">
        <v>6</v>
      </c>
      <c r="BG209">
        <v>7</v>
      </c>
      <c r="BH209">
        <v>9</v>
      </c>
    </row>
    <row r="210" spans="1:60" x14ac:dyDescent="0.3">
      <c r="A210" s="2"/>
      <c r="C210" t="s">
        <v>383</v>
      </c>
      <c r="D210">
        <v>38.963700000000003</v>
      </c>
      <c r="E210">
        <v>35.243299999999998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1</v>
      </c>
      <c r="BD210">
        <v>1</v>
      </c>
      <c r="BE210">
        <v>5</v>
      </c>
      <c r="BF210">
        <v>5</v>
      </c>
      <c r="BG210">
        <v>6</v>
      </c>
      <c r="BH210">
        <v>18</v>
      </c>
    </row>
    <row r="211" spans="1:60" x14ac:dyDescent="0.3">
      <c r="A211" s="2"/>
      <c r="B211" t="s">
        <v>162</v>
      </c>
      <c r="C211" t="s">
        <v>377</v>
      </c>
      <c r="D211">
        <v>36.140799999999999</v>
      </c>
      <c r="E211">
        <v>-5.3536000000000001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</row>
    <row r="212" spans="1:60" x14ac:dyDescent="0.3">
      <c r="A212" s="2"/>
      <c r="B212" t="s">
        <v>328</v>
      </c>
      <c r="C212" t="s">
        <v>65</v>
      </c>
      <c r="D212">
        <v>47.6477</v>
      </c>
      <c r="E212">
        <v>-122.6413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s="2"/>
      <c r="B213" t="s">
        <v>329</v>
      </c>
      <c r="C213" t="s">
        <v>65</v>
      </c>
      <c r="D213">
        <v>38.310499999999998</v>
      </c>
      <c r="E213">
        <v>-121.90179999999999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s="2"/>
      <c r="B214" t="s">
        <v>330</v>
      </c>
      <c r="C214" t="s">
        <v>65</v>
      </c>
      <c r="D214">
        <v>37.045400000000001</v>
      </c>
      <c r="E214">
        <v>-121.958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s="2"/>
      <c r="B215" t="s">
        <v>331</v>
      </c>
      <c r="C215" t="s">
        <v>65</v>
      </c>
      <c r="D215">
        <v>38.502499999999998</v>
      </c>
      <c r="E215">
        <v>-122.2654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s="2"/>
      <c r="B216" t="s">
        <v>332</v>
      </c>
      <c r="C216" t="s">
        <v>65</v>
      </c>
      <c r="D216">
        <v>34.3705</v>
      </c>
      <c r="E216">
        <v>-119.1391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s="2"/>
      <c r="B217" t="s">
        <v>333</v>
      </c>
      <c r="C217" t="s">
        <v>65</v>
      </c>
      <c r="D217">
        <v>42.409700000000001</v>
      </c>
      <c r="E217">
        <v>-71.857100000000003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s="2"/>
      <c r="B218" t="s">
        <v>334</v>
      </c>
      <c r="C218" t="s">
        <v>65</v>
      </c>
      <c r="D218">
        <v>33.9191</v>
      </c>
      <c r="E218">
        <v>-84.0167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s="2"/>
      <c r="B219" t="s">
        <v>335</v>
      </c>
      <c r="C219" t="s">
        <v>65</v>
      </c>
      <c r="D219">
        <v>33.7956</v>
      </c>
      <c r="E219">
        <v>-84.227900000000005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s="2"/>
      <c r="B220" t="s">
        <v>336</v>
      </c>
      <c r="C220" t="s">
        <v>65</v>
      </c>
      <c r="D220">
        <v>37.545499999999997</v>
      </c>
      <c r="E220">
        <v>-82.777900000000002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s="2"/>
      <c r="B221" t="s">
        <v>337</v>
      </c>
      <c r="C221" t="s">
        <v>65</v>
      </c>
      <c r="D221">
        <v>33.450200000000002</v>
      </c>
      <c r="E221">
        <v>-84.4803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s="2"/>
      <c r="B222" t="s">
        <v>338</v>
      </c>
      <c r="C222" t="s">
        <v>65</v>
      </c>
      <c r="D222">
        <v>32.4893</v>
      </c>
      <c r="E222">
        <v>-94.852099999999993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s="2"/>
      <c r="B223" t="s">
        <v>339</v>
      </c>
      <c r="C223" t="s">
        <v>65</v>
      </c>
      <c r="D223">
        <v>40.258899999999997</v>
      </c>
      <c r="E223">
        <v>-74.123999999999995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s="2"/>
      <c r="B224" t="s">
        <v>340</v>
      </c>
      <c r="C224" t="s">
        <v>65</v>
      </c>
      <c r="D224">
        <v>40.071199999999997</v>
      </c>
      <c r="E224">
        <v>-74.864900000000006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s="2"/>
      <c r="B225" t="s">
        <v>341</v>
      </c>
      <c r="C225" t="s">
        <v>65</v>
      </c>
      <c r="D225">
        <v>39.925899999999999</v>
      </c>
      <c r="E225">
        <v>-75.119600000000005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s="2"/>
      <c r="B226" t="s">
        <v>342</v>
      </c>
      <c r="C226" t="s">
        <v>65</v>
      </c>
      <c r="D226">
        <v>40.8568</v>
      </c>
      <c r="E226">
        <v>-74.128500000000003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s="2"/>
      <c r="B227" t="s">
        <v>343</v>
      </c>
      <c r="C227" t="s">
        <v>65</v>
      </c>
      <c r="D227">
        <v>40.697600000000001</v>
      </c>
      <c r="E227">
        <v>-74.263199999999998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s="2"/>
      <c r="B228" t="s">
        <v>344</v>
      </c>
      <c r="C228" t="s">
        <v>65</v>
      </c>
      <c r="D228">
        <v>39.655299999999997</v>
      </c>
      <c r="E228">
        <v>-106.8287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s="2"/>
      <c r="B229" t="s">
        <v>345</v>
      </c>
      <c r="C229" t="s">
        <v>65</v>
      </c>
      <c r="D229">
        <v>40.695599999999999</v>
      </c>
      <c r="E229">
        <v>-105.5943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s="2"/>
      <c r="B230" t="s">
        <v>346</v>
      </c>
      <c r="C230" t="s">
        <v>65</v>
      </c>
      <c r="D230">
        <v>39.6203</v>
      </c>
      <c r="E230">
        <v>-104.3326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s="2"/>
      <c r="B231" t="s">
        <v>347</v>
      </c>
      <c r="C231" t="s">
        <v>65</v>
      </c>
      <c r="D231">
        <v>38.5458</v>
      </c>
      <c r="E231">
        <v>-106.92529999999999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s="2"/>
      <c r="B232" t="s">
        <v>348</v>
      </c>
      <c r="C232" t="s">
        <v>65</v>
      </c>
      <c r="D232">
        <v>41.987900000000003</v>
      </c>
      <c r="E232">
        <v>-88.401600000000002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s="2"/>
      <c r="B233" t="s">
        <v>349</v>
      </c>
      <c r="C233" t="s">
        <v>65</v>
      </c>
      <c r="D233">
        <v>41.0458</v>
      </c>
      <c r="E233">
        <v>-75.247900000000001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s="2"/>
      <c r="B234" t="s">
        <v>350</v>
      </c>
      <c r="C234" t="s">
        <v>65</v>
      </c>
      <c r="D234">
        <v>39.952599999999997</v>
      </c>
      <c r="E234">
        <v>-75.165199999999999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s="2"/>
      <c r="B235" t="s">
        <v>351</v>
      </c>
      <c r="C235" t="s">
        <v>65</v>
      </c>
      <c r="D235">
        <v>36.8508</v>
      </c>
      <c r="E235">
        <v>-76.285899999999998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s="2"/>
      <c r="B236" t="s">
        <v>352</v>
      </c>
      <c r="C236" t="s">
        <v>65</v>
      </c>
      <c r="D236">
        <v>38.881599999999999</v>
      </c>
      <c r="E236">
        <v>-77.090999999999994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s="2"/>
      <c r="B237" t="s">
        <v>353</v>
      </c>
      <c r="C237" t="s">
        <v>65</v>
      </c>
      <c r="D237">
        <v>38.2042</v>
      </c>
      <c r="E237">
        <v>-77.607799999999997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s="2"/>
      <c r="B238" t="s">
        <v>354</v>
      </c>
      <c r="C238" t="s">
        <v>65</v>
      </c>
      <c r="D238">
        <v>39.076799999999999</v>
      </c>
      <c r="E238">
        <v>-77.653599999999997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s="2"/>
      <c r="B239" t="s">
        <v>384</v>
      </c>
      <c r="C239" t="s">
        <v>65</v>
      </c>
      <c r="D239">
        <v>38.7849</v>
      </c>
      <c r="E239">
        <v>-76.872100000000003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s="2"/>
      <c r="B240" t="s">
        <v>355</v>
      </c>
      <c r="C240" t="s">
        <v>65</v>
      </c>
      <c r="D240">
        <v>41.391199999999998</v>
      </c>
      <c r="E240">
        <v>-95.477800000000002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s="2"/>
      <c r="B241" t="s">
        <v>385</v>
      </c>
      <c r="C241" t="s">
        <v>65</v>
      </c>
      <c r="D241">
        <v>34.246499999999997</v>
      </c>
      <c r="E241">
        <v>-80.606999999999999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s="2"/>
      <c r="B242" t="s">
        <v>356</v>
      </c>
      <c r="C242" t="s">
        <v>65</v>
      </c>
      <c r="D242">
        <v>32.057499999999997</v>
      </c>
      <c r="E242">
        <v>-111.6661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s="2"/>
      <c r="B243" t="s">
        <v>357</v>
      </c>
      <c r="C243" t="s">
        <v>65</v>
      </c>
      <c r="D243">
        <v>41.427700000000002</v>
      </c>
      <c r="E243">
        <v>-85.355000000000004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s="2"/>
      <c r="B244" t="s">
        <v>358</v>
      </c>
      <c r="C244" t="s">
        <v>65</v>
      </c>
      <c r="D244">
        <v>39.852200000000003</v>
      </c>
      <c r="E244">
        <v>-77.286500000000004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s="2"/>
      <c r="B245" t="s">
        <v>359</v>
      </c>
      <c r="C245" t="s">
        <v>65</v>
      </c>
      <c r="D245">
        <v>40.010599999999997</v>
      </c>
      <c r="E245">
        <v>-86.499700000000004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s="2"/>
      <c r="B246" t="s">
        <v>360</v>
      </c>
      <c r="C246" t="s">
        <v>65</v>
      </c>
      <c r="D246">
        <v>43.018599999999999</v>
      </c>
      <c r="E246">
        <v>-89.549800000000005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s="2"/>
      <c r="B247" t="s">
        <v>361</v>
      </c>
      <c r="C247" t="s">
        <v>65</v>
      </c>
      <c r="D247">
        <v>44.750900000000001</v>
      </c>
      <c r="E247">
        <v>-92.381399999999999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s="2"/>
      <c r="B248" t="s">
        <v>362</v>
      </c>
      <c r="C248" t="s">
        <v>65</v>
      </c>
      <c r="D248">
        <v>41.433900000000001</v>
      </c>
      <c r="E248">
        <v>-81.675799999999995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s="2"/>
      <c r="B249" t="s">
        <v>363</v>
      </c>
      <c r="C249" t="s">
        <v>65</v>
      </c>
      <c r="D249">
        <v>41.260300000000001</v>
      </c>
      <c r="E249">
        <v>-111.9522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s="2"/>
      <c r="B250" t="s">
        <v>261</v>
      </c>
      <c r="C250" t="s">
        <v>65</v>
      </c>
      <c r="D250">
        <v>43.027900000000002</v>
      </c>
      <c r="E250">
        <v>-73.135000000000005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1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s="2"/>
      <c r="B251" t="s">
        <v>262</v>
      </c>
      <c r="C251" t="s">
        <v>65</v>
      </c>
      <c r="D251">
        <v>44.825400000000002</v>
      </c>
      <c r="E251">
        <v>-93.784199999999998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1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s="2"/>
      <c r="B252" t="s">
        <v>263</v>
      </c>
      <c r="C252" t="s">
        <v>65</v>
      </c>
      <c r="D252">
        <v>26.894600000000001</v>
      </c>
      <c r="E252">
        <v>-81.909800000000004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1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s="2"/>
      <c r="B253" t="s">
        <v>264</v>
      </c>
      <c r="C253" t="s">
        <v>65</v>
      </c>
      <c r="D253">
        <v>34.2515</v>
      </c>
      <c r="E253">
        <v>-84.4803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1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s="2"/>
      <c r="B254" t="s">
        <v>265</v>
      </c>
      <c r="C254" t="s">
        <v>65</v>
      </c>
      <c r="D254">
        <v>33.179499999999997</v>
      </c>
      <c r="E254">
        <v>-96.492999999999995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1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s="2"/>
      <c r="B255" t="s">
        <v>266</v>
      </c>
      <c r="C255" t="s">
        <v>65</v>
      </c>
      <c r="D255">
        <v>38.193800000000003</v>
      </c>
      <c r="E255">
        <v>-85.643500000000003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1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s="2"/>
      <c r="B256" t="s">
        <v>267</v>
      </c>
      <c r="C256" t="s">
        <v>65</v>
      </c>
      <c r="D256">
        <v>29.649899999999999</v>
      </c>
      <c r="E256">
        <v>-90.112099999999998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1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s="2"/>
      <c r="B257" t="s">
        <v>268</v>
      </c>
      <c r="C257" t="s">
        <v>65</v>
      </c>
      <c r="D257">
        <v>40.790900000000001</v>
      </c>
      <c r="E257">
        <v>-121.84739999999999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1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s="2"/>
      <c r="B258" t="s">
        <v>269</v>
      </c>
      <c r="C258" t="s">
        <v>65</v>
      </c>
      <c r="D258">
        <v>34.860599999999998</v>
      </c>
      <c r="E258">
        <v>-81.953500000000005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1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s="2"/>
      <c r="B259" t="s">
        <v>259</v>
      </c>
      <c r="C259" t="s">
        <v>65</v>
      </c>
      <c r="D259">
        <v>38.433300000000003</v>
      </c>
      <c r="E259">
        <v>-84.354200000000006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2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s="2"/>
      <c r="B260" t="s">
        <v>256</v>
      </c>
      <c r="C260" t="s">
        <v>65</v>
      </c>
      <c r="D260">
        <v>41.669899999999998</v>
      </c>
      <c r="E260">
        <v>-91.598399999999998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3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s="2"/>
      <c r="B261" t="s">
        <v>234</v>
      </c>
      <c r="C261" t="s">
        <v>65</v>
      </c>
      <c r="D261">
        <v>42.311799999999998</v>
      </c>
      <c r="E261">
        <v>-73.182199999999995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1</v>
      </c>
      <c r="BA261">
        <v>1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s="2"/>
      <c r="B262" t="s">
        <v>235</v>
      </c>
      <c r="C262" t="s">
        <v>65</v>
      </c>
      <c r="D262">
        <v>36.134300000000003</v>
      </c>
      <c r="E262">
        <v>-86.822000000000003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1</v>
      </c>
      <c r="BA262">
        <v>1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s="2"/>
      <c r="B263" t="s">
        <v>236</v>
      </c>
      <c r="C263" t="s">
        <v>65</v>
      </c>
      <c r="D263">
        <v>43.126100000000001</v>
      </c>
      <c r="E263">
        <v>-123.2492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1</v>
      </c>
      <c r="BA263">
        <v>1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s="2"/>
      <c r="B264" t="s">
        <v>237</v>
      </c>
      <c r="C264" t="s">
        <v>65</v>
      </c>
      <c r="D264">
        <v>36.985900000000001</v>
      </c>
      <c r="E264">
        <v>-119.2321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1</v>
      </c>
      <c r="BA264">
        <v>1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s="2"/>
      <c r="B265" t="s">
        <v>238</v>
      </c>
      <c r="C265" t="s">
        <v>65</v>
      </c>
      <c r="D265">
        <v>39.5839</v>
      </c>
      <c r="E265">
        <v>-76.363699999999994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1</v>
      </c>
      <c r="BA265">
        <v>1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s="2"/>
      <c r="B266" t="s">
        <v>239</v>
      </c>
      <c r="C266" t="s">
        <v>65</v>
      </c>
      <c r="D266">
        <v>39.8065</v>
      </c>
      <c r="E266">
        <v>-86.540099999999995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1</v>
      </c>
      <c r="BA266">
        <v>2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s="2"/>
      <c r="B267" t="s">
        <v>240</v>
      </c>
      <c r="C267" t="s">
        <v>65</v>
      </c>
      <c r="D267">
        <v>40.7453</v>
      </c>
      <c r="E267">
        <v>-74.0535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1</v>
      </c>
      <c r="BA267">
        <v>1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s="2"/>
      <c r="B268" t="s">
        <v>241</v>
      </c>
      <c r="C268" t="s">
        <v>65</v>
      </c>
      <c r="D268">
        <v>38.845399999999998</v>
      </c>
      <c r="E268">
        <v>-94.852099999999993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1</v>
      </c>
      <c r="BA268">
        <v>1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s="2"/>
      <c r="B269" t="s">
        <v>242</v>
      </c>
      <c r="C269" t="s">
        <v>65</v>
      </c>
      <c r="D269">
        <v>47.174999999999997</v>
      </c>
      <c r="E269">
        <v>-120.9319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1</v>
      </c>
      <c r="BA269">
        <v>1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s="2"/>
      <c r="B270" t="s">
        <v>243</v>
      </c>
      <c r="C270" t="s">
        <v>65</v>
      </c>
      <c r="D270">
        <v>27.479900000000001</v>
      </c>
      <c r="E270">
        <v>-82.345200000000006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1</v>
      </c>
      <c r="BA270">
        <v>2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s="2"/>
      <c r="B271" t="s">
        <v>244</v>
      </c>
      <c r="C271" t="s">
        <v>65</v>
      </c>
      <c r="D271">
        <v>44.8446</v>
      </c>
      <c r="E271">
        <v>-122.59269999999999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1</v>
      </c>
      <c r="BA271">
        <v>1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s="2"/>
      <c r="B272" t="s">
        <v>245</v>
      </c>
      <c r="C272" t="s">
        <v>65</v>
      </c>
      <c r="D272">
        <v>30.577300000000001</v>
      </c>
      <c r="E272">
        <v>-86.661100000000005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1</v>
      </c>
      <c r="BA272">
        <v>1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s="2"/>
      <c r="B273" t="s">
        <v>246</v>
      </c>
      <c r="C273" t="s">
        <v>65</v>
      </c>
      <c r="D273">
        <v>34.013199999999998</v>
      </c>
      <c r="E273">
        <v>-85.147900000000007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1</v>
      </c>
      <c r="AY273">
        <v>1</v>
      </c>
      <c r="AZ273">
        <v>1</v>
      </c>
      <c r="BA273">
        <v>1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s="2"/>
      <c r="B274" t="s">
        <v>247</v>
      </c>
      <c r="C274" t="s">
        <v>65</v>
      </c>
      <c r="D274">
        <v>33.953299999999999</v>
      </c>
      <c r="E274">
        <v>-117.3961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1</v>
      </c>
      <c r="BA274">
        <v>1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s="2"/>
      <c r="B275" t="s">
        <v>248</v>
      </c>
      <c r="C275" t="s">
        <v>65</v>
      </c>
      <c r="D275">
        <v>35.126899999999999</v>
      </c>
      <c r="E275">
        <v>-89.925299999999993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1</v>
      </c>
      <c r="BA275">
        <v>1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s="2"/>
      <c r="B276" t="s">
        <v>249</v>
      </c>
      <c r="C276" t="s">
        <v>65</v>
      </c>
      <c r="D276">
        <v>38.610300000000002</v>
      </c>
      <c r="E276">
        <v>-90.412499999999994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1</v>
      </c>
      <c r="BA276">
        <v>1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s="2"/>
      <c r="B277" t="s">
        <v>250</v>
      </c>
      <c r="C277" t="s">
        <v>65</v>
      </c>
      <c r="D277">
        <v>40.984900000000003</v>
      </c>
      <c r="E277">
        <v>-72.615099999999998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1</v>
      </c>
      <c r="BA277">
        <v>1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s="2"/>
      <c r="B278" t="s">
        <v>251</v>
      </c>
      <c r="C278" t="s">
        <v>65</v>
      </c>
      <c r="D278">
        <v>41.858600000000003</v>
      </c>
      <c r="E278">
        <v>-74.311800000000005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1</v>
      </c>
      <c r="BA278">
        <v>1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s="2"/>
      <c r="B279" t="s">
        <v>252</v>
      </c>
      <c r="C279" t="s">
        <v>65</v>
      </c>
      <c r="D279">
        <v>29.027999999999999</v>
      </c>
      <c r="E279">
        <v>-81.075500000000005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1</v>
      </c>
      <c r="BA279">
        <v>1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s="2"/>
      <c r="B280" t="s">
        <v>230</v>
      </c>
      <c r="C280" t="s">
        <v>65</v>
      </c>
      <c r="D280">
        <v>38.908499999999997</v>
      </c>
      <c r="E280">
        <v>-77.240499999999997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2</v>
      </c>
      <c r="BA280">
        <v>2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s="2"/>
      <c r="B281" t="s">
        <v>231</v>
      </c>
      <c r="C281" t="s">
        <v>65</v>
      </c>
      <c r="D281">
        <v>42.993099999999998</v>
      </c>
      <c r="E281">
        <v>-71.049800000000005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1</v>
      </c>
      <c r="BA281">
        <v>1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s="2"/>
      <c r="B282" t="s">
        <v>232</v>
      </c>
      <c r="C282" t="s">
        <v>65</v>
      </c>
      <c r="D282">
        <v>38.907200000000003</v>
      </c>
      <c r="E282">
        <v>-77.036900000000003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2</v>
      </c>
      <c r="BA282">
        <v>2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s="2"/>
      <c r="B283" t="s">
        <v>228</v>
      </c>
      <c r="C283" t="s">
        <v>65</v>
      </c>
      <c r="D283">
        <v>40.228999999999999</v>
      </c>
      <c r="E283">
        <v>-75.387900000000002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4</v>
      </c>
      <c r="BA283">
        <v>5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s="2"/>
      <c r="B284" t="s">
        <v>208</v>
      </c>
      <c r="C284" t="s">
        <v>65</v>
      </c>
      <c r="D284">
        <v>37.601700000000001</v>
      </c>
      <c r="E284">
        <v>-121.7195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1</v>
      </c>
      <c r="AV284">
        <v>1</v>
      </c>
      <c r="AW284">
        <v>1</v>
      </c>
      <c r="AX284">
        <v>1</v>
      </c>
      <c r="AY284">
        <v>2</v>
      </c>
      <c r="AZ284">
        <v>2</v>
      </c>
      <c r="BA284">
        <v>2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s="2"/>
      <c r="B285" t="s">
        <v>209</v>
      </c>
      <c r="C285" t="s">
        <v>65</v>
      </c>
      <c r="D285">
        <v>26.190100000000001</v>
      </c>
      <c r="E285">
        <v>-80.365899999999996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2</v>
      </c>
      <c r="AZ285">
        <v>2</v>
      </c>
      <c r="BA285">
        <v>3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s="2"/>
      <c r="B286" t="s">
        <v>210</v>
      </c>
      <c r="C286" t="s">
        <v>65</v>
      </c>
      <c r="D286">
        <v>26.663</v>
      </c>
      <c r="E286">
        <v>-81.953500000000005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2</v>
      </c>
      <c r="AZ286">
        <v>2</v>
      </c>
      <c r="BA286">
        <v>2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s="2"/>
      <c r="B287" t="s">
        <v>211</v>
      </c>
      <c r="C287" t="s">
        <v>65</v>
      </c>
      <c r="D287">
        <v>32.816200000000002</v>
      </c>
      <c r="E287">
        <v>-111.28449999999999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2</v>
      </c>
      <c r="AZ287">
        <v>2</v>
      </c>
      <c r="BA287">
        <v>2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s="2"/>
      <c r="B288" t="s">
        <v>212</v>
      </c>
      <c r="C288" t="s">
        <v>65</v>
      </c>
      <c r="D288">
        <v>41.148899999999998</v>
      </c>
      <c r="E288">
        <v>-73.983000000000004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2</v>
      </c>
      <c r="AZ288">
        <v>2</v>
      </c>
      <c r="BA288">
        <v>4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s="2"/>
      <c r="B289" t="s">
        <v>213</v>
      </c>
      <c r="C289" t="s">
        <v>65</v>
      </c>
      <c r="D289">
        <v>43.032400000000003</v>
      </c>
      <c r="E289">
        <v>-73.936000000000007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2</v>
      </c>
      <c r="AZ289">
        <v>2</v>
      </c>
      <c r="BA289">
        <v>2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s="2"/>
      <c r="B290" t="s">
        <v>214</v>
      </c>
      <c r="C290" t="s">
        <v>65</v>
      </c>
      <c r="D290">
        <v>32.795699999999997</v>
      </c>
      <c r="E290">
        <v>-79.784800000000004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1</v>
      </c>
      <c r="AZ290">
        <v>1</v>
      </c>
      <c r="BA290">
        <v>1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s="2"/>
      <c r="B291" t="s">
        <v>215</v>
      </c>
      <c r="C291" t="s">
        <v>65</v>
      </c>
      <c r="D291">
        <v>45.746600000000001</v>
      </c>
      <c r="E291">
        <v>-122.5194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1</v>
      </c>
      <c r="AZ291">
        <v>1</v>
      </c>
      <c r="BA291">
        <v>1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s="2"/>
      <c r="B292" t="s">
        <v>216</v>
      </c>
      <c r="C292" t="s">
        <v>65</v>
      </c>
      <c r="D292">
        <v>33.899900000000002</v>
      </c>
      <c r="E292">
        <v>-84.564099999999996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1</v>
      </c>
      <c r="AZ292">
        <v>1</v>
      </c>
      <c r="BA292">
        <v>3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s="2"/>
      <c r="B293" t="s">
        <v>217</v>
      </c>
      <c r="C293" t="s">
        <v>65</v>
      </c>
      <c r="D293">
        <v>40.962899999999998</v>
      </c>
      <c r="E293">
        <v>-112.09529999999999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1</v>
      </c>
      <c r="AZ293">
        <v>1</v>
      </c>
      <c r="BA293">
        <v>1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s="2"/>
      <c r="B294" t="s">
        <v>218</v>
      </c>
      <c r="C294" t="s">
        <v>65</v>
      </c>
      <c r="D294">
        <v>38.910800000000002</v>
      </c>
      <c r="E294">
        <v>-104.4723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1</v>
      </c>
      <c r="AZ294">
        <v>1</v>
      </c>
      <c r="BA294">
        <v>1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s="2"/>
      <c r="B295" t="s">
        <v>219</v>
      </c>
      <c r="C295" t="s">
        <v>65</v>
      </c>
      <c r="D295">
        <v>21.306999999999999</v>
      </c>
      <c r="E295">
        <v>-157.85839999999999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1</v>
      </c>
      <c r="AZ295">
        <v>1</v>
      </c>
      <c r="BA295">
        <v>1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s="2"/>
      <c r="B296" t="s">
        <v>462</v>
      </c>
      <c r="C296" t="s">
        <v>65</v>
      </c>
      <c r="D296">
        <v>42.334499999999998</v>
      </c>
      <c r="E296">
        <v>-122.7647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1</v>
      </c>
      <c r="AZ296">
        <v>2</v>
      </c>
      <c r="BA296">
        <v>2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s="2"/>
      <c r="B297" t="s">
        <v>220</v>
      </c>
      <c r="C297" t="s">
        <v>65</v>
      </c>
      <c r="D297">
        <v>47.7425</v>
      </c>
      <c r="E297">
        <v>-123.304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1</v>
      </c>
      <c r="AZ297">
        <v>1</v>
      </c>
      <c r="BA297">
        <v>1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s="2"/>
      <c r="B298" t="s">
        <v>221</v>
      </c>
      <c r="C298" t="s">
        <v>65</v>
      </c>
      <c r="D298">
        <v>34.367199999999997</v>
      </c>
      <c r="E298">
        <v>-80.588300000000004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1</v>
      </c>
      <c r="AZ298">
        <v>1</v>
      </c>
      <c r="BA298">
        <v>1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s="2"/>
      <c r="B299" t="s">
        <v>222</v>
      </c>
      <c r="C299" t="s">
        <v>65</v>
      </c>
      <c r="D299">
        <v>42.695300000000003</v>
      </c>
      <c r="E299">
        <v>-121.6142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1</v>
      </c>
      <c r="AZ299">
        <v>1</v>
      </c>
      <c r="BA299">
        <v>1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s="2"/>
      <c r="B300" t="s">
        <v>223</v>
      </c>
      <c r="C300" t="s">
        <v>65</v>
      </c>
      <c r="D300">
        <v>37.251899999999999</v>
      </c>
      <c r="E300">
        <v>-119.69629999999999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1</v>
      </c>
      <c r="AZ300">
        <v>1</v>
      </c>
      <c r="BA300">
        <v>1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s="2"/>
      <c r="B301" t="s">
        <v>224</v>
      </c>
      <c r="C301" t="s">
        <v>65</v>
      </c>
      <c r="D301">
        <v>47.067599999999999</v>
      </c>
      <c r="E301">
        <v>-122.12949999999999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1</v>
      </c>
      <c r="AZ301">
        <v>4</v>
      </c>
      <c r="BA301">
        <v>4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s="2"/>
      <c r="B302" t="s">
        <v>225</v>
      </c>
      <c r="C302" t="s">
        <v>65</v>
      </c>
      <c r="D302">
        <v>36.159300000000002</v>
      </c>
      <c r="E302">
        <v>-95.941000000000003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1</v>
      </c>
      <c r="AZ302">
        <v>1</v>
      </c>
      <c r="BA302">
        <v>1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s="2"/>
      <c r="B303" t="s">
        <v>205</v>
      </c>
      <c r="C303" t="s">
        <v>65</v>
      </c>
      <c r="D303">
        <v>39.258699999999997</v>
      </c>
      <c r="E303">
        <v>-104.9389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3</v>
      </c>
      <c r="AZ303">
        <v>3</v>
      </c>
      <c r="BA303">
        <v>3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s="2"/>
      <c r="B304" t="s">
        <v>206</v>
      </c>
      <c r="C304" t="s">
        <v>65</v>
      </c>
      <c r="D304">
        <v>41.888199999999998</v>
      </c>
      <c r="E304">
        <v>-71.477400000000003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1</v>
      </c>
      <c r="AT304">
        <v>2</v>
      </c>
      <c r="AU304">
        <v>2</v>
      </c>
      <c r="AV304">
        <v>2</v>
      </c>
      <c r="AW304">
        <v>2</v>
      </c>
      <c r="AX304">
        <v>2</v>
      </c>
      <c r="AY304">
        <v>3</v>
      </c>
      <c r="AZ304">
        <v>3</v>
      </c>
      <c r="BA304">
        <v>3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s="2"/>
      <c r="B305" t="s">
        <v>191</v>
      </c>
      <c r="C305" t="s">
        <v>65</v>
      </c>
      <c r="D305">
        <v>35.7211</v>
      </c>
      <c r="E305">
        <v>-79.178100000000001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1</v>
      </c>
      <c r="AY305">
        <v>1</v>
      </c>
      <c r="AZ305">
        <v>1</v>
      </c>
      <c r="BA305">
        <v>1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s="2"/>
      <c r="B306" t="s">
        <v>192</v>
      </c>
      <c r="C306" t="s">
        <v>65</v>
      </c>
      <c r="D306">
        <v>39.907800000000002</v>
      </c>
      <c r="E306">
        <v>-75.387900000000002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1</v>
      </c>
      <c r="AY306">
        <v>1</v>
      </c>
      <c r="AZ306">
        <v>1</v>
      </c>
      <c r="BA306">
        <v>1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s="2"/>
      <c r="B307" t="s">
        <v>193</v>
      </c>
      <c r="C307" t="s">
        <v>65</v>
      </c>
      <c r="D307">
        <v>41.314799999999998</v>
      </c>
      <c r="E307">
        <v>-96.195099999999996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1</v>
      </c>
      <c r="AY307">
        <v>1</v>
      </c>
      <c r="AZ307">
        <v>1</v>
      </c>
      <c r="BA307">
        <v>3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s="2"/>
      <c r="B308" t="s">
        <v>194</v>
      </c>
      <c r="C308" t="s">
        <v>65</v>
      </c>
      <c r="D308">
        <v>38.060600000000001</v>
      </c>
      <c r="E308">
        <v>-84.4803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1</v>
      </c>
      <c r="AY308">
        <v>1</v>
      </c>
      <c r="AZ308">
        <v>1</v>
      </c>
      <c r="BA308">
        <v>1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s="2"/>
      <c r="B309" t="s">
        <v>195</v>
      </c>
      <c r="C309" t="s">
        <v>65</v>
      </c>
      <c r="D309">
        <v>39.836199999999998</v>
      </c>
      <c r="E309">
        <v>-86.175200000000004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1</v>
      </c>
      <c r="AY309">
        <v>1</v>
      </c>
      <c r="AZ309">
        <v>1</v>
      </c>
      <c r="BA309">
        <v>1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s="2"/>
      <c r="B310" t="s">
        <v>196</v>
      </c>
      <c r="C310" t="s">
        <v>65</v>
      </c>
      <c r="D310">
        <v>42.467199999999998</v>
      </c>
      <c r="E310">
        <v>-71.287400000000005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1</v>
      </c>
      <c r="AY310">
        <v>1</v>
      </c>
      <c r="AZ310">
        <v>7</v>
      </c>
      <c r="BA310">
        <v>7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s="2"/>
      <c r="B311" t="s">
        <v>197</v>
      </c>
      <c r="C311" t="s">
        <v>65</v>
      </c>
      <c r="D311">
        <v>40.654600000000002</v>
      </c>
      <c r="E311">
        <v>-73.559399999999997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4</v>
      </c>
      <c r="AZ311">
        <v>5</v>
      </c>
      <c r="BA311">
        <v>17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s="2"/>
      <c r="B312" t="s">
        <v>198</v>
      </c>
      <c r="C312" t="s">
        <v>65</v>
      </c>
      <c r="D312">
        <v>44.996400000000001</v>
      </c>
      <c r="E312">
        <v>-93.061599999999999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1</v>
      </c>
      <c r="AY312">
        <v>1</v>
      </c>
      <c r="AZ312">
        <v>1</v>
      </c>
      <c r="BA312">
        <v>1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s="2"/>
      <c r="B313" t="s">
        <v>199</v>
      </c>
      <c r="C313" t="s">
        <v>65</v>
      </c>
      <c r="D313">
        <v>40.5608</v>
      </c>
      <c r="E313">
        <v>-119.6035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1</v>
      </c>
      <c r="AY313">
        <v>1</v>
      </c>
      <c r="AZ313">
        <v>2</v>
      </c>
      <c r="BA313">
        <v>2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s="2"/>
      <c r="B314" t="s">
        <v>200</v>
      </c>
      <c r="C314" t="s">
        <v>65</v>
      </c>
      <c r="D314">
        <v>41.673900000000003</v>
      </c>
      <c r="E314">
        <v>-75.247900000000001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1</v>
      </c>
      <c r="AY314">
        <v>1</v>
      </c>
      <c r="AZ314">
        <v>1</v>
      </c>
      <c r="BA314">
        <v>1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s="2"/>
      <c r="B315" t="s">
        <v>201</v>
      </c>
      <c r="C315" t="s">
        <v>65</v>
      </c>
      <c r="D315">
        <v>38.764600000000002</v>
      </c>
      <c r="E315">
        <v>-121.90179999999999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1</v>
      </c>
      <c r="AY315">
        <v>1</v>
      </c>
      <c r="AZ315">
        <v>1</v>
      </c>
      <c r="BA315">
        <v>1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s="2"/>
      <c r="B316" t="s">
        <v>202</v>
      </c>
      <c r="C316" t="s">
        <v>65</v>
      </c>
      <c r="D316">
        <v>37.354100000000003</v>
      </c>
      <c r="E316">
        <v>-121.9552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>
        <v>1</v>
      </c>
      <c r="Q316">
        <v>1</v>
      </c>
      <c r="R316">
        <v>2</v>
      </c>
      <c r="S316">
        <v>2</v>
      </c>
      <c r="T316">
        <v>2</v>
      </c>
      <c r="U316">
        <v>2</v>
      </c>
      <c r="V316">
        <v>2</v>
      </c>
      <c r="W316">
        <v>2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2</v>
      </c>
      <c r="AD316">
        <v>2</v>
      </c>
      <c r="AE316">
        <v>2</v>
      </c>
      <c r="AF316">
        <v>2</v>
      </c>
      <c r="AG316">
        <v>2</v>
      </c>
      <c r="AH316">
        <v>2</v>
      </c>
      <c r="AI316">
        <v>2</v>
      </c>
      <c r="AJ316">
        <v>2</v>
      </c>
      <c r="AK316">
        <v>2</v>
      </c>
      <c r="AL316">
        <v>2</v>
      </c>
      <c r="AM316">
        <v>2</v>
      </c>
      <c r="AN316">
        <v>2</v>
      </c>
      <c r="AO316">
        <v>2</v>
      </c>
      <c r="AP316">
        <v>2</v>
      </c>
      <c r="AQ316">
        <v>2</v>
      </c>
      <c r="AR316">
        <v>3</v>
      </c>
      <c r="AS316">
        <v>3</v>
      </c>
      <c r="AT316">
        <v>9</v>
      </c>
      <c r="AU316">
        <v>11</v>
      </c>
      <c r="AV316">
        <v>11</v>
      </c>
      <c r="AW316">
        <v>20</v>
      </c>
      <c r="AX316">
        <v>20</v>
      </c>
      <c r="AY316">
        <v>32</v>
      </c>
      <c r="AZ316">
        <v>38</v>
      </c>
      <c r="BA316">
        <v>38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s="2"/>
      <c r="B317" t="s">
        <v>173</v>
      </c>
      <c r="C317" t="s">
        <v>65</v>
      </c>
      <c r="D317">
        <v>36.079599999999999</v>
      </c>
      <c r="E317">
        <v>-115.09399999999999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1</v>
      </c>
      <c r="AX317">
        <v>1</v>
      </c>
      <c r="AY317">
        <v>1</v>
      </c>
      <c r="AZ317">
        <v>2</v>
      </c>
      <c r="BA317">
        <v>2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s="2"/>
      <c r="B318" t="s">
        <v>174</v>
      </c>
      <c r="C318" t="s">
        <v>65</v>
      </c>
      <c r="D318">
        <v>29.569299999999998</v>
      </c>
      <c r="E318">
        <v>-95.814300000000003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1</v>
      </c>
      <c r="AX318">
        <v>1</v>
      </c>
      <c r="AY318">
        <v>3</v>
      </c>
      <c r="AZ318">
        <v>6</v>
      </c>
      <c r="BA318">
        <v>6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s="2"/>
      <c r="B319" t="s">
        <v>175</v>
      </c>
      <c r="C319" t="s">
        <v>65</v>
      </c>
      <c r="D319">
        <v>47.198099999999997</v>
      </c>
      <c r="E319">
        <v>-119.3732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1</v>
      </c>
      <c r="AX319">
        <v>1</v>
      </c>
      <c r="AY319">
        <v>1</v>
      </c>
      <c r="AZ319">
        <v>1</v>
      </c>
      <c r="BA319">
        <v>1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s="2"/>
      <c r="B320" t="s">
        <v>176</v>
      </c>
      <c r="C320" t="s">
        <v>65</v>
      </c>
      <c r="D320">
        <v>30.768999999999998</v>
      </c>
      <c r="E320">
        <v>-86.982399999999998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1</v>
      </c>
      <c r="AX320">
        <v>1</v>
      </c>
      <c r="AY320">
        <v>1</v>
      </c>
      <c r="AZ320">
        <v>1</v>
      </c>
      <c r="BA320">
        <v>1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s="2"/>
      <c r="B321" t="s">
        <v>177</v>
      </c>
      <c r="C321" t="s">
        <v>65</v>
      </c>
      <c r="D321">
        <v>35.917900000000003</v>
      </c>
      <c r="E321">
        <v>-86.862200000000001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1</v>
      </c>
      <c r="AX321">
        <v>1</v>
      </c>
      <c r="AY321">
        <v>1</v>
      </c>
      <c r="AZ321">
        <v>1</v>
      </c>
      <c r="BA321">
        <v>1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s="2"/>
      <c r="B322" t="s">
        <v>178</v>
      </c>
      <c r="C322" t="s">
        <v>65</v>
      </c>
      <c r="D322">
        <v>40.712800000000001</v>
      </c>
      <c r="E322">
        <v>-74.006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1</v>
      </c>
      <c r="AU322">
        <v>1</v>
      </c>
      <c r="AV322">
        <v>1</v>
      </c>
      <c r="AW322">
        <v>4</v>
      </c>
      <c r="AX322">
        <v>11</v>
      </c>
      <c r="AY322">
        <v>11</v>
      </c>
      <c r="AZ322">
        <v>12</v>
      </c>
      <c r="BA322">
        <v>19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s="2"/>
      <c r="B323" t="s">
        <v>179</v>
      </c>
      <c r="C323" t="s">
        <v>65</v>
      </c>
      <c r="D323">
        <v>39.154699999999998</v>
      </c>
      <c r="E323">
        <v>-77.240499999999997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3</v>
      </c>
      <c r="AY323">
        <v>3</v>
      </c>
      <c r="AZ323">
        <v>4</v>
      </c>
      <c r="BA323">
        <v>4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s="2"/>
      <c r="B324" t="s">
        <v>180</v>
      </c>
      <c r="C324" t="s">
        <v>65</v>
      </c>
      <c r="D324">
        <v>42.360100000000003</v>
      </c>
      <c r="E324">
        <v>-71.058899999999994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1</v>
      </c>
      <c r="Q324">
        <v>1</v>
      </c>
      <c r="R324">
        <v>1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>
        <v>1</v>
      </c>
      <c r="AH324">
        <v>1</v>
      </c>
      <c r="AI324">
        <v>1</v>
      </c>
      <c r="AJ324">
        <v>1</v>
      </c>
      <c r="AK324">
        <v>1</v>
      </c>
      <c r="AL324">
        <v>1</v>
      </c>
      <c r="AM324">
        <v>1</v>
      </c>
      <c r="AN324">
        <v>1</v>
      </c>
      <c r="AO324">
        <v>1</v>
      </c>
      <c r="AP324">
        <v>1</v>
      </c>
      <c r="AQ324">
        <v>1</v>
      </c>
      <c r="AR324">
        <v>1</v>
      </c>
      <c r="AS324">
        <v>1</v>
      </c>
      <c r="AT324">
        <v>1</v>
      </c>
      <c r="AU324">
        <v>1</v>
      </c>
      <c r="AV324">
        <v>1</v>
      </c>
      <c r="AW324">
        <v>1</v>
      </c>
      <c r="AX324">
        <v>3</v>
      </c>
      <c r="AY324">
        <v>3</v>
      </c>
      <c r="AZ324">
        <v>8</v>
      </c>
      <c r="BA324">
        <v>8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s="2"/>
      <c r="B325" t="s">
        <v>181</v>
      </c>
      <c r="C325" t="s">
        <v>65</v>
      </c>
      <c r="D325">
        <v>39.739199999999997</v>
      </c>
      <c r="E325">
        <v>-104.9903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2</v>
      </c>
      <c r="AY325">
        <v>2</v>
      </c>
      <c r="AZ325">
        <v>2</v>
      </c>
      <c r="BA325">
        <v>2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s="2"/>
      <c r="B326" t="s">
        <v>182</v>
      </c>
      <c r="C326" t="s">
        <v>65</v>
      </c>
      <c r="D326">
        <v>39.591200000000001</v>
      </c>
      <c r="E326">
        <v>-106.06399999999999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1</v>
      </c>
      <c r="AY326">
        <v>1</v>
      </c>
      <c r="AZ326">
        <v>1</v>
      </c>
      <c r="BA326">
        <v>1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s="2"/>
      <c r="B327" t="s">
        <v>169</v>
      </c>
      <c r="C327" t="s">
        <v>65</v>
      </c>
      <c r="D327">
        <v>40.926299999999998</v>
      </c>
      <c r="E327">
        <v>-74.076999999999998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2</v>
      </c>
      <c r="AX327">
        <v>2</v>
      </c>
      <c r="AY327">
        <v>4</v>
      </c>
      <c r="AZ327">
        <v>4</v>
      </c>
      <c r="BA327">
        <v>4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s="2"/>
      <c r="B328" t="s">
        <v>170</v>
      </c>
      <c r="C328" t="s">
        <v>65</v>
      </c>
      <c r="D328">
        <v>29.775200000000002</v>
      </c>
      <c r="E328">
        <v>-95.310299999999998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2</v>
      </c>
      <c r="AX328">
        <v>3</v>
      </c>
      <c r="AY328">
        <v>5</v>
      </c>
      <c r="AZ328">
        <v>5</v>
      </c>
      <c r="BA328">
        <v>6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s="2"/>
      <c r="B329" t="s">
        <v>171</v>
      </c>
      <c r="C329" t="s">
        <v>65</v>
      </c>
      <c r="D329">
        <v>37.774900000000002</v>
      </c>
      <c r="E329">
        <v>-122.4194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2</v>
      </c>
      <c r="AX329">
        <v>2</v>
      </c>
      <c r="AY329">
        <v>9</v>
      </c>
      <c r="AZ329">
        <v>9</v>
      </c>
      <c r="BA329">
        <v>9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s="2"/>
      <c r="B330" t="s">
        <v>166</v>
      </c>
      <c r="C330" t="s">
        <v>65</v>
      </c>
      <c r="D330">
        <v>37.853400000000001</v>
      </c>
      <c r="E330">
        <v>-121.90179999999999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1</v>
      </c>
      <c r="AW330">
        <v>1</v>
      </c>
      <c r="AX330">
        <v>3</v>
      </c>
      <c r="AY330">
        <v>3</v>
      </c>
      <c r="AZ330">
        <v>9</v>
      </c>
      <c r="BA330">
        <v>9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s="2"/>
      <c r="B331" t="s">
        <v>158</v>
      </c>
      <c r="C331" t="s">
        <v>65</v>
      </c>
      <c r="D331">
        <v>33.7879</v>
      </c>
      <c r="E331">
        <v>-117.8531</v>
      </c>
      <c r="F331">
        <v>0</v>
      </c>
      <c r="G331">
        <v>0</v>
      </c>
      <c r="H331">
        <v>0</v>
      </c>
      <c r="I331">
        <v>0</v>
      </c>
      <c r="J331">
        <v>1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1</v>
      </c>
      <c r="Q331">
        <v>1</v>
      </c>
      <c r="R331">
        <v>1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>
        <v>1</v>
      </c>
      <c r="AH331">
        <v>1</v>
      </c>
      <c r="AI331">
        <v>1</v>
      </c>
      <c r="AJ331">
        <v>1</v>
      </c>
      <c r="AK331">
        <v>1</v>
      </c>
      <c r="AL331">
        <v>1</v>
      </c>
      <c r="AM331">
        <v>1</v>
      </c>
      <c r="AN331">
        <v>1</v>
      </c>
      <c r="AO331">
        <v>1</v>
      </c>
      <c r="AP331">
        <v>1</v>
      </c>
      <c r="AQ331">
        <v>1</v>
      </c>
      <c r="AR331">
        <v>1</v>
      </c>
      <c r="AS331">
        <v>1</v>
      </c>
      <c r="AT331">
        <v>1</v>
      </c>
      <c r="AU331">
        <v>1</v>
      </c>
      <c r="AV331">
        <v>3</v>
      </c>
      <c r="AW331">
        <v>3</v>
      </c>
      <c r="AX331">
        <v>3</v>
      </c>
      <c r="AY331">
        <v>3</v>
      </c>
      <c r="AZ331">
        <v>3</v>
      </c>
      <c r="BA331">
        <v>4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s="2"/>
      <c r="B332" t="s">
        <v>153</v>
      </c>
      <c r="C332" t="s">
        <v>65</v>
      </c>
      <c r="D332">
        <v>42.176699999999997</v>
      </c>
      <c r="E332">
        <v>-71.144900000000007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1</v>
      </c>
      <c r="AV332">
        <v>1</v>
      </c>
      <c r="AW332">
        <v>1</v>
      </c>
      <c r="AX332">
        <v>2</v>
      </c>
      <c r="AY332">
        <v>2</v>
      </c>
      <c r="AZ332">
        <v>6</v>
      </c>
      <c r="BA332">
        <v>6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s="2"/>
      <c r="B333" t="s">
        <v>154</v>
      </c>
      <c r="C333" t="s">
        <v>65</v>
      </c>
      <c r="D333">
        <v>33.291800000000002</v>
      </c>
      <c r="E333">
        <v>-112.42910000000001</v>
      </c>
      <c r="F333">
        <v>0</v>
      </c>
      <c r="G333">
        <v>0</v>
      </c>
      <c r="H333">
        <v>0</v>
      </c>
      <c r="I333">
        <v>0</v>
      </c>
      <c r="J333">
        <v>1</v>
      </c>
      <c r="K333">
        <v>1</v>
      </c>
      <c r="L333">
        <v>1</v>
      </c>
      <c r="M333">
        <v>1</v>
      </c>
      <c r="N333">
        <v>1</v>
      </c>
      <c r="O333">
        <v>1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>
        <v>1</v>
      </c>
      <c r="AH333">
        <v>1</v>
      </c>
      <c r="AI333">
        <v>1</v>
      </c>
      <c r="AJ333">
        <v>1</v>
      </c>
      <c r="AK333">
        <v>1</v>
      </c>
      <c r="AL333">
        <v>1</v>
      </c>
      <c r="AM333">
        <v>1</v>
      </c>
      <c r="AN333">
        <v>1</v>
      </c>
      <c r="AO333">
        <v>1</v>
      </c>
      <c r="AP333">
        <v>1</v>
      </c>
      <c r="AQ333">
        <v>1</v>
      </c>
      <c r="AR333">
        <v>1</v>
      </c>
      <c r="AS333">
        <v>1</v>
      </c>
      <c r="AT333">
        <v>1</v>
      </c>
      <c r="AU333">
        <v>1</v>
      </c>
      <c r="AV333">
        <v>1</v>
      </c>
      <c r="AW333">
        <v>1</v>
      </c>
      <c r="AX333">
        <v>2</v>
      </c>
      <c r="AY333">
        <v>2</v>
      </c>
      <c r="AZ333">
        <v>2</v>
      </c>
      <c r="BA333">
        <v>2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s="2"/>
      <c r="B334" t="s">
        <v>155</v>
      </c>
      <c r="C334" t="s">
        <v>65</v>
      </c>
      <c r="D334">
        <v>35.803199999999997</v>
      </c>
      <c r="E334">
        <v>-78.566100000000006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1</v>
      </c>
      <c r="AV334">
        <v>1</v>
      </c>
      <c r="AW334">
        <v>1</v>
      </c>
      <c r="AX334">
        <v>1</v>
      </c>
      <c r="AY334">
        <v>1</v>
      </c>
      <c r="AZ334">
        <v>1</v>
      </c>
      <c r="BA334">
        <v>1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s="2"/>
      <c r="B335" t="s">
        <v>386</v>
      </c>
      <c r="C335" t="s">
        <v>65</v>
      </c>
      <c r="D335">
        <v>41.122</v>
      </c>
      <c r="E335">
        <v>-73.794899999999998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1</v>
      </c>
      <c r="AV335">
        <v>10</v>
      </c>
      <c r="AW335">
        <v>18</v>
      </c>
      <c r="AX335">
        <v>19</v>
      </c>
      <c r="AY335">
        <v>57</v>
      </c>
      <c r="AZ335">
        <v>83</v>
      </c>
      <c r="BA335">
        <v>98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s="2"/>
      <c r="B336" t="s">
        <v>142</v>
      </c>
      <c r="C336" t="s">
        <v>65</v>
      </c>
      <c r="D336">
        <v>43.908799999999999</v>
      </c>
      <c r="E336">
        <v>-71.825999999999993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1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3</v>
      </c>
      <c r="BA336">
        <v>3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s="2"/>
      <c r="B337" t="s">
        <v>143</v>
      </c>
      <c r="C337" t="s">
        <v>65</v>
      </c>
      <c r="D337">
        <v>27.990400000000001</v>
      </c>
      <c r="E337">
        <v>-82.3018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2</v>
      </c>
      <c r="AV337">
        <v>2</v>
      </c>
      <c r="AW337">
        <v>2</v>
      </c>
      <c r="AX337">
        <v>2</v>
      </c>
      <c r="AY337">
        <v>2</v>
      </c>
      <c r="AZ337">
        <v>2</v>
      </c>
      <c r="BA337">
        <v>2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s="2"/>
      <c r="B338" t="s">
        <v>144</v>
      </c>
      <c r="C338" t="s">
        <v>65</v>
      </c>
      <c r="D338">
        <v>39.0916</v>
      </c>
      <c r="E338">
        <v>-120.8039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1</v>
      </c>
      <c r="AV338">
        <v>2</v>
      </c>
      <c r="AW338">
        <v>2</v>
      </c>
      <c r="AX338">
        <v>5</v>
      </c>
      <c r="AY338">
        <v>5</v>
      </c>
      <c r="AZ338">
        <v>5</v>
      </c>
      <c r="BA338">
        <v>7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s="2"/>
      <c r="B339" t="s">
        <v>145</v>
      </c>
      <c r="C339" t="s">
        <v>65</v>
      </c>
      <c r="D339">
        <v>37.563000000000002</v>
      </c>
      <c r="E339">
        <v>-122.32550000000001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2</v>
      </c>
      <c r="AV339">
        <v>2</v>
      </c>
      <c r="AW339">
        <v>2</v>
      </c>
      <c r="AX339">
        <v>2</v>
      </c>
      <c r="AY339">
        <v>2</v>
      </c>
      <c r="AZ339">
        <v>2</v>
      </c>
      <c r="BA339">
        <v>2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s="2"/>
      <c r="B340" t="s">
        <v>146</v>
      </c>
      <c r="C340" t="s">
        <v>65</v>
      </c>
      <c r="D340">
        <v>38.578000000000003</v>
      </c>
      <c r="E340">
        <v>-122.9888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3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s="2"/>
      <c r="B341" t="s">
        <v>147</v>
      </c>
      <c r="C341" t="s">
        <v>65</v>
      </c>
      <c r="D341">
        <v>45.774999999999999</v>
      </c>
      <c r="E341">
        <v>-118.7606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1</v>
      </c>
      <c r="AX341">
        <v>1</v>
      </c>
      <c r="AY341">
        <v>1</v>
      </c>
      <c r="AZ341">
        <v>1</v>
      </c>
      <c r="BA341">
        <v>1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s="2"/>
      <c r="B342" t="s">
        <v>148</v>
      </c>
      <c r="C342" t="s">
        <v>65</v>
      </c>
      <c r="D342">
        <v>33.803400000000003</v>
      </c>
      <c r="E342">
        <v>-84.396299999999997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2</v>
      </c>
      <c r="AV342">
        <v>2</v>
      </c>
      <c r="AW342">
        <v>2</v>
      </c>
      <c r="AX342">
        <v>2</v>
      </c>
      <c r="AY342">
        <v>3</v>
      </c>
      <c r="AZ342">
        <v>3</v>
      </c>
      <c r="BA342">
        <v>5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s="2"/>
      <c r="B343" t="s">
        <v>149</v>
      </c>
      <c r="C343" t="s">
        <v>65</v>
      </c>
      <c r="D343">
        <v>45.546999999999997</v>
      </c>
      <c r="E343">
        <v>-123.1386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1</v>
      </c>
      <c r="AS343">
        <v>1</v>
      </c>
      <c r="AT343">
        <v>2</v>
      </c>
      <c r="AU343">
        <v>2</v>
      </c>
      <c r="AV343">
        <v>2</v>
      </c>
      <c r="AW343">
        <v>2</v>
      </c>
      <c r="AX343">
        <v>2</v>
      </c>
      <c r="AY343">
        <v>3</v>
      </c>
      <c r="AZ343">
        <v>8</v>
      </c>
      <c r="BA343">
        <v>8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s="2"/>
      <c r="B344" t="s">
        <v>129</v>
      </c>
      <c r="C344" t="s">
        <v>65</v>
      </c>
      <c r="D344">
        <v>48.033000000000001</v>
      </c>
      <c r="E344">
        <v>-121.8339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1</v>
      </c>
      <c r="AS344">
        <v>2</v>
      </c>
      <c r="AT344">
        <v>4</v>
      </c>
      <c r="AU344">
        <v>6</v>
      </c>
      <c r="AV344">
        <v>8</v>
      </c>
      <c r="AW344">
        <v>18</v>
      </c>
      <c r="AX344">
        <v>19</v>
      </c>
      <c r="AY344">
        <v>27</v>
      </c>
      <c r="AZ344">
        <v>31</v>
      </c>
      <c r="BA344">
        <v>31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s="2"/>
      <c r="B345" t="s">
        <v>95</v>
      </c>
      <c r="C345" t="s">
        <v>65</v>
      </c>
      <c r="D345">
        <v>40.744999999999997</v>
      </c>
      <c r="E345">
        <v>-123.8695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1</v>
      </c>
      <c r="AP345">
        <v>1</v>
      </c>
      <c r="AQ345">
        <v>1</v>
      </c>
      <c r="AR345">
        <v>1</v>
      </c>
      <c r="AS345">
        <v>1</v>
      </c>
      <c r="AT345">
        <v>1</v>
      </c>
      <c r="AU345">
        <v>1</v>
      </c>
      <c r="AV345">
        <v>1</v>
      </c>
      <c r="AW345">
        <v>1</v>
      </c>
      <c r="AX345">
        <v>1</v>
      </c>
      <c r="AY345">
        <v>1</v>
      </c>
      <c r="AZ345">
        <v>1</v>
      </c>
      <c r="BA345">
        <v>1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s="2"/>
      <c r="B346" t="s">
        <v>96</v>
      </c>
      <c r="C346" t="s">
        <v>65</v>
      </c>
      <c r="D346">
        <v>38.474699999999999</v>
      </c>
      <c r="E346">
        <v>-121.35420000000001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2</v>
      </c>
      <c r="AW346">
        <v>2</v>
      </c>
      <c r="AX346">
        <v>2</v>
      </c>
      <c r="AY346">
        <v>2</v>
      </c>
      <c r="AZ346">
        <v>2</v>
      </c>
      <c r="BA346">
        <v>2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s="2"/>
      <c r="B347" t="s">
        <v>91</v>
      </c>
      <c r="C347" t="s">
        <v>65</v>
      </c>
      <c r="D347">
        <v>32.715699999999998</v>
      </c>
      <c r="E347">
        <v>-117.1611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</v>
      </c>
      <c r="AA347">
        <v>1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3</v>
      </c>
      <c r="AX347">
        <v>3</v>
      </c>
      <c r="AY347">
        <v>3</v>
      </c>
      <c r="AZ347">
        <v>3</v>
      </c>
      <c r="BA347">
        <v>3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s="2"/>
      <c r="B348" t="s">
        <v>89</v>
      </c>
      <c r="C348" t="s">
        <v>65</v>
      </c>
      <c r="D348">
        <v>36.576099999999997</v>
      </c>
      <c r="E348">
        <v>-120.9876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2</v>
      </c>
      <c r="S348">
        <v>2</v>
      </c>
      <c r="T348">
        <v>2</v>
      </c>
      <c r="U348">
        <v>2</v>
      </c>
      <c r="V348">
        <v>2</v>
      </c>
      <c r="W348">
        <v>2</v>
      </c>
      <c r="X348">
        <v>2</v>
      </c>
      <c r="Y348">
        <v>2</v>
      </c>
      <c r="Z348">
        <v>2</v>
      </c>
      <c r="AA348">
        <v>2</v>
      </c>
      <c r="AB348">
        <v>2</v>
      </c>
      <c r="AC348">
        <v>2</v>
      </c>
      <c r="AD348">
        <v>2</v>
      </c>
      <c r="AE348">
        <v>2</v>
      </c>
      <c r="AF348">
        <v>2</v>
      </c>
      <c r="AG348">
        <v>2</v>
      </c>
      <c r="AH348">
        <v>2</v>
      </c>
      <c r="AI348">
        <v>2</v>
      </c>
      <c r="AJ348">
        <v>2</v>
      </c>
      <c r="AK348">
        <v>2</v>
      </c>
      <c r="AL348">
        <v>2</v>
      </c>
      <c r="AM348">
        <v>2</v>
      </c>
      <c r="AN348">
        <v>2</v>
      </c>
      <c r="AO348">
        <v>2</v>
      </c>
      <c r="AP348">
        <v>2</v>
      </c>
      <c r="AQ348">
        <v>2</v>
      </c>
      <c r="AR348">
        <v>2</v>
      </c>
      <c r="AS348">
        <v>2</v>
      </c>
      <c r="AT348">
        <v>2</v>
      </c>
      <c r="AU348">
        <v>2</v>
      </c>
      <c r="AV348">
        <v>2</v>
      </c>
      <c r="AW348">
        <v>2</v>
      </c>
      <c r="AX348">
        <v>2</v>
      </c>
      <c r="AY348">
        <v>2</v>
      </c>
      <c r="AZ348">
        <v>2</v>
      </c>
      <c r="BA348">
        <v>2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s="2"/>
      <c r="B349" t="s">
        <v>73</v>
      </c>
      <c r="C349" t="s">
        <v>65</v>
      </c>
      <c r="D349">
        <v>34.052199999999999</v>
      </c>
      <c r="E349">
        <v>-118.2437</v>
      </c>
      <c r="F349">
        <v>0</v>
      </c>
      <c r="G349">
        <v>0</v>
      </c>
      <c r="H349">
        <v>0</v>
      </c>
      <c r="I349">
        <v>0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7</v>
      </c>
      <c r="AW349">
        <v>11</v>
      </c>
      <c r="AX349">
        <v>13</v>
      </c>
      <c r="AY349">
        <v>14</v>
      </c>
      <c r="AZ349">
        <v>14</v>
      </c>
      <c r="BA349">
        <v>14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s="2"/>
      <c r="B350" t="s">
        <v>64</v>
      </c>
      <c r="C350" t="s">
        <v>65</v>
      </c>
      <c r="D350">
        <v>47.606200000000001</v>
      </c>
      <c r="E350">
        <v>-122.3321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1</v>
      </c>
      <c r="AO350">
        <v>1</v>
      </c>
      <c r="AP350">
        <v>1</v>
      </c>
      <c r="AQ350">
        <v>1</v>
      </c>
      <c r="AR350">
        <v>6</v>
      </c>
      <c r="AS350">
        <v>9</v>
      </c>
      <c r="AT350">
        <v>14</v>
      </c>
      <c r="AU350">
        <v>21</v>
      </c>
      <c r="AV350">
        <v>31</v>
      </c>
      <c r="AW350">
        <v>51</v>
      </c>
      <c r="AX350">
        <v>58</v>
      </c>
      <c r="AY350">
        <v>71</v>
      </c>
      <c r="AZ350">
        <v>83</v>
      </c>
      <c r="BA350">
        <v>83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s="2"/>
      <c r="B351" t="s">
        <v>66</v>
      </c>
      <c r="C351" t="s">
        <v>65</v>
      </c>
      <c r="D351">
        <v>41.737699999999997</v>
      </c>
      <c r="E351">
        <v>-87.697599999999994</v>
      </c>
      <c r="F351">
        <v>0</v>
      </c>
      <c r="G351">
        <v>0</v>
      </c>
      <c r="H351">
        <v>1</v>
      </c>
      <c r="I351">
        <v>1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2</v>
      </c>
      <c r="P351">
        <v>2</v>
      </c>
      <c r="Q351">
        <v>2</v>
      </c>
      <c r="R351">
        <v>2</v>
      </c>
      <c r="S351">
        <v>2</v>
      </c>
      <c r="T351">
        <v>2</v>
      </c>
      <c r="U351">
        <v>2</v>
      </c>
      <c r="V351">
        <v>2</v>
      </c>
      <c r="W351">
        <v>2</v>
      </c>
      <c r="X351">
        <v>2</v>
      </c>
      <c r="Y351">
        <v>2</v>
      </c>
      <c r="Z351">
        <v>2</v>
      </c>
      <c r="AA351">
        <v>2</v>
      </c>
      <c r="AB351">
        <v>2</v>
      </c>
      <c r="AC351">
        <v>2</v>
      </c>
      <c r="AD351">
        <v>2</v>
      </c>
      <c r="AE351">
        <v>2</v>
      </c>
      <c r="AF351">
        <v>2</v>
      </c>
      <c r="AG351">
        <v>2</v>
      </c>
      <c r="AH351">
        <v>2</v>
      </c>
      <c r="AI351">
        <v>2</v>
      </c>
      <c r="AJ351">
        <v>2</v>
      </c>
      <c r="AK351">
        <v>2</v>
      </c>
      <c r="AL351">
        <v>2</v>
      </c>
      <c r="AM351">
        <v>2</v>
      </c>
      <c r="AN351">
        <v>2</v>
      </c>
      <c r="AO351">
        <v>2</v>
      </c>
      <c r="AP351">
        <v>2</v>
      </c>
      <c r="AQ351">
        <v>2</v>
      </c>
      <c r="AR351">
        <v>2</v>
      </c>
      <c r="AS351">
        <v>3</v>
      </c>
      <c r="AT351">
        <v>4</v>
      </c>
      <c r="AU351">
        <v>4</v>
      </c>
      <c r="AV351">
        <v>4</v>
      </c>
      <c r="AW351">
        <v>5</v>
      </c>
      <c r="AX351">
        <v>5</v>
      </c>
      <c r="AY351">
        <v>6</v>
      </c>
      <c r="AZ351">
        <v>7</v>
      </c>
      <c r="BA351">
        <v>7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s="2"/>
      <c r="B352" t="s">
        <v>387</v>
      </c>
      <c r="C352" t="s">
        <v>65</v>
      </c>
      <c r="D352">
        <v>48.424199999999999</v>
      </c>
      <c r="E352">
        <v>-121.7114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s="2"/>
      <c r="B353" t="s">
        <v>388</v>
      </c>
      <c r="C353" t="s">
        <v>65</v>
      </c>
      <c r="D353">
        <v>46.864600000000003</v>
      </c>
      <c r="E353">
        <v>-122.7696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s="2"/>
      <c r="B354" t="s">
        <v>389</v>
      </c>
      <c r="C354" t="s">
        <v>65</v>
      </c>
      <c r="D354">
        <v>48.197600000000001</v>
      </c>
      <c r="E354">
        <v>-122.5795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s="2"/>
      <c r="B355" t="s">
        <v>390</v>
      </c>
      <c r="C355" t="s">
        <v>65</v>
      </c>
      <c r="D355">
        <v>48.878700000000002</v>
      </c>
      <c r="E355">
        <v>-121.97190000000001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s="2"/>
      <c r="B356" t="s">
        <v>391</v>
      </c>
      <c r="C356" t="s">
        <v>65</v>
      </c>
      <c r="D356">
        <v>38.083399999999997</v>
      </c>
      <c r="E356">
        <v>-122.7633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s="2"/>
      <c r="B357" t="s">
        <v>392</v>
      </c>
      <c r="C357" t="s">
        <v>65</v>
      </c>
      <c r="D357">
        <v>38.195999999999998</v>
      </c>
      <c r="E357">
        <v>-120.68049999999999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s="2"/>
      <c r="B358" t="s">
        <v>393</v>
      </c>
      <c r="C358" t="s">
        <v>65</v>
      </c>
      <c r="D358">
        <v>37.509099999999997</v>
      </c>
      <c r="E358">
        <v>-120.9876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s="2"/>
      <c r="B359" t="s">
        <v>394</v>
      </c>
      <c r="C359" t="s">
        <v>65</v>
      </c>
      <c r="D359">
        <v>36.6066</v>
      </c>
      <c r="E359">
        <v>-120.18899999999999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s="2"/>
      <c r="B360" t="s">
        <v>395</v>
      </c>
      <c r="C360" t="s">
        <v>65</v>
      </c>
      <c r="D360">
        <v>42.631999999999998</v>
      </c>
      <c r="E360">
        <v>-70.782899999999998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s="2"/>
      <c r="B361" t="s">
        <v>396</v>
      </c>
      <c r="C361" t="s">
        <v>65</v>
      </c>
      <c r="D361">
        <v>30.791699999999999</v>
      </c>
      <c r="E361">
        <v>-82.084299999999999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s="2"/>
      <c r="B362" t="s">
        <v>397</v>
      </c>
      <c r="C362" t="s">
        <v>65</v>
      </c>
      <c r="D362">
        <v>26.07</v>
      </c>
      <c r="E362">
        <v>-81.427899999999994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s="2"/>
      <c r="B363" t="s">
        <v>398</v>
      </c>
      <c r="C363" t="s">
        <v>65</v>
      </c>
      <c r="D363">
        <v>27.8764</v>
      </c>
      <c r="E363">
        <v>-82.777900000000002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s="2"/>
      <c r="B364" t="s">
        <v>399</v>
      </c>
      <c r="C364" t="s">
        <v>65</v>
      </c>
      <c r="D364">
        <v>29.793800000000001</v>
      </c>
      <c r="E364">
        <v>-82.494399999999999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s="2"/>
      <c r="B365" t="s">
        <v>400</v>
      </c>
      <c r="C365" t="s">
        <v>65</v>
      </c>
      <c r="D365">
        <v>30.592700000000001</v>
      </c>
      <c r="E365">
        <v>-81.822400000000002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s="2"/>
      <c r="B366" t="s">
        <v>401</v>
      </c>
      <c r="C366" t="s">
        <v>65</v>
      </c>
      <c r="D366">
        <v>28.3232</v>
      </c>
      <c r="E366">
        <v>-82.431899999999999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s="2"/>
      <c r="B367" t="s">
        <v>402</v>
      </c>
      <c r="C367" t="s">
        <v>65</v>
      </c>
      <c r="D367">
        <v>32.776699999999998</v>
      </c>
      <c r="E367">
        <v>-96.796999999999997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s="2"/>
      <c r="B368" t="s">
        <v>403</v>
      </c>
      <c r="C368" t="s">
        <v>65</v>
      </c>
      <c r="D368">
        <v>32.773200000000003</v>
      </c>
      <c r="E368">
        <v>-97.351699999999994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s="2"/>
      <c r="B369" t="s">
        <v>404</v>
      </c>
      <c r="C369" t="s">
        <v>65</v>
      </c>
      <c r="D369">
        <v>30.388300000000001</v>
      </c>
      <c r="E369">
        <v>-95.696299999999994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s="2"/>
      <c r="B370" t="s">
        <v>405</v>
      </c>
      <c r="C370" t="s">
        <v>65</v>
      </c>
      <c r="D370">
        <v>40.572600000000001</v>
      </c>
      <c r="E370">
        <v>-74.492699999999999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s="2"/>
      <c r="B371" t="s">
        <v>406</v>
      </c>
      <c r="C371" t="s">
        <v>65</v>
      </c>
      <c r="D371">
        <v>39.58</v>
      </c>
      <c r="E371">
        <v>-105.2663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s="2"/>
      <c r="B372" t="s">
        <v>407</v>
      </c>
      <c r="C372" t="s">
        <v>65</v>
      </c>
      <c r="D372">
        <v>45.514600000000002</v>
      </c>
      <c r="E372">
        <v>-122.58629999999999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s="2"/>
      <c r="B373" t="s">
        <v>408</v>
      </c>
      <c r="C373" t="s">
        <v>65</v>
      </c>
      <c r="D373">
        <v>44.926699999999997</v>
      </c>
      <c r="E373">
        <v>-123.4919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s="2"/>
      <c r="B374" t="s">
        <v>409</v>
      </c>
      <c r="C374" t="s">
        <v>65</v>
      </c>
      <c r="D374">
        <v>43.832500000000003</v>
      </c>
      <c r="E374">
        <v>-121.2617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s="2"/>
      <c r="B375" t="s">
        <v>410</v>
      </c>
      <c r="C375" t="s">
        <v>65</v>
      </c>
      <c r="D375">
        <v>42.333399999999997</v>
      </c>
      <c r="E375">
        <v>-88.266800000000003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s="2"/>
      <c r="B376" t="s">
        <v>411</v>
      </c>
      <c r="C376" t="s">
        <v>65</v>
      </c>
      <c r="D376">
        <v>42.368899999999996</v>
      </c>
      <c r="E376">
        <v>-87.827200000000005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s="2"/>
      <c r="B377" t="s">
        <v>412</v>
      </c>
      <c r="C377" t="s">
        <v>65</v>
      </c>
      <c r="D377">
        <v>40.410800000000002</v>
      </c>
      <c r="E377">
        <v>-75.247900000000001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s="2"/>
      <c r="B378" t="s">
        <v>413</v>
      </c>
      <c r="C378" t="s">
        <v>65</v>
      </c>
      <c r="D378">
        <v>37.777200000000001</v>
      </c>
      <c r="E378">
        <v>-77.516099999999994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s="2"/>
      <c r="B379" t="s">
        <v>414</v>
      </c>
      <c r="C379" t="s">
        <v>65</v>
      </c>
      <c r="D379">
        <v>34.725299999999997</v>
      </c>
      <c r="E379">
        <v>-80.677099999999996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s="2"/>
      <c r="B380" t="s">
        <v>415</v>
      </c>
      <c r="C380" t="s">
        <v>65</v>
      </c>
      <c r="D380">
        <v>36.493299999999998</v>
      </c>
      <c r="E380">
        <v>-82.345200000000006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s="2"/>
      <c r="B381" t="s">
        <v>416</v>
      </c>
      <c r="C381" t="s">
        <v>65</v>
      </c>
      <c r="D381">
        <v>39.463799999999999</v>
      </c>
      <c r="E381">
        <v>-86.134500000000003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s="2"/>
      <c r="B382" t="s">
        <v>417</v>
      </c>
      <c r="C382" t="s">
        <v>65</v>
      </c>
      <c r="D382">
        <v>40.448300000000003</v>
      </c>
      <c r="E382">
        <v>-86.134500000000003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s="2"/>
      <c r="B383" t="s">
        <v>418</v>
      </c>
      <c r="C383" t="s">
        <v>65</v>
      </c>
      <c r="D383">
        <v>41.622799999999998</v>
      </c>
      <c r="E383">
        <v>-86.337699999999998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s="2"/>
      <c r="B384" t="s">
        <v>419</v>
      </c>
      <c r="C384" t="s">
        <v>65</v>
      </c>
      <c r="D384">
        <v>42.671199999999999</v>
      </c>
      <c r="E384">
        <v>-97.872200000000007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s="2"/>
      <c r="B385" t="s">
        <v>420</v>
      </c>
      <c r="C385" t="s">
        <v>65</v>
      </c>
      <c r="D385">
        <v>40.868499999999997</v>
      </c>
      <c r="E385">
        <v>-81.251900000000006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s="2"/>
      <c r="B386" t="s">
        <v>421</v>
      </c>
      <c r="C386" t="s">
        <v>65</v>
      </c>
      <c r="D386">
        <v>45.329300000000003</v>
      </c>
      <c r="E386">
        <v>-93.219700000000003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s="2"/>
      <c r="B387" t="s">
        <v>422</v>
      </c>
      <c r="C387" t="s">
        <v>65</v>
      </c>
      <c r="D387">
        <v>43.995199999999997</v>
      </c>
      <c r="E387">
        <v>-92.381399999999999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s="2"/>
      <c r="B388" t="s">
        <v>423</v>
      </c>
      <c r="C388" t="s">
        <v>65</v>
      </c>
      <c r="D388">
        <v>40.829799999999999</v>
      </c>
      <c r="E388">
        <v>-110.9984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s="2"/>
      <c r="B389" t="s">
        <v>424</v>
      </c>
      <c r="C389" t="s">
        <v>65</v>
      </c>
      <c r="D389">
        <v>41.256</v>
      </c>
      <c r="E389">
        <v>-73.370900000000006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s="2"/>
      <c r="B390" t="s">
        <v>425</v>
      </c>
      <c r="C390" t="s">
        <v>65</v>
      </c>
      <c r="D390">
        <v>41.7866</v>
      </c>
      <c r="E390">
        <v>-73.276499999999999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s="2"/>
      <c r="B391" t="s">
        <v>426</v>
      </c>
      <c r="C391" t="s">
        <v>65</v>
      </c>
      <c r="D391">
        <v>29.9511</v>
      </c>
      <c r="E391">
        <v>-90.0715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s="2"/>
      <c r="B392" t="s">
        <v>427</v>
      </c>
      <c r="C392" t="s">
        <v>65</v>
      </c>
      <c r="D392">
        <v>43.890099999999997</v>
      </c>
      <c r="E392">
        <v>-102.2548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s="2"/>
      <c r="B393" t="s">
        <v>428</v>
      </c>
      <c r="C393" t="s">
        <v>65</v>
      </c>
      <c r="D393">
        <v>44.479700000000001</v>
      </c>
      <c r="E393">
        <v>-98.221299999999999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s="2"/>
      <c r="B394" t="s">
        <v>429</v>
      </c>
      <c r="C394" t="s">
        <v>65</v>
      </c>
      <c r="D394">
        <v>43.098500000000001</v>
      </c>
      <c r="E394">
        <v>-98.396500000000003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s="2"/>
      <c r="B395" t="s">
        <v>430</v>
      </c>
      <c r="C395" t="s">
        <v>65</v>
      </c>
      <c r="D395">
        <v>43.724200000000003</v>
      </c>
      <c r="E395">
        <v>-98.221299999999999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s="2"/>
      <c r="B396" t="s">
        <v>431</v>
      </c>
      <c r="C396" t="s">
        <v>65</v>
      </c>
      <c r="D396">
        <v>43.663200000000003</v>
      </c>
      <c r="E396">
        <v>-96.835099999999997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s="2"/>
      <c r="B397" t="s">
        <v>432</v>
      </c>
      <c r="C397" t="s">
        <v>65</v>
      </c>
      <c r="D397">
        <v>42.981499999999997</v>
      </c>
      <c r="E397">
        <v>-97.872200000000007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s="2"/>
      <c r="B398" t="s">
        <v>433</v>
      </c>
      <c r="C398" t="s">
        <v>65</v>
      </c>
      <c r="D398">
        <v>33.883699999999997</v>
      </c>
      <c r="E398">
        <v>-106.7235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s="2"/>
      <c r="B399" t="s">
        <v>434</v>
      </c>
      <c r="C399" t="s">
        <v>65</v>
      </c>
      <c r="D399">
        <v>35.017800000000001</v>
      </c>
      <c r="E399">
        <v>-106.62909999999999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s="2"/>
      <c r="B400" t="s">
        <v>435</v>
      </c>
      <c r="C400" t="s">
        <v>65</v>
      </c>
      <c r="D400">
        <v>42.592199999999998</v>
      </c>
      <c r="E400">
        <v>-83.336200000000005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s="2"/>
      <c r="B401" t="s">
        <v>436</v>
      </c>
      <c r="C401" t="s">
        <v>65</v>
      </c>
      <c r="D401">
        <v>42.2791</v>
      </c>
      <c r="E401">
        <v>-83.336200000000005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A402" s="2"/>
      <c r="B402" t="s">
        <v>437</v>
      </c>
      <c r="C402" t="s">
        <v>65</v>
      </c>
      <c r="D402">
        <v>39.539299999999997</v>
      </c>
      <c r="E402">
        <v>-75.667400000000001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1" x14ac:dyDescent="0.3">
      <c r="A403" s="2"/>
      <c r="C403" t="s">
        <v>438</v>
      </c>
      <c r="D403">
        <v>22</v>
      </c>
      <c r="E403">
        <v>-80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3</v>
      </c>
      <c r="BE403">
        <v>4</v>
      </c>
      <c r="BF403">
        <v>4</v>
      </c>
      <c r="BG403">
        <v>4</v>
      </c>
      <c r="BH403">
        <v>4</v>
      </c>
    </row>
    <row r="404" spans="1:61" x14ac:dyDescent="0.3">
      <c r="A404" s="2"/>
      <c r="C404" t="s">
        <v>439</v>
      </c>
      <c r="D404">
        <v>5</v>
      </c>
      <c r="E404">
        <v>-58.75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4</v>
      </c>
      <c r="BH404">
        <v>4</v>
      </c>
    </row>
    <row r="405" spans="1:61" x14ac:dyDescent="0.3">
      <c r="A405" s="2"/>
      <c r="B405" t="s">
        <v>440</v>
      </c>
      <c r="C405" t="s">
        <v>75</v>
      </c>
      <c r="D405">
        <v>-35.473500000000001</v>
      </c>
      <c r="E405">
        <v>149.01240000000001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1</v>
      </c>
      <c r="BF405">
        <v>1</v>
      </c>
      <c r="BG405">
        <v>1</v>
      </c>
      <c r="BH405">
        <v>2</v>
      </c>
    </row>
    <row r="406" spans="1:61" x14ac:dyDescent="0.3">
      <c r="A406" s="2"/>
      <c r="B406" t="s">
        <v>377</v>
      </c>
      <c r="C406" t="s">
        <v>377</v>
      </c>
      <c r="D406">
        <v>55.378100000000003</v>
      </c>
      <c r="E406">
        <v>-3.4359999999999999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2</v>
      </c>
      <c r="P406">
        <v>2</v>
      </c>
      <c r="Q406">
        <v>2</v>
      </c>
      <c r="R406">
        <v>2</v>
      </c>
      <c r="S406">
        <v>2</v>
      </c>
      <c r="T406">
        <v>2</v>
      </c>
      <c r="U406">
        <v>2</v>
      </c>
      <c r="V406">
        <v>3</v>
      </c>
      <c r="W406">
        <v>3</v>
      </c>
      <c r="X406">
        <v>3</v>
      </c>
      <c r="Y406">
        <v>8</v>
      </c>
      <c r="Z406">
        <v>8</v>
      </c>
      <c r="AA406">
        <v>9</v>
      </c>
      <c r="AB406">
        <v>9</v>
      </c>
      <c r="AC406">
        <v>9</v>
      </c>
      <c r="AD406">
        <v>9</v>
      </c>
      <c r="AE406">
        <v>9</v>
      </c>
      <c r="AF406">
        <v>9</v>
      </c>
      <c r="AG406">
        <v>9</v>
      </c>
      <c r="AH406">
        <v>9</v>
      </c>
      <c r="AI406">
        <v>9</v>
      </c>
      <c r="AJ406">
        <v>9</v>
      </c>
      <c r="AK406">
        <v>9</v>
      </c>
      <c r="AL406">
        <v>9</v>
      </c>
      <c r="AM406">
        <v>13</v>
      </c>
      <c r="AN406">
        <v>13</v>
      </c>
      <c r="AO406">
        <v>13</v>
      </c>
      <c r="AP406">
        <v>15</v>
      </c>
      <c r="AQ406">
        <v>20</v>
      </c>
      <c r="AR406">
        <v>23</v>
      </c>
      <c r="AS406">
        <v>36</v>
      </c>
      <c r="AT406">
        <v>40</v>
      </c>
      <c r="AU406">
        <v>51</v>
      </c>
      <c r="AV406">
        <v>85</v>
      </c>
      <c r="AW406">
        <v>115</v>
      </c>
      <c r="AX406">
        <v>163</v>
      </c>
      <c r="AY406">
        <v>206</v>
      </c>
      <c r="AZ406">
        <v>273</v>
      </c>
      <c r="BA406">
        <v>321</v>
      </c>
      <c r="BB406">
        <v>382</v>
      </c>
      <c r="BC406">
        <v>456</v>
      </c>
      <c r="BD406">
        <v>456</v>
      </c>
      <c r="BE406">
        <v>798</v>
      </c>
      <c r="BF406">
        <v>1140</v>
      </c>
      <c r="BG406">
        <v>1140</v>
      </c>
      <c r="BH406">
        <v>1543</v>
      </c>
      <c r="BI406">
        <v>1950</v>
      </c>
    </row>
    <row r="407" spans="1:61" x14ac:dyDescent="0.3">
      <c r="A407" s="2"/>
      <c r="C407" t="s">
        <v>441</v>
      </c>
      <c r="D407">
        <v>48.019599999999997</v>
      </c>
      <c r="E407">
        <v>66.923699999999997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4</v>
      </c>
      <c r="BF407">
        <v>6</v>
      </c>
      <c r="BG407">
        <v>9</v>
      </c>
      <c r="BH407">
        <v>10</v>
      </c>
    </row>
    <row r="408" spans="1:61" x14ac:dyDescent="0.3">
      <c r="A408" s="2"/>
      <c r="B408" t="s">
        <v>442</v>
      </c>
      <c r="C408" t="s">
        <v>68</v>
      </c>
      <c r="D408">
        <v>-17.6797</v>
      </c>
      <c r="E408">
        <v>149.4068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3</v>
      </c>
      <c r="BF408">
        <v>3</v>
      </c>
      <c r="BG408">
        <v>3</v>
      </c>
      <c r="BH408">
        <v>3</v>
      </c>
    </row>
    <row r="409" spans="1:61" x14ac:dyDescent="0.3">
      <c r="A409" s="2"/>
      <c r="C409" t="s">
        <v>444</v>
      </c>
      <c r="D409">
        <v>16.265000000000001</v>
      </c>
      <c r="E409">
        <v>-61.551000000000002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1</v>
      </c>
      <c r="BF409">
        <v>1</v>
      </c>
      <c r="BG409">
        <v>3</v>
      </c>
      <c r="BH409">
        <v>6</v>
      </c>
    </row>
    <row r="410" spans="1:61" x14ac:dyDescent="0.3">
      <c r="A410" s="2"/>
      <c r="B410" t="s">
        <v>445</v>
      </c>
      <c r="C410" t="s">
        <v>72</v>
      </c>
      <c r="D410">
        <v>53.760899999999999</v>
      </c>
      <c r="E410">
        <v>-98.813900000000004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4</v>
      </c>
      <c r="BF410">
        <v>4</v>
      </c>
      <c r="BG410">
        <v>4</v>
      </c>
      <c r="BH410">
        <v>7</v>
      </c>
    </row>
    <row r="411" spans="1:61" x14ac:dyDescent="0.3">
      <c r="A411" s="2"/>
      <c r="B411" t="s">
        <v>446</v>
      </c>
      <c r="C411" t="s">
        <v>72</v>
      </c>
      <c r="D411">
        <v>52.939900000000002</v>
      </c>
      <c r="E411">
        <v>-106.4509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2</v>
      </c>
      <c r="BF411">
        <v>2</v>
      </c>
      <c r="BG411">
        <v>2</v>
      </c>
      <c r="BH411">
        <v>7</v>
      </c>
    </row>
    <row r="412" spans="1:61" x14ac:dyDescent="0.3">
      <c r="A412" s="2"/>
      <c r="C412" t="s">
        <v>447</v>
      </c>
      <c r="D412">
        <v>9.1449999999999996</v>
      </c>
      <c r="E412">
        <v>40.489699999999999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1</v>
      </c>
      <c r="BF412">
        <v>1</v>
      </c>
      <c r="BG412">
        <v>1</v>
      </c>
      <c r="BH412">
        <v>5</v>
      </c>
    </row>
    <row r="413" spans="1:61" x14ac:dyDescent="0.3">
      <c r="A413" s="2"/>
      <c r="C413" t="s">
        <v>448</v>
      </c>
      <c r="D413">
        <v>12.8628</v>
      </c>
      <c r="E413">
        <v>30.217600000000001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1</v>
      </c>
      <c r="BF413">
        <v>1</v>
      </c>
      <c r="BG413">
        <v>1</v>
      </c>
      <c r="BH413">
        <v>1</v>
      </c>
    </row>
    <row r="414" spans="1:61" x14ac:dyDescent="0.3">
      <c r="A414" s="2"/>
      <c r="C414" t="s">
        <v>449</v>
      </c>
      <c r="D414">
        <v>9.9456000000000007</v>
      </c>
      <c r="E414">
        <v>-9.6966000000000001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1</v>
      </c>
      <c r="BF414">
        <v>1</v>
      </c>
      <c r="BG414">
        <v>1</v>
      </c>
      <c r="BH414">
        <v>1</v>
      </c>
    </row>
    <row r="415" spans="1:61" x14ac:dyDescent="0.3">
      <c r="A415" s="2"/>
      <c r="C415" t="s">
        <v>450</v>
      </c>
      <c r="D415">
        <v>12.521100000000001</v>
      </c>
      <c r="E415">
        <v>-69.968299999999999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2</v>
      </c>
      <c r="BF415">
        <v>2</v>
      </c>
      <c r="BG415">
        <v>2</v>
      </c>
      <c r="BH415">
        <v>2</v>
      </c>
    </row>
    <row r="416" spans="1:61" x14ac:dyDescent="0.3">
      <c r="A416" s="2"/>
      <c r="B416" t="s">
        <v>276</v>
      </c>
      <c r="C416" t="s">
        <v>72</v>
      </c>
      <c r="D416">
        <v>37.648899999999998</v>
      </c>
      <c r="E416">
        <v>-122.66549999999999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2</v>
      </c>
      <c r="BF416">
        <v>2</v>
      </c>
      <c r="BG416">
        <v>2</v>
      </c>
      <c r="BH416">
        <v>2</v>
      </c>
    </row>
    <row r="417" spans="1:60" x14ac:dyDescent="0.3">
      <c r="A417" s="2"/>
      <c r="C417" t="s">
        <v>451</v>
      </c>
      <c r="D417">
        <v>-2.3599999999999999E-2</v>
      </c>
      <c r="E417">
        <v>37.906199999999998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1</v>
      </c>
      <c r="BF417">
        <v>1</v>
      </c>
      <c r="BG417">
        <v>3</v>
      </c>
      <c r="BH417">
        <v>3</v>
      </c>
    </row>
    <row r="418" spans="1:60" x14ac:dyDescent="0.3">
      <c r="A418" s="2"/>
      <c r="C418" t="s">
        <v>452</v>
      </c>
      <c r="D418">
        <v>17.0608</v>
      </c>
      <c r="E418">
        <v>-61.796399999999998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1</v>
      </c>
      <c r="BF418">
        <v>1</v>
      </c>
      <c r="BG418">
        <v>1</v>
      </c>
      <c r="BH418">
        <v>1</v>
      </c>
    </row>
    <row r="419" spans="1:60" x14ac:dyDescent="0.3">
      <c r="A419" s="2"/>
      <c r="B419" t="s">
        <v>453</v>
      </c>
      <c r="C419" t="s">
        <v>65</v>
      </c>
      <c r="D419">
        <v>32.318199999999997</v>
      </c>
      <c r="E419">
        <v>-86.902299999999997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5</v>
      </c>
      <c r="BF419">
        <v>6</v>
      </c>
      <c r="BG419">
        <v>12</v>
      </c>
      <c r="BH419">
        <v>29</v>
      </c>
    </row>
    <row r="420" spans="1:60" x14ac:dyDescent="0.3">
      <c r="A420" s="2"/>
      <c r="C420" t="s">
        <v>463</v>
      </c>
      <c r="D420">
        <v>-32.522799999999997</v>
      </c>
      <c r="E420">
        <v>-55.765799999999999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4</v>
      </c>
      <c r="BG420">
        <v>4</v>
      </c>
      <c r="BH420">
        <v>8</v>
      </c>
    </row>
    <row r="421" spans="1:60" x14ac:dyDescent="0.3">
      <c r="A421" s="2"/>
      <c r="C421" t="s">
        <v>464</v>
      </c>
      <c r="D421">
        <v>7.9465000000000003</v>
      </c>
      <c r="E421">
        <v>-1.0232000000000001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3</v>
      </c>
      <c r="BG421">
        <v>6</v>
      </c>
      <c r="BH421">
        <v>6</v>
      </c>
    </row>
    <row r="422" spans="1:60" x14ac:dyDescent="0.3">
      <c r="A422" s="2"/>
      <c r="B422" t="s">
        <v>465</v>
      </c>
      <c r="C422" t="s">
        <v>65</v>
      </c>
      <c r="D422">
        <v>18.220800000000001</v>
      </c>
      <c r="E422">
        <v>-66.590100000000007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3</v>
      </c>
      <c r="BG422">
        <v>5</v>
      </c>
      <c r="BH422">
        <v>5</v>
      </c>
    </row>
    <row r="423" spans="1:60" x14ac:dyDescent="0.3">
      <c r="C423" t="s">
        <v>466</v>
      </c>
      <c r="D423">
        <v>49.19</v>
      </c>
      <c r="E423">
        <v>-2.11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2</v>
      </c>
      <c r="BG423">
        <v>2</v>
      </c>
      <c r="BH423">
        <v>2</v>
      </c>
    </row>
    <row r="424" spans="1:60" x14ac:dyDescent="0.3">
      <c r="C424" t="s">
        <v>467</v>
      </c>
      <c r="D424">
        <v>-22.957599999999999</v>
      </c>
      <c r="E424">
        <v>18.490400000000001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2</v>
      </c>
      <c r="BG424">
        <v>2</v>
      </c>
      <c r="BH424">
        <v>2</v>
      </c>
    </row>
    <row r="425" spans="1:60" x14ac:dyDescent="0.3">
      <c r="C425" t="s">
        <v>468</v>
      </c>
      <c r="D425">
        <v>-4.6795999999999998</v>
      </c>
      <c r="E425">
        <v>55.491999999999997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2</v>
      </c>
      <c r="BG425">
        <v>2</v>
      </c>
      <c r="BH425">
        <v>3</v>
      </c>
    </row>
    <row r="426" spans="1:60" x14ac:dyDescent="0.3">
      <c r="C426" t="s">
        <v>469</v>
      </c>
      <c r="D426">
        <v>10.691800000000001</v>
      </c>
      <c r="E426">
        <v>-61.222499999999997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2</v>
      </c>
      <c r="BG426">
        <v>2</v>
      </c>
      <c r="BH426">
        <v>4</v>
      </c>
    </row>
    <row r="427" spans="1:60" x14ac:dyDescent="0.3">
      <c r="C427" t="s">
        <v>470</v>
      </c>
      <c r="D427">
        <v>6.4238</v>
      </c>
      <c r="E427">
        <v>-66.589699999999993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2</v>
      </c>
      <c r="BG427">
        <v>10</v>
      </c>
      <c r="BH427">
        <v>17</v>
      </c>
    </row>
    <row r="428" spans="1:60" x14ac:dyDescent="0.3">
      <c r="C428" t="s">
        <v>472</v>
      </c>
      <c r="D428">
        <v>-26.522500000000001</v>
      </c>
      <c r="E428">
        <v>31.465900000000001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1</v>
      </c>
      <c r="BG428">
        <v>1</v>
      </c>
      <c r="BH428">
        <v>1</v>
      </c>
    </row>
    <row r="429" spans="1:60" x14ac:dyDescent="0.3">
      <c r="C429" t="s">
        <v>473</v>
      </c>
      <c r="D429">
        <v>-0.80369999999999997</v>
      </c>
      <c r="E429">
        <v>11.609400000000001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1</v>
      </c>
      <c r="BG429">
        <v>1</v>
      </c>
      <c r="BH429">
        <v>1</v>
      </c>
    </row>
    <row r="430" spans="1:60" x14ac:dyDescent="0.3">
      <c r="C430" t="s">
        <v>474</v>
      </c>
      <c r="D430">
        <v>15.7835</v>
      </c>
      <c r="E430">
        <v>-90.230800000000002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1</v>
      </c>
      <c r="BG430">
        <v>1</v>
      </c>
      <c r="BH430">
        <v>2</v>
      </c>
    </row>
    <row r="431" spans="1:60" x14ac:dyDescent="0.3">
      <c r="C431" t="s">
        <v>475</v>
      </c>
      <c r="D431">
        <v>49.45</v>
      </c>
      <c r="E431">
        <v>-2.58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1</v>
      </c>
      <c r="BG431">
        <v>1</v>
      </c>
      <c r="BH431">
        <v>1</v>
      </c>
    </row>
    <row r="432" spans="1:60" x14ac:dyDescent="0.3">
      <c r="C432" t="s">
        <v>476</v>
      </c>
      <c r="D432">
        <v>21.007899999999999</v>
      </c>
      <c r="E432">
        <v>10.940799999999999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1</v>
      </c>
      <c r="BG432">
        <v>1</v>
      </c>
      <c r="BH432">
        <v>1</v>
      </c>
    </row>
    <row r="433" spans="2:60" x14ac:dyDescent="0.3">
      <c r="C433" t="s">
        <v>477</v>
      </c>
      <c r="D433">
        <v>-1.9402999999999999</v>
      </c>
      <c r="E433">
        <v>29.873899999999999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1</v>
      </c>
      <c r="BG433">
        <v>1</v>
      </c>
      <c r="BH433">
        <v>5</v>
      </c>
    </row>
    <row r="434" spans="2:60" x14ac:dyDescent="0.3">
      <c r="C434" t="s">
        <v>478</v>
      </c>
      <c r="D434">
        <v>13.9094</v>
      </c>
      <c r="E434">
        <v>-60.978900000000003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1</v>
      </c>
      <c r="BG434">
        <v>2</v>
      </c>
      <c r="BH434">
        <v>2</v>
      </c>
    </row>
    <row r="435" spans="2:60" x14ac:dyDescent="0.3">
      <c r="C435" t="s">
        <v>479</v>
      </c>
      <c r="D435">
        <v>12.984299999999999</v>
      </c>
      <c r="E435">
        <v>-61.287199999999999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1</v>
      </c>
    </row>
    <row r="436" spans="2:60" x14ac:dyDescent="0.3">
      <c r="C436" t="s">
        <v>480</v>
      </c>
      <c r="D436">
        <v>3.9192999999999998</v>
      </c>
      <c r="E436">
        <v>-56.027799999999999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</row>
    <row r="437" spans="2:60" x14ac:dyDescent="0.3">
      <c r="C437" t="s">
        <v>491</v>
      </c>
      <c r="D437">
        <v>31.952200000000001</v>
      </c>
      <c r="E437">
        <v>35.233199999999997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2:60" x14ac:dyDescent="0.3">
      <c r="B438" t="s">
        <v>203</v>
      </c>
      <c r="C438" t="s">
        <v>68</v>
      </c>
      <c r="D438">
        <v>3.9339</v>
      </c>
      <c r="E438">
        <v>-53.125799999999998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5</v>
      </c>
      <c r="AZ438">
        <v>5</v>
      </c>
      <c r="BA438">
        <v>5</v>
      </c>
      <c r="BB438">
        <v>5</v>
      </c>
      <c r="BC438">
        <v>5</v>
      </c>
      <c r="BD438">
        <v>5</v>
      </c>
      <c r="BE438">
        <v>5</v>
      </c>
      <c r="BF438">
        <v>5</v>
      </c>
      <c r="BG438">
        <v>7</v>
      </c>
      <c r="BH438">
        <v>5</v>
      </c>
    </row>
    <row r="439" spans="2:60" x14ac:dyDescent="0.3">
      <c r="B439" t="s">
        <v>492</v>
      </c>
      <c r="C439" t="s">
        <v>65</v>
      </c>
      <c r="D439">
        <v>13.4443</v>
      </c>
      <c r="E439">
        <v>144.7937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3</v>
      </c>
      <c r="BH439">
        <v>3</v>
      </c>
    </row>
    <row r="440" spans="2:60" x14ac:dyDescent="0.3">
      <c r="C440" t="s">
        <v>493</v>
      </c>
      <c r="D440">
        <v>42.602600000000002</v>
      </c>
      <c r="E440">
        <v>20.902999999999999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2</v>
      </c>
      <c r="BH440">
        <v>2</v>
      </c>
    </row>
    <row r="441" spans="2:60" x14ac:dyDescent="0.3">
      <c r="B441" t="s">
        <v>494</v>
      </c>
      <c r="C441" t="s">
        <v>72</v>
      </c>
      <c r="D441">
        <v>53.1355</v>
      </c>
      <c r="E441">
        <v>-57.660400000000003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1</v>
      </c>
      <c r="BH441">
        <v>1</v>
      </c>
    </row>
    <row r="442" spans="2:60" x14ac:dyDescent="0.3">
      <c r="B442" t="s">
        <v>495</v>
      </c>
      <c r="C442" t="s">
        <v>72</v>
      </c>
      <c r="D442">
        <v>46.5107</v>
      </c>
      <c r="E442">
        <v>-63.416800000000002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1</v>
      </c>
      <c r="BH442">
        <v>1</v>
      </c>
    </row>
    <row r="443" spans="2:60" x14ac:dyDescent="0.3">
      <c r="C443" t="s">
        <v>496</v>
      </c>
      <c r="D443">
        <v>6.6111000000000004</v>
      </c>
      <c r="E443">
        <v>20.939399999999999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1</v>
      </c>
      <c r="BH443">
        <v>1</v>
      </c>
    </row>
    <row r="444" spans="2:60" x14ac:dyDescent="0.3">
      <c r="C444" t="s">
        <v>497</v>
      </c>
      <c r="D444">
        <v>-4.0382999999999996</v>
      </c>
      <c r="E444">
        <v>21.758700000000001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1</v>
      </c>
      <c r="BH444">
        <v>1</v>
      </c>
    </row>
    <row r="445" spans="2:60" x14ac:dyDescent="0.3">
      <c r="C445" t="s">
        <v>498</v>
      </c>
      <c r="D445">
        <v>1.5</v>
      </c>
      <c r="E445">
        <v>10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</row>
    <row r="446" spans="2:60" x14ac:dyDescent="0.3">
      <c r="B446" t="s">
        <v>499</v>
      </c>
      <c r="C446" t="s">
        <v>68</v>
      </c>
      <c r="D446">
        <v>-12.827500000000001</v>
      </c>
      <c r="E446">
        <v>45.166200000000003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</row>
    <row r="447" spans="2:60" x14ac:dyDescent="0.3">
      <c r="C447" t="s">
        <v>500</v>
      </c>
      <c r="D447">
        <v>41.377499999999998</v>
      </c>
      <c r="E447">
        <v>64.585300000000004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  <c r="BH447">
        <v>6</v>
      </c>
    </row>
    <row r="448" spans="2:60" x14ac:dyDescent="0.3">
      <c r="B448" t="s">
        <v>116</v>
      </c>
      <c r="C448" t="s">
        <v>116</v>
      </c>
      <c r="D448">
        <v>52.132599999999996</v>
      </c>
      <c r="E448">
        <v>5.2912999999999997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  <c r="AQ448">
        <v>1</v>
      </c>
      <c r="AR448">
        <v>6</v>
      </c>
      <c r="AS448">
        <v>10</v>
      </c>
      <c r="AT448">
        <v>18</v>
      </c>
      <c r="AU448">
        <v>24</v>
      </c>
      <c r="AV448">
        <v>38</v>
      </c>
      <c r="AW448">
        <v>82</v>
      </c>
      <c r="AX448">
        <v>128</v>
      </c>
      <c r="AY448">
        <v>188</v>
      </c>
      <c r="AZ448">
        <v>265</v>
      </c>
      <c r="BA448">
        <v>321</v>
      </c>
      <c r="BB448">
        <v>382</v>
      </c>
      <c r="BC448">
        <v>503</v>
      </c>
      <c r="BD448">
        <v>503</v>
      </c>
      <c r="BE448">
        <v>804</v>
      </c>
      <c r="BF448">
        <v>959</v>
      </c>
      <c r="BG448">
        <v>1135</v>
      </c>
      <c r="BH448">
        <v>1413</v>
      </c>
    </row>
    <row r="449" spans="2:60" x14ac:dyDescent="0.3">
      <c r="C449" t="s">
        <v>203</v>
      </c>
      <c r="D449">
        <v>3.9339</v>
      </c>
      <c r="E449">
        <v>-53.125799999999998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11</v>
      </c>
    </row>
    <row r="450" spans="2:60" x14ac:dyDescent="0.3">
      <c r="B450" t="s">
        <v>505</v>
      </c>
      <c r="C450" t="s">
        <v>72</v>
      </c>
      <c r="D450">
        <v>44.682000000000002</v>
      </c>
      <c r="E450">
        <v>-63.744300000000003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5</v>
      </c>
    </row>
    <row r="451" spans="2:60" x14ac:dyDescent="0.3">
      <c r="B451" t="s">
        <v>444</v>
      </c>
      <c r="C451" t="s">
        <v>68</v>
      </c>
      <c r="D451">
        <v>16.25</v>
      </c>
      <c r="E451">
        <v>-61.583300000000001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3</v>
      </c>
    </row>
    <row r="452" spans="2:60" x14ac:dyDescent="0.3">
      <c r="C452" t="s">
        <v>492</v>
      </c>
      <c r="D452">
        <v>13.4443</v>
      </c>
      <c r="E452">
        <v>144.7937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3</v>
      </c>
    </row>
    <row r="453" spans="2:60" x14ac:dyDescent="0.3">
      <c r="C453" t="s">
        <v>465</v>
      </c>
      <c r="D453">
        <v>18.2</v>
      </c>
      <c r="E453">
        <v>-66.5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3</v>
      </c>
    </row>
    <row r="454" spans="2:60" x14ac:dyDescent="0.3">
      <c r="C454" t="s">
        <v>506</v>
      </c>
      <c r="D454">
        <v>9.3077000000000005</v>
      </c>
      <c r="E454">
        <v>2.3157999999999999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1</v>
      </c>
    </row>
    <row r="455" spans="2:60" x14ac:dyDescent="0.3">
      <c r="C455" t="s">
        <v>507</v>
      </c>
      <c r="D455">
        <v>71.706900000000005</v>
      </c>
      <c r="E455">
        <v>-42.604300000000002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1</v>
      </c>
    </row>
    <row r="456" spans="2:60" x14ac:dyDescent="0.3">
      <c r="C456" t="s">
        <v>508</v>
      </c>
      <c r="D456">
        <v>6.4280999999999997</v>
      </c>
      <c r="E456">
        <v>-9.4295000000000009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1</v>
      </c>
    </row>
    <row r="457" spans="2:60" x14ac:dyDescent="0.3">
      <c r="C457" t="s">
        <v>499</v>
      </c>
      <c r="D457">
        <v>-12.827500000000001</v>
      </c>
      <c r="E457">
        <v>45.166200000000003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1</v>
      </c>
    </row>
    <row r="458" spans="2:60" x14ac:dyDescent="0.3">
      <c r="B458" t="s">
        <v>471</v>
      </c>
      <c r="C458" t="s">
        <v>116</v>
      </c>
      <c r="D458">
        <v>12.169600000000001</v>
      </c>
      <c r="E458">
        <v>-68.989999999999995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1</v>
      </c>
      <c r="BG458">
        <v>1</v>
      </c>
      <c r="BH458">
        <v>1</v>
      </c>
    </row>
    <row r="459" spans="2:60" x14ac:dyDescent="0.3">
      <c r="C459" t="s">
        <v>509</v>
      </c>
      <c r="D459">
        <v>-1.44</v>
      </c>
      <c r="E459">
        <v>15.555999999999999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1</v>
      </c>
    </row>
    <row r="460" spans="2:60" x14ac:dyDescent="0.3">
      <c r="C460" t="s">
        <v>510</v>
      </c>
      <c r="D460">
        <v>5.1520999999999999</v>
      </c>
      <c r="E460">
        <v>46.199599999999997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</row>
    <row r="461" spans="2:60" x14ac:dyDescent="0.3">
      <c r="C461" t="s">
        <v>511</v>
      </c>
      <c r="D461">
        <v>-6.3689999999999998</v>
      </c>
      <c r="E461">
        <v>34.888800000000003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</v>
      </c>
    </row>
    <row r="462" spans="2:60" x14ac:dyDescent="0.3">
      <c r="C462" t="s">
        <v>512</v>
      </c>
      <c r="D462">
        <v>24.25</v>
      </c>
      <c r="E462">
        <v>-76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1</v>
      </c>
    </row>
    <row r="463" spans="2:60" x14ac:dyDescent="0.3">
      <c r="B463" t="s">
        <v>513</v>
      </c>
      <c r="C463" t="s">
        <v>65</v>
      </c>
      <c r="D463">
        <v>18.335799999999999</v>
      </c>
      <c r="E463">
        <v>-64.896299999999997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1</v>
      </c>
      <c r="BG463">
        <v>1</v>
      </c>
      <c r="BH463">
        <v>1</v>
      </c>
    </row>
    <row r="464" spans="2:60" x14ac:dyDescent="0.3">
      <c r="B464" t="s">
        <v>443</v>
      </c>
      <c r="C464" t="s">
        <v>377</v>
      </c>
      <c r="D464">
        <v>19.313300000000002</v>
      </c>
      <c r="E464">
        <v>-81.254599999999996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1</v>
      </c>
      <c r="BF464">
        <v>1</v>
      </c>
      <c r="BG464">
        <v>1</v>
      </c>
      <c r="BH464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Projections</vt:lpstr>
      <vt:lpstr>Projections Data</vt:lpstr>
      <vt:lpstr>Current</vt:lpstr>
      <vt:lpstr>DaysSince100</vt:lpstr>
      <vt:lpstr>100thDay</vt:lpstr>
      <vt:lpstr>CumulativeAll</vt:lpstr>
      <vt:lpstr>RawData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2020-03-17T22:32:52Z</dcterms:modified>
</cp:coreProperties>
</file>