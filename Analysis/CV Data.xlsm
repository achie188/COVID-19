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C4A7675F-FFD4-4421-84D0-8C641905C356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Projections Data" sheetId="13" r:id="rId2"/>
    <sheet name="Current" sheetId="12" r:id="rId3"/>
    <sheet name="DaysSince100" sheetId="8" r:id="rId4"/>
    <sheet name="Country Summary" sheetId="14" r:id="rId5"/>
    <sheet name="CumulativeTotal" sheetId="3" r:id="rId6"/>
    <sheet name="CumulativeRecovered" sheetId="18" r:id="rId7"/>
    <sheet name="CumulativeDead" sheetId="19" r:id="rId8"/>
    <sheet name="RawDataTotal" sheetId="2" r:id="rId9"/>
    <sheet name="RawDataRecovered" sheetId="17" r:id="rId10"/>
    <sheet name="RawDataDead" sheetId="16" r:id="rId11"/>
  </sheets>
  <definedNames>
    <definedName name="_xlnm._FilterDatabase" localSheetId="5" hidden="1">CumulativeTotal!$A$1:$BA$1</definedName>
    <definedName name="_xlnm._FilterDatabase" localSheetId="3" hidden="1">DaysSince100!$B$1:$CU$1</definedName>
    <definedName name="_xlnm._FilterDatabase" localSheetId="1" hidden="1">'Projections Data'!$H$29:$O$29</definedName>
    <definedName name="xMax">Current!$S$8</definedName>
    <definedName name="xMax2">'Projections Data'!$C$29</definedName>
    <definedName name="xMax3">'Projections Data'!$D$29</definedName>
    <definedName name="xMin">Current!$S$7</definedName>
    <definedName name="xMin2">'Projections Data'!$C$28</definedName>
    <definedName name="xMin3">'Projections Data'!$D$28</definedName>
    <definedName name="yMax">Current!$S$5</definedName>
    <definedName name="yMax2">'Projections Data'!$C$26</definedName>
    <definedName name="yMax3">'Projections Data'!$D$26</definedName>
    <definedName name="yMin">Current!$S$4</definedName>
    <definedName name="yMin2">'Projections Data'!$C$25</definedName>
    <definedName name="yMin3">'Projections Data'!$D$25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5" l="1"/>
  <c r="H127" i="14"/>
  <c r="G127" i="14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H3" i="14" s="1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H4" i="14" s="1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H5" i="14" s="1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H6" i="14" s="1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H7" i="14" s="1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H8" i="14" s="1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H9" i="14" s="1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H10" i="14" s="1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H11" i="14" s="1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H12" i="14" s="1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H13" i="14" s="1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H14" i="14" s="1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H15" i="14" s="1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H16" i="14" s="1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H17" i="14" s="1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H18" i="14" s="1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H19" i="14" s="1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H20" i="14" s="1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H21" i="14" s="1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H22" i="14" s="1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H23" i="14" s="1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H24" i="14" s="1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H25" i="14" s="1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H26" i="14" s="1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H27" i="14" s="1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H28" i="14" s="1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H29" i="14" s="1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H30" i="14" s="1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H31" i="14" s="1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H32" i="14" s="1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H33" i="14" s="1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H34" i="14" s="1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H35" i="14" s="1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H36" i="14" s="1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H37" i="14" s="1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H38" i="14" s="1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H39" i="14" s="1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H40" i="14" s="1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H41" i="14" s="1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H42" i="14" s="1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H43" i="14" s="1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H44" i="14" s="1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H45" i="14" s="1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H46" i="14" s="1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H47" i="14" s="1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H48" i="14" s="1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H49" i="14" s="1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H50" i="14" s="1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H51" i="14" s="1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H52" i="14" s="1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H53" i="14" s="1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H54" i="14" s="1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H55" i="14" s="1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H56" i="14" s="1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H57" i="14" s="1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H58" i="14" s="1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H59" i="14" s="1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H60" i="14" s="1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H61" i="14" s="1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H62" i="14" s="1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H63" i="14" s="1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H64" i="14" s="1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H65" i="14" s="1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H66" i="14" s="1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H67" i="14" s="1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H68" i="14" s="1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H69" i="14" s="1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H70" i="14" s="1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H71" i="14" s="1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H72" i="14" s="1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H73" i="14" s="1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H74" i="14" s="1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H75" i="14" s="1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H76" i="14" s="1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H77" i="14" s="1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H78" i="14" s="1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H79" i="14" s="1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H80" i="14" s="1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H81" i="14" s="1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H82" i="14" s="1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H83" i="14" s="1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H84" i="14" s="1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H85" i="14" s="1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H86" i="14" s="1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H87" i="14" s="1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H88" i="14" s="1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H89" i="14" s="1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H90" i="14" s="1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H91" i="14" s="1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H92" i="14" s="1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H93" i="14" s="1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H94" i="14" s="1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H95" i="14" s="1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H96" i="14" s="1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H97" i="14" s="1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H98" i="14" s="1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H99" i="14" s="1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H100" i="14" s="1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H101" i="14" s="1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H102" i="14" s="1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H103" i="14" s="1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H104" i="14" s="1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H105" i="14" s="1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H106" i="14" s="1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H107" i="14" s="1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H108" i="14" s="1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H109" i="14" s="1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H110" i="14" s="1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H111" i="14" s="1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H112" i="14" s="1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H113" i="14" s="1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H114" i="14" s="1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H115" i="14" s="1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H116" i="14" s="1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H117" i="14" s="1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H118" i="14" s="1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H119" i="14" s="1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H120" i="14" s="1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H121" i="14" s="1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H122" i="14" s="1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H123" i="14" s="1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H124" i="14" s="1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H125" i="14" s="1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H126" i="14" s="1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H2" i="14" s="1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G3" i="14" s="1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G4" i="14" s="1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G5" i="14" s="1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G6" i="14" s="1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G7" i="14" s="1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G8" i="14" s="1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T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G9" i="14" s="1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G10" i="14" s="1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G11" i="14" s="1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G12" i="14" s="1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G13" i="14" s="1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G14" i="14" s="1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G15" i="14" s="1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G16" i="14" s="1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G17" i="14" s="1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G18" i="14" s="1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G19" i="14" s="1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G20" i="14" s="1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G21" i="14" s="1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G22" i="14" s="1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G23" i="14" s="1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G24" i="14" s="1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G25" i="14" s="1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G26" i="14" s="1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G27" i="14" s="1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G28" i="14" s="1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G29" i="14" s="1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G30" i="14" s="1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G31" i="14" s="1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G32" i="14" s="1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G33" i="14" s="1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G34" i="14" s="1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G35" i="14" s="1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G36" i="14" s="1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G37" i="14" s="1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G38" i="14" s="1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G39" i="14" s="1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G40" i="14" s="1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G41" i="14" s="1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G42" i="14" s="1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G43" i="14" s="1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G44" i="14" s="1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G45" i="14" s="1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G46" i="14" s="1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G47" i="14" s="1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G48" i="14" s="1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G49" i="14" s="1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G50" i="14" s="1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G51" i="14" s="1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G52" i="14" s="1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G53" i="14" s="1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G54" i="14" s="1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G55" i="14" s="1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G56" i="14" s="1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G57" i="14" s="1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G58" i="14" s="1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G59" i="14" s="1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G60" i="14" s="1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G61" i="14" s="1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G62" i="14" s="1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G63" i="14" s="1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G64" i="14" s="1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G65" i="14" s="1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G66" i="14" s="1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G67" i="14" s="1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G68" i="14" s="1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G69" i="14" s="1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G70" i="14" s="1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G71" i="14" s="1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G72" i="14" s="1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G73" i="14" s="1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G74" i="14" s="1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G75" i="14" s="1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G76" i="14" s="1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G77" i="14" s="1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G78" i="14" s="1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G79" i="14" s="1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G80" i="14" s="1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G81" i="14" s="1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G82" i="14" s="1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G83" i="14" s="1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G84" i="14" s="1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G85" i="14" s="1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G86" i="14" s="1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G87" i="14" s="1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G88" i="14" s="1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G89" i="14" s="1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G90" i="14" s="1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G91" i="14" s="1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G92" i="14" s="1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G93" i="14" s="1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G94" i="14" s="1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G95" i="14" s="1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G96" i="14" s="1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G97" i="14" s="1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G98" i="14" s="1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G99" i="14" s="1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G100" i="14" s="1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G101" i="14" s="1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G102" i="14" s="1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G103" i="14" s="1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G104" i="14" s="1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G105" i="14" s="1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G106" i="14" s="1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G107" i="14" s="1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G108" i="14" s="1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G109" i="14" s="1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G110" i="14" s="1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G111" i="14" s="1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G112" i="14" s="1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G113" i="14" s="1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G114" i="14" s="1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G115" i="14" s="1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G116" i="14" s="1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G117" i="14" s="1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G118" i="14" s="1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G119" i="14" s="1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G120" i="14" s="1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G121" i="14" s="1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G122" i="14" s="1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G123" i="14" s="1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G124" i="14" s="1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G125" i="14" s="1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G126" i="14" s="1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G2" i="14" s="1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N61" i="13"/>
  <c r="N62" i="13"/>
  <c r="N63" i="13"/>
  <c r="K62" i="13"/>
  <c r="K63" i="13"/>
  <c r="B1" i="13" l="1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A3" i="8"/>
  <c r="A4" i="8" s="1"/>
  <c r="A2" i="8"/>
  <c r="C3" i="8"/>
  <c r="C4" i="8"/>
  <c r="C5" i="8"/>
  <c r="D5" i="8"/>
  <c r="C6" i="8"/>
  <c r="D6" i="8"/>
  <c r="C12" i="8"/>
  <c r="D12" i="8"/>
  <c r="C14" i="8"/>
  <c r="D14" i="8"/>
  <c r="C7" i="8"/>
  <c r="D7" i="8"/>
  <c r="C8" i="8"/>
  <c r="D8" i="8"/>
  <c r="C9" i="8"/>
  <c r="D9" i="8"/>
  <c r="C10" i="8"/>
  <c r="D10" i="8"/>
  <c r="C11" i="8"/>
  <c r="D11" i="8"/>
  <c r="C13" i="8"/>
  <c r="D13" i="8"/>
  <c r="C15" i="8"/>
  <c r="D15" i="8"/>
  <c r="C16" i="8"/>
  <c r="D16" i="8"/>
  <c r="C17" i="8"/>
  <c r="D17" i="8"/>
  <c r="C18" i="8"/>
  <c r="D18" i="8"/>
  <c r="C19" i="8"/>
  <c r="D19" i="8"/>
  <c r="C20" i="8"/>
  <c r="D20" i="8"/>
  <c r="C21" i="8"/>
  <c r="D21" i="8"/>
  <c r="C22" i="8"/>
  <c r="D22" i="8"/>
  <c r="C23" i="8"/>
  <c r="D23" i="8"/>
  <c r="C24" i="8"/>
  <c r="D24" i="8"/>
  <c r="C25" i="8"/>
  <c r="D25" i="8"/>
  <c r="C26" i="8"/>
  <c r="D26" i="8"/>
  <c r="C27" i="8"/>
  <c r="D27" i="8"/>
  <c r="C28" i="8"/>
  <c r="D28" i="8"/>
  <c r="C29" i="8"/>
  <c r="D29" i="8"/>
  <c r="C30" i="8"/>
  <c r="D30" i="8"/>
  <c r="C31" i="8"/>
  <c r="D31" i="8"/>
  <c r="C32" i="8"/>
  <c r="D32" i="8"/>
  <c r="C33" i="8"/>
  <c r="D33" i="8"/>
  <c r="C34" i="8"/>
  <c r="D34" i="8"/>
  <c r="C35" i="8"/>
  <c r="D35" i="8"/>
  <c r="C37" i="8"/>
  <c r="D37" i="8"/>
  <c r="C38" i="8"/>
  <c r="D38" i="8"/>
  <c r="C39" i="8"/>
  <c r="D39" i="8"/>
  <c r="C40" i="8"/>
  <c r="D40" i="8"/>
  <c r="C42" i="8"/>
  <c r="D42" i="8"/>
  <c r="C43" i="8"/>
  <c r="D43" i="8"/>
  <c r="C44" i="8"/>
  <c r="D44" i="8"/>
  <c r="C45" i="8"/>
  <c r="D45" i="8"/>
  <c r="C46" i="8"/>
  <c r="D46" i="8"/>
  <c r="C47" i="8"/>
  <c r="D47" i="8"/>
  <c r="C48" i="8"/>
  <c r="D48" i="8"/>
  <c r="C49" i="8"/>
  <c r="D49" i="8"/>
  <c r="C51" i="8"/>
  <c r="D51" i="8"/>
  <c r="C52" i="8"/>
  <c r="D52" i="8"/>
  <c r="C55" i="8"/>
  <c r="D55" i="8"/>
  <c r="C36" i="8"/>
  <c r="D36" i="8"/>
  <c r="C41" i="8"/>
  <c r="D41" i="8"/>
  <c r="C50" i="8"/>
  <c r="D50" i="8"/>
  <c r="C53" i="8"/>
  <c r="D53" i="8"/>
  <c r="C54" i="8"/>
  <c r="D54" i="8"/>
  <c r="C56" i="8"/>
  <c r="D56" i="8"/>
  <c r="E56" i="8"/>
  <c r="F56" i="8"/>
  <c r="C57" i="8"/>
  <c r="D57" i="8"/>
  <c r="E57" i="8"/>
  <c r="F57" i="8"/>
  <c r="C58" i="8"/>
  <c r="D58" i="8"/>
  <c r="E58" i="8"/>
  <c r="F58" i="8"/>
  <c r="C59" i="8"/>
  <c r="D59" i="8"/>
  <c r="E59" i="8"/>
  <c r="F59" i="8"/>
  <c r="C60" i="8"/>
  <c r="D60" i="8"/>
  <c r="E60" i="8"/>
  <c r="F60" i="8"/>
  <c r="C61" i="8"/>
  <c r="D61" i="8"/>
  <c r="E61" i="8"/>
  <c r="F61" i="8"/>
  <c r="C62" i="8"/>
  <c r="D62" i="8"/>
  <c r="E62" i="8"/>
  <c r="F62" i="8"/>
  <c r="C63" i="8"/>
  <c r="D63" i="8"/>
  <c r="E63" i="8"/>
  <c r="F63" i="8"/>
  <c r="C64" i="8"/>
  <c r="D64" i="8"/>
  <c r="E64" i="8"/>
  <c r="F64" i="8"/>
  <c r="C65" i="8"/>
  <c r="D65" i="8"/>
  <c r="E65" i="8"/>
  <c r="F65" i="8"/>
  <c r="C66" i="8"/>
  <c r="D66" i="8"/>
  <c r="E66" i="8"/>
  <c r="F66" i="8"/>
  <c r="C67" i="8"/>
  <c r="D67" i="8"/>
  <c r="E67" i="8"/>
  <c r="F67" i="8"/>
  <c r="C68" i="8"/>
  <c r="D68" i="8"/>
  <c r="E68" i="8"/>
  <c r="F68" i="8"/>
  <c r="C69" i="8"/>
  <c r="D69" i="8"/>
  <c r="E69" i="8"/>
  <c r="F69" i="8"/>
  <c r="C70" i="8"/>
  <c r="D70" i="8"/>
  <c r="E70" i="8"/>
  <c r="F70" i="8"/>
  <c r="C71" i="8"/>
  <c r="D71" i="8"/>
  <c r="E71" i="8"/>
  <c r="F71" i="8"/>
  <c r="C72" i="8"/>
  <c r="D72" i="8"/>
  <c r="E72" i="8"/>
  <c r="F72" i="8"/>
  <c r="C73" i="8"/>
  <c r="D73" i="8"/>
  <c r="E73" i="8"/>
  <c r="F73" i="8"/>
  <c r="C74" i="8"/>
  <c r="D74" i="8"/>
  <c r="E74" i="8"/>
  <c r="F74" i="8"/>
  <c r="C75" i="8"/>
  <c r="D75" i="8"/>
  <c r="E75" i="8"/>
  <c r="F75" i="8"/>
  <c r="C76" i="8"/>
  <c r="D76" i="8"/>
  <c r="E76" i="8"/>
  <c r="F76" i="8"/>
  <c r="C77" i="8"/>
  <c r="D77" i="8"/>
  <c r="E77" i="8"/>
  <c r="F77" i="8"/>
  <c r="C78" i="8"/>
  <c r="D78" i="8"/>
  <c r="E78" i="8"/>
  <c r="F78" i="8"/>
  <c r="C79" i="8"/>
  <c r="D79" i="8"/>
  <c r="E79" i="8"/>
  <c r="F79" i="8"/>
  <c r="C80" i="8"/>
  <c r="D80" i="8"/>
  <c r="E80" i="8"/>
  <c r="F80" i="8"/>
  <c r="C81" i="8"/>
  <c r="D81" i="8"/>
  <c r="E81" i="8"/>
  <c r="F81" i="8"/>
  <c r="C82" i="8"/>
  <c r="D82" i="8"/>
  <c r="E82" i="8"/>
  <c r="F82" i="8"/>
  <c r="C83" i="8"/>
  <c r="D83" i="8"/>
  <c r="E83" i="8"/>
  <c r="F83" i="8"/>
  <c r="C84" i="8"/>
  <c r="D84" i="8"/>
  <c r="E84" i="8"/>
  <c r="F84" i="8"/>
  <c r="C85" i="8"/>
  <c r="D85" i="8"/>
  <c r="E85" i="8"/>
  <c r="F85" i="8"/>
  <c r="C86" i="8"/>
  <c r="D86" i="8"/>
  <c r="E86" i="8"/>
  <c r="F86" i="8"/>
  <c r="C87" i="8"/>
  <c r="D87" i="8"/>
  <c r="E87" i="8"/>
  <c r="F87" i="8"/>
  <c r="C88" i="8"/>
  <c r="D88" i="8"/>
  <c r="E88" i="8"/>
  <c r="F88" i="8"/>
  <c r="C89" i="8"/>
  <c r="D89" i="8"/>
  <c r="E89" i="8"/>
  <c r="F89" i="8"/>
  <c r="C90" i="8"/>
  <c r="D90" i="8"/>
  <c r="E90" i="8"/>
  <c r="F90" i="8"/>
  <c r="C91" i="8"/>
  <c r="D91" i="8"/>
  <c r="E91" i="8"/>
  <c r="F91" i="8"/>
  <c r="C92" i="8"/>
  <c r="D92" i="8"/>
  <c r="E92" i="8"/>
  <c r="F92" i="8"/>
  <c r="C93" i="8"/>
  <c r="D93" i="8"/>
  <c r="E93" i="8"/>
  <c r="F93" i="8"/>
  <c r="C94" i="8"/>
  <c r="D94" i="8"/>
  <c r="E94" i="8"/>
  <c r="F94" i="8"/>
  <c r="C95" i="8"/>
  <c r="D95" i="8"/>
  <c r="E95" i="8"/>
  <c r="F95" i="8"/>
  <c r="C96" i="8"/>
  <c r="D96" i="8"/>
  <c r="E96" i="8"/>
  <c r="F96" i="8"/>
  <c r="C97" i="8"/>
  <c r="D97" i="8"/>
  <c r="E97" i="8"/>
  <c r="F97" i="8"/>
  <c r="C98" i="8"/>
  <c r="D98" i="8"/>
  <c r="E98" i="8"/>
  <c r="F98" i="8"/>
  <c r="C99" i="8"/>
  <c r="D99" i="8"/>
  <c r="E99" i="8"/>
  <c r="F99" i="8"/>
  <c r="C100" i="8"/>
  <c r="D100" i="8"/>
  <c r="E100" i="8"/>
  <c r="F100" i="8"/>
  <c r="C101" i="8"/>
  <c r="D101" i="8"/>
  <c r="E101" i="8"/>
  <c r="F101" i="8"/>
  <c r="C102" i="8"/>
  <c r="D102" i="8"/>
  <c r="E102" i="8"/>
  <c r="F102" i="8"/>
  <c r="C103" i="8"/>
  <c r="D103" i="8"/>
  <c r="E103" i="8"/>
  <c r="F103" i="8"/>
  <c r="C104" i="8"/>
  <c r="D104" i="8"/>
  <c r="E104" i="8"/>
  <c r="F104" i="8"/>
  <c r="C105" i="8"/>
  <c r="D105" i="8"/>
  <c r="E105" i="8"/>
  <c r="F105" i="8"/>
  <c r="C106" i="8"/>
  <c r="D106" i="8"/>
  <c r="E106" i="8"/>
  <c r="F106" i="8"/>
  <c r="C107" i="8"/>
  <c r="D107" i="8"/>
  <c r="E107" i="8"/>
  <c r="F107" i="8"/>
  <c r="C108" i="8"/>
  <c r="D108" i="8"/>
  <c r="E108" i="8"/>
  <c r="F108" i="8"/>
  <c r="C109" i="8"/>
  <c r="D109" i="8"/>
  <c r="E109" i="8"/>
  <c r="F109" i="8"/>
  <c r="C110" i="8"/>
  <c r="D110" i="8"/>
  <c r="E110" i="8"/>
  <c r="F110" i="8"/>
  <c r="C111" i="8"/>
  <c r="D111" i="8"/>
  <c r="E111" i="8"/>
  <c r="F111" i="8"/>
  <c r="C112" i="8"/>
  <c r="D112" i="8"/>
  <c r="E112" i="8"/>
  <c r="F112" i="8"/>
  <c r="C113" i="8"/>
  <c r="D113" i="8"/>
  <c r="E113" i="8"/>
  <c r="F113" i="8"/>
  <c r="C114" i="8"/>
  <c r="D114" i="8"/>
  <c r="E114" i="8"/>
  <c r="F114" i="8"/>
  <c r="C115" i="8"/>
  <c r="D115" i="8"/>
  <c r="E115" i="8"/>
  <c r="F115" i="8"/>
  <c r="C116" i="8"/>
  <c r="D116" i="8"/>
  <c r="E116" i="8"/>
  <c r="F116" i="8"/>
  <c r="C117" i="8"/>
  <c r="D117" i="8"/>
  <c r="E117" i="8"/>
  <c r="F117" i="8"/>
  <c r="C118" i="8"/>
  <c r="D118" i="8"/>
  <c r="E118" i="8"/>
  <c r="F118" i="8"/>
  <c r="C119" i="8"/>
  <c r="D119" i="8"/>
  <c r="E119" i="8"/>
  <c r="F119" i="8"/>
  <c r="C120" i="8"/>
  <c r="D120" i="8"/>
  <c r="E120" i="8"/>
  <c r="F120" i="8"/>
  <c r="C121" i="8"/>
  <c r="D121" i="8"/>
  <c r="E121" i="8"/>
  <c r="F121" i="8"/>
  <c r="C122" i="8"/>
  <c r="D122" i="8"/>
  <c r="E122" i="8"/>
  <c r="F122" i="8"/>
  <c r="C123" i="8"/>
  <c r="D123" i="8"/>
  <c r="E123" i="8"/>
  <c r="F123" i="8"/>
  <c r="C124" i="8"/>
  <c r="D124" i="8"/>
  <c r="E124" i="8"/>
  <c r="F124" i="8"/>
  <c r="C125" i="8"/>
  <c r="D125" i="8"/>
  <c r="E125" i="8"/>
  <c r="F125" i="8"/>
  <c r="C126" i="8"/>
  <c r="D126" i="8"/>
  <c r="E126" i="8"/>
  <c r="F126" i="8"/>
  <c r="C127" i="8"/>
  <c r="D127" i="8"/>
  <c r="E127" i="8"/>
  <c r="F127" i="8"/>
  <c r="C128" i="8"/>
  <c r="D128" i="8"/>
  <c r="E128" i="8"/>
  <c r="F128" i="8"/>
  <c r="C129" i="8"/>
  <c r="D129" i="8"/>
  <c r="E129" i="8"/>
  <c r="F129" i="8"/>
  <c r="C130" i="8"/>
  <c r="D130" i="8"/>
  <c r="E130" i="8"/>
  <c r="F130" i="8"/>
  <c r="C131" i="8"/>
  <c r="D131" i="8"/>
  <c r="E131" i="8"/>
  <c r="F131" i="8"/>
  <c r="C132" i="8"/>
  <c r="D132" i="8"/>
  <c r="E132" i="8"/>
  <c r="F132" i="8"/>
  <c r="C133" i="8"/>
  <c r="D133" i="8"/>
  <c r="E133" i="8"/>
  <c r="F133" i="8"/>
  <c r="C134" i="8"/>
  <c r="D134" i="8"/>
  <c r="E134" i="8"/>
  <c r="F134" i="8"/>
  <c r="C135" i="8"/>
  <c r="D135" i="8"/>
  <c r="E135" i="8"/>
  <c r="F135" i="8"/>
  <c r="C136" i="8"/>
  <c r="D136" i="8"/>
  <c r="E136" i="8"/>
  <c r="F136" i="8"/>
  <c r="C137" i="8"/>
  <c r="D137" i="8"/>
  <c r="E137" i="8"/>
  <c r="F137" i="8"/>
  <c r="C138" i="8"/>
  <c r="D138" i="8"/>
  <c r="E138" i="8"/>
  <c r="F138" i="8"/>
  <c r="C139" i="8"/>
  <c r="D139" i="8"/>
  <c r="E139" i="8"/>
  <c r="F139" i="8"/>
  <c r="C140" i="8"/>
  <c r="D140" i="8"/>
  <c r="E140" i="8"/>
  <c r="F140" i="8"/>
  <c r="C141" i="8"/>
  <c r="D141" i="8"/>
  <c r="E141" i="8"/>
  <c r="F141" i="8"/>
  <c r="C142" i="8"/>
  <c r="D142" i="8"/>
  <c r="E142" i="8"/>
  <c r="F142" i="8"/>
  <c r="C143" i="8"/>
  <c r="D143" i="8"/>
  <c r="E143" i="8"/>
  <c r="F143" i="8"/>
  <c r="C144" i="8"/>
  <c r="D144" i="8"/>
  <c r="E144" i="8"/>
  <c r="F144" i="8"/>
  <c r="C145" i="8"/>
  <c r="D145" i="8"/>
  <c r="E145" i="8"/>
  <c r="F145" i="8"/>
  <c r="C146" i="8"/>
  <c r="D146" i="8"/>
  <c r="E146" i="8"/>
  <c r="F146" i="8"/>
  <c r="C147" i="8"/>
  <c r="D147" i="8"/>
  <c r="E147" i="8"/>
  <c r="F147" i="8"/>
  <c r="C148" i="8"/>
  <c r="D148" i="8"/>
  <c r="E148" i="8"/>
  <c r="F148" i="8"/>
  <c r="C149" i="8"/>
  <c r="D149" i="8"/>
  <c r="E149" i="8"/>
  <c r="F149" i="8"/>
  <c r="C150" i="8"/>
  <c r="D150" i="8"/>
  <c r="E150" i="8"/>
  <c r="F150" i="8"/>
  <c r="C151" i="8"/>
  <c r="D151" i="8"/>
  <c r="E151" i="8"/>
  <c r="F151" i="8"/>
  <c r="C152" i="8"/>
  <c r="D152" i="8"/>
  <c r="E152" i="8"/>
  <c r="F152" i="8"/>
  <c r="C153" i="8"/>
  <c r="D153" i="8"/>
  <c r="E153" i="8"/>
  <c r="F153" i="8"/>
  <c r="C154" i="8"/>
  <c r="D154" i="8"/>
  <c r="E154" i="8"/>
  <c r="F154" i="8"/>
  <c r="C155" i="8"/>
  <c r="D155" i="8"/>
  <c r="E155" i="8"/>
  <c r="F155" i="8"/>
  <c r="C156" i="8"/>
  <c r="D156" i="8"/>
  <c r="E156" i="8"/>
  <c r="F156" i="8"/>
  <c r="C157" i="8"/>
  <c r="D157" i="8"/>
  <c r="E157" i="8"/>
  <c r="F157" i="8"/>
  <c r="C158" i="8"/>
  <c r="D158" i="8"/>
  <c r="E158" i="8"/>
  <c r="F158" i="8"/>
  <c r="C159" i="8"/>
  <c r="D159" i="8"/>
  <c r="E159" i="8"/>
  <c r="F159" i="8"/>
  <c r="C160" i="8"/>
  <c r="D160" i="8"/>
  <c r="E160" i="8"/>
  <c r="F160" i="8"/>
  <c r="C161" i="8"/>
  <c r="D161" i="8"/>
  <c r="E161" i="8"/>
  <c r="F161" i="8"/>
  <c r="C162" i="8"/>
  <c r="D162" i="8"/>
  <c r="E162" i="8"/>
  <c r="F162" i="8"/>
  <c r="C163" i="8"/>
  <c r="D163" i="8"/>
  <c r="E163" i="8"/>
  <c r="F163" i="8"/>
  <c r="C164" i="8"/>
  <c r="D164" i="8"/>
  <c r="E164" i="8"/>
  <c r="F164" i="8"/>
  <c r="C165" i="8"/>
  <c r="D165" i="8"/>
  <c r="E165" i="8"/>
  <c r="F165" i="8"/>
  <c r="C166" i="8"/>
  <c r="D166" i="8"/>
  <c r="E166" i="8"/>
  <c r="F166" i="8"/>
  <c r="C167" i="8"/>
  <c r="D167" i="8"/>
  <c r="E167" i="8"/>
  <c r="F167" i="8"/>
  <c r="C168" i="8"/>
  <c r="D168" i="8"/>
  <c r="E168" i="8"/>
  <c r="F168" i="8"/>
  <c r="C169" i="8"/>
  <c r="D169" i="8"/>
  <c r="E169" i="8"/>
  <c r="F169" i="8"/>
  <c r="C170" i="8"/>
  <c r="D170" i="8"/>
  <c r="E170" i="8"/>
  <c r="F170" i="8"/>
  <c r="C171" i="8"/>
  <c r="D171" i="8"/>
  <c r="E171" i="8"/>
  <c r="F171" i="8"/>
  <c r="C172" i="8"/>
  <c r="D172" i="8"/>
  <c r="E172" i="8"/>
  <c r="F172" i="8"/>
  <c r="C173" i="8"/>
  <c r="D173" i="8"/>
  <c r="E173" i="8"/>
  <c r="F173" i="8"/>
  <c r="C174" i="8"/>
  <c r="D174" i="8"/>
  <c r="E174" i="8"/>
  <c r="F174" i="8"/>
  <c r="C175" i="8"/>
  <c r="D175" i="8"/>
  <c r="E175" i="8"/>
  <c r="F175" i="8"/>
  <c r="C176" i="8"/>
  <c r="D176" i="8"/>
  <c r="E176" i="8"/>
  <c r="F176" i="8"/>
  <c r="C177" i="8"/>
  <c r="D177" i="8"/>
  <c r="E177" i="8"/>
  <c r="F177" i="8"/>
  <c r="C178" i="8"/>
  <c r="D178" i="8"/>
  <c r="E178" i="8"/>
  <c r="F178" i="8"/>
  <c r="C179" i="8"/>
  <c r="D179" i="8"/>
  <c r="E179" i="8"/>
  <c r="F179" i="8"/>
  <c r="C180" i="8"/>
  <c r="D180" i="8"/>
  <c r="E180" i="8"/>
  <c r="F180" i="8"/>
  <c r="C181" i="8"/>
  <c r="D181" i="8"/>
  <c r="E181" i="8"/>
  <c r="F181" i="8"/>
  <c r="C182" i="8"/>
  <c r="D182" i="8"/>
  <c r="E182" i="8"/>
  <c r="F182" i="8"/>
  <c r="C183" i="8"/>
  <c r="D183" i="8"/>
  <c r="E183" i="8"/>
  <c r="F183" i="8"/>
  <c r="C184" i="8"/>
  <c r="D184" i="8"/>
  <c r="E184" i="8"/>
  <c r="F184" i="8"/>
  <c r="C185" i="8"/>
  <c r="D185" i="8"/>
  <c r="E185" i="8"/>
  <c r="F185" i="8"/>
  <c r="C186" i="8"/>
  <c r="D186" i="8"/>
  <c r="E186" i="8"/>
  <c r="F186" i="8"/>
  <c r="C187" i="8"/>
  <c r="D187" i="8"/>
  <c r="E187" i="8"/>
  <c r="F187" i="8"/>
  <c r="C188" i="8"/>
  <c r="D188" i="8"/>
  <c r="E188" i="8"/>
  <c r="F188" i="8"/>
  <c r="C189" i="8"/>
  <c r="D189" i="8"/>
  <c r="E189" i="8"/>
  <c r="F189" i="8"/>
  <c r="C190" i="8"/>
  <c r="D190" i="8"/>
  <c r="E190" i="8"/>
  <c r="F190" i="8"/>
  <c r="C191" i="8"/>
  <c r="D191" i="8"/>
  <c r="E191" i="8"/>
  <c r="F191" i="8"/>
  <c r="C192" i="8"/>
  <c r="D192" i="8"/>
  <c r="E192" i="8"/>
  <c r="F192" i="8"/>
  <c r="C193" i="8"/>
  <c r="D193" i="8"/>
  <c r="E193" i="8"/>
  <c r="F193" i="8"/>
  <c r="C194" i="8"/>
  <c r="D194" i="8"/>
  <c r="E194" i="8"/>
  <c r="F194" i="8"/>
  <c r="C195" i="8"/>
  <c r="D195" i="8"/>
  <c r="E195" i="8"/>
  <c r="F195" i="8"/>
  <c r="C196" i="8"/>
  <c r="D196" i="8"/>
  <c r="E196" i="8"/>
  <c r="F196" i="8"/>
  <c r="C197" i="8"/>
  <c r="D197" i="8"/>
  <c r="E197" i="8"/>
  <c r="F197" i="8"/>
  <c r="C198" i="8"/>
  <c r="D198" i="8"/>
  <c r="E198" i="8"/>
  <c r="F198" i="8"/>
  <c r="C199" i="8"/>
  <c r="D199" i="8"/>
  <c r="E199" i="8"/>
  <c r="F199" i="8"/>
  <c r="C200" i="8"/>
  <c r="D200" i="8"/>
  <c r="E200" i="8"/>
  <c r="F200" i="8"/>
  <c r="A5" i="8" l="1"/>
  <c r="N42" i="13"/>
  <c r="O42" i="13" s="1"/>
  <c r="N60" i="13"/>
  <c r="O60" i="13" s="1"/>
  <c r="N59" i="13"/>
  <c r="O59" i="13" s="1"/>
  <c r="E5" i="8" l="1"/>
  <c r="A6" i="8"/>
  <c r="N48" i="13"/>
  <c r="O48" i="13" s="1"/>
  <c r="A7" i="8" l="1"/>
  <c r="E6" i="8"/>
  <c r="N41" i="13"/>
  <c r="O41" i="13" s="1"/>
  <c r="N38" i="13"/>
  <c r="O38" i="13" s="1"/>
  <c r="N46" i="13"/>
  <c r="O46" i="13" s="1"/>
  <c r="N47" i="13"/>
  <c r="O47" i="13" s="1"/>
  <c r="N33" i="13"/>
  <c r="O33" i="13" s="1"/>
  <c r="N53" i="13"/>
  <c r="O53" i="13" s="1"/>
  <c r="N50" i="13"/>
  <c r="O50" i="13" s="1"/>
  <c r="N34" i="13"/>
  <c r="O34" i="13" s="1"/>
  <c r="N39" i="13"/>
  <c r="O39" i="13" s="1"/>
  <c r="N58" i="13"/>
  <c r="O58" i="13" s="1"/>
  <c r="N57" i="13"/>
  <c r="O57" i="13" s="1"/>
  <c r="N31" i="13"/>
  <c r="O31" i="13" s="1"/>
  <c r="N51" i="13"/>
  <c r="O51" i="13" s="1"/>
  <c r="N54" i="13"/>
  <c r="O54" i="13" s="1"/>
  <c r="N30" i="13"/>
  <c r="O30" i="13" s="1"/>
  <c r="N36" i="13"/>
  <c r="O36" i="13" s="1"/>
  <c r="N55" i="13"/>
  <c r="O55" i="13" s="1"/>
  <c r="N56" i="13"/>
  <c r="O56" i="13" s="1"/>
  <c r="N49" i="13"/>
  <c r="O49" i="13" s="1"/>
  <c r="N52" i="13"/>
  <c r="O52" i="13" s="1"/>
  <c r="N32" i="13"/>
  <c r="O32" i="13" s="1"/>
  <c r="N35" i="13"/>
  <c r="O35" i="13" s="1"/>
  <c r="N37" i="13"/>
  <c r="O37" i="13" s="1"/>
  <c r="N40" i="13"/>
  <c r="O40" i="13" s="1"/>
  <c r="N44" i="13"/>
  <c r="O44" i="13" s="1"/>
  <c r="N45" i="13"/>
  <c r="O45" i="13" s="1"/>
  <c r="N43" i="13"/>
  <c r="O43" i="13" s="1"/>
  <c r="C39" i="15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E38" i="14" s="1"/>
  <c r="D39" i="14"/>
  <c r="D40" i="14"/>
  <c r="D41" i="14"/>
  <c r="D42" i="14"/>
  <c r="D43" i="14"/>
  <c r="D44" i="14"/>
  <c r="D45" i="14"/>
  <c r="D46" i="14"/>
  <c r="D47" i="14"/>
  <c r="D48" i="14"/>
  <c r="D49" i="14"/>
  <c r="E49" i="14" s="1"/>
  <c r="D50" i="14"/>
  <c r="E50" i="14" s="1"/>
  <c r="D51" i="14"/>
  <c r="D52" i="14"/>
  <c r="D53" i="14"/>
  <c r="E53" i="14" s="1"/>
  <c r="D54" i="14"/>
  <c r="E54" i="14" s="1"/>
  <c r="D55" i="14"/>
  <c r="D56" i="14"/>
  <c r="E56" i="14" s="1"/>
  <c r="D57" i="14"/>
  <c r="E57" i="14" s="1"/>
  <c r="D58" i="14"/>
  <c r="E58" i="14" s="1"/>
  <c r="D59" i="14"/>
  <c r="E59" i="14" s="1"/>
  <c r="D60" i="14"/>
  <c r="D61" i="14"/>
  <c r="D62" i="14"/>
  <c r="E62" i="14" s="1"/>
  <c r="D63" i="14"/>
  <c r="E63" i="14" s="1"/>
  <c r="D64" i="14"/>
  <c r="E64" i="14" s="1"/>
  <c r="D65" i="14"/>
  <c r="E65" i="14" s="1"/>
  <c r="D66" i="14"/>
  <c r="E66" i="14" s="1"/>
  <c r="D67" i="14"/>
  <c r="E67" i="14" s="1"/>
  <c r="D68" i="14"/>
  <c r="E68" i="14" s="1"/>
  <c r="D69" i="14"/>
  <c r="E69" i="14" s="1"/>
  <c r="D70" i="14"/>
  <c r="E70" i="14" s="1"/>
  <c r="D71" i="14"/>
  <c r="E71" i="14" s="1"/>
  <c r="D72" i="14"/>
  <c r="E72" i="14" s="1"/>
  <c r="D73" i="14"/>
  <c r="E73" i="14" s="1"/>
  <c r="D74" i="14"/>
  <c r="E74" i="14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E91" i="14" s="1"/>
  <c r="D92" i="14"/>
  <c r="E92" i="14" s="1"/>
  <c r="D93" i="14"/>
  <c r="E93" i="14" s="1"/>
  <c r="D94" i="14"/>
  <c r="E94" i="14" s="1"/>
  <c r="D95" i="14"/>
  <c r="E95" i="14" s="1"/>
  <c r="D96" i="14"/>
  <c r="E96" i="14" s="1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E110" i="14" s="1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E120" i="14" s="1"/>
  <c r="D121" i="14"/>
  <c r="E121" i="14" s="1"/>
  <c r="D122" i="14"/>
  <c r="E122" i="14" s="1"/>
  <c r="D123" i="14"/>
  <c r="E123" i="14" s="1"/>
  <c r="D124" i="14"/>
  <c r="E124" i="14" s="1"/>
  <c r="D125" i="14"/>
  <c r="E125" i="14" s="1"/>
  <c r="C126" i="14"/>
  <c r="D126" i="14" s="1"/>
  <c r="E12" i="8" l="1"/>
  <c r="A8" i="8"/>
  <c r="E14" i="8" l="1"/>
  <c r="A9" i="8"/>
  <c r="H4" i="13"/>
  <c r="F1" i="8"/>
  <c r="F14" i="8" s="1"/>
  <c r="C2" i="8"/>
  <c r="AY15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K35" i="13" l="1"/>
  <c r="K37" i="13"/>
  <c r="K40" i="13"/>
  <c r="K44" i="13"/>
  <c r="K45" i="13"/>
  <c r="K42" i="13"/>
  <c r="F5" i="8"/>
  <c r="G5" i="8" s="1"/>
  <c r="K59" i="13" s="1"/>
  <c r="F6" i="8"/>
  <c r="G6" i="8" s="1"/>
  <c r="K38" i="13" s="1"/>
  <c r="F12" i="8"/>
  <c r="G12" i="8" s="1"/>
  <c r="K30" i="13" s="1"/>
  <c r="G14" i="8"/>
  <c r="K51" i="13" s="1"/>
  <c r="E7" i="8"/>
  <c r="F7" i="8"/>
  <c r="A10" i="8"/>
  <c r="I4" i="13"/>
  <c r="J2" i="8"/>
  <c r="J3" i="8"/>
  <c r="J4" i="8"/>
  <c r="R21" i="12"/>
  <c r="R22" i="12" s="1"/>
  <c r="R23" i="12" s="1"/>
  <c r="R24" i="12" s="1"/>
  <c r="R25" i="12" s="1"/>
  <c r="R26" i="12" s="1"/>
  <c r="R27" i="12" s="1"/>
  <c r="R28" i="12" s="1"/>
  <c r="R29" i="12" s="1"/>
  <c r="G7" i="8" l="1"/>
  <c r="A11" i="8"/>
  <c r="E8" i="8"/>
  <c r="F8" i="8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3" i="8"/>
  <c r="J1" i="8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E61" i="14" l="1"/>
  <c r="E51" i="14"/>
  <c r="F15" i="14"/>
  <c r="E55" i="14"/>
  <c r="F4" i="8"/>
  <c r="G4" i="8" s="1"/>
  <c r="L3" i="8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F3" i="8"/>
  <c r="E4" i="8"/>
  <c r="D4" i="8"/>
  <c r="G8" i="8"/>
  <c r="K43" i="13" s="1"/>
  <c r="A12" i="8"/>
  <c r="E9" i="8"/>
  <c r="F9" i="8"/>
  <c r="F125" i="14"/>
  <c r="F81" i="14"/>
  <c r="E47" i="14"/>
  <c r="F47" i="14"/>
  <c r="I49" i="13" s="1"/>
  <c r="J49" i="13" s="1"/>
  <c r="F76" i="14"/>
  <c r="F88" i="14"/>
  <c r="F122" i="14"/>
  <c r="E16" i="14"/>
  <c r="F16" i="14"/>
  <c r="I48" i="13" s="1"/>
  <c r="J48" i="13" s="1"/>
  <c r="E39" i="14"/>
  <c r="F39" i="14"/>
  <c r="I60" i="13" s="1"/>
  <c r="J60" i="13" s="1"/>
  <c r="E25" i="14"/>
  <c r="F25" i="14"/>
  <c r="I56" i="13" s="1"/>
  <c r="J56" i="13" s="1"/>
  <c r="E40" i="14"/>
  <c r="F40" i="14"/>
  <c r="F57" i="14"/>
  <c r="I62" i="13" s="1"/>
  <c r="J62" i="13" s="1"/>
  <c r="L62" i="13" s="1"/>
  <c r="E24" i="14"/>
  <c r="F24" i="14"/>
  <c r="F100" i="14"/>
  <c r="E21" i="14"/>
  <c r="F21" i="14"/>
  <c r="F85" i="14"/>
  <c r="F90" i="14"/>
  <c r="E37" i="14"/>
  <c r="F37" i="14"/>
  <c r="E48" i="14"/>
  <c r="F48" i="14"/>
  <c r="F109" i="14"/>
  <c r="F80" i="14"/>
  <c r="E44" i="14"/>
  <c r="F44" i="14"/>
  <c r="F84" i="14"/>
  <c r="E32" i="14"/>
  <c r="F32" i="14"/>
  <c r="I46" i="13" s="1"/>
  <c r="J46" i="13" s="1"/>
  <c r="E7" i="14"/>
  <c r="F7" i="14"/>
  <c r="I31" i="13" s="1"/>
  <c r="J31" i="13" s="1"/>
  <c r="F71" i="14"/>
  <c r="F114" i="14"/>
  <c r="F105" i="14"/>
  <c r="F112" i="14"/>
  <c r="F103" i="14"/>
  <c r="E9" i="14"/>
  <c r="F9" i="14"/>
  <c r="I30" i="13" s="1"/>
  <c r="J30" i="13" s="1"/>
  <c r="E6" i="14"/>
  <c r="F6" i="14"/>
  <c r="I43" i="13" s="1"/>
  <c r="J43" i="13" s="1"/>
  <c r="E42" i="14"/>
  <c r="F42" i="14"/>
  <c r="F61" i="14"/>
  <c r="F94" i="14"/>
  <c r="F101" i="14"/>
  <c r="F72" i="14"/>
  <c r="I44" i="13" s="1"/>
  <c r="J44" i="13" s="1"/>
  <c r="L44" i="13" s="1"/>
  <c r="E3" i="14"/>
  <c r="F3" i="14"/>
  <c r="I38" i="13" s="1"/>
  <c r="J38" i="13" s="1"/>
  <c r="F69" i="14"/>
  <c r="I37" i="13" s="1"/>
  <c r="J37" i="13" s="1"/>
  <c r="L37" i="13" s="1"/>
  <c r="F65" i="14"/>
  <c r="F92" i="14"/>
  <c r="F68" i="14"/>
  <c r="F91" i="14"/>
  <c r="E18" i="14"/>
  <c r="F18" i="14"/>
  <c r="I34" i="13" s="1"/>
  <c r="J34" i="13" s="1"/>
  <c r="F83" i="14"/>
  <c r="F66" i="14"/>
  <c r="F51" i="14"/>
  <c r="F89" i="14"/>
  <c r="E14" i="14"/>
  <c r="F14" i="14"/>
  <c r="I53" i="13" s="1"/>
  <c r="J53" i="13" s="1"/>
  <c r="F79" i="14"/>
  <c r="E41" i="14"/>
  <c r="F41" i="14"/>
  <c r="E27" i="14"/>
  <c r="F27" i="14"/>
  <c r="F107" i="14"/>
  <c r="F93" i="14"/>
  <c r="E13" i="14"/>
  <c r="F13" i="14"/>
  <c r="I50" i="13" s="1"/>
  <c r="J50" i="13" s="1"/>
  <c r="F106" i="14"/>
  <c r="F104" i="14"/>
  <c r="F62" i="14"/>
  <c r="F59" i="14"/>
  <c r="E15" i="14"/>
  <c r="F102" i="14"/>
  <c r="F73" i="14"/>
  <c r="F49" i="14"/>
  <c r="E31" i="14"/>
  <c r="F31" i="14"/>
  <c r="I54" i="13" s="1"/>
  <c r="J54" i="13" s="1"/>
  <c r="E36" i="14"/>
  <c r="F36" i="14"/>
  <c r="F63" i="14"/>
  <c r="F124" i="14"/>
  <c r="F82" i="14"/>
  <c r="E5" i="14"/>
  <c r="F5" i="14"/>
  <c r="I42" i="13" s="1"/>
  <c r="E35" i="14"/>
  <c r="F35" i="14"/>
  <c r="I52" i="13" s="1"/>
  <c r="J52" i="13" s="1"/>
  <c r="F119" i="14"/>
  <c r="E8" i="14"/>
  <c r="F8" i="14"/>
  <c r="I39" i="13" s="1"/>
  <c r="J39" i="13" s="1"/>
  <c r="E30" i="14"/>
  <c r="F30" i="14"/>
  <c r="I40" i="13" s="1"/>
  <c r="J40" i="13" s="1"/>
  <c r="L40" i="13" s="1"/>
  <c r="F78" i="14"/>
  <c r="F67" i="14"/>
  <c r="I63" i="13" s="1"/>
  <c r="J63" i="13" s="1"/>
  <c r="L63" i="13" s="1"/>
  <c r="F99" i="14"/>
  <c r="F111" i="14"/>
  <c r="F58" i="14"/>
  <c r="I45" i="13" s="1"/>
  <c r="J45" i="13" s="1"/>
  <c r="L45" i="13" s="1"/>
  <c r="F95" i="14"/>
  <c r="E60" i="14"/>
  <c r="F60" i="14"/>
  <c r="F86" i="14"/>
  <c r="E23" i="14"/>
  <c r="F23" i="14"/>
  <c r="F121" i="14"/>
  <c r="E34" i="14"/>
  <c r="F34" i="14"/>
  <c r="F118" i="14"/>
  <c r="E28" i="14"/>
  <c r="F28" i="14"/>
  <c r="I55" i="13" s="1"/>
  <c r="J55" i="13" s="1"/>
  <c r="F75" i="14"/>
  <c r="E2" i="14"/>
  <c r="F2" i="14"/>
  <c r="I59" i="13" s="1"/>
  <c r="J59" i="13" s="1"/>
  <c r="F53" i="14"/>
  <c r="E26" i="14"/>
  <c r="F26" i="14"/>
  <c r="F110" i="14"/>
  <c r="F50" i="14"/>
  <c r="E45" i="14"/>
  <c r="F45" i="14"/>
  <c r="E22" i="14"/>
  <c r="F22" i="14"/>
  <c r="E20" i="14"/>
  <c r="F20" i="14"/>
  <c r="F70" i="14"/>
  <c r="F123" i="14"/>
  <c r="F55" i="14"/>
  <c r="I32" i="13" s="1"/>
  <c r="J32" i="13" s="1"/>
  <c r="F98" i="14"/>
  <c r="E4" i="14"/>
  <c r="F4" i="14"/>
  <c r="F117" i="14"/>
  <c r="F115" i="14"/>
  <c r="F97" i="14"/>
  <c r="E52" i="14"/>
  <c r="F52" i="14"/>
  <c r="I61" i="13" s="1"/>
  <c r="J61" i="13" s="1"/>
  <c r="E29" i="14"/>
  <c r="F29" i="14"/>
  <c r="F74" i="14"/>
  <c r="F64" i="14"/>
  <c r="E12" i="14"/>
  <c r="F12" i="14"/>
  <c r="I57" i="13" s="1"/>
  <c r="J57" i="13" s="1"/>
  <c r="F54" i="14"/>
  <c r="E33" i="14"/>
  <c r="F33" i="14"/>
  <c r="I58" i="13" s="1"/>
  <c r="J58" i="13" s="1"/>
  <c r="E11" i="14"/>
  <c r="F11" i="14"/>
  <c r="I47" i="13" s="1"/>
  <c r="J47" i="13" s="1"/>
  <c r="F108" i="14"/>
  <c r="F87" i="14"/>
  <c r="I35" i="13" s="1"/>
  <c r="J35" i="13" s="1"/>
  <c r="F120" i="14"/>
  <c r="E46" i="14"/>
  <c r="F46" i="14"/>
  <c r="F116" i="14"/>
  <c r="E43" i="14"/>
  <c r="F43" i="14"/>
  <c r="I36" i="13" s="1"/>
  <c r="J36" i="13" s="1"/>
  <c r="E17" i="14"/>
  <c r="F17" i="14"/>
  <c r="F113" i="14"/>
  <c r="F77" i="14"/>
  <c r="E19" i="14"/>
  <c r="F19" i="14"/>
  <c r="I33" i="13" s="1"/>
  <c r="J33" i="13" s="1"/>
  <c r="F56" i="14"/>
  <c r="F38" i="14"/>
  <c r="F96" i="14"/>
  <c r="E126" i="14"/>
  <c r="E10" i="14"/>
  <c r="F10" i="14"/>
  <c r="I41" i="13" s="1"/>
  <c r="J41" i="13" s="1"/>
  <c r="K1" i="8"/>
  <c r="K4" i="13"/>
  <c r="D2" i="8"/>
  <c r="G3" i="13" l="1"/>
  <c r="E3" i="8"/>
  <c r="G3" i="8" s="1"/>
  <c r="D3" i="8"/>
  <c r="G9" i="8"/>
  <c r="K31" i="13" s="1"/>
  <c r="F10" i="8"/>
  <c r="A13" i="8"/>
  <c r="E10" i="8"/>
  <c r="J42" i="13"/>
  <c r="L42" i="13" s="1"/>
  <c r="L1" i="8"/>
  <c r="L4" i="13"/>
  <c r="G10" i="8" l="1"/>
  <c r="A14" i="8"/>
  <c r="E11" i="8"/>
  <c r="F11" i="8"/>
  <c r="M1" i="8"/>
  <c r="M4" i="13"/>
  <c r="G11" i="8" l="1"/>
  <c r="K39" i="13" s="1"/>
  <c r="F13" i="8"/>
  <c r="A15" i="8"/>
  <c r="E13" i="8"/>
  <c r="N1" i="8"/>
  <c r="N4" i="13"/>
  <c r="G13" i="8" l="1"/>
  <c r="K41" i="13" s="1"/>
  <c r="E15" i="8"/>
  <c r="F15" i="8"/>
  <c r="A16" i="8"/>
  <c r="O1" i="8"/>
  <c r="O4" i="13"/>
  <c r="G15" i="8" l="1"/>
  <c r="K53" i="13" s="1"/>
  <c r="F16" i="8"/>
  <c r="A17" i="8"/>
  <c r="E16" i="8"/>
  <c r="P1" i="8"/>
  <c r="P4" i="13"/>
  <c r="G16" i="8" l="1"/>
  <c r="K47" i="13" s="1"/>
  <c r="F17" i="8"/>
  <c r="E17" i="8"/>
  <c r="A18" i="8"/>
  <c r="Q1" i="8"/>
  <c r="Q4" i="13"/>
  <c r="G17" i="8" l="1"/>
  <c r="K33" i="13" s="1"/>
  <c r="A19" i="8"/>
  <c r="E18" i="8"/>
  <c r="F18" i="8"/>
  <c r="R1" i="8"/>
  <c r="R4" i="13"/>
  <c r="G18" i="8" l="1"/>
  <c r="K34" i="13" s="1"/>
  <c r="A20" i="8"/>
  <c r="E19" i="8"/>
  <c r="F19" i="8"/>
  <c r="S1" i="8"/>
  <c r="S4" i="13"/>
  <c r="G19" i="8" l="1"/>
  <c r="K57" i="13" s="1"/>
  <c r="E20" i="8"/>
  <c r="A21" i="8"/>
  <c r="F20" i="8"/>
  <c r="T1" i="8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F2" i="8"/>
  <c r="G2" i="8" s="1"/>
  <c r="E2" i="8"/>
  <c r="T4" i="13"/>
  <c r="G20" i="8" l="1"/>
  <c r="A22" i="8"/>
  <c r="E21" i="8"/>
  <c r="F21" i="8"/>
  <c r="L35" i="13"/>
  <c r="U4" i="13"/>
  <c r="K50" i="13" l="1"/>
  <c r="L50" i="13" s="1"/>
  <c r="G21" i="8"/>
  <c r="E22" i="8"/>
  <c r="F22" i="8"/>
  <c r="A23" i="8"/>
  <c r="L53" i="13"/>
  <c r="L57" i="13"/>
  <c r="L31" i="13"/>
  <c r="L30" i="13"/>
  <c r="L43" i="13"/>
  <c r="L38" i="13"/>
  <c r="L39" i="13"/>
  <c r="L33" i="13"/>
  <c r="L34" i="13"/>
  <c r="V4" i="13"/>
  <c r="K48" i="13" l="1"/>
  <c r="L48" i="13" s="1"/>
  <c r="G22" i="8"/>
  <c r="A24" i="8"/>
  <c r="E23" i="8"/>
  <c r="F23" i="8"/>
  <c r="L41" i="13"/>
  <c r="L47" i="13"/>
  <c r="L59" i="13"/>
  <c r="W4" i="13"/>
  <c r="G23" i="8" l="1"/>
  <c r="E24" i="8"/>
  <c r="F24" i="8"/>
  <c r="A25" i="8"/>
  <c r="X4" i="13"/>
  <c r="G24" i="8" l="1"/>
  <c r="E25" i="8"/>
  <c r="F25" i="8"/>
  <c r="A26" i="8"/>
  <c r="Y4" i="13"/>
  <c r="G25" i="8" l="1"/>
  <c r="A27" i="8"/>
  <c r="E26" i="8"/>
  <c r="F26" i="8"/>
  <c r="Z4" i="13"/>
  <c r="G26" i="8" l="1"/>
  <c r="F27" i="8"/>
  <c r="A28" i="8"/>
  <c r="E27" i="8"/>
  <c r="AA4" i="13"/>
  <c r="K58" i="13" l="1"/>
  <c r="L58" i="13" s="1"/>
  <c r="G27" i="8"/>
  <c r="F28" i="8"/>
  <c r="A29" i="8"/>
  <c r="E28" i="8"/>
  <c r="AB4" i="13"/>
  <c r="G28" i="8" l="1"/>
  <c r="F29" i="8"/>
  <c r="A30" i="8"/>
  <c r="E29" i="8"/>
  <c r="AC4" i="13"/>
  <c r="G29" i="8" l="1"/>
  <c r="F30" i="8"/>
  <c r="E30" i="8"/>
  <c r="A31" i="8"/>
  <c r="AD4" i="13"/>
  <c r="K56" i="13" l="1"/>
  <c r="L56" i="13" s="1"/>
  <c r="G30" i="8"/>
  <c r="F31" i="8"/>
  <c r="A32" i="8"/>
  <c r="E31" i="8"/>
  <c r="AE4" i="13"/>
  <c r="G31" i="8" l="1"/>
  <c r="E32" i="8"/>
  <c r="F32" i="8"/>
  <c r="A33" i="8"/>
  <c r="AF4" i="13"/>
  <c r="K55" i="13" l="1"/>
  <c r="L55" i="13" s="1"/>
  <c r="G32" i="8"/>
  <c r="F33" i="8"/>
  <c r="A34" i="8"/>
  <c r="E33" i="8"/>
  <c r="AG4" i="13"/>
  <c r="G33" i="8" l="1"/>
  <c r="A35" i="8"/>
  <c r="E34" i="8"/>
  <c r="F34" i="8"/>
  <c r="AH4" i="13"/>
  <c r="K54" i="13" l="1"/>
  <c r="L54" i="13" s="1"/>
  <c r="G34" i="8"/>
  <c r="A36" i="8"/>
  <c r="E35" i="8"/>
  <c r="F35" i="8"/>
  <c r="AI4" i="13"/>
  <c r="G35" i="8" l="1"/>
  <c r="A37" i="8"/>
  <c r="E37" i="8"/>
  <c r="F37" i="8"/>
  <c r="AJ4" i="13"/>
  <c r="K49" i="13" l="1"/>
  <c r="L49" i="13" s="1"/>
  <c r="G37" i="8"/>
  <c r="E38" i="8"/>
  <c r="F38" i="8"/>
  <c r="A38" i="8"/>
  <c r="AK4" i="13"/>
  <c r="G38" i="8" l="1"/>
  <c r="A39" i="8"/>
  <c r="E39" i="8"/>
  <c r="F39" i="8"/>
  <c r="AL4" i="13"/>
  <c r="K36" i="13" l="1"/>
  <c r="L36" i="13" s="1"/>
  <c r="G39" i="8"/>
  <c r="E40" i="8"/>
  <c r="F40" i="8"/>
  <c r="A40" i="8"/>
  <c r="AM4" i="13"/>
  <c r="K52" i="13" l="1"/>
  <c r="L52" i="13" s="1"/>
  <c r="G40" i="8"/>
  <c r="E42" i="8"/>
  <c r="A41" i="8"/>
  <c r="F42" i="8"/>
  <c r="AN4" i="13"/>
  <c r="K46" i="13" l="1"/>
  <c r="L46" i="13" s="1"/>
  <c r="G42" i="8"/>
  <c r="E43" i="8"/>
  <c r="F43" i="8"/>
  <c r="A42" i="8"/>
  <c r="AO4" i="13"/>
  <c r="G43" i="8" l="1"/>
  <c r="A43" i="8"/>
  <c r="E44" i="8"/>
  <c r="F44" i="8"/>
  <c r="AP4" i="13"/>
  <c r="G44" i="8" l="1"/>
  <c r="F45" i="8"/>
  <c r="A44" i="8"/>
  <c r="E45" i="8"/>
  <c r="AQ4" i="13"/>
  <c r="G45" i="8" l="1"/>
  <c r="F46" i="8"/>
  <c r="A45" i="8"/>
  <c r="E46" i="8"/>
  <c r="AR4" i="13"/>
  <c r="G46" i="8" l="1"/>
  <c r="F47" i="8"/>
  <c r="A46" i="8"/>
  <c r="E47" i="8"/>
  <c r="AS4" i="13"/>
  <c r="G47" i="8" l="1"/>
  <c r="E48" i="8"/>
  <c r="F48" i="8"/>
  <c r="A47" i="8"/>
  <c r="AT4" i="13"/>
  <c r="G48" i="8" l="1"/>
  <c r="E49" i="8"/>
  <c r="A48" i="8"/>
  <c r="F49" i="8"/>
  <c r="AU4" i="13"/>
  <c r="G49" i="8" l="1"/>
  <c r="E51" i="8"/>
  <c r="F51" i="8"/>
  <c r="A49" i="8"/>
  <c r="AV4" i="13"/>
  <c r="K60" i="13" l="1"/>
  <c r="L60" i="13" s="1"/>
  <c r="G51" i="8"/>
  <c r="E52" i="8"/>
  <c r="F52" i="8"/>
  <c r="A50" i="8"/>
  <c r="AW4" i="13"/>
  <c r="G52" i="8" l="1"/>
  <c r="A51" i="8"/>
  <c r="E55" i="8"/>
  <c r="F55" i="8"/>
  <c r="AX4" i="13"/>
  <c r="G55" i="8" l="1"/>
  <c r="A52" i="8"/>
  <c r="E36" i="8"/>
  <c r="F36" i="8"/>
  <c r="AY4" i="13"/>
  <c r="G36" i="8" l="1"/>
  <c r="A53" i="8"/>
  <c r="E41" i="8"/>
  <c r="F41" i="8"/>
  <c r="AZ4" i="13"/>
  <c r="G41" i="8" l="1"/>
  <c r="A54" i="8"/>
  <c r="F50" i="8"/>
  <c r="E50" i="8"/>
  <c r="BA4" i="13"/>
  <c r="K61" i="13" l="1"/>
  <c r="L61" i="13" s="1"/>
  <c r="G50" i="8"/>
  <c r="F53" i="8"/>
  <c r="E53" i="8"/>
  <c r="A55" i="8"/>
  <c r="BB4" i="13"/>
  <c r="K32" i="13" l="1"/>
  <c r="L32" i="13" s="1"/>
  <c r="G53" i="8"/>
  <c r="F54" i="8"/>
  <c r="E54" i="8"/>
  <c r="A56" i="8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BC4" i="13"/>
  <c r="G54" i="8" l="1"/>
  <c r="B126" i="14" s="1"/>
  <c r="BD4" i="13"/>
  <c r="B2" i="13" l="1"/>
  <c r="G5" i="13" s="1"/>
  <c r="I51" i="13"/>
  <c r="J51" i="13" s="1"/>
  <c r="L51" i="13" s="1"/>
  <c r="C28" i="13"/>
  <c r="BE4" i="13"/>
  <c r="C23" i="13" l="1"/>
  <c r="C24" i="15" s="1"/>
  <c r="C22" i="13"/>
  <c r="C22" i="15" s="1"/>
  <c r="C4" i="13"/>
  <c r="C8" i="13"/>
  <c r="C16" i="15" s="1"/>
  <c r="C7" i="13"/>
  <c r="C14" i="15" s="1"/>
  <c r="BD5" i="13"/>
  <c r="C18" i="13"/>
  <c r="C20" i="13" s="1"/>
  <c r="C15" i="13"/>
  <c r="BE5" i="13"/>
  <c r="D28" i="13"/>
  <c r="H3" i="13"/>
  <c r="G23" i="13"/>
  <c r="B34" i="13"/>
  <c r="B29" i="15" s="1"/>
  <c r="B33" i="13"/>
  <c r="H5" i="13"/>
  <c r="I5" i="13"/>
  <c r="J5" i="13"/>
  <c r="K5" i="13"/>
  <c r="L5" i="13"/>
  <c r="C11" i="13"/>
  <c r="C20" i="15" s="1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F4" i="13"/>
  <c r="BF5" i="13" s="1"/>
  <c r="C6" i="13" l="1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D26" i="13"/>
  <c r="Q17" i="13"/>
  <c r="J17" i="13"/>
  <c r="AR17" i="13"/>
  <c r="O17" i="13"/>
  <c r="G17" i="13"/>
  <c r="AP17" i="13"/>
  <c r="AV17" i="13"/>
  <c r="T17" i="13"/>
  <c r="S17" i="13"/>
  <c r="C37" i="15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M25" i="13"/>
  <c r="AG25" i="13"/>
  <c r="BB25" i="13"/>
  <c r="AT25" i="13"/>
  <c r="AL25" i="13"/>
  <c r="AD25" i="13"/>
  <c r="V25" i="13"/>
  <c r="N25" i="13"/>
  <c r="G15" i="13"/>
  <c r="G13" i="13"/>
  <c r="G9" i="13"/>
  <c r="G11" i="13"/>
  <c r="H26" i="13"/>
  <c r="H27" i="13" s="1"/>
  <c r="I3" i="13"/>
  <c r="H23" i="13"/>
  <c r="AJ25" i="13"/>
  <c r="T25" i="13"/>
  <c r="AY25" i="13"/>
  <c r="AQ25" i="13"/>
  <c r="AI25" i="13"/>
  <c r="AA25" i="13"/>
  <c r="S25" i="13"/>
  <c r="L25" i="13"/>
  <c r="C10" i="15"/>
  <c r="C13" i="13"/>
  <c r="C18" i="15" s="1"/>
  <c r="BE25" i="13"/>
  <c r="AK25" i="13"/>
  <c r="AR25" i="13"/>
  <c r="AB25" i="13"/>
  <c r="F18" i="13"/>
  <c r="F6" i="13"/>
  <c r="G6" i="13" s="1"/>
  <c r="G7" i="13" s="1"/>
  <c r="G18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H11" i="13"/>
  <c r="H6" i="13"/>
  <c r="H7" i="13" s="1"/>
  <c r="H18" i="13" s="1"/>
  <c r="BD25" i="13"/>
  <c r="BG4" i="13"/>
  <c r="BG5" i="13" s="1"/>
  <c r="BG25" i="13" s="1"/>
  <c r="G16" i="13" l="1"/>
  <c r="G22" i="13" s="1"/>
  <c r="H12" i="13"/>
  <c r="H20" i="13" s="1"/>
  <c r="G14" i="13"/>
  <c r="G21" i="13" s="1"/>
  <c r="G12" i="13"/>
  <c r="G20" i="13" s="1"/>
  <c r="I11" i="13"/>
  <c r="J11" i="13" s="1"/>
  <c r="J12" i="13" s="1"/>
  <c r="G10" i="13"/>
  <c r="G19" i="13" s="1"/>
  <c r="H9" i="13"/>
  <c r="I9" i="13" s="1"/>
  <c r="I10" i="13" s="1"/>
  <c r="H13" i="13"/>
  <c r="I13" i="13" s="1"/>
  <c r="I14" i="13" s="1"/>
  <c r="H24" i="13"/>
  <c r="G24" i="13"/>
  <c r="G8" i="13"/>
  <c r="H8" i="13"/>
  <c r="I26" i="13"/>
  <c r="I27" i="13" s="1"/>
  <c r="J3" i="13"/>
  <c r="I23" i="13"/>
  <c r="I6" i="13"/>
  <c r="H15" i="13"/>
  <c r="H16" i="13" s="1"/>
  <c r="BH4" i="13"/>
  <c r="BH5" i="13" s="1"/>
  <c r="BH25" i="13" s="1"/>
  <c r="H14" i="13" l="1"/>
  <c r="H21" i="13" s="1"/>
  <c r="H10" i="13"/>
  <c r="H19" i="13" s="1"/>
  <c r="I12" i="13"/>
  <c r="I20" i="13" s="1"/>
  <c r="H22" i="13"/>
  <c r="I15" i="13"/>
  <c r="I16" i="13" s="1"/>
  <c r="J20" i="13"/>
  <c r="K11" i="13"/>
  <c r="K12" i="13" s="1"/>
  <c r="I19" i="13"/>
  <c r="J9" i="13"/>
  <c r="J10" i="13" s="1"/>
  <c r="I7" i="13"/>
  <c r="J6" i="13"/>
  <c r="I21" i="13"/>
  <c r="J13" i="13"/>
  <c r="J14" i="13" s="1"/>
  <c r="J23" i="13"/>
  <c r="K3" i="13"/>
  <c r="J26" i="13"/>
  <c r="J27" i="13" s="1"/>
  <c r="BI4" i="13"/>
  <c r="BI5" i="13" s="1"/>
  <c r="BI25" i="13" s="1"/>
  <c r="I18" i="13" l="1"/>
  <c r="I24" i="13" s="1"/>
  <c r="I8" i="13"/>
  <c r="J7" i="13"/>
  <c r="K6" i="13"/>
  <c r="K26" i="13"/>
  <c r="K27" i="13" s="1"/>
  <c r="L3" i="13"/>
  <c r="K23" i="13"/>
  <c r="K20" i="13"/>
  <c r="L11" i="13"/>
  <c r="L12" i="13" s="1"/>
  <c r="J19" i="13"/>
  <c r="K9" i="13"/>
  <c r="K10" i="13" s="1"/>
  <c r="J21" i="13"/>
  <c r="K13" i="13"/>
  <c r="K14" i="13" s="1"/>
  <c r="I22" i="13"/>
  <c r="J15" i="13"/>
  <c r="J16" i="13" s="1"/>
  <c r="BJ4" i="13"/>
  <c r="BJ5" i="13" s="1"/>
  <c r="BJ25" i="13" s="1"/>
  <c r="J18" i="13" l="1"/>
  <c r="J24" i="13" s="1"/>
  <c r="J8" i="13"/>
  <c r="L20" i="13"/>
  <c r="M11" i="13"/>
  <c r="M12" i="13" s="1"/>
  <c r="L23" i="13"/>
  <c r="L26" i="13"/>
  <c r="L27" i="13" s="1"/>
  <c r="M3" i="13"/>
  <c r="K21" i="13"/>
  <c r="L13" i="13"/>
  <c r="L14" i="13" s="1"/>
  <c r="L6" i="13"/>
  <c r="K7" i="13"/>
  <c r="J22" i="13"/>
  <c r="K15" i="13"/>
  <c r="K16" i="13" s="1"/>
  <c r="K19" i="13"/>
  <c r="L9" i="13"/>
  <c r="L10" i="13" s="1"/>
  <c r="BK4" i="13"/>
  <c r="BK5" i="13" s="1"/>
  <c r="BK25" i="13" s="1"/>
  <c r="K18" i="13" l="1"/>
  <c r="K24" i="13" s="1"/>
  <c r="K8" i="13"/>
  <c r="L7" i="13"/>
  <c r="M6" i="13"/>
  <c r="L21" i="13"/>
  <c r="M13" i="13"/>
  <c r="M14" i="13" s="1"/>
  <c r="L19" i="13"/>
  <c r="M9" i="13"/>
  <c r="M10" i="13" s="1"/>
  <c r="M26" i="13"/>
  <c r="M27" i="13" s="1"/>
  <c r="N3" i="13"/>
  <c r="M23" i="13"/>
  <c r="K22" i="13"/>
  <c r="L15" i="13"/>
  <c r="L16" i="13" s="1"/>
  <c r="M20" i="13"/>
  <c r="N11" i="13"/>
  <c r="N12" i="13" s="1"/>
  <c r="BL4" i="13"/>
  <c r="BL5" i="13" s="1"/>
  <c r="BL25" i="13" l="1"/>
  <c r="C5" i="13"/>
  <c r="L18" i="13"/>
  <c r="L24" i="13" s="1"/>
  <c r="L8" i="13"/>
  <c r="M19" i="13"/>
  <c r="N9" i="13"/>
  <c r="N10" i="13" s="1"/>
  <c r="N20" i="13"/>
  <c r="O11" i="13"/>
  <c r="O12" i="13" s="1"/>
  <c r="M21" i="13"/>
  <c r="N13" i="13"/>
  <c r="N14" i="13" s="1"/>
  <c r="L22" i="13"/>
  <c r="M15" i="13"/>
  <c r="M16" i="13" s="1"/>
  <c r="N26" i="13"/>
  <c r="N27" i="13" s="1"/>
  <c r="N23" i="13"/>
  <c r="O3" i="13"/>
  <c r="M7" i="13"/>
  <c r="N6" i="13"/>
  <c r="BM4" i="13"/>
  <c r="BM5" i="13" s="1"/>
  <c r="BM25" i="13" s="1"/>
  <c r="M18" i="13" l="1"/>
  <c r="M24" i="13" s="1"/>
  <c r="M8" i="13"/>
  <c r="M22" i="13"/>
  <c r="N15" i="13"/>
  <c r="N16" i="13" s="1"/>
  <c r="N21" i="13"/>
  <c r="O13" i="13"/>
  <c r="O14" i="13" s="1"/>
  <c r="O6" i="13"/>
  <c r="N7" i="13"/>
  <c r="O20" i="13"/>
  <c r="P11" i="13"/>
  <c r="P12" i="13" s="1"/>
  <c r="P3" i="13"/>
  <c r="O23" i="13"/>
  <c r="O26" i="13"/>
  <c r="O27" i="13" s="1"/>
  <c r="N19" i="13"/>
  <c r="O9" i="13"/>
  <c r="O10" i="13" s="1"/>
  <c r="BN4" i="13"/>
  <c r="BN5" i="13" s="1"/>
  <c r="BN25" i="13" s="1"/>
  <c r="N18" i="13" l="1"/>
  <c r="N24" i="13" s="1"/>
  <c r="N8" i="13"/>
  <c r="P20" i="13"/>
  <c r="Q11" i="13"/>
  <c r="Q12" i="13" s="1"/>
  <c r="O7" i="13"/>
  <c r="P6" i="13"/>
  <c r="P7" i="13" s="1"/>
  <c r="O21" i="13"/>
  <c r="P13" i="13"/>
  <c r="P14" i="13" s="1"/>
  <c r="O19" i="13"/>
  <c r="P9" i="13"/>
  <c r="P10" i="13" s="1"/>
  <c r="N22" i="13"/>
  <c r="O15" i="13"/>
  <c r="O16" i="13" s="1"/>
  <c r="P26" i="13"/>
  <c r="P27" i="13" s="1"/>
  <c r="Q3" i="13"/>
  <c r="P23" i="13"/>
  <c r="BN8" i="13"/>
  <c r="BO4" i="13"/>
  <c r="O18" i="13" l="1"/>
  <c r="O24" i="13" s="1"/>
  <c r="O8" i="13"/>
  <c r="P19" i="13"/>
  <c r="Q9" i="13"/>
  <c r="Q10" i="13" s="1"/>
  <c r="P21" i="13"/>
  <c r="Q13" i="13"/>
  <c r="Q14" i="13" s="1"/>
  <c r="Q6" i="13"/>
  <c r="Q7" i="13" s="1"/>
  <c r="O22" i="13"/>
  <c r="P15" i="13"/>
  <c r="P16" i="13" s="1"/>
  <c r="Q20" i="13"/>
  <c r="R11" i="13"/>
  <c r="R12" i="13" s="1"/>
  <c r="R3" i="13"/>
  <c r="Q26" i="13"/>
  <c r="Q27" i="13" s="1"/>
  <c r="Q23" i="13"/>
  <c r="BP4" i="13"/>
  <c r="BO5" i="13"/>
  <c r="BO25" i="13" s="1"/>
  <c r="P18" i="13" l="1"/>
  <c r="P24" i="13" s="1"/>
  <c r="P8" i="13"/>
  <c r="P22" i="13"/>
  <c r="Q15" i="13"/>
  <c r="Q16" i="13" s="1"/>
  <c r="R6" i="13"/>
  <c r="R7" i="13" s="1"/>
  <c r="Q21" i="13"/>
  <c r="R13" i="13"/>
  <c r="R14" i="13" s="1"/>
  <c r="R23" i="13"/>
  <c r="S3" i="13"/>
  <c r="R26" i="13"/>
  <c r="R27" i="13" s="1"/>
  <c r="Q19" i="13"/>
  <c r="R9" i="13"/>
  <c r="R10" i="13" s="1"/>
  <c r="R20" i="13"/>
  <c r="S11" i="13"/>
  <c r="S12" i="13" s="1"/>
  <c r="BO8" i="13"/>
  <c r="BQ4" i="13"/>
  <c r="BP5" i="13"/>
  <c r="BP25" i="13" s="1"/>
  <c r="Q18" i="13" l="1"/>
  <c r="Q24" i="13" s="1"/>
  <c r="Q8" i="13"/>
  <c r="R21" i="13"/>
  <c r="S13" i="13"/>
  <c r="S14" i="13" s="1"/>
  <c r="S26" i="13"/>
  <c r="S27" i="13" s="1"/>
  <c r="T3" i="13"/>
  <c r="S23" i="13"/>
  <c r="S20" i="13"/>
  <c r="T11" i="13"/>
  <c r="T12" i="13" s="1"/>
  <c r="S6" i="13"/>
  <c r="S7" i="13" s="1"/>
  <c r="Q22" i="13"/>
  <c r="R15" i="13"/>
  <c r="R16" i="13" s="1"/>
  <c r="R19" i="13"/>
  <c r="S9" i="13"/>
  <c r="S10" i="13" s="1"/>
  <c r="BP8" i="13"/>
  <c r="BR4" i="13"/>
  <c r="BQ5" i="13"/>
  <c r="BQ25" i="13" s="1"/>
  <c r="R18" i="13" l="1"/>
  <c r="R24" i="13" s="1"/>
  <c r="R8" i="13"/>
  <c r="T20" i="13"/>
  <c r="U11" i="13"/>
  <c r="U12" i="13" s="1"/>
  <c r="S19" i="13"/>
  <c r="T9" i="13"/>
  <c r="T10" i="13" s="1"/>
  <c r="U3" i="13"/>
  <c r="T23" i="13"/>
  <c r="T26" i="13"/>
  <c r="T27" i="13" s="1"/>
  <c r="R22" i="13"/>
  <c r="S15" i="13"/>
  <c r="S16" i="13" s="1"/>
  <c r="T6" i="13"/>
  <c r="T7" i="13" s="1"/>
  <c r="S21" i="13"/>
  <c r="T13" i="13"/>
  <c r="T14" i="13" s="1"/>
  <c r="BQ8" i="13"/>
  <c r="BR5" i="13"/>
  <c r="BR25" i="13" s="1"/>
  <c r="BS4" i="13"/>
  <c r="S18" i="13" l="1"/>
  <c r="S24" i="13" s="1"/>
  <c r="S8" i="13"/>
  <c r="U26" i="13"/>
  <c r="U27" i="13" s="1"/>
  <c r="V3" i="13"/>
  <c r="U23" i="13"/>
  <c r="T19" i="13"/>
  <c r="U9" i="13"/>
  <c r="U10" i="13" s="1"/>
  <c r="U6" i="13"/>
  <c r="U7" i="13" s="1"/>
  <c r="C12" i="15"/>
  <c r="U20" i="13"/>
  <c r="V11" i="13"/>
  <c r="V12" i="13" s="1"/>
  <c r="T21" i="13"/>
  <c r="U13" i="13"/>
  <c r="U14" i="13" s="1"/>
  <c r="S22" i="13"/>
  <c r="T15" i="13"/>
  <c r="T16" i="13" s="1"/>
  <c r="BR8" i="13"/>
  <c r="BS5" i="13"/>
  <c r="BS25" i="13" s="1"/>
  <c r="BT4" i="13"/>
  <c r="T18" i="13" l="1"/>
  <c r="T24" i="13" s="1"/>
  <c r="T8" i="13"/>
  <c r="V6" i="13"/>
  <c r="V7" i="13" s="1"/>
  <c r="U19" i="13"/>
  <c r="V9" i="13"/>
  <c r="V10" i="13" s="1"/>
  <c r="U21" i="13"/>
  <c r="V13" i="13"/>
  <c r="V14" i="13" s="1"/>
  <c r="V26" i="13"/>
  <c r="V27" i="13" s="1"/>
  <c r="V23" i="13"/>
  <c r="W3" i="13"/>
  <c r="T22" i="13"/>
  <c r="U15" i="13"/>
  <c r="U16" i="13" s="1"/>
  <c r="V20" i="13"/>
  <c r="W11" i="13"/>
  <c r="W12" i="13" s="1"/>
  <c r="BT5" i="13"/>
  <c r="BT25" i="13" s="1"/>
  <c r="BU4" i="13"/>
  <c r="BS8" i="13"/>
  <c r="U18" i="13" l="1"/>
  <c r="U24" i="13" s="1"/>
  <c r="U8" i="13"/>
  <c r="V21" i="13"/>
  <c r="W13" i="13"/>
  <c r="W14" i="13" s="1"/>
  <c r="W20" i="13"/>
  <c r="X11" i="13"/>
  <c r="X12" i="13" s="1"/>
  <c r="V19" i="13"/>
  <c r="W9" i="13"/>
  <c r="W10" i="13" s="1"/>
  <c r="U22" i="13"/>
  <c r="V15" i="13"/>
  <c r="V16" i="13" s="1"/>
  <c r="W6" i="13"/>
  <c r="W7" i="13" s="1"/>
  <c r="W26" i="13"/>
  <c r="W27" i="13" s="1"/>
  <c r="W23" i="13"/>
  <c r="X3" i="13"/>
  <c r="BU5" i="13"/>
  <c r="BU25" i="13" s="1"/>
  <c r="BV4" i="13"/>
  <c r="BT8" i="13"/>
  <c r="V18" i="13" l="1"/>
  <c r="V24" i="13" s="1"/>
  <c r="V8" i="13"/>
  <c r="V22" i="13"/>
  <c r="W15" i="13"/>
  <c r="W16" i="13" s="1"/>
  <c r="W19" i="13"/>
  <c r="X9" i="13"/>
  <c r="X10" i="13" s="1"/>
  <c r="X26" i="13"/>
  <c r="X27" i="13" s="1"/>
  <c r="Y3" i="13"/>
  <c r="X23" i="13"/>
  <c r="X20" i="13"/>
  <c r="Y11" i="13"/>
  <c r="Y12" i="13" s="1"/>
  <c r="W21" i="13"/>
  <c r="X13" i="13"/>
  <c r="X14" i="13" s="1"/>
  <c r="X6" i="13"/>
  <c r="X7" i="13" s="1"/>
  <c r="BV5" i="13"/>
  <c r="BV25" i="13" s="1"/>
  <c r="BW4" i="13"/>
  <c r="BU8" i="13"/>
  <c r="W18" i="13" l="1"/>
  <c r="W24" i="13" s="1"/>
  <c r="W8" i="13"/>
  <c r="Y26" i="13"/>
  <c r="Y27" i="13" s="1"/>
  <c r="Y23" i="13"/>
  <c r="Z3" i="13"/>
  <c r="Y6" i="13"/>
  <c r="Y7" i="13" s="1"/>
  <c r="X19" i="13"/>
  <c r="Y9" i="13"/>
  <c r="Y10" i="13" s="1"/>
  <c r="Y13" i="13"/>
  <c r="Y14" i="13" s="1"/>
  <c r="X21" i="13"/>
  <c r="W22" i="13"/>
  <c r="X15" i="13"/>
  <c r="X16" i="13" s="1"/>
  <c r="Y20" i="13"/>
  <c r="Z11" i="13"/>
  <c r="Z12" i="13" s="1"/>
  <c r="BW5" i="13"/>
  <c r="BW25" i="13" s="1"/>
  <c r="BX4" i="13"/>
  <c r="BV8" i="13"/>
  <c r="X18" i="13" l="1"/>
  <c r="X24" i="13" s="1"/>
  <c r="X8" i="13"/>
  <c r="Y19" i="13"/>
  <c r="Z9" i="13"/>
  <c r="Z10" i="13" s="1"/>
  <c r="AA11" i="13"/>
  <c r="AA12" i="13" s="1"/>
  <c r="Z20" i="13"/>
  <c r="Z6" i="13"/>
  <c r="Z7" i="13" s="1"/>
  <c r="X22" i="13"/>
  <c r="Y15" i="13"/>
  <c r="Y16" i="13" s="1"/>
  <c r="AA3" i="13"/>
  <c r="Z26" i="13"/>
  <c r="Z27" i="13" s="1"/>
  <c r="Z23" i="13"/>
  <c r="Y21" i="13"/>
  <c r="Z13" i="13"/>
  <c r="Z14" i="13" s="1"/>
  <c r="BX5" i="13"/>
  <c r="BX25" i="13" s="1"/>
  <c r="BY4" i="13"/>
  <c r="BW8" i="13"/>
  <c r="Y18" i="13" l="1"/>
  <c r="Y24" i="13" s="1"/>
  <c r="Y8" i="13"/>
  <c r="Y22" i="13"/>
  <c r="Z15" i="13"/>
  <c r="Z16" i="13" s="1"/>
  <c r="AA6" i="13"/>
  <c r="AA7" i="13" s="1"/>
  <c r="Z21" i="13"/>
  <c r="AA13" i="13"/>
  <c r="AA14" i="13" s="1"/>
  <c r="AA20" i="13"/>
  <c r="AB11" i="13"/>
  <c r="AB12" i="13" s="1"/>
  <c r="Z19" i="13"/>
  <c r="AA9" i="13"/>
  <c r="AA10" i="13" s="1"/>
  <c r="AA26" i="13"/>
  <c r="AA27" i="13" s="1"/>
  <c r="AB3" i="13"/>
  <c r="AA23" i="13"/>
  <c r="BY5" i="13"/>
  <c r="BY25" i="13" s="1"/>
  <c r="BZ4" i="13"/>
  <c r="BX8" i="13"/>
  <c r="Z18" i="13" l="1"/>
  <c r="Z24" i="13" s="1"/>
  <c r="Z8" i="13"/>
  <c r="AB20" i="13"/>
  <c r="AC11" i="13"/>
  <c r="AC12" i="13" s="1"/>
  <c r="AA21" i="13"/>
  <c r="AB13" i="13"/>
  <c r="AB14" i="13" s="1"/>
  <c r="AB26" i="13"/>
  <c r="AB27" i="13" s="1"/>
  <c r="AC3" i="13"/>
  <c r="AB23" i="13"/>
  <c r="AB6" i="13"/>
  <c r="AB7" i="13" s="1"/>
  <c r="AA19" i="13"/>
  <c r="AB9" i="13"/>
  <c r="AB10" i="13" s="1"/>
  <c r="Z22" i="13"/>
  <c r="AA15" i="13"/>
  <c r="AA16" i="13" s="1"/>
  <c r="BZ5" i="13"/>
  <c r="BZ25" i="13" s="1"/>
  <c r="CA4" i="13"/>
  <c r="BY8" i="13"/>
  <c r="AA18" i="13" l="1"/>
  <c r="AA24" i="13" s="1"/>
  <c r="AA8" i="13"/>
  <c r="AA22" i="13"/>
  <c r="AB15" i="13"/>
  <c r="AB16" i="13" s="1"/>
  <c r="AB21" i="13"/>
  <c r="AC13" i="13"/>
  <c r="AC14" i="13" s="1"/>
  <c r="AC26" i="13"/>
  <c r="AC27" i="13" s="1"/>
  <c r="AC23" i="13"/>
  <c r="AD3" i="13"/>
  <c r="AB19" i="13"/>
  <c r="AC9" i="13"/>
  <c r="AC10" i="13" s="1"/>
  <c r="AC20" i="13"/>
  <c r="AD11" i="13"/>
  <c r="AD12" i="13" s="1"/>
  <c r="AC6" i="13"/>
  <c r="AC7" i="13" s="1"/>
  <c r="CA5" i="13"/>
  <c r="CA25" i="13" s="1"/>
  <c r="CB4" i="13"/>
  <c r="BZ8" i="13"/>
  <c r="AB18" i="13" l="1"/>
  <c r="AB24" i="13" s="1"/>
  <c r="AB8" i="13"/>
  <c r="AD26" i="13"/>
  <c r="AD27" i="13" s="1"/>
  <c r="AE3" i="13"/>
  <c r="AD23" i="13"/>
  <c r="AD6" i="13"/>
  <c r="AD7" i="13" s="1"/>
  <c r="AC21" i="13"/>
  <c r="AD13" i="13"/>
  <c r="AD14" i="13" s="1"/>
  <c r="AD20" i="13"/>
  <c r="AE11" i="13"/>
  <c r="AE12" i="13" s="1"/>
  <c r="AB22" i="13"/>
  <c r="AC15" i="13"/>
  <c r="AC16" i="13" s="1"/>
  <c r="AC19" i="13"/>
  <c r="AD9" i="13"/>
  <c r="AD10" i="13" s="1"/>
  <c r="AF8" i="13"/>
  <c r="CB5" i="13"/>
  <c r="CB25" i="13" s="1"/>
  <c r="CC4" i="13"/>
  <c r="CA8" i="13"/>
  <c r="AC18" i="13" l="1"/>
  <c r="AC24" i="13" s="1"/>
  <c r="AC8" i="13"/>
  <c r="AD21" i="13"/>
  <c r="AE13" i="13"/>
  <c r="AE14" i="13" s="1"/>
  <c r="AD19" i="13"/>
  <c r="AE9" i="13"/>
  <c r="AE10" i="13" s="1"/>
  <c r="AE6" i="13"/>
  <c r="AE7" i="13" s="1"/>
  <c r="D6" i="13" s="1"/>
  <c r="AC22" i="13"/>
  <c r="AD15" i="13"/>
  <c r="AD16" i="13" s="1"/>
  <c r="AE23" i="13"/>
  <c r="AE26" i="13"/>
  <c r="AE27" i="13" s="1"/>
  <c r="AF3" i="13"/>
  <c r="AE20" i="13"/>
  <c r="AF11" i="13"/>
  <c r="AF12" i="13" s="1"/>
  <c r="AG8" i="13"/>
  <c r="BK8" i="13"/>
  <c r="CC5" i="13"/>
  <c r="CC25" i="13" s="1"/>
  <c r="CD4" i="13"/>
  <c r="CB8" i="13"/>
  <c r="AD18" i="13" l="1"/>
  <c r="AD24" i="13" s="1"/>
  <c r="AD8" i="13"/>
  <c r="AD22" i="13"/>
  <c r="AE15" i="13"/>
  <c r="AE16" i="13" s="1"/>
  <c r="AF20" i="13"/>
  <c r="AG11" i="13"/>
  <c r="AG12" i="13" s="1"/>
  <c r="AF6" i="13"/>
  <c r="AF7" i="13" s="1"/>
  <c r="AE19" i="13"/>
  <c r="AF9" i="13"/>
  <c r="AF10" i="13" s="1"/>
  <c r="AF26" i="13"/>
  <c r="AF27" i="13" s="1"/>
  <c r="AG3" i="13"/>
  <c r="AF23" i="13"/>
  <c r="AE21" i="13"/>
  <c r="AF13" i="13"/>
  <c r="AF14" i="13" s="1"/>
  <c r="AH8" i="13"/>
  <c r="BL8" i="13"/>
  <c r="CD5" i="13"/>
  <c r="CD25" i="13" s="1"/>
  <c r="CE4" i="13"/>
  <c r="CC8" i="13"/>
  <c r="AE18" i="13" l="1"/>
  <c r="AE24" i="13" s="1"/>
  <c r="AE8" i="13"/>
  <c r="AF21" i="13"/>
  <c r="AG13" i="13"/>
  <c r="AG14" i="13" s="1"/>
  <c r="AG6" i="13"/>
  <c r="AG7" i="13" s="1"/>
  <c r="AF18" i="13"/>
  <c r="AG20" i="13"/>
  <c r="AH11" i="13"/>
  <c r="AH12" i="13" s="1"/>
  <c r="AG9" i="13"/>
  <c r="AG10" i="13" s="1"/>
  <c r="AF19" i="13"/>
  <c r="AG23" i="13"/>
  <c r="AG26" i="13"/>
  <c r="AG27" i="13" s="1"/>
  <c r="AH3" i="13"/>
  <c r="AE22" i="13"/>
  <c r="AF15" i="13"/>
  <c r="AF16" i="13" s="1"/>
  <c r="AI8" i="13"/>
  <c r="BM8" i="13"/>
  <c r="CE5" i="13"/>
  <c r="CE25" i="13" s="1"/>
  <c r="CF4" i="13"/>
  <c r="CD8" i="13"/>
  <c r="AF24" i="13" l="1"/>
  <c r="AG19" i="13"/>
  <c r="AH9" i="13"/>
  <c r="AH10" i="13" s="1"/>
  <c r="AH20" i="13"/>
  <c r="AI11" i="13"/>
  <c r="AI12" i="13" s="1"/>
  <c r="AF22" i="13"/>
  <c r="AG15" i="13"/>
  <c r="AG16" i="13" s="1"/>
  <c r="AH26" i="13"/>
  <c r="AH27" i="13" s="1"/>
  <c r="AH23" i="13"/>
  <c r="AI3" i="13"/>
  <c r="AG18" i="13"/>
  <c r="AG24" i="13" s="1"/>
  <c r="AH6" i="13"/>
  <c r="AH7" i="13" s="1"/>
  <c r="AG21" i="13"/>
  <c r="AH13" i="13"/>
  <c r="AH14" i="13" s="1"/>
  <c r="AJ8" i="13"/>
  <c r="CE8" i="13"/>
  <c r="CF5" i="13"/>
  <c r="CF25" i="13" s="1"/>
  <c r="CG4" i="13"/>
  <c r="AG22" i="13" l="1"/>
  <c r="AH15" i="13"/>
  <c r="AH16" i="13" s="1"/>
  <c r="AH21" i="13"/>
  <c r="AI13" i="13"/>
  <c r="AI14" i="13" s="1"/>
  <c r="AI20" i="13"/>
  <c r="AJ11" i="13"/>
  <c r="AJ12" i="13" s="1"/>
  <c r="AH18" i="13"/>
  <c r="AH24" i="13" s="1"/>
  <c r="AI6" i="13"/>
  <c r="AI7" i="13" s="1"/>
  <c r="AH19" i="13"/>
  <c r="AI9" i="13"/>
  <c r="AI10" i="13" s="1"/>
  <c r="AJ3" i="13"/>
  <c r="AI23" i="13"/>
  <c r="AI26" i="13"/>
  <c r="AI27" i="13" s="1"/>
  <c r="AK8" i="13"/>
  <c r="CF8" i="13"/>
  <c r="CG5" i="13"/>
  <c r="CG25" i="13" s="1"/>
  <c r="CH4" i="13"/>
  <c r="AJ6" i="13" l="1"/>
  <c r="AJ7" i="13" s="1"/>
  <c r="AI18" i="13"/>
  <c r="AI24" i="13" s="1"/>
  <c r="AJ20" i="13"/>
  <c r="AK11" i="13"/>
  <c r="AK12" i="13" s="1"/>
  <c r="AI21" i="13"/>
  <c r="AJ13" i="13"/>
  <c r="AJ14" i="13" s="1"/>
  <c r="AJ23" i="13"/>
  <c r="AJ26" i="13"/>
  <c r="AJ27" i="13" s="1"/>
  <c r="AK3" i="13"/>
  <c r="AH22" i="13"/>
  <c r="AI15" i="13"/>
  <c r="AI16" i="13" s="1"/>
  <c r="AI19" i="13"/>
  <c r="AJ9" i="13"/>
  <c r="AJ10" i="13" s="1"/>
  <c r="AL8" i="13"/>
  <c r="CG8" i="13"/>
  <c r="CH5" i="13"/>
  <c r="CH25" i="13" s="1"/>
  <c r="CI4" i="13"/>
  <c r="AJ21" i="13" l="1"/>
  <c r="AK13" i="13"/>
  <c r="AK14" i="13" s="1"/>
  <c r="AJ19" i="13"/>
  <c r="AK9" i="13"/>
  <c r="AK10" i="13" s="1"/>
  <c r="AK20" i="13"/>
  <c r="AL11" i="13"/>
  <c r="AL12" i="13" s="1"/>
  <c r="AI22" i="13"/>
  <c r="AJ15" i="13"/>
  <c r="AJ16" i="13" s="1"/>
  <c r="AK26" i="13"/>
  <c r="AK27" i="13" s="1"/>
  <c r="AL3" i="13"/>
  <c r="AK23" i="13"/>
  <c r="AK6" i="13"/>
  <c r="AK7" i="13" s="1"/>
  <c r="AJ18" i="13"/>
  <c r="AJ24" i="13" s="1"/>
  <c r="AM8" i="13"/>
  <c r="CH8" i="13"/>
  <c r="CI5" i="13"/>
  <c r="CI25" i="13" s="1"/>
  <c r="CJ4" i="13"/>
  <c r="AL20" i="13" l="1"/>
  <c r="AM11" i="13"/>
  <c r="AM12" i="13" s="1"/>
  <c r="AK18" i="13"/>
  <c r="AK24" i="13" s="1"/>
  <c r="AL6" i="13"/>
  <c r="AL7" i="13" s="1"/>
  <c r="AK19" i="13"/>
  <c r="AL9" i="13"/>
  <c r="AL10" i="13" s="1"/>
  <c r="AJ22" i="13"/>
  <c r="AK15" i="13"/>
  <c r="AK16" i="13" s="1"/>
  <c r="AL26" i="13"/>
  <c r="AL27" i="13" s="1"/>
  <c r="AM3" i="13"/>
  <c r="AL23" i="13"/>
  <c r="AK21" i="13"/>
  <c r="AL13" i="13"/>
  <c r="AL14" i="13" s="1"/>
  <c r="AN8" i="13"/>
  <c r="CI8" i="13"/>
  <c r="CJ5" i="13"/>
  <c r="CJ25" i="13" s="1"/>
  <c r="CK4" i="13"/>
  <c r="AL21" i="13" l="1"/>
  <c r="AM13" i="13"/>
  <c r="AM14" i="13" s="1"/>
  <c r="AM6" i="13"/>
  <c r="AM7" i="13" s="1"/>
  <c r="AL18" i="13"/>
  <c r="AL24" i="13" s="1"/>
  <c r="AK22" i="13"/>
  <c r="AL15" i="13"/>
  <c r="AL16" i="13" s="1"/>
  <c r="AL19" i="13"/>
  <c r="AM9" i="13"/>
  <c r="AM10" i="13" s="1"/>
  <c r="AM20" i="13"/>
  <c r="AN11" i="13"/>
  <c r="AN12" i="13" s="1"/>
  <c r="AM23" i="13"/>
  <c r="AM26" i="13"/>
  <c r="AM27" i="13" s="1"/>
  <c r="AN3" i="13"/>
  <c r="AO8" i="13"/>
  <c r="CK5" i="13"/>
  <c r="CK25" i="13" s="1"/>
  <c r="CL4" i="13"/>
  <c r="CJ8" i="13"/>
  <c r="AM19" i="13" l="1"/>
  <c r="AN9" i="13"/>
  <c r="AN10" i="13" s="1"/>
  <c r="AL22" i="13"/>
  <c r="AM15" i="13"/>
  <c r="AM16" i="13" s="1"/>
  <c r="AN26" i="13"/>
  <c r="AN27" i="13" s="1"/>
  <c r="AN23" i="13"/>
  <c r="AO3" i="13"/>
  <c r="AN6" i="13"/>
  <c r="AN7" i="13" s="1"/>
  <c r="AM18" i="13"/>
  <c r="AM24" i="13" s="1"/>
  <c r="AN20" i="13"/>
  <c r="AO11" i="13"/>
  <c r="AO12" i="13" s="1"/>
  <c r="AM21" i="13"/>
  <c r="AN13" i="13"/>
  <c r="AN14" i="13" s="1"/>
  <c r="AP8" i="13"/>
  <c r="CL5" i="13"/>
  <c r="CL25" i="13" s="1"/>
  <c r="CM4" i="13"/>
  <c r="CK8" i="13"/>
  <c r="AO6" i="13" l="1"/>
  <c r="AO7" i="13" s="1"/>
  <c r="AN18" i="13"/>
  <c r="AN24" i="13" s="1"/>
  <c r="AP3" i="13"/>
  <c r="AO26" i="13"/>
  <c r="AO27" i="13" s="1"/>
  <c r="AO23" i="13"/>
  <c r="AN21" i="13"/>
  <c r="AO13" i="13"/>
  <c r="AO14" i="13" s="1"/>
  <c r="AM22" i="13"/>
  <c r="AN15" i="13"/>
  <c r="AN16" i="13" s="1"/>
  <c r="AO20" i="13"/>
  <c r="AP11" i="13"/>
  <c r="AP12" i="13" s="1"/>
  <c r="AN19" i="13"/>
  <c r="AO9" i="13"/>
  <c r="AO10" i="13" s="1"/>
  <c r="AQ8" i="13"/>
  <c r="CN4" i="13"/>
  <c r="CM5" i="13"/>
  <c r="CM25" i="13" s="1"/>
  <c r="CL8" i="13"/>
  <c r="AO21" i="13" l="1"/>
  <c r="AP13" i="13"/>
  <c r="AP14" i="13" s="1"/>
  <c r="AO19" i="13"/>
  <c r="AP9" i="13"/>
  <c r="AP10" i="13" s="1"/>
  <c r="AP20" i="13"/>
  <c r="AQ11" i="13"/>
  <c r="AQ12" i="13" s="1"/>
  <c r="AP23" i="13"/>
  <c r="AQ3" i="13"/>
  <c r="AP26" i="13"/>
  <c r="AP27" i="13" s="1"/>
  <c r="AN22" i="13"/>
  <c r="AO15" i="13"/>
  <c r="AO16" i="13" s="1"/>
  <c r="AO18" i="13"/>
  <c r="AO24" i="13" s="1"/>
  <c r="AP6" i="13"/>
  <c r="AP7" i="13" s="1"/>
  <c r="AR8" i="13"/>
  <c r="CM8" i="13"/>
  <c r="CO4" i="13"/>
  <c r="CN5" i="13"/>
  <c r="CN25" i="13" s="1"/>
  <c r="AQ23" i="13" l="1"/>
  <c r="AR3" i="13"/>
  <c r="AQ26" i="13"/>
  <c r="AQ27" i="13" s="1"/>
  <c r="AQ20" i="13"/>
  <c r="AR11" i="13"/>
  <c r="AR12" i="13" s="1"/>
  <c r="AQ6" i="13"/>
  <c r="AQ7" i="13" s="1"/>
  <c r="AP18" i="13"/>
  <c r="AP24" i="13" s="1"/>
  <c r="AP19" i="13"/>
  <c r="AQ9" i="13"/>
  <c r="AQ10" i="13" s="1"/>
  <c r="AO22" i="13"/>
  <c r="AP15" i="13"/>
  <c r="AP16" i="13" s="1"/>
  <c r="AP21" i="13"/>
  <c r="AQ13" i="13"/>
  <c r="AQ14" i="13" s="1"/>
  <c r="AS8" i="13"/>
  <c r="CP4" i="13"/>
  <c r="CO5" i="13"/>
  <c r="CO25" i="13" s="1"/>
  <c r="CN8" i="13"/>
  <c r="AQ18" i="13" l="1"/>
  <c r="AQ24" i="13" s="1"/>
  <c r="AR6" i="13"/>
  <c r="AR7" i="13" s="1"/>
  <c r="AQ21" i="13"/>
  <c r="AR13" i="13"/>
  <c r="AR14" i="13" s="1"/>
  <c r="AR20" i="13"/>
  <c r="AS11" i="13"/>
  <c r="AS12" i="13" s="1"/>
  <c r="AP22" i="13"/>
  <c r="AQ15" i="13"/>
  <c r="AQ16" i="13" s="1"/>
  <c r="AS3" i="13"/>
  <c r="AR26" i="13"/>
  <c r="AR27" i="13" s="1"/>
  <c r="AR23" i="13"/>
  <c r="AQ19" i="13"/>
  <c r="AR9" i="13"/>
  <c r="AR10" i="13" s="1"/>
  <c r="AT8" i="13"/>
  <c r="CO8" i="13"/>
  <c r="CP5" i="13"/>
  <c r="CP25" i="13" s="1"/>
  <c r="CQ4" i="13"/>
  <c r="AQ22" i="13" l="1"/>
  <c r="AR15" i="13"/>
  <c r="AR16" i="13" s="1"/>
  <c r="AS20" i="13"/>
  <c r="AT11" i="13"/>
  <c r="AT12" i="13" s="1"/>
  <c r="AR19" i="13"/>
  <c r="AS9" i="13"/>
  <c r="AS10" i="13" s="1"/>
  <c r="AR21" i="13"/>
  <c r="AS13" i="13"/>
  <c r="AS14" i="13" s="1"/>
  <c r="AS6" i="13"/>
  <c r="AS7" i="13" s="1"/>
  <c r="AR18" i="13"/>
  <c r="AR24" i="13" s="1"/>
  <c r="AS26" i="13"/>
  <c r="AS27" i="13" s="1"/>
  <c r="AS23" i="13"/>
  <c r="AT3" i="13"/>
  <c r="AU8" i="13"/>
  <c r="CQ5" i="13"/>
  <c r="CQ25" i="13" s="1"/>
  <c r="CR4" i="13"/>
  <c r="CP8" i="13"/>
  <c r="AS19" i="13" l="1"/>
  <c r="AT9" i="13"/>
  <c r="AT10" i="13" s="1"/>
  <c r="AT26" i="13"/>
  <c r="AT27" i="13" s="1"/>
  <c r="AT23" i="13"/>
  <c r="AU3" i="13"/>
  <c r="AS21" i="13"/>
  <c r="AT13" i="13"/>
  <c r="AT14" i="13" s="1"/>
  <c r="AT20" i="13"/>
  <c r="AU11" i="13"/>
  <c r="AU12" i="13" s="1"/>
  <c r="AR22" i="13"/>
  <c r="AS15" i="13"/>
  <c r="AS16" i="13" s="1"/>
  <c r="AS18" i="13"/>
  <c r="AS24" i="13" s="1"/>
  <c r="AT6" i="13"/>
  <c r="AT7" i="13" s="1"/>
  <c r="AV8" i="13"/>
  <c r="CR5" i="13"/>
  <c r="CR25" i="13" s="1"/>
  <c r="CS4" i="13"/>
  <c r="CQ8" i="13"/>
  <c r="AT21" i="13" l="1"/>
  <c r="AU13" i="13"/>
  <c r="AU14" i="13" s="1"/>
  <c r="AT18" i="13"/>
  <c r="AT24" i="13" s="1"/>
  <c r="AU6" i="13"/>
  <c r="AU7" i="13" s="1"/>
  <c r="AU26" i="13"/>
  <c r="AU27" i="13" s="1"/>
  <c r="AV3" i="13"/>
  <c r="AU23" i="13"/>
  <c r="AS22" i="13"/>
  <c r="AT15" i="13"/>
  <c r="AT16" i="13" s="1"/>
  <c r="AT19" i="13"/>
  <c r="AU9" i="13"/>
  <c r="AU10" i="13" s="1"/>
  <c r="AU20" i="13"/>
  <c r="AV11" i="13"/>
  <c r="AV12" i="13" s="1"/>
  <c r="AW8" i="13"/>
  <c r="CS5" i="13"/>
  <c r="CS25" i="13" s="1"/>
  <c r="CT4" i="13"/>
  <c r="CR8" i="13"/>
  <c r="AV23" i="13" l="1"/>
  <c r="AV26" i="13"/>
  <c r="AV27" i="13" s="1"/>
  <c r="AW3" i="13"/>
  <c r="AV20" i="13"/>
  <c r="AW11" i="13"/>
  <c r="AW12" i="13" s="1"/>
  <c r="AV6" i="13"/>
  <c r="AV7" i="13" s="1"/>
  <c r="AU18" i="13"/>
  <c r="AU24" i="13" s="1"/>
  <c r="AU19" i="13"/>
  <c r="AV9" i="13"/>
  <c r="AV10" i="13" s="1"/>
  <c r="AU21" i="13"/>
  <c r="AV13" i="13"/>
  <c r="AV14" i="13" s="1"/>
  <c r="AT22" i="13"/>
  <c r="AU15" i="13"/>
  <c r="AU16" i="13" s="1"/>
  <c r="AX8" i="13"/>
  <c r="CT5" i="13"/>
  <c r="CT25" i="13" s="1"/>
  <c r="CU4" i="13"/>
  <c r="CU5" i="13" s="1"/>
  <c r="CU25" i="13" s="1"/>
  <c r="CS8" i="13"/>
  <c r="AW6" i="13" l="1"/>
  <c r="AW7" i="13" s="1"/>
  <c r="AV18" i="13"/>
  <c r="AV24" i="13" s="1"/>
  <c r="AU22" i="13"/>
  <c r="AV15" i="13"/>
  <c r="AV16" i="13" s="1"/>
  <c r="AW20" i="13"/>
  <c r="AX11" i="13"/>
  <c r="AX12" i="13" s="1"/>
  <c r="AV21" i="13"/>
  <c r="AW13" i="13"/>
  <c r="AW14" i="13" s="1"/>
  <c r="AW26" i="13"/>
  <c r="AW27" i="13" s="1"/>
  <c r="AW23" i="13"/>
  <c r="AX3" i="13"/>
  <c r="AV19" i="13"/>
  <c r="AW9" i="13"/>
  <c r="AW10" i="13" s="1"/>
  <c r="AY8" i="13"/>
  <c r="CV4" i="13"/>
  <c r="CV5" i="13" s="1"/>
  <c r="CV25" i="13" s="1"/>
  <c r="CT8" i="13"/>
  <c r="AW21" i="13" l="1"/>
  <c r="AX13" i="13"/>
  <c r="AX14" i="13" s="1"/>
  <c r="AX20" i="13"/>
  <c r="AY11" i="13"/>
  <c r="AY12" i="13" s="1"/>
  <c r="AW19" i="13"/>
  <c r="AX9" i="13"/>
  <c r="AX10" i="13" s="1"/>
  <c r="AV22" i="13"/>
  <c r="AW15" i="13"/>
  <c r="AW16" i="13" s="1"/>
  <c r="AX23" i="13"/>
  <c r="AX26" i="13"/>
  <c r="AX27" i="13" s="1"/>
  <c r="AY3" i="13"/>
  <c r="AX6" i="13"/>
  <c r="AX7" i="13" s="1"/>
  <c r="AW18" i="13"/>
  <c r="AW24" i="13" s="1"/>
  <c r="AZ8" i="13"/>
  <c r="CW4" i="13"/>
  <c r="CW5" i="13" s="1"/>
  <c r="CW25" i="13" s="1"/>
  <c r="CU8" i="13"/>
  <c r="AW22" i="13" l="1"/>
  <c r="AX15" i="13"/>
  <c r="AX16" i="13" s="1"/>
  <c r="AX19" i="13"/>
  <c r="AY9" i="13"/>
  <c r="AY10" i="13" s="1"/>
  <c r="AY6" i="13"/>
  <c r="AY7" i="13" s="1"/>
  <c r="AX18" i="13"/>
  <c r="AX24" i="13" s="1"/>
  <c r="AY20" i="13"/>
  <c r="AZ11" i="13"/>
  <c r="AZ12" i="13" s="1"/>
  <c r="AZ3" i="13"/>
  <c r="AY23" i="13"/>
  <c r="AY26" i="13"/>
  <c r="AY27" i="13" s="1"/>
  <c r="AX21" i="13"/>
  <c r="AY13" i="13"/>
  <c r="AY14" i="13" s="1"/>
  <c r="BA8" i="13"/>
  <c r="CX4" i="13"/>
  <c r="CX5" i="13" s="1"/>
  <c r="CX25" i="13" s="1"/>
  <c r="CV8" i="13"/>
  <c r="AZ20" i="13" l="1"/>
  <c r="BA11" i="13"/>
  <c r="BA12" i="13" s="1"/>
  <c r="AY21" i="13"/>
  <c r="AZ13" i="13"/>
  <c r="AZ14" i="13" s="1"/>
  <c r="AZ6" i="13"/>
  <c r="AZ7" i="13" s="1"/>
  <c r="AY18" i="13"/>
  <c r="AY24" i="13" s="1"/>
  <c r="AY19" i="13"/>
  <c r="AZ9" i="13"/>
  <c r="AZ10" i="13" s="1"/>
  <c r="AX22" i="13"/>
  <c r="AY15" i="13"/>
  <c r="AY16" i="13" s="1"/>
  <c r="AZ23" i="13"/>
  <c r="BA3" i="13"/>
  <c r="AZ26" i="13"/>
  <c r="AZ27" i="13" s="1"/>
  <c r="BB8" i="13"/>
  <c r="CY4" i="13"/>
  <c r="CY5" i="13" s="1"/>
  <c r="CY25" i="13" s="1"/>
  <c r="CW8" i="13"/>
  <c r="AZ19" i="13" l="1"/>
  <c r="BA9" i="13"/>
  <c r="BA10" i="13" s="1"/>
  <c r="AZ18" i="13"/>
  <c r="AZ24" i="13" s="1"/>
  <c r="BA6" i="13"/>
  <c r="BA7" i="13" s="1"/>
  <c r="AZ21" i="13"/>
  <c r="BA13" i="13"/>
  <c r="BA14" i="13" s="1"/>
  <c r="BA26" i="13"/>
  <c r="BA27" i="13" s="1"/>
  <c r="BA23" i="13"/>
  <c r="BB3" i="13"/>
  <c r="BA20" i="13"/>
  <c r="BB11" i="13"/>
  <c r="BB12" i="13" s="1"/>
  <c r="AY22" i="13"/>
  <c r="AZ15" i="13"/>
  <c r="AZ16" i="13" s="1"/>
  <c r="BC8" i="13"/>
  <c r="CZ4" i="13"/>
  <c r="CZ5" i="13" s="1"/>
  <c r="CZ25" i="13" s="1"/>
  <c r="CX8" i="13"/>
  <c r="AZ22" i="13" l="1"/>
  <c r="BA15" i="13"/>
  <c r="BA16" i="13" s="1"/>
  <c r="BA21" i="13"/>
  <c r="BB13" i="13"/>
  <c r="BB14" i="13" s="1"/>
  <c r="BA18" i="13"/>
  <c r="BA24" i="13" s="1"/>
  <c r="BB6" i="13"/>
  <c r="BB7" i="13" s="1"/>
  <c r="BB20" i="13"/>
  <c r="BC11" i="13"/>
  <c r="BC12" i="13" s="1"/>
  <c r="BA19" i="13"/>
  <c r="BB9" i="13"/>
  <c r="BB10" i="13" s="1"/>
  <c r="BB26" i="13"/>
  <c r="BB27" i="13" s="1"/>
  <c r="BB23" i="13"/>
  <c r="BC3" i="13"/>
  <c r="BD8" i="13"/>
  <c r="DA4" i="13"/>
  <c r="DA5" i="13" s="1"/>
  <c r="DA25" i="13" s="1"/>
  <c r="CY8" i="13"/>
  <c r="BC20" i="13" l="1"/>
  <c r="BD11" i="13"/>
  <c r="BD12" i="13" s="1"/>
  <c r="BB18" i="13"/>
  <c r="BB24" i="13" s="1"/>
  <c r="BC6" i="13"/>
  <c r="BC7" i="13" s="1"/>
  <c r="BC26" i="13"/>
  <c r="BC27" i="13" s="1"/>
  <c r="BD3" i="13"/>
  <c r="BC23" i="13"/>
  <c r="BB21" i="13"/>
  <c r="BC13" i="13"/>
  <c r="BC14" i="13" s="1"/>
  <c r="BA22" i="13"/>
  <c r="BB15" i="13"/>
  <c r="BB16" i="13" s="1"/>
  <c r="BB19" i="13"/>
  <c r="BC9" i="13"/>
  <c r="BC10" i="13" s="1"/>
  <c r="BE8" i="13"/>
  <c r="DB4" i="13"/>
  <c r="DB5" i="13" s="1"/>
  <c r="DB25" i="13" s="1"/>
  <c r="CZ8" i="13"/>
  <c r="BC19" i="13" l="1"/>
  <c r="BD9" i="13"/>
  <c r="BD10" i="13" s="1"/>
  <c r="BC18" i="13"/>
  <c r="BC24" i="13" s="1"/>
  <c r="BD6" i="13"/>
  <c r="BD7" i="13" s="1"/>
  <c r="BD26" i="13"/>
  <c r="BD27" i="13" s="1"/>
  <c r="BD23" i="13"/>
  <c r="BE3" i="13"/>
  <c r="BD20" i="13"/>
  <c r="BE11" i="13"/>
  <c r="BE12" i="13" s="1"/>
  <c r="BB22" i="13"/>
  <c r="BC15" i="13"/>
  <c r="BC16" i="13" s="1"/>
  <c r="BC21" i="13"/>
  <c r="BD13" i="13"/>
  <c r="BD14" i="13" s="1"/>
  <c r="BF8" i="13"/>
  <c r="DC4" i="13"/>
  <c r="DA8" i="13"/>
  <c r="BE23" i="13" l="1"/>
  <c r="BE26" i="13"/>
  <c r="BE27" i="13" s="1"/>
  <c r="BF3" i="13"/>
  <c r="BD18" i="13"/>
  <c r="BD24" i="13" s="1"/>
  <c r="BE6" i="13"/>
  <c r="BE7" i="13" s="1"/>
  <c r="BC22" i="13"/>
  <c r="BD15" i="13"/>
  <c r="BD16" i="13" s="1"/>
  <c r="BE9" i="13"/>
  <c r="BE10" i="13" s="1"/>
  <c r="BD19" i="13"/>
  <c r="BD21" i="13"/>
  <c r="BE13" i="13"/>
  <c r="BE14" i="13" s="1"/>
  <c r="BF11" i="13"/>
  <c r="BF12" i="13" s="1"/>
  <c r="BE20" i="13"/>
  <c r="BG8" i="13"/>
  <c r="DD4" i="13"/>
  <c r="DC5" i="13"/>
  <c r="DC25" i="13" s="1"/>
  <c r="DB8" i="13"/>
  <c r="BD22" i="13" l="1"/>
  <c r="BE15" i="13"/>
  <c r="BE16" i="13" s="1"/>
  <c r="BE18" i="13"/>
  <c r="BE24" i="13" s="1"/>
  <c r="BF6" i="13"/>
  <c r="BF7" i="13" s="1"/>
  <c r="BF20" i="13"/>
  <c r="BG11" i="13"/>
  <c r="BG12" i="13" s="1"/>
  <c r="BE21" i="13"/>
  <c r="BF13" i="13"/>
  <c r="BF14" i="13" s="1"/>
  <c r="BF23" i="13"/>
  <c r="BG3" i="13"/>
  <c r="BF26" i="13"/>
  <c r="BF27" i="13" s="1"/>
  <c r="BE19" i="13"/>
  <c r="BF9" i="13"/>
  <c r="BF10" i="13" s="1"/>
  <c r="BH8" i="13"/>
  <c r="DC8" i="13"/>
  <c r="DD5" i="13"/>
  <c r="DD25" i="13" s="1"/>
  <c r="DE4" i="13"/>
  <c r="BF21" i="13" l="1"/>
  <c r="BG13" i="13"/>
  <c r="BG14" i="13" s="1"/>
  <c r="BH11" i="13"/>
  <c r="BH12" i="13" s="1"/>
  <c r="BG20" i="13"/>
  <c r="BG6" i="13"/>
  <c r="BG7" i="13" s="1"/>
  <c r="BF18" i="13"/>
  <c r="BF24" i="13" s="1"/>
  <c r="BF19" i="13"/>
  <c r="BG9" i="13"/>
  <c r="BG10" i="13" s="1"/>
  <c r="BG23" i="13"/>
  <c r="BH3" i="13"/>
  <c r="BG26" i="13"/>
  <c r="BG27" i="13" s="1"/>
  <c r="BE22" i="13"/>
  <c r="BF15" i="13"/>
  <c r="BF16" i="13" s="1"/>
  <c r="BI8" i="13"/>
  <c r="DD8" i="13"/>
  <c r="DE5" i="13"/>
  <c r="DE25" i="13" s="1"/>
  <c r="DF4" i="13"/>
  <c r="BF22" i="13" l="1"/>
  <c r="BG15" i="13"/>
  <c r="BG16" i="13" s="1"/>
  <c r="BH6" i="13"/>
  <c r="BH7" i="13" s="1"/>
  <c r="BG18" i="13"/>
  <c r="BG24" i="13" s="1"/>
  <c r="BG19" i="13"/>
  <c r="BH9" i="13"/>
  <c r="BH10" i="13" s="1"/>
  <c r="BI11" i="13"/>
  <c r="BI12" i="13" s="1"/>
  <c r="BH20" i="13"/>
  <c r="BH23" i="13"/>
  <c r="BI3" i="13"/>
  <c r="BH26" i="13"/>
  <c r="BH27" i="13" s="1"/>
  <c r="BH13" i="13"/>
  <c r="BH14" i="13" s="1"/>
  <c r="BG21" i="13"/>
  <c r="BJ8" i="13"/>
  <c r="DE8" i="13"/>
  <c r="DF5" i="13"/>
  <c r="DF25" i="13" s="1"/>
  <c r="DG4" i="13"/>
  <c r="BJ11" i="13" l="1"/>
  <c r="BJ12" i="13" s="1"/>
  <c r="BI20" i="13"/>
  <c r="BI9" i="13"/>
  <c r="BI10" i="13" s="1"/>
  <c r="BH19" i="13"/>
  <c r="BI6" i="13"/>
  <c r="BI7" i="13" s="1"/>
  <c r="BH18" i="13"/>
  <c r="BH24" i="13" s="1"/>
  <c r="BI13" i="13"/>
  <c r="BI14" i="13" s="1"/>
  <c r="BH21" i="13"/>
  <c r="BI23" i="13"/>
  <c r="BJ3" i="13"/>
  <c r="BI26" i="13"/>
  <c r="BI27" i="13" s="1"/>
  <c r="BG22" i="13"/>
  <c r="BH15" i="13"/>
  <c r="BH16" i="13" s="1"/>
  <c r="DF8" i="13"/>
  <c r="DG5" i="13"/>
  <c r="DG25" i="13" s="1"/>
  <c r="DH4" i="13"/>
  <c r="BH22" i="13" l="1"/>
  <c r="BI15" i="13"/>
  <c r="BI16" i="13" s="1"/>
  <c r="BI18" i="13"/>
  <c r="BI24" i="13" s="1"/>
  <c r="BJ6" i="13"/>
  <c r="BJ7" i="13" s="1"/>
  <c r="BI21" i="13"/>
  <c r="BJ13" i="13"/>
  <c r="BJ14" i="13" s="1"/>
  <c r="BI19" i="13"/>
  <c r="BJ9" i="13"/>
  <c r="BJ10" i="13" s="1"/>
  <c r="BJ23" i="13"/>
  <c r="BK3" i="13"/>
  <c r="BJ26" i="13"/>
  <c r="BJ27" i="13" s="1"/>
  <c r="BJ20" i="13"/>
  <c r="BK11" i="13"/>
  <c r="BK12" i="13" s="1"/>
  <c r="DG8" i="13"/>
  <c r="DH5" i="13"/>
  <c r="DH25" i="13" s="1"/>
  <c r="DI4" i="13"/>
  <c r="BJ19" i="13" l="1"/>
  <c r="BK9" i="13"/>
  <c r="BK10" i="13" s="1"/>
  <c r="BK13" i="13"/>
  <c r="BK14" i="13" s="1"/>
  <c r="BJ21" i="13"/>
  <c r="BK20" i="13"/>
  <c r="BL11" i="13"/>
  <c r="BL12" i="13" s="1"/>
  <c r="BK6" i="13"/>
  <c r="BK7" i="13" s="1"/>
  <c r="BJ18" i="13"/>
  <c r="BJ24" i="13" s="1"/>
  <c r="BK23" i="13"/>
  <c r="BL3" i="13"/>
  <c r="BK26" i="13"/>
  <c r="BK27" i="13" s="1"/>
  <c r="C41" i="15"/>
  <c r="BI22" i="13"/>
  <c r="BJ15" i="13"/>
  <c r="BJ16" i="13" s="1"/>
  <c r="DH8" i="13"/>
  <c r="DI5" i="13"/>
  <c r="DI25" i="13" s="1"/>
  <c r="DJ4" i="13"/>
  <c r="BJ22" i="13" l="1"/>
  <c r="BK15" i="13"/>
  <c r="BK16" i="13" s="1"/>
  <c r="BL20" i="13"/>
  <c r="BM11" i="13"/>
  <c r="BM12" i="13" s="1"/>
  <c r="BL6" i="13"/>
  <c r="BL7" i="13" s="1"/>
  <c r="BK18" i="13"/>
  <c r="BK24" i="13" s="1"/>
  <c r="BK21" i="13"/>
  <c r="BL13" i="13"/>
  <c r="BL14" i="13" s="1"/>
  <c r="BM3" i="13"/>
  <c r="BL23" i="13"/>
  <c r="BL26" i="13"/>
  <c r="BL27" i="13" s="1"/>
  <c r="BK19" i="13"/>
  <c r="BL9" i="13"/>
  <c r="BL10" i="13" s="1"/>
  <c r="DI8" i="13"/>
  <c r="DJ5" i="13"/>
  <c r="DJ25" i="13" s="1"/>
  <c r="DK4" i="13"/>
  <c r="BL21" i="13" l="1"/>
  <c r="BM13" i="13"/>
  <c r="BM14" i="13" s="1"/>
  <c r="BM6" i="13"/>
  <c r="BM7" i="13" s="1"/>
  <c r="BL18" i="13"/>
  <c r="BL24" i="13" s="1"/>
  <c r="BM20" i="13"/>
  <c r="BN11" i="13"/>
  <c r="BN12" i="13" s="1"/>
  <c r="BL19" i="13"/>
  <c r="BM9" i="13"/>
  <c r="BM10" i="13" s="1"/>
  <c r="BK22" i="13"/>
  <c r="BL15" i="13"/>
  <c r="BL16" i="13" s="1"/>
  <c r="BM23" i="13"/>
  <c r="BN3" i="13"/>
  <c r="BM26" i="13"/>
  <c r="BM27" i="13" s="1"/>
  <c r="DJ8" i="13"/>
  <c r="DK5" i="13"/>
  <c r="DK25" i="13" s="1"/>
  <c r="DL4" i="13"/>
  <c r="BN9" i="13" l="1"/>
  <c r="BN10" i="13" s="1"/>
  <c r="BM19" i="13"/>
  <c r="BN20" i="13"/>
  <c r="BO11" i="13"/>
  <c r="BO12" i="13" s="1"/>
  <c r="BO3" i="13"/>
  <c r="BN26" i="13"/>
  <c r="BN27" i="13" s="1"/>
  <c r="BN23" i="13"/>
  <c r="BN6" i="13"/>
  <c r="BN7" i="13" s="1"/>
  <c r="BM18" i="13"/>
  <c r="BM24" i="13" s="1"/>
  <c r="BL22" i="13"/>
  <c r="BM15" i="13"/>
  <c r="BM16" i="13" s="1"/>
  <c r="BM21" i="13"/>
  <c r="BN13" i="13"/>
  <c r="BN14" i="13" s="1"/>
  <c r="DK8" i="13"/>
  <c r="DL5" i="13"/>
  <c r="DL25" i="13" s="1"/>
  <c r="DM4" i="13"/>
  <c r="BN21" i="13" l="1"/>
  <c r="BO13" i="13"/>
  <c r="BO14" i="13" s="1"/>
  <c r="BP3" i="13"/>
  <c r="BO23" i="13"/>
  <c r="BO26" i="13"/>
  <c r="BO27" i="13" s="1"/>
  <c r="BO20" i="13"/>
  <c r="BP11" i="13"/>
  <c r="BP12" i="13" s="1"/>
  <c r="BM22" i="13"/>
  <c r="BN15" i="13"/>
  <c r="BN16" i="13" s="1"/>
  <c r="BN18" i="13"/>
  <c r="BN24" i="13" s="1"/>
  <c r="BO6" i="13"/>
  <c r="BO7" i="13" s="1"/>
  <c r="BN19" i="13"/>
  <c r="BO9" i="13"/>
  <c r="BO10" i="13" s="1"/>
  <c r="DL8" i="13"/>
  <c r="DM5" i="13"/>
  <c r="DM25" i="13" s="1"/>
  <c r="DN4" i="13"/>
  <c r="BQ11" i="13" l="1"/>
  <c r="BQ12" i="13" s="1"/>
  <c r="BP20" i="13"/>
  <c r="BP9" i="13"/>
  <c r="BP10" i="13" s="1"/>
  <c r="BO19" i="13"/>
  <c r="BO18" i="13"/>
  <c r="BO24" i="13" s="1"/>
  <c r="BP6" i="13"/>
  <c r="BP7" i="13" s="1"/>
  <c r="BP23" i="13"/>
  <c r="BQ3" i="13"/>
  <c r="BP26" i="13"/>
  <c r="BP27" i="13" s="1"/>
  <c r="BO21" i="13"/>
  <c r="BP13" i="13"/>
  <c r="BP14" i="13" s="1"/>
  <c r="BN22" i="13"/>
  <c r="BO15" i="13"/>
  <c r="BO16" i="13" s="1"/>
  <c r="DM8" i="13"/>
  <c r="DN5" i="13"/>
  <c r="DN25" i="13" s="1"/>
  <c r="DO4" i="13"/>
  <c r="BQ23" i="13" l="1"/>
  <c r="BR3" i="13"/>
  <c r="BQ26" i="13"/>
  <c r="BQ27" i="13" s="1"/>
  <c r="BQ6" i="13"/>
  <c r="BQ7" i="13" s="1"/>
  <c r="BP18" i="13"/>
  <c r="BP24" i="13" s="1"/>
  <c r="BO22" i="13"/>
  <c r="BP15" i="13"/>
  <c r="BP16" i="13" s="1"/>
  <c r="BQ13" i="13"/>
  <c r="BQ14" i="13" s="1"/>
  <c r="BP21" i="13"/>
  <c r="BQ9" i="13"/>
  <c r="BQ10" i="13" s="1"/>
  <c r="BP19" i="13"/>
  <c r="BR11" i="13"/>
  <c r="BR12" i="13" s="1"/>
  <c r="BQ20" i="13"/>
  <c r="DN8" i="13"/>
  <c r="DO5" i="13"/>
  <c r="DO25" i="13" s="1"/>
  <c r="DP4" i="13"/>
  <c r="BQ21" i="13" l="1"/>
  <c r="BR13" i="13"/>
  <c r="BR14" i="13" s="1"/>
  <c r="BP22" i="13"/>
  <c r="BQ15" i="13"/>
  <c r="BQ16" i="13" s="1"/>
  <c r="BQ18" i="13"/>
  <c r="BQ24" i="13" s="1"/>
  <c r="BR6" i="13"/>
  <c r="BR7" i="13" s="1"/>
  <c r="BS11" i="13"/>
  <c r="BS12" i="13" s="1"/>
  <c r="BR20" i="13"/>
  <c r="BQ19" i="13"/>
  <c r="BR9" i="13"/>
  <c r="BR10" i="13" s="1"/>
  <c r="BR23" i="13"/>
  <c r="BS3" i="13"/>
  <c r="BR26" i="13"/>
  <c r="BR27" i="13" s="1"/>
  <c r="DO8" i="13"/>
  <c r="DP5" i="13"/>
  <c r="DP25" i="13" s="1"/>
  <c r="DQ4" i="13"/>
  <c r="BS20" i="13" l="1"/>
  <c r="BT11" i="13"/>
  <c r="BT12" i="13" s="1"/>
  <c r="BR18" i="13"/>
  <c r="BR24" i="13" s="1"/>
  <c r="BS6" i="13"/>
  <c r="BS7" i="13" s="1"/>
  <c r="BS23" i="13"/>
  <c r="BT3" i="13"/>
  <c r="BS26" i="13"/>
  <c r="BS27" i="13" s="1"/>
  <c r="BQ22" i="13"/>
  <c r="BR15" i="13"/>
  <c r="BR16" i="13" s="1"/>
  <c r="BR21" i="13"/>
  <c r="BS13" i="13"/>
  <c r="BS14" i="13" s="1"/>
  <c r="BR19" i="13"/>
  <c r="BS9" i="13"/>
  <c r="BS10" i="13" s="1"/>
  <c r="DP8" i="13"/>
  <c r="DQ5" i="13"/>
  <c r="DQ25" i="13" s="1"/>
  <c r="DR4" i="13"/>
  <c r="BT23" i="13" l="1"/>
  <c r="BT26" i="13"/>
  <c r="BT27" i="13" s="1"/>
  <c r="BU3" i="13"/>
  <c r="BS19" i="13"/>
  <c r="BT9" i="13"/>
  <c r="BT10" i="13" s="1"/>
  <c r="BS18" i="13"/>
  <c r="BS24" i="13" s="1"/>
  <c r="BT6" i="13"/>
  <c r="BT7" i="13" s="1"/>
  <c r="BT13" i="13"/>
  <c r="BT14" i="13" s="1"/>
  <c r="BS21" i="13"/>
  <c r="BU11" i="13"/>
  <c r="BU12" i="13" s="1"/>
  <c r="BT20" i="13"/>
  <c r="BS15" i="13"/>
  <c r="BS16" i="13" s="1"/>
  <c r="BR22" i="13"/>
  <c r="DQ8" i="13"/>
  <c r="DR5" i="13"/>
  <c r="DR25" i="13" s="1"/>
  <c r="DS4" i="13"/>
  <c r="BU6" i="13" l="1"/>
  <c r="BU7" i="13" s="1"/>
  <c r="BT18" i="13"/>
  <c r="BT24" i="13" s="1"/>
  <c r="BU13" i="13"/>
  <c r="BU14" i="13" s="1"/>
  <c r="BT21" i="13"/>
  <c r="BT19" i="13"/>
  <c r="BU9" i="13"/>
  <c r="BU10" i="13" s="1"/>
  <c r="BT15" i="13"/>
  <c r="BT16" i="13" s="1"/>
  <c r="BS22" i="13"/>
  <c r="BU23" i="13"/>
  <c r="BV3" i="13"/>
  <c r="BU26" i="13"/>
  <c r="BU27" i="13" s="1"/>
  <c r="BV11" i="13"/>
  <c r="BV12" i="13" s="1"/>
  <c r="BU20" i="13"/>
  <c r="DR8" i="13"/>
  <c r="DS5" i="13"/>
  <c r="DS25" i="13" s="1"/>
  <c r="DT4" i="13"/>
  <c r="BU15" i="13" l="1"/>
  <c r="BU16" i="13" s="1"/>
  <c r="BT22" i="13"/>
  <c r="BU19" i="13"/>
  <c r="BV9" i="13"/>
  <c r="BV10" i="13" s="1"/>
  <c r="BW11" i="13"/>
  <c r="BW12" i="13" s="1"/>
  <c r="BV20" i="13"/>
  <c r="BV13" i="13"/>
  <c r="BV14" i="13" s="1"/>
  <c r="BU21" i="13"/>
  <c r="BV23" i="13"/>
  <c r="BW3" i="13"/>
  <c r="BV26" i="13"/>
  <c r="BV27" i="13" s="1"/>
  <c r="BU18" i="13"/>
  <c r="BU24" i="13" s="1"/>
  <c r="BV6" i="13"/>
  <c r="BV7" i="13" s="1"/>
  <c r="DS8" i="13"/>
  <c r="DT5" i="13"/>
  <c r="DT25" i="13" s="1"/>
  <c r="DU4" i="13"/>
  <c r="BW20" i="13" l="1"/>
  <c r="BX11" i="13"/>
  <c r="BX12" i="13" s="1"/>
  <c r="BV19" i="13"/>
  <c r="BW9" i="13"/>
  <c r="BW10" i="13" s="1"/>
  <c r="BV21" i="13"/>
  <c r="BW13" i="13"/>
  <c r="BW14" i="13" s="1"/>
  <c r="BV18" i="13"/>
  <c r="BV24" i="13" s="1"/>
  <c r="BW6" i="13"/>
  <c r="BW7" i="13" s="1"/>
  <c r="BX3" i="13"/>
  <c r="BW26" i="13"/>
  <c r="BW27" i="13" s="1"/>
  <c r="BW23" i="13"/>
  <c r="BU22" i="13"/>
  <c r="BV15" i="13"/>
  <c r="BV16" i="13" s="1"/>
  <c r="DT8" i="13"/>
  <c r="DU5" i="13"/>
  <c r="DU25" i="13" s="1"/>
  <c r="DV4" i="13"/>
  <c r="BW21" i="13" l="1"/>
  <c r="BX13" i="13"/>
  <c r="BX14" i="13" s="1"/>
  <c r="BV22" i="13"/>
  <c r="BW15" i="13"/>
  <c r="BW16" i="13" s="1"/>
  <c r="BW19" i="13"/>
  <c r="BX9" i="13"/>
  <c r="BX10" i="13" s="1"/>
  <c r="BX6" i="13"/>
  <c r="BX7" i="13" s="1"/>
  <c r="BW18" i="13"/>
  <c r="BW24" i="13" s="1"/>
  <c r="BX20" i="13"/>
  <c r="BY11" i="13"/>
  <c r="BY12" i="13" s="1"/>
  <c r="BX23" i="13"/>
  <c r="BY3" i="13"/>
  <c r="BX26" i="13"/>
  <c r="BX27" i="13" s="1"/>
  <c r="DU8" i="13"/>
  <c r="DV5" i="13"/>
  <c r="DV25" i="13" s="1"/>
  <c r="DW4" i="13"/>
  <c r="BX18" i="13" l="1"/>
  <c r="BX24" i="13" s="1"/>
  <c r="BY6" i="13"/>
  <c r="BY7" i="13" s="1"/>
  <c r="BY9" i="13"/>
  <c r="BY10" i="13" s="1"/>
  <c r="BX19" i="13"/>
  <c r="BY23" i="13"/>
  <c r="BZ3" i="13"/>
  <c r="BY26" i="13"/>
  <c r="BY27" i="13" s="1"/>
  <c r="BX15" i="13"/>
  <c r="BX16" i="13" s="1"/>
  <c r="BW22" i="13"/>
  <c r="BY13" i="13"/>
  <c r="BY14" i="13" s="1"/>
  <c r="BX21" i="13"/>
  <c r="BY20" i="13"/>
  <c r="BZ11" i="13"/>
  <c r="BZ12" i="13" s="1"/>
  <c r="DV8" i="13"/>
  <c r="DW5" i="13"/>
  <c r="DW25" i="13" s="1"/>
  <c r="DX4" i="13"/>
  <c r="BY15" i="13" l="1"/>
  <c r="BY16" i="13" s="1"/>
  <c r="BX22" i="13"/>
  <c r="BZ23" i="13"/>
  <c r="CA3" i="13"/>
  <c r="BZ26" i="13"/>
  <c r="BZ27" i="13" s="1"/>
  <c r="CA11" i="13"/>
  <c r="CA12" i="13" s="1"/>
  <c r="BZ20" i="13"/>
  <c r="BZ9" i="13"/>
  <c r="BZ10" i="13" s="1"/>
  <c r="BY19" i="13"/>
  <c r="BZ13" i="13"/>
  <c r="BZ14" i="13" s="1"/>
  <c r="BY21" i="13"/>
  <c r="BY18" i="13"/>
  <c r="BY24" i="13" s="1"/>
  <c r="BZ6" i="13"/>
  <c r="BZ7" i="13" s="1"/>
  <c r="DW8" i="13"/>
  <c r="DX5" i="13"/>
  <c r="DX25" i="13" s="1"/>
  <c r="DY4" i="13"/>
  <c r="CA9" i="13" l="1"/>
  <c r="CA10" i="13" s="1"/>
  <c r="BZ19" i="13"/>
  <c r="CB11" i="13"/>
  <c r="CB12" i="13" s="1"/>
  <c r="CA20" i="13"/>
  <c r="CA6" i="13"/>
  <c r="CA7" i="13" s="1"/>
  <c r="BZ18" i="13"/>
  <c r="BZ24" i="13" s="1"/>
  <c r="CA23" i="13"/>
  <c r="CB3" i="13"/>
  <c r="CA26" i="13"/>
  <c r="CA27" i="13" s="1"/>
  <c r="CA13" i="13"/>
  <c r="CA14" i="13" s="1"/>
  <c r="BZ21" i="13"/>
  <c r="BZ15" i="13"/>
  <c r="BZ16" i="13" s="1"/>
  <c r="BY22" i="13"/>
  <c r="DX8" i="13"/>
  <c r="DY5" i="13"/>
  <c r="DY25" i="13" s="1"/>
  <c r="DZ4" i="13"/>
  <c r="CB23" i="13" l="1"/>
  <c r="CC3" i="13"/>
  <c r="CB26" i="13"/>
  <c r="CB27" i="13" s="1"/>
  <c r="CB6" i="13"/>
  <c r="CB7" i="13" s="1"/>
  <c r="CA18" i="13"/>
  <c r="CA24" i="13" s="1"/>
  <c r="BZ22" i="13"/>
  <c r="CA15" i="13"/>
  <c r="CA16" i="13" s="1"/>
  <c r="CB20" i="13"/>
  <c r="CC11" i="13"/>
  <c r="CC12" i="13" s="1"/>
  <c r="CB13" i="13"/>
  <c r="CB14" i="13" s="1"/>
  <c r="CA21" i="13"/>
  <c r="CB9" i="13"/>
  <c r="CB10" i="13" s="1"/>
  <c r="CA19" i="13"/>
  <c r="DY8" i="13"/>
  <c r="DZ5" i="13"/>
  <c r="DZ25" i="13" s="1"/>
  <c r="EA4" i="13"/>
  <c r="CA22" i="13" l="1"/>
  <c r="CB15" i="13"/>
  <c r="CB16" i="13" s="1"/>
  <c r="CC9" i="13"/>
  <c r="CC10" i="13" s="1"/>
  <c r="CB19" i="13"/>
  <c r="CB18" i="13"/>
  <c r="CB24" i="13" s="1"/>
  <c r="CC6" i="13"/>
  <c r="CC7" i="13" s="1"/>
  <c r="CB21" i="13"/>
  <c r="CC13" i="13"/>
  <c r="CC14" i="13" s="1"/>
  <c r="CC23" i="13"/>
  <c r="CC26" i="13"/>
  <c r="CC27" i="13" s="1"/>
  <c r="CD3" i="13"/>
  <c r="CD11" i="13"/>
  <c r="CD12" i="13" s="1"/>
  <c r="CC20" i="13"/>
  <c r="DZ8" i="13"/>
  <c r="EA5" i="13"/>
  <c r="EA25" i="13" s="1"/>
  <c r="EB4" i="13"/>
  <c r="CD13" i="13" l="1"/>
  <c r="CD14" i="13" s="1"/>
  <c r="CC21" i="13"/>
  <c r="CC18" i="13"/>
  <c r="CC24" i="13" s="1"/>
  <c r="CD6" i="13"/>
  <c r="CD7" i="13" s="1"/>
  <c r="CE11" i="13"/>
  <c r="CE12" i="13" s="1"/>
  <c r="CD20" i="13"/>
  <c r="CD23" i="13"/>
  <c r="CE3" i="13"/>
  <c r="CD26" i="13"/>
  <c r="CD27" i="13" s="1"/>
  <c r="CC19" i="13"/>
  <c r="CD9" i="13"/>
  <c r="CD10" i="13" s="1"/>
  <c r="CB22" i="13"/>
  <c r="CC15" i="13"/>
  <c r="CC16" i="13" s="1"/>
  <c r="EA8" i="13"/>
  <c r="EB5" i="13"/>
  <c r="EB25" i="13" s="1"/>
  <c r="EC4" i="13"/>
  <c r="CE23" i="13" l="1"/>
  <c r="CE26" i="13"/>
  <c r="CE27" i="13" s="1"/>
  <c r="CF3" i="13"/>
  <c r="CC22" i="13"/>
  <c r="CD15" i="13"/>
  <c r="CD16" i="13" s="1"/>
  <c r="CF11" i="13"/>
  <c r="CF12" i="13" s="1"/>
  <c r="CE20" i="13"/>
  <c r="CE6" i="13"/>
  <c r="CE7" i="13" s="1"/>
  <c r="CD18" i="13"/>
  <c r="CD24" i="13" s="1"/>
  <c r="CD19" i="13"/>
  <c r="CE9" i="13"/>
  <c r="CE10" i="13" s="1"/>
  <c r="CD21" i="13"/>
  <c r="CE13" i="13"/>
  <c r="CE14" i="13" s="1"/>
  <c r="EB8" i="13"/>
  <c r="EC5" i="13"/>
  <c r="EC25" i="13" s="1"/>
  <c r="ED4" i="13"/>
  <c r="CE18" i="13" l="1"/>
  <c r="CE24" i="13" s="1"/>
  <c r="CF6" i="13"/>
  <c r="CF7" i="13" s="1"/>
  <c r="CG11" i="13"/>
  <c r="CG12" i="13" s="1"/>
  <c r="CF20" i="13"/>
  <c r="CE21" i="13"/>
  <c r="CF13" i="13"/>
  <c r="CF14" i="13" s="1"/>
  <c r="CE15" i="13"/>
  <c r="CE16" i="13" s="1"/>
  <c r="CD22" i="13"/>
  <c r="CE19" i="13"/>
  <c r="CF9" i="13"/>
  <c r="CF10" i="13" s="1"/>
  <c r="CF26" i="13"/>
  <c r="CF27" i="13" s="1"/>
  <c r="CF23" i="13"/>
  <c r="CG3" i="13"/>
  <c r="EC8" i="13"/>
  <c r="ED5" i="13"/>
  <c r="ED25" i="13" s="1"/>
  <c r="EE4" i="13"/>
  <c r="CF15" i="13" l="1"/>
  <c r="CF16" i="13" s="1"/>
  <c r="CE22" i="13"/>
  <c r="CG13" i="13"/>
  <c r="CG14" i="13" s="1"/>
  <c r="CF21" i="13"/>
  <c r="CG26" i="13"/>
  <c r="CG27" i="13" s="1"/>
  <c r="CG23" i="13"/>
  <c r="CH3" i="13"/>
  <c r="CH11" i="13"/>
  <c r="CH12" i="13" s="1"/>
  <c r="CG20" i="13"/>
  <c r="CF19" i="13"/>
  <c r="CG9" i="13"/>
  <c r="CG10" i="13" s="1"/>
  <c r="CF18" i="13"/>
  <c r="CF24" i="13" s="1"/>
  <c r="CG6" i="13"/>
  <c r="CG7" i="13" s="1"/>
  <c r="ED8" i="13"/>
  <c r="EE5" i="13"/>
  <c r="EE25" i="13" s="1"/>
  <c r="EF4" i="13"/>
  <c r="CI11" i="13" l="1"/>
  <c r="CI12" i="13" s="1"/>
  <c r="CH20" i="13"/>
  <c r="CH26" i="13"/>
  <c r="CH27" i="13" s="1"/>
  <c r="CH23" i="13"/>
  <c r="CI3" i="13"/>
  <c r="CH6" i="13"/>
  <c r="CH7" i="13" s="1"/>
  <c r="CG18" i="13"/>
  <c r="CG24" i="13" s="1"/>
  <c r="CG19" i="13"/>
  <c r="CH9" i="13"/>
  <c r="CH10" i="13" s="1"/>
  <c r="CG21" i="13"/>
  <c r="CH13" i="13"/>
  <c r="CH14" i="13" s="1"/>
  <c r="CG15" i="13"/>
  <c r="CG16" i="13" s="1"/>
  <c r="CF22" i="13"/>
  <c r="EE8" i="13"/>
  <c r="EF5" i="13"/>
  <c r="EF25" i="13" s="1"/>
  <c r="EG4" i="13"/>
  <c r="CI23" i="13" l="1"/>
  <c r="CJ3" i="13"/>
  <c r="CI26" i="13"/>
  <c r="CI27" i="13" s="1"/>
  <c r="CI13" i="13"/>
  <c r="CI14" i="13" s="1"/>
  <c r="CH21" i="13"/>
  <c r="CI6" i="13"/>
  <c r="CI7" i="13" s="1"/>
  <c r="CH18" i="13"/>
  <c r="CH24" i="13" s="1"/>
  <c r="CH15" i="13"/>
  <c r="CH16" i="13" s="1"/>
  <c r="CG22" i="13"/>
  <c r="CH19" i="13"/>
  <c r="CI9" i="13"/>
  <c r="CI10" i="13" s="1"/>
  <c r="CI20" i="13"/>
  <c r="CJ11" i="13"/>
  <c r="CJ12" i="13" s="1"/>
  <c r="EF8" i="13"/>
  <c r="EG5" i="13"/>
  <c r="EG25" i="13" s="1"/>
  <c r="EH4" i="13"/>
  <c r="CI15" i="13" l="1"/>
  <c r="CI16" i="13" s="1"/>
  <c r="CH22" i="13"/>
  <c r="CJ6" i="13"/>
  <c r="CJ7" i="13" s="1"/>
  <c r="CI18" i="13"/>
  <c r="CI24" i="13" s="1"/>
  <c r="CK11" i="13"/>
  <c r="CK12" i="13" s="1"/>
  <c r="CJ20" i="13"/>
  <c r="CI21" i="13"/>
  <c r="CJ13" i="13"/>
  <c r="CJ14" i="13" s="1"/>
  <c r="CI19" i="13"/>
  <c r="CJ9" i="13"/>
  <c r="CJ10" i="13" s="1"/>
  <c r="CJ23" i="13"/>
  <c r="CK3" i="13"/>
  <c r="CJ26" i="13"/>
  <c r="CJ27" i="13" s="1"/>
  <c r="EG8" i="13"/>
  <c r="EH5" i="13"/>
  <c r="EH25" i="13" s="1"/>
  <c r="EI4" i="13"/>
  <c r="CL11" i="13" l="1"/>
  <c r="CL12" i="13" s="1"/>
  <c r="CK20" i="13"/>
  <c r="CK23" i="13"/>
  <c r="CK26" i="13"/>
  <c r="CK27" i="13" s="1"/>
  <c r="CL3" i="13"/>
  <c r="CJ21" i="13"/>
  <c r="CK13" i="13"/>
  <c r="CK14" i="13" s="1"/>
  <c r="CK6" i="13"/>
  <c r="CK7" i="13" s="1"/>
  <c r="CJ18" i="13"/>
  <c r="CJ24" i="13" s="1"/>
  <c r="CJ19" i="13"/>
  <c r="CK9" i="13"/>
  <c r="CK10" i="13" s="1"/>
  <c r="CJ15" i="13"/>
  <c r="CJ16" i="13" s="1"/>
  <c r="CI22" i="13"/>
  <c r="EH8" i="13"/>
  <c r="EI5" i="13"/>
  <c r="EI25" i="13" s="1"/>
  <c r="EJ4" i="13"/>
  <c r="CK21" i="13" l="1"/>
  <c r="CL13" i="13"/>
  <c r="CL14" i="13" s="1"/>
  <c r="CL26" i="13"/>
  <c r="CL27" i="13" s="1"/>
  <c r="CM3" i="13"/>
  <c r="CL23" i="13"/>
  <c r="CK15" i="13"/>
  <c r="CK16" i="13" s="1"/>
  <c r="CJ22" i="13"/>
  <c r="CL6" i="13"/>
  <c r="CL7" i="13" s="1"/>
  <c r="CK18" i="13"/>
  <c r="CK24" i="13" s="1"/>
  <c r="CK19" i="13"/>
  <c r="CL9" i="13"/>
  <c r="CL10" i="13" s="1"/>
  <c r="CL20" i="13"/>
  <c r="CM11" i="13"/>
  <c r="CM12" i="13" s="1"/>
  <c r="EI8" i="13"/>
  <c r="EJ5" i="13"/>
  <c r="EJ25" i="13" s="1"/>
  <c r="EK4" i="13"/>
  <c r="CM6" i="13" l="1"/>
  <c r="CM7" i="13" s="1"/>
  <c r="CL18" i="13"/>
  <c r="CL24" i="13" s="1"/>
  <c r="CK22" i="13"/>
  <c r="CL15" i="13"/>
  <c r="CL16" i="13" s="1"/>
  <c r="CM20" i="13"/>
  <c r="CN11" i="13"/>
  <c r="CN12" i="13" s="1"/>
  <c r="CN3" i="13"/>
  <c r="CM23" i="13"/>
  <c r="CM26" i="13"/>
  <c r="CM27" i="13" s="1"/>
  <c r="CM9" i="13"/>
  <c r="CM10" i="13" s="1"/>
  <c r="CL19" i="13"/>
  <c r="CM13" i="13"/>
  <c r="CM14" i="13" s="1"/>
  <c r="CL21" i="13"/>
  <c r="EJ8" i="13"/>
  <c r="EK5" i="13"/>
  <c r="EK25" i="13" s="1"/>
  <c r="EL4" i="13"/>
  <c r="CN13" i="13" l="1"/>
  <c r="CN14" i="13" s="1"/>
  <c r="CM21" i="13"/>
  <c r="CM15" i="13"/>
  <c r="CM16" i="13" s="1"/>
  <c r="CL22" i="13"/>
  <c r="CN23" i="13"/>
  <c r="CO3" i="13"/>
  <c r="CN26" i="13"/>
  <c r="CN27" i="13" s="1"/>
  <c r="CN20" i="13"/>
  <c r="CO11" i="13"/>
  <c r="CO12" i="13" s="1"/>
  <c r="CN9" i="13"/>
  <c r="CN10" i="13" s="1"/>
  <c r="CM19" i="13"/>
  <c r="CN6" i="13"/>
  <c r="CN7" i="13" s="1"/>
  <c r="CM18" i="13"/>
  <c r="CM24" i="13" s="1"/>
  <c r="EK8" i="13"/>
  <c r="EL5" i="13"/>
  <c r="EL25" i="13" s="1"/>
  <c r="EM4" i="13"/>
  <c r="CO23" i="13" l="1"/>
  <c r="CP3" i="13"/>
  <c r="CO26" i="13"/>
  <c r="CO27" i="13" s="1"/>
  <c r="CO6" i="13"/>
  <c r="CO7" i="13" s="1"/>
  <c r="CN18" i="13"/>
  <c r="CN24" i="13" s="1"/>
  <c r="CN15" i="13"/>
  <c r="CN16" i="13" s="1"/>
  <c r="CM22" i="13"/>
  <c r="CO9" i="13"/>
  <c r="CO10" i="13" s="1"/>
  <c r="CN19" i="13"/>
  <c r="CP11" i="13"/>
  <c r="CP12" i="13" s="1"/>
  <c r="CO20" i="13"/>
  <c r="CO13" i="13"/>
  <c r="CO14" i="13" s="1"/>
  <c r="CN21" i="13"/>
  <c r="EL8" i="13"/>
  <c r="EM5" i="13"/>
  <c r="EM25" i="13" s="1"/>
  <c r="EN4" i="13"/>
  <c r="CP6" i="13" l="1"/>
  <c r="CP7" i="13" s="1"/>
  <c r="CO18" i="13"/>
  <c r="CO24" i="13" s="1"/>
  <c r="CP9" i="13"/>
  <c r="CP10" i="13" s="1"/>
  <c r="CO19" i="13"/>
  <c r="CO21" i="13"/>
  <c r="CP13" i="13"/>
  <c r="CP14" i="13" s="1"/>
  <c r="CP20" i="13"/>
  <c r="CQ11" i="13"/>
  <c r="CQ12" i="13" s="1"/>
  <c r="CP23" i="13"/>
  <c r="CQ3" i="13"/>
  <c r="CP26" i="13"/>
  <c r="CP27" i="13" s="1"/>
  <c r="CN22" i="13"/>
  <c r="CO15" i="13"/>
  <c r="CO16" i="13" s="1"/>
  <c r="EM8" i="13"/>
  <c r="EN5" i="13"/>
  <c r="EN25" i="13" s="1"/>
  <c r="EO4" i="13"/>
  <c r="CR11" i="13" l="1"/>
  <c r="CR12" i="13" s="1"/>
  <c r="CQ20" i="13"/>
  <c r="CQ13" i="13"/>
  <c r="CQ14" i="13" s="1"/>
  <c r="CP21" i="13"/>
  <c r="CO22" i="13"/>
  <c r="CP15" i="13"/>
  <c r="CP16" i="13" s="1"/>
  <c r="CQ9" i="13"/>
  <c r="CQ10" i="13" s="1"/>
  <c r="CP19" i="13"/>
  <c r="CQ26" i="13"/>
  <c r="CQ27" i="13" s="1"/>
  <c r="CQ23" i="13"/>
  <c r="CR3" i="13"/>
  <c r="CP18" i="13"/>
  <c r="CP24" i="13" s="1"/>
  <c r="CQ6" i="13"/>
  <c r="CQ7" i="13" s="1"/>
  <c r="EN8" i="13"/>
  <c r="EO5" i="13"/>
  <c r="EO25" i="13" s="1"/>
  <c r="EP4" i="13"/>
  <c r="CR9" i="13" l="1"/>
  <c r="CR10" i="13" s="1"/>
  <c r="CQ19" i="13"/>
  <c r="CQ15" i="13"/>
  <c r="CQ16" i="13" s="1"/>
  <c r="CP22" i="13"/>
  <c r="CR6" i="13"/>
  <c r="CR7" i="13" s="1"/>
  <c r="CQ18" i="13"/>
  <c r="CQ24" i="13" s="1"/>
  <c r="CR23" i="13"/>
  <c r="CS3" i="13"/>
  <c r="CR26" i="13"/>
  <c r="CR27" i="13" s="1"/>
  <c r="CR13" i="13"/>
  <c r="CR14" i="13" s="1"/>
  <c r="CQ21" i="13"/>
  <c r="CR20" i="13"/>
  <c r="CS11" i="13"/>
  <c r="CS12" i="13" s="1"/>
  <c r="EO8" i="13"/>
  <c r="EP5" i="13"/>
  <c r="EP25" i="13" s="1"/>
  <c r="EQ4" i="13"/>
  <c r="CS23" i="13" l="1"/>
  <c r="CT3" i="13"/>
  <c r="CS26" i="13"/>
  <c r="CS27" i="13" s="1"/>
  <c r="CT11" i="13"/>
  <c r="CT12" i="13" s="1"/>
  <c r="CS20" i="13"/>
  <c r="CS6" i="13"/>
  <c r="CS7" i="13" s="1"/>
  <c r="CR18" i="13"/>
  <c r="CR24" i="13" s="1"/>
  <c r="CQ22" i="13"/>
  <c r="CR15" i="13"/>
  <c r="CR16" i="13" s="1"/>
  <c r="CS13" i="13"/>
  <c r="CS14" i="13" s="1"/>
  <c r="CR21" i="13"/>
  <c r="CS9" i="13"/>
  <c r="CS10" i="13" s="1"/>
  <c r="CR19" i="13"/>
  <c r="EP8" i="13"/>
  <c r="EQ5" i="13"/>
  <c r="EQ25" i="13" s="1"/>
  <c r="ER4" i="13"/>
  <c r="CT6" i="13" l="1"/>
  <c r="CT7" i="13" s="1"/>
  <c r="CS18" i="13"/>
  <c r="CS24" i="13" s="1"/>
  <c r="CU11" i="13"/>
  <c r="CU12" i="13" s="1"/>
  <c r="CT20" i="13"/>
  <c r="CT9" i="13"/>
  <c r="CT10" i="13" s="1"/>
  <c r="CS19" i="13"/>
  <c r="CS21" i="13"/>
  <c r="CT13" i="13"/>
  <c r="CT14" i="13" s="1"/>
  <c r="CU3" i="13"/>
  <c r="CT23" i="13"/>
  <c r="CT26" i="13"/>
  <c r="CT27" i="13" s="1"/>
  <c r="CS15" i="13"/>
  <c r="CS16" i="13" s="1"/>
  <c r="CR22" i="13"/>
  <c r="EQ8" i="13"/>
  <c r="ER5" i="13"/>
  <c r="ER25" i="13" s="1"/>
  <c r="ES4" i="13"/>
  <c r="CT21" i="13" l="1"/>
  <c r="CU13" i="13"/>
  <c r="CU14" i="13" s="1"/>
  <c r="CU9" i="13"/>
  <c r="CU10" i="13" s="1"/>
  <c r="CT19" i="13"/>
  <c r="CT15" i="13"/>
  <c r="CT16" i="13" s="1"/>
  <c r="CS22" i="13"/>
  <c r="CU20" i="13"/>
  <c r="CV11" i="13"/>
  <c r="CV12" i="13" s="1"/>
  <c r="CU23" i="13"/>
  <c r="CV3" i="13"/>
  <c r="CU26" i="13"/>
  <c r="CU27" i="13" s="1"/>
  <c r="CU6" i="13"/>
  <c r="CU7" i="13" s="1"/>
  <c r="CT18" i="13"/>
  <c r="CT24" i="13" s="1"/>
  <c r="ER8" i="13"/>
  <c r="ES5" i="13"/>
  <c r="ES25" i="13" s="1"/>
  <c r="ET4" i="13"/>
  <c r="CU15" i="13" l="1"/>
  <c r="CU16" i="13" s="1"/>
  <c r="CT22" i="13"/>
  <c r="CU18" i="13"/>
  <c r="CU24" i="13" s="1"/>
  <c r="CV6" i="13"/>
  <c r="CV7" i="13" s="1"/>
  <c r="CU19" i="13"/>
  <c r="CV9" i="13"/>
  <c r="CV10" i="13" s="1"/>
  <c r="CV23" i="13"/>
  <c r="CW3" i="13"/>
  <c r="CV26" i="13"/>
  <c r="CV27" i="13" s="1"/>
  <c r="CV13" i="13"/>
  <c r="CV14" i="13" s="1"/>
  <c r="CU21" i="13"/>
  <c r="CW11" i="13"/>
  <c r="CW12" i="13" s="1"/>
  <c r="CV20" i="13"/>
  <c r="ES8" i="13"/>
  <c r="ET5" i="13"/>
  <c r="ET25" i="13" s="1"/>
  <c r="EU4" i="13"/>
  <c r="CV19" i="13" l="1"/>
  <c r="CW9" i="13"/>
  <c r="CW10" i="13" s="1"/>
  <c r="CW26" i="13"/>
  <c r="CW27" i="13" s="1"/>
  <c r="CW23" i="13"/>
  <c r="CX3" i="13"/>
  <c r="CX11" i="13"/>
  <c r="CX12" i="13" s="1"/>
  <c r="CW20" i="13"/>
  <c r="CW6" i="13"/>
  <c r="CW7" i="13" s="1"/>
  <c r="CV18" i="13"/>
  <c r="CV24" i="13" s="1"/>
  <c r="CW13" i="13"/>
  <c r="CW14" i="13" s="1"/>
  <c r="CV21" i="13"/>
  <c r="CU22" i="13"/>
  <c r="CV15" i="13"/>
  <c r="CV16" i="13" s="1"/>
  <c r="ET8" i="13"/>
  <c r="EU5" i="13"/>
  <c r="EU25" i="13" s="1"/>
  <c r="EV4" i="13"/>
  <c r="CX6" i="13" l="1"/>
  <c r="CX7" i="13" s="1"/>
  <c r="CW18" i="13"/>
  <c r="CW24" i="13" s="1"/>
  <c r="CW15" i="13"/>
  <c r="CW16" i="13" s="1"/>
  <c r="CV22" i="13"/>
  <c r="CY3" i="13"/>
  <c r="CX26" i="13"/>
  <c r="CX27" i="13" s="1"/>
  <c r="CX23" i="13"/>
  <c r="CY11" i="13"/>
  <c r="CY12" i="13" s="1"/>
  <c r="CX20" i="13"/>
  <c r="CX13" i="13"/>
  <c r="CX14" i="13" s="1"/>
  <c r="CW21" i="13"/>
  <c r="CW19" i="13"/>
  <c r="CX9" i="13"/>
  <c r="CX10" i="13" s="1"/>
  <c r="EU8" i="13"/>
  <c r="EV5" i="13"/>
  <c r="EV25" i="13" s="1"/>
  <c r="EW4" i="13"/>
  <c r="CX19" i="13" l="1"/>
  <c r="CY9" i="13"/>
  <c r="CY10" i="13" s="1"/>
  <c r="CY23" i="13"/>
  <c r="CZ3" i="13"/>
  <c r="CY26" i="13"/>
  <c r="CY27" i="13" s="1"/>
  <c r="CX15" i="13"/>
  <c r="CX16" i="13" s="1"/>
  <c r="CW22" i="13"/>
  <c r="CZ11" i="13"/>
  <c r="CZ12" i="13" s="1"/>
  <c r="CY20" i="13"/>
  <c r="CY13" i="13"/>
  <c r="CY14" i="13" s="1"/>
  <c r="CX21" i="13"/>
  <c r="CX18" i="13"/>
  <c r="CX24" i="13" s="1"/>
  <c r="CY6" i="13"/>
  <c r="CY7" i="13" s="1"/>
  <c r="EV8" i="13"/>
  <c r="EW5" i="13"/>
  <c r="EW25" i="13" s="1"/>
  <c r="EX4" i="13"/>
  <c r="CX22" i="13" l="1"/>
  <c r="CY15" i="13"/>
  <c r="CY16" i="13" s="1"/>
  <c r="CZ20" i="13"/>
  <c r="DA11" i="13"/>
  <c r="DA12" i="13" s="1"/>
  <c r="CZ26" i="13"/>
  <c r="CZ27" i="13" s="1"/>
  <c r="CZ23" i="13"/>
  <c r="DA3" i="13"/>
  <c r="CZ6" i="13"/>
  <c r="CZ7" i="13" s="1"/>
  <c r="CY18" i="13"/>
  <c r="CY24" i="13" s="1"/>
  <c r="CZ13" i="13"/>
  <c r="CZ14" i="13" s="1"/>
  <c r="CY21" i="13"/>
  <c r="CY19" i="13"/>
  <c r="CZ9" i="13"/>
  <c r="CZ10" i="13" s="1"/>
  <c r="EW8" i="13"/>
  <c r="EX5" i="13"/>
  <c r="EX25" i="13" s="1"/>
  <c r="EY4" i="13"/>
  <c r="DB3" i="13" l="1"/>
  <c r="DA26" i="13"/>
  <c r="DA27" i="13" s="1"/>
  <c r="DA23" i="13"/>
  <c r="CZ19" i="13"/>
  <c r="DA9" i="13"/>
  <c r="DA10" i="13" s="1"/>
  <c r="DB11" i="13"/>
  <c r="DB12" i="13" s="1"/>
  <c r="DA20" i="13"/>
  <c r="DA6" i="13"/>
  <c r="DA7" i="13" s="1"/>
  <c r="CZ18" i="13"/>
  <c r="CZ24" i="13" s="1"/>
  <c r="DA13" i="13"/>
  <c r="DA14" i="13" s="1"/>
  <c r="CZ21" i="13"/>
  <c r="CY22" i="13"/>
  <c r="CZ15" i="13"/>
  <c r="CZ16" i="13" s="1"/>
  <c r="EX8" i="13"/>
  <c r="EY5" i="13"/>
  <c r="EY25" i="13" s="1"/>
  <c r="EZ4" i="13"/>
  <c r="DB6" i="13" l="1"/>
  <c r="DB7" i="13" s="1"/>
  <c r="DA18" i="13"/>
  <c r="DA24" i="13" s="1"/>
  <c r="DB20" i="13"/>
  <c r="DC11" i="13"/>
  <c r="DC12" i="13" s="1"/>
  <c r="DA15" i="13"/>
  <c r="DA16" i="13" s="1"/>
  <c r="CZ22" i="13"/>
  <c r="DA19" i="13"/>
  <c r="DB9" i="13"/>
  <c r="DB10" i="13" s="1"/>
  <c r="DB13" i="13"/>
  <c r="DB14" i="13" s="1"/>
  <c r="DA21" i="13"/>
  <c r="DB23" i="13"/>
  <c r="DC3" i="13"/>
  <c r="DB26" i="13"/>
  <c r="DB27" i="13" s="1"/>
  <c r="EY8" i="13"/>
  <c r="EZ5" i="13"/>
  <c r="EZ25" i="13" s="1"/>
  <c r="FA4" i="13"/>
  <c r="DB19" i="13" l="1"/>
  <c r="DC9" i="13"/>
  <c r="DC10" i="13" s="1"/>
  <c r="DA22" i="13"/>
  <c r="DB15" i="13"/>
  <c r="DB16" i="13" s="1"/>
  <c r="DD3" i="13"/>
  <c r="DC23" i="13"/>
  <c r="DC26" i="13"/>
  <c r="DC27" i="13" s="1"/>
  <c r="DC20" i="13"/>
  <c r="DD11" i="13"/>
  <c r="DD12" i="13" s="1"/>
  <c r="DB21" i="13"/>
  <c r="DC13" i="13"/>
  <c r="DC14" i="13" s="1"/>
  <c r="DB18" i="13"/>
  <c r="DB24" i="13" s="1"/>
  <c r="DC6" i="13"/>
  <c r="DC7" i="13" s="1"/>
  <c r="EZ8" i="13"/>
  <c r="FA5" i="13"/>
  <c r="FA25" i="13" s="1"/>
  <c r="FB4" i="13"/>
  <c r="DC18" i="13" l="1"/>
  <c r="DC24" i="13" s="1"/>
  <c r="DD6" i="13"/>
  <c r="DD7" i="13" s="1"/>
  <c r="DD23" i="13"/>
  <c r="DE3" i="13"/>
  <c r="DD26" i="13"/>
  <c r="DD27" i="13" s="1"/>
  <c r="DB22" i="13"/>
  <c r="DC15" i="13"/>
  <c r="DC16" i="13" s="1"/>
  <c r="DC21" i="13"/>
  <c r="DD13" i="13"/>
  <c r="DD14" i="13" s="1"/>
  <c r="DC19" i="13"/>
  <c r="DD9" i="13"/>
  <c r="DD10" i="13" s="1"/>
  <c r="DD20" i="13"/>
  <c r="DE11" i="13"/>
  <c r="DE12" i="13" s="1"/>
  <c r="FA8" i="13"/>
  <c r="FB5" i="13"/>
  <c r="FB25" i="13" s="1"/>
  <c r="FC4" i="13"/>
  <c r="DC22" i="13" l="1"/>
  <c r="DD15" i="13"/>
  <c r="DD16" i="13" s="1"/>
  <c r="DE20" i="13"/>
  <c r="DF11" i="13"/>
  <c r="DF12" i="13" s="1"/>
  <c r="DE23" i="13"/>
  <c r="DF3" i="13"/>
  <c r="DE26" i="13"/>
  <c r="DE27" i="13" s="1"/>
  <c r="DD19" i="13"/>
  <c r="DE9" i="13"/>
  <c r="DE10" i="13" s="1"/>
  <c r="DD18" i="13"/>
  <c r="DD24" i="13" s="1"/>
  <c r="DE6" i="13"/>
  <c r="DE7" i="13" s="1"/>
  <c r="DD21" i="13"/>
  <c r="DE13" i="13"/>
  <c r="DE14" i="13" s="1"/>
  <c r="FB8" i="13"/>
  <c r="FC5" i="13"/>
  <c r="FC25" i="13" s="1"/>
  <c r="FD4" i="13"/>
  <c r="DF23" i="13" l="1"/>
  <c r="DG3" i="13"/>
  <c r="DF26" i="13"/>
  <c r="DF27" i="13" s="1"/>
  <c r="DE21" i="13"/>
  <c r="DF13" i="13"/>
  <c r="DF14" i="13" s="1"/>
  <c r="DF20" i="13"/>
  <c r="DG11" i="13"/>
  <c r="DG12" i="13" s="1"/>
  <c r="DE18" i="13"/>
  <c r="DE24" i="13" s="1"/>
  <c r="DF6" i="13"/>
  <c r="DF7" i="13" s="1"/>
  <c r="DD22" i="13"/>
  <c r="DE15" i="13"/>
  <c r="DE16" i="13" s="1"/>
  <c r="DE19" i="13"/>
  <c r="DF9" i="13"/>
  <c r="DF10" i="13" s="1"/>
  <c r="FC8" i="13"/>
  <c r="FD5" i="13"/>
  <c r="FD25" i="13" s="1"/>
  <c r="FE4" i="13"/>
  <c r="DG20" i="13" l="1"/>
  <c r="DH11" i="13"/>
  <c r="DH12" i="13" s="1"/>
  <c r="DF19" i="13"/>
  <c r="DG9" i="13"/>
  <c r="DG10" i="13" s="1"/>
  <c r="DF21" i="13"/>
  <c r="DG13" i="13"/>
  <c r="DG14" i="13" s="1"/>
  <c r="DE22" i="13"/>
  <c r="DF15" i="13"/>
  <c r="DF16" i="13" s="1"/>
  <c r="DG23" i="13"/>
  <c r="DH3" i="13"/>
  <c r="DG26" i="13"/>
  <c r="DG27" i="13" s="1"/>
  <c r="DF18" i="13"/>
  <c r="DF24" i="13" s="1"/>
  <c r="DG6" i="13"/>
  <c r="DG7" i="13" s="1"/>
  <c r="FD8" i="13"/>
  <c r="FE5" i="13"/>
  <c r="FE25" i="13" s="1"/>
  <c r="FF4" i="13"/>
  <c r="DF22" i="13" l="1"/>
  <c r="DG15" i="13"/>
  <c r="DG16" i="13" s="1"/>
  <c r="DG21" i="13"/>
  <c r="DH13" i="13"/>
  <c r="DH14" i="13" s="1"/>
  <c r="DH6" i="13"/>
  <c r="DH7" i="13" s="1"/>
  <c r="DG18" i="13"/>
  <c r="DG24" i="13" s="1"/>
  <c r="DG19" i="13"/>
  <c r="DH9" i="13"/>
  <c r="DH10" i="13" s="1"/>
  <c r="DH26" i="13"/>
  <c r="DH27" i="13" s="1"/>
  <c r="DH23" i="13"/>
  <c r="DI3" i="13"/>
  <c r="DH20" i="13"/>
  <c r="DI11" i="13"/>
  <c r="DI12" i="13" s="1"/>
  <c r="FE8" i="13"/>
  <c r="FF5" i="13"/>
  <c r="FF25" i="13" s="1"/>
  <c r="FG4" i="13"/>
  <c r="DH19" i="13" l="1"/>
  <c r="DI9" i="13"/>
  <c r="DI10" i="13" s="1"/>
  <c r="DI20" i="13"/>
  <c r="DJ11" i="13"/>
  <c r="DJ12" i="13" s="1"/>
  <c r="DI6" i="13"/>
  <c r="DI7" i="13" s="1"/>
  <c r="DH18" i="13"/>
  <c r="DH24" i="13" s="1"/>
  <c r="DH21" i="13"/>
  <c r="DI13" i="13"/>
  <c r="DI14" i="13" s="1"/>
  <c r="DI23" i="13"/>
  <c r="DJ3" i="13"/>
  <c r="DI26" i="13"/>
  <c r="DI27" i="13" s="1"/>
  <c r="DG22" i="13"/>
  <c r="DH15" i="13"/>
  <c r="DH16" i="13" s="1"/>
  <c r="FF8" i="13"/>
  <c r="FG5" i="13"/>
  <c r="FG25" i="13" s="1"/>
  <c r="FH4" i="13"/>
  <c r="DI21" i="13" l="1"/>
  <c r="DJ13" i="13"/>
  <c r="DJ14" i="13" s="1"/>
  <c r="DH22" i="13"/>
  <c r="DI15" i="13"/>
  <c r="DI16" i="13" s="1"/>
  <c r="DI18" i="13"/>
  <c r="DI24" i="13" s="1"/>
  <c r="DJ6" i="13"/>
  <c r="DJ7" i="13" s="1"/>
  <c r="DJ20" i="13"/>
  <c r="DK11" i="13"/>
  <c r="DK12" i="13" s="1"/>
  <c r="DJ23" i="13"/>
  <c r="DK3" i="13"/>
  <c r="DJ26" i="13"/>
  <c r="DJ27" i="13" s="1"/>
  <c r="DI19" i="13"/>
  <c r="DJ9" i="13"/>
  <c r="DJ10" i="13" s="1"/>
  <c r="FG8" i="13"/>
  <c r="FH5" i="13"/>
  <c r="FH25" i="13" s="1"/>
  <c r="FI4" i="13"/>
  <c r="DK20" i="13" l="1"/>
  <c r="DL11" i="13"/>
  <c r="DL12" i="13" s="1"/>
  <c r="DK6" i="13"/>
  <c r="DK7" i="13" s="1"/>
  <c r="DJ18" i="13"/>
  <c r="DJ24" i="13" s="1"/>
  <c r="DJ19" i="13"/>
  <c r="DK9" i="13"/>
  <c r="DK10" i="13" s="1"/>
  <c r="DI22" i="13"/>
  <c r="DJ15" i="13"/>
  <c r="DJ16" i="13" s="1"/>
  <c r="DK23" i="13"/>
  <c r="DL3" i="13"/>
  <c r="DK26" i="13"/>
  <c r="DK27" i="13" s="1"/>
  <c r="DJ21" i="13"/>
  <c r="DK13" i="13"/>
  <c r="DK14" i="13" s="1"/>
  <c r="FH8" i="13"/>
  <c r="FJ4" i="13"/>
  <c r="FI5" i="13"/>
  <c r="FI25" i="13" s="1"/>
  <c r="DJ22" i="13" l="1"/>
  <c r="DK15" i="13"/>
  <c r="DK16" i="13" s="1"/>
  <c r="DK19" i="13"/>
  <c r="DL9" i="13"/>
  <c r="DL10" i="13" s="1"/>
  <c r="DK21" i="13"/>
  <c r="DL13" i="13"/>
  <c r="DL14" i="13" s="1"/>
  <c r="DK18" i="13"/>
  <c r="DK24" i="13" s="1"/>
  <c r="DL6" i="13"/>
  <c r="DL7" i="13" s="1"/>
  <c r="DL20" i="13"/>
  <c r="DM11" i="13"/>
  <c r="DM12" i="13" s="1"/>
  <c r="DM3" i="13"/>
  <c r="DL23" i="13"/>
  <c r="DL26" i="13"/>
  <c r="DL27" i="13" s="1"/>
  <c r="FI8" i="13"/>
  <c r="FK4" i="13"/>
  <c r="FJ5" i="13"/>
  <c r="FJ25" i="13" s="1"/>
  <c r="DM6" i="13" l="1"/>
  <c r="DM7" i="13" s="1"/>
  <c r="DL18" i="13"/>
  <c r="DL24" i="13" s="1"/>
  <c r="DL21" i="13"/>
  <c r="DM13" i="13"/>
  <c r="DM14" i="13" s="1"/>
  <c r="DL19" i="13"/>
  <c r="DM9" i="13"/>
  <c r="DM10" i="13" s="1"/>
  <c r="DM23" i="13"/>
  <c r="DN3" i="13"/>
  <c r="DM26" i="13"/>
  <c r="DM27" i="13" s="1"/>
  <c r="DM20" i="13"/>
  <c r="DN11" i="13"/>
  <c r="DN12" i="13" s="1"/>
  <c r="DK22" i="13"/>
  <c r="DL15" i="13"/>
  <c r="DL16" i="13" s="1"/>
  <c r="FJ8" i="13"/>
  <c r="FL4" i="13"/>
  <c r="FK5" i="13"/>
  <c r="FK25" i="13" s="1"/>
  <c r="DN23" i="13" l="1"/>
  <c r="DO3" i="13"/>
  <c r="DN26" i="13"/>
  <c r="DN27" i="13" s="1"/>
  <c r="DM19" i="13"/>
  <c r="DN9" i="13"/>
  <c r="DN10" i="13" s="1"/>
  <c r="DL22" i="13"/>
  <c r="DM15" i="13"/>
  <c r="DM16" i="13" s="1"/>
  <c r="DM21" i="13"/>
  <c r="DN13" i="13"/>
  <c r="DN14" i="13" s="1"/>
  <c r="DN20" i="13"/>
  <c r="DO11" i="13"/>
  <c r="DO12" i="13" s="1"/>
  <c r="DM18" i="13"/>
  <c r="DM24" i="13" s="1"/>
  <c r="DN6" i="13"/>
  <c r="DN7" i="13" s="1"/>
  <c r="FK8" i="13"/>
  <c r="FL5" i="13"/>
  <c r="FL25" i="13" s="1"/>
  <c r="FM4" i="13"/>
  <c r="DM22" i="13" l="1"/>
  <c r="DN15" i="13"/>
  <c r="DN16" i="13" s="1"/>
  <c r="DN18" i="13"/>
  <c r="DN24" i="13" s="1"/>
  <c r="DO6" i="13"/>
  <c r="DO7" i="13" s="1"/>
  <c r="DN19" i="13"/>
  <c r="DO9" i="13"/>
  <c r="DO10" i="13" s="1"/>
  <c r="DO20" i="13"/>
  <c r="DP11" i="13"/>
  <c r="DP12" i="13" s="1"/>
  <c r="DO23" i="13"/>
  <c r="DP3" i="13"/>
  <c r="DO26" i="13"/>
  <c r="DO27" i="13" s="1"/>
  <c r="DN21" i="13"/>
  <c r="DO13" i="13"/>
  <c r="DO14" i="13" s="1"/>
  <c r="FL8" i="13"/>
  <c r="FM5" i="13"/>
  <c r="FM25" i="13" s="1"/>
  <c r="FN4" i="13"/>
  <c r="DP20" i="13" l="1"/>
  <c r="DQ11" i="13"/>
  <c r="DQ12" i="13" s="1"/>
  <c r="DO19" i="13"/>
  <c r="DP9" i="13"/>
  <c r="DP10" i="13" s="1"/>
  <c r="DO21" i="13"/>
  <c r="DP13" i="13"/>
  <c r="DP14" i="13" s="1"/>
  <c r="DO18" i="13"/>
  <c r="DO24" i="13" s="1"/>
  <c r="DP6" i="13"/>
  <c r="DP7" i="13" s="1"/>
  <c r="DQ3" i="13"/>
  <c r="DP23" i="13"/>
  <c r="DP26" i="13"/>
  <c r="DP27" i="13" s="1"/>
  <c r="DN22" i="13"/>
  <c r="DO15" i="13"/>
  <c r="DO16" i="13" s="1"/>
  <c r="FM8" i="13"/>
  <c r="FN5" i="13"/>
  <c r="FN25" i="13" s="1"/>
  <c r="FO4" i="13"/>
  <c r="DQ6" i="13" l="1"/>
  <c r="DQ7" i="13" s="1"/>
  <c r="DP18" i="13"/>
  <c r="DP24" i="13" s="1"/>
  <c r="DP21" i="13"/>
  <c r="DQ13" i="13"/>
  <c r="DQ14" i="13" s="1"/>
  <c r="DO22" i="13"/>
  <c r="DP15" i="13"/>
  <c r="DP16" i="13" s="1"/>
  <c r="DP19" i="13"/>
  <c r="DQ9" i="13"/>
  <c r="DQ10" i="13" s="1"/>
  <c r="DQ20" i="13"/>
  <c r="DR11" i="13"/>
  <c r="DR12" i="13" s="1"/>
  <c r="DQ23" i="13"/>
  <c r="DQ26" i="13"/>
  <c r="DQ27" i="13" s="1"/>
  <c r="DR3" i="13"/>
  <c r="FN8" i="13"/>
  <c r="FO5" i="13"/>
  <c r="FO25" i="13" s="1"/>
  <c r="FP4" i="13"/>
  <c r="DQ19" i="13" l="1"/>
  <c r="DR9" i="13"/>
  <c r="DR10" i="13" s="1"/>
  <c r="DP22" i="13"/>
  <c r="DQ15" i="13"/>
  <c r="DQ16" i="13" s="1"/>
  <c r="DS3" i="13"/>
  <c r="DR23" i="13"/>
  <c r="DR26" i="13"/>
  <c r="DR27" i="13" s="1"/>
  <c r="DQ21" i="13"/>
  <c r="DR13" i="13"/>
  <c r="DR14" i="13" s="1"/>
  <c r="DR20" i="13"/>
  <c r="DS11" i="13"/>
  <c r="DS12" i="13" s="1"/>
  <c r="DQ18" i="13"/>
  <c r="DQ24" i="13" s="1"/>
  <c r="DR6" i="13"/>
  <c r="DR7" i="13" s="1"/>
  <c r="FO8" i="13"/>
  <c r="FP5" i="13"/>
  <c r="FP25" i="13" s="1"/>
  <c r="FQ4" i="13"/>
  <c r="DR18" i="13" l="1"/>
  <c r="DR24" i="13" s="1"/>
  <c r="DS6" i="13"/>
  <c r="DS7" i="13" s="1"/>
  <c r="DT3" i="13"/>
  <c r="DS23" i="13"/>
  <c r="DS26" i="13"/>
  <c r="DS27" i="13" s="1"/>
  <c r="DQ22" i="13"/>
  <c r="DR15" i="13"/>
  <c r="DR16" i="13" s="1"/>
  <c r="DS20" i="13"/>
  <c r="DT11" i="13"/>
  <c r="DT12" i="13" s="1"/>
  <c r="DR19" i="13"/>
  <c r="DS9" i="13"/>
  <c r="DS10" i="13" s="1"/>
  <c r="DR21" i="13"/>
  <c r="DS13" i="13"/>
  <c r="DS14" i="13" s="1"/>
  <c r="FP8" i="13"/>
  <c r="FQ5" i="13"/>
  <c r="FQ25" i="13" s="1"/>
  <c r="FR4" i="13"/>
  <c r="DR22" i="13" l="1"/>
  <c r="DS15" i="13"/>
  <c r="DS16" i="13" s="1"/>
  <c r="DS21" i="13"/>
  <c r="DT13" i="13"/>
  <c r="DT14" i="13" s="1"/>
  <c r="DS19" i="13"/>
  <c r="DT9" i="13"/>
  <c r="DT10" i="13" s="1"/>
  <c r="DT23" i="13"/>
  <c r="DU3" i="13"/>
  <c r="DT26" i="13"/>
  <c r="DT27" i="13" s="1"/>
  <c r="DT6" i="13"/>
  <c r="DT7" i="13" s="1"/>
  <c r="DS18" i="13"/>
  <c r="DS24" i="13" s="1"/>
  <c r="DT20" i="13"/>
  <c r="DU11" i="13"/>
  <c r="DU12" i="13" s="1"/>
  <c r="FQ8" i="13"/>
  <c r="FR5" i="13"/>
  <c r="FR25" i="13" s="1"/>
  <c r="FS4" i="13"/>
  <c r="DU23" i="13" l="1"/>
  <c r="DV3" i="13"/>
  <c r="DU26" i="13"/>
  <c r="DU27" i="13" s="1"/>
  <c r="DT19" i="13"/>
  <c r="DU9" i="13"/>
  <c r="DU10" i="13" s="1"/>
  <c r="DU20" i="13"/>
  <c r="DV11" i="13"/>
  <c r="DV12" i="13" s="1"/>
  <c r="DT21" i="13"/>
  <c r="DU13" i="13"/>
  <c r="DU14" i="13" s="1"/>
  <c r="DT18" i="13"/>
  <c r="DT24" i="13" s="1"/>
  <c r="DU6" i="13"/>
  <c r="DU7" i="13" s="1"/>
  <c r="DS22" i="13"/>
  <c r="DT15" i="13"/>
  <c r="DT16" i="13" s="1"/>
  <c r="FR8" i="13"/>
  <c r="FS5" i="13"/>
  <c r="FS25" i="13" s="1"/>
  <c r="FT4" i="13"/>
  <c r="DV20" i="13" l="1"/>
  <c r="DW11" i="13"/>
  <c r="DW12" i="13" s="1"/>
  <c r="DT22" i="13"/>
  <c r="DU15" i="13"/>
  <c r="DU16" i="13" s="1"/>
  <c r="DU19" i="13"/>
  <c r="DV9" i="13"/>
  <c r="DV10" i="13" s="1"/>
  <c r="DV6" i="13"/>
  <c r="DV7" i="13" s="1"/>
  <c r="DU18" i="13"/>
  <c r="DU24" i="13" s="1"/>
  <c r="DV23" i="13"/>
  <c r="DV26" i="13"/>
  <c r="DV27" i="13" s="1"/>
  <c r="DW3" i="13"/>
  <c r="DU21" i="13"/>
  <c r="DV13" i="13"/>
  <c r="DV14" i="13" s="1"/>
  <c r="FS8" i="13"/>
  <c r="FT5" i="13"/>
  <c r="FT25" i="13" s="1"/>
  <c r="FU4" i="13"/>
  <c r="DV18" i="13" l="1"/>
  <c r="DV24" i="13" s="1"/>
  <c r="DW6" i="13"/>
  <c r="DW7" i="13" s="1"/>
  <c r="DV19" i="13"/>
  <c r="DW9" i="13"/>
  <c r="DW10" i="13" s="1"/>
  <c r="DV21" i="13"/>
  <c r="DW13" i="13"/>
  <c r="DW14" i="13" s="1"/>
  <c r="DU22" i="13"/>
  <c r="DV15" i="13"/>
  <c r="DV16" i="13" s="1"/>
  <c r="DX3" i="13"/>
  <c r="DW23" i="13"/>
  <c r="DW26" i="13"/>
  <c r="DW27" i="13" s="1"/>
  <c r="DW20" i="13"/>
  <c r="DX11" i="13"/>
  <c r="DX12" i="13" s="1"/>
  <c r="FT8" i="13"/>
  <c r="FU5" i="13"/>
  <c r="FU25" i="13" s="1"/>
  <c r="FV4" i="13"/>
  <c r="DV22" i="13" l="1"/>
  <c r="DW15" i="13"/>
  <c r="DW16" i="13" s="1"/>
  <c r="DW21" i="13"/>
  <c r="DX13" i="13"/>
  <c r="DX14" i="13" s="1"/>
  <c r="DX20" i="13"/>
  <c r="DY11" i="13"/>
  <c r="DY12" i="13" s="1"/>
  <c r="DW19" i="13"/>
  <c r="DX9" i="13"/>
  <c r="DX10" i="13" s="1"/>
  <c r="DW18" i="13"/>
  <c r="DW24" i="13" s="1"/>
  <c r="DX6" i="13"/>
  <c r="DX7" i="13" s="1"/>
  <c r="DY3" i="13"/>
  <c r="DX23" i="13"/>
  <c r="DX26" i="13"/>
  <c r="DX27" i="13" s="1"/>
  <c r="FU8" i="13"/>
  <c r="FV5" i="13"/>
  <c r="FV25" i="13" s="1"/>
  <c r="FW4" i="13"/>
  <c r="DX19" i="13" l="1"/>
  <c r="DY9" i="13"/>
  <c r="DY10" i="13" s="1"/>
  <c r="DY20" i="13"/>
  <c r="DZ11" i="13"/>
  <c r="DZ12" i="13" s="1"/>
  <c r="DX21" i="13"/>
  <c r="DY13" i="13"/>
  <c r="DY14" i="13" s="1"/>
  <c r="DY26" i="13"/>
  <c r="DY27" i="13" s="1"/>
  <c r="DY23" i="13"/>
  <c r="DZ3" i="13"/>
  <c r="DY6" i="13"/>
  <c r="DY7" i="13" s="1"/>
  <c r="DX18" i="13"/>
  <c r="DX24" i="13" s="1"/>
  <c r="DW22" i="13"/>
  <c r="DX15" i="13"/>
  <c r="DX16" i="13" s="1"/>
  <c r="FV8" i="13"/>
  <c r="FW5" i="13"/>
  <c r="FW25" i="13" s="1"/>
  <c r="FX4" i="13"/>
  <c r="DY21" i="13" l="1"/>
  <c r="DZ13" i="13"/>
  <c r="DZ14" i="13" s="1"/>
  <c r="DX22" i="13"/>
  <c r="DY15" i="13"/>
  <c r="DY16" i="13" s="1"/>
  <c r="DZ20" i="13"/>
  <c r="EA11" i="13"/>
  <c r="EA12" i="13" s="1"/>
  <c r="DZ6" i="13"/>
  <c r="DZ7" i="13" s="1"/>
  <c r="DY18" i="13"/>
  <c r="DY24" i="13" s="1"/>
  <c r="DY19" i="13"/>
  <c r="DZ9" i="13"/>
  <c r="DZ10" i="13" s="1"/>
  <c r="DZ23" i="13"/>
  <c r="EA3" i="13"/>
  <c r="DZ26" i="13"/>
  <c r="DZ27" i="13" s="1"/>
  <c r="FW8" i="13"/>
  <c r="FX5" i="13"/>
  <c r="FX25" i="13" s="1"/>
  <c r="FY4" i="13"/>
  <c r="EA6" i="13" l="1"/>
  <c r="EA7" i="13" s="1"/>
  <c r="DZ18" i="13"/>
  <c r="DZ24" i="13" s="1"/>
  <c r="EA20" i="13"/>
  <c r="EB11" i="13"/>
  <c r="EB12" i="13" s="1"/>
  <c r="EA23" i="13"/>
  <c r="EB3" i="13"/>
  <c r="EA26" i="13"/>
  <c r="EA27" i="13" s="1"/>
  <c r="DY22" i="13"/>
  <c r="DZ15" i="13"/>
  <c r="DZ16" i="13" s="1"/>
  <c r="DZ19" i="13"/>
  <c r="EA9" i="13"/>
  <c r="EA10" i="13" s="1"/>
  <c r="DZ21" i="13"/>
  <c r="EA13" i="13"/>
  <c r="EA14" i="13" s="1"/>
  <c r="FX8" i="13"/>
  <c r="FY5" i="13"/>
  <c r="FY25" i="13" s="1"/>
  <c r="FZ4" i="13"/>
  <c r="EB26" i="13" l="1"/>
  <c r="EB27" i="13" s="1"/>
  <c r="EB23" i="13"/>
  <c r="EC3" i="13"/>
  <c r="EA21" i="13"/>
  <c r="EB13" i="13"/>
  <c r="EB14" i="13" s="1"/>
  <c r="EB20" i="13"/>
  <c r="EC11" i="13"/>
  <c r="EC12" i="13" s="1"/>
  <c r="EA19" i="13"/>
  <c r="EB9" i="13"/>
  <c r="EB10" i="13" s="1"/>
  <c r="DZ22" i="13"/>
  <c r="EA15" i="13"/>
  <c r="EA16" i="13" s="1"/>
  <c r="EA18" i="13"/>
  <c r="EA24" i="13" s="1"/>
  <c r="EB6" i="13"/>
  <c r="EB7" i="13" s="1"/>
  <c r="FY8" i="13"/>
  <c r="FZ5" i="13"/>
  <c r="FZ25" i="13" s="1"/>
  <c r="GA4" i="13"/>
  <c r="EC20" i="13" l="1"/>
  <c r="ED11" i="13"/>
  <c r="ED12" i="13" s="1"/>
  <c r="EB18" i="13"/>
  <c r="EB24" i="13" s="1"/>
  <c r="EC6" i="13"/>
  <c r="EC7" i="13" s="1"/>
  <c r="EB21" i="13"/>
  <c r="EC13" i="13"/>
  <c r="EC14" i="13" s="1"/>
  <c r="EC23" i="13"/>
  <c r="ED3" i="13"/>
  <c r="EC26" i="13"/>
  <c r="EC27" i="13" s="1"/>
  <c r="EA22" i="13"/>
  <c r="EB15" i="13"/>
  <c r="EB16" i="13" s="1"/>
  <c r="EB19" i="13"/>
  <c r="EC9" i="13"/>
  <c r="EC10" i="13" s="1"/>
  <c r="FZ8" i="13"/>
  <c r="GA5" i="13"/>
  <c r="GA25" i="13" s="1"/>
  <c r="GB4" i="13"/>
  <c r="EE3" i="13" l="1"/>
  <c r="ED26" i="13"/>
  <c r="ED27" i="13" s="1"/>
  <c r="ED23" i="13"/>
  <c r="EC21" i="13"/>
  <c r="ED13" i="13"/>
  <c r="ED14" i="13" s="1"/>
  <c r="EC19" i="13"/>
  <c r="ED9" i="13"/>
  <c r="ED10" i="13" s="1"/>
  <c r="ED6" i="13"/>
  <c r="ED7" i="13" s="1"/>
  <c r="EC18" i="13"/>
  <c r="EC24" i="13" s="1"/>
  <c r="EB22" i="13"/>
  <c r="EC15" i="13"/>
  <c r="EC16" i="13" s="1"/>
  <c r="ED20" i="13"/>
  <c r="EE11" i="13"/>
  <c r="EE12" i="13" s="1"/>
  <c r="GA8" i="13"/>
  <c r="GB5" i="13"/>
  <c r="GB25" i="13" s="1"/>
  <c r="GC4" i="13"/>
  <c r="ED18" i="13" l="1"/>
  <c r="ED24" i="13" s="1"/>
  <c r="EE6" i="13"/>
  <c r="EE7" i="13" s="1"/>
  <c r="ED19" i="13"/>
  <c r="EE9" i="13"/>
  <c r="EE10" i="13" s="1"/>
  <c r="EE20" i="13"/>
  <c r="EF11" i="13"/>
  <c r="EF12" i="13" s="1"/>
  <c r="ED21" i="13"/>
  <c r="EE13" i="13"/>
  <c r="EE14" i="13" s="1"/>
  <c r="EC22" i="13"/>
  <c r="ED15" i="13"/>
  <c r="ED16" i="13" s="1"/>
  <c r="EE23" i="13"/>
  <c r="EF3" i="13"/>
  <c r="EE26" i="13"/>
  <c r="EE27" i="13" s="1"/>
  <c r="GB8" i="13"/>
  <c r="GC5" i="13"/>
  <c r="GC25" i="13" s="1"/>
  <c r="GD4" i="13"/>
  <c r="EE21" i="13" l="1"/>
  <c r="EF13" i="13"/>
  <c r="EF14" i="13" s="1"/>
  <c r="EF20" i="13"/>
  <c r="EG11" i="13"/>
  <c r="EG12" i="13" s="1"/>
  <c r="EG3" i="13"/>
  <c r="EF26" i="13"/>
  <c r="EF27" i="13" s="1"/>
  <c r="EF23" i="13"/>
  <c r="EE19" i="13"/>
  <c r="EF9" i="13"/>
  <c r="EF10" i="13" s="1"/>
  <c r="ED22" i="13"/>
  <c r="EE15" i="13"/>
  <c r="EE16" i="13" s="1"/>
  <c r="EF6" i="13"/>
  <c r="EF7" i="13" s="1"/>
  <c r="EE18" i="13"/>
  <c r="EE24" i="13" s="1"/>
  <c r="GC8" i="13"/>
  <c r="GD5" i="13"/>
  <c r="GD25" i="13" s="1"/>
  <c r="GE4" i="13"/>
  <c r="EG23" i="13" l="1"/>
  <c r="EH3" i="13"/>
  <c r="EG26" i="13"/>
  <c r="EG27" i="13" s="1"/>
  <c r="EF18" i="13"/>
  <c r="EF24" i="13" s="1"/>
  <c r="EG6" i="13"/>
  <c r="EG7" i="13" s="1"/>
  <c r="EG20" i="13"/>
  <c r="EH11" i="13"/>
  <c r="EH12" i="13" s="1"/>
  <c r="EE22" i="13"/>
  <c r="EF15" i="13"/>
  <c r="EF16" i="13" s="1"/>
  <c r="EF21" i="13"/>
  <c r="EG13" i="13"/>
  <c r="EG14" i="13" s="1"/>
  <c r="EF19" i="13"/>
  <c r="EG9" i="13"/>
  <c r="EG10" i="13" s="1"/>
  <c r="GD8" i="13"/>
  <c r="GE5" i="13"/>
  <c r="GE25" i="13" s="1"/>
  <c r="GF4" i="13"/>
  <c r="EH20" i="13" l="1"/>
  <c r="EI11" i="13"/>
  <c r="EI12" i="13" s="1"/>
  <c r="EG19" i="13"/>
  <c r="EH9" i="13"/>
  <c r="EH10" i="13" s="1"/>
  <c r="EH6" i="13"/>
  <c r="EH7" i="13" s="1"/>
  <c r="EG18" i="13"/>
  <c r="EG24" i="13" s="1"/>
  <c r="EG21" i="13"/>
  <c r="EH13" i="13"/>
  <c r="EH14" i="13" s="1"/>
  <c r="EH23" i="13"/>
  <c r="EI3" i="13"/>
  <c r="EH26" i="13"/>
  <c r="EH27" i="13" s="1"/>
  <c r="EF22" i="13"/>
  <c r="EG15" i="13"/>
  <c r="EG16" i="13" s="1"/>
  <c r="GE8" i="13"/>
  <c r="GF5" i="13"/>
  <c r="GF25" i="13" s="1"/>
  <c r="GG4" i="13"/>
  <c r="EG22" i="13" l="1"/>
  <c r="EH15" i="13"/>
  <c r="EH16" i="13" s="1"/>
  <c r="EI6" i="13"/>
  <c r="EI7" i="13" s="1"/>
  <c r="EH18" i="13"/>
  <c r="EH24" i="13" s="1"/>
  <c r="EH19" i="13"/>
  <c r="EI9" i="13"/>
  <c r="EI10" i="13" s="1"/>
  <c r="EI23" i="13"/>
  <c r="EJ3" i="13"/>
  <c r="EI26" i="13"/>
  <c r="EI27" i="13" s="1"/>
  <c r="EI20" i="13"/>
  <c r="EJ11" i="13"/>
  <c r="EJ12" i="13" s="1"/>
  <c r="EH21" i="13"/>
  <c r="EI13" i="13"/>
  <c r="EI14" i="13" s="1"/>
  <c r="GF8" i="13"/>
  <c r="GG5" i="13"/>
  <c r="GG25" i="13" s="1"/>
  <c r="GH4" i="13"/>
  <c r="EI19" i="13" l="1"/>
  <c r="EJ9" i="13"/>
  <c r="EJ10" i="13" s="1"/>
  <c r="EJ23" i="13"/>
  <c r="EK3" i="13"/>
  <c r="EJ26" i="13"/>
  <c r="EJ27" i="13" s="1"/>
  <c r="EI21" i="13"/>
  <c r="EJ13" i="13"/>
  <c r="EJ14" i="13" s="1"/>
  <c r="EJ20" i="13"/>
  <c r="EK11" i="13"/>
  <c r="EK12" i="13" s="1"/>
  <c r="EI18" i="13"/>
  <c r="EI24" i="13" s="1"/>
  <c r="EJ6" i="13"/>
  <c r="EJ7" i="13" s="1"/>
  <c r="EH22" i="13"/>
  <c r="EI15" i="13"/>
  <c r="EI16" i="13" s="1"/>
  <c r="GG8" i="13"/>
  <c r="GH5" i="13"/>
  <c r="GH25" i="13" s="1"/>
  <c r="GI4" i="13"/>
  <c r="EI22" i="13" l="1"/>
  <c r="EJ15" i="13"/>
  <c r="EJ16" i="13" s="1"/>
  <c r="EK26" i="13"/>
  <c r="EK27" i="13" s="1"/>
  <c r="EK23" i="13"/>
  <c r="EL3" i="13"/>
  <c r="EJ21" i="13"/>
  <c r="EK13" i="13"/>
  <c r="EK14" i="13" s="1"/>
  <c r="EJ18" i="13"/>
  <c r="EJ24" i="13" s="1"/>
  <c r="EK6" i="13"/>
  <c r="EK7" i="13" s="1"/>
  <c r="EJ19" i="13"/>
  <c r="EK9" i="13"/>
  <c r="EK10" i="13" s="1"/>
  <c r="EK20" i="13"/>
  <c r="EL11" i="13"/>
  <c r="EL12" i="13" s="1"/>
  <c r="GH8" i="13"/>
  <c r="GI5" i="13"/>
  <c r="GI25" i="13" s="1"/>
  <c r="GJ4" i="13"/>
  <c r="EK19" i="13" l="1"/>
  <c r="EL9" i="13"/>
  <c r="EL10" i="13" s="1"/>
  <c r="EL20" i="13"/>
  <c r="EM11" i="13"/>
  <c r="EM12" i="13" s="1"/>
  <c r="EJ22" i="13"/>
  <c r="EK15" i="13"/>
  <c r="EK16" i="13" s="1"/>
  <c r="EK21" i="13"/>
  <c r="EL13" i="13"/>
  <c r="EL14" i="13" s="1"/>
  <c r="EL23" i="13"/>
  <c r="EL26" i="13"/>
  <c r="EL27" i="13" s="1"/>
  <c r="EM3" i="13"/>
  <c r="EK18" i="13"/>
  <c r="EK24" i="13" s="1"/>
  <c r="EL6" i="13"/>
  <c r="EL7" i="13" s="1"/>
  <c r="GI8" i="13"/>
  <c r="GJ5" i="13"/>
  <c r="GJ25" i="13" s="1"/>
  <c r="GK4" i="13"/>
  <c r="EK22" i="13" l="1"/>
  <c r="EL15" i="13"/>
  <c r="EL16" i="13" s="1"/>
  <c r="EM6" i="13"/>
  <c r="EM7" i="13" s="1"/>
  <c r="EL18" i="13"/>
  <c r="EL24" i="13" s="1"/>
  <c r="EL21" i="13"/>
  <c r="EM13" i="13"/>
  <c r="EM14" i="13" s="1"/>
  <c r="EM20" i="13"/>
  <c r="EN11" i="13"/>
  <c r="EN12" i="13" s="1"/>
  <c r="EM23" i="13"/>
  <c r="EN3" i="13"/>
  <c r="EM26" i="13"/>
  <c r="EM27" i="13" s="1"/>
  <c r="EL19" i="13"/>
  <c r="EM9" i="13"/>
  <c r="EM10" i="13" s="1"/>
  <c r="GJ8" i="13"/>
  <c r="GK5" i="13"/>
  <c r="GK25" i="13" s="1"/>
  <c r="GL4" i="13"/>
  <c r="EM21" i="13" l="1"/>
  <c r="EN13" i="13"/>
  <c r="EN14" i="13" s="1"/>
  <c r="EN20" i="13"/>
  <c r="EO11" i="13"/>
  <c r="EO12" i="13" s="1"/>
  <c r="EM19" i="13"/>
  <c r="EN9" i="13"/>
  <c r="EN10" i="13" s="1"/>
  <c r="EM18" i="13"/>
  <c r="EM24" i="13" s="1"/>
  <c r="EN6" i="13"/>
  <c r="EN7" i="13" s="1"/>
  <c r="EN23" i="13"/>
  <c r="EN26" i="13"/>
  <c r="EN27" i="13" s="1"/>
  <c r="EO3" i="13"/>
  <c r="EL22" i="13"/>
  <c r="EM15" i="13"/>
  <c r="EM16" i="13" s="1"/>
  <c r="GK8" i="13"/>
  <c r="GL5" i="13"/>
  <c r="GL25" i="13" s="1"/>
  <c r="GM4" i="13"/>
  <c r="EN19" i="13" l="1"/>
  <c r="EO9" i="13"/>
  <c r="EO10" i="13" s="1"/>
  <c r="EM22" i="13"/>
  <c r="EN15" i="13"/>
  <c r="EN16" i="13" s="1"/>
  <c r="EO6" i="13"/>
  <c r="EO7" i="13" s="1"/>
  <c r="EN18" i="13"/>
  <c r="EN24" i="13" s="1"/>
  <c r="EO20" i="13"/>
  <c r="EP11" i="13"/>
  <c r="EP12" i="13" s="1"/>
  <c r="EO26" i="13"/>
  <c r="EO27" i="13" s="1"/>
  <c r="EO23" i="13"/>
  <c r="EP3" i="13"/>
  <c r="EN21" i="13"/>
  <c r="EO13" i="13"/>
  <c r="EO14" i="13" s="1"/>
  <c r="GL8" i="13"/>
  <c r="GM5" i="13"/>
  <c r="GM25" i="13" s="1"/>
  <c r="GN4" i="13"/>
  <c r="EO18" i="13" l="1"/>
  <c r="EO24" i="13" s="1"/>
  <c r="EP6" i="13"/>
  <c r="EP7" i="13" s="1"/>
  <c r="EN22" i="13"/>
  <c r="EO15" i="13"/>
  <c r="EO16" i="13" s="1"/>
  <c r="EO21" i="13"/>
  <c r="EP13" i="13"/>
  <c r="EP14" i="13" s="1"/>
  <c r="EP23" i="13"/>
  <c r="EQ3" i="13"/>
  <c r="EP26" i="13"/>
  <c r="EP27" i="13" s="1"/>
  <c r="EP20" i="13"/>
  <c r="EQ11" i="13"/>
  <c r="EQ12" i="13" s="1"/>
  <c r="EO19" i="13"/>
  <c r="EP9" i="13"/>
  <c r="EP10" i="13" s="1"/>
  <c r="GM8" i="13"/>
  <c r="GN5" i="13"/>
  <c r="GN25" i="13" s="1"/>
  <c r="GO4" i="13"/>
  <c r="EP21" i="13" l="1"/>
  <c r="EQ13" i="13"/>
  <c r="EQ14" i="13" s="1"/>
  <c r="EP19" i="13"/>
  <c r="EQ9" i="13"/>
  <c r="EQ10" i="13" s="1"/>
  <c r="EO22" i="13"/>
  <c r="EP15" i="13"/>
  <c r="EP16" i="13" s="1"/>
  <c r="EQ20" i="13"/>
  <c r="ER11" i="13"/>
  <c r="ER12" i="13" s="1"/>
  <c r="EQ23" i="13"/>
  <c r="ER3" i="13"/>
  <c r="EQ26" i="13"/>
  <c r="EQ27" i="13" s="1"/>
  <c r="EQ6" i="13"/>
  <c r="EQ7" i="13" s="1"/>
  <c r="EP18" i="13"/>
  <c r="EP24" i="13" s="1"/>
  <c r="GN8" i="13"/>
  <c r="GO5" i="13"/>
  <c r="GO25" i="13" s="1"/>
  <c r="GP4" i="13"/>
  <c r="ER20" i="13" l="1"/>
  <c r="ES11" i="13"/>
  <c r="ES12" i="13" s="1"/>
  <c r="EP22" i="13"/>
  <c r="EQ15" i="13"/>
  <c r="EQ16" i="13" s="1"/>
  <c r="ER6" i="13"/>
  <c r="ER7" i="13" s="1"/>
  <c r="EQ18" i="13"/>
  <c r="EQ24" i="13" s="1"/>
  <c r="EQ19" i="13"/>
  <c r="ER9" i="13"/>
  <c r="ER10" i="13" s="1"/>
  <c r="ER23" i="13"/>
  <c r="ES3" i="13"/>
  <c r="ER26" i="13"/>
  <c r="ER27" i="13" s="1"/>
  <c r="EQ21" i="13"/>
  <c r="ER13" i="13"/>
  <c r="ER14" i="13" s="1"/>
  <c r="GO8" i="13"/>
  <c r="GP5" i="13"/>
  <c r="GP25" i="13" s="1"/>
  <c r="GQ4" i="13"/>
  <c r="ER19" i="13" l="1"/>
  <c r="ES9" i="13"/>
  <c r="ES10" i="13" s="1"/>
  <c r="ER18" i="13"/>
  <c r="ER24" i="13" s="1"/>
  <c r="ES6" i="13"/>
  <c r="ES7" i="13" s="1"/>
  <c r="EQ22" i="13"/>
  <c r="ER15" i="13"/>
  <c r="ER16" i="13" s="1"/>
  <c r="ER21" i="13"/>
  <c r="ES13" i="13"/>
  <c r="ES14" i="13" s="1"/>
  <c r="ES23" i="13"/>
  <c r="ES26" i="13"/>
  <c r="ES27" i="13" s="1"/>
  <c r="ET3" i="13"/>
  <c r="ES20" i="13"/>
  <c r="ET11" i="13"/>
  <c r="ET12" i="13" s="1"/>
  <c r="GP8" i="13"/>
  <c r="GQ5" i="13"/>
  <c r="GQ25" i="13" s="1"/>
  <c r="GR4" i="13"/>
  <c r="ES21" i="13" l="1"/>
  <c r="ET13" i="13"/>
  <c r="ET14" i="13" s="1"/>
  <c r="ER22" i="13"/>
  <c r="ES15" i="13"/>
  <c r="ES16" i="13" s="1"/>
  <c r="ET20" i="13"/>
  <c r="EU11" i="13"/>
  <c r="EU12" i="13" s="1"/>
  <c r="ET6" i="13"/>
  <c r="ET7" i="13" s="1"/>
  <c r="ES18" i="13"/>
  <c r="ES24" i="13" s="1"/>
  <c r="ET23" i="13"/>
  <c r="EU3" i="13"/>
  <c r="ET26" i="13"/>
  <c r="ET27" i="13" s="1"/>
  <c r="ES19" i="13"/>
  <c r="ET9" i="13"/>
  <c r="ET10" i="13" s="1"/>
  <c r="GQ8" i="13"/>
  <c r="GR5" i="13"/>
  <c r="GR25" i="13" s="1"/>
  <c r="GS4" i="13"/>
  <c r="ET19" i="13" l="1"/>
  <c r="EU9" i="13"/>
  <c r="EU10" i="13" s="1"/>
  <c r="ES22" i="13"/>
  <c r="ET15" i="13"/>
  <c r="ET16" i="13" s="1"/>
  <c r="EU20" i="13"/>
  <c r="EV11" i="13"/>
  <c r="EV12" i="13" s="1"/>
  <c r="EU23" i="13"/>
  <c r="EV3" i="13"/>
  <c r="EU26" i="13"/>
  <c r="EU27" i="13" s="1"/>
  <c r="ET21" i="13"/>
  <c r="EU13" i="13"/>
  <c r="EU14" i="13" s="1"/>
  <c r="ET18" i="13"/>
  <c r="ET24" i="13" s="1"/>
  <c r="EU6" i="13"/>
  <c r="EU7" i="13" s="1"/>
  <c r="GR8" i="13"/>
  <c r="GS5" i="13"/>
  <c r="GS25" i="13" s="1"/>
  <c r="GT4" i="13"/>
  <c r="EV23" i="13" l="1"/>
  <c r="EW3" i="13"/>
  <c r="EV26" i="13"/>
  <c r="EV27" i="13" s="1"/>
  <c r="EV20" i="13"/>
  <c r="EW11" i="13"/>
  <c r="EW12" i="13" s="1"/>
  <c r="EV6" i="13"/>
  <c r="EV7" i="13" s="1"/>
  <c r="EU18" i="13"/>
  <c r="EU24" i="13" s="1"/>
  <c r="ET22" i="13"/>
  <c r="EU15" i="13"/>
  <c r="EU16" i="13" s="1"/>
  <c r="EU21" i="13"/>
  <c r="EV13" i="13"/>
  <c r="EV14" i="13" s="1"/>
  <c r="EU19" i="13"/>
  <c r="EV9" i="13"/>
  <c r="EV10" i="13" s="1"/>
  <c r="GS8" i="13"/>
  <c r="GT5" i="13"/>
  <c r="GT25" i="13" s="1"/>
  <c r="GU4" i="13"/>
  <c r="EV18" i="13" l="1"/>
  <c r="EV24" i="13" s="1"/>
  <c r="EW6" i="13"/>
  <c r="EW7" i="13" s="1"/>
  <c r="EV19" i="13"/>
  <c r="EW9" i="13"/>
  <c r="EW10" i="13" s="1"/>
  <c r="EW20" i="13"/>
  <c r="EX11" i="13"/>
  <c r="EX12" i="13" s="1"/>
  <c r="EV21" i="13"/>
  <c r="EW13" i="13"/>
  <c r="EW14" i="13" s="1"/>
  <c r="EW26" i="13"/>
  <c r="EW27" i="13" s="1"/>
  <c r="EW23" i="13"/>
  <c r="EX3" i="13"/>
  <c r="EU22" i="13"/>
  <c r="EV15" i="13"/>
  <c r="EV16" i="13" s="1"/>
  <c r="GT8" i="13"/>
  <c r="GU5" i="13"/>
  <c r="GU25" i="13" s="1"/>
  <c r="GV4" i="13"/>
  <c r="EW21" i="13" l="1"/>
  <c r="EX13" i="13"/>
  <c r="EX14" i="13" s="1"/>
  <c r="EX20" i="13"/>
  <c r="EY11" i="13"/>
  <c r="EY12" i="13" s="1"/>
  <c r="EV22" i="13"/>
  <c r="EW15" i="13"/>
  <c r="EW16" i="13" s="1"/>
  <c r="EW19" i="13"/>
  <c r="EX9" i="13"/>
  <c r="EX10" i="13" s="1"/>
  <c r="EX26" i="13"/>
  <c r="EX27" i="13" s="1"/>
  <c r="EX23" i="13"/>
  <c r="EY3" i="13"/>
  <c r="EW18" i="13"/>
  <c r="EW24" i="13" s="1"/>
  <c r="EX6" i="13"/>
  <c r="EX7" i="13" s="1"/>
  <c r="GU8" i="13"/>
  <c r="GV5" i="13"/>
  <c r="GV25" i="13" s="1"/>
  <c r="GW4" i="13"/>
  <c r="EX19" i="13" l="1"/>
  <c r="EY9" i="13"/>
  <c r="EY10" i="13" s="1"/>
  <c r="EW22" i="13"/>
  <c r="EX15" i="13"/>
  <c r="EX16" i="13" s="1"/>
  <c r="EX18" i="13"/>
  <c r="EX24" i="13" s="1"/>
  <c r="EY6" i="13"/>
  <c r="EY7" i="13" s="1"/>
  <c r="EY20" i="13"/>
  <c r="EZ11" i="13"/>
  <c r="EZ12" i="13" s="1"/>
  <c r="EZ3" i="13"/>
  <c r="EY23" i="13"/>
  <c r="EY26" i="13"/>
  <c r="EY27" i="13" s="1"/>
  <c r="EX21" i="13"/>
  <c r="EY13" i="13"/>
  <c r="EY14" i="13" s="1"/>
  <c r="GV8" i="13"/>
  <c r="GW5" i="13"/>
  <c r="GW25" i="13" s="1"/>
  <c r="GX4" i="13"/>
  <c r="EZ20" i="13" l="1"/>
  <c r="FA11" i="13"/>
  <c r="FA12" i="13" s="1"/>
  <c r="EZ6" i="13"/>
  <c r="EZ7" i="13" s="1"/>
  <c r="EY18" i="13"/>
  <c r="EY24" i="13" s="1"/>
  <c r="EY21" i="13"/>
  <c r="EZ13" i="13"/>
  <c r="EZ14" i="13" s="1"/>
  <c r="EX22" i="13"/>
  <c r="EY15" i="13"/>
  <c r="EY16" i="13" s="1"/>
  <c r="EY19" i="13"/>
  <c r="EZ9" i="13"/>
  <c r="EZ10" i="13" s="1"/>
  <c r="EZ23" i="13"/>
  <c r="EZ26" i="13"/>
  <c r="EZ27" i="13" s="1"/>
  <c r="FA3" i="13"/>
  <c r="GW8" i="13"/>
  <c r="GX5" i="13"/>
  <c r="GX25" i="13" s="1"/>
  <c r="GY4" i="13"/>
  <c r="EY22" i="13" l="1"/>
  <c r="EZ15" i="13"/>
  <c r="EZ16" i="13" s="1"/>
  <c r="EZ21" i="13"/>
  <c r="FA13" i="13"/>
  <c r="FA14" i="13" s="1"/>
  <c r="FA23" i="13"/>
  <c r="FB3" i="13"/>
  <c r="FA26" i="13"/>
  <c r="FA27" i="13" s="1"/>
  <c r="EZ18" i="13"/>
  <c r="EZ24" i="13" s="1"/>
  <c r="FA6" i="13"/>
  <c r="FA7" i="13" s="1"/>
  <c r="EZ19" i="13"/>
  <c r="FA9" i="13"/>
  <c r="FA10" i="13" s="1"/>
  <c r="FA20" i="13"/>
  <c r="FB11" i="13"/>
  <c r="FB12" i="13" s="1"/>
  <c r="GX8" i="13"/>
  <c r="GY5" i="13"/>
  <c r="GY25" i="13" s="1"/>
  <c r="GZ4" i="13"/>
  <c r="FB23" i="13" l="1"/>
  <c r="FC3" i="13"/>
  <c r="FB26" i="13"/>
  <c r="FB27" i="13" s="1"/>
  <c r="FB20" i="13"/>
  <c r="FC11" i="13"/>
  <c r="FC12" i="13" s="1"/>
  <c r="FA21" i="13"/>
  <c r="FB13" i="13"/>
  <c r="FB14" i="13" s="1"/>
  <c r="FA19" i="13"/>
  <c r="FB9" i="13"/>
  <c r="FB10" i="13" s="1"/>
  <c r="EZ22" i="13"/>
  <c r="FA15" i="13"/>
  <c r="FA16" i="13" s="1"/>
  <c r="FA18" i="13"/>
  <c r="FA24" i="13" s="1"/>
  <c r="FB6" i="13"/>
  <c r="FB7" i="13" s="1"/>
  <c r="GY8" i="13"/>
  <c r="GZ5" i="13"/>
  <c r="GZ25" i="13" s="1"/>
  <c r="HA4" i="13"/>
  <c r="FB21" i="13" l="1"/>
  <c r="FC13" i="13"/>
  <c r="FC14" i="13" s="1"/>
  <c r="FB18" i="13"/>
  <c r="FB24" i="13" s="1"/>
  <c r="FC6" i="13"/>
  <c r="FC7" i="13" s="1"/>
  <c r="FC20" i="13"/>
  <c r="FD11" i="13"/>
  <c r="FD12" i="13" s="1"/>
  <c r="FA22" i="13"/>
  <c r="FB15" i="13"/>
  <c r="FB16" i="13" s="1"/>
  <c r="FC26" i="13"/>
  <c r="FC27" i="13" s="1"/>
  <c r="FC23" i="13"/>
  <c r="FD3" i="13"/>
  <c r="FB19" i="13"/>
  <c r="FC9" i="13"/>
  <c r="FC10" i="13" s="1"/>
  <c r="GZ8" i="13"/>
  <c r="HA5" i="13"/>
  <c r="HA25" i="13" s="1"/>
  <c r="HB4" i="13"/>
  <c r="FB22" i="13" l="1"/>
  <c r="FC15" i="13"/>
  <c r="FC16" i="13" s="1"/>
  <c r="FC19" i="13"/>
  <c r="FD9" i="13"/>
  <c r="FD10" i="13" s="1"/>
  <c r="FD20" i="13"/>
  <c r="FE11" i="13"/>
  <c r="FE12" i="13" s="1"/>
  <c r="FD6" i="13"/>
  <c r="FD7" i="13" s="1"/>
  <c r="FC18" i="13"/>
  <c r="FC24" i="13" s="1"/>
  <c r="FC21" i="13"/>
  <c r="FD13" i="13"/>
  <c r="FD14" i="13" s="1"/>
  <c r="FD23" i="13"/>
  <c r="FE3" i="13"/>
  <c r="FD26" i="13"/>
  <c r="FD27" i="13" s="1"/>
  <c r="HA8" i="13"/>
  <c r="HC4" i="13"/>
  <c r="HB5" i="13"/>
  <c r="HB25" i="13" s="1"/>
  <c r="FE6" i="13" l="1"/>
  <c r="FE7" i="13" s="1"/>
  <c r="FD18" i="13"/>
  <c r="FD24" i="13" s="1"/>
  <c r="FE20" i="13"/>
  <c r="FF11" i="13"/>
  <c r="FF12" i="13" s="1"/>
  <c r="FE23" i="13"/>
  <c r="FE26" i="13"/>
  <c r="FE27" i="13" s="1"/>
  <c r="FF3" i="13"/>
  <c r="FD19" i="13"/>
  <c r="FE9" i="13"/>
  <c r="FE10" i="13" s="1"/>
  <c r="FD21" i="13"/>
  <c r="FE13" i="13"/>
  <c r="FE14" i="13" s="1"/>
  <c r="FC22" i="13"/>
  <c r="FD15" i="13"/>
  <c r="FD16" i="13" s="1"/>
  <c r="HB8" i="13"/>
  <c r="HD4" i="13"/>
  <c r="HC5" i="13"/>
  <c r="HC25" i="13" s="1"/>
  <c r="FF26" i="13" l="1"/>
  <c r="FF27" i="13" s="1"/>
  <c r="FF23" i="13"/>
  <c r="FG3" i="13"/>
  <c r="FD22" i="13"/>
  <c r="FE15" i="13"/>
  <c r="FE16" i="13" s="1"/>
  <c r="FF20" i="13"/>
  <c r="FG11" i="13"/>
  <c r="FG12" i="13" s="1"/>
  <c r="FE21" i="13"/>
  <c r="FF13" i="13"/>
  <c r="FF14" i="13" s="1"/>
  <c r="FE19" i="13"/>
  <c r="FF9" i="13"/>
  <c r="FF10" i="13" s="1"/>
  <c r="FF6" i="13"/>
  <c r="FF7" i="13" s="1"/>
  <c r="FE18" i="13"/>
  <c r="FE24" i="13" s="1"/>
  <c r="HC8" i="13"/>
  <c r="HD5" i="13"/>
  <c r="HD25" i="13" s="1"/>
  <c r="HE4" i="13"/>
  <c r="FE22" i="13" l="1"/>
  <c r="FF15" i="13"/>
  <c r="FF16" i="13" s="1"/>
  <c r="FG6" i="13"/>
  <c r="FG7" i="13" s="1"/>
  <c r="FF18" i="13"/>
  <c r="FF24" i="13" s="1"/>
  <c r="FF19" i="13"/>
  <c r="FG9" i="13"/>
  <c r="FG10" i="13" s="1"/>
  <c r="FG26" i="13"/>
  <c r="FG27" i="13" s="1"/>
  <c r="FG23" i="13"/>
  <c r="FH3" i="13"/>
  <c r="FG20" i="13"/>
  <c r="FH11" i="13"/>
  <c r="FH12" i="13" s="1"/>
  <c r="FF21" i="13"/>
  <c r="FG13" i="13"/>
  <c r="FG14" i="13" s="1"/>
  <c r="HD8" i="13"/>
  <c r="HE5" i="13"/>
  <c r="HE25" i="13" s="1"/>
  <c r="HF4" i="13"/>
  <c r="FG19" i="13" l="1"/>
  <c r="FH9" i="13"/>
  <c r="FH10" i="13" s="1"/>
  <c r="FG21" i="13"/>
  <c r="FH13" i="13"/>
  <c r="FH14" i="13" s="1"/>
  <c r="FG18" i="13"/>
  <c r="FG24" i="13" s="1"/>
  <c r="FH6" i="13"/>
  <c r="FH7" i="13" s="1"/>
  <c r="FF22" i="13"/>
  <c r="FG15" i="13"/>
  <c r="FG16" i="13" s="1"/>
  <c r="FH20" i="13"/>
  <c r="FI11" i="13"/>
  <c r="FI12" i="13" s="1"/>
  <c r="FH23" i="13"/>
  <c r="FH26" i="13"/>
  <c r="FH27" i="13" s="1"/>
  <c r="FI3" i="13"/>
  <c r="HE8" i="13"/>
  <c r="HF5" i="13"/>
  <c r="HF25" i="13" s="1"/>
  <c r="HG4" i="13"/>
  <c r="FG22" i="13" l="1"/>
  <c r="FH15" i="13"/>
  <c r="FH16" i="13" s="1"/>
  <c r="FI6" i="13"/>
  <c r="FI7" i="13" s="1"/>
  <c r="FH18" i="13"/>
  <c r="FH24" i="13" s="1"/>
  <c r="FI23" i="13"/>
  <c r="FJ3" i="13"/>
  <c r="FI26" i="13"/>
  <c r="FI27" i="13" s="1"/>
  <c r="FH21" i="13"/>
  <c r="FI13" i="13"/>
  <c r="FI14" i="13" s="1"/>
  <c r="FI20" i="13"/>
  <c r="FJ11" i="13"/>
  <c r="FJ12" i="13" s="1"/>
  <c r="FH19" i="13"/>
  <c r="FI9" i="13"/>
  <c r="FI10" i="13" s="1"/>
  <c r="HF8" i="13"/>
  <c r="HG5" i="13"/>
  <c r="HG25" i="13" s="1"/>
  <c r="HH4" i="13"/>
  <c r="FK3" i="13" l="1"/>
  <c r="FJ23" i="13"/>
  <c r="FJ26" i="13"/>
  <c r="FJ27" i="13" s="1"/>
  <c r="FI19" i="13"/>
  <c r="FJ9" i="13"/>
  <c r="FJ10" i="13" s="1"/>
  <c r="FI18" i="13"/>
  <c r="FI24" i="13" s="1"/>
  <c r="FJ6" i="13"/>
  <c r="FJ7" i="13" s="1"/>
  <c r="FJ20" i="13"/>
  <c r="FK11" i="13"/>
  <c r="FK12" i="13" s="1"/>
  <c r="FH22" i="13"/>
  <c r="FI15" i="13"/>
  <c r="FI16" i="13" s="1"/>
  <c r="FI21" i="13"/>
  <c r="FJ13" i="13"/>
  <c r="FJ14" i="13" s="1"/>
  <c r="HG8" i="13"/>
  <c r="HH5" i="13"/>
  <c r="HH25" i="13" s="1"/>
  <c r="HI4" i="13"/>
  <c r="FJ18" i="13" l="1"/>
  <c r="FJ24" i="13" s="1"/>
  <c r="FK6" i="13"/>
  <c r="FK7" i="13" s="1"/>
  <c r="FJ21" i="13"/>
  <c r="FK13" i="13"/>
  <c r="FK14" i="13" s="1"/>
  <c r="FJ19" i="13"/>
  <c r="FK9" i="13"/>
  <c r="FK10" i="13" s="1"/>
  <c r="FI22" i="13"/>
  <c r="FJ15" i="13"/>
  <c r="FJ16" i="13" s="1"/>
  <c r="FK20" i="13"/>
  <c r="FL11" i="13"/>
  <c r="FL12" i="13" s="1"/>
  <c r="FK23" i="13"/>
  <c r="FL3" i="13"/>
  <c r="FK26" i="13"/>
  <c r="FK27" i="13" s="1"/>
  <c r="HH8" i="13"/>
  <c r="HI5" i="13"/>
  <c r="HI25" i="13" s="1"/>
  <c r="HJ4" i="13"/>
  <c r="FJ22" i="13" l="1"/>
  <c r="FK15" i="13"/>
  <c r="FK16" i="13" s="1"/>
  <c r="FK19" i="13"/>
  <c r="FL9" i="13"/>
  <c r="FL10" i="13" s="1"/>
  <c r="FL23" i="13"/>
  <c r="FM3" i="13"/>
  <c r="FL26" i="13"/>
  <c r="FL27" i="13" s="1"/>
  <c r="FK21" i="13"/>
  <c r="FL13" i="13"/>
  <c r="FL14" i="13" s="1"/>
  <c r="FL20" i="13"/>
  <c r="FM11" i="13"/>
  <c r="FM12" i="13" s="1"/>
  <c r="FK18" i="13"/>
  <c r="FK24" i="13" s="1"/>
  <c r="FL6" i="13"/>
  <c r="FL7" i="13" s="1"/>
  <c r="HI8" i="13"/>
  <c r="HJ5" i="13"/>
  <c r="HJ25" i="13" s="1"/>
  <c r="HK4" i="13"/>
  <c r="FM26" i="13" l="1"/>
  <c r="FM27" i="13" s="1"/>
  <c r="FM23" i="13"/>
  <c r="FN3" i="13"/>
  <c r="FL18" i="13"/>
  <c r="FL24" i="13" s="1"/>
  <c r="FM6" i="13"/>
  <c r="FM7" i="13" s="1"/>
  <c r="FL19" i="13"/>
  <c r="FM9" i="13"/>
  <c r="FM10" i="13" s="1"/>
  <c r="FM20" i="13"/>
  <c r="FN11" i="13"/>
  <c r="FN12" i="13" s="1"/>
  <c r="FK22" i="13"/>
  <c r="FL15" i="13"/>
  <c r="FL16" i="13" s="1"/>
  <c r="FL21" i="13"/>
  <c r="FM13" i="13"/>
  <c r="FM14" i="13" s="1"/>
  <c r="HJ8" i="13"/>
  <c r="HK5" i="13"/>
  <c r="HK25" i="13" s="1"/>
  <c r="HL4" i="13"/>
  <c r="FM19" i="13" l="1"/>
  <c r="FN9" i="13"/>
  <c r="FN10" i="13" s="1"/>
  <c r="FM21" i="13"/>
  <c r="FN13" i="13"/>
  <c r="FN14" i="13" s="1"/>
  <c r="FN6" i="13"/>
  <c r="FN7" i="13" s="1"/>
  <c r="FM18" i="13"/>
  <c r="FM24" i="13" s="1"/>
  <c r="FO3" i="13"/>
  <c r="FN26" i="13"/>
  <c r="FN27" i="13" s="1"/>
  <c r="FN23" i="13"/>
  <c r="FL22" i="13"/>
  <c r="FM15" i="13"/>
  <c r="FM16" i="13" s="1"/>
  <c r="FN20" i="13"/>
  <c r="FO11" i="13"/>
  <c r="FO12" i="13" s="1"/>
  <c r="HK8" i="13"/>
  <c r="HL5" i="13"/>
  <c r="HL25" i="13" s="1"/>
  <c r="HM4" i="13"/>
  <c r="FO23" i="13" l="1"/>
  <c r="FP3" i="13"/>
  <c r="FO26" i="13"/>
  <c r="FO27" i="13" s="1"/>
  <c r="FO20" i="13"/>
  <c r="FP11" i="13"/>
  <c r="FP12" i="13" s="1"/>
  <c r="FO6" i="13"/>
  <c r="FO7" i="13" s="1"/>
  <c r="FN18" i="13"/>
  <c r="FN24" i="13" s="1"/>
  <c r="FN21" i="13"/>
  <c r="FO13" i="13"/>
  <c r="FO14" i="13" s="1"/>
  <c r="FM22" i="13"/>
  <c r="FN15" i="13"/>
  <c r="FN16" i="13" s="1"/>
  <c r="FN19" i="13"/>
  <c r="FO9" i="13"/>
  <c r="FO10" i="13" s="1"/>
  <c r="HL8" i="13"/>
  <c r="HM5" i="13"/>
  <c r="HM25" i="13" s="1"/>
  <c r="HN4" i="13"/>
  <c r="FP6" i="13" l="1"/>
  <c r="FP7" i="13" s="1"/>
  <c r="FO18" i="13"/>
  <c r="FO24" i="13" s="1"/>
  <c r="FO19" i="13"/>
  <c r="FP9" i="13"/>
  <c r="FP10" i="13" s="1"/>
  <c r="FP20" i="13"/>
  <c r="FQ11" i="13"/>
  <c r="FQ12" i="13" s="1"/>
  <c r="FN22" i="13"/>
  <c r="FO15" i="13"/>
  <c r="FO16" i="13" s="1"/>
  <c r="FP23" i="13"/>
  <c r="FQ3" i="13"/>
  <c r="FP26" i="13"/>
  <c r="FP27" i="13" s="1"/>
  <c r="FO21" i="13"/>
  <c r="FP13" i="13"/>
  <c r="FP14" i="13" s="1"/>
  <c r="HM8" i="13"/>
  <c r="HN5" i="13"/>
  <c r="HN25" i="13" s="1"/>
  <c r="HO4" i="13"/>
  <c r="FO22" i="13" l="1"/>
  <c r="FP15" i="13"/>
  <c r="FP16" i="13" s="1"/>
  <c r="FQ20" i="13"/>
  <c r="FR11" i="13"/>
  <c r="FR12" i="13" s="1"/>
  <c r="FP21" i="13"/>
  <c r="FQ13" i="13"/>
  <c r="FQ14" i="13" s="1"/>
  <c r="FP19" i="13"/>
  <c r="FQ9" i="13"/>
  <c r="FQ10" i="13" s="1"/>
  <c r="FQ23" i="13"/>
  <c r="FR3" i="13"/>
  <c r="FQ26" i="13"/>
  <c r="FQ27" i="13" s="1"/>
  <c r="FQ6" i="13"/>
  <c r="FQ7" i="13" s="1"/>
  <c r="FP18" i="13"/>
  <c r="FP24" i="13" s="1"/>
  <c r="HN8" i="13"/>
  <c r="HO5" i="13"/>
  <c r="HO25" i="13" s="1"/>
  <c r="HP4" i="13"/>
  <c r="FQ19" i="13" l="1"/>
  <c r="FR9" i="13"/>
  <c r="FR10" i="13" s="1"/>
  <c r="FQ21" i="13"/>
  <c r="FR13" i="13"/>
  <c r="FR14" i="13" s="1"/>
  <c r="FR20" i="13"/>
  <c r="FS11" i="13"/>
  <c r="FS12" i="13" s="1"/>
  <c r="FR23" i="13"/>
  <c r="FR26" i="13"/>
  <c r="FR27" i="13" s="1"/>
  <c r="FS3" i="13"/>
  <c r="FP22" i="13"/>
  <c r="FQ15" i="13"/>
  <c r="FQ16" i="13" s="1"/>
  <c r="FQ18" i="13"/>
  <c r="FQ24" i="13" s="1"/>
  <c r="FR6" i="13"/>
  <c r="FR7" i="13" s="1"/>
  <c r="HO8" i="13"/>
  <c r="HP5" i="13"/>
  <c r="HP25" i="13" s="1"/>
  <c r="HQ4" i="13"/>
  <c r="FS20" i="13" l="1"/>
  <c r="FT11" i="13"/>
  <c r="FT12" i="13" s="1"/>
  <c r="FS6" i="13"/>
  <c r="FS7" i="13" s="1"/>
  <c r="FR18" i="13"/>
  <c r="FR24" i="13" s="1"/>
  <c r="FR21" i="13"/>
  <c r="FS13" i="13"/>
  <c r="FS14" i="13" s="1"/>
  <c r="FQ22" i="13"/>
  <c r="FR15" i="13"/>
  <c r="FR16" i="13" s="1"/>
  <c r="FR19" i="13"/>
  <c r="FS9" i="13"/>
  <c r="FS10" i="13" s="1"/>
  <c r="FT3" i="13"/>
  <c r="FS23" i="13"/>
  <c r="FS26" i="13"/>
  <c r="FS27" i="13" s="1"/>
  <c r="HP8" i="13"/>
  <c r="HQ5" i="13"/>
  <c r="HQ25" i="13" s="1"/>
  <c r="HR4" i="13"/>
  <c r="FR22" i="13" l="1"/>
  <c r="FS15" i="13"/>
  <c r="FS16" i="13" s="1"/>
  <c r="FS21" i="13"/>
  <c r="FT13" i="13"/>
  <c r="FT14" i="13" s="1"/>
  <c r="FU3" i="13"/>
  <c r="FT23" i="13"/>
  <c r="FT26" i="13"/>
  <c r="FT27" i="13" s="1"/>
  <c r="FT6" i="13"/>
  <c r="FT7" i="13" s="1"/>
  <c r="FS18" i="13"/>
  <c r="FS24" i="13" s="1"/>
  <c r="FT20" i="13"/>
  <c r="FU11" i="13"/>
  <c r="FU12" i="13" s="1"/>
  <c r="FS19" i="13"/>
  <c r="FT9" i="13"/>
  <c r="FT10" i="13" s="1"/>
  <c r="HQ8" i="13"/>
  <c r="HR5" i="13"/>
  <c r="HR25" i="13" s="1"/>
  <c r="HS4" i="13"/>
  <c r="FU6" i="13" l="1"/>
  <c r="FU7" i="13" s="1"/>
  <c r="FT18" i="13"/>
  <c r="FT24" i="13" s="1"/>
  <c r="FT19" i="13"/>
  <c r="FU9" i="13"/>
  <c r="FU10" i="13" s="1"/>
  <c r="FU23" i="13"/>
  <c r="FV3" i="13"/>
  <c r="FU26" i="13"/>
  <c r="FU27" i="13" s="1"/>
  <c r="FT21" i="13"/>
  <c r="FU13" i="13"/>
  <c r="FU14" i="13" s="1"/>
  <c r="FU20" i="13"/>
  <c r="FV11" i="13"/>
  <c r="FV12" i="13" s="1"/>
  <c r="FS22" i="13"/>
  <c r="FT15" i="13"/>
  <c r="FT16" i="13" s="1"/>
  <c r="HR8" i="13"/>
  <c r="HS5" i="13"/>
  <c r="HS25" i="13" s="1"/>
  <c r="HT4" i="13"/>
  <c r="FV23" i="13" l="1"/>
  <c r="FW3" i="13"/>
  <c r="FV26" i="13"/>
  <c r="FV27" i="13" s="1"/>
  <c r="FT22" i="13"/>
  <c r="FU15" i="13"/>
  <c r="FU16" i="13" s="1"/>
  <c r="FU19" i="13"/>
  <c r="FV9" i="13"/>
  <c r="FV10" i="13" s="1"/>
  <c r="FV20" i="13"/>
  <c r="FW11" i="13"/>
  <c r="FW12" i="13" s="1"/>
  <c r="FU21" i="13"/>
  <c r="FV13" i="13"/>
  <c r="FV14" i="13" s="1"/>
  <c r="FU18" i="13"/>
  <c r="FU24" i="13" s="1"/>
  <c r="FV6" i="13"/>
  <c r="FV7" i="13" s="1"/>
  <c r="HS8" i="13"/>
  <c r="HT5" i="13"/>
  <c r="HT25" i="13" s="1"/>
  <c r="HU4" i="13"/>
  <c r="FV19" i="13" l="1"/>
  <c r="FW9" i="13"/>
  <c r="FW10" i="13" s="1"/>
  <c r="FV18" i="13"/>
  <c r="FV24" i="13" s="1"/>
  <c r="FW6" i="13"/>
  <c r="FW7" i="13" s="1"/>
  <c r="FU22" i="13"/>
  <c r="FV15" i="13"/>
  <c r="FV16" i="13" s="1"/>
  <c r="FV21" i="13"/>
  <c r="FW13" i="13"/>
  <c r="FW14" i="13" s="1"/>
  <c r="FW23" i="13"/>
  <c r="FX3" i="13"/>
  <c r="FW26" i="13"/>
  <c r="FW27" i="13" s="1"/>
  <c r="FW20" i="13"/>
  <c r="FX11" i="13"/>
  <c r="FX12" i="13" s="1"/>
  <c r="HT8" i="13"/>
  <c r="HU5" i="13"/>
  <c r="HU25" i="13" s="1"/>
  <c r="HV4" i="13"/>
  <c r="FW21" i="13" l="1"/>
  <c r="FX13" i="13"/>
  <c r="FX14" i="13" s="1"/>
  <c r="FV22" i="13"/>
  <c r="FW15" i="13"/>
  <c r="FW16" i="13" s="1"/>
  <c r="FX20" i="13"/>
  <c r="FY11" i="13"/>
  <c r="FY12" i="13" s="1"/>
  <c r="FX6" i="13"/>
  <c r="FX7" i="13" s="1"/>
  <c r="FW18" i="13"/>
  <c r="FW24" i="13" s="1"/>
  <c r="FX26" i="13"/>
  <c r="FX27" i="13" s="1"/>
  <c r="FX23" i="13"/>
  <c r="FY3" i="13"/>
  <c r="FW19" i="13"/>
  <c r="FX9" i="13"/>
  <c r="FX10" i="13" s="1"/>
  <c r="HU8" i="13"/>
  <c r="HV5" i="13"/>
  <c r="HV25" i="13" s="1"/>
  <c r="HW4" i="13"/>
  <c r="FY6" i="13" l="1"/>
  <c r="FY7" i="13" s="1"/>
  <c r="FX18" i="13"/>
  <c r="FX24" i="13" s="1"/>
  <c r="FY20" i="13"/>
  <c r="FZ11" i="13"/>
  <c r="FZ12" i="13" s="1"/>
  <c r="FX19" i="13"/>
  <c r="FY9" i="13"/>
  <c r="FY10" i="13" s="1"/>
  <c r="FW22" i="13"/>
  <c r="FX15" i="13"/>
  <c r="FX16" i="13" s="1"/>
  <c r="FY23" i="13"/>
  <c r="FZ3" i="13"/>
  <c r="FY26" i="13"/>
  <c r="FY27" i="13" s="1"/>
  <c r="FX21" i="13"/>
  <c r="FY13" i="13"/>
  <c r="FY14" i="13" s="1"/>
  <c r="HV8" i="13"/>
  <c r="HW5" i="13"/>
  <c r="HW25" i="13" s="1"/>
  <c r="HX4" i="13"/>
  <c r="FX22" i="13" l="1"/>
  <c r="FY15" i="13"/>
  <c r="FY16" i="13" s="1"/>
  <c r="FY19" i="13"/>
  <c r="FZ9" i="13"/>
  <c r="FZ10" i="13" s="1"/>
  <c r="FY21" i="13"/>
  <c r="FZ13" i="13"/>
  <c r="FZ14" i="13" s="1"/>
  <c r="FZ20" i="13"/>
  <c r="GA11" i="13"/>
  <c r="GA12" i="13" s="1"/>
  <c r="FZ23" i="13"/>
  <c r="GA3" i="13"/>
  <c r="FZ26" i="13"/>
  <c r="FZ27" i="13" s="1"/>
  <c r="FZ6" i="13"/>
  <c r="FZ7" i="13" s="1"/>
  <c r="FY18" i="13"/>
  <c r="FY24" i="13" s="1"/>
  <c r="HW8" i="13"/>
  <c r="HX5" i="13"/>
  <c r="HX25" i="13" s="1"/>
  <c r="HY4" i="13"/>
  <c r="GA20" i="13" l="1"/>
  <c r="GB11" i="13"/>
  <c r="GB12" i="13" s="1"/>
  <c r="FZ21" i="13"/>
  <c r="GA13" i="13"/>
  <c r="GA14" i="13" s="1"/>
  <c r="FZ19" i="13"/>
  <c r="GA9" i="13"/>
  <c r="GA10" i="13" s="1"/>
  <c r="GA23" i="13"/>
  <c r="GB3" i="13"/>
  <c r="GA26" i="13"/>
  <c r="GA27" i="13" s="1"/>
  <c r="FY22" i="13"/>
  <c r="FZ15" i="13"/>
  <c r="FZ16" i="13" s="1"/>
  <c r="GA6" i="13"/>
  <c r="GA7" i="13" s="1"/>
  <c r="FZ18" i="13"/>
  <c r="FZ24" i="13" s="1"/>
  <c r="HX8" i="13"/>
  <c r="HY5" i="13"/>
  <c r="HY25" i="13" s="1"/>
  <c r="HZ4" i="13"/>
  <c r="GB23" i="13" l="1"/>
  <c r="GC3" i="13"/>
  <c r="GB26" i="13"/>
  <c r="GB27" i="13" s="1"/>
  <c r="GA19" i="13"/>
  <c r="GB9" i="13"/>
  <c r="GB10" i="13" s="1"/>
  <c r="GA21" i="13"/>
  <c r="GB13" i="13"/>
  <c r="GB14" i="13" s="1"/>
  <c r="GA18" i="13"/>
  <c r="GA24" i="13" s="1"/>
  <c r="GB6" i="13"/>
  <c r="GB7" i="13" s="1"/>
  <c r="FZ22" i="13"/>
  <c r="GA15" i="13"/>
  <c r="GA16" i="13" s="1"/>
  <c r="GB20" i="13"/>
  <c r="GC11" i="13"/>
  <c r="GC12" i="13" s="1"/>
  <c r="HY8" i="13"/>
  <c r="HZ5" i="13"/>
  <c r="HZ25" i="13" s="1"/>
  <c r="IA4" i="13"/>
  <c r="GB21" i="13" l="1"/>
  <c r="GC13" i="13"/>
  <c r="GC14" i="13" s="1"/>
  <c r="GC20" i="13"/>
  <c r="GD11" i="13"/>
  <c r="GD12" i="13" s="1"/>
  <c r="GB19" i="13"/>
  <c r="GC9" i="13"/>
  <c r="GC10" i="13" s="1"/>
  <c r="GA22" i="13"/>
  <c r="GB15" i="13"/>
  <c r="GB16" i="13" s="1"/>
  <c r="GD3" i="13"/>
  <c r="GC26" i="13"/>
  <c r="GC27" i="13" s="1"/>
  <c r="GC23" i="13"/>
  <c r="GB18" i="13"/>
  <c r="GB24" i="13" s="1"/>
  <c r="GC6" i="13"/>
  <c r="GC7" i="13" s="1"/>
  <c r="HZ8" i="13"/>
  <c r="IA5" i="13"/>
  <c r="IA25" i="13" s="1"/>
  <c r="IB4" i="13"/>
  <c r="GB22" i="13" l="1"/>
  <c r="GC15" i="13"/>
  <c r="GC16" i="13" s="1"/>
  <c r="GC19" i="13"/>
  <c r="GD9" i="13"/>
  <c r="GD10" i="13" s="1"/>
  <c r="GD6" i="13"/>
  <c r="GD7" i="13" s="1"/>
  <c r="GC18" i="13"/>
  <c r="GC24" i="13" s="1"/>
  <c r="GD20" i="13"/>
  <c r="GE11" i="13"/>
  <c r="GE12" i="13" s="1"/>
  <c r="GC21" i="13"/>
  <c r="GD13" i="13"/>
  <c r="GD14" i="13" s="1"/>
  <c r="GE3" i="13"/>
  <c r="GD23" i="13"/>
  <c r="GD26" i="13"/>
  <c r="GD27" i="13" s="1"/>
  <c r="IA8" i="13"/>
  <c r="IB5" i="13"/>
  <c r="IB25" i="13" s="1"/>
  <c r="IC4" i="13"/>
  <c r="GE20" i="13" l="1"/>
  <c r="GF11" i="13"/>
  <c r="GF12" i="13" s="1"/>
  <c r="GE6" i="13"/>
  <c r="GE7" i="13" s="1"/>
  <c r="GD18" i="13"/>
  <c r="GD24" i="13" s="1"/>
  <c r="GD19" i="13"/>
  <c r="GE9" i="13"/>
  <c r="GE10" i="13" s="1"/>
  <c r="GE23" i="13"/>
  <c r="GF3" i="13"/>
  <c r="GE26" i="13"/>
  <c r="GE27" i="13" s="1"/>
  <c r="GD21" i="13"/>
  <c r="GE13" i="13"/>
  <c r="GE14" i="13" s="1"/>
  <c r="GC22" i="13"/>
  <c r="GD15" i="13"/>
  <c r="GD16" i="13" s="1"/>
  <c r="IB8" i="13"/>
  <c r="IC5" i="13"/>
  <c r="IC25" i="13" s="1"/>
  <c r="ID4" i="13"/>
  <c r="GF23" i="13" l="1"/>
  <c r="GG3" i="13"/>
  <c r="GF26" i="13"/>
  <c r="GF27" i="13" s="1"/>
  <c r="GE19" i="13"/>
  <c r="GF9" i="13"/>
  <c r="GF10" i="13" s="1"/>
  <c r="GD22" i="13"/>
  <c r="GE15" i="13"/>
  <c r="GE16" i="13" s="1"/>
  <c r="GE21" i="13"/>
  <c r="GF13" i="13"/>
  <c r="GF14" i="13" s="1"/>
  <c r="GF6" i="13"/>
  <c r="GF7" i="13" s="1"/>
  <c r="GE18" i="13"/>
  <c r="GE24" i="13" s="1"/>
  <c r="GF20" i="13"/>
  <c r="GG11" i="13"/>
  <c r="GG12" i="13" s="1"/>
  <c r="IC8" i="13"/>
  <c r="ID5" i="13"/>
  <c r="ID25" i="13" s="1"/>
  <c r="IE4" i="13"/>
  <c r="GE22" i="13" l="1"/>
  <c r="GF15" i="13"/>
  <c r="GF16" i="13" s="1"/>
  <c r="GG20" i="13"/>
  <c r="GH11" i="13"/>
  <c r="GH12" i="13" s="1"/>
  <c r="GF19" i="13"/>
  <c r="GG9" i="13"/>
  <c r="GG10" i="13" s="1"/>
  <c r="GG6" i="13"/>
  <c r="GG7" i="13" s="1"/>
  <c r="GF18" i="13"/>
  <c r="GF24" i="13" s="1"/>
  <c r="GG23" i="13"/>
  <c r="GH3" i="13"/>
  <c r="GG26" i="13"/>
  <c r="GG27" i="13" s="1"/>
  <c r="GF21" i="13"/>
  <c r="GG13" i="13"/>
  <c r="GG14" i="13" s="1"/>
  <c r="ID8" i="13"/>
  <c r="IE5" i="13"/>
  <c r="IE25" i="13" s="1"/>
  <c r="IF4" i="13"/>
  <c r="GG18" i="13" l="1"/>
  <c r="GG24" i="13" s="1"/>
  <c r="GH6" i="13"/>
  <c r="GH7" i="13" s="1"/>
  <c r="GG19" i="13"/>
  <c r="GH9" i="13"/>
  <c r="GH10" i="13" s="1"/>
  <c r="GG21" i="13"/>
  <c r="GH13" i="13"/>
  <c r="GH14" i="13" s="1"/>
  <c r="GH20" i="13"/>
  <c r="GI11" i="13"/>
  <c r="GI12" i="13" s="1"/>
  <c r="GH23" i="13"/>
  <c r="GI3" i="13"/>
  <c r="GH26" i="13"/>
  <c r="GH27" i="13" s="1"/>
  <c r="GF22" i="13"/>
  <c r="GG15" i="13"/>
  <c r="GG16" i="13" s="1"/>
  <c r="IE8" i="13"/>
  <c r="IF5" i="13"/>
  <c r="IF25" i="13" s="1"/>
  <c r="IG4" i="13"/>
  <c r="GI20" i="13" l="1"/>
  <c r="GJ11" i="13"/>
  <c r="GJ12" i="13" s="1"/>
  <c r="GH21" i="13"/>
  <c r="GI13" i="13"/>
  <c r="GI14" i="13" s="1"/>
  <c r="GG22" i="13"/>
  <c r="GH15" i="13"/>
  <c r="GH16" i="13" s="1"/>
  <c r="GH19" i="13"/>
  <c r="GI9" i="13"/>
  <c r="GI10" i="13" s="1"/>
  <c r="GI23" i="13"/>
  <c r="GJ3" i="13"/>
  <c r="GI26" i="13"/>
  <c r="GI27" i="13" s="1"/>
  <c r="GH18" i="13"/>
  <c r="GH24" i="13" s="1"/>
  <c r="GI6" i="13"/>
  <c r="GI7" i="13" s="1"/>
  <c r="IF8" i="13"/>
  <c r="IG5" i="13"/>
  <c r="IG25" i="13" s="1"/>
  <c r="IH4" i="13"/>
  <c r="GI19" i="13" l="1"/>
  <c r="GJ9" i="13"/>
  <c r="GJ10" i="13" s="1"/>
  <c r="GH22" i="13"/>
  <c r="GI15" i="13"/>
  <c r="GI16" i="13" s="1"/>
  <c r="GJ6" i="13"/>
  <c r="GJ7" i="13" s="1"/>
  <c r="GI18" i="13"/>
  <c r="GI24" i="13" s="1"/>
  <c r="GI21" i="13"/>
  <c r="GJ13" i="13"/>
  <c r="GJ14" i="13" s="1"/>
  <c r="GJ23" i="13"/>
  <c r="GK3" i="13"/>
  <c r="GJ26" i="13"/>
  <c r="GJ27" i="13" s="1"/>
  <c r="GJ20" i="13"/>
  <c r="GK11" i="13"/>
  <c r="GK12" i="13" s="1"/>
  <c r="IG8" i="13"/>
  <c r="IH5" i="13"/>
  <c r="IH25" i="13" s="1"/>
  <c r="II4" i="13"/>
  <c r="GJ21" i="13" l="1"/>
  <c r="GK13" i="13"/>
  <c r="GK14" i="13" s="1"/>
  <c r="GK20" i="13"/>
  <c r="GL11" i="13"/>
  <c r="GL12" i="13" s="1"/>
  <c r="GJ18" i="13"/>
  <c r="GJ24" i="13" s="1"/>
  <c r="GK6" i="13"/>
  <c r="GK7" i="13" s="1"/>
  <c r="GI22" i="13"/>
  <c r="GJ15" i="13"/>
  <c r="GJ16" i="13" s="1"/>
  <c r="GK26" i="13"/>
  <c r="GK27" i="13" s="1"/>
  <c r="GK23" i="13"/>
  <c r="GL3" i="13"/>
  <c r="GJ19" i="13"/>
  <c r="GK9" i="13"/>
  <c r="GK10" i="13" s="1"/>
  <c r="IH8" i="13"/>
  <c r="II5" i="13"/>
  <c r="II25" i="13" s="1"/>
  <c r="IJ4" i="13"/>
  <c r="GJ22" i="13" l="1"/>
  <c r="GK15" i="13"/>
  <c r="GK16" i="13" s="1"/>
  <c r="GL6" i="13"/>
  <c r="GL7" i="13" s="1"/>
  <c r="GK18" i="13"/>
  <c r="GK24" i="13" s="1"/>
  <c r="GK19" i="13"/>
  <c r="GL9" i="13"/>
  <c r="GL10" i="13" s="1"/>
  <c r="GL20" i="13"/>
  <c r="GM11" i="13"/>
  <c r="GM12" i="13" s="1"/>
  <c r="GL23" i="13"/>
  <c r="GL26" i="13"/>
  <c r="GL27" i="13" s="1"/>
  <c r="GM3" i="13"/>
  <c r="GK21" i="13"/>
  <c r="GL13" i="13"/>
  <c r="GL14" i="13" s="1"/>
  <c r="II8" i="13"/>
  <c r="IJ5" i="13"/>
  <c r="IJ25" i="13" s="1"/>
  <c r="IK4" i="13"/>
  <c r="GM20" i="13" l="1"/>
  <c r="GN11" i="13"/>
  <c r="GN12" i="13" s="1"/>
  <c r="GL19" i="13"/>
  <c r="GM9" i="13"/>
  <c r="GM10" i="13" s="1"/>
  <c r="GL21" i="13"/>
  <c r="GM13" i="13"/>
  <c r="GM14" i="13" s="1"/>
  <c r="GM6" i="13"/>
  <c r="GM7" i="13" s="1"/>
  <c r="GL18" i="13"/>
  <c r="GL24" i="13" s="1"/>
  <c r="GN3" i="13"/>
  <c r="GM23" i="13"/>
  <c r="GM26" i="13"/>
  <c r="GM27" i="13" s="1"/>
  <c r="GK22" i="13"/>
  <c r="GL15" i="13"/>
  <c r="GL16" i="13" s="1"/>
  <c r="IJ8" i="13"/>
  <c r="IK5" i="13"/>
  <c r="IK25" i="13" s="1"/>
  <c r="IL4" i="13"/>
  <c r="GM18" i="13" l="1"/>
  <c r="GM24" i="13" s="1"/>
  <c r="GN6" i="13"/>
  <c r="GN7" i="13" s="1"/>
  <c r="GM21" i="13"/>
  <c r="GN13" i="13"/>
  <c r="GN14" i="13" s="1"/>
  <c r="GL22" i="13"/>
  <c r="GM15" i="13"/>
  <c r="GM16" i="13" s="1"/>
  <c r="GM19" i="13"/>
  <c r="GN9" i="13"/>
  <c r="GN10" i="13" s="1"/>
  <c r="GN20" i="13"/>
  <c r="GO11" i="13"/>
  <c r="GO12" i="13" s="1"/>
  <c r="GN23" i="13"/>
  <c r="GN26" i="13"/>
  <c r="GN27" i="13" s="1"/>
  <c r="GO3" i="13"/>
  <c r="IK8" i="13"/>
  <c r="IL5" i="13"/>
  <c r="IL25" i="13" s="1"/>
  <c r="IM4" i="13"/>
  <c r="GN19" i="13" l="1"/>
  <c r="GO9" i="13"/>
  <c r="GO10" i="13" s="1"/>
  <c r="GM22" i="13"/>
  <c r="GN15" i="13"/>
  <c r="GN16" i="13" s="1"/>
  <c r="GO23" i="13"/>
  <c r="GP3" i="13"/>
  <c r="GO26" i="13"/>
  <c r="GO27" i="13" s="1"/>
  <c r="GN21" i="13"/>
  <c r="GO13" i="13"/>
  <c r="GO14" i="13" s="1"/>
  <c r="GO20" i="13"/>
  <c r="GP11" i="13"/>
  <c r="GP12" i="13" s="1"/>
  <c r="GN18" i="13"/>
  <c r="GN24" i="13" s="1"/>
  <c r="GO6" i="13"/>
  <c r="GO7" i="13" s="1"/>
  <c r="IL8" i="13"/>
  <c r="IM5" i="13"/>
  <c r="IM25" i="13" s="1"/>
  <c r="IN4" i="13"/>
  <c r="IN5" i="13" s="1"/>
  <c r="IN25" i="13" s="1"/>
  <c r="GP23" i="13" l="1"/>
  <c r="GQ3" i="13"/>
  <c r="GP26" i="13"/>
  <c r="GP27" i="13" s="1"/>
  <c r="GO18" i="13"/>
  <c r="GO24" i="13" s="1"/>
  <c r="GP6" i="13"/>
  <c r="GP7" i="13" s="1"/>
  <c r="GN22" i="13"/>
  <c r="GO15" i="13"/>
  <c r="GO16" i="13" s="1"/>
  <c r="GP20" i="13"/>
  <c r="GQ11" i="13"/>
  <c r="GQ12" i="13" s="1"/>
  <c r="GO19" i="13"/>
  <c r="GP9" i="13"/>
  <c r="GP10" i="13" s="1"/>
  <c r="GO21" i="13"/>
  <c r="GP13" i="13"/>
  <c r="GP14" i="13" s="1"/>
  <c r="IN8" i="13"/>
  <c r="IM8" i="13"/>
  <c r="GO22" i="13" l="1"/>
  <c r="GP15" i="13"/>
  <c r="GP16" i="13" s="1"/>
  <c r="GP21" i="13"/>
  <c r="GQ13" i="13"/>
  <c r="GQ14" i="13" s="1"/>
  <c r="GQ6" i="13"/>
  <c r="GQ7" i="13" s="1"/>
  <c r="GP18" i="13"/>
  <c r="GP24" i="13" s="1"/>
  <c r="GP19" i="13"/>
  <c r="GQ9" i="13"/>
  <c r="GQ10" i="13" s="1"/>
  <c r="GQ23" i="13"/>
  <c r="GR3" i="13"/>
  <c r="GQ26" i="13"/>
  <c r="GQ27" i="13" s="1"/>
  <c r="GQ20" i="13"/>
  <c r="GR11" i="13"/>
  <c r="GR12" i="13" s="1"/>
  <c r="GQ19" i="13" l="1"/>
  <c r="GR9" i="13"/>
  <c r="GR10" i="13" s="1"/>
  <c r="GR20" i="13"/>
  <c r="GS11" i="13"/>
  <c r="GS12" i="13" s="1"/>
  <c r="GQ18" i="13"/>
  <c r="GQ24" i="13" s="1"/>
  <c r="GR6" i="13"/>
  <c r="GR7" i="13" s="1"/>
  <c r="GQ21" i="13"/>
  <c r="GR13" i="13"/>
  <c r="GR14" i="13" s="1"/>
  <c r="GP22" i="13"/>
  <c r="GQ15" i="13"/>
  <c r="GQ16" i="13" s="1"/>
  <c r="GR26" i="13"/>
  <c r="GR27" i="13" s="1"/>
  <c r="GR23" i="13"/>
  <c r="GS3" i="13"/>
  <c r="GR21" i="13" l="1"/>
  <c r="GS13" i="13"/>
  <c r="GS14" i="13" s="1"/>
  <c r="GS23" i="13"/>
  <c r="GT3" i="13"/>
  <c r="GS26" i="13"/>
  <c r="GS27" i="13" s="1"/>
  <c r="GS20" i="13"/>
  <c r="GT11" i="13"/>
  <c r="GT12" i="13" s="1"/>
  <c r="GR18" i="13"/>
  <c r="GR24" i="13" s="1"/>
  <c r="GS6" i="13"/>
  <c r="GS7" i="13" s="1"/>
  <c r="GQ22" i="13"/>
  <c r="GR15" i="13"/>
  <c r="GR16" i="13" s="1"/>
  <c r="GR19" i="13"/>
  <c r="GS9" i="13"/>
  <c r="GS10" i="13" s="1"/>
  <c r="GT20" i="13" l="1"/>
  <c r="GU11" i="13"/>
  <c r="GU12" i="13" s="1"/>
  <c r="GT26" i="13"/>
  <c r="GT27" i="13" s="1"/>
  <c r="GT23" i="13"/>
  <c r="GU3" i="13"/>
  <c r="GS19" i="13"/>
  <c r="GT9" i="13"/>
  <c r="GT10" i="13" s="1"/>
  <c r="GR22" i="13"/>
  <c r="GS15" i="13"/>
  <c r="GS16" i="13" s="1"/>
  <c r="GS21" i="13"/>
  <c r="GT13" i="13"/>
  <c r="GT14" i="13" s="1"/>
  <c r="GS18" i="13"/>
  <c r="GS24" i="13" s="1"/>
  <c r="GT6" i="13"/>
  <c r="GT7" i="13" s="1"/>
  <c r="GT18" i="13" l="1"/>
  <c r="GT24" i="13" s="1"/>
  <c r="GU6" i="13"/>
  <c r="GU7" i="13" s="1"/>
  <c r="GU23" i="13"/>
  <c r="GV3" i="13"/>
  <c r="GU26" i="13"/>
  <c r="GU27" i="13" s="1"/>
  <c r="GU20" i="13"/>
  <c r="GV11" i="13"/>
  <c r="GV12" i="13" s="1"/>
  <c r="GT19" i="13"/>
  <c r="GU9" i="13"/>
  <c r="GU10" i="13" s="1"/>
  <c r="GT21" i="13"/>
  <c r="GU13" i="13"/>
  <c r="GU14" i="13" s="1"/>
  <c r="GS22" i="13"/>
  <c r="GT15" i="13"/>
  <c r="GT16" i="13" s="1"/>
  <c r="GV20" i="13" l="1"/>
  <c r="GW11" i="13"/>
  <c r="GW12" i="13" s="1"/>
  <c r="GV23" i="13"/>
  <c r="GW3" i="13"/>
  <c r="GV26" i="13"/>
  <c r="GV27" i="13" s="1"/>
  <c r="GU21" i="13"/>
  <c r="GV13" i="13"/>
  <c r="GV14" i="13" s="1"/>
  <c r="GV6" i="13"/>
  <c r="GV7" i="13" s="1"/>
  <c r="GU18" i="13"/>
  <c r="GU24" i="13" s="1"/>
  <c r="GT22" i="13"/>
  <c r="GU15" i="13"/>
  <c r="GU16" i="13" s="1"/>
  <c r="GU19" i="13"/>
  <c r="GV9" i="13"/>
  <c r="GV10" i="13" s="1"/>
  <c r="GV18" i="13" l="1"/>
  <c r="GV24" i="13" s="1"/>
  <c r="GW6" i="13"/>
  <c r="GW7" i="13" s="1"/>
  <c r="GV21" i="13"/>
  <c r="GW13" i="13"/>
  <c r="GW14" i="13" s="1"/>
  <c r="GV19" i="13"/>
  <c r="GW9" i="13"/>
  <c r="GW10" i="13" s="1"/>
  <c r="GX3" i="13"/>
  <c r="GW23" i="13"/>
  <c r="GW26" i="13"/>
  <c r="GW27" i="13" s="1"/>
  <c r="GU22" i="13"/>
  <c r="GV15" i="13"/>
  <c r="GV16" i="13" s="1"/>
  <c r="GW20" i="13"/>
  <c r="GX11" i="13"/>
  <c r="GX12" i="13" s="1"/>
  <c r="GX23" i="13" l="1"/>
  <c r="GX26" i="13"/>
  <c r="GX27" i="13" s="1"/>
  <c r="GY3" i="13"/>
  <c r="GW19" i="13"/>
  <c r="GX9" i="13"/>
  <c r="GX10" i="13" s="1"/>
  <c r="GX20" i="13"/>
  <c r="GY11" i="13"/>
  <c r="GY12" i="13" s="1"/>
  <c r="GW21" i="13"/>
  <c r="GX13" i="13"/>
  <c r="GX14" i="13" s="1"/>
  <c r="GV22" i="13"/>
  <c r="GW15" i="13"/>
  <c r="GW16" i="13" s="1"/>
  <c r="GX6" i="13"/>
  <c r="GX7" i="13" s="1"/>
  <c r="GW18" i="13"/>
  <c r="GW24" i="13" s="1"/>
  <c r="GX19" i="13" l="1"/>
  <c r="GY9" i="13"/>
  <c r="GY10" i="13" s="1"/>
  <c r="GY20" i="13"/>
  <c r="GZ11" i="13"/>
  <c r="GZ12" i="13" s="1"/>
  <c r="GX18" i="13"/>
  <c r="GX24" i="13" s="1"/>
  <c r="GY6" i="13"/>
  <c r="GY7" i="13" s="1"/>
  <c r="GY23" i="13"/>
  <c r="GZ3" i="13"/>
  <c r="GY26" i="13"/>
  <c r="GY27" i="13" s="1"/>
  <c r="GW22" i="13"/>
  <c r="GX15" i="13"/>
  <c r="GX16" i="13" s="1"/>
  <c r="GX21" i="13"/>
  <c r="GY13" i="13"/>
  <c r="GY14" i="13" s="1"/>
  <c r="GY21" i="13" l="1"/>
  <c r="GZ13" i="13"/>
  <c r="GZ14" i="13" s="1"/>
  <c r="GZ23" i="13"/>
  <c r="HA3" i="13"/>
  <c r="GZ26" i="13"/>
  <c r="GZ27" i="13" s="1"/>
  <c r="GY18" i="13"/>
  <c r="GY24" i="13" s="1"/>
  <c r="GZ6" i="13"/>
  <c r="GZ7" i="13" s="1"/>
  <c r="GZ20" i="13"/>
  <c r="HA11" i="13"/>
  <c r="HA12" i="13" s="1"/>
  <c r="GX22" i="13"/>
  <c r="GY15" i="13"/>
  <c r="GY16" i="13" s="1"/>
  <c r="GY19" i="13"/>
  <c r="GZ9" i="13"/>
  <c r="GZ10" i="13" s="1"/>
  <c r="GZ18" i="13" l="1"/>
  <c r="GZ24" i="13" s="1"/>
  <c r="HA6" i="13"/>
  <c r="HA7" i="13" s="1"/>
  <c r="HA23" i="13"/>
  <c r="HB3" i="13"/>
  <c r="HA26" i="13"/>
  <c r="HA27" i="13" s="1"/>
  <c r="GY22" i="13"/>
  <c r="GZ15" i="13"/>
  <c r="GZ16" i="13" s="1"/>
  <c r="GZ21" i="13"/>
  <c r="HA13" i="13"/>
  <c r="HA14" i="13" s="1"/>
  <c r="GZ19" i="13"/>
  <c r="HA9" i="13"/>
  <c r="HA10" i="13" s="1"/>
  <c r="HA20" i="13"/>
  <c r="HB11" i="13"/>
  <c r="HB12" i="13" s="1"/>
  <c r="GZ22" i="13" l="1"/>
  <c r="HA15" i="13"/>
  <c r="HA16" i="13" s="1"/>
  <c r="HB20" i="13"/>
  <c r="HC11" i="13"/>
  <c r="HC12" i="13" s="1"/>
  <c r="HB23" i="13"/>
  <c r="HC3" i="13"/>
  <c r="HB26" i="13"/>
  <c r="HB27" i="13" s="1"/>
  <c r="HA19" i="13"/>
  <c r="HB9" i="13"/>
  <c r="HB10" i="13" s="1"/>
  <c r="HB6" i="13"/>
  <c r="HB7" i="13" s="1"/>
  <c r="HA18" i="13"/>
  <c r="HA24" i="13" s="1"/>
  <c r="HA21" i="13"/>
  <c r="HB13" i="13"/>
  <c r="HB14" i="13" s="1"/>
  <c r="HB21" i="13" l="1"/>
  <c r="HC13" i="13"/>
  <c r="HC14" i="13" s="1"/>
  <c r="HC20" i="13"/>
  <c r="HD11" i="13"/>
  <c r="HD12" i="13" s="1"/>
  <c r="HC23" i="13"/>
  <c r="HD3" i="13"/>
  <c r="HC26" i="13"/>
  <c r="HC27" i="13" s="1"/>
  <c r="HB18" i="13"/>
  <c r="HB24" i="13" s="1"/>
  <c r="HC6" i="13"/>
  <c r="HC7" i="13" s="1"/>
  <c r="HA22" i="13"/>
  <c r="HB15" i="13"/>
  <c r="HB16" i="13" s="1"/>
  <c r="HB19" i="13"/>
  <c r="HC9" i="13"/>
  <c r="HC10" i="13" s="1"/>
  <c r="HD20" i="13" l="1"/>
  <c r="HE11" i="13"/>
  <c r="HE12" i="13" s="1"/>
  <c r="HE3" i="13"/>
  <c r="HD23" i="13"/>
  <c r="HD26" i="13"/>
  <c r="HD27" i="13" s="1"/>
  <c r="HC19" i="13"/>
  <c r="HD9" i="13"/>
  <c r="HD10" i="13" s="1"/>
  <c r="HB22" i="13"/>
  <c r="HC15" i="13"/>
  <c r="HC16" i="13" s="1"/>
  <c r="HC21" i="13"/>
  <c r="HD13" i="13"/>
  <c r="HD14" i="13" s="1"/>
  <c r="HD6" i="13"/>
  <c r="HD7" i="13" s="1"/>
  <c r="HC18" i="13"/>
  <c r="HC24" i="13" s="1"/>
  <c r="HD19" i="13" l="1"/>
  <c r="HE9" i="13"/>
  <c r="HE10" i="13" s="1"/>
  <c r="HF3" i="13"/>
  <c r="HE26" i="13"/>
  <c r="HE27" i="13" s="1"/>
  <c r="HE23" i="13"/>
  <c r="HD21" i="13"/>
  <c r="HE13" i="13"/>
  <c r="HE14" i="13" s="1"/>
  <c r="HE20" i="13"/>
  <c r="HF11" i="13"/>
  <c r="HF12" i="13" s="1"/>
  <c r="HD18" i="13"/>
  <c r="HD24" i="13" s="1"/>
  <c r="HE6" i="13"/>
  <c r="HE7" i="13" s="1"/>
  <c r="HC22" i="13"/>
  <c r="HD15" i="13"/>
  <c r="HD16" i="13" s="1"/>
  <c r="HD22" i="13" l="1"/>
  <c r="HE15" i="13"/>
  <c r="HE16" i="13" s="1"/>
  <c r="HF23" i="13"/>
  <c r="HG3" i="13"/>
  <c r="HF26" i="13"/>
  <c r="HF27" i="13" s="1"/>
  <c r="HE18" i="13"/>
  <c r="HE24" i="13" s="1"/>
  <c r="HF6" i="13"/>
  <c r="HF7" i="13" s="1"/>
  <c r="HE19" i="13"/>
  <c r="HF9" i="13"/>
  <c r="HF10" i="13" s="1"/>
  <c r="HE21" i="13"/>
  <c r="HF13" i="13"/>
  <c r="HF14" i="13" s="1"/>
  <c r="HF20" i="13"/>
  <c r="HG11" i="13"/>
  <c r="HG12" i="13" s="1"/>
  <c r="HF18" i="13" l="1"/>
  <c r="HF24" i="13" s="1"/>
  <c r="HG6" i="13"/>
  <c r="HG7" i="13" s="1"/>
  <c r="HG23" i="13"/>
  <c r="HH3" i="13"/>
  <c r="HG26" i="13"/>
  <c r="HG27" i="13" s="1"/>
  <c r="HF21" i="13"/>
  <c r="HG13" i="13"/>
  <c r="HG14" i="13" s="1"/>
  <c r="HE22" i="13"/>
  <c r="HF15" i="13"/>
  <c r="HF16" i="13" s="1"/>
  <c r="HG20" i="13"/>
  <c r="HH11" i="13"/>
  <c r="HH12" i="13" s="1"/>
  <c r="HF19" i="13"/>
  <c r="HG9" i="13"/>
  <c r="HG10" i="13" s="1"/>
  <c r="HG21" i="13" l="1"/>
  <c r="HH13" i="13"/>
  <c r="HH14" i="13" s="1"/>
  <c r="HG19" i="13"/>
  <c r="HH9" i="13"/>
  <c r="HH10" i="13" s="1"/>
  <c r="HH23" i="13"/>
  <c r="HI3" i="13"/>
  <c r="HH26" i="13"/>
  <c r="HH27" i="13" s="1"/>
  <c r="HH20" i="13"/>
  <c r="HI11" i="13"/>
  <c r="HI12" i="13" s="1"/>
  <c r="HG18" i="13"/>
  <c r="HG24" i="13" s="1"/>
  <c r="HH6" i="13"/>
  <c r="HH7" i="13" s="1"/>
  <c r="HF22" i="13"/>
  <c r="HG15" i="13"/>
  <c r="HG16" i="13" s="1"/>
  <c r="HI23" i="13" l="1"/>
  <c r="HI26" i="13"/>
  <c r="HI27" i="13" s="1"/>
  <c r="HJ3" i="13"/>
  <c r="HH19" i="13"/>
  <c r="HI9" i="13"/>
  <c r="HI10" i="13" s="1"/>
  <c r="HG22" i="13"/>
  <c r="HH15" i="13"/>
  <c r="HH16" i="13" s="1"/>
  <c r="HH21" i="13"/>
  <c r="HI13" i="13"/>
  <c r="HI14" i="13" s="1"/>
  <c r="HI6" i="13"/>
  <c r="HI7" i="13" s="1"/>
  <c r="HH18" i="13"/>
  <c r="HH24" i="13" s="1"/>
  <c r="HI20" i="13"/>
  <c r="HJ11" i="13"/>
  <c r="HJ12" i="13" s="1"/>
  <c r="HI19" i="13" l="1"/>
  <c r="HJ9" i="13"/>
  <c r="HJ10" i="13" s="1"/>
  <c r="HJ20" i="13"/>
  <c r="HK11" i="13"/>
  <c r="HK12" i="13" s="1"/>
  <c r="HH22" i="13"/>
  <c r="HI15" i="13"/>
  <c r="HI16" i="13" s="1"/>
  <c r="HJ23" i="13"/>
  <c r="HK3" i="13"/>
  <c r="HJ26" i="13"/>
  <c r="HJ27" i="13" s="1"/>
  <c r="HI18" i="13"/>
  <c r="HI24" i="13" s="1"/>
  <c r="HJ6" i="13"/>
  <c r="HJ7" i="13" s="1"/>
  <c r="HI21" i="13"/>
  <c r="HJ13" i="13"/>
  <c r="HJ14" i="13" s="1"/>
  <c r="HK23" i="13" l="1"/>
  <c r="HK26" i="13"/>
  <c r="HK27" i="13" s="1"/>
  <c r="HL3" i="13"/>
  <c r="HJ21" i="13"/>
  <c r="HK13" i="13"/>
  <c r="HK14" i="13" s="1"/>
  <c r="HI22" i="13"/>
  <c r="HJ15" i="13"/>
  <c r="HJ16" i="13" s="1"/>
  <c r="HK20" i="13"/>
  <c r="HL11" i="13"/>
  <c r="HL12" i="13" s="1"/>
  <c r="HK6" i="13"/>
  <c r="HK7" i="13" s="1"/>
  <c r="HJ18" i="13"/>
  <c r="HJ24" i="13" s="1"/>
  <c r="HJ19" i="13"/>
  <c r="HK9" i="13"/>
  <c r="HK10" i="13" s="1"/>
  <c r="HJ22" i="13" l="1"/>
  <c r="HK15" i="13"/>
  <c r="HK16" i="13" s="1"/>
  <c r="HK21" i="13"/>
  <c r="HL13" i="13"/>
  <c r="HL14" i="13" s="1"/>
  <c r="HK19" i="13"/>
  <c r="HL9" i="13"/>
  <c r="HL10" i="13" s="1"/>
  <c r="HL23" i="13"/>
  <c r="HM3" i="13"/>
  <c r="HL26" i="13"/>
  <c r="HL27" i="13" s="1"/>
  <c r="HL6" i="13"/>
  <c r="HL7" i="13" s="1"/>
  <c r="HK18" i="13"/>
  <c r="HK24" i="13" s="1"/>
  <c r="HL20" i="13"/>
  <c r="HM11" i="13"/>
  <c r="HM12" i="13" s="1"/>
  <c r="HL19" i="13" l="1"/>
  <c r="HM9" i="13"/>
  <c r="HM10" i="13" s="1"/>
  <c r="HL21" i="13"/>
  <c r="HM13" i="13"/>
  <c r="HM14" i="13" s="1"/>
  <c r="HM23" i="13"/>
  <c r="HM26" i="13"/>
  <c r="HM27" i="13" s="1"/>
  <c r="HN3" i="13"/>
  <c r="HK22" i="13"/>
  <c r="HL15" i="13"/>
  <c r="HL16" i="13" s="1"/>
  <c r="HM20" i="13"/>
  <c r="HN11" i="13"/>
  <c r="HN12" i="13" s="1"/>
  <c r="HM6" i="13"/>
  <c r="HM7" i="13" s="1"/>
  <c r="HL18" i="13"/>
  <c r="HL24" i="13" s="1"/>
  <c r="HN26" i="13" l="1"/>
  <c r="HN27" i="13" s="1"/>
  <c r="HN23" i="13"/>
  <c r="HO3" i="13"/>
  <c r="HM21" i="13"/>
  <c r="HN13" i="13"/>
  <c r="HN14" i="13" s="1"/>
  <c r="HN20" i="13"/>
  <c r="HO11" i="13"/>
  <c r="HO12" i="13" s="1"/>
  <c r="HM18" i="13"/>
  <c r="HM24" i="13" s="1"/>
  <c r="HN6" i="13"/>
  <c r="HN7" i="13" s="1"/>
  <c r="HM19" i="13"/>
  <c r="HN9" i="13"/>
  <c r="HN10" i="13" s="1"/>
  <c r="HL22" i="13"/>
  <c r="HM15" i="13"/>
  <c r="HM16" i="13" s="1"/>
  <c r="HO20" i="13" l="1"/>
  <c r="HP11" i="13"/>
  <c r="HP12" i="13" s="1"/>
  <c r="HN21" i="13"/>
  <c r="HO13" i="13"/>
  <c r="HO14" i="13" s="1"/>
  <c r="HN19" i="13"/>
  <c r="HO9" i="13"/>
  <c r="HO10" i="13" s="1"/>
  <c r="HO23" i="13"/>
  <c r="HP3" i="13"/>
  <c r="HO26" i="13"/>
  <c r="HO27" i="13" s="1"/>
  <c r="HM22" i="13"/>
  <c r="HN15" i="13"/>
  <c r="HN16" i="13" s="1"/>
  <c r="HO6" i="13"/>
  <c r="HO7" i="13" s="1"/>
  <c r="HN18" i="13"/>
  <c r="HN24" i="13" s="1"/>
  <c r="HP23" i="13" l="1"/>
  <c r="HQ3" i="13"/>
  <c r="HP26" i="13"/>
  <c r="HP27" i="13" s="1"/>
  <c r="HO19" i="13"/>
  <c r="HP9" i="13"/>
  <c r="HP10" i="13" s="1"/>
  <c r="HO21" i="13"/>
  <c r="HP13" i="13"/>
  <c r="HP14" i="13" s="1"/>
  <c r="HP6" i="13"/>
  <c r="HP7" i="13" s="1"/>
  <c r="HO18" i="13"/>
  <c r="HO24" i="13" s="1"/>
  <c r="HP20" i="13"/>
  <c r="HQ11" i="13"/>
  <c r="HQ12" i="13" s="1"/>
  <c r="HN22" i="13"/>
  <c r="HO15" i="13"/>
  <c r="HO16" i="13" s="1"/>
  <c r="HP21" i="13" l="1"/>
  <c r="HQ13" i="13"/>
  <c r="HQ14" i="13" s="1"/>
  <c r="HP19" i="13"/>
  <c r="HQ9" i="13"/>
  <c r="HQ10" i="13" s="1"/>
  <c r="HP18" i="13"/>
  <c r="HP24" i="13" s="1"/>
  <c r="HQ6" i="13"/>
  <c r="HQ7" i="13" s="1"/>
  <c r="HQ20" i="13"/>
  <c r="HR11" i="13"/>
  <c r="HR12" i="13" s="1"/>
  <c r="HO22" i="13"/>
  <c r="HP15" i="13"/>
  <c r="HP16" i="13" s="1"/>
  <c r="HQ26" i="13"/>
  <c r="HQ27" i="13" s="1"/>
  <c r="HQ23" i="13"/>
  <c r="HR3" i="13"/>
  <c r="HR20" i="13" l="1"/>
  <c r="HS11" i="13"/>
  <c r="HS12" i="13" s="1"/>
  <c r="HR6" i="13"/>
  <c r="HR7" i="13" s="1"/>
  <c r="HQ18" i="13"/>
  <c r="HQ24" i="13" s="1"/>
  <c r="HQ19" i="13"/>
  <c r="HR9" i="13"/>
  <c r="HR10" i="13" s="1"/>
  <c r="HR23" i="13"/>
  <c r="HS3" i="13"/>
  <c r="HR26" i="13"/>
  <c r="HR27" i="13" s="1"/>
  <c r="HQ21" i="13"/>
  <c r="HR13" i="13"/>
  <c r="HR14" i="13" s="1"/>
  <c r="HP22" i="13"/>
  <c r="HQ15" i="13"/>
  <c r="HQ16" i="13" s="1"/>
  <c r="HS23" i="13" l="1"/>
  <c r="HT3" i="13"/>
  <c r="HS26" i="13"/>
  <c r="HS27" i="13" s="1"/>
  <c r="HQ22" i="13"/>
  <c r="HR15" i="13"/>
  <c r="HR16" i="13" s="1"/>
  <c r="HR18" i="13"/>
  <c r="HR24" i="13" s="1"/>
  <c r="HS6" i="13"/>
  <c r="HS7" i="13" s="1"/>
  <c r="HR19" i="13"/>
  <c r="HS9" i="13"/>
  <c r="HS10" i="13" s="1"/>
  <c r="HR21" i="13"/>
  <c r="HS13" i="13"/>
  <c r="HS14" i="13" s="1"/>
  <c r="HS20" i="13"/>
  <c r="HT11" i="13"/>
  <c r="HT12" i="13" s="1"/>
  <c r="HT20" i="13" l="1"/>
  <c r="HU11" i="13"/>
  <c r="HU12" i="13" s="1"/>
  <c r="HR22" i="13"/>
  <c r="HS15" i="13"/>
  <c r="HS16" i="13" s="1"/>
  <c r="HT6" i="13"/>
  <c r="HT7" i="13" s="1"/>
  <c r="HS18" i="13"/>
  <c r="HS24" i="13" s="1"/>
  <c r="HS21" i="13"/>
  <c r="HT13" i="13"/>
  <c r="HT14" i="13" s="1"/>
  <c r="HT23" i="13"/>
  <c r="HT26" i="13"/>
  <c r="HT27" i="13" s="1"/>
  <c r="HU3" i="13"/>
  <c r="HS19" i="13"/>
  <c r="HT9" i="13"/>
  <c r="HT10" i="13" s="1"/>
  <c r="HT18" i="13" l="1"/>
  <c r="HT24" i="13" s="1"/>
  <c r="HU6" i="13"/>
  <c r="HU7" i="13" s="1"/>
  <c r="HS22" i="13"/>
  <c r="HT15" i="13"/>
  <c r="HT16" i="13" s="1"/>
  <c r="HT21" i="13"/>
  <c r="HU13" i="13"/>
  <c r="HU14" i="13" s="1"/>
  <c r="HU23" i="13"/>
  <c r="HV3" i="13"/>
  <c r="HU26" i="13"/>
  <c r="HU27" i="13" s="1"/>
  <c r="HU20" i="13"/>
  <c r="HV11" i="13"/>
  <c r="HV12" i="13" s="1"/>
  <c r="HT19" i="13"/>
  <c r="HU9" i="13"/>
  <c r="HU10" i="13" s="1"/>
  <c r="HT22" i="13" l="1"/>
  <c r="HU15" i="13"/>
  <c r="HU16" i="13" s="1"/>
  <c r="HV23" i="13"/>
  <c r="HW3" i="13"/>
  <c r="HV26" i="13"/>
  <c r="HV27" i="13" s="1"/>
  <c r="HV20" i="13"/>
  <c r="HW11" i="13"/>
  <c r="HW12" i="13" s="1"/>
  <c r="HU19" i="13"/>
  <c r="HV9" i="13"/>
  <c r="HV10" i="13" s="1"/>
  <c r="HU18" i="13"/>
  <c r="HU24" i="13" s="1"/>
  <c r="HV6" i="13"/>
  <c r="HV7" i="13" s="1"/>
  <c r="HU21" i="13"/>
  <c r="HV13" i="13"/>
  <c r="HV14" i="13" s="1"/>
  <c r="HW20" i="13" l="1"/>
  <c r="HX11" i="13"/>
  <c r="HX12" i="13" s="1"/>
  <c r="HV21" i="13"/>
  <c r="HW13" i="13"/>
  <c r="HW14" i="13" s="1"/>
  <c r="HW23" i="13"/>
  <c r="HX3" i="13"/>
  <c r="HW26" i="13"/>
  <c r="HW27" i="13" s="1"/>
  <c r="HW6" i="13"/>
  <c r="HW7" i="13" s="1"/>
  <c r="HV18" i="13"/>
  <c r="HV24" i="13" s="1"/>
  <c r="HU22" i="13"/>
  <c r="HV15" i="13"/>
  <c r="HV16" i="13" s="1"/>
  <c r="HV19" i="13"/>
  <c r="HW9" i="13"/>
  <c r="HW10" i="13" s="1"/>
  <c r="HW21" i="13" l="1"/>
  <c r="HX13" i="13"/>
  <c r="HX14" i="13" s="1"/>
  <c r="HY3" i="13"/>
  <c r="HX26" i="13"/>
  <c r="HX27" i="13" s="1"/>
  <c r="HX23" i="13"/>
  <c r="HV22" i="13"/>
  <c r="HW15" i="13"/>
  <c r="HW16" i="13" s="1"/>
  <c r="HX6" i="13"/>
  <c r="HX7" i="13" s="1"/>
  <c r="HW18" i="13"/>
  <c r="HW24" i="13" s="1"/>
  <c r="HX20" i="13"/>
  <c r="HY11" i="13"/>
  <c r="HY12" i="13" s="1"/>
  <c r="HW19" i="13"/>
  <c r="HX9" i="13"/>
  <c r="HX10" i="13" s="1"/>
  <c r="HX18" i="13" l="1"/>
  <c r="HX24" i="13" s="1"/>
  <c r="HY6" i="13"/>
  <c r="HY7" i="13" s="1"/>
  <c r="HY20" i="13"/>
  <c r="HZ11" i="13"/>
  <c r="HZ12" i="13" s="1"/>
  <c r="HY23" i="13"/>
  <c r="HZ3" i="13"/>
  <c r="HY26" i="13"/>
  <c r="HY27" i="13" s="1"/>
  <c r="HW22" i="13"/>
  <c r="HX15" i="13"/>
  <c r="HX16" i="13" s="1"/>
  <c r="HX21" i="13"/>
  <c r="HY13" i="13"/>
  <c r="HY14" i="13" s="1"/>
  <c r="HX19" i="13"/>
  <c r="HY9" i="13"/>
  <c r="HY10" i="13" s="1"/>
  <c r="HZ23" i="13" l="1"/>
  <c r="IA3" i="13"/>
  <c r="HZ26" i="13"/>
  <c r="HZ27" i="13" s="1"/>
  <c r="HY19" i="13"/>
  <c r="HZ9" i="13"/>
  <c r="HZ10" i="13" s="1"/>
  <c r="HZ20" i="13"/>
  <c r="IA11" i="13"/>
  <c r="IA12" i="13" s="1"/>
  <c r="HY21" i="13"/>
  <c r="HZ13" i="13"/>
  <c r="HZ14" i="13" s="1"/>
  <c r="HZ6" i="13"/>
  <c r="HZ7" i="13" s="1"/>
  <c r="HY18" i="13"/>
  <c r="HY24" i="13" s="1"/>
  <c r="HX22" i="13"/>
  <c r="HY15" i="13"/>
  <c r="HY16" i="13" s="1"/>
  <c r="HZ19" i="13" l="1"/>
  <c r="IA9" i="13"/>
  <c r="IA10" i="13" s="1"/>
  <c r="HY22" i="13"/>
  <c r="HZ15" i="13"/>
  <c r="HZ16" i="13" s="1"/>
  <c r="IA6" i="13"/>
  <c r="IA7" i="13" s="1"/>
  <c r="HZ18" i="13"/>
  <c r="HZ24" i="13" s="1"/>
  <c r="IA26" i="13"/>
  <c r="IA27" i="13" s="1"/>
  <c r="IA23" i="13"/>
  <c r="IB3" i="13"/>
  <c r="IA20" i="13"/>
  <c r="IB11" i="13"/>
  <c r="IB12" i="13" s="1"/>
  <c r="HZ21" i="13"/>
  <c r="IA13" i="13"/>
  <c r="IA14" i="13" s="1"/>
  <c r="IB6" i="13" l="1"/>
  <c r="IB7" i="13" s="1"/>
  <c r="IA18" i="13"/>
  <c r="IA24" i="13" s="1"/>
  <c r="HZ22" i="13"/>
  <c r="IA15" i="13"/>
  <c r="IA16" i="13" s="1"/>
  <c r="IA21" i="13"/>
  <c r="IB13" i="13"/>
  <c r="IB14" i="13" s="1"/>
  <c r="IA19" i="13"/>
  <c r="IB9" i="13"/>
  <c r="IB10" i="13" s="1"/>
  <c r="IB20" i="13"/>
  <c r="IC11" i="13"/>
  <c r="IC12" i="13" s="1"/>
  <c r="IB23" i="13"/>
  <c r="IC3" i="13"/>
  <c r="IB26" i="13"/>
  <c r="IB27" i="13" s="1"/>
  <c r="IA22" i="13" l="1"/>
  <c r="IB15" i="13"/>
  <c r="IB16" i="13" s="1"/>
  <c r="IB19" i="13"/>
  <c r="IC9" i="13"/>
  <c r="IC10" i="13" s="1"/>
  <c r="IC23" i="13"/>
  <c r="ID3" i="13"/>
  <c r="IC26" i="13"/>
  <c r="IC27" i="13" s="1"/>
  <c r="IB21" i="13"/>
  <c r="IC13" i="13"/>
  <c r="IC14" i="13" s="1"/>
  <c r="IC20" i="13"/>
  <c r="ID11" i="13"/>
  <c r="ID12" i="13" s="1"/>
  <c r="IC6" i="13"/>
  <c r="IC7" i="13" s="1"/>
  <c r="IB18" i="13"/>
  <c r="IB24" i="13" s="1"/>
  <c r="ID26" i="13" l="1"/>
  <c r="ID27" i="13" s="1"/>
  <c r="ID23" i="13"/>
  <c r="IE3" i="13"/>
  <c r="IC19" i="13"/>
  <c r="ID9" i="13"/>
  <c r="ID10" i="13" s="1"/>
  <c r="ID20" i="13"/>
  <c r="IE11" i="13"/>
  <c r="IE12" i="13" s="1"/>
  <c r="IB22" i="13"/>
  <c r="IC15" i="13"/>
  <c r="IC16" i="13" s="1"/>
  <c r="IC18" i="13"/>
  <c r="IC24" i="13" s="1"/>
  <c r="ID6" i="13"/>
  <c r="ID7" i="13" s="1"/>
  <c r="IC21" i="13"/>
  <c r="ID13" i="13"/>
  <c r="ID14" i="13" s="1"/>
  <c r="ID19" i="13" l="1"/>
  <c r="IE9" i="13"/>
  <c r="IE10" i="13" s="1"/>
  <c r="ID21" i="13"/>
  <c r="IE13" i="13"/>
  <c r="IE14" i="13" s="1"/>
  <c r="IE23" i="13"/>
  <c r="IF3" i="13"/>
  <c r="IE26" i="13"/>
  <c r="IE27" i="13" s="1"/>
  <c r="IE20" i="13"/>
  <c r="IF11" i="13"/>
  <c r="IF12" i="13" s="1"/>
  <c r="IE6" i="13"/>
  <c r="IE7" i="13" s="1"/>
  <c r="ID18" i="13"/>
  <c r="ID24" i="13" s="1"/>
  <c r="IC22" i="13"/>
  <c r="ID15" i="13"/>
  <c r="ID16" i="13" s="1"/>
  <c r="IF23" i="13" l="1"/>
  <c r="IF26" i="13"/>
  <c r="IF27" i="13" s="1"/>
  <c r="IG3" i="13"/>
  <c r="ID22" i="13"/>
  <c r="IE15" i="13"/>
  <c r="IE16" i="13" s="1"/>
  <c r="IE21" i="13"/>
  <c r="IF13" i="13"/>
  <c r="IF14" i="13" s="1"/>
  <c r="IE18" i="13"/>
  <c r="IE24" i="13" s="1"/>
  <c r="IF6" i="13"/>
  <c r="IF7" i="13" s="1"/>
  <c r="IE19" i="13"/>
  <c r="IF9" i="13"/>
  <c r="IF10" i="13" s="1"/>
  <c r="IF20" i="13"/>
  <c r="IG11" i="13"/>
  <c r="IG12" i="13" s="1"/>
  <c r="IE22" i="13" l="1"/>
  <c r="IF15" i="13"/>
  <c r="IF16" i="13" s="1"/>
  <c r="IG20" i="13"/>
  <c r="IH11" i="13"/>
  <c r="IH12" i="13" s="1"/>
  <c r="IH3" i="13"/>
  <c r="IG23" i="13"/>
  <c r="IG26" i="13"/>
  <c r="IG27" i="13" s="1"/>
  <c r="IF19" i="13"/>
  <c r="IG9" i="13"/>
  <c r="IG10" i="13" s="1"/>
  <c r="IF21" i="13"/>
  <c r="IG13" i="13"/>
  <c r="IG14" i="13" s="1"/>
  <c r="IF18" i="13"/>
  <c r="IF24" i="13" s="1"/>
  <c r="IG6" i="13"/>
  <c r="IG7" i="13" s="1"/>
  <c r="IH23" i="13" l="1"/>
  <c r="II3" i="13"/>
  <c r="IH26" i="13"/>
  <c r="IH27" i="13" s="1"/>
  <c r="IH20" i="13"/>
  <c r="II11" i="13"/>
  <c r="II12" i="13" s="1"/>
  <c r="IH6" i="13"/>
  <c r="IH7" i="13" s="1"/>
  <c r="IG18" i="13"/>
  <c r="IG24" i="13" s="1"/>
  <c r="IF22" i="13"/>
  <c r="IG15" i="13"/>
  <c r="IG16" i="13" s="1"/>
  <c r="IG21" i="13"/>
  <c r="IH13" i="13"/>
  <c r="IH14" i="13" s="1"/>
  <c r="IG19" i="13"/>
  <c r="IH9" i="13"/>
  <c r="IH10" i="13" s="1"/>
  <c r="II20" i="13" l="1"/>
  <c r="IJ11" i="13"/>
  <c r="IJ12" i="13" s="1"/>
  <c r="IH18" i="13"/>
  <c r="IH24" i="13" s="1"/>
  <c r="II6" i="13"/>
  <c r="II7" i="13" s="1"/>
  <c r="IH21" i="13"/>
  <c r="II13" i="13"/>
  <c r="II14" i="13" s="1"/>
  <c r="II23" i="13"/>
  <c r="IJ3" i="13"/>
  <c r="II26" i="13"/>
  <c r="II27" i="13" s="1"/>
  <c r="IH19" i="13"/>
  <c r="II9" i="13"/>
  <c r="II10" i="13" s="1"/>
  <c r="IG22" i="13"/>
  <c r="IH15" i="13"/>
  <c r="IH16" i="13" s="1"/>
  <c r="IJ26" i="13" l="1"/>
  <c r="IJ27" i="13" s="1"/>
  <c r="IJ23" i="13"/>
  <c r="IK3" i="13"/>
  <c r="II21" i="13"/>
  <c r="IJ13" i="13"/>
  <c r="IJ14" i="13" s="1"/>
  <c r="IH22" i="13"/>
  <c r="II15" i="13"/>
  <c r="II16" i="13" s="1"/>
  <c r="II18" i="13"/>
  <c r="II24" i="13" s="1"/>
  <c r="IJ6" i="13"/>
  <c r="IJ7" i="13" s="1"/>
  <c r="II19" i="13"/>
  <c r="IJ9" i="13"/>
  <c r="IJ10" i="13" s="1"/>
  <c r="IJ20" i="13"/>
  <c r="IK11" i="13"/>
  <c r="IK12" i="13" s="1"/>
  <c r="II22" i="13" l="1"/>
  <c r="IJ15" i="13"/>
  <c r="IJ16" i="13" s="1"/>
  <c r="IJ21" i="13"/>
  <c r="IK13" i="13"/>
  <c r="IK14" i="13" s="1"/>
  <c r="IK20" i="13"/>
  <c r="IL11" i="13"/>
  <c r="IL12" i="13" s="1"/>
  <c r="IJ19" i="13"/>
  <c r="IK9" i="13"/>
  <c r="IK10" i="13" s="1"/>
  <c r="IK23" i="13"/>
  <c r="IL3" i="13"/>
  <c r="IK26" i="13"/>
  <c r="IK27" i="13" s="1"/>
  <c r="IJ18" i="13"/>
  <c r="IJ24" i="13" s="1"/>
  <c r="IK6" i="13"/>
  <c r="IK7" i="13" s="1"/>
  <c r="IL20" i="13" l="1"/>
  <c r="IM11" i="13"/>
  <c r="IM12" i="13" s="1"/>
  <c r="IK21" i="13"/>
  <c r="IL13" i="13"/>
  <c r="IL14" i="13" s="1"/>
  <c r="IJ22" i="13"/>
  <c r="IK15" i="13"/>
  <c r="IK16" i="13" s="1"/>
  <c r="IK19" i="13"/>
  <c r="IL9" i="13"/>
  <c r="IL10" i="13" s="1"/>
  <c r="IK18" i="13"/>
  <c r="IK24" i="13" s="1"/>
  <c r="IL6" i="13"/>
  <c r="IL7" i="13" s="1"/>
  <c r="IL23" i="13"/>
  <c r="IM3" i="13"/>
  <c r="IL26" i="13"/>
  <c r="IL27" i="13" s="1"/>
  <c r="IL19" i="13" l="1"/>
  <c r="IM9" i="13"/>
  <c r="IM10" i="13" s="1"/>
  <c r="IL21" i="13"/>
  <c r="IM13" i="13"/>
  <c r="IM14" i="13" s="1"/>
  <c r="IL18" i="13"/>
  <c r="IL24" i="13" s="1"/>
  <c r="IM6" i="13"/>
  <c r="IM7" i="13" s="1"/>
  <c r="IM20" i="13"/>
  <c r="IN11" i="13"/>
  <c r="IK22" i="13"/>
  <c r="IL15" i="13"/>
  <c r="IL16" i="13" s="1"/>
  <c r="IM23" i="13"/>
  <c r="IN3" i="13"/>
  <c r="C29" i="13" s="1"/>
  <c r="C26" i="13" s="1"/>
  <c r="IM26" i="13"/>
  <c r="IM27" i="13" s="1"/>
  <c r="IN12" i="13" l="1"/>
  <c r="IN20" i="13" s="1"/>
  <c r="IM21" i="13"/>
  <c r="IN13" i="13"/>
  <c r="IM18" i="13"/>
  <c r="IM24" i="13" s="1"/>
  <c r="IN6" i="13"/>
  <c r="IN23" i="13"/>
  <c r="IN26" i="13"/>
  <c r="IN27" i="13" s="1"/>
  <c r="IL22" i="13"/>
  <c r="IM15" i="13"/>
  <c r="IM16" i="13" s="1"/>
  <c r="IM19" i="13"/>
  <c r="IN9" i="13"/>
  <c r="IN7" i="13" l="1"/>
  <c r="IN18" i="13" s="1"/>
  <c r="IN24" i="13" s="1"/>
  <c r="D29" i="13" s="1"/>
  <c r="C43" i="15" s="1"/>
  <c r="C45" i="15" s="1"/>
  <c r="IN14" i="13"/>
  <c r="IN21" i="13" s="1"/>
  <c r="IN10" i="13"/>
  <c r="IN19" i="13" s="1"/>
  <c r="IM22" i="13"/>
  <c r="IN15" i="13"/>
  <c r="IN16" i="13" l="1"/>
  <c r="IN22" i="13" s="1"/>
</calcChain>
</file>

<file path=xl/sharedStrings.xml><?xml version="1.0" encoding="utf-8"?>
<sst xmlns="http://schemas.openxmlformats.org/spreadsheetml/2006/main" count="3473" uniqueCount="642">
  <si>
    <t>Province/State</t>
  </si>
  <si>
    <t>Country/Region</t>
  </si>
  <si>
    <t>Lat</t>
  </si>
  <si>
    <t>Long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</si>
  <si>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</si>
  <si>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</si>
  <si>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</si>
  <si>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</si>
  <si>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</si>
  <si>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</si>
  <si>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</si>
  <si>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</si>
  <si>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</si>
  <si>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</si>
  <si>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</si>
  <si>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</si>
  <si>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</si>
  <si>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</si>
  <si>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</si>
  <si>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</si>
  <si>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</si>
  <si>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</si>
  <si>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</si>
  <si>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</si>
  <si>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</si>
  <si>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</si>
  <si>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</si>
  <si>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</si>
  <si>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</si>
  <si>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</si>
  <si>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</si>
  <si>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</si>
  <si>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</si>
  <si>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</si>
  <si>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</si>
  <si>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</si>
  <si>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</si>
  <si>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</si>
  <si>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</si>
  <si>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</si>
  <si>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</si>
  <si>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</si>
  <si>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</si>
  <si>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</si>
  <si>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</si>
  <si>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</si>
  <si>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</si>
  <si>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</si>
  <si>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</si>
  <si>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</si>
  <si>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</si>
  <si>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</si>
  <si>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</si>
  <si>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</si>
  <si>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</si>
  <si>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</si>
  <si>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</si>
  <si>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</si>
  <si>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</si>
  <si>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</si>
  <si>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</si>
  <si>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</si>
  <si>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</si>
  <si>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</si>
  <si>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</si>
  <si>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</si>
  <si>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</si>
  <si>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</si>
  <si>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</si>
  <si>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</si>
  <si>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</si>
  <si>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</si>
  <si>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</si>
  <si>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</si>
  <si>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</si>
  <si>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</si>
  <si>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</si>
  <si>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</si>
  <si>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</si>
  <si>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</si>
  <si>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</si>
  <si>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</si>
  <si>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</si>
  <si>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</si>
  <si>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</si>
  <si>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</si>
  <si>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</si>
  <si>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</si>
  <si>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</si>
  <si>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</si>
  <si>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</si>
  <si>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</si>
  <si>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</si>
  <si>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</si>
  <si>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</si>
  <si>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</si>
  <si>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</si>
  <si>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</si>
  <si>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</si>
  <si>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</si>
  <si>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</si>
  <si>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</si>
  <si>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</si>
  <si>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</si>
  <si>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</si>
  <si>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</si>
  <si>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</si>
  <si>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</si>
  <si>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</si>
  <si>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</si>
  <si>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</si>
  <si>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</si>
  <si>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</si>
  <si>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</si>
  <si>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</si>
  <si>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</si>
  <si>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</si>
  <si>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</si>
  <si>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</si>
  <si>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</si>
  <si>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</si>
  <si>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</si>
  <si>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</si>
  <si>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</si>
  <si>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</si>
  <si>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</si>
  <si>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</si>
  <si>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</si>
  <si>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</si>
  <si>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</si>
  <si>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</si>
  <si>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</si>
  <si>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</si>
  <si>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</si>
  <si>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</si>
  <si>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</si>
  <si>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</si>
  <si>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</si>
  <si>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</si>
  <si>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</si>
  <si>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</si>
  <si>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</si>
  <si>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</si>
  <si>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</si>
  <si>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</si>
  <si>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</si>
  <si>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</si>
  <si>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</si>
  <si>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</si>
  <si>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</si>
  <si>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</si>
  <si>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</si>
  <si>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</si>
  <si>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</si>
  <si>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</si>
  <si>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</si>
  <si>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</si>
  <si>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</si>
  <si>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</si>
  <si>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</si>
  <si>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</si>
  <si>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</si>
  <si>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</si>
  <si>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</si>
  <si>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</si>
  <si>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</si>
  <si>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</si>
  <si>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</si>
  <si>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</si>
  <si>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</si>
  <si>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</si>
  <si>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</si>
  <si>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</si>
  <si>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</si>
  <si>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</si>
  <si>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</si>
  <si>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</si>
  <si>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</si>
  <si>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</si>
  <si>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</si>
  <si>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</si>
  <si>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</si>
  <si>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</si>
  <si>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</si>
  <si>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</si>
  <si>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</si>
  <si>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</si>
  <si>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</si>
  <si>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</si>
  <si>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</si>
  <si>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</si>
  <si>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</si>
  <si>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</si>
  <si>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</si>
  <si>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</si>
  <si>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</si>
  <si>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</si>
  <si>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</si>
  <si>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</si>
  <si>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</si>
  <si>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</si>
  <si>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</si>
  <si>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</si>
  <si>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</si>
  <si>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</si>
  <si>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</si>
  <si>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</si>
  <si>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</si>
  <si>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</si>
  <si>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</si>
  <si>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</si>
  <si>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</si>
  <si>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</si>
  <si>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</si>
  <si>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</si>
  <si>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</si>
  <si>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</si>
  <si>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</si>
  <si>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</si>
  <si>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</si>
  <si>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</si>
  <si>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</si>
  <si>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</si>
  <si>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</si>
  <si>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</si>
  <si>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</si>
  <si>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</si>
  <si>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</si>
  <si>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</si>
  <si>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</si>
  <si>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</si>
  <si>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</si>
  <si>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</si>
  <si>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</si>
  <si>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</si>
  <si>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</si>
  <si>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</si>
  <si>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</si>
  <si>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</si>
  <si>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</si>
  <si>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</si>
  <si>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</si>
  <si>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</si>
  <si>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</si>
  <si>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</si>
  <si>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</si>
  <si>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</si>
  <si>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</si>
  <si>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</si>
  <si>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</si>
  <si>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</si>
  <si>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</si>
  <si>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</si>
  <si>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</si>
  <si>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</si>
  <si>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</si>
  <si>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</si>
  <si>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</si>
  <si>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</si>
  <si>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</si>
  <si>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</si>
  <si>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</si>
  <si>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</si>
  <si>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</si>
  <si>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</si>
  <si>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</si>
  <si>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</si>
  <si>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</si>
  <si>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</si>
  <si>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</si>
  <si>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</si>
  <si>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</si>
  <si>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</si>
  <si>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</si>
  <si>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</si>
  <si>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</si>
  <si>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</si>
  <si>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</si>
  <si>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</si>
  <si>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</si>
  <si>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</si>
  <si>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</si>
  <si>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</si>
  <si>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</si>
  <si>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</si>
  <si>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</si>
  <si>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</si>
  <si>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</si>
  <si>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</si>
  <si>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</si>
  <si>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</si>
  <si>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</si>
  <si>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</si>
  <si>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</si>
  <si>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</si>
  <si>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</si>
  <si>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</si>
  <si>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</si>
  <si>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</si>
  <si>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</si>
  <si>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</si>
  <si>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</si>
  <si>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</si>
  <si>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</si>
  <si>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</si>
  <si>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</si>
  <si>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</si>
  <si>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</si>
  <si>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</si>
  <si>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</si>
  <si>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</si>
  <si>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</si>
  <si>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</si>
  <si>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</si>
  <si>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</si>
  <si>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</si>
  <si>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</si>
  <si>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</si>
  <si>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</si>
  <si>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</si>
  <si>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</si>
  <si>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</si>
  <si>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</si>
  <si>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</si>
  <si>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</si>
  <si>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</si>
  <si>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</si>
  <si>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</si>
  <si>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</si>
  <si>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</si>
  <si>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</si>
  <si>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</si>
  <si>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</si>
  <si>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</si>
  <si>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</si>
  <si>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</si>
  <si>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</si>
  <si>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</si>
  <si>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</si>
  <si>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</si>
  <si>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</si>
  <si>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</si>
  <si>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</si>
  <si>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</si>
  <si>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</si>
  <si>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</si>
  <si>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</si>
  <si>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</si>
  <si>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</si>
  <si>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</si>
  <si>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</si>
  <si>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</si>
  <si>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</si>
  <si>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</si>
  <si>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</si>
  <si>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</si>
  <si>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</si>
  <si>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</si>
  <si>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</si>
  <si>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</si>
  <si>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</si>
  <si>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</si>
  <si>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</si>
  <si>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</si>
  <si>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3/13/20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</si>
  <si>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</si>
  <si>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</si>
  <si>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</si>
  <si>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</si>
  <si>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</si>
  <si>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</si>
  <si>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</si>
  <si>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</si>
  <si>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</si>
  <si>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</si>
  <si>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</si>
  <si>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</si>
  <si>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</si>
  <si>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</si>
  <si>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</si>
  <si>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</si>
  <si>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</si>
  <si>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</si>
  <si>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</si>
  <si>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</si>
  <si>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</si>
  <si>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</si>
  <si>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</si>
  <si>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</si>
  <si>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</si>
  <si>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</si>
  <si>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</si>
  <si>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</si>
  <si>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</si>
  <si>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</si>
  <si>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</si>
  <si>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</si>
  <si>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</si>
  <si>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</si>
  <si>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</si>
  <si>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</si>
  <si>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</si>
  <si>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</si>
  <si>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</si>
  <si>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</si>
  <si>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</si>
  <si>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</si>
  <si>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</si>
  <si>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</si>
  <si>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</si>
  <si>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</si>
  <si>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</si>
  <si>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</si>
  <si>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</si>
  <si>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</si>
  <si>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</si>
  <si>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</si>
  <si>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</si>
  <si>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</si>
  <si>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</si>
  <si>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</si>
  <si>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</si>
  <si>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</si>
  <si>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</si>
  <si>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</si>
  <si>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</si>
  <si>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</si>
  <si>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</si>
  <si>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</si>
  <si>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</si>
  <si>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</si>
  <si>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</si>
  <si>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</si>
  <si>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</si>
  <si>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</si>
  <si>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</si>
  <si>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</si>
  <si>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</si>
  <si>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</si>
  <si>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</si>
  <si>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</si>
  <si>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</si>
  <si>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</si>
  <si>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</si>
  <si>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</si>
  <si>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</si>
  <si>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</si>
  <si>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</si>
  <si>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</si>
  <si>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</si>
  <si>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</si>
  <si>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</si>
  <si>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</si>
  <si>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</si>
  <si>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</si>
  <si>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</si>
  <si>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</si>
  <si>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</si>
  <si>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</si>
  <si>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</si>
  <si>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</si>
  <si>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>3/14/20</t>
  </si>
  <si>
    <t xml:space="preserve">Jackson County, OR </t>
  </si>
  <si>
    <t>Uruguay</t>
  </si>
  <si>
    <t>Ghana</t>
  </si>
  <si>
    <t>Puerto Rico</t>
  </si>
  <si>
    <t>Jersey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</si>
  <si>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</si>
  <si>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</si>
  <si>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</si>
  <si>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</si>
  <si>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</si>
  <si>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</si>
  <si>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</si>
  <si>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</si>
  <si>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Guernsey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</si>
  <si>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</si>
  <si>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</si>
  <si>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</si>
  <si>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</si>
  <si>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</si>
  <si>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</si>
  <si>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</si>
  <si>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</si>
  <si>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</si>
  <si>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Actual</t>
  </si>
  <si>
    <t>30% daily increase</t>
  </si>
  <si>
    <t>40% daily increase</t>
  </si>
  <si>
    <t>Day</t>
  </si>
  <si>
    <t>xMax2</t>
  </si>
  <si>
    <t>3/15/20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</si>
  <si>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</si>
  <si>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</si>
  <si>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</si>
  <si>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</si>
  <si>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</si>
  <si>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</si>
  <si>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</si>
  <si>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</si>
  <si>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</si>
  <si>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</si>
  <si>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</si>
  <si>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3/16/20</t>
  </si>
  <si>
    <t>Nova Scotia</t>
  </si>
  <si>
    <t>Benin</t>
  </si>
  <si>
    <t>Greenland</t>
  </si>
  <si>
    <t>Liberia</t>
  </si>
  <si>
    <t>Republic of the Congo</t>
  </si>
  <si>
    <t>Somalia</t>
  </si>
  <si>
    <t>Tanzania</t>
  </si>
  <si>
    <t>The Bahamas</t>
  </si>
  <si>
    <t>Virgin Islands</t>
  </si>
  <si>
    <t>Today</t>
  </si>
  <si>
    <t>Overload</t>
  </si>
  <si>
    <t>South Korea</t>
  </si>
  <si>
    <t>Per 100k</t>
  </si>
  <si>
    <t>Country</t>
  </si>
  <si>
    <t>Population</t>
  </si>
  <si>
    <t>Beds</t>
  </si>
  <si>
    <t>Czech Republic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</si>
  <si>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</si>
  <si>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</si>
  <si>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</si>
  <si>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</si>
  <si>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</si>
  <si>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</si>
  <si>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</si>
  <si>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</si>
  <si>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</si>
  <si>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</si>
  <si>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</si>
  <si>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</si>
  <si>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</si>
  <si>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</si>
  <si>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</si>
  <si>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</si>
  <si>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</si>
  <si>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</si>
  <si>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</si>
  <si>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</si>
  <si>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</si>
  <si>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</si>
  <si>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</si>
  <si>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</si>
  <si>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</si>
  <si>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</si>
  <si>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</si>
  <si>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</si>
  <si>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</si>
  <si>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</si>
  <si>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</si>
  <si>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</si>
  <si>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</si>
  <si>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</si>
  <si>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</si>
  <si>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</si>
  <si>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</si>
  <si>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</si>
  <si>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</si>
  <si>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</si>
  <si>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</si>
  <si>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</si>
  <si>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</si>
  <si>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</si>
  <si>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</si>
  <si>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</si>
  <si>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</si>
  <si>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</si>
  <si>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</si>
  <si>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</si>
  <si>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</si>
  <si>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</si>
  <si>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</si>
  <si>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</si>
  <si>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</si>
  <si>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</si>
  <si>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</si>
  <si>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</si>
  <si>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</si>
  <si>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</si>
  <si>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</si>
  <si>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</si>
  <si>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</si>
  <si>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</si>
  <si>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</si>
  <si>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</si>
  <si>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</si>
  <si>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</si>
  <si>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</si>
  <si>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</si>
  <si>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</si>
  <si>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</si>
  <si>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</si>
  <si>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</si>
  <si>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</si>
  <si>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</si>
  <si>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</si>
  <si>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</si>
  <si>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</si>
  <si>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</si>
  <si>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</si>
  <si>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</si>
  <si>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</si>
  <si>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</si>
  <si>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</si>
  <si>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</si>
  <si>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100th Day</t>
  </si>
  <si>
    <t>Critical care overload date</t>
  </si>
  <si>
    <t>Days remaining</t>
  </si>
  <si>
    <t>Current Cases</t>
  </si>
  <si>
    <t>Daily increase rate</t>
  </si>
  <si>
    <t>Infected</t>
  </si>
  <si>
    <t>Active Cases</t>
  </si>
  <si>
    <t>Total infected</t>
  </si>
  <si>
    <t>Days more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</si>
  <si>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</si>
  <si>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</si>
  <si>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</si>
  <si>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</si>
  <si>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</si>
  <si>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</si>
  <si>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</si>
  <si>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>Those requiring critical care (estimated)</t>
  </si>
  <si>
    <t>Currently in critical care (estimated)</t>
  </si>
  <si>
    <t>3/17/20</t>
  </si>
  <si>
    <t>The Gambia</t>
  </si>
  <si>
    <t xml:space="preserve"> </t>
  </si>
  <si>
    <t>Current daily rate of increase (5 day rolling average)</t>
  </si>
  <si>
    <t>Lockdown initiated</t>
  </si>
  <si>
    <t>Social distancing measures</t>
  </si>
  <si>
    <t>Social distancing</t>
  </si>
  <si>
    <t>Social distancing implemented</t>
  </si>
  <si>
    <t>Critically Ill (estimate)</t>
  </si>
  <si>
    <t>Days until healthcare overload</t>
  </si>
  <si>
    <t>Schools shut</t>
  </si>
  <si>
    <t>Social distancing introduced</t>
  </si>
  <si>
    <t>UK</t>
  </si>
  <si>
    <t>Total cases</t>
  </si>
  <si>
    <t>Active cases</t>
  </si>
  <si>
    <t>Expected next total</t>
  </si>
  <si>
    <t>Recovered</t>
  </si>
  <si>
    <t>Dead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</si>
</sst>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6"/>
      <color theme="0"/>
      <name val="Verdana"/>
      <family val="2"/>
    </font>
    <font>
      <sz val="11"/>
      <color rgb="FF24292E"/>
      <name val="Calibri"/>
      <family val="2"/>
      <scheme val="minor"/>
    </font>
    <font>
      <sz val="11"/>
      <color rgb="FFFF0000"/>
      <name val="Verdana"/>
      <family val="2"/>
    </font>
    <font>
      <sz val="11"/>
      <color rgb="FF00B05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0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7" fillId="0" borderId="0" xfId="0" applyNumberFormat="1" applyFont="1" applyFill="1"/>
    <xf numFmtId="0" fontId="7" fillId="0" borderId="5" xfId="0" applyFont="1" applyFill="1" applyBorder="1" applyAlignment="1">
      <alignment vertical="top"/>
    </xf>
    <xf numFmtId="3" fontId="7" fillId="0" borderId="3" xfId="0" applyNumberFormat="1" applyFont="1" applyFill="1" applyBorder="1" applyAlignment="1">
      <alignment vertical="top"/>
    </xf>
    <xf numFmtId="10" fontId="7" fillId="0" borderId="3" xfId="0" applyNumberFormat="1" applyFont="1" applyFill="1" applyBorder="1" applyAlignment="1">
      <alignment vertical="top" wrapText="1"/>
    </xf>
    <xf numFmtId="3" fontId="7" fillId="0" borderId="3" xfId="0" applyNumberFormat="1" applyFont="1" applyFill="1" applyBorder="1" applyAlignment="1">
      <alignment vertical="top" wrapText="1"/>
    </xf>
    <xf numFmtId="0" fontId="7" fillId="0" borderId="3" xfId="0" applyFont="1" applyFill="1" applyBorder="1" applyAlignment="1">
      <alignment vertical="top" wrapText="1"/>
    </xf>
    <xf numFmtId="9" fontId="7" fillId="0" borderId="3" xfId="0" applyNumberFormat="1" applyFont="1" applyFill="1" applyBorder="1" applyAlignment="1">
      <alignment vertical="top" wrapText="1"/>
    </xf>
    <xf numFmtId="3" fontId="7" fillId="0" borderId="4" xfId="0" applyNumberFormat="1" applyFont="1" applyFill="1" applyBorder="1" applyAlignment="1">
      <alignment vertical="top" wrapText="1"/>
    </xf>
    <xf numFmtId="0" fontId="7" fillId="0" borderId="4" xfId="0" applyFont="1" applyFill="1" applyBorder="1" applyAlignment="1">
      <alignment vertical="top"/>
    </xf>
    <xf numFmtId="0" fontId="7" fillId="0" borderId="6" xfId="0" applyFont="1" applyFill="1" applyBorder="1" applyAlignment="1">
      <alignment vertical="top"/>
    </xf>
    <xf numFmtId="10" fontId="7" fillId="0" borderId="6" xfId="0" applyNumberFormat="1" applyFont="1" applyFill="1" applyBorder="1" applyAlignment="1">
      <alignment vertical="top" wrapText="1"/>
    </xf>
    <xf numFmtId="0" fontId="7" fillId="0" borderId="6" xfId="0" applyFont="1" applyFill="1" applyBorder="1" applyAlignment="1">
      <alignment vertical="top" wrapText="1"/>
    </xf>
    <xf numFmtId="3" fontId="7" fillId="0" borderId="6" xfId="0" applyNumberFormat="1" applyFont="1" applyFill="1" applyBorder="1" applyAlignment="1">
      <alignment vertical="top" wrapText="1"/>
    </xf>
    <xf numFmtId="0" fontId="9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0" fontId="0" fillId="0" borderId="0" xfId="0" applyNumberFormat="1" applyFont="1" applyFill="1" applyBorder="1"/>
    <xf numFmtId="165" fontId="1" fillId="0" borderId="0" xfId="1" applyNumberFormat="1" applyFont="1" applyFill="1" applyBorder="1"/>
    <xf numFmtId="0" fontId="0" fillId="0" borderId="10" xfId="0" applyNumberFormat="1" applyFont="1" applyFill="1" applyBorder="1" applyAlignment="1"/>
    <xf numFmtId="165" fontId="0" fillId="0" borderId="11" xfId="0" applyNumberFormat="1" applyFont="1" applyFill="1" applyBorder="1"/>
    <xf numFmtId="0" fontId="0" fillId="0" borderId="10" xfId="0" applyFont="1" applyFill="1" applyBorder="1"/>
    <xf numFmtId="0" fontId="6" fillId="4" borderId="15" xfId="0" applyFont="1" applyFill="1" applyBorder="1"/>
    <xf numFmtId="0" fontId="6" fillId="4" borderId="16" xfId="0" applyFont="1" applyFill="1" applyBorder="1"/>
    <xf numFmtId="165" fontId="0" fillId="0" borderId="11" xfId="1" applyNumberFormat="1" applyFont="1" applyFill="1" applyBorder="1"/>
    <xf numFmtId="0" fontId="6" fillId="4" borderId="16" xfId="0" applyFont="1" applyFill="1" applyBorder="1" applyAlignment="1">
      <alignment wrapText="1"/>
    </xf>
    <xf numFmtId="9" fontId="0" fillId="0" borderId="0" xfId="2" applyFont="1" applyFill="1"/>
    <xf numFmtId="0" fontId="9" fillId="0" borderId="0" xfId="0" applyFont="1" applyAlignment="1">
      <alignment horizontal="right"/>
    </xf>
    <xf numFmtId="0" fontId="9" fillId="6" borderId="7" xfId="0" applyFont="1" applyFill="1" applyBorder="1"/>
    <xf numFmtId="0" fontId="9" fillId="6" borderId="8" xfId="0" applyFont="1" applyFill="1" applyBorder="1"/>
    <xf numFmtId="0" fontId="9" fillId="6" borderId="9" xfId="0" applyFont="1" applyFill="1" applyBorder="1"/>
    <xf numFmtId="0" fontId="9" fillId="6" borderId="10" xfId="0" applyFont="1" applyFill="1" applyBorder="1"/>
    <xf numFmtId="0" fontId="9" fillId="6" borderId="0" xfId="0" applyFont="1" applyFill="1" applyBorder="1"/>
    <xf numFmtId="0" fontId="9" fillId="6" borderId="11" xfId="0" applyFont="1" applyFill="1" applyBorder="1"/>
    <xf numFmtId="0" fontId="9" fillId="6" borderId="12" xfId="0" applyFont="1" applyFill="1" applyBorder="1"/>
    <xf numFmtId="0" fontId="9" fillId="6" borderId="13" xfId="0" applyFont="1" applyFill="1" applyBorder="1"/>
    <xf numFmtId="0" fontId="9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6" borderId="0" xfId="0" applyFont="1" applyFill="1"/>
    <xf numFmtId="0" fontId="6" fillId="4" borderId="7" xfId="0" applyFont="1" applyFill="1" applyBorder="1" applyAlignment="1">
      <alignment vertical="center" wrapText="1"/>
    </xf>
    <xf numFmtId="0" fontId="6" fillId="4" borderId="8" xfId="0" applyFont="1" applyFill="1" applyBorder="1" applyAlignment="1">
      <alignment wrapText="1"/>
    </xf>
    <xf numFmtId="0" fontId="6" fillId="4" borderId="9" xfId="0" applyFont="1" applyFill="1" applyBorder="1" applyAlignment="1">
      <alignment wrapText="1"/>
    </xf>
    <xf numFmtId="43" fontId="7" fillId="0" borderId="11" xfId="1" applyFont="1" applyFill="1" applyBorder="1" applyAlignment="1">
      <alignment vertical="top"/>
    </xf>
    <xf numFmtId="0" fontId="12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8" fillId="6" borderId="0" xfId="0" applyFont="1" applyFill="1" applyBorder="1"/>
    <xf numFmtId="0" fontId="8" fillId="4" borderId="18" xfId="0" applyFont="1" applyFill="1" applyBorder="1" applyAlignment="1">
      <alignment horizontal="left" vertical="center" wrapText="1"/>
    </xf>
    <xf numFmtId="0" fontId="8" fillId="4" borderId="19" xfId="0" applyFont="1" applyFill="1" applyBorder="1" applyAlignment="1">
      <alignment horizontal="left" vertical="center" wrapText="1"/>
    </xf>
    <xf numFmtId="14" fontId="9" fillId="5" borderId="18" xfId="2" applyNumberFormat="1" applyFont="1" applyFill="1" applyBorder="1" applyAlignment="1">
      <alignment horizontal="right" vertical="center"/>
    </xf>
    <xf numFmtId="14" fontId="9" fillId="5" borderId="19" xfId="2" applyNumberFormat="1" applyFont="1" applyFill="1" applyBorder="1" applyAlignment="1">
      <alignment horizontal="right" vertical="center"/>
    </xf>
    <xf numFmtId="0" fontId="11" fillId="4" borderId="0" xfId="0" applyFont="1" applyFill="1" applyBorder="1" applyAlignment="1">
      <alignment horizontal="center" vertical="center" wrapText="1"/>
    </xf>
    <xf numFmtId="10" fontId="9" fillId="5" borderId="18" xfId="0" applyNumberFormat="1" applyFont="1" applyFill="1" applyBorder="1" applyAlignment="1">
      <alignment horizontal="right" vertical="center"/>
    </xf>
    <xf numFmtId="10" fontId="9" fillId="5" borderId="19" xfId="0" applyNumberFormat="1" applyFont="1" applyFill="1" applyBorder="1" applyAlignment="1">
      <alignment horizontal="right" vertical="center"/>
    </xf>
    <xf numFmtId="165" fontId="9" fillId="5" borderId="18" xfId="1" applyNumberFormat="1" applyFont="1" applyFill="1" applyBorder="1" applyAlignment="1">
      <alignment horizontal="right" vertical="center"/>
    </xf>
    <xf numFmtId="165" fontId="9" fillId="5" borderId="19" xfId="1" applyNumberFormat="1" applyFont="1" applyFill="1" applyBorder="1" applyAlignment="1">
      <alignment horizontal="right" vertical="center"/>
    </xf>
    <xf numFmtId="0" fontId="8" fillId="4" borderId="18" xfId="0" applyFont="1" applyFill="1" applyBorder="1" applyAlignment="1">
      <alignment horizontal="left" vertical="center"/>
    </xf>
    <xf numFmtId="0" fontId="8" fillId="4" borderId="19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left" vertical="center"/>
    </xf>
    <xf numFmtId="165" fontId="13" fillId="5" borderId="18" xfId="1" applyNumberFormat="1" applyFont="1" applyFill="1" applyBorder="1" applyAlignment="1">
      <alignment horizontal="right" vertical="center"/>
    </xf>
    <xf numFmtId="165" fontId="13" fillId="5" borderId="19" xfId="1" applyNumberFormat="1" applyFont="1" applyFill="1" applyBorder="1" applyAlignment="1">
      <alignment horizontal="right" vertical="center"/>
    </xf>
    <xf numFmtId="165" fontId="14" fillId="5" borderId="18" xfId="1" applyNumberFormat="1" applyFont="1" applyFill="1" applyBorder="1" applyAlignment="1">
      <alignment horizontal="center" vertical="center"/>
    </xf>
    <xf numFmtId="165" fontId="14" fillId="5" borderId="19" xfId="1" applyNumberFormat="1" applyFont="1" applyFill="1" applyBorder="1" applyAlignment="1">
      <alignment horizontal="center" vertical="center"/>
    </xf>
    <xf numFmtId="165" fontId="9" fillId="5" borderId="17" xfId="1" applyNumberFormat="1" applyFont="1" applyFill="1" applyBorder="1" applyAlignment="1">
      <alignment horizontal="center" vertical="center"/>
    </xf>
    <xf numFmtId="165" fontId="9" fillId="5" borderId="17" xfId="1" applyNumberFormat="1" applyFont="1" applyFill="1" applyBorder="1" applyAlignment="1">
      <alignment horizontal="left" vertical="center"/>
    </xf>
    <xf numFmtId="165" fontId="9" fillId="5" borderId="17" xfId="1" applyNumberFormat="1" applyFont="1" applyFill="1" applyBorder="1" applyAlignment="1">
      <alignment horizontal="right" vertical="center"/>
    </xf>
    <xf numFmtId="0" fontId="8" fillId="4" borderId="17" xfId="0" applyFont="1" applyFill="1" applyBorder="1" applyAlignment="1">
      <alignment vertical="center"/>
    </xf>
    <xf numFmtId="166" fontId="9" fillId="5" borderId="17" xfId="0" applyNumberFormat="1" applyFont="1" applyFill="1" applyBorder="1" applyAlignment="1">
      <alignment horizontal="right" vertical="center"/>
    </xf>
    <xf numFmtId="9" fontId="9" fillId="5" borderId="18" xfId="2" applyFont="1" applyFill="1" applyBorder="1" applyAlignment="1">
      <alignment horizontal="right" vertical="center"/>
    </xf>
    <xf numFmtId="9" fontId="9" fillId="5" borderId="19" xfId="2" applyFont="1" applyFill="1" applyBorder="1" applyAlignment="1">
      <alignment horizontal="right" vertical="center"/>
    </xf>
  </cellXfs>
  <cellStyles count="3">
    <cellStyle name="Comma" xfId="1" builtinId="3"/>
    <cellStyle name="Normal" xfId="0" builtinId="0"/>
    <cellStyle name="Percent" xfId="2" builtinId="5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'Projections Data'!$F$9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Data'!$G$10:$KU$10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4481</c:v>
                </c:pt>
                <c:pt idx="13">
                  <c:v>5654</c:v>
                </c:pt>
                <c:pt idx="14">
                  <c:v>7053</c:v>
                </c:pt>
                <c:pt idx="15">
                  <c:v>8719</c:v>
                </c:pt>
                <c:pt idx="16">
                  <c:v>9494</c:v>
                </c:pt>
                <c:pt idx="17">
                  <c:v>11574</c:v>
                </c:pt>
                <c:pt idx="18">
                  <c:v>12872</c:v>
                </c:pt>
                <c:pt idx="19">
                  <c:v>15966</c:v>
                </c:pt>
                <c:pt idx="20">
                  <c:v>19121</c:v>
                </c:pt>
                <c:pt idx="21">
                  <c:v>22245</c:v>
                </c:pt>
                <c:pt idx="22">
                  <c:v>24891</c:v>
                </c:pt>
                <c:pt idx="23">
                  <c:v>27648</c:v>
                </c:pt>
                <c:pt idx="24">
                  <c:v>30020.600000000006</c:v>
                </c:pt>
                <c:pt idx="25">
                  <c:v>32239.260000000009</c:v>
                </c:pt>
                <c:pt idx="26">
                  <c:v>34559.486000000012</c:v>
                </c:pt>
                <c:pt idx="27">
                  <c:v>36955.934600000015</c:v>
                </c:pt>
                <c:pt idx="28">
                  <c:v>40591.728060000023</c:v>
                </c:pt>
                <c:pt idx="29">
                  <c:v>43352.800866000027</c:v>
                </c:pt>
                <c:pt idx="30">
                  <c:v>47396.280952600035</c:v>
                </c:pt>
                <c:pt idx="31">
                  <c:v>49875.909047860041</c:v>
                </c:pt>
                <c:pt idx="32">
                  <c:v>53132.499952646045</c:v>
                </c:pt>
                <c:pt idx="33">
                  <c:v>56971.44994791066</c:v>
                </c:pt>
                <c:pt idx="34">
                  <c:v>61910.29494270173</c:v>
                </c:pt>
                <c:pt idx="35">
                  <c:v>67373.324436971918</c:v>
                </c:pt>
                <c:pt idx="36">
                  <c:v>74110.656880669107</c:v>
                </c:pt>
                <c:pt idx="37">
                  <c:v>81521.722568736019</c:v>
                </c:pt>
                <c:pt idx="38">
                  <c:v>89673.894825609634</c:v>
                </c:pt>
                <c:pt idx="39">
                  <c:v>98641.284308170609</c:v>
                </c:pt>
                <c:pt idx="40">
                  <c:v>108505.41273898768</c:v>
                </c:pt>
                <c:pt idx="41">
                  <c:v>119355.95401288645</c:v>
                </c:pt>
                <c:pt idx="42">
                  <c:v>131291.5494141751</c:v>
                </c:pt>
                <c:pt idx="43">
                  <c:v>144420.70435559261</c:v>
                </c:pt>
                <c:pt idx="44">
                  <c:v>158862.77479115187</c:v>
                </c:pt>
                <c:pt idx="45">
                  <c:v>174749.0522702671</c:v>
                </c:pt>
                <c:pt idx="46">
                  <c:v>192223.9574972938</c:v>
                </c:pt>
                <c:pt idx="47">
                  <c:v>211446.35324702319</c:v>
                </c:pt>
                <c:pt idx="48">
                  <c:v>232590.98857172555</c:v>
                </c:pt>
                <c:pt idx="49">
                  <c:v>255850.08742889814</c:v>
                </c:pt>
                <c:pt idx="50">
                  <c:v>281435.09617178794</c:v>
                </c:pt>
                <c:pt idx="51">
                  <c:v>309578.60578896676</c:v>
                </c:pt>
                <c:pt idx="52">
                  <c:v>340536.46636786347</c:v>
                </c:pt>
                <c:pt idx="53">
                  <c:v>374590.11300464987</c:v>
                </c:pt>
                <c:pt idx="54">
                  <c:v>412049.12430511496</c:v>
                </c:pt>
                <c:pt idx="55">
                  <c:v>453254.03673562652</c:v>
                </c:pt>
                <c:pt idx="56">
                  <c:v>498579.44040918921</c:v>
                </c:pt>
                <c:pt idx="57">
                  <c:v>548437.38445010816</c:v>
                </c:pt>
                <c:pt idx="58">
                  <c:v>603281.12289511913</c:v>
                </c:pt>
                <c:pt idx="59">
                  <c:v>663609.23518463108</c:v>
                </c:pt>
                <c:pt idx="60">
                  <c:v>729970.15870309412</c:v>
                </c:pt>
                <c:pt idx="61">
                  <c:v>802967.17457340367</c:v>
                </c:pt>
                <c:pt idx="62">
                  <c:v>883263.89203074411</c:v>
                </c:pt>
                <c:pt idx="63">
                  <c:v>971590.28123381874</c:v>
                </c:pt>
                <c:pt idx="64">
                  <c:v>1068749.3093572007</c:v>
                </c:pt>
                <c:pt idx="65">
                  <c:v>1175624.2402929207</c:v>
                </c:pt>
                <c:pt idx="66">
                  <c:v>1293186.6643222128</c:v>
                </c:pt>
                <c:pt idx="67">
                  <c:v>1422505.3307544342</c:v>
                </c:pt>
                <c:pt idx="68">
                  <c:v>1564755.8638298777</c:v>
                </c:pt>
                <c:pt idx="69">
                  <c:v>1721231.4502128661</c:v>
                </c:pt>
                <c:pt idx="70">
                  <c:v>1893354.5952341529</c:v>
                </c:pt>
                <c:pt idx="71">
                  <c:v>2082690.0547575683</c:v>
                </c:pt>
                <c:pt idx="72">
                  <c:v>2290959.0602333257</c:v>
                </c:pt>
                <c:pt idx="73">
                  <c:v>2520054.9662566585</c:v>
                </c:pt>
                <c:pt idx="74">
                  <c:v>2772060.4628823246</c:v>
                </c:pt>
                <c:pt idx="75">
                  <c:v>3049266.5091705574</c:v>
                </c:pt>
                <c:pt idx="76">
                  <c:v>3354193.1600876134</c:v>
                </c:pt>
                <c:pt idx="77">
                  <c:v>3689612.4760963744</c:v>
                </c:pt>
                <c:pt idx="78">
                  <c:v>4058573.7237060126</c:v>
                </c:pt>
                <c:pt idx="79">
                  <c:v>4464431.0960766142</c:v>
                </c:pt>
                <c:pt idx="80">
                  <c:v>4910874.2056842763</c:v>
                </c:pt>
                <c:pt idx="81">
                  <c:v>5401961.6262527034</c:v>
                </c:pt>
                <c:pt idx="82">
                  <c:v>5942157.7888779733</c:v>
                </c:pt>
                <c:pt idx="83">
                  <c:v>6536373.5677657714</c:v>
                </c:pt>
                <c:pt idx="84">
                  <c:v>7190010.9245423488</c:v>
                </c:pt>
                <c:pt idx="85">
                  <c:v>7909012.0169965839</c:v>
                </c:pt>
                <c:pt idx="86">
                  <c:v>8699913.2186962422</c:v>
                </c:pt>
                <c:pt idx="87">
                  <c:v>9569904.540565867</c:v>
                </c:pt>
                <c:pt idx="88">
                  <c:v>10526894.994622454</c:v>
                </c:pt>
                <c:pt idx="89">
                  <c:v>11579584.494084701</c:v>
                </c:pt>
                <c:pt idx="90">
                  <c:v>12737542.943493173</c:v>
                </c:pt>
                <c:pt idx="91">
                  <c:v>14011297.237842493</c:v>
                </c:pt>
                <c:pt idx="92">
                  <c:v>15412426.961626742</c:v>
                </c:pt>
                <c:pt idx="93">
                  <c:v>16256632.436866146</c:v>
                </c:pt>
                <c:pt idx="94">
                  <c:v>15463822.640552761</c:v>
                </c:pt>
                <c:pt idx="95">
                  <c:v>14591731.864608036</c:v>
                </c:pt>
                <c:pt idx="96">
                  <c:v>13632432.01106884</c:v>
                </c:pt>
                <c:pt idx="97">
                  <c:v>12577202.172175722</c:v>
                </c:pt>
                <c:pt idx="98">
                  <c:v>11416449.349393293</c:v>
                </c:pt>
                <c:pt idx="99">
                  <c:v>10139621.244332621</c:v>
                </c:pt>
                <c:pt idx="100">
                  <c:v>8735110.3287658822</c:v>
                </c:pt>
                <c:pt idx="101">
                  <c:v>7190148.3216424696</c:v>
                </c:pt>
                <c:pt idx="102">
                  <c:v>5490690.1138067134</c:v>
                </c:pt>
                <c:pt idx="103">
                  <c:v>3621286.085187383</c:v>
                </c:pt>
                <c:pt idx="104">
                  <c:v>1564941.6537061185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'Projections Data'!$F$11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Data'!$G$12:$KU$12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4481</c:v>
                </c:pt>
                <c:pt idx="13">
                  <c:v>5654</c:v>
                </c:pt>
                <c:pt idx="14">
                  <c:v>7053</c:v>
                </c:pt>
                <c:pt idx="15">
                  <c:v>8719</c:v>
                </c:pt>
                <c:pt idx="16">
                  <c:v>9494</c:v>
                </c:pt>
                <c:pt idx="17">
                  <c:v>11574</c:v>
                </c:pt>
                <c:pt idx="18">
                  <c:v>12872</c:v>
                </c:pt>
                <c:pt idx="19">
                  <c:v>15966</c:v>
                </c:pt>
                <c:pt idx="20">
                  <c:v>19121</c:v>
                </c:pt>
                <c:pt idx="21">
                  <c:v>22245</c:v>
                </c:pt>
                <c:pt idx="22">
                  <c:v>24891</c:v>
                </c:pt>
                <c:pt idx="23">
                  <c:v>27648</c:v>
                </c:pt>
                <c:pt idx="24">
                  <c:v>34746.5</c:v>
                </c:pt>
                <c:pt idx="25">
                  <c:v>43345.125</c:v>
                </c:pt>
                <c:pt idx="26">
                  <c:v>54160.15625</c:v>
                </c:pt>
                <c:pt idx="27">
                  <c:v>67746.9453125</c:v>
                </c:pt>
                <c:pt idx="28">
                  <c:v>85999.681640625</c:v>
                </c:pt>
                <c:pt idx="29">
                  <c:v>107723.85205078125</c:v>
                </c:pt>
                <c:pt idx="30">
                  <c:v>136232.31506347656</c:v>
                </c:pt>
                <c:pt idx="31">
                  <c:v>170130.3938293457</c:v>
                </c:pt>
                <c:pt idx="32">
                  <c:v>213580.99228668213</c:v>
                </c:pt>
                <c:pt idx="33">
                  <c:v>268675.49035835266</c:v>
                </c:pt>
                <c:pt idx="34">
                  <c:v>338798.11294794083</c:v>
                </c:pt>
                <c:pt idx="35">
                  <c:v>426966.64118492603</c:v>
                </c:pt>
                <c:pt idx="36">
                  <c:v>533708.30148115754</c:v>
                </c:pt>
                <c:pt idx="37">
                  <c:v>667135.37685144693</c:v>
                </c:pt>
                <c:pt idx="38">
                  <c:v>833919.22106430866</c:v>
                </c:pt>
                <c:pt idx="39">
                  <c:v>1042399.0263303858</c:v>
                </c:pt>
                <c:pt idx="40">
                  <c:v>1302998.7829129822</c:v>
                </c:pt>
                <c:pt idx="41">
                  <c:v>1628748.4786412278</c:v>
                </c:pt>
                <c:pt idx="42">
                  <c:v>2035935.5983015345</c:v>
                </c:pt>
                <c:pt idx="43">
                  <c:v>2544919.4978769179</c:v>
                </c:pt>
                <c:pt idx="44">
                  <c:v>3181149.3723461474</c:v>
                </c:pt>
                <c:pt idx="45">
                  <c:v>3976436.7154326839</c:v>
                </c:pt>
                <c:pt idx="46">
                  <c:v>4970545.8942908552</c:v>
                </c:pt>
                <c:pt idx="47">
                  <c:v>6213182.3678635694</c:v>
                </c:pt>
                <c:pt idx="48">
                  <c:v>7766477.9598294618</c:v>
                </c:pt>
                <c:pt idx="49">
                  <c:v>9708097.449786827</c:v>
                </c:pt>
                <c:pt idx="50">
                  <c:v>12135121.812233534</c:v>
                </c:pt>
                <c:pt idx="51">
                  <c:v>15168902.265291918</c:v>
                </c:pt>
                <c:pt idx="52">
                  <c:v>18961127.8316149</c:v>
                </c:pt>
                <c:pt idx="53">
                  <c:v>22435796.069307994</c:v>
                </c:pt>
                <c:pt idx="54">
                  <c:v>21998562.486634992</c:v>
                </c:pt>
                <c:pt idx="55">
                  <c:v>21452020.50829374</c:v>
                </c:pt>
                <c:pt idx="56">
                  <c:v>20768843.035367172</c:v>
                </c:pt>
                <c:pt idx="57">
                  <c:v>19914871.194208965</c:v>
                </c:pt>
                <c:pt idx="58">
                  <c:v>18847406.392761208</c:v>
                </c:pt>
                <c:pt idx="59">
                  <c:v>17513075.390951507</c:v>
                </c:pt>
                <c:pt idx="60">
                  <c:v>15845161.638689384</c:v>
                </c:pt>
                <c:pt idx="61">
                  <c:v>13760269.448361728</c:v>
                </c:pt>
                <c:pt idx="62">
                  <c:v>11154154.21045216</c:v>
                </c:pt>
                <c:pt idx="63">
                  <c:v>7896510.1630651988</c:v>
                </c:pt>
                <c:pt idx="64">
                  <c:v>3824455.1038314961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'Projections Data'!$F$15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Data'!$G$16:$KU$16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4481</c:v>
                </c:pt>
                <c:pt idx="13">
                  <c:v>5654</c:v>
                </c:pt>
                <c:pt idx="14">
                  <c:v>7053</c:v>
                </c:pt>
                <c:pt idx="15">
                  <c:v>8719</c:v>
                </c:pt>
                <c:pt idx="16">
                  <c:v>9494</c:v>
                </c:pt>
                <c:pt idx="17">
                  <c:v>11574</c:v>
                </c:pt>
                <c:pt idx="18">
                  <c:v>12872</c:v>
                </c:pt>
                <c:pt idx="19">
                  <c:v>15966</c:v>
                </c:pt>
                <c:pt idx="20">
                  <c:v>19121</c:v>
                </c:pt>
                <c:pt idx="21">
                  <c:v>22245</c:v>
                </c:pt>
                <c:pt idx="22">
                  <c:v>24891</c:v>
                </c:pt>
                <c:pt idx="23">
                  <c:v>27648</c:v>
                </c:pt>
                <c:pt idx="24">
                  <c:v>39472.399999999994</c:v>
                </c:pt>
                <c:pt idx="25">
                  <c:v>55868.759999999987</c:v>
                </c:pt>
                <c:pt idx="26">
                  <c:v>79077.463999999978</c:v>
                </c:pt>
                <c:pt idx="27">
                  <c:v>111861.44959999996</c:v>
                </c:pt>
                <c:pt idx="28">
                  <c:v>159297.82943999994</c:v>
                </c:pt>
                <c:pt idx="29">
                  <c:v>224763.56121599991</c:v>
                </c:pt>
                <c:pt idx="30">
                  <c:v>318115.78570239985</c:v>
                </c:pt>
                <c:pt idx="31">
                  <c:v>447302.09998335975</c:v>
                </c:pt>
                <c:pt idx="32">
                  <c:v>629789.93997670361</c:v>
                </c:pt>
                <c:pt idx="33">
                  <c:v>886578.71596738498</c:v>
                </c:pt>
                <c:pt idx="34">
                  <c:v>1247876.002354339</c:v>
                </c:pt>
                <c:pt idx="35">
                  <c:v>1754692.4032960746</c:v>
                </c:pt>
                <c:pt idx="36">
                  <c:v>2456569.3646145044</c:v>
                </c:pt>
                <c:pt idx="37">
                  <c:v>3439197.1104603061</c:v>
                </c:pt>
                <c:pt idx="38">
                  <c:v>4814875.9546444286</c:v>
                </c:pt>
                <c:pt idx="39">
                  <c:v>6740826.3365021991</c:v>
                </c:pt>
                <c:pt idx="40">
                  <c:v>9437156.8711030781</c:v>
                </c:pt>
                <c:pt idx="41">
                  <c:v>13212019.619544307</c:v>
                </c:pt>
                <c:pt idx="42">
                  <c:v>18496827.467362028</c:v>
                </c:pt>
                <c:pt idx="43">
                  <c:v>23719768.300016642</c:v>
                </c:pt>
                <c:pt idx="44">
                  <c:v>23533783.460023299</c:v>
                </c:pt>
                <c:pt idx="45">
                  <c:v>23273404.684032619</c:v>
                </c:pt>
                <c:pt idx="46">
                  <c:v>22908874.397645663</c:v>
                </c:pt>
                <c:pt idx="47">
                  <c:v>22398531.996703926</c:v>
                </c:pt>
                <c:pt idx="48">
                  <c:v>21684052.635385498</c:v>
                </c:pt>
                <c:pt idx="49">
                  <c:v>20683781.529539697</c:v>
                </c:pt>
                <c:pt idx="50">
                  <c:v>19283401.981355574</c:v>
                </c:pt>
                <c:pt idx="51">
                  <c:v>17322870.613897804</c:v>
                </c:pt>
                <c:pt idx="52">
                  <c:v>14578126.699456925</c:v>
                </c:pt>
                <c:pt idx="53">
                  <c:v>10735485.219239695</c:v>
                </c:pt>
                <c:pt idx="54">
                  <c:v>5355787.1469355747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'Projections Data'!$F$6</c:f>
              <c:strCache>
                <c:ptCount val="1"/>
                <c:pt idx="0">
                  <c:v>Current Avg (18%)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Data'!$G$7:$KU$7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4481</c:v>
                </c:pt>
                <c:pt idx="13">
                  <c:v>5654</c:v>
                </c:pt>
                <c:pt idx="14">
                  <c:v>7053</c:v>
                </c:pt>
                <c:pt idx="15">
                  <c:v>8719</c:v>
                </c:pt>
                <c:pt idx="16">
                  <c:v>9494</c:v>
                </c:pt>
                <c:pt idx="17">
                  <c:v>11574</c:v>
                </c:pt>
                <c:pt idx="18">
                  <c:v>12872</c:v>
                </c:pt>
                <c:pt idx="19">
                  <c:v>15966</c:v>
                </c:pt>
                <c:pt idx="20">
                  <c:v>19121</c:v>
                </c:pt>
                <c:pt idx="21">
                  <c:v>22245</c:v>
                </c:pt>
                <c:pt idx="22">
                  <c:v>24891</c:v>
                </c:pt>
                <c:pt idx="23">
                  <c:v>27648</c:v>
                </c:pt>
                <c:pt idx="24">
                  <c:v>32418.957139772043</c:v>
                </c:pt>
                <c:pt idx="25">
                  <c:v>37698.217819791244</c:v>
                </c:pt>
                <c:pt idx="26">
                  <c:v>43881.908474939184</c:v>
                </c:pt>
                <c:pt idx="27">
                  <c:v>51112.471105697005</c:v>
                </c:pt>
                <c:pt idx="28">
                  <c:v>60753.002571428573</c:v>
                </c:pt>
                <c:pt idx="29">
                  <c:v>70927.534260404136</c:v>
                </c:pt>
                <c:pt idx="30">
                  <c:v>84076.417759310207</c:v>
                </c:pt>
                <c:pt idx="31">
                  <c:v>97690.011315102427</c:v>
                </c:pt>
                <c:pt idx="32">
                  <c:v>114508.89618972069</c:v>
                </c:pt>
                <c:pt idx="33">
                  <c:v>134812.89235824489</c:v>
                </c:pt>
                <c:pt idx="34">
                  <c:v>159682.19045773518</c:v>
                </c:pt>
                <c:pt idx="35">
                  <c:v>189207.97270891623</c:v>
                </c:pt>
                <c:pt idx="36">
                  <c:v>222532.00403834344</c:v>
                </c:pt>
                <c:pt idx="37">
                  <c:v>261725.19113401877</c:v>
                </c:pt>
                <c:pt idx="38">
                  <c:v>307821.23214212246</c:v>
                </c:pt>
                <c:pt idx="39">
                  <c:v>362035.88407726045</c:v>
                </c:pt>
                <c:pt idx="40">
                  <c:v>425799.02772622241</c:v>
                </c:pt>
                <c:pt idx="41">
                  <c:v>500792.37994514633</c:v>
                </c:pt>
                <c:pt idx="42">
                  <c:v>588993.84799059958</c:v>
                </c:pt>
                <c:pt idx="43">
                  <c:v>692729.69570497924</c:v>
                </c:pt>
                <c:pt idx="44">
                  <c:v>814735.89740986901</c:v>
                </c:pt>
                <c:pt idx="45">
                  <c:v>958230.29768159729</c:v>
                </c:pt>
                <c:pt idx="46">
                  <c:v>1126997.4801822696</c:v>
                </c:pt>
                <c:pt idx="47">
                  <c:v>1325488.5839137018</c:v>
                </c:pt>
                <c:pt idx="48">
                  <c:v>1558938.699491505</c:v>
                </c:pt>
                <c:pt idx="49">
                  <c:v>1833504.9416996664</c:v>
                </c:pt>
                <c:pt idx="50">
                  <c:v>2156428.8399111722</c:v>
                </c:pt>
                <c:pt idx="51">
                  <c:v>2536227.3293301854</c:v>
                </c:pt>
                <c:pt idx="52">
                  <c:v>2982917.3803417929</c:v>
                </c:pt>
                <c:pt idx="53">
                  <c:v>3508280.190441383</c:v>
                </c:pt>
                <c:pt idx="54">
                  <c:v>4126171.9066564068</c:v>
                </c:pt>
                <c:pt idx="55">
                  <c:v>4852889.0735886702</c:v>
                </c:pt>
                <c:pt idx="56">
                  <c:v>5707598.44556263</c:v>
                </c:pt>
                <c:pt idx="57">
                  <c:v>6712842.4989320375</c:v>
                </c:pt>
                <c:pt idx="58">
                  <c:v>7895133.9771461599</c:v>
                </c:pt>
                <c:pt idx="59">
                  <c:v>9285655.1493654829</c:v>
                </c:pt>
                <c:pt idx="60">
                  <c:v>10921080.225177474</c:v>
                </c:pt>
                <c:pt idx="61">
                  <c:v>12844542.616135444</c:v>
                </c:pt>
                <c:pt idx="62">
                  <c:v>15106772.555096628</c:v>
                </c:pt>
                <c:pt idx="63">
                  <c:v>17767435.077426206</c:v>
                </c:pt>
                <c:pt idx="64">
                  <c:v>20705111.98936056</c:v>
                </c:pt>
                <c:pt idx="65">
                  <c:v>20092268.29535307</c:v>
                </c:pt>
                <c:pt idx="66">
                  <c:v>19371488.227593686</c:v>
                </c:pt>
                <c:pt idx="67">
                  <c:v>18523761.619391251</c:v>
                </c:pt>
                <c:pt idx="68">
                  <c:v>17526730.160837784</c:v>
                </c:pt>
                <c:pt idx="69">
                  <c:v>16354097.711028121</c:v>
                </c:pt>
                <c:pt idx="70">
                  <c:v>14974936.752213838</c:v>
                </c:pt>
                <c:pt idx="71">
                  <c:v>13352872.694011901</c:v>
                </c:pt>
                <c:pt idx="72">
                  <c:v>11445124.514152907</c:v>
                </c:pt>
                <c:pt idx="73">
                  <c:v>9201376.4332110807</c:v>
                </c:pt>
                <c:pt idx="74">
                  <c:v>6562450.8643751405</c:v>
                </c:pt>
                <c:pt idx="75">
                  <c:v>3458747.6380606517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0"/>
          <c:order val="4"/>
          <c:tx>
            <c:strRef>
              <c:f>'Projections Data'!$F$7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Data'!$G$8:$KU$8</c:f>
              <c:numCache>
                <c:formatCode>_-* #,##0_-;\-* #,##0_-;_-* "-"??_-;_-@_-</c:formatCode>
                <c:ptCount val="301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4481</c:v>
                </c:pt>
                <c:pt idx="13">
                  <c:v>5654</c:v>
                </c:pt>
                <c:pt idx="14">
                  <c:v>7053</c:v>
                </c:pt>
                <c:pt idx="15">
                  <c:v>8719</c:v>
                </c:pt>
                <c:pt idx="16">
                  <c:v>9494</c:v>
                </c:pt>
                <c:pt idx="17">
                  <c:v>11574</c:v>
                </c:pt>
                <c:pt idx="18">
                  <c:v>12872</c:v>
                </c:pt>
                <c:pt idx="19">
                  <c:v>15966</c:v>
                </c:pt>
                <c:pt idx="20">
                  <c:v>19121</c:v>
                </c:pt>
                <c:pt idx="21">
                  <c:v>22245</c:v>
                </c:pt>
                <c:pt idx="22">
                  <c:v>24891</c:v>
                </c:pt>
                <c:pt idx="23">
                  <c:v>27648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75-4CE9-A73F-2C5A11769A81}"/>
            </c:ext>
          </c:extLst>
        </c:ser>
        <c:ser>
          <c:idx val="7"/>
          <c:order val="6"/>
          <c:tx>
            <c:strRef>
              <c:f>'Projections Data'!$F$27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'Projections Data'!$G$3:$KU$3</c:f>
              <c:numCache>
                <c:formatCode>m/d/yyyy</c:formatCode>
                <c:ptCount val="301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7"/>
          <c:tx>
            <c:strRef>
              <c:f>'Projections Data'!$F$26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'Projections Data'!$G$3:$KU$3</c:f>
              <c:numCache>
                <c:formatCode>m/d/yyyy</c:formatCode>
                <c:ptCount val="301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1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5"/>
          <c:tx>
            <c:strRef>
              <c:f>'Projections Data'!$F$25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Data'!$G$25:$IN$25</c:f>
              <c:numCache>
                <c:formatCode>0.00%</c:formatCode>
                <c:ptCount val="242"/>
                <c:pt idx="0">
                  <c:v>0.47741935483870979</c:v>
                </c:pt>
                <c:pt idx="1">
                  <c:v>0.47741935483870979</c:v>
                </c:pt>
                <c:pt idx="2">
                  <c:v>0.44132555477196411</c:v>
                </c:pt>
                <c:pt idx="3">
                  <c:v>0.42973484335964662</c:v>
                </c:pt>
                <c:pt idx="4">
                  <c:v>0.43376310484681424</c:v>
                </c:pt>
                <c:pt idx="5">
                  <c:v>0.41780418361610816</c:v>
                </c:pt>
                <c:pt idx="6">
                  <c:v>0.37560809697707565</c:v>
                </c:pt>
                <c:pt idx="7">
                  <c:v>0.39383545302397005</c:v>
                </c:pt>
                <c:pt idx="8">
                  <c:v>0.350628514544846</c:v>
                </c:pt>
                <c:pt idx="9">
                  <c:v>0.30740216882390192</c:v>
                </c:pt>
                <c:pt idx="10">
                  <c:v>0.28316051892393612</c:v>
                </c:pt>
                <c:pt idx="11">
                  <c:v>0.27882354813973476</c:v>
                </c:pt>
                <c:pt idx="12">
                  <c:v>0.22305504742252458</c:v>
                </c:pt>
                <c:pt idx="13">
                  <c:v>0.23641485687317498</c:v>
                </c:pt>
                <c:pt idx="14">
                  <c:v>0.24135198734888585</c:v>
                </c:pt>
                <c:pt idx="15">
                  <c:v>0.24316629678345403</c:v>
                </c:pt>
                <c:pt idx="16">
                  <c:v>0.21342295321980154</c:v>
                </c:pt>
                <c:pt idx="17">
                  <c:v>0.21867769906843249</c:v>
                </c:pt>
                <c:pt idx="18">
                  <c:v>0.18933948541013246</c:v>
                </c:pt>
                <c:pt idx="19">
                  <c:v>0.1908189439097252</c:v>
                </c:pt>
                <c:pt idx="20">
                  <c:v>0.18194701451195328</c:v>
                </c:pt>
                <c:pt idx="21">
                  <c:v>0.19514296978664381</c:v>
                </c:pt>
                <c:pt idx="22">
                  <c:v>0.17557946886657216</c:v>
                </c:pt>
                <c:pt idx="23">
                  <c:v>0.17612382212188282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4"/>
          <c:min val="438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83143.65174813773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7336570406812253"/>
          <c:w val="1"/>
          <c:h val="0.126634297668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'Projections Data'!$F$17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Data'!$G$17:$IN$17</c:f>
              <c:numCache>
                <c:formatCode>_-* #,##0_-;\-* #,##0_-;_-* "-"??_-;_-@_-</c:formatCode>
                <c:ptCount val="242"/>
                <c:pt idx="0">
                  <c:v>7557.7282499999992</c:v>
                </c:pt>
                <c:pt idx="1">
                  <c:v>7557.7282499999992</c:v>
                </c:pt>
                <c:pt idx="2">
                  <c:v>7557.7282499999992</c:v>
                </c:pt>
                <c:pt idx="3">
                  <c:v>7557.7282499999992</c:v>
                </c:pt>
                <c:pt idx="4">
                  <c:v>7557.7282499999992</c:v>
                </c:pt>
                <c:pt idx="5">
                  <c:v>7557.7282499999992</c:v>
                </c:pt>
                <c:pt idx="6">
                  <c:v>7557.7282499999992</c:v>
                </c:pt>
                <c:pt idx="7">
                  <c:v>7557.7282499999992</c:v>
                </c:pt>
                <c:pt idx="8">
                  <c:v>7557.7282499999992</c:v>
                </c:pt>
                <c:pt idx="9">
                  <c:v>7557.7282499999992</c:v>
                </c:pt>
                <c:pt idx="10">
                  <c:v>7557.7282499999992</c:v>
                </c:pt>
                <c:pt idx="11">
                  <c:v>7557.7282499999992</c:v>
                </c:pt>
                <c:pt idx="12">
                  <c:v>7557.7282499999992</c:v>
                </c:pt>
                <c:pt idx="13">
                  <c:v>7557.7282499999992</c:v>
                </c:pt>
                <c:pt idx="14">
                  <c:v>7557.7282499999992</c:v>
                </c:pt>
                <c:pt idx="15">
                  <c:v>7557.7282499999992</c:v>
                </c:pt>
                <c:pt idx="16">
                  <c:v>7557.7282499999992</c:v>
                </c:pt>
                <c:pt idx="17">
                  <c:v>7557.7282499999992</c:v>
                </c:pt>
                <c:pt idx="18">
                  <c:v>7557.7282499999992</c:v>
                </c:pt>
                <c:pt idx="19">
                  <c:v>7557.7282499999992</c:v>
                </c:pt>
                <c:pt idx="20">
                  <c:v>7557.7282499999992</c:v>
                </c:pt>
                <c:pt idx="21">
                  <c:v>7557.7282499999992</c:v>
                </c:pt>
                <c:pt idx="22">
                  <c:v>7557.7282499999992</c:v>
                </c:pt>
                <c:pt idx="23">
                  <c:v>7557.7282499999992</c:v>
                </c:pt>
                <c:pt idx="24">
                  <c:v>7557.7282499999992</c:v>
                </c:pt>
                <c:pt idx="25">
                  <c:v>7557.7282499999992</c:v>
                </c:pt>
                <c:pt idx="26">
                  <c:v>7557.7282499999992</c:v>
                </c:pt>
                <c:pt idx="27">
                  <c:v>7557.7282499999992</c:v>
                </c:pt>
                <c:pt idx="28">
                  <c:v>7557.7282499999992</c:v>
                </c:pt>
                <c:pt idx="29">
                  <c:v>7557.7282499999992</c:v>
                </c:pt>
                <c:pt idx="30">
                  <c:v>7557.7282499999992</c:v>
                </c:pt>
                <c:pt idx="31">
                  <c:v>7557.7282499999992</c:v>
                </c:pt>
                <c:pt idx="32">
                  <c:v>7557.7282499999992</c:v>
                </c:pt>
                <c:pt idx="33">
                  <c:v>7557.7282499999992</c:v>
                </c:pt>
                <c:pt idx="34">
                  <c:v>7557.7282499999992</c:v>
                </c:pt>
                <c:pt idx="35">
                  <c:v>7557.7282499999992</c:v>
                </c:pt>
                <c:pt idx="36">
                  <c:v>7557.7282499999992</c:v>
                </c:pt>
                <c:pt idx="37">
                  <c:v>7557.7282499999992</c:v>
                </c:pt>
                <c:pt idx="38">
                  <c:v>7557.7282499999992</c:v>
                </c:pt>
                <c:pt idx="39">
                  <c:v>7557.7282499999992</c:v>
                </c:pt>
                <c:pt idx="40">
                  <c:v>7557.7282499999992</c:v>
                </c:pt>
                <c:pt idx="41">
                  <c:v>7557.7282499999992</c:v>
                </c:pt>
                <c:pt idx="42">
                  <c:v>7557.7282499999992</c:v>
                </c:pt>
                <c:pt idx="43">
                  <c:v>7557.7282499999992</c:v>
                </c:pt>
                <c:pt idx="44">
                  <c:v>7557.7282499999992</c:v>
                </c:pt>
                <c:pt idx="45">
                  <c:v>7557.7282499999992</c:v>
                </c:pt>
                <c:pt idx="46">
                  <c:v>7557.7282499999992</c:v>
                </c:pt>
                <c:pt idx="47">
                  <c:v>7557.7282499999992</c:v>
                </c:pt>
                <c:pt idx="48">
                  <c:v>7557.7282499999992</c:v>
                </c:pt>
                <c:pt idx="49">
                  <c:v>7557.7282499999992</c:v>
                </c:pt>
                <c:pt idx="50">
                  <c:v>7557.7282499999992</c:v>
                </c:pt>
                <c:pt idx="51">
                  <c:v>7557.7282499999992</c:v>
                </c:pt>
                <c:pt idx="52">
                  <c:v>7557.7282499999992</c:v>
                </c:pt>
                <c:pt idx="53">
                  <c:v>7557.7282499999992</c:v>
                </c:pt>
                <c:pt idx="54">
                  <c:v>7557.7282499999992</c:v>
                </c:pt>
                <c:pt idx="55">
                  <c:v>7557.7282499999992</c:v>
                </c:pt>
                <c:pt idx="56">
                  <c:v>7557.7282499999992</c:v>
                </c:pt>
                <c:pt idx="57">
                  <c:v>7557.7282499999992</c:v>
                </c:pt>
                <c:pt idx="58">
                  <c:v>7557.7282499999992</c:v>
                </c:pt>
                <c:pt idx="59">
                  <c:v>7557.7282499999992</c:v>
                </c:pt>
                <c:pt idx="60">
                  <c:v>7557.7282499999992</c:v>
                </c:pt>
                <c:pt idx="61">
                  <c:v>7557.7282499999992</c:v>
                </c:pt>
                <c:pt idx="62">
                  <c:v>7557.7282499999992</c:v>
                </c:pt>
                <c:pt idx="63">
                  <c:v>7557.7282499999992</c:v>
                </c:pt>
                <c:pt idx="64">
                  <c:v>7557.7282499999992</c:v>
                </c:pt>
                <c:pt idx="65">
                  <c:v>7557.7282499999992</c:v>
                </c:pt>
                <c:pt idx="66">
                  <c:v>7557.7282499999992</c:v>
                </c:pt>
                <c:pt idx="67">
                  <c:v>7557.7282499999992</c:v>
                </c:pt>
                <c:pt idx="68">
                  <c:v>7557.7282499999992</c:v>
                </c:pt>
                <c:pt idx="69">
                  <c:v>7557.7282499999992</c:v>
                </c:pt>
                <c:pt idx="70">
                  <c:v>7557.7282499999992</c:v>
                </c:pt>
                <c:pt idx="71">
                  <c:v>7557.7282499999992</c:v>
                </c:pt>
                <c:pt idx="72">
                  <c:v>7557.7282499999992</c:v>
                </c:pt>
                <c:pt idx="73">
                  <c:v>7557.7282499999992</c:v>
                </c:pt>
                <c:pt idx="74">
                  <c:v>7557.7282499999992</c:v>
                </c:pt>
                <c:pt idx="75">
                  <c:v>7557.7282499999992</c:v>
                </c:pt>
                <c:pt idx="76">
                  <c:v>7557.7282499999992</c:v>
                </c:pt>
                <c:pt idx="77">
                  <c:v>7557.7282499999992</c:v>
                </c:pt>
                <c:pt idx="78">
                  <c:v>7557.7282499999992</c:v>
                </c:pt>
                <c:pt idx="79">
                  <c:v>7557.7282499999992</c:v>
                </c:pt>
                <c:pt idx="80">
                  <c:v>7557.7282499999992</c:v>
                </c:pt>
                <c:pt idx="81">
                  <c:v>7557.7282499999992</c:v>
                </c:pt>
                <c:pt idx="82">
                  <c:v>7557.7282499999992</c:v>
                </c:pt>
                <c:pt idx="83">
                  <c:v>7557.7282499999992</c:v>
                </c:pt>
                <c:pt idx="84">
                  <c:v>7557.7282499999992</c:v>
                </c:pt>
                <c:pt idx="85">
                  <c:v>7557.7282499999992</c:v>
                </c:pt>
                <c:pt idx="86">
                  <c:v>7557.7282499999992</c:v>
                </c:pt>
                <c:pt idx="87">
                  <c:v>7557.7282499999992</c:v>
                </c:pt>
                <c:pt idx="88">
                  <c:v>7557.7282499999992</c:v>
                </c:pt>
                <c:pt idx="89">
                  <c:v>7557.7282499999992</c:v>
                </c:pt>
                <c:pt idx="90">
                  <c:v>7557.7282499999992</c:v>
                </c:pt>
                <c:pt idx="91">
                  <c:v>7557.7282499999992</c:v>
                </c:pt>
                <c:pt idx="92">
                  <c:v>7557.7282499999992</c:v>
                </c:pt>
                <c:pt idx="93">
                  <c:v>7557.7282499999992</c:v>
                </c:pt>
                <c:pt idx="94">
                  <c:v>7557.7282499999992</c:v>
                </c:pt>
                <c:pt idx="95">
                  <c:v>7557.7282499999992</c:v>
                </c:pt>
                <c:pt idx="96">
                  <c:v>7557.7282499999992</c:v>
                </c:pt>
                <c:pt idx="97">
                  <c:v>7557.7282499999992</c:v>
                </c:pt>
                <c:pt idx="98">
                  <c:v>7557.7282499999992</c:v>
                </c:pt>
                <c:pt idx="99">
                  <c:v>7557.7282499999992</c:v>
                </c:pt>
                <c:pt idx="100">
                  <c:v>7557.7282499999992</c:v>
                </c:pt>
                <c:pt idx="101">
                  <c:v>7557.7282499999992</c:v>
                </c:pt>
                <c:pt idx="102">
                  <c:v>7557.7282499999992</c:v>
                </c:pt>
                <c:pt idx="103">
                  <c:v>7557.7282499999992</c:v>
                </c:pt>
                <c:pt idx="104">
                  <c:v>7557.7282499999992</c:v>
                </c:pt>
                <c:pt idx="105">
                  <c:v>7557.7282499999992</c:v>
                </c:pt>
                <c:pt idx="106">
                  <c:v>7557.7282499999992</c:v>
                </c:pt>
                <c:pt idx="107">
                  <c:v>7557.7282499999992</c:v>
                </c:pt>
                <c:pt idx="108">
                  <c:v>7557.7282499999992</c:v>
                </c:pt>
                <c:pt idx="109">
                  <c:v>7557.7282499999992</c:v>
                </c:pt>
                <c:pt idx="110">
                  <c:v>7557.7282499999992</c:v>
                </c:pt>
                <c:pt idx="111">
                  <c:v>7557.7282499999992</c:v>
                </c:pt>
                <c:pt idx="112">
                  <c:v>7557.7282499999992</c:v>
                </c:pt>
                <c:pt idx="113">
                  <c:v>7557.7282499999992</c:v>
                </c:pt>
                <c:pt idx="114">
                  <c:v>7557.7282499999992</c:v>
                </c:pt>
                <c:pt idx="115">
                  <c:v>7557.7282499999992</c:v>
                </c:pt>
                <c:pt idx="116">
                  <c:v>7557.7282499999992</c:v>
                </c:pt>
                <c:pt idx="117">
                  <c:v>7557.7282499999992</c:v>
                </c:pt>
                <c:pt idx="118">
                  <c:v>7557.7282499999992</c:v>
                </c:pt>
                <c:pt idx="119">
                  <c:v>7557.7282499999992</c:v>
                </c:pt>
                <c:pt idx="120">
                  <c:v>7557.7282499999992</c:v>
                </c:pt>
                <c:pt idx="121">
                  <c:v>7557.7282499999992</c:v>
                </c:pt>
                <c:pt idx="122">
                  <c:v>7557.7282499999992</c:v>
                </c:pt>
                <c:pt idx="123">
                  <c:v>7557.7282499999992</c:v>
                </c:pt>
                <c:pt idx="124">
                  <c:v>7557.7282499999992</c:v>
                </c:pt>
                <c:pt idx="125">
                  <c:v>7557.7282499999992</c:v>
                </c:pt>
                <c:pt idx="126">
                  <c:v>7557.7282499999992</c:v>
                </c:pt>
                <c:pt idx="127">
                  <c:v>7557.7282499999992</c:v>
                </c:pt>
                <c:pt idx="128">
                  <c:v>7557.7282499999992</c:v>
                </c:pt>
                <c:pt idx="129">
                  <c:v>7557.7282499999992</c:v>
                </c:pt>
                <c:pt idx="130">
                  <c:v>7557.7282499999992</c:v>
                </c:pt>
                <c:pt idx="131">
                  <c:v>7557.7282499999992</c:v>
                </c:pt>
                <c:pt idx="132">
                  <c:v>7557.7282499999992</c:v>
                </c:pt>
                <c:pt idx="133">
                  <c:v>7557.7282499999992</c:v>
                </c:pt>
                <c:pt idx="134">
                  <c:v>7557.7282499999992</c:v>
                </c:pt>
                <c:pt idx="135">
                  <c:v>7557.7282499999992</c:v>
                </c:pt>
                <c:pt idx="136">
                  <c:v>7557.7282499999992</c:v>
                </c:pt>
                <c:pt idx="137">
                  <c:v>7557.7282499999992</c:v>
                </c:pt>
                <c:pt idx="138">
                  <c:v>7557.7282499999992</c:v>
                </c:pt>
                <c:pt idx="139">
                  <c:v>7557.7282499999992</c:v>
                </c:pt>
                <c:pt idx="140">
                  <c:v>7557.7282499999992</c:v>
                </c:pt>
                <c:pt idx="141">
                  <c:v>7557.7282499999992</c:v>
                </c:pt>
                <c:pt idx="142">
                  <c:v>7557.7282499999992</c:v>
                </c:pt>
                <c:pt idx="143">
                  <c:v>7557.7282499999992</c:v>
                </c:pt>
                <c:pt idx="144">
                  <c:v>7557.7282499999992</c:v>
                </c:pt>
                <c:pt idx="145">
                  <c:v>7557.7282499999992</c:v>
                </c:pt>
                <c:pt idx="146">
                  <c:v>7557.7282499999992</c:v>
                </c:pt>
                <c:pt idx="147">
                  <c:v>7557.7282499999992</c:v>
                </c:pt>
                <c:pt idx="148">
                  <c:v>7557.7282499999992</c:v>
                </c:pt>
                <c:pt idx="149">
                  <c:v>7557.7282499999992</c:v>
                </c:pt>
                <c:pt idx="150">
                  <c:v>7557.7282499999992</c:v>
                </c:pt>
                <c:pt idx="151">
                  <c:v>7557.7282499999992</c:v>
                </c:pt>
                <c:pt idx="152">
                  <c:v>7557.7282499999992</c:v>
                </c:pt>
                <c:pt idx="153">
                  <c:v>7557.7282499999992</c:v>
                </c:pt>
                <c:pt idx="154">
                  <c:v>7557.7282499999992</c:v>
                </c:pt>
                <c:pt idx="155">
                  <c:v>7557.7282499999992</c:v>
                </c:pt>
                <c:pt idx="156">
                  <c:v>7557.7282499999992</c:v>
                </c:pt>
                <c:pt idx="157">
                  <c:v>7557.7282499999992</c:v>
                </c:pt>
                <c:pt idx="158">
                  <c:v>7557.7282499999992</c:v>
                </c:pt>
                <c:pt idx="159">
                  <c:v>7557.7282499999992</c:v>
                </c:pt>
                <c:pt idx="160">
                  <c:v>7557.7282499999992</c:v>
                </c:pt>
                <c:pt idx="161">
                  <c:v>7557.7282499999992</c:v>
                </c:pt>
                <c:pt idx="162">
                  <c:v>7557.7282499999992</c:v>
                </c:pt>
                <c:pt idx="163">
                  <c:v>7557.7282499999992</c:v>
                </c:pt>
                <c:pt idx="164">
                  <c:v>7557.7282499999992</c:v>
                </c:pt>
                <c:pt idx="165">
                  <c:v>7557.7282499999992</c:v>
                </c:pt>
                <c:pt idx="166">
                  <c:v>7557.7282499999992</c:v>
                </c:pt>
                <c:pt idx="167">
                  <c:v>7557.7282499999992</c:v>
                </c:pt>
                <c:pt idx="168">
                  <c:v>7557.7282499999992</c:v>
                </c:pt>
                <c:pt idx="169">
                  <c:v>7557.7282499999992</c:v>
                </c:pt>
                <c:pt idx="170">
                  <c:v>7557.7282499999992</c:v>
                </c:pt>
                <c:pt idx="171">
                  <c:v>7557.7282499999992</c:v>
                </c:pt>
                <c:pt idx="172">
                  <c:v>7557.7282499999992</c:v>
                </c:pt>
                <c:pt idx="173">
                  <c:v>7557.7282499999992</c:v>
                </c:pt>
                <c:pt idx="174">
                  <c:v>7557.7282499999992</c:v>
                </c:pt>
                <c:pt idx="175">
                  <c:v>7557.7282499999992</c:v>
                </c:pt>
                <c:pt idx="176">
                  <c:v>7557.7282499999992</c:v>
                </c:pt>
                <c:pt idx="177">
                  <c:v>7557.7282499999992</c:v>
                </c:pt>
                <c:pt idx="178">
                  <c:v>7557.7282499999992</c:v>
                </c:pt>
                <c:pt idx="179">
                  <c:v>7557.7282499999992</c:v>
                </c:pt>
                <c:pt idx="180">
                  <c:v>7557.7282499999992</c:v>
                </c:pt>
                <c:pt idx="181">
                  <c:v>7557.7282499999992</c:v>
                </c:pt>
                <c:pt idx="182">
                  <c:v>7557.7282499999992</c:v>
                </c:pt>
                <c:pt idx="183">
                  <c:v>7557.7282499999992</c:v>
                </c:pt>
                <c:pt idx="184">
                  <c:v>7557.7282499999992</c:v>
                </c:pt>
                <c:pt idx="185">
                  <c:v>7557.7282499999992</c:v>
                </c:pt>
                <c:pt idx="186">
                  <c:v>7557.7282499999992</c:v>
                </c:pt>
                <c:pt idx="187">
                  <c:v>7557.7282499999992</c:v>
                </c:pt>
                <c:pt idx="188">
                  <c:v>7557.7282499999992</c:v>
                </c:pt>
                <c:pt idx="189">
                  <c:v>7557.7282499999992</c:v>
                </c:pt>
                <c:pt idx="190">
                  <c:v>7557.7282499999992</c:v>
                </c:pt>
                <c:pt idx="191">
                  <c:v>7557.7282499999992</c:v>
                </c:pt>
                <c:pt idx="192">
                  <c:v>7557.7282499999992</c:v>
                </c:pt>
                <c:pt idx="193">
                  <c:v>7557.7282499999992</c:v>
                </c:pt>
                <c:pt idx="194">
                  <c:v>7557.7282499999992</c:v>
                </c:pt>
                <c:pt idx="195">
                  <c:v>7557.7282499999992</c:v>
                </c:pt>
                <c:pt idx="196">
                  <c:v>7557.7282499999992</c:v>
                </c:pt>
                <c:pt idx="197">
                  <c:v>7557.7282499999992</c:v>
                </c:pt>
                <c:pt idx="198">
                  <c:v>7557.7282499999992</c:v>
                </c:pt>
                <c:pt idx="199">
                  <c:v>7557.7282499999992</c:v>
                </c:pt>
                <c:pt idx="200">
                  <c:v>7557.7282499999992</c:v>
                </c:pt>
                <c:pt idx="201">
                  <c:v>7557.7282499999992</c:v>
                </c:pt>
                <c:pt idx="202">
                  <c:v>7557.7282499999992</c:v>
                </c:pt>
                <c:pt idx="203">
                  <c:v>7557.7282499999992</c:v>
                </c:pt>
                <c:pt idx="204">
                  <c:v>7557.7282499999992</c:v>
                </c:pt>
                <c:pt idx="205">
                  <c:v>7557.7282499999992</c:v>
                </c:pt>
                <c:pt idx="206">
                  <c:v>7557.7282499999992</c:v>
                </c:pt>
                <c:pt idx="207">
                  <c:v>7557.7282499999992</c:v>
                </c:pt>
                <c:pt idx="208">
                  <c:v>7557.7282499999992</c:v>
                </c:pt>
                <c:pt idx="209">
                  <c:v>7557.7282499999992</c:v>
                </c:pt>
                <c:pt idx="210">
                  <c:v>7557.7282499999992</c:v>
                </c:pt>
                <c:pt idx="211">
                  <c:v>7557.7282499999992</c:v>
                </c:pt>
                <c:pt idx="212">
                  <c:v>7557.7282499999992</c:v>
                </c:pt>
                <c:pt idx="213">
                  <c:v>7557.7282499999992</c:v>
                </c:pt>
                <c:pt idx="214">
                  <c:v>7557.7282499999992</c:v>
                </c:pt>
                <c:pt idx="215">
                  <c:v>7557.7282499999992</c:v>
                </c:pt>
                <c:pt idx="216">
                  <c:v>7557.7282499999992</c:v>
                </c:pt>
                <c:pt idx="217">
                  <c:v>7557.7282499999992</c:v>
                </c:pt>
                <c:pt idx="218">
                  <c:v>7557.7282499999992</c:v>
                </c:pt>
                <c:pt idx="219">
                  <c:v>7557.7282499999992</c:v>
                </c:pt>
                <c:pt idx="220">
                  <c:v>7557.7282499999992</c:v>
                </c:pt>
                <c:pt idx="221">
                  <c:v>7557.7282499999992</c:v>
                </c:pt>
                <c:pt idx="222">
                  <c:v>7557.7282499999992</c:v>
                </c:pt>
                <c:pt idx="223">
                  <c:v>7557.7282499999992</c:v>
                </c:pt>
                <c:pt idx="224">
                  <c:v>7557.7282499999992</c:v>
                </c:pt>
                <c:pt idx="225">
                  <c:v>7557.7282499999992</c:v>
                </c:pt>
                <c:pt idx="226">
                  <c:v>7557.7282499999992</c:v>
                </c:pt>
                <c:pt idx="227">
                  <c:v>7557.7282499999992</c:v>
                </c:pt>
                <c:pt idx="228">
                  <c:v>7557.7282499999992</c:v>
                </c:pt>
                <c:pt idx="229">
                  <c:v>7557.7282499999992</c:v>
                </c:pt>
                <c:pt idx="230">
                  <c:v>7557.7282499999992</c:v>
                </c:pt>
                <c:pt idx="231">
                  <c:v>7557.7282499999992</c:v>
                </c:pt>
                <c:pt idx="232">
                  <c:v>7557.7282499999992</c:v>
                </c:pt>
                <c:pt idx="233">
                  <c:v>7557.7282499999992</c:v>
                </c:pt>
                <c:pt idx="234">
                  <c:v>7557.7282499999992</c:v>
                </c:pt>
                <c:pt idx="235">
                  <c:v>7557.7282499999992</c:v>
                </c:pt>
                <c:pt idx="236">
                  <c:v>7557.7282499999992</c:v>
                </c:pt>
                <c:pt idx="237">
                  <c:v>7557.7282499999992</c:v>
                </c:pt>
                <c:pt idx="238">
                  <c:v>7557.7282499999992</c:v>
                </c:pt>
                <c:pt idx="239">
                  <c:v>7557.7282499999992</c:v>
                </c:pt>
                <c:pt idx="240">
                  <c:v>7557.7282499999992</c:v>
                </c:pt>
                <c:pt idx="241">
                  <c:v>7557.7282499999992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1"/>
          <c:order val="1"/>
          <c:tx>
            <c:strRef>
              <c:f>'Projections Data'!$F$18</c:f>
              <c:strCache>
                <c:ptCount val="1"/>
                <c:pt idx="0">
                  <c:v>Critically Ill (18% inc)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Data'!$G$18:$IN$18</c:f>
              <c:numCache>
                <c:formatCode>_-* #,##0_-;\-* #,##0_-;_-* "-"??_-;_-@_-</c:formatCode>
                <c:ptCount val="242"/>
                <c:pt idx="0">
                  <c:v>7.2850000000000001</c:v>
                </c:pt>
                <c:pt idx="1">
                  <c:v>10.763</c:v>
                </c:pt>
                <c:pt idx="2">
                  <c:v>15.134</c:v>
                </c:pt>
                <c:pt idx="3">
                  <c:v>21.291</c:v>
                </c:pt>
                <c:pt idx="4">
                  <c:v>30.785</c:v>
                </c:pt>
                <c:pt idx="5">
                  <c:v>41.735999999999997</c:v>
                </c:pt>
                <c:pt idx="6">
                  <c:v>53.015999999999998</c:v>
                </c:pt>
                <c:pt idx="7">
                  <c:v>79.617999999999995</c:v>
                </c:pt>
                <c:pt idx="8">
                  <c:v>95.692000000000007</c:v>
                </c:pt>
                <c:pt idx="9">
                  <c:v>117.59399999999999</c:v>
                </c:pt>
                <c:pt idx="10">
                  <c:v>145.18299999999999</c:v>
                </c:pt>
                <c:pt idx="11">
                  <c:v>181.32599999999999</c:v>
                </c:pt>
                <c:pt idx="12">
                  <c:v>210.607</c:v>
                </c:pt>
                <c:pt idx="13">
                  <c:v>265.738</c:v>
                </c:pt>
                <c:pt idx="14">
                  <c:v>331.49099999999999</c:v>
                </c:pt>
                <c:pt idx="15">
                  <c:v>409.79300000000001</c:v>
                </c:pt>
                <c:pt idx="16">
                  <c:v>446.21800000000002</c:v>
                </c:pt>
                <c:pt idx="17">
                  <c:v>543.97799999999995</c:v>
                </c:pt>
                <c:pt idx="18">
                  <c:v>604.98400000000004</c:v>
                </c:pt>
                <c:pt idx="19">
                  <c:v>750.40200000000004</c:v>
                </c:pt>
                <c:pt idx="20">
                  <c:v>898.68700000000001</c:v>
                </c:pt>
                <c:pt idx="21">
                  <c:v>1045.5150000000001</c:v>
                </c:pt>
                <c:pt idx="22">
                  <c:v>1169.877</c:v>
                </c:pt>
                <c:pt idx="23">
                  <c:v>1299.4559999999999</c:v>
                </c:pt>
                <c:pt idx="24">
                  <c:v>1523.6909855692861</c:v>
                </c:pt>
                <c:pt idx="25">
                  <c:v>1771.8162375301883</c:v>
                </c:pt>
                <c:pt idx="26">
                  <c:v>2062.4496983221416</c:v>
                </c:pt>
                <c:pt idx="27">
                  <c:v>2402.2861419677592</c:v>
                </c:pt>
                <c:pt idx="28">
                  <c:v>2855.3911208571431</c:v>
                </c:pt>
                <c:pt idx="29">
                  <c:v>3333.5941102389943</c:v>
                </c:pt>
                <c:pt idx="30">
                  <c:v>3951.5916346875797</c:v>
                </c:pt>
                <c:pt idx="31">
                  <c:v>4591.4305318098141</c:v>
                </c:pt>
                <c:pt idx="32">
                  <c:v>5381.9181209168728</c:v>
                </c:pt>
                <c:pt idx="33">
                  <c:v>6336.2059408375098</c:v>
                </c:pt>
                <c:pt idx="34">
                  <c:v>7505.0629515135533</c:v>
                </c:pt>
                <c:pt idx="35">
                  <c:v>8892.7747173190637</c:v>
                </c:pt>
                <c:pt idx="36">
                  <c:v>10459.004189802141</c:v>
                </c:pt>
                <c:pt idx="37">
                  <c:v>12301.083983298882</c:v>
                </c:pt>
                <c:pt idx="38">
                  <c:v>14467.597910679755</c:v>
                </c:pt>
                <c:pt idx="39">
                  <c:v>17015.686551631243</c:v>
                </c:pt>
                <c:pt idx="40">
                  <c:v>20012.554303132452</c:v>
                </c:pt>
                <c:pt idx="41">
                  <c:v>23537.241857421879</c:v>
                </c:pt>
                <c:pt idx="42">
                  <c:v>27682.71085555818</c:v>
                </c:pt>
                <c:pt idx="43">
                  <c:v>32558.295698134025</c:v>
                </c:pt>
                <c:pt idx="44">
                  <c:v>38292.587178263842</c:v>
                </c:pt>
                <c:pt idx="45">
                  <c:v>45036.823991035075</c:v>
                </c:pt>
                <c:pt idx="46">
                  <c:v>52968.88156856667</c:v>
                </c:pt>
                <c:pt idx="47">
                  <c:v>62297.963443943983</c:v>
                </c:pt>
                <c:pt idx="48">
                  <c:v>73270.118876100736</c:v>
                </c:pt>
                <c:pt idx="49">
                  <c:v>86174.732259884317</c:v>
                </c:pt>
                <c:pt idx="50">
                  <c:v>101352.15547582509</c:v>
                </c:pt>
                <c:pt idx="51">
                  <c:v>119202.68447851871</c:v>
                </c:pt>
                <c:pt idx="52">
                  <c:v>140197.11687606428</c:v>
                </c:pt>
                <c:pt idx="53">
                  <c:v>164889.16895074499</c:v>
                </c:pt>
                <c:pt idx="54">
                  <c:v>193930.07961285111</c:v>
                </c:pt>
                <c:pt idx="55">
                  <c:v>228085.78645866751</c:v>
                </c:pt>
                <c:pt idx="56">
                  <c:v>268257.1269414436</c:v>
                </c:pt>
                <c:pt idx="57">
                  <c:v>315503.59744980576</c:v>
                </c:pt>
                <c:pt idx="58">
                  <c:v>371071.29692586954</c:v>
                </c:pt>
                <c:pt idx="59">
                  <c:v>436425.7920201777</c:v>
                </c:pt>
                <c:pt idx="60">
                  <c:v>513290.77058334131</c:v>
                </c:pt>
                <c:pt idx="61">
                  <c:v>603693.50295836595</c:v>
                </c:pt>
                <c:pt idx="62">
                  <c:v>710018.31008954148</c:v>
                </c:pt>
                <c:pt idx="63">
                  <c:v>835069.44863903173</c:v>
                </c:pt>
                <c:pt idx="64">
                  <c:v>973140.26349994633</c:v>
                </c:pt>
                <c:pt idx="65">
                  <c:v>944336.60988159431</c:v>
                </c:pt>
                <c:pt idx="66">
                  <c:v>910459.94669690321</c:v>
                </c:pt>
                <c:pt idx="67">
                  <c:v>870616.79611138883</c:v>
                </c:pt>
                <c:pt idx="68">
                  <c:v>823756.31755937589</c:v>
                </c:pt>
                <c:pt idx="69">
                  <c:v>768642.59241832176</c:v>
                </c:pt>
                <c:pt idx="70">
                  <c:v>703822.02735405031</c:v>
                </c:pt>
                <c:pt idx="71">
                  <c:v>627585.01661855937</c:v>
                </c:pt>
                <c:pt idx="72">
                  <c:v>537920.85216518666</c:v>
                </c:pt>
                <c:pt idx="73">
                  <c:v>432464.69236092077</c:v>
                </c:pt>
                <c:pt idx="74">
                  <c:v>308435.1906256316</c:v>
                </c:pt>
                <c:pt idx="75">
                  <c:v>162561.13898885064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ser>
          <c:idx val="2"/>
          <c:order val="2"/>
          <c:tx>
            <c:strRef>
              <c:f>'Projections Data'!$F$19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Data'!$G$19:$IN$19</c:f>
              <c:numCache>
                <c:formatCode>_-* #,##0_-;\-* #,##0_-;_-* "-"??_-;_-@_-</c:formatCode>
                <c:ptCount val="242"/>
                <c:pt idx="0">
                  <c:v>7.2850000000000001</c:v>
                </c:pt>
                <c:pt idx="1">
                  <c:v>10.763</c:v>
                </c:pt>
                <c:pt idx="2">
                  <c:v>15.134</c:v>
                </c:pt>
                <c:pt idx="3">
                  <c:v>21.291</c:v>
                </c:pt>
                <c:pt idx="4">
                  <c:v>30.785</c:v>
                </c:pt>
                <c:pt idx="5">
                  <c:v>41.735999999999997</c:v>
                </c:pt>
                <c:pt idx="6">
                  <c:v>53.015999999999998</c:v>
                </c:pt>
                <c:pt idx="7">
                  <c:v>79.617999999999995</c:v>
                </c:pt>
                <c:pt idx="8">
                  <c:v>95.692000000000007</c:v>
                </c:pt>
                <c:pt idx="9">
                  <c:v>117.59399999999999</c:v>
                </c:pt>
                <c:pt idx="10">
                  <c:v>145.18299999999999</c:v>
                </c:pt>
                <c:pt idx="11">
                  <c:v>181.32599999999999</c:v>
                </c:pt>
                <c:pt idx="12">
                  <c:v>210.607</c:v>
                </c:pt>
                <c:pt idx="13">
                  <c:v>265.738</c:v>
                </c:pt>
                <c:pt idx="14">
                  <c:v>331.49099999999999</c:v>
                </c:pt>
                <c:pt idx="15">
                  <c:v>409.79300000000001</c:v>
                </c:pt>
                <c:pt idx="16">
                  <c:v>446.21800000000002</c:v>
                </c:pt>
                <c:pt idx="17">
                  <c:v>543.97799999999995</c:v>
                </c:pt>
                <c:pt idx="18">
                  <c:v>604.98400000000004</c:v>
                </c:pt>
                <c:pt idx="19">
                  <c:v>750.40200000000004</c:v>
                </c:pt>
                <c:pt idx="20">
                  <c:v>898.68700000000001</c:v>
                </c:pt>
                <c:pt idx="21">
                  <c:v>1045.5150000000001</c:v>
                </c:pt>
                <c:pt idx="22">
                  <c:v>1169.877</c:v>
                </c:pt>
                <c:pt idx="23">
                  <c:v>1299.4559999999999</c:v>
                </c:pt>
                <c:pt idx="24">
                  <c:v>1410.9682000000003</c:v>
                </c:pt>
                <c:pt idx="25">
                  <c:v>1515.2452200000005</c:v>
                </c:pt>
                <c:pt idx="26">
                  <c:v>1624.2958420000004</c:v>
                </c:pt>
                <c:pt idx="27">
                  <c:v>1736.9289262000007</c:v>
                </c:pt>
                <c:pt idx="28">
                  <c:v>1907.8112188200012</c:v>
                </c:pt>
                <c:pt idx="29">
                  <c:v>2037.5816407020013</c:v>
                </c:pt>
                <c:pt idx="30">
                  <c:v>2227.6252047722014</c:v>
                </c:pt>
                <c:pt idx="31">
                  <c:v>2344.1677252494219</c:v>
                </c:pt>
                <c:pt idx="32">
                  <c:v>2497.2274977743641</c:v>
                </c:pt>
                <c:pt idx="33">
                  <c:v>2677.658147551801</c:v>
                </c:pt>
                <c:pt idx="34">
                  <c:v>2909.7838623069815</c:v>
                </c:pt>
                <c:pt idx="35">
                  <c:v>3166.5462485376802</c:v>
                </c:pt>
                <c:pt idx="36">
                  <c:v>3483.2008733914481</c:v>
                </c:pt>
                <c:pt idx="37">
                  <c:v>3831.5209607305928</c:v>
                </c:pt>
                <c:pt idx="38">
                  <c:v>4214.6730568036528</c:v>
                </c:pt>
                <c:pt idx="39">
                  <c:v>4636.1403624840186</c:v>
                </c:pt>
                <c:pt idx="40">
                  <c:v>5099.7543987324207</c:v>
                </c:pt>
                <c:pt idx="41">
                  <c:v>5609.7298386056627</c:v>
                </c:pt>
                <c:pt idx="42">
                  <c:v>6170.7028224662299</c:v>
                </c:pt>
                <c:pt idx="43">
                  <c:v>6787.7731047128527</c:v>
                </c:pt>
                <c:pt idx="44">
                  <c:v>7466.5504151841378</c:v>
                </c:pt>
                <c:pt idx="45">
                  <c:v>8213.2054567025534</c:v>
                </c:pt>
                <c:pt idx="46">
                  <c:v>9034.5260023728079</c:v>
                </c:pt>
                <c:pt idx="47">
                  <c:v>9937.9786026100901</c:v>
                </c:pt>
                <c:pt idx="48">
                  <c:v>10931.776462871101</c:v>
                </c:pt>
                <c:pt idx="49">
                  <c:v>12024.954109158212</c:v>
                </c:pt>
                <c:pt idx="50">
                  <c:v>13227.449520074033</c:v>
                </c:pt>
                <c:pt idx="51">
                  <c:v>14550.194472081437</c:v>
                </c:pt>
                <c:pt idx="52">
                  <c:v>16005.213919289583</c:v>
                </c:pt>
                <c:pt idx="53">
                  <c:v>17605.735311218545</c:v>
                </c:pt>
                <c:pt idx="54">
                  <c:v>19366.308842340404</c:v>
                </c:pt>
                <c:pt idx="55">
                  <c:v>21302.939726574448</c:v>
                </c:pt>
                <c:pt idx="56">
                  <c:v>23433.233699231892</c:v>
                </c:pt>
                <c:pt idx="57">
                  <c:v>25776.557069155082</c:v>
                </c:pt>
                <c:pt idx="58">
                  <c:v>28354.212776070599</c:v>
                </c:pt>
                <c:pt idx="59">
                  <c:v>31189.634053677662</c:v>
                </c:pt>
                <c:pt idx="60">
                  <c:v>34308.597459045421</c:v>
                </c:pt>
                <c:pt idx="61">
                  <c:v>37739.457204949969</c:v>
                </c:pt>
                <c:pt idx="62">
                  <c:v>41513.402925444971</c:v>
                </c:pt>
                <c:pt idx="63">
                  <c:v>45664.743217989482</c:v>
                </c:pt>
                <c:pt idx="64">
                  <c:v>50231.217539788435</c:v>
                </c:pt>
                <c:pt idx="65">
                  <c:v>55254.339293767276</c:v>
                </c:pt>
                <c:pt idx="66">
                  <c:v>60779.773223144002</c:v>
                </c:pt>
                <c:pt idx="67">
                  <c:v>66857.750545458402</c:v>
                </c:pt>
                <c:pt idx="68">
                  <c:v>73543.525600004257</c:v>
                </c:pt>
                <c:pt idx="69">
                  <c:v>80897.878160004708</c:v>
                </c:pt>
                <c:pt idx="70">
                  <c:v>88987.665976005184</c:v>
                </c:pt>
                <c:pt idx="71">
                  <c:v>97886.432573605707</c:v>
                </c:pt>
                <c:pt idx="72">
                  <c:v>107675.07583096631</c:v>
                </c:pt>
                <c:pt idx="73">
                  <c:v>118442.58341406294</c:v>
                </c:pt>
                <c:pt idx="74">
                  <c:v>130286.84175546926</c:v>
                </c:pt>
                <c:pt idx="75">
                  <c:v>143315.52593101619</c:v>
                </c:pt>
                <c:pt idx="76">
                  <c:v>157647.07852411782</c:v>
                </c:pt>
                <c:pt idx="77">
                  <c:v>173411.78637652961</c:v>
                </c:pt>
                <c:pt idx="78">
                  <c:v>190752.96501418258</c:v>
                </c:pt>
                <c:pt idx="79">
                  <c:v>209828.26151560087</c:v>
                </c:pt>
                <c:pt idx="80">
                  <c:v>230811.08766716099</c:v>
                </c:pt>
                <c:pt idx="81">
                  <c:v>253892.19643387705</c:v>
                </c:pt>
                <c:pt idx="82">
                  <c:v>279281.41607726476</c:v>
                </c:pt>
                <c:pt idx="83">
                  <c:v>307209.55768499128</c:v>
                </c:pt>
                <c:pt idx="84">
                  <c:v>337930.51345349039</c:v>
                </c:pt>
                <c:pt idx="85">
                  <c:v>371723.56479883945</c:v>
                </c:pt>
                <c:pt idx="86">
                  <c:v>408895.9212787234</c:v>
                </c:pt>
                <c:pt idx="87">
                  <c:v>449785.51340659574</c:v>
                </c:pt>
                <c:pt idx="88">
                  <c:v>494764.06474725535</c:v>
                </c:pt>
                <c:pt idx="89">
                  <c:v>544240.47122198099</c:v>
                </c:pt>
                <c:pt idx="90">
                  <c:v>598664.51834417915</c:v>
                </c:pt>
                <c:pt idx="91">
                  <c:v>658530.97017859714</c:v>
                </c:pt>
                <c:pt idx="92">
                  <c:v>724384.06719645683</c:v>
                </c:pt>
                <c:pt idx="93">
                  <c:v>764061.72453270887</c:v>
                </c:pt>
                <c:pt idx="94">
                  <c:v>726799.66410597973</c:v>
                </c:pt>
                <c:pt idx="95">
                  <c:v>685811.39763657772</c:v>
                </c:pt>
                <c:pt idx="96">
                  <c:v>640724.30452023551</c:v>
                </c:pt>
                <c:pt idx="97">
                  <c:v>591128.50209225889</c:v>
                </c:pt>
                <c:pt idx="98">
                  <c:v>536573.11942148476</c:v>
                </c:pt>
                <c:pt idx="99">
                  <c:v>476562.19848363317</c:v>
                </c:pt>
                <c:pt idx="100">
                  <c:v>410550.18545199645</c:v>
                </c:pt>
                <c:pt idx="101">
                  <c:v>337936.97111719608</c:v>
                </c:pt>
                <c:pt idx="102">
                  <c:v>258062.43534891552</c:v>
                </c:pt>
                <c:pt idx="103">
                  <c:v>170200.44600380701</c:v>
                </c:pt>
                <c:pt idx="104">
                  <c:v>73552.25772418757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3"/>
          <c:tx>
            <c:strRef>
              <c:f>'Projections Data'!$F$20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Data'!$G$20:$IN$20</c:f>
              <c:numCache>
                <c:formatCode>_-* #,##0_-;\-* #,##0_-;_-* "-"??_-;_-@_-</c:formatCode>
                <c:ptCount val="242"/>
                <c:pt idx="0">
                  <c:v>7.2850000000000001</c:v>
                </c:pt>
                <c:pt idx="1">
                  <c:v>10.763</c:v>
                </c:pt>
                <c:pt idx="2">
                  <c:v>15.134</c:v>
                </c:pt>
                <c:pt idx="3">
                  <c:v>21.291</c:v>
                </c:pt>
                <c:pt idx="4">
                  <c:v>30.785</c:v>
                </c:pt>
                <c:pt idx="5">
                  <c:v>41.735999999999997</c:v>
                </c:pt>
                <c:pt idx="6">
                  <c:v>53.015999999999998</c:v>
                </c:pt>
                <c:pt idx="7">
                  <c:v>79.617999999999995</c:v>
                </c:pt>
                <c:pt idx="8">
                  <c:v>95.692000000000007</c:v>
                </c:pt>
                <c:pt idx="9">
                  <c:v>117.59399999999999</c:v>
                </c:pt>
                <c:pt idx="10">
                  <c:v>145.18299999999999</c:v>
                </c:pt>
                <c:pt idx="11">
                  <c:v>181.32599999999999</c:v>
                </c:pt>
                <c:pt idx="12">
                  <c:v>210.607</c:v>
                </c:pt>
                <c:pt idx="13">
                  <c:v>265.738</c:v>
                </c:pt>
                <c:pt idx="14">
                  <c:v>331.49099999999999</c:v>
                </c:pt>
                <c:pt idx="15">
                  <c:v>409.79300000000001</c:v>
                </c:pt>
                <c:pt idx="16">
                  <c:v>446.21800000000002</c:v>
                </c:pt>
                <c:pt idx="17">
                  <c:v>543.97799999999995</c:v>
                </c:pt>
                <c:pt idx="18">
                  <c:v>604.98400000000004</c:v>
                </c:pt>
                <c:pt idx="19">
                  <c:v>750.40200000000004</c:v>
                </c:pt>
                <c:pt idx="20">
                  <c:v>898.68700000000001</c:v>
                </c:pt>
                <c:pt idx="21">
                  <c:v>1045.5150000000001</c:v>
                </c:pt>
                <c:pt idx="22">
                  <c:v>1169.877</c:v>
                </c:pt>
                <c:pt idx="23">
                  <c:v>1299.4559999999999</c:v>
                </c:pt>
                <c:pt idx="24">
                  <c:v>1633.0854999999999</c:v>
                </c:pt>
                <c:pt idx="25">
                  <c:v>2037.220875</c:v>
                </c:pt>
                <c:pt idx="26">
                  <c:v>2545.52734375</c:v>
                </c:pt>
                <c:pt idx="27">
                  <c:v>3184.1064296875002</c:v>
                </c:pt>
                <c:pt idx="28">
                  <c:v>4041.9850371093748</c:v>
                </c:pt>
                <c:pt idx="29">
                  <c:v>5063.0210463867188</c:v>
                </c:pt>
                <c:pt idx="30">
                  <c:v>6402.9188079833984</c:v>
                </c:pt>
                <c:pt idx="31">
                  <c:v>7996.1285099792485</c:v>
                </c:pt>
                <c:pt idx="32">
                  <c:v>10038.306637474059</c:v>
                </c:pt>
                <c:pt idx="33">
                  <c:v>12627.748046842575</c:v>
                </c:pt>
                <c:pt idx="34">
                  <c:v>15923.511308553219</c:v>
                </c:pt>
                <c:pt idx="35">
                  <c:v>20067.432135691524</c:v>
                </c:pt>
                <c:pt idx="36">
                  <c:v>25084.290169614404</c:v>
                </c:pt>
                <c:pt idx="37">
                  <c:v>31355.362712018006</c:v>
                </c:pt>
                <c:pt idx="38">
                  <c:v>39194.203390022507</c:v>
                </c:pt>
                <c:pt idx="39">
                  <c:v>48992.754237528134</c:v>
                </c:pt>
                <c:pt idx="40">
                  <c:v>61240.94279691016</c:v>
                </c:pt>
                <c:pt idx="41">
                  <c:v>76551.178496137713</c:v>
                </c:pt>
                <c:pt idx="42">
                  <c:v>95688.97312017213</c:v>
                </c:pt>
                <c:pt idx="43">
                  <c:v>119611.21640021514</c:v>
                </c:pt>
                <c:pt idx="44">
                  <c:v>149514.02050026893</c:v>
                </c:pt>
                <c:pt idx="45">
                  <c:v>186892.52562533616</c:v>
                </c:pt>
                <c:pt idx="46">
                  <c:v>233615.65703167018</c:v>
                </c:pt>
                <c:pt idx="47">
                  <c:v>292019.57128958777</c:v>
                </c:pt>
                <c:pt idx="48">
                  <c:v>365024.46411198471</c:v>
                </c:pt>
                <c:pt idx="49">
                  <c:v>456280.58013998088</c:v>
                </c:pt>
                <c:pt idx="50">
                  <c:v>570350.72517497605</c:v>
                </c:pt>
                <c:pt idx="51">
                  <c:v>712938.40646872018</c:v>
                </c:pt>
                <c:pt idx="52">
                  <c:v>891173.00808590034</c:v>
                </c:pt>
                <c:pt idx="53">
                  <c:v>1054482.4152574758</c:v>
                </c:pt>
                <c:pt idx="54">
                  <c:v>1033932.4368718446</c:v>
                </c:pt>
                <c:pt idx="55">
                  <c:v>1008244.9638898058</c:v>
                </c:pt>
                <c:pt idx="56">
                  <c:v>976135.62266225705</c:v>
                </c:pt>
                <c:pt idx="57">
                  <c:v>935998.94612782134</c:v>
                </c:pt>
                <c:pt idx="58">
                  <c:v>885828.10045977682</c:v>
                </c:pt>
                <c:pt idx="59">
                  <c:v>823114.54337472084</c:v>
                </c:pt>
                <c:pt idx="60">
                  <c:v>744722.59701840102</c:v>
                </c:pt>
                <c:pt idx="61">
                  <c:v>646732.66407300124</c:v>
                </c:pt>
                <c:pt idx="62">
                  <c:v>524245.24789125152</c:v>
                </c:pt>
                <c:pt idx="63">
                  <c:v>371135.97766406432</c:v>
                </c:pt>
                <c:pt idx="64">
                  <c:v>179749.38988008033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4"/>
          <c:tx>
            <c:strRef>
              <c:f>'Projections Data'!$F$22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Data'!$G$22:$IN$22</c:f>
              <c:numCache>
                <c:formatCode>_-* #,##0_-;\-* #,##0_-;_-* "-"??_-;_-@_-</c:formatCode>
                <c:ptCount val="242"/>
                <c:pt idx="0">
                  <c:v>7.2850000000000001</c:v>
                </c:pt>
                <c:pt idx="1">
                  <c:v>10.763</c:v>
                </c:pt>
                <c:pt idx="2">
                  <c:v>15.134</c:v>
                </c:pt>
                <c:pt idx="3">
                  <c:v>21.291</c:v>
                </c:pt>
                <c:pt idx="4">
                  <c:v>30.785</c:v>
                </c:pt>
                <c:pt idx="5">
                  <c:v>41.735999999999997</c:v>
                </c:pt>
                <c:pt idx="6">
                  <c:v>53.015999999999998</c:v>
                </c:pt>
                <c:pt idx="7">
                  <c:v>79.617999999999995</c:v>
                </c:pt>
                <c:pt idx="8">
                  <c:v>95.692000000000007</c:v>
                </c:pt>
                <c:pt idx="9">
                  <c:v>117.59399999999999</c:v>
                </c:pt>
                <c:pt idx="10">
                  <c:v>145.18299999999999</c:v>
                </c:pt>
                <c:pt idx="11">
                  <c:v>181.32599999999999</c:v>
                </c:pt>
                <c:pt idx="12">
                  <c:v>210.607</c:v>
                </c:pt>
                <c:pt idx="13">
                  <c:v>265.738</c:v>
                </c:pt>
                <c:pt idx="14">
                  <c:v>331.49099999999999</c:v>
                </c:pt>
                <c:pt idx="15">
                  <c:v>409.79300000000001</c:v>
                </c:pt>
                <c:pt idx="16">
                  <c:v>446.21800000000002</c:v>
                </c:pt>
                <c:pt idx="17">
                  <c:v>543.97799999999995</c:v>
                </c:pt>
                <c:pt idx="18">
                  <c:v>604.98400000000004</c:v>
                </c:pt>
                <c:pt idx="19">
                  <c:v>750.40200000000004</c:v>
                </c:pt>
                <c:pt idx="20">
                  <c:v>898.68700000000001</c:v>
                </c:pt>
                <c:pt idx="21">
                  <c:v>1045.5150000000001</c:v>
                </c:pt>
                <c:pt idx="22">
                  <c:v>1169.877</c:v>
                </c:pt>
                <c:pt idx="23">
                  <c:v>1299.4559999999999</c:v>
                </c:pt>
                <c:pt idx="24">
                  <c:v>1855.2027999999998</c:v>
                </c:pt>
                <c:pt idx="25">
                  <c:v>2625.8317199999992</c:v>
                </c:pt>
                <c:pt idx="26">
                  <c:v>3716.6408079999992</c:v>
                </c:pt>
                <c:pt idx="27">
                  <c:v>5257.488131199998</c:v>
                </c:pt>
                <c:pt idx="28">
                  <c:v>7486.9979836799976</c:v>
                </c:pt>
                <c:pt idx="29">
                  <c:v>10563.887377151996</c:v>
                </c:pt>
                <c:pt idx="30">
                  <c:v>14951.441928012793</c:v>
                </c:pt>
                <c:pt idx="31">
                  <c:v>21023.198699217908</c:v>
                </c:pt>
                <c:pt idx="32">
                  <c:v>29600.12717890507</c:v>
                </c:pt>
                <c:pt idx="33">
                  <c:v>41669.199650467097</c:v>
                </c:pt>
                <c:pt idx="34">
                  <c:v>58650.172110653933</c:v>
                </c:pt>
                <c:pt idx="35">
                  <c:v>82470.542954915509</c:v>
                </c:pt>
                <c:pt idx="36">
                  <c:v>115458.76013688171</c:v>
                </c:pt>
                <c:pt idx="37">
                  <c:v>161642.26419163437</c:v>
                </c:pt>
                <c:pt idx="38">
                  <c:v>226299.16986828815</c:v>
                </c:pt>
                <c:pt idx="39">
                  <c:v>316818.83781560336</c:v>
                </c:pt>
                <c:pt idx="40">
                  <c:v>443546.37294184469</c:v>
                </c:pt>
                <c:pt idx="41">
                  <c:v>620964.92211858241</c:v>
                </c:pt>
                <c:pt idx="42">
                  <c:v>869350.89096601529</c:v>
                </c:pt>
                <c:pt idx="43">
                  <c:v>1114829.1101007822</c:v>
                </c:pt>
                <c:pt idx="44">
                  <c:v>1106087.822621095</c:v>
                </c:pt>
                <c:pt idx="45">
                  <c:v>1093850.0201495332</c:v>
                </c:pt>
                <c:pt idx="46">
                  <c:v>1076717.0966893462</c:v>
                </c:pt>
                <c:pt idx="47">
                  <c:v>1052731.0038450845</c:v>
                </c:pt>
                <c:pt idx="48">
                  <c:v>1019150.4738631184</c:v>
                </c:pt>
                <c:pt idx="49">
                  <c:v>972137.7318883657</c:v>
                </c:pt>
                <c:pt idx="50">
                  <c:v>906319.89312371192</c:v>
                </c:pt>
                <c:pt idx="51">
                  <c:v>814174.91885319678</c:v>
                </c:pt>
                <c:pt idx="52">
                  <c:v>685171.95487447549</c:v>
                </c:pt>
                <c:pt idx="53">
                  <c:v>504567.80530426564</c:v>
                </c:pt>
                <c:pt idx="54">
                  <c:v>251721.995905972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5"/>
          <c:tx>
            <c:strRef>
              <c:f>'Projections Data'!$F$23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1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'Projections Data'!$G$3:$IN$3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'Projections Data'!$G$23:$IN$23</c:f>
              <c:numCache>
                <c:formatCode>General</c:formatCode>
                <c:ptCount val="2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8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6720.715088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485542965665876E-2"/>
          <c:y val="4.0204678362573097E-2"/>
          <c:w val="0.72780846534149513"/>
          <c:h val="0.85166300298134812"/>
        </c:manualLayout>
      </c:layout>
      <c:lineChart>
        <c:grouping val="standard"/>
        <c:varyColors val="0"/>
        <c:ser>
          <c:idx val="1"/>
          <c:order val="0"/>
          <c:tx>
            <c:strRef>
              <c:f>DaysSince100!$H$2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DaysSince100!$I$2:$DJ$2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DaysSince100!$H$3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DaysSince100!$I$3:$DJ$3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DaysSince100!$H$4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DaysSince100!$I$4:$DJ$4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DaysSince100!$H$5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DaysSince100!$I$5:$DJ$5</c:f>
              <c:numCache>
                <c:formatCode>General</c:formatCode>
                <c:ptCount val="106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DaysSince100!$H$6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5B9BD5">
                  <a:lumMod val="40000"/>
                  <a:lumOff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DaysSince100!$I$6:$CD$6</c:f>
              <c:numCache>
                <c:formatCode>General</c:formatCode>
                <c:ptCount val="74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14000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DaysSince100!$H$7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DaysSince100!$I$7:$CA$7</c:f>
              <c:numCache>
                <c:formatCode>General</c:formatCode>
                <c:ptCount val="71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DaysSince100!$H$8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DaysSince100!$I$8:$CG$8</c:f>
              <c:numCache>
                <c:formatCode>General</c:formatCode>
                <c:ptCount val="77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14746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DaysSince100!$H$9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DaysSince100!$I$9:$BV$9</c:f>
              <c:numCache>
                <c:formatCode>General</c:formatCode>
                <c:ptCount val="66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11979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DaysSince100!$H$10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5400" cap="rnd" cmpd="sng" algn="ctr">
              <a:solidFill>
                <a:srgbClr val="00206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DaysSince100!$I$10:$BW$10</c:f>
              <c:numCache>
                <c:formatCode>General</c:formatCode>
                <c:ptCount val="67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DaysSince100!$H$11</c:f>
              <c:strCache>
                <c:ptCount val="1"/>
                <c:pt idx="0">
                  <c:v>France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DaysSince100!$I$11:$BW$11</c:f>
              <c:numCache>
                <c:formatCode>General</c:formatCode>
                <c:ptCount val="67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957</c:v>
                </c:pt>
                <c:pt idx="7">
                  <c:v>1134</c:v>
                </c:pt>
                <c:pt idx="8">
                  <c:v>1217</c:v>
                </c:pt>
                <c:pt idx="9">
                  <c:v>1792</c:v>
                </c:pt>
                <c:pt idx="10">
                  <c:v>2290</c:v>
                </c:pt>
                <c:pt idx="11">
                  <c:v>2290</c:v>
                </c:pt>
                <c:pt idx="12">
                  <c:v>3678</c:v>
                </c:pt>
                <c:pt idx="13">
                  <c:v>4487</c:v>
                </c:pt>
                <c:pt idx="14">
                  <c:v>4523</c:v>
                </c:pt>
                <c:pt idx="15">
                  <c:v>6668</c:v>
                </c:pt>
                <c:pt idx="16">
                  <c:v>7730</c:v>
                </c:pt>
                <c:pt idx="17">
                  <c:v>9134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DaysSince100!$H$12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DaysSince100!$I$12:$BU$12</c:f>
              <c:numCache>
                <c:formatCode>General</c:formatCode>
                <c:ptCount val="65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2728</c:v>
                </c:pt>
                <c:pt idx="12">
                  <c:v>3500</c:v>
                </c:pt>
                <c:pt idx="13">
                  <c:v>4633</c:v>
                </c:pt>
                <c:pt idx="14">
                  <c:v>6421</c:v>
                </c:pt>
                <c:pt idx="15">
                  <c:v>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DaysSince100!$H$13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DaysSince100!$I$13:$BS$13</c:f>
              <c:numCache>
                <c:formatCode>General</c:formatCode>
                <c:ptCount val="63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DaysSince100!$H$14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A5A5A5">
                  <a:lumMod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DaysSince100!$I$14:$BR$14</c:f>
              <c:numCache>
                <c:formatCode>General</c:formatCode>
                <c:ptCount val="6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803</c:v>
                </c:pt>
                <c:pt idx="9">
                  <c:v>1145</c:v>
                </c:pt>
                <c:pt idx="10">
                  <c:v>1355</c:v>
                </c:pt>
                <c:pt idx="11">
                  <c:v>1552</c:v>
                </c:pt>
                <c:pt idx="12">
                  <c:v>1960</c:v>
                </c:pt>
                <c:pt idx="13">
                  <c:v>2626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DaysSince100!$H$15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DaysSince100!$I$15:$BR$15</c:f>
              <c:numCache>
                <c:formatCode>General</c:formatCode>
                <c:ptCount val="62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804</c:v>
                </c:pt>
                <c:pt idx="8">
                  <c:v>960</c:v>
                </c:pt>
                <c:pt idx="9">
                  <c:v>1136</c:v>
                </c:pt>
                <c:pt idx="10">
                  <c:v>1414</c:v>
                </c:pt>
                <c:pt idx="11">
                  <c:v>1708</c:v>
                </c:pt>
                <c:pt idx="12">
                  <c:v>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DaysSince100!$H$16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DaysSince100!$I$16:$BN$16</c:f>
              <c:numCache>
                <c:formatCode>General</c:formatCode>
                <c:ptCount val="58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DaysSince100!$H$17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DaysSince100!$I$17:$BR$17</c:f>
              <c:numCache>
                <c:formatCode>General</c:formatCode>
                <c:ptCount val="62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DaysSince100!$H$18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DaysSince100!$I$18:$BS$18</c:f>
              <c:numCache>
                <c:formatCode>General</c:formatCode>
                <c:ptCount val="63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DaysSince100!$H$19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DaysSince100!$I$19:$CF$19</c:f>
              <c:numCache>
                <c:formatCode>General</c:formatCode>
                <c:ptCount val="76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DaysSince100!$H$20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DaysSince100!$I$20:$CQ$20</c:f>
              <c:numCache>
                <c:formatCode>General</c:formatCode>
                <c:ptCount val="87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932</c:v>
                </c:pt>
                <c:pt idx="7">
                  <c:v>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DaysSince100!$H$21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DaysSince100!$I$21:$BR$21</c:f>
              <c:numCache>
                <c:formatCode>General</c:formatCode>
                <c:ptCount val="62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DaysSince100!$H$23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DaysSince100!$I$23:$BM$23</c:f>
              <c:numCache>
                <c:formatCode>General</c:formatCode>
                <c:ptCount val="57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DaysSince100!$H$24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DaysSince100!$I$24:$BN$24</c:f>
              <c:numCache>
                <c:formatCode>General</c:formatCode>
                <c:ptCount val="58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DaysSince100!$H$25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DaysSince100!$I$25:$BX$25</c:f>
              <c:numCache>
                <c:formatCode>General</c:formatCode>
                <c:ptCount val="68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DaysSince100!$H$26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DaysSince100!$I$26:$BO$26</c:f>
              <c:numCache>
                <c:formatCode>General</c:formatCode>
                <c:ptCount val="5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DaysSince100!$H$27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DaysSince100!$I$27:$BM$27</c:f>
              <c:numCache>
                <c:formatCode>General</c:formatCode>
                <c:ptCount val="57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DaysSince100!$H$28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DaysSince100!$I$28:$BK$28</c:f>
              <c:numCache>
                <c:formatCode>General</c:formatCode>
                <c:ptCount val="55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DaysSince100!$H$29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DaysSince100!$I$29:$BN$29</c:f>
              <c:numCache>
                <c:formatCode>General</c:formatCode>
                <c:ptCount val="58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DaysSince100!$H$30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DaysSince100!$I$30:$BM$30</c:f>
              <c:numCache>
                <c:formatCode>General</c:formatCode>
                <c:ptCount val="57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DaysSince100!$H$31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DaysSince100!$I$31:$BK$31</c:f>
              <c:numCache>
                <c:formatCode>General</c:formatCode>
                <c:ptCount val="55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DaysSince100!$H$32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DaysSince100!$I$32:$BK$32</c:f>
              <c:numCache>
                <c:formatCode>General</c:formatCode>
                <c:ptCount val="55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DaysSince100!$H$33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DaysSince100!$I$33:$BK$33</c:f>
              <c:numCache>
                <c:formatCode>General</c:formatCode>
                <c:ptCount val="55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DaysSince100!$H$34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DaysSince100!$I$34:$BK$34</c:f>
              <c:numCache>
                <c:formatCode>General</c:formatCode>
                <c:ptCount val="55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DaysSince100!$H$35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DaysSince100!$I$35:$BL$35</c:f>
              <c:numCache>
                <c:formatCode>General</c:formatCode>
                <c:ptCount val="56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DaysSince100!$H$36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DaysSince100!$I$36:$BK$36</c:f>
              <c:numCache>
                <c:formatCode>General</c:formatCode>
                <c:ptCount val="55"/>
                <c:pt idx="0">
                  <c:v>136</c:v>
                </c:pt>
                <c:pt idx="1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DaysSince100!$H$37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DaysSince100!$I$37:$BK$37</c:f>
              <c:numCache>
                <c:formatCode>General</c:formatCode>
                <c:ptCount val="55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DaysSince100!$H$38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DaysSince100!$I$38:$BJ$38</c:f>
              <c:numCache>
                <c:formatCode>General</c:formatCode>
                <c:ptCount val="54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DaysSince100!$H$39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DaysSince100!$I$39:$BJ$39</c:f>
              <c:numCache>
                <c:formatCode>General</c:formatCode>
                <c:ptCount val="54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DaysSince100!$H$40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DaysSince100!$I$40:$BJ$40</c:f>
              <c:numCache>
                <c:formatCode>General</c:formatCode>
                <c:ptCount val="54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DaysSince100!$H$41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DaysSince100!$I$41:$BJ$41</c:f>
              <c:numCache>
                <c:formatCode>General</c:formatCode>
                <c:ptCount val="54"/>
                <c:pt idx="0">
                  <c:v>155</c:v>
                </c:pt>
                <c:pt idx="1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DaysSince100!$H$42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DaysSince100!$I$42:$BJ$42</c:f>
              <c:numCache>
                <c:formatCode>General</c:formatCode>
                <c:ptCount val="54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DaysSince100!$H$43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DaysSince100!$I$43:$BJ$43</c:f>
              <c:numCache>
                <c:formatCode>General</c:formatCode>
                <c:ptCount val="54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DaysSince100!$H$44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DaysSince100!$I$44:$BI$44</c:f>
              <c:numCache>
                <c:formatCode>General</c:formatCode>
                <c:ptCount val="53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DaysSince100!$H$45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DaysSince100!$I$45:$BJ$45</c:f>
              <c:numCache>
                <c:formatCode>General</c:formatCode>
                <c:ptCount val="54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DaysSince100!$H$46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DaysSince100!$I$46:$BI$46</c:f>
              <c:numCache>
                <c:formatCode>General</c:formatCode>
                <c:ptCount val="53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DaysSince100!$H$47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DaysSince100!$I$47:$BI$47</c:f>
              <c:numCache>
                <c:formatCode>General</c:formatCode>
                <c:ptCount val="53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DaysSince100!$H$48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DaysSince100!$I$48:$BI$48</c:f>
              <c:numCache>
                <c:formatCode>General</c:formatCode>
                <c:ptCount val="53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DaysSince100!$H$49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DaysSince100!$I$49:$BJ$49</c:f>
              <c:numCache>
                <c:formatCode>General</c:formatCode>
                <c:ptCount val="54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DaysSince100!$H$50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DaysSince100!$I$50:$BJ$50</c:f>
              <c:numCache>
                <c:formatCode>General</c:formatCode>
                <c:ptCount val="54"/>
                <c:pt idx="0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40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5206056662831"/>
          <c:y val="2.1642300251611832E-2"/>
          <c:w val="0.18334793943337183"/>
          <c:h val="0.950622632658362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141514</xdr:colOff>
      <xdr:row>1</xdr:row>
      <xdr:rowOff>1089</xdr:rowOff>
    </xdr:from>
    <xdr:to>
      <xdr:col>17</xdr:col>
      <xdr:colOff>533400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27</xdr:row>
      <xdr:rowOff>129540</xdr:rowOff>
    </xdr:from>
    <xdr:to>
      <xdr:col>17</xdr:col>
      <xdr:colOff>533399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21</xdr:col>
      <xdr:colOff>0</xdr:colOff>
      <xdr:row>6</xdr:row>
      <xdr:rowOff>0</xdr:rowOff>
    </xdr:from>
    <xdr:ext cx="1173480" cy="264560"/>
    <xdr:sp macro="[0]!Sheet6.MinMax2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14499771" y="1045029"/>
          <a:ext cx="117348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oneCellAnchor>
    <xdr:from>
      <xdr:col>21</xdr:col>
      <xdr:colOff>0</xdr:colOff>
      <xdr:row>8</xdr:row>
      <xdr:rowOff>40278</xdr:rowOff>
    </xdr:from>
    <xdr:ext cx="1173480" cy="264560"/>
    <xdr:sp macro="[0]!Sheet6.MinMax3" textlink="">
      <xdr:nvSpPr>
        <xdr:cNvPr id="5" name="TextBox 4">
          <a:extLst>
            <a:ext uri="{FF2B5EF4-FFF2-40B4-BE49-F238E27FC236}">
              <a16:creationId xmlns:a16="http://schemas.microsoft.com/office/drawing/2014/main" id="{E9565EA1-B424-4026-921E-14680A1CE5ED}"/>
            </a:ext>
          </a:extLst>
        </xdr:cNvPr>
        <xdr:cNvSpPr txBox="1"/>
      </xdr:nvSpPr>
      <xdr:spPr>
        <a:xfrm>
          <a:off x="14499771" y="1433649"/>
          <a:ext cx="117348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22860</xdr:rowOff>
    </xdr:from>
    <xdr:to>
      <xdr:col>15</xdr:col>
      <xdr:colOff>502920</xdr:colOff>
      <xdr:row>29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82296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RUN</a:t>
          </a:r>
        </a:p>
      </xdr:txBody>
    </xdr:sp>
    <xdr:clientData/>
  </xdr:oneCellAnchor>
  <xdr:oneCellAnchor>
    <xdr:from>
      <xdr:col>20</xdr:col>
      <xdr:colOff>137160</xdr:colOff>
      <xdr:row>6</xdr:row>
      <xdr:rowOff>7620</xdr:rowOff>
    </xdr:from>
    <xdr:ext cx="822960" cy="264560"/>
    <xdr:sp macro="[0]!Macro" textlink="">
      <xdr:nvSpPr>
        <xdr:cNvPr id="4" name="TextBox 3">
          <a:extLst>
            <a:ext uri="{FF2B5EF4-FFF2-40B4-BE49-F238E27FC236}">
              <a16:creationId xmlns:a16="http://schemas.microsoft.com/office/drawing/2014/main" id="{749CAB7E-3D04-40FF-AB14-4D2D57C87734}"/>
            </a:ext>
          </a:extLst>
        </xdr:cNvPr>
        <xdr:cNvSpPr txBox="1"/>
      </xdr:nvSpPr>
      <xdr:spPr>
        <a:xfrm>
          <a:off x="12496800" y="110490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Data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W53"/>
  <sheetViews>
    <sheetView showGridLines="0" tabSelected="1" zoomScale="70" zoomScaleNormal="70" workbookViewId="0">
      <selection activeCell="U28" sqref="U28"/>
    </sheetView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7.21875" style="41" bestFit="1" customWidth="1"/>
    <col min="4" max="16384" width="8.88671875" style="41"/>
  </cols>
  <sheetData>
    <row r="1" spans="1:23" x14ac:dyDescent="0.25">
      <c r="A1" s="55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7"/>
    </row>
    <row r="2" spans="1:23" x14ac:dyDescent="0.25">
      <c r="A2" s="58"/>
      <c r="B2" s="86" t="str">
        <f>C7&amp;" Covid-19 Active Case Projections"</f>
        <v>Italy Covid-19 Active Case Projections</v>
      </c>
      <c r="C2" s="86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23" x14ac:dyDescent="0.25">
      <c r="A3" s="58"/>
      <c r="B3" s="86"/>
      <c r="C3" s="86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60"/>
    </row>
    <row r="4" spans="1:23" x14ac:dyDescent="0.25">
      <c r="A4" s="58"/>
      <c r="B4" s="86"/>
      <c r="C4" s="86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60"/>
    </row>
    <row r="5" spans="1:23" x14ac:dyDescent="0.25">
      <c r="A5" s="58"/>
      <c r="B5" s="86"/>
      <c r="C5" s="86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60"/>
    </row>
    <row r="6" spans="1:23" x14ac:dyDescent="0.2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60"/>
    </row>
    <row r="7" spans="1:23" x14ac:dyDescent="0.25">
      <c r="A7" s="58"/>
      <c r="B7" s="88" t="s">
        <v>516</v>
      </c>
      <c r="C7" s="87" t="s">
        <v>85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60"/>
    </row>
    <row r="8" spans="1:23" x14ac:dyDescent="0.25">
      <c r="A8" s="58"/>
      <c r="B8" s="88"/>
      <c r="C8" s="87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60"/>
    </row>
    <row r="9" spans="1:23" x14ac:dyDescent="0.25">
      <c r="A9" s="58"/>
      <c r="B9" s="74"/>
      <c r="C9" s="74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60"/>
    </row>
    <row r="10" spans="1:23" ht="14.4" customHeight="1" x14ac:dyDescent="0.25">
      <c r="A10" s="58"/>
      <c r="B10" s="88" t="s">
        <v>637</v>
      </c>
      <c r="C10" s="94">
        <f>'Projections Data'!C4</f>
        <v>31506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60"/>
    </row>
    <row r="11" spans="1:23" ht="14.4" customHeight="1" x14ac:dyDescent="0.25">
      <c r="A11" s="58"/>
      <c r="B11" s="88"/>
      <c r="C11" s="94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60"/>
    </row>
    <row r="12" spans="1:23" ht="14.4" customHeight="1" x14ac:dyDescent="0.25">
      <c r="A12" s="58"/>
      <c r="B12" s="88" t="s">
        <v>638</v>
      </c>
      <c r="C12" s="93">
        <f>'Projections Data'!C6</f>
        <v>26062</v>
      </c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60"/>
    </row>
    <row r="13" spans="1:23" ht="14.4" customHeight="1" x14ac:dyDescent="0.25">
      <c r="A13" s="58"/>
      <c r="B13" s="88"/>
      <c r="C13" s="93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60"/>
    </row>
    <row r="14" spans="1:23" ht="14.4" customHeight="1" x14ac:dyDescent="0.25">
      <c r="A14" s="58"/>
      <c r="B14" s="84" t="s">
        <v>640</v>
      </c>
      <c r="C14" s="91">
        <f>'Projections Data'!C7</f>
        <v>2941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60"/>
      <c r="V14" s="54" t="s">
        <v>614</v>
      </c>
      <c r="W14" s="41">
        <v>5</v>
      </c>
    </row>
    <row r="15" spans="1:23" ht="14.4" customHeight="1" x14ac:dyDescent="0.25">
      <c r="A15" s="58"/>
      <c r="B15" s="85"/>
      <c r="C15" s="92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60"/>
    </row>
    <row r="16" spans="1:23" ht="14.4" customHeight="1" x14ac:dyDescent="0.25">
      <c r="A16" s="58"/>
      <c r="B16" s="84" t="s">
        <v>641</v>
      </c>
      <c r="C16" s="89">
        <f>'Projections Data'!C8</f>
        <v>2503</v>
      </c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60"/>
    </row>
    <row r="17" spans="1:21" ht="14.4" customHeight="1" x14ac:dyDescent="0.25">
      <c r="A17" s="58"/>
      <c r="B17" s="85"/>
      <c r="C17" s="90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60"/>
    </row>
    <row r="18" spans="1:21" ht="14.4" customHeight="1" x14ac:dyDescent="0.25">
      <c r="A18" s="58"/>
      <c r="B18" s="84" t="s">
        <v>639</v>
      </c>
      <c r="C18" s="82">
        <f>'Projections Data'!C13</f>
        <v>37054.957139772043</v>
      </c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60"/>
    </row>
    <row r="19" spans="1:21" ht="14.4" customHeight="1" x14ac:dyDescent="0.25">
      <c r="A19" s="58"/>
      <c r="B19" s="85"/>
      <c r="C19" s="83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60"/>
    </row>
    <row r="20" spans="1:21" ht="14.4" customHeight="1" x14ac:dyDescent="0.25">
      <c r="A20" s="58"/>
      <c r="B20" s="75" t="s">
        <v>627</v>
      </c>
      <c r="C20" s="98">
        <f>'Projections Data'!C11</f>
        <v>0.17612382212188282</v>
      </c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60"/>
    </row>
    <row r="21" spans="1:21" ht="14.4" customHeight="1" x14ac:dyDescent="0.25">
      <c r="A21" s="58"/>
      <c r="B21" s="76"/>
      <c r="C21" s="9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60"/>
    </row>
    <row r="22" spans="1:21" ht="14.4" customHeight="1" x14ac:dyDescent="0.25">
      <c r="A22" s="58"/>
      <c r="B22" s="75" t="s">
        <v>635</v>
      </c>
      <c r="C22" s="77">
        <f>'Projections Data'!C22</f>
        <v>43886</v>
      </c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60"/>
      <c r="U22" s="41" t="s">
        <v>626</v>
      </c>
    </row>
    <row r="23" spans="1:21" ht="14.4" customHeight="1" x14ac:dyDescent="0.25">
      <c r="A23" s="58"/>
      <c r="B23" s="76"/>
      <c r="C23" s="78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60"/>
    </row>
    <row r="24" spans="1:21" ht="14.4" customHeight="1" x14ac:dyDescent="0.25">
      <c r="A24" s="58"/>
      <c r="B24" s="75" t="s">
        <v>634</v>
      </c>
      <c r="C24" s="77">
        <f>'Projections Data'!C23</f>
        <v>43886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60"/>
    </row>
    <row r="25" spans="1:21" ht="14.4" customHeight="1" x14ac:dyDescent="0.25">
      <c r="A25" s="58"/>
      <c r="B25" s="76"/>
      <c r="C25" s="78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60"/>
    </row>
    <row r="26" spans="1:21" x14ac:dyDescent="0.25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60"/>
    </row>
    <row r="27" spans="1:21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60"/>
    </row>
    <row r="28" spans="1:21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60"/>
    </row>
    <row r="29" spans="1:21" ht="13.8" customHeight="1" x14ac:dyDescent="0.25">
      <c r="A29" s="58"/>
      <c r="B29" s="79" t="str">
        <f>'Projections Data'!B34</f>
        <v>Italy critically ill projections (4.7% of infected requiring critical care)</v>
      </c>
      <c r="C29" s="7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60"/>
    </row>
    <row r="30" spans="1:21" ht="13.8" customHeight="1" x14ac:dyDescent="0.25">
      <c r="A30" s="58"/>
      <c r="B30" s="79"/>
      <c r="C30" s="7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60"/>
    </row>
    <row r="31" spans="1:21" ht="15.6" customHeight="1" x14ac:dyDescent="0.25">
      <c r="A31" s="58"/>
      <c r="B31" s="79"/>
      <c r="C31" s="7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60"/>
    </row>
    <row r="32" spans="1:21" ht="15.6" customHeight="1" x14ac:dyDescent="0.25">
      <c r="A32" s="58"/>
      <c r="B32" s="79"/>
      <c r="C32" s="7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60"/>
    </row>
    <row r="33" spans="1:18" ht="15.6" customHeight="1" x14ac:dyDescent="0.25">
      <c r="A33" s="58"/>
      <c r="B33" s="79"/>
      <c r="C33" s="7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60"/>
    </row>
    <row r="34" spans="1:18" ht="15.6" customHeight="1" x14ac:dyDescent="0.25">
      <c r="A34" s="58"/>
      <c r="B34" s="79"/>
      <c r="C34" s="7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60"/>
    </row>
    <row r="35" spans="1:18" x14ac:dyDescent="0.25">
      <c r="A35" s="58"/>
      <c r="B35" s="67"/>
      <c r="C35" s="67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60"/>
    </row>
    <row r="36" spans="1:18" x14ac:dyDescent="0.25">
      <c r="A36" s="58"/>
      <c r="B36" s="67"/>
      <c r="C36" s="67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60"/>
    </row>
    <row r="37" spans="1:18" x14ac:dyDescent="0.25">
      <c r="A37" s="58"/>
      <c r="B37" s="84" t="s">
        <v>500</v>
      </c>
      <c r="C37" s="82">
        <f>'Projections Data'!C15</f>
        <v>7557.7282499999992</v>
      </c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60"/>
    </row>
    <row r="38" spans="1:18" x14ac:dyDescent="0.25">
      <c r="A38" s="58"/>
      <c r="B38" s="85"/>
      <c r="C38" s="83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60"/>
    </row>
    <row r="39" spans="1:18" ht="27.6" customHeight="1" x14ac:dyDescent="0.25">
      <c r="A39" s="58"/>
      <c r="B39" s="75" t="s">
        <v>622</v>
      </c>
      <c r="C39" s="80">
        <f>'Projections Data'!C14</f>
        <v>4.7E-2</v>
      </c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60"/>
    </row>
    <row r="40" spans="1:18" x14ac:dyDescent="0.25">
      <c r="A40" s="58"/>
      <c r="B40" s="76"/>
      <c r="C40" s="81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60"/>
    </row>
    <row r="41" spans="1:18" ht="27.6" customHeight="1" x14ac:dyDescent="0.25">
      <c r="A41" s="58"/>
      <c r="B41" s="75" t="s">
        <v>623</v>
      </c>
      <c r="C41" s="82">
        <f ca="1">HLOOKUP(TODAY(),'Projections Data'!G3:BL18,16,FALSE)</f>
        <v>1523.6909855692861</v>
      </c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60"/>
    </row>
    <row r="42" spans="1:18" x14ac:dyDescent="0.25">
      <c r="A42" s="58"/>
      <c r="B42" s="76"/>
      <c r="C42" s="83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60"/>
    </row>
    <row r="43" spans="1:18" ht="13.8" customHeight="1" x14ac:dyDescent="0.25">
      <c r="A43" s="58"/>
      <c r="B43" s="96" t="s">
        <v>607</v>
      </c>
      <c r="C43" s="97">
        <f ca="1">'Projections Data'!D29-4</f>
        <v>43919</v>
      </c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60"/>
    </row>
    <row r="44" spans="1:18" x14ac:dyDescent="0.25">
      <c r="A44" s="58"/>
      <c r="B44" s="96"/>
      <c r="C44" s="97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60"/>
    </row>
    <row r="45" spans="1:18" ht="13.8" customHeight="1" x14ac:dyDescent="0.25">
      <c r="A45" s="58"/>
      <c r="B45" s="96" t="s">
        <v>608</v>
      </c>
      <c r="C45" s="95">
        <f ca="1">C43-TODAY()</f>
        <v>11</v>
      </c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60"/>
    </row>
    <row r="46" spans="1:18" x14ac:dyDescent="0.25">
      <c r="A46" s="58"/>
      <c r="B46" s="96"/>
      <c r="C46" s="95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60"/>
    </row>
    <row r="47" spans="1:18" x14ac:dyDescent="0.25">
      <c r="A47" s="58"/>
      <c r="B47" s="67"/>
      <c r="C47" s="67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60"/>
    </row>
    <row r="48" spans="1:18" x14ac:dyDescent="0.25">
      <c r="A48" s="58"/>
      <c r="B48" s="67"/>
      <c r="C48" s="67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60"/>
    </row>
    <row r="49" spans="1:18" x14ac:dyDescent="0.25">
      <c r="A49" s="58"/>
      <c r="B49" s="67"/>
      <c r="C49" s="67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60"/>
    </row>
    <row r="50" spans="1:18" x14ac:dyDescent="0.25">
      <c r="A50" s="58"/>
      <c r="B50" s="67"/>
      <c r="C50" s="67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60"/>
    </row>
    <row r="51" spans="1:18" x14ac:dyDescent="0.25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60"/>
    </row>
    <row r="52" spans="1:18" x14ac:dyDescent="0.25">
      <c r="A52" s="58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60"/>
    </row>
    <row r="53" spans="1:18" ht="14.4" thickBot="1" x14ac:dyDescent="0.3">
      <c r="A53" s="61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3"/>
    </row>
  </sheetData>
  <mergeCells count="30">
    <mergeCell ref="B41:B42"/>
    <mergeCell ref="B10:B11"/>
    <mergeCell ref="C45:C46"/>
    <mergeCell ref="B45:B46"/>
    <mergeCell ref="C43:C44"/>
    <mergeCell ref="B43:B44"/>
    <mergeCell ref="C41:C42"/>
    <mergeCell ref="B20:B21"/>
    <mergeCell ref="C20:C21"/>
    <mergeCell ref="B18:B19"/>
    <mergeCell ref="C18:C19"/>
    <mergeCell ref="C39:C40"/>
    <mergeCell ref="B39:B40"/>
    <mergeCell ref="C37:C38"/>
    <mergeCell ref="B37:B38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22:B23"/>
    <mergeCell ref="C22:C23"/>
    <mergeCell ref="C24:C25"/>
    <mergeCell ref="B24:B25"/>
    <mergeCell ref="B29:C34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1:IN264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C7" sqref="C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1.21875" style="19" bestFit="1" customWidth="1"/>
    <col min="4" max="4" width="10.5546875" style="19" bestFit="1" customWidth="1"/>
    <col min="5" max="5" width="4" style="19" bestFit="1" customWidth="1"/>
    <col min="6" max="6" width="22.33203125" style="19" bestFit="1" customWidth="1"/>
    <col min="7" max="7" width="10.5546875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1" spans="2:248" x14ac:dyDescent="0.3">
      <c r="B1" s="19" t="str">
        <f>Projections!$C$7</f>
        <v>Italy</v>
      </c>
    </row>
    <row r="2" spans="2:248" x14ac:dyDescent="0.3">
      <c r="B2" s="19" t="str">
        <f>VLOOKUP(Projections!C7,'Country Summary'!B:C,2,FALSE)</f>
        <v>Italy</v>
      </c>
    </row>
    <row r="3" spans="2:248" x14ac:dyDescent="0.3">
      <c r="G3" s="20">
        <f ca="1">VLOOKUP(B1,'Country Summary'!B:E,4,FALSE)</f>
        <v>43884</v>
      </c>
      <c r="H3" s="20">
        <f ca="1">G3+1</f>
        <v>43885</v>
      </c>
      <c r="I3" s="20">
        <f t="shared" ref="I3:BL3" ca="1" si="0">H3+1</f>
        <v>43886</v>
      </c>
      <c r="J3" s="20">
        <f t="shared" ca="1" si="0"/>
        <v>43887</v>
      </c>
      <c r="K3" s="20">
        <f t="shared" ca="1" si="0"/>
        <v>43888</v>
      </c>
      <c r="L3" s="20">
        <f t="shared" ca="1" si="0"/>
        <v>43889</v>
      </c>
      <c r="M3" s="20">
        <f t="shared" ca="1" si="0"/>
        <v>43890</v>
      </c>
      <c r="N3" s="20">
        <f t="shared" ca="1" si="0"/>
        <v>43891</v>
      </c>
      <c r="O3" s="20">
        <f t="shared" ca="1" si="0"/>
        <v>43892</v>
      </c>
      <c r="P3" s="20">
        <f t="shared" ca="1" si="0"/>
        <v>43893</v>
      </c>
      <c r="Q3" s="20">
        <f t="shared" ca="1" si="0"/>
        <v>43894</v>
      </c>
      <c r="R3" s="20">
        <f t="shared" ca="1" si="0"/>
        <v>43895</v>
      </c>
      <c r="S3" s="20">
        <f t="shared" ca="1" si="0"/>
        <v>43896</v>
      </c>
      <c r="T3" s="20">
        <f t="shared" ca="1" si="0"/>
        <v>43897</v>
      </c>
      <c r="U3" s="20">
        <f t="shared" ca="1" si="0"/>
        <v>43898</v>
      </c>
      <c r="V3" s="20">
        <f t="shared" ca="1" si="0"/>
        <v>43899</v>
      </c>
      <c r="W3" s="20">
        <f t="shared" ca="1" si="0"/>
        <v>43900</v>
      </c>
      <c r="X3" s="20">
        <f t="shared" ca="1" si="0"/>
        <v>43901</v>
      </c>
      <c r="Y3" s="20">
        <f t="shared" ca="1" si="0"/>
        <v>43902</v>
      </c>
      <c r="Z3" s="20">
        <f t="shared" ca="1" si="0"/>
        <v>43903</v>
      </c>
      <c r="AA3" s="20">
        <f t="shared" ca="1" si="0"/>
        <v>43904</v>
      </c>
      <c r="AB3" s="20">
        <f t="shared" ca="1" si="0"/>
        <v>43905</v>
      </c>
      <c r="AC3" s="20">
        <f t="shared" ca="1" si="0"/>
        <v>43906</v>
      </c>
      <c r="AD3" s="20">
        <f t="shared" ca="1" si="0"/>
        <v>43907</v>
      </c>
      <c r="AE3" s="20">
        <f t="shared" ca="1" si="0"/>
        <v>43908</v>
      </c>
      <c r="AF3" s="20">
        <f t="shared" ca="1" si="0"/>
        <v>43909</v>
      </c>
      <c r="AG3" s="20">
        <f t="shared" ca="1" si="0"/>
        <v>43910</v>
      </c>
      <c r="AH3" s="20">
        <f t="shared" ca="1" si="0"/>
        <v>43911</v>
      </c>
      <c r="AI3" s="20">
        <f t="shared" ca="1" si="0"/>
        <v>43912</v>
      </c>
      <c r="AJ3" s="20">
        <f t="shared" ca="1" si="0"/>
        <v>43913</v>
      </c>
      <c r="AK3" s="20">
        <f t="shared" ca="1" si="0"/>
        <v>43914</v>
      </c>
      <c r="AL3" s="20">
        <f t="shared" ca="1" si="0"/>
        <v>43915</v>
      </c>
      <c r="AM3" s="20">
        <f t="shared" ca="1" si="0"/>
        <v>43916</v>
      </c>
      <c r="AN3" s="20">
        <f t="shared" ca="1" si="0"/>
        <v>43917</v>
      </c>
      <c r="AO3" s="20">
        <f t="shared" ca="1" si="0"/>
        <v>43918</v>
      </c>
      <c r="AP3" s="20">
        <f t="shared" ca="1" si="0"/>
        <v>43919</v>
      </c>
      <c r="AQ3" s="20">
        <f t="shared" ca="1" si="0"/>
        <v>43920</v>
      </c>
      <c r="AR3" s="20">
        <f t="shared" ca="1" si="0"/>
        <v>43921</v>
      </c>
      <c r="AS3" s="20">
        <f t="shared" ca="1" si="0"/>
        <v>43922</v>
      </c>
      <c r="AT3" s="20">
        <f t="shared" ca="1" si="0"/>
        <v>43923</v>
      </c>
      <c r="AU3" s="20">
        <f t="shared" ca="1" si="0"/>
        <v>43924</v>
      </c>
      <c r="AV3" s="20">
        <f t="shared" ca="1" si="0"/>
        <v>43925</v>
      </c>
      <c r="AW3" s="20">
        <f t="shared" ca="1" si="0"/>
        <v>43926</v>
      </c>
      <c r="AX3" s="20">
        <f t="shared" ca="1" si="0"/>
        <v>43927</v>
      </c>
      <c r="AY3" s="20">
        <f t="shared" ca="1" si="0"/>
        <v>43928</v>
      </c>
      <c r="AZ3" s="20">
        <f t="shared" ca="1" si="0"/>
        <v>43929</v>
      </c>
      <c r="BA3" s="20">
        <f t="shared" ca="1" si="0"/>
        <v>43930</v>
      </c>
      <c r="BB3" s="20">
        <f t="shared" ca="1" si="0"/>
        <v>43931</v>
      </c>
      <c r="BC3" s="20">
        <f t="shared" ca="1" si="0"/>
        <v>43932</v>
      </c>
      <c r="BD3" s="20">
        <f t="shared" ca="1" si="0"/>
        <v>43933</v>
      </c>
      <c r="BE3" s="20">
        <f t="shared" ca="1" si="0"/>
        <v>43934</v>
      </c>
      <c r="BF3" s="20">
        <f t="shared" ca="1" si="0"/>
        <v>43935</v>
      </c>
      <c r="BG3" s="20">
        <f t="shared" ca="1" si="0"/>
        <v>43936</v>
      </c>
      <c r="BH3" s="20">
        <f t="shared" ca="1" si="0"/>
        <v>43937</v>
      </c>
      <c r="BI3" s="20">
        <f t="shared" ca="1" si="0"/>
        <v>43938</v>
      </c>
      <c r="BJ3" s="20">
        <f t="shared" ca="1" si="0"/>
        <v>43939</v>
      </c>
      <c r="BK3" s="20">
        <f t="shared" ca="1" si="0"/>
        <v>43940</v>
      </c>
      <c r="BL3" s="20">
        <f t="shared" ca="1" si="0"/>
        <v>43941</v>
      </c>
      <c r="BM3" s="20">
        <f t="shared" ref="BM3:BO4" ca="1" si="1">BL3+1</f>
        <v>43942</v>
      </c>
      <c r="BN3" s="20">
        <f t="shared" ca="1" si="1"/>
        <v>43943</v>
      </c>
      <c r="BO3" s="20">
        <f t="shared" ca="1" si="1"/>
        <v>43944</v>
      </c>
      <c r="BP3" s="20">
        <f t="shared" ref="BP3:CN3" ca="1" si="2">BO3+1</f>
        <v>43945</v>
      </c>
      <c r="BQ3" s="20">
        <f t="shared" ca="1" si="2"/>
        <v>43946</v>
      </c>
      <c r="BR3" s="20">
        <f t="shared" ca="1" si="2"/>
        <v>43947</v>
      </c>
      <c r="BS3" s="20">
        <f t="shared" ca="1" si="2"/>
        <v>43948</v>
      </c>
      <c r="BT3" s="20">
        <f t="shared" ca="1" si="2"/>
        <v>43949</v>
      </c>
      <c r="BU3" s="20">
        <f t="shared" ca="1" si="2"/>
        <v>43950</v>
      </c>
      <c r="BV3" s="20">
        <f t="shared" ca="1" si="2"/>
        <v>43951</v>
      </c>
      <c r="BW3" s="20">
        <f t="shared" ca="1" si="2"/>
        <v>43952</v>
      </c>
      <c r="BX3" s="20">
        <f t="shared" ca="1" si="2"/>
        <v>43953</v>
      </c>
      <c r="BY3" s="20">
        <f t="shared" ca="1" si="2"/>
        <v>43954</v>
      </c>
      <c r="BZ3" s="20">
        <f t="shared" ca="1" si="2"/>
        <v>43955</v>
      </c>
      <c r="CA3" s="20">
        <f t="shared" ca="1" si="2"/>
        <v>43956</v>
      </c>
      <c r="CB3" s="20">
        <f t="shared" ca="1" si="2"/>
        <v>43957</v>
      </c>
      <c r="CC3" s="20">
        <f t="shared" ca="1" si="2"/>
        <v>43958</v>
      </c>
      <c r="CD3" s="20">
        <f t="shared" ca="1" si="2"/>
        <v>43959</v>
      </c>
      <c r="CE3" s="20">
        <f t="shared" ca="1" si="2"/>
        <v>43960</v>
      </c>
      <c r="CF3" s="20">
        <f t="shared" ca="1" si="2"/>
        <v>43961</v>
      </c>
      <c r="CG3" s="20">
        <f t="shared" ca="1" si="2"/>
        <v>43962</v>
      </c>
      <c r="CH3" s="20">
        <f t="shared" ca="1" si="2"/>
        <v>43963</v>
      </c>
      <c r="CI3" s="20">
        <f t="shared" ca="1" si="2"/>
        <v>43964</v>
      </c>
      <c r="CJ3" s="20">
        <f t="shared" ca="1" si="2"/>
        <v>43965</v>
      </c>
      <c r="CK3" s="20">
        <f t="shared" ca="1" si="2"/>
        <v>43966</v>
      </c>
      <c r="CL3" s="20">
        <f t="shared" ca="1" si="2"/>
        <v>43967</v>
      </c>
      <c r="CM3" s="20">
        <f t="shared" ca="1" si="2"/>
        <v>43968</v>
      </c>
      <c r="CN3" s="20">
        <f t="shared" ca="1" si="2"/>
        <v>43969</v>
      </c>
      <c r="CO3" s="20">
        <f t="shared" ref="CO3:DC3" ca="1" si="3">CN3+1</f>
        <v>43970</v>
      </c>
      <c r="CP3" s="20">
        <f t="shared" ca="1" si="3"/>
        <v>43971</v>
      </c>
      <c r="CQ3" s="20">
        <f t="shared" ca="1" si="3"/>
        <v>43972</v>
      </c>
      <c r="CR3" s="20">
        <f t="shared" ca="1" si="3"/>
        <v>43973</v>
      </c>
      <c r="CS3" s="20">
        <f t="shared" ca="1" si="3"/>
        <v>43974</v>
      </c>
      <c r="CT3" s="20">
        <f t="shared" ca="1" si="3"/>
        <v>43975</v>
      </c>
      <c r="CU3" s="20">
        <f t="shared" ca="1" si="3"/>
        <v>43976</v>
      </c>
      <c r="CV3" s="20">
        <f t="shared" ca="1" si="3"/>
        <v>43977</v>
      </c>
      <c r="CW3" s="20">
        <f t="shared" ca="1" si="3"/>
        <v>43978</v>
      </c>
      <c r="CX3" s="20">
        <f t="shared" ca="1" si="3"/>
        <v>43979</v>
      </c>
      <c r="CY3" s="20">
        <f t="shared" ca="1" si="3"/>
        <v>43980</v>
      </c>
      <c r="CZ3" s="20">
        <f t="shared" ca="1" si="3"/>
        <v>43981</v>
      </c>
      <c r="DA3" s="20">
        <f t="shared" ca="1" si="3"/>
        <v>43982</v>
      </c>
      <c r="DB3" s="20">
        <f t="shared" ca="1" si="3"/>
        <v>43983</v>
      </c>
      <c r="DC3" s="20">
        <f t="shared" ca="1" si="3"/>
        <v>43984</v>
      </c>
      <c r="DD3" s="20">
        <f t="shared" ref="DD3:FJ3" ca="1" si="4">DC3+1</f>
        <v>43985</v>
      </c>
      <c r="DE3" s="20">
        <f t="shared" ca="1" si="4"/>
        <v>43986</v>
      </c>
      <c r="DF3" s="20">
        <f t="shared" ca="1" si="4"/>
        <v>43987</v>
      </c>
      <c r="DG3" s="20">
        <f t="shared" ca="1" si="4"/>
        <v>43988</v>
      </c>
      <c r="DH3" s="20">
        <f t="shared" ca="1" si="4"/>
        <v>43989</v>
      </c>
      <c r="DI3" s="20">
        <f t="shared" ca="1" si="4"/>
        <v>43990</v>
      </c>
      <c r="DJ3" s="20">
        <f t="shared" ca="1" si="4"/>
        <v>43991</v>
      </c>
      <c r="DK3" s="20">
        <f t="shared" ca="1" si="4"/>
        <v>43992</v>
      </c>
      <c r="DL3" s="20">
        <f t="shared" ca="1" si="4"/>
        <v>43993</v>
      </c>
      <c r="DM3" s="20">
        <f t="shared" ca="1" si="4"/>
        <v>43994</v>
      </c>
      <c r="DN3" s="20">
        <f t="shared" ca="1" si="4"/>
        <v>43995</v>
      </c>
      <c r="DO3" s="20">
        <f t="shared" ca="1" si="4"/>
        <v>43996</v>
      </c>
      <c r="DP3" s="20">
        <f t="shared" ca="1" si="4"/>
        <v>43997</v>
      </c>
      <c r="DQ3" s="20">
        <f t="shared" ca="1" si="4"/>
        <v>43998</v>
      </c>
      <c r="DR3" s="20">
        <f t="shared" ca="1" si="4"/>
        <v>43999</v>
      </c>
      <c r="DS3" s="20">
        <f t="shared" ca="1" si="4"/>
        <v>44000</v>
      </c>
      <c r="DT3" s="20">
        <f t="shared" ca="1" si="4"/>
        <v>44001</v>
      </c>
      <c r="DU3" s="20">
        <f t="shared" ca="1" si="4"/>
        <v>44002</v>
      </c>
      <c r="DV3" s="20">
        <f t="shared" ca="1" si="4"/>
        <v>44003</v>
      </c>
      <c r="DW3" s="20">
        <f t="shared" ca="1" si="4"/>
        <v>44004</v>
      </c>
      <c r="DX3" s="20">
        <f t="shared" ca="1" si="4"/>
        <v>44005</v>
      </c>
      <c r="DY3" s="20">
        <f t="shared" ca="1" si="4"/>
        <v>44006</v>
      </c>
      <c r="DZ3" s="20">
        <f t="shared" ca="1" si="4"/>
        <v>44007</v>
      </c>
      <c r="EA3" s="20">
        <f t="shared" ca="1" si="4"/>
        <v>44008</v>
      </c>
      <c r="EB3" s="20">
        <f t="shared" ca="1" si="4"/>
        <v>44009</v>
      </c>
      <c r="EC3" s="20">
        <f t="shared" ca="1" si="4"/>
        <v>44010</v>
      </c>
      <c r="ED3" s="20">
        <f t="shared" ca="1" si="4"/>
        <v>44011</v>
      </c>
      <c r="EE3" s="20">
        <f t="shared" ca="1" si="4"/>
        <v>44012</v>
      </c>
      <c r="EF3" s="20">
        <f t="shared" ca="1" si="4"/>
        <v>44013</v>
      </c>
      <c r="EG3" s="20">
        <f t="shared" ca="1" si="4"/>
        <v>44014</v>
      </c>
      <c r="EH3" s="20">
        <f t="shared" ca="1" si="4"/>
        <v>44015</v>
      </c>
      <c r="EI3" s="20">
        <f t="shared" ca="1" si="4"/>
        <v>44016</v>
      </c>
      <c r="EJ3" s="20">
        <f t="shared" ca="1" si="4"/>
        <v>44017</v>
      </c>
      <c r="EK3" s="20">
        <f t="shared" ca="1" si="4"/>
        <v>44018</v>
      </c>
      <c r="EL3" s="20">
        <f t="shared" ca="1" si="4"/>
        <v>44019</v>
      </c>
      <c r="EM3" s="20">
        <f t="shared" ca="1" si="4"/>
        <v>44020</v>
      </c>
      <c r="EN3" s="20">
        <f t="shared" ca="1" si="4"/>
        <v>44021</v>
      </c>
      <c r="EO3" s="20">
        <f t="shared" ca="1" si="4"/>
        <v>44022</v>
      </c>
      <c r="EP3" s="20">
        <f t="shared" ca="1" si="4"/>
        <v>44023</v>
      </c>
      <c r="EQ3" s="20">
        <f t="shared" ca="1" si="4"/>
        <v>44024</v>
      </c>
      <c r="ER3" s="20">
        <f t="shared" ca="1" si="4"/>
        <v>44025</v>
      </c>
      <c r="ES3" s="20">
        <f t="shared" ca="1" si="4"/>
        <v>44026</v>
      </c>
      <c r="ET3" s="20">
        <f t="shared" ca="1" si="4"/>
        <v>44027</v>
      </c>
      <c r="EU3" s="20">
        <f t="shared" ca="1" si="4"/>
        <v>44028</v>
      </c>
      <c r="EV3" s="20">
        <f t="shared" ca="1" si="4"/>
        <v>44029</v>
      </c>
      <c r="EW3" s="20">
        <f t="shared" ca="1" si="4"/>
        <v>44030</v>
      </c>
      <c r="EX3" s="20">
        <f t="shared" ca="1" si="4"/>
        <v>44031</v>
      </c>
      <c r="EY3" s="20">
        <f t="shared" ca="1" si="4"/>
        <v>44032</v>
      </c>
      <c r="EZ3" s="20">
        <f t="shared" ca="1" si="4"/>
        <v>44033</v>
      </c>
      <c r="FA3" s="20">
        <f t="shared" ca="1" si="4"/>
        <v>44034</v>
      </c>
      <c r="FB3" s="20">
        <f t="shared" ca="1" si="4"/>
        <v>44035</v>
      </c>
      <c r="FC3" s="20">
        <f t="shared" ca="1" si="4"/>
        <v>44036</v>
      </c>
      <c r="FD3" s="20">
        <f t="shared" ca="1" si="4"/>
        <v>44037</v>
      </c>
      <c r="FE3" s="20">
        <f t="shared" ca="1" si="4"/>
        <v>44038</v>
      </c>
      <c r="FF3" s="20">
        <f t="shared" ca="1" si="4"/>
        <v>44039</v>
      </c>
      <c r="FG3" s="20">
        <f t="shared" ca="1" si="4"/>
        <v>44040</v>
      </c>
      <c r="FH3" s="20">
        <f t="shared" ca="1" si="4"/>
        <v>44041</v>
      </c>
      <c r="FI3" s="20">
        <f t="shared" ca="1" si="4"/>
        <v>44042</v>
      </c>
      <c r="FJ3" s="20">
        <f t="shared" ca="1" si="4"/>
        <v>44043</v>
      </c>
      <c r="FK3" s="20">
        <f t="shared" ref="FK3:HV3" ca="1" si="5">FJ3+1</f>
        <v>44044</v>
      </c>
      <c r="FL3" s="20">
        <f t="shared" ca="1" si="5"/>
        <v>44045</v>
      </c>
      <c r="FM3" s="20">
        <f t="shared" ca="1" si="5"/>
        <v>44046</v>
      </c>
      <c r="FN3" s="20">
        <f t="shared" ca="1" si="5"/>
        <v>44047</v>
      </c>
      <c r="FO3" s="20">
        <f t="shared" ca="1" si="5"/>
        <v>44048</v>
      </c>
      <c r="FP3" s="20">
        <f t="shared" ca="1" si="5"/>
        <v>44049</v>
      </c>
      <c r="FQ3" s="20">
        <f t="shared" ca="1" si="5"/>
        <v>44050</v>
      </c>
      <c r="FR3" s="20">
        <f t="shared" ca="1" si="5"/>
        <v>44051</v>
      </c>
      <c r="FS3" s="20">
        <f t="shared" ca="1" si="5"/>
        <v>44052</v>
      </c>
      <c r="FT3" s="20">
        <f t="shared" ca="1" si="5"/>
        <v>44053</v>
      </c>
      <c r="FU3" s="20">
        <f t="shared" ca="1" si="5"/>
        <v>44054</v>
      </c>
      <c r="FV3" s="20">
        <f t="shared" ca="1" si="5"/>
        <v>44055</v>
      </c>
      <c r="FW3" s="20">
        <f t="shared" ca="1" si="5"/>
        <v>44056</v>
      </c>
      <c r="FX3" s="20">
        <f t="shared" ca="1" si="5"/>
        <v>44057</v>
      </c>
      <c r="FY3" s="20">
        <f t="shared" ca="1" si="5"/>
        <v>44058</v>
      </c>
      <c r="FZ3" s="20">
        <f t="shared" ca="1" si="5"/>
        <v>44059</v>
      </c>
      <c r="GA3" s="20">
        <f t="shared" ca="1" si="5"/>
        <v>44060</v>
      </c>
      <c r="GB3" s="20">
        <f t="shared" ca="1" si="5"/>
        <v>44061</v>
      </c>
      <c r="GC3" s="20">
        <f t="shared" ca="1" si="5"/>
        <v>44062</v>
      </c>
      <c r="GD3" s="20">
        <f t="shared" ca="1" si="5"/>
        <v>44063</v>
      </c>
      <c r="GE3" s="20">
        <f t="shared" ca="1" si="5"/>
        <v>44064</v>
      </c>
      <c r="GF3" s="20">
        <f t="shared" ca="1" si="5"/>
        <v>44065</v>
      </c>
      <c r="GG3" s="20">
        <f t="shared" ca="1" si="5"/>
        <v>44066</v>
      </c>
      <c r="GH3" s="20">
        <f t="shared" ca="1" si="5"/>
        <v>44067</v>
      </c>
      <c r="GI3" s="20">
        <f t="shared" ca="1" si="5"/>
        <v>44068</v>
      </c>
      <c r="GJ3" s="20">
        <f t="shared" ca="1" si="5"/>
        <v>44069</v>
      </c>
      <c r="GK3" s="20">
        <f t="shared" ca="1" si="5"/>
        <v>44070</v>
      </c>
      <c r="GL3" s="20">
        <f t="shared" ca="1" si="5"/>
        <v>44071</v>
      </c>
      <c r="GM3" s="20">
        <f t="shared" ca="1" si="5"/>
        <v>44072</v>
      </c>
      <c r="GN3" s="20">
        <f t="shared" ca="1" si="5"/>
        <v>44073</v>
      </c>
      <c r="GO3" s="20">
        <f t="shared" ca="1" si="5"/>
        <v>44074</v>
      </c>
      <c r="GP3" s="20">
        <f t="shared" ca="1" si="5"/>
        <v>44075</v>
      </c>
      <c r="GQ3" s="20">
        <f t="shared" ca="1" si="5"/>
        <v>44076</v>
      </c>
      <c r="GR3" s="20">
        <f t="shared" ca="1" si="5"/>
        <v>44077</v>
      </c>
      <c r="GS3" s="20">
        <f t="shared" ca="1" si="5"/>
        <v>44078</v>
      </c>
      <c r="GT3" s="20">
        <f t="shared" ca="1" si="5"/>
        <v>44079</v>
      </c>
      <c r="GU3" s="20">
        <f t="shared" ca="1" si="5"/>
        <v>44080</v>
      </c>
      <c r="GV3" s="20">
        <f t="shared" ca="1" si="5"/>
        <v>44081</v>
      </c>
      <c r="GW3" s="20">
        <f t="shared" ca="1" si="5"/>
        <v>44082</v>
      </c>
      <c r="GX3" s="20">
        <f t="shared" ca="1" si="5"/>
        <v>44083</v>
      </c>
      <c r="GY3" s="20">
        <f t="shared" ca="1" si="5"/>
        <v>44084</v>
      </c>
      <c r="GZ3" s="20">
        <f t="shared" ca="1" si="5"/>
        <v>44085</v>
      </c>
      <c r="HA3" s="20">
        <f t="shared" ca="1" si="5"/>
        <v>44086</v>
      </c>
      <c r="HB3" s="20">
        <f t="shared" ca="1" si="5"/>
        <v>44087</v>
      </c>
      <c r="HC3" s="20">
        <f t="shared" ca="1" si="5"/>
        <v>44088</v>
      </c>
      <c r="HD3" s="20">
        <f t="shared" ca="1" si="5"/>
        <v>44089</v>
      </c>
      <c r="HE3" s="20">
        <f t="shared" ca="1" si="5"/>
        <v>44090</v>
      </c>
      <c r="HF3" s="20">
        <f t="shared" ca="1" si="5"/>
        <v>44091</v>
      </c>
      <c r="HG3" s="20">
        <f t="shared" ca="1" si="5"/>
        <v>44092</v>
      </c>
      <c r="HH3" s="20">
        <f t="shared" ca="1" si="5"/>
        <v>44093</v>
      </c>
      <c r="HI3" s="20">
        <f t="shared" ca="1" si="5"/>
        <v>44094</v>
      </c>
      <c r="HJ3" s="20">
        <f t="shared" ca="1" si="5"/>
        <v>44095</v>
      </c>
      <c r="HK3" s="20">
        <f t="shared" ca="1" si="5"/>
        <v>44096</v>
      </c>
      <c r="HL3" s="20">
        <f t="shared" ca="1" si="5"/>
        <v>44097</v>
      </c>
      <c r="HM3" s="20">
        <f t="shared" ca="1" si="5"/>
        <v>44098</v>
      </c>
      <c r="HN3" s="20">
        <f t="shared" ca="1" si="5"/>
        <v>44099</v>
      </c>
      <c r="HO3" s="20">
        <f t="shared" ca="1" si="5"/>
        <v>44100</v>
      </c>
      <c r="HP3" s="20">
        <f t="shared" ca="1" si="5"/>
        <v>44101</v>
      </c>
      <c r="HQ3" s="20">
        <f t="shared" ca="1" si="5"/>
        <v>44102</v>
      </c>
      <c r="HR3" s="20">
        <f t="shared" ca="1" si="5"/>
        <v>44103</v>
      </c>
      <c r="HS3" s="20">
        <f t="shared" ca="1" si="5"/>
        <v>44104</v>
      </c>
      <c r="HT3" s="20">
        <f t="shared" ca="1" si="5"/>
        <v>44105</v>
      </c>
      <c r="HU3" s="20">
        <f t="shared" ca="1" si="5"/>
        <v>44106</v>
      </c>
      <c r="HV3" s="20">
        <f t="shared" ca="1" si="5"/>
        <v>44107</v>
      </c>
      <c r="HW3" s="20">
        <f t="shared" ref="HW3:IN3" ca="1" si="6">HV3+1</f>
        <v>44108</v>
      </c>
      <c r="HX3" s="20">
        <f t="shared" ca="1" si="6"/>
        <v>44109</v>
      </c>
      <c r="HY3" s="20">
        <f t="shared" ca="1" si="6"/>
        <v>44110</v>
      </c>
      <c r="HZ3" s="20">
        <f t="shared" ca="1" si="6"/>
        <v>44111</v>
      </c>
      <c r="IA3" s="20">
        <f t="shared" ca="1" si="6"/>
        <v>44112</v>
      </c>
      <c r="IB3" s="20">
        <f t="shared" ca="1" si="6"/>
        <v>44113</v>
      </c>
      <c r="IC3" s="20">
        <f t="shared" ca="1" si="6"/>
        <v>44114</v>
      </c>
      <c r="ID3" s="20">
        <f t="shared" ca="1" si="6"/>
        <v>44115</v>
      </c>
      <c r="IE3" s="20">
        <f t="shared" ca="1" si="6"/>
        <v>44116</v>
      </c>
      <c r="IF3" s="20">
        <f t="shared" ca="1" si="6"/>
        <v>44117</v>
      </c>
      <c r="IG3" s="20">
        <f t="shared" ca="1" si="6"/>
        <v>44118</v>
      </c>
      <c r="IH3" s="20">
        <f t="shared" ca="1" si="6"/>
        <v>44119</v>
      </c>
      <c r="II3" s="20">
        <f t="shared" ca="1" si="6"/>
        <v>44120</v>
      </c>
      <c r="IJ3" s="20">
        <f t="shared" ca="1" si="6"/>
        <v>44121</v>
      </c>
      <c r="IK3" s="20">
        <f t="shared" ca="1" si="6"/>
        <v>44122</v>
      </c>
      <c r="IL3" s="20">
        <f t="shared" ca="1" si="6"/>
        <v>44123</v>
      </c>
      <c r="IM3" s="20">
        <f t="shared" ca="1" si="6"/>
        <v>44124</v>
      </c>
      <c r="IN3" s="20">
        <f t="shared" ca="1" si="6"/>
        <v>44125</v>
      </c>
    </row>
    <row r="4" spans="2:248" x14ac:dyDescent="0.3">
      <c r="B4" s="19" t="s">
        <v>481</v>
      </c>
      <c r="C4" s="21">
        <f>VLOOKUP(B2,DaysSince100!C:D,2,FALSE)</f>
        <v>31506</v>
      </c>
      <c r="G4" s="19">
        <v>0</v>
      </c>
      <c r="H4" s="19">
        <f>G4+1</f>
        <v>1</v>
      </c>
      <c r="I4" s="19">
        <f t="shared" ref="I4:BL4" si="7">H4+1</f>
        <v>2</v>
      </c>
      <c r="J4" s="19">
        <f t="shared" si="7"/>
        <v>3</v>
      </c>
      <c r="K4" s="19">
        <f t="shared" si="7"/>
        <v>4</v>
      </c>
      <c r="L4" s="19">
        <f t="shared" si="7"/>
        <v>5</v>
      </c>
      <c r="M4" s="19">
        <f t="shared" si="7"/>
        <v>6</v>
      </c>
      <c r="N4" s="19">
        <f t="shared" si="7"/>
        <v>7</v>
      </c>
      <c r="O4" s="19">
        <f t="shared" si="7"/>
        <v>8</v>
      </c>
      <c r="P4" s="19">
        <f t="shared" si="7"/>
        <v>9</v>
      </c>
      <c r="Q4" s="19">
        <f t="shared" si="7"/>
        <v>10</v>
      </c>
      <c r="R4" s="19">
        <f t="shared" si="7"/>
        <v>11</v>
      </c>
      <c r="S4" s="19">
        <f t="shared" si="7"/>
        <v>12</v>
      </c>
      <c r="T4" s="19">
        <f t="shared" si="7"/>
        <v>13</v>
      </c>
      <c r="U4" s="19">
        <f t="shared" si="7"/>
        <v>14</v>
      </c>
      <c r="V4" s="19">
        <f t="shared" si="7"/>
        <v>15</v>
      </c>
      <c r="W4" s="19">
        <f t="shared" si="7"/>
        <v>16</v>
      </c>
      <c r="X4" s="19">
        <f t="shared" si="7"/>
        <v>17</v>
      </c>
      <c r="Y4" s="19">
        <f t="shared" si="7"/>
        <v>18</v>
      </c>
      <c r="Z4" s="19">
        <f t="shared" si="7"/>
        <v>19</v>
      </c>
      <c r="AA4" s="19">
        <f t="shared" si="7"/>
        <v>20</v>
      </c>
      <c r="AB4" s="19">
        <f t="shared" si="7"/>
        <v>21</v>
      </c>
      <c r="AC4" s="19">
        <f t="shared" si="7"/>
        <v>22</v>
      </c>
      <c r="AD4" s="19">
        <f t="shared" si="7"/>
        <v>23</v>
      </c>
      <c r="AE4" s="19">
        <f t="shared" si="7"/>
        <v>24</v>
      </c>
      <c r="AF4" s="19">
        <f t="shared" si="7"/>
        <v>25</v>
      </c>
      <c r="AG4" s="19">
        <f t="shared" si="7"/>
        <v>26</v>
      </c>
      <c r="AH4" s="19">
        <f t="shared" si="7"/>
        <v>27</v>
      </c>
      <c r="AI4" s="19">
        <f t="shared" si="7"/>
        <v>28</v>
      </c>
      <c r="AJ4" s="19">
        <f t="shared" si="7"/>
        <v>29</v>
      </c>
      <c r="AK4" s="19">
        <f t="shared" si="7"/>
        <v>30</v>
      </c>
      <c r="AL4" s="19">
        <f t="shared" si="7"/>
        <v>31</v>
      </c>
      <c r="AM4" s="19">
        <f t="shared" si="7"/>
        <v>32</v>
      </c>
      <c r="AN4" s="19">
        <f t="shared" si="7"/>
        <v>33</v>
      </c>
      <c r="AO4" s="19">
        <f t="shared" si="7"/>
        <v>34</v>
      </c>
      <c r="AP4" s="19">
        <f t="shared" si="7"/>
        <v>35</v>
      </c>
      <c r="AQ4" s="19">
        <f t="shared" si="7"/>
        <v>36</v>
      </c>
      <c r="AR4" s="19">
        <f t="shared" si="7"/>
        <v>37</v>
      </c>
      <c r="AS4" s="19">
        <f t="shared" si="7"/>
        <v>38</v>
      </c>
      <c r="AT4" s="19">
        <f t="shared" si="7"/>
        <v>39</v>
      </c>
      <c r="AU4" s="19">
        <f t="shared" si="7"/>
        <v>40</v>
      </c>
      <c r="AV4" s="19">
        <f t="shared" si="7"/>
        <v>41</v>
      </c>
      <c r="AW4" s="19">
        <f t="shared" si="7"/>
        <v>42</v>
      </c>
      <c r="AX4" s="19">
        <f t="shared" si="7"/>
        <v>43</v>
      </c>
      <c r="AY4" s="19">
        <f t="shared" si="7"/>
        <v>44</v>
      </c>
      <c r="AZ4" s="19">
        <f t="shared" si="7"/>
        <v>45</v>
      </c>
      <c r="BA4" s="19">
        <f t="shared" si="7"/>
        <v>46</v>
      </c>
      <c r="BB4" s="19">
        <f t="shared" si="7"/>
        <v>47</v>
      </c>
      <c r="BC4" s="19">
        <f t="shared" si="7"/>
        <v>48</v>
      </c>
      <c r="BD4" s="19">
        <f t="shared" si="7"/>
        <v>49</v>
      </c>
      <c r="BE4" s="19">
        <f t="shared" si="7"/>
        <v>50</v>
      </c>
      <c r="BF4" s="19">
        <f t="shared" si="7"/>
        <v>51</v>
      </c>
      <c r="BG4" s="19">
        <f t="shared" si="7"/>
        <v>52</v>
      </c>
      <c r="BH4" s="19">
        <f t="shared" si="7"/>
        <v>53</v>
      </c>
      <c r="BI4" s="19">
        <f t="shared" si="7"/>
        <v>54</v>
      </c>
      <c r="BJ4" s="19">
        <f t="shared" si="7"/>
        <v>55</v>
      </c>
      <c r="BK4" s="19">
        <f t="shared" si="7"/>
        <v>56</v>
      </c>
      <c r="BL4" s="19">
        <f t="shared" si="7"/>
        <v>57</v>
      </c>
      <c r="BM4" s="19">
        <f t="shared" si="1"/>
        <v>58</v>
      </c>
      <c r="BN4" s="19">
        <f t="shared" si="1"/>
        <v>59</v>
      </c>
      <c r="BO4" s="19">
        <f t="shared" si="1"/>
        <v>60</v>
      </c>
      <c r="BP4" s="19">
        <f t="shared" ref="BP4:CN4" si="8">BO4+1</f>
        <v>61</v>
      </c>
      <c r="BQ4" s="19">
        <f t="shared" si="8"/>
        <v>62</v>
      </c>
      <c r="BR4" s="19">
        <f t="shared" si="8"/>
        <v>63</v>
      </c>
      <c r="BS4" s="19">
        <f t="shared" si="8"/>
        <v>64</v>
      </c>
      <c r="BT4" s="19">
        <f t="shared" si="8"/>
        <v>65</v>
      </c>
      <c r="BU4" s="19">
        <f t="shared" si="8"/>
        <v>66</v>
      </c>
      <c r="BV4" s="19">
        <f t="shared" si="8"/>
        <v>67</v>
      </c>
      <c r="BW4" s="19">
        <f t="shared" si="8"/>
        <v>68</v>
      </c>
      <c r="BX4" s="19">
        <f t="shared" si="8"/>
        <v>69</v>
      </c>
      <c r="BY4" s="19">
        <f t="shared" si="8"/>
        <v>70</v>
      </c>
      <c r="BZ4" s="19">
        <f t="shared" si="8"/>
        <v>71</v>
      </c>
      <c r="CA4" s="19">
        <f t="shared" si="8"/>
        <v>72</v>
      </c>
      <c r="CB4" s="19">
        <f t="shared" si="8"/>
        <v>73</v>
      </c>
      <c r="CC4" s="19">
        <f t="shared" si="8"/>
        <v>74</v>
      </c>
      <c r="CD4" s="19">
        <f t="shared" si="8"/>
        <v>75</v>
      </c>
      <c r="CE4" s="19">
        <f t="shared" si="8"/>
        <v>76</v>
      </c>
      <c r="CF4" s="19">
        <f t="shared" si="8"/>
        <v>77</v>
      </c>
      <c r="CG4" s="19">
        <f t="shared" si="8"/>
        <v>78</v>
      </c>
      <c r="CH4" s="19">
        <f t="shared" si="8"/>
        <v>79</v>
      </c>
      <c r="CI4" s="19">
        <f t="shared" si="8"/>
        <v>80</v>
      </c>
      <c r="CJ4" s="19">
        <f t="shared" si="8"/>
        <v>81</v>
      </c>
      <c r="CK4" s="19">
        <f t="shared" si="8"/>
        <v>82</v>
      </c>
      <c r="CL4" s="19">
        <f t="shared" si="8"/>
        <v>83</v>
      </c>
      <c r="CM4" s="19">
        <f t="shared" si="8"/>
        <v>84</v>
      </c>
      <c r="CN4" s="19">
        <f t="shared" si="8"/>
        <v>85</v>
      </c>
      <c r="CO4" s="19">
        <f t="shared" ref="CO4:DC4" si="9">CN4+1</f>
        <v>86</v>
      </c>
      <c r="CP4" s="19">
        <f t="shared" si="9"/>
        <v>87</v>
      </c>
      <c r="CQ4" s="19">
        <f t="shared" si="9"/>
        <v>88</v>
      </c>
      <c r="CR4" s="19">
        <f t="shared" si="9"/>
        <v>89</v>
      </c>
      <c r="CS4" s="19">
        <f t="shared" si="9"/>
        <v>90</v>
      </c>
      <c r="CT4" s="19">
        <f t="shared" si="9"/>
        <v>91</v>
      </c>
      <c r="CU4" s="19">
        <f t="shared" si="9"/>
        <v>92</v>
      </c>
      <c r="CV4" s="19">
        <f t="shared" si="9"/>
        <v>93</v>
      </c>
      <c r="CW4" s="19">
        <f t="shared" si="9"/>
        <v>94</v>
      </c>
      <c r="CX4" s="19">
        <f t="shared" si="9"/>
        <v>95</v>
      </c>
      <c r="CY4" s="19">
        <f t="shared" si="9"/>
        <v>96</v>
      </c>
      <c r="CZ4" s="19">
        <f t="shared" si="9"/>
        <v>97</v>
      </c>
      <c r="DA4" s="19">
        <f t="shared" si="9"/>
        <v>98</v>
      </c>
      <c r="DB4" s="19">
        <f t="shared" si="9"/>
        <v>99</v>
      </c>
      <c r="DC4" s="19">
        <f t="shared" si="9"/>
        <v>100</v>
      </c>
      <c r="DD4" s="19">
        <f t="shared" ref="DD4:FJ4" si="10">DC4+1</f>
        <v>101</v>
      </c>
      <c r="DE4" s="19">
        <f t="shared" si="10"/>
        <v>102</v>
      </c>
      <c r="DF4" s="19">
        <f t="shared" si="10"/>
        <v>103</v>
      </c>
      <c r="DG4" s="19">
        <f t="shared" si="10"/>
        <v>104</v>
      </c>
      <c r="DH4" s="19">
        <f t="shared" si="10"/>
        <v>105</v>
      </c>
      <c r="DI4" s="19">
        <f t="shared" si="10"/>
        <v>106</v>
      </c>
      <c r="DJ4" s="19">
        <f t="shared" si="10"/>
        <v>107</v>
      </c>
      <c r="DK4" s="19">
        <f t="shared" si="10"/>
        <v>108</v>
      </c>
      <c r="DL4" s="19">
        <f t="shared" si="10"/>
        <v>109</v>
      </c>
      <c r="DM4" s="19">
        <f t="shared" si="10"/>
        <v>110</v>
      </c>
      <c r="DN4" s="19">
        <f t="shared" si="10"/>
        <v>111</v>
      </c>
      <c r="DO4" s="19">
        <f t="shared" si="10"/>
        <v>112</v>
      </c>
      <c r="DP4" s="19">
        <f t="shared" si="10"/>
        <v>113</v>
      </c>
      <c r="DQ4" s="19">
        <f t="shared" si="10"/>
        <v>114</v>
      </c>
      <c r="DR4" s="19">
        <f t="shared" si="10"/>
        <v>115</v>
      </c>
      <c r="DS4" s="19">
        <f t="shared" si="10"/>
        <v>116</v>
      </c>
      <c r="DT4" s="19">
        <f t="shared" si="10"/>
        <v>117</v>
      </c>
      <c r="DU4" s="19">
        <f t="shared" si="10"/>
        <v>118</v>
      </c>
      <c r="DV4" s="19">
        <f t="shared" si="10"/>
        <v>119</v>
      </c>
      <c r="DW4" s="19">
        <f t="shared" si="10"/>
        <v>120</v>
      </c>
      <c r="DX4" s="19">
        <f t="shared" si="10"/>
        <v>121</v>
      </c>
      <c r="DY4" s="19">
        <f t="shared" si="10"/>
        <v>122</v>
      </c>
      <c r="DZ4" s="19">
        <f t="shared" si="10"/>
        <v>123</v>
      </c>
      <c r="EA4" s="19">
        <f t="shared" si="10"/>
        <v>124</v>
      </c>
      <c r="EB4" s="19">
        <f t="shared" si="10"/>
        <v>125</v>
      </c>
      <c r="EC4" s="19">
        <f t="shared" si="10"/>
        <v>126</v>
      </c>
      <c r="ED4" s="19">
        <f t="shared" si="10"/>
        <v>127</v>
      </c>
      <c r="EE4" s="19">
        <f t="shared" si="10"/>
        <v>128</v>
      </c>
      <c r="EF4" s="19">
        <f t="shared" si="10"/>
        <v>129</v>
      </c>
      <c r="EG4" s="19">
        <f t="shared" si="10"/>
        <v>130</v>
      </c>
      <c r="EH4" s="19">
        <f t="shared" si="10"/>
        <v>131</v>
      </c>
      <c r="EI4" s="19">
        <f t="shared" si="10"/>
        <v>132</v>
      </c>
      <c r="EJ4" s="19">
        <f t="shared" si="10"/>
        <v>133</v>
      </c>
      <c r="EK4" s="19">
        <f t="shared" si="10"/>
        <v>134</v>
      </c>
      <c r="EL4" s="19">
        <f t="shared" si="10"/>
        <v>135</v>
      </c>
      <c r="EM4" s="19">
        <f t="shared" si="10"/>
        <v>136</v>
      </c>
      <c r="EN4" s="19">
        <f t="shared" si="10"/>
        <v>137</v>
      </c>
      <c r="EO4" s="19">
        <f t="shared" si="10"/>
        <v>138</v>
      </c>
      <c r="EP4" s="19">
        <f t="shared" si="10"/>
        <v>139</v>
      </c>
      <c r="EQ4" s="19">
        <f t="shared" si="10"/>
        <v>140</v>
      </c>
      <c r="ER4" s="19">
        <f t="shared" si="10"/>
        <v>141</v>
      </c>
      <c r="ES4" s="19">
        <f t="shared" si="10"/>
        <v>142</v>
      </c>
      <c r="ET4" s="19">
        <f t="shared" si="10"/>
        <v>143</v>
      </c>
      <c r="EU4" s="19">
        <f t="shared" si="10"/>
        <v>144</v>
      </c>
      <c r="EV4" s="19">
        <f t="shared" si="10"/>
        <v>145</v>
      </c>
      <c r="EW4" s="19">
        <f t="shared" si="10"/>
        <v>146</v>
      </c>
      <c r="EX4" s="19">
        <f t="shared" si="10"/>
        <v>147</v>
      </c>
      <c r="EY4" s="19">
        <f t="shared" si="10"/>
        <v>148</v>
      </c>
      <c r="EZ4" s="19">
        <f t="shared" si="10"/>
        <v>149</v>
      </c>
      <c r="FA4" s="19">
        <f t="shared" si="10"/>
        <v>150</v>
      </c>
      <c r="FB4" s="19">
        <f t="shared" si="10"/>
        <v>151</v>
      </c>
      <c r="FC4" s="19">
        <f t="shared" si="10"/>
        <v>152</v>
      </c>
      <c r="FD4" s="19">
        <f t="shared" si="10"/>
        <v>153</v>
      </c>
      <c r="FE4" s="19">
        <f t="shared" si="10"/>
        <v>154</v>
      </c>
      <c r="FF4" s="19">
        <f t="shared" si="10"/>
        <v>155</v>
      </c>
      <c r="FG4" s="19">
        <f t="shared" si="10"/>
        <v>156</v>
      </c>
      <c r="FH4" s="19">
        <f t="shared" si="10"/>
        <v>157</v>
      </c>
      <c r="FI4" s="19">
        <f t="shared" si="10"/>
        <v>158</v>
      </c>
      <c r="FJ4" s="19">
        <f t="shared" si="10"/>
        <v>159</v>
      </c>
      <c r="FK4" s="19">
        <f t="shared" ref="FK4:HV4" si="11">FJ4+1</f>
        <v>160</v>
      </c>
      <c r="FL4" s="19">
        <f t="shared" si="11"/>
        <v>161</v>
      </c>
      <c r="FM4" s="19">
        <f t="shared" si="11"/>
        <v>162</v>
      </c>
      <c r="FN4" s="19">
        <f t="shared" si="11"/>
        <v>163</v>
      </c>
      <c r="FO4" s="19">
        <f t="shared" si="11"/>
        <v>164</v>
      </c>
      <c r="FP4" s="19">
        <f t="shared" si="11"/>
        <v>165</v>
      </c>
      <c r="FQ4" s="19">
        <f t="shared" si="11"/>
        <v>166</v>
      </c>
      <c r="FR4" s="19">
        <f t="shared" si="11"/>
        <v>167</v>
      </c>
      <c r="FS4" s="19">
        <f t="shared" si="11"/>
        <v>168</v>
      </c>
      <c r="FT4" s="19">
        <f t="shared" si="11"/>
        <v>169</v>
      </c>
      <c r="FU4" s="19">
        <f t="shared" si="11"/>
        <v>170</v>
      </c>
      <c r="FV4" s="19">
        <f t="shared" si="11"/>
        <v>171</v>
      </c>
      <c r="FW4" s="19">
        <f t="shared" si="11"/>
        <v>172</v>
      </c>
      <c r="FX4" s="19">
        <f t="shared" si="11"/>
        <v>173</v>
      </c>
      <c r="FY4" s="19">
        <f t="shared" si="11"/>
        <v>174</v>
      </c>
      <c r="FZ4" s="19">
        <f t="shared" si="11"/>
        <v>175</v>
      </c>
      <c r="GA4" s="19">
        <f t="shared" si="11"/>
        <v>176</v>
      </c>
      <c r="GB4" s="19">
        <f t="shared" si="11"/>
        <v>177</v>
      </c>
      <c r="GC4" s="19">
        <f t="shared" si="11"/>
        <v>178</v>
      </c>
      <c r="GD4" s="19">
        <f t="shared" si="11"/>
        <v>179</v>
      </c>
      <c r="GE4" s="19">
        <f t="shared" si="11"/>
        <v>180</v>
      </c>
      <c r="GF4" s="19">
        <f t="shared" si="11"/>
        <v>181</v>
      </c>
      <c r="GG4" s="19">
        <f t="shared" si="11"/>
        <v>182</v>
      </c>
      <c r="GH4" s="19">
        <f t="shared" si="11"/>
        <v>183</v>
      </c>
      <c r="GI4" s="19">
        <f t="shared" si="11"/>
        <v>184</v>
      </c>
      <c r="GJ4" s="19">
        <f t="shared" si="11"/>
        <v>185</v>
      </c>
      <c r="GK4" s="19">
        <f t="shared" si="11"/>
        <v>186</v>
      </c>
      <c r="GL4" s="19">
        <f t="shared" si="11"/>
        <v>187</v>
      </c>
      <c r="GM4" s="19">
        <f t="shared" si="11"/>
        <v>188</v>
      </c>
      <c r="GN4" s="19">
        <f t="shared" si="11"/>
        <v>189</v>
      </c>
      <c r="GO4" s="19">
        <f t="shared" si="11"/>
        <v>190</v>
      </c>
      <c r="GP4" s="19">
        <f t="shared" si="11"/>
        <v>191</v>
      </c>
      <c r="GQ4" s="19">
        <f t="shared" si="11"/>
        <v>192</v>
      </c>
      <c r="GR4" s="19">
        <f t="shared" si="11"/>
        <v>193</v>
      </c>
      <c r="GS4" s="19">
        <f t="shared" si="11"/>
        <v>194</v>
      </c>
      <c r="GT4" s="19">
        <f t="shared" si="11"/>
        <v>195</v>
      </c>
      <c r="GU4" s="19">
        <f t="shared" si="11"/>
        <v>196</v>
      </c>
      <c r="GV4" s="19">
        <f t="shared" si="11"/>
        <v>197</v>
      </c>
      <c r="GW4" s="19">
        <f t="shared" si="11"/>
        <v>198</v>
      </c>
      <c r="GX4" s="19">
        <f t="shared" si="11"/>
        <v>199</v>
      </c>
      <c r="GY4" s="19">
        <f t="shared" si="11"/>
        <v>200</v>
      </c>
      <c r="GZ4" s="19">
        <f t="shared" si="11"/>
        <v>201</v>
      </c>
      <c r="HA4" s="19">
        <f t="shared" si="11"/>
        <v>202</v>
      </c>
      <c r="HB4" s="19">
        <f t="shared" si="11"/>
        <v>203</v>
      </c>
      <c r="HC4" s="19">
        <f t="shared" si="11"/>
        <v>204</v>
      </c>
      <c r="HD4" s="19">
        <f t="shared" si="11"/>
        <v>205</v>
      </c>
      <c r="HE4" s="19">
        <f t="shared" si="11"/>
        <v>206</v>
      </c>
      <c r="HF4" s="19">
        <f t="shared" si="11"/>
        <v>207</v>
      </c>
      <c r="HG4" s="19">
        <f t="shared" si="11"/>
        <v>208</v>
      </c>
      <c r="HH4" s="19">
        <f t="shared" si="11"/>
        <v>209</v>
      </c>
      <c r="HI4" s="19">
        <f t="shared" si="11"/>
        <v>210</v>
      </c>
      <c r="HJ4" s="19">
        <f t="shared" si="11"/>
        <v>211</v>
      </c>
      <c r="HK4" s="19">
        <f t="shared" si="11"/>
        <v>212</v>
      </c>
      <c r="HL4" s="19">
        <f t="shared" si="11"/>
        <v>213</v>
      </c>
      <c r="HM4" s="19">
        <f t="shared" si="11"/>
        <v>214</v>
      </c>
      <c r="HN4" s="19">
        <f t="shared" si="11"/>
        <v>215</v>
      </c>
      <c r="HO4" s="19">
        <f t="shared" si="11"/>
        <v>216</v>
      </c>
      <c r="HP4" s="19">
        <f t="shared" si="11"/>
        <v>217</v>
      </c>
      <c r="HQ4" s="19">
        <f t="shared" si="11"/>
        <v>218</v>
      </c>
      <c r="HR4" s="19">
        <f t="shared" si="11"/>
        <v>219</v>
      </c>
      <c r="HS4" s="19">
        <f t="shared" si="11"/>
        <v>220</v>
      </c>
      <c r="HT4" s="19">
        <f t="shared" si="11"/>
        <v>221</v>
      </c>
      <c r="HU4" s="19">
        <f t="shared" si="11"/>
        <v>222</v>
      </c>
      <c r="HV4" s="19">
        <f t="shared" si="11"/>
        <v>223</v>
      </c>
      <c r="HW4" s="19">
        <f t="shared" ref="HW4:IN4" si="12">HV4+1</f>
        <v>224</v>
      </c>
      <c r="HX4" s="19">
        <f t="shared" si="12"/>
        <v>225</v>
      </c>
      <c r="HY4" s="19">
        <f t="shared" si="12"/>
        <v>226</v>
      </c>
      <c r="HZ4" s="19">
        <f t="shared" si="12"/>
        <v>227</v>
      </c>
      <c r="IA4" s="19">
        <f t="shared" si="12"/>
        <v>228</v>
      </c>
      <c r="IB4" s="19">
        <f t="shared" si="12"/>
        <v>229</v>
      </c>
      <c r="IC4" s="19">
        <f t="shared" si="12"/>
        <v>230</v>
      </c>
      <c r="ID4" s="19">
        <f t="shared" si="12"/>
        <v>231</v>
      </c>
      <c r="IE4" s="19">
        <f t="shared" si="12"/>
        <v>232</v>
      </c>
      <c r="IF4" s="19">
        <f t="shared" si="12"/>
        <v>233</v>
      </c>
      <c r="IG4" s="19">
        <f t="shared" si="12"/>
        <v>234</v>
      </c>
      <c r="IH4" s="19">
        <f t="shared" si="12"/>
        <v>235</v>
      </c>
      <c r="II4" s="19">
        <f t="shared" si="12"/>
        <v>236</v>
      </c>
      <c r="IJ4" s="19">
        <f t="shared" si="12"/>
        <v>237</v>
      </c>
      <c r="IK4" s="19">
        <f t="shared" si="12"/>
        <v>238</v>
      </c>
      <c r="IL4" s="19">
        <f t="shared" si="12"/>
        <v>239</v>
      </c>
      <c r="IM4" s="19">
        <f t="shared" si="12"/>
        <v>240</v>
      </c>
      <c r="IN4" s="19">
        <f t="shared" si="12"/>
        <v>241</v>
      </c>
    </row>
    <row r="5" spans="2:248" x14ac:dyDescent="0.3">
      <c r="B5" s="19" t="s">
        <v>488</v>
      </c>
      <c r="C5" s="21">
        <f>COUNTIF(G5:BL5,"&gt;"&amp;0)</f>
        <v>24</v>
      </c>
      <c r="F5" s="19" t="s">
        <v>485</v>
      </c>
      <c r="G5" s="21">
        <f>IF(VLOOKUP($B$2,DaysSince100!$H:$DJ,'Projections Data'!G$4+2,FALSE)=0,#N/A,VLOOKUP($B$2,DaysSince100!$H:$DJ,'Projections Data'!G$4+2,FALSE))</f>
        <v>155</v>
      </c>
      <c r="H5" s="21">
        <f>IF(VLOOKUP($B$2,DaysSince100!$H:$DJ,'Projections Data'!H$4+2,FALSE)=0,#N/A,VLOOKUP($B$2,DaysSince100!$H:$DJ,'Projections Data'!H$4+2,FALSE))</f>
        <v>229</v>
      </c>
      <c r="I5" s="21">
        <f>IF(VLOOKUP($B$2,DaysSince100!$H:$DJ,'Projections Data'!I$4+2,FALSE)=0,#N/A,VLOOKUP($B$2,DaysSince100!$H:$DJ,'Projections Data'!I$4+2,FALSE))</f>
        <v>322</v>
      </c>
      <c r="J5" s="21">
        <f>IF(VLOOKUP($B$2,DaysSince100!$H:$DJ,'Projections Data'!J$4+2,FALSE)=0,#N/A,VLOOKUP($B$2,DaysSince100!$H:$DJ,'Projections Data'!J$4+2,FALSE))</f>
        <v>453</v>
      </c>
      <c r="K5" s="21">
        <f>IF(VLOOKUP($B$2,DaysSince100!$H:$DJ,'Projections Data'!K$4+2,FALSE)=0,#N/A,VLOOKUP($B$2,DaysSince100!$H:$DJ,'Projections Data'!K$4+2,FALSE))</f>
        <v>655</v>
      </c>
      <c r="L5" s="21">
        <f>IF(VLOOKUP($B$2,DaysSince100!$H:$DJ,'Projections Data'!L$4+2,FALSE)=0,#N/A,VLOOKUP($B$2,DaysSince100!$H:$DJ,'Projections Data'!L$4+2,FALSE))</f>
        <v>888</v>
      </c>
      <c r="M5" s="21">
        <f>IF(VLOOKUP($B$2,DaysSince100!$H:$DJ,'Projections Data'!M$4+2,FALSE)=0,#N/A,VLOOKUP($B$2,DaysSince100!$H:$DJ,'Projections Data'!M$4+2,FALSE))</f>
        <v>1128</v>
      </c>
      <c r="N5" s="21">
        <f>IF(VLOOKUP($B$2,DaysSince100!$H:$DJ,'Projections Data'!N$4+2,FALSE)=0,#N/A,VLOOKUP($B$2,DaysSince100!$H:$DJ,'Projections Data'!N$4+2,FALSE))</f>
        <v>1694</v>
      </c>
      <c r="O5" s="21">
        <f>IF(VLOOKUP($B$2,DaysSince100!$H:$DJ,'Projections Data'!O$4+2,FALSE)=0,#N/A,VLOOKUP($B$2,DaysSince100!$H:$DJ,'Projections Data'!O$4+2,FALSE))</f>
        <v>2036</v>
      </c>
      <c r="P5" s="21">
        <f>IF(VLOOKUP($B$2,DaysSince100!$H:$DJ,'Projections Data'!P$4+2,FALSE)=0,#N/A,VLOOKUP($B$2,DaysSince100!$H:$DJ,'Projections Data'!P$4+2,FALSE))</f>
        <v>2502</v>
      </c>
      <c r="Q5" s="21">
        <f>IF(VLOOKUP($B$2,DaysSince100!$H:$DJ,'Projections Data'!Q$4+2,FALSE)=0,#N/A,VLOOKUP($B$2,DaysSince100!$H:$DJ,'Projections Data'!Q$4+2,FALSE))</f>
        <v>3089</v>
      </c>
      <c r="R5" s="21">
        <f>IF(VLOOKUP($B$2,DaysSince100!$H:$DJ,'Projections Data'!R$4+2,FALSE)=0,#N/A,VLOOKUP($B$2,DaysSince100!$H:$DJ,'Projections Data'!R$4+2,FALSE))</f>
        <v>3858</v>
      </c>
      <c r="S5" s="21">
        <f>IF(VLOOKUP($B$2,DaysSince100!$H:$DJ,'Projections Data'!S$4+2,FALSE)=0,#N/A,VLOOKUP($B$2,DaysSince100!$H:$DJ,'Projections Data'!S$4+2,FALSE))</f>
        <v>4636</v>
      </c>
      <c r="T5" s="21">
        <f>IF(VLOOKUP($B$2,DaysSince100!$H:$DJ,'Projections Data'!T$4+2,FALSE)=0,#N/A,VLOOKUP($B$2,DaysSince100!$H:$DJ,'Projections Data'!T$4+2,FALSE))</f>
        <v>5883</v>
      </c>
      <c r="U5" s="21">
        <f>IF(VLOOKUP($B$2,DaysSince100!$H:$DJ,'Projections Data'!U$4+2,FALSE)=0,#N/A,VLOOKUP($B$2,DaysSince100!$H:$DJ,'Projections Data'!U$4+2,FALSE))</f>
        <v>7375</v>
      </c>
      <c r="V5" s="21">
        <f>IF(VLOOKUP($B$2,DaysSince100!$H:$DJ,'Projections Data'!V$4+2,FALSE)=0,#N/A,VLOOKUP($B$2,DaysSince100!$H:$DJ,'Projections Data'!V$4+2,FALSE))</f>
        <v>9172</v>
      </c>
      <c r="W5" s="21">
        <f>IF(VLOOKUP($B$2,DaysSince100!$H:$DJ,'Projections Data'!W$4+2,FALSE)=0,#N/A,VLOOKUP($B$2,DaysSince100!$H:$DJ,'Projections Data'!W$4+2,FALSE))</f>
        <v>10149</v>
      </c>
      <c r="X5" s="21">
        <f>IF(VLOOKUP($B$2,DaysSince100!$H:$DJ,'Projections Data'!X$4+2,FALSE)=0,#N/A,VLOOKUP($B$2,DaysSince100!$H:$DJ,'Projections Data'!X$4+2,FALSE))</f>
        <v>12462</v>
      </c>
      <c r="Y5" s="21">
        <f>IF(VLOOKUP($B$2,DaysSince100!$H:$DJ,'Projections Data'!Y$4+2,FALSE)=0,#N/A,VLOOKUP($B$2,DaysSince100!$H:$DJ,'Projections Data'!Y$4+2,FALSE))</f>
        <v>14000</v>
      </c>
      <c r="Z5" s="21">
        <f>IF(VLOOKUP($B$2,DaysSince100!$H:$DJ,'Projections Data'!Z$4+2,FALSE)=0,#N/A,VLOOKUP($B$2,DaysSince100!$H:$DJ,'Projections Data'!Z$4+2,FALSE))</f>
        <v>17660</v>
      </c>
      <c r="AA5" s="21">
        <f>IF(VLOOKUP($B$2,DaysSince100!$H:$DJ,'Projections Data'!AA$4+2,FALSE)=0,#N/A,VLOOKUP($B$2,DaysSince100!$H:$DJ,'Projections Data'!AA$4+2,FALSE))</f>
        <v>21157</v>
      </c>
      <c r="AB5" s="21">
        <f>IF(VLOOKUP($B$2,DaysSince100!$H:$DJ,'Projections Data'!AB$4+2,FALSE)=0,#N/A,VLOOKUP($B$2,DaysSince100!$H:$DJ,'Projections Data'!AB$4+2,FALSE))</f>
        <v>24747</v>
      </c>
      <c r="AC5" s="21">
        <f>IF(VLOOKUP($B$2,DaysSince100!$H:$DJ,'Projections Data'!AC$4+2,FALSE)=0,#N/A,VLOOKUP($B$2,DaysSince100!$H:$DJ,'Projections Data'!AC$4+2,FALSE))</f>
        <v>27980</v>
      </c>
      <c r="AD5" s="21">
        <f>IF(VLOOKUP($B$2,DaysSince100!$H:$DJ,'Projections Data'!AD$4+2,FALSE)=0,#N/A,VLOOKUP($B$2,DaysSince100!$H:$DJ,'Projections Data'!AD$4+2,FALSE))</f>
        <v>31506</v>
      </c>
      <c r="AE5" s="21" t="e">
        <f>IF(VLOOKUP($B$2,DaysSince100!$H:$DJ,'Projections Data'!AE$4+2,FALSE)=0,#N/A,VLOOKUP($B$2,DaysSince100!$H:$DJ,'Projections Data'!AE$4+2,FALSE))</f>
        <v>#N/A</v>
      </c>
      <c r="AF5" s="21" t="e">
        <f>IF(VLOOKUP($B$2,DaysSince100!$H:$DJ,'Projections Data'!AF$4+2,FALSE)=0,#N/A,VLOOKUP($B$2,DaysSince100!$H:$DJ,'Projections Data'!AF$4+2,FALSE))</f>
        <v>#N/A</v>
      </c>
      <c r="AG5" s="21" t="e">
        <f>IF(VLOOKUP($B$2,DaysSince100!$H:$DJ,'Projections Data'!AG$4+2,FALSE)=0,#N/A,VLOOKUP($B$2,DaysSince100!$H:$DJ,'Projections Data'!AG$4+2,FALSE))</f>
        <v>#N/A</v>
      </c>
      <c r="AH5" s="21" t="e">
        <f>IF(VLOOKUP($B$2,DaysSince100!$H:$DJ,'Projections Data'!AH$4+2,FALSE)=0,#N/A,VLOOKUP($B$2,DaysSince100!$H:$DJ,'Projections Data'!AH$4+2,FALSE))</f>
        <v>#N/A</v>
      </c>
      <c r="AI5" s="21" t="e">
        <f>IF(VLOOKUP($B$2,DaysSince100!$H:$DJ,'Projections Data'!AI$4+2,FALSE)=0,#N/A,VLOOKUP($B$2,DaysSince100!$H:$DJ,'Projections Data'!AI$4+2,FALSE))</f>
        <v>#N/A</v>
      </c>
      <c r="AJ5" s="21" t="e">
        <f>IF(VLOOKUP($B$2,DaysSince100!$H:$DJ,'Projections Data'!AJ$4+2,FALSE)=0,#N/A,VLOOKUP($B$2,DaysSince100!$H:$DJ,'Projections Data'!AJ$4+2,FALSE))</f>
        <v>#N/A</v>
      </c>
      <c r="AK5" s="21" t="e">
        <f>IF(VLOOKUP($B$2,DaysSince100!$H:$DJ,'Projections Data'!AK$4+2,FALSE)=0,#N/A,VLOOKUP($B$2,DaysSince100!$H:$DJ,'Projections Data'!AK$4+2,FALSE))</f>
        <v>#N/A</v>
      </c>
      <c r="AL5" s="21" t="e">
        <f>IF(VLOOKUP($B$2,DaysSince100!$H:$DJ,'Projections Data'!AL$4+2,FALSE)=0,#N/A,VLOOKUP($B$2,DaysSince100!$H:$DJ,'Projections Data'!AL$4+2,FALSE))</f>
        <v>#N/A</v>
      </c>
      <c r="AM5" s="21" t="e">
        <f>IF(VLOOKUP($B$2,DaysSince100!$H:$DJ,'Projections Data'!AM$4+2,FALSE)=0,#N/A,VLOOKUP($B$2,DaysSince100!$H:$DJ,'Projections Data'!AM$4+2,FALSE))</f>
        <v>#N/A</v>
      </c>
      <c r="AN5" s="21" t="e">
        <f>IF(VLOOKUP($B$2,DaysSince100!$H:$DJ,'Projections Data'!AN$4+2,FALSE)=0,#N/A,VLOOKUP($B$2,DaysSince100!$H:$DJ,'Projections Data'!AN$4+2,FALSE))</f>
        <v>#N/A</v>
      </c>
      <c r="AO5" s="21" t="e">
        <f>IF(VLOOKUP($B$2,DaysSince100!$H:$DJ,'Projections Data'!AO$4+2,FALSE)=0,#N/A,VLOOKUP($B$2,DaysSince100!$H:$DJ,'Projections Data'!AO$4+2,FALSE))</f>
        <v>#N/A</v>
      </c>
      <c r="AP5" s="21" t="e">
        <f>IF(VLOOKUP($B$2,DaysSince100!$H:$DJ,'Projections Data'!AP$4+2,FALSE)=0,#N/A,VLOOKUP($B$2,DaysSince100!$H:$DJ,'Projections Data'!AP$4+2,FALSE))</f>
        <v>#N/A</v>
      </c>
      <c r="AQ5" s="21" t="e">
        <f>IF(VLOOKUP($B$2,DaysSince100!$H:$DJ,'Projections Data'!AQ$4+2,FALSE)=0,#N/A,VLOOKUP($B$2,DaysSince100!$H:$DJ,'Projections Data'!AQ$4+2,FALSE))</f>
        <v>#N/A</v>
      </c>
      <c r="AR5" s="21" t="e">
        <f>IF(VLOOKUP($B$2,DaysSince100!$H:$DJ,'Projections Data'!AR$4+2,FALSE)=0,#N/A,VLOOKUP($B$2,DaysSince100!$H:$DJ,'Projections Data'!AR$4+2,FALSE))</f>
        <v>#N/A</v>
      </c>
      <c r="AS5" s="21" t="e">
        <f>IF(VLOOKUP($B$2,DaysSince100!$H:$DJ,'Projections Data'!AS$4+2,FALSE)=0,#N/A,VLOOKUP($B$2,DaysSince100!$H:$DJ,'Projections Data'!AS$4+2,FALSE))</f>
        <v>#N/A</v>
      </c>
      <c r="AT5" s="21" t="e">
        <f>IF(VLOOKUP($B$2,DaysSince100!$H:$DJ,'Projections Data'!AT$4+2,FALSE)=0,#N/A,VLOOKUP($B$2,DaysSince100!$H:$DJ,'Projections Data'!AT$4+2,FALSE))</f>
        <v>#N/A</v>
      </c>
      <c r="AU5" s="21" t="e">
        <f>IF(VLOOKUP($B$2,DaysSince100!$H:$DJ,'Projections Data'!AU$4+2,FALSE)=0,#N/A,VLOOKUP($B$2,DaysSince100!$H:$DJ,'Projections Data'!AU$4+2,FALSE))</f>
        <v>#N/A</v>
      </c>
      <c r="AV5" s="21" t="e">
        <f>IF(VLOOKUP($B$2,DaysSince100!$H:$DJ,'Projections Data'!AV$4+2,FALSE)=0,#N/A,VLOOKUP($B$2,DaysSince100!$H:$DJ,'Projections Data'!AV$4+2,FALSE))</f>
        <v>#N/A</v>
      </c>
      <c r="AW5" s="21" t="e">
        <f>IF(VLOOKUP($B$2,DaysSince100!$H:$DJ,'Projections Data'!AW$4+2,FALSE)=0,#N/A,VLOOKUP($B$2,DaysSince100!$H:$DJ,'Projections Data'!AW$4+2,FALSE))</f>
        <v>#N/A</v>
      </c>
      <c r="AX5" s="21" t="e">
        <f>IF(VLOOKUP($B$2,DaysSince100!$H:$DJ,'Projections Data'!AX$4+2,FALSE)=0,#N/A,VLOOKUP($B$2,DaysSince100!$H:$DJ,'Projections Data'!AX$4+2,FALSE))</f>
        <v>#N/A</v>
      </c>
      <c r="AY5" s="21" t="e">
        <f>IF(VLOOKUP($B$2,DaysSince100!$H:$DJ,'Projections Data'!AY$4+2,FALSE)=0,#N/A,VLOOKUP($B$2,DaysSince100!$H:$DJ,'Projections Data'!AY$4+2,FALSE))</f>
        <v>#N/A</v>
      </c>
      <c r="AZ5" s="21" t="e">
        <f>IF(VLOOKUP($B$2,DaysSince100!$H:$DJ,'Projections Data'!AZ$4+2,FALSE)=0,#N/A,VLOOKUP($B$2,DaysSince100!$H:$DJ,'Projections Data'!AZ$4+2,FALSE))</f>
        <v>#N/A</v>
      </c>
      <c r="BA5" s="21" t="e">
        <f>IF(VLOOKUP($B$2,DaysSince100!$H:$DJ,'Projections Data'!BA$4+2,FALSE)=0,#N/A,VLOOKUP($B$2,DaysSince100!$H:$DJ,'Projections Data'!BA$4+2,FALSE))</f>
        <v>#N/A</v>
      </c>
      <c r="BB5" s="21" t="e">
        <f>IF(VLOOKUP($B$2,DaysSince100!$H:$DJ,'Projections Data'!BB$4+2,FALSE)=0,#N/A,VLOOKUP($B$2,DaysSince100!$H:$DJ,'Projections Data'!BB$4+2,FALSE))</f>
        <v>#N/A</v>
      </c>
      <c r="BC5" s="21" t="e">
        <f>IF(VLOOKUP($B$2,DaysSince100!$H:$DJ,'Projections Data'!BC$4+2,FALSE)=0,#N/A,VLOOKUP($B$2,DaysSince100!$H:$DJ,'Projections Data'!BC$4+2,FALSE))</f>
        <v>#N/A</v>
      </c>
      <c r="BD5" s="21" t="e">
        <f>IF(VLOOKUP($B$2,DaysSince100!$H:$DJ,'Projections Data'!BD$4+2,FALSE)=0,#N/A,VLOOKUP($B$2,DaysSince100!$H:$DJ,'Projections Data'!BD$4+2,FALSE))</f>
        <v>#N/A</v>
      </c>
      <c r="BE5" s="21" t="e">
        <f>IF(VLOOKUP($B$2,DaysSince100!$H:$DJ,'Projections Data'!BE$4+2,FALSE)=0,#N/A,VLOOKUP($B$2,DaysSince100!$H:$DJ,'Projections Data'!BE$4+2,FALSE))</f>
        <v>#N/A</v>
      </c>
      <c r="BF5" s="21" t="e">
        <f>IF(VLOOKUP($B$2,DaysSince100!$H:$DJ,'Projections Data'!BF$4+2,FALSE)=0,#N/A,VLOOKUP($B$2,DaysSince100!$H:$DJ,'Projections Data'!BF$4+2,FALSE))</f>
        <v>#N/A</v>
      </c>
      <c r="BG5" s="21" t="e">
        <f>IF(VLOOKUP($B$2,DaysSince100!$H:$DJ,'Projections Data'!BG$4+2,FALSE)=0,#N/A,VLOOKUP($B$2,DaysSince100!$H:$DJ,'Projections Data'!BG$4+2,FALSE))</f>
        <v>#N/A</v>
      </c>
      <c r="BH5" s="21" t="e">
        <f>IF(VLOOKUP($B$2,DaysSince100!$H:$DJ,'Projections Data'!BH$4+2,FALSE)=0,#N/A,VLOOKUP($B$2,DaysSince100!$H:$DJ,'Projections Data'!BH$4+2,FALSE))</f>
        <v>#N/A</v>
      </c>
      <c r="BI5" s="21" t="e">
        <f>IF(VLOOKUP($B$2,DaysSince100!$H:$DJ,'Projections Data'!BI$4+2,FALSE)=0,#N/A,VLOOKUP($B$2,DaysSince100!$H:$DJ,'Projections Data'!BI$4+2,FALSE))</f>
        <v>#N/A</v>
      </c>
      <c r="BJ5" s="21" t="e">
        <f>IF(VLOOKUP($B$2,DaysSince100!$H:$DJ,'Projections Data'!BJ$4+2,FALSE)=0,#N/A,VLOOKUP($B$2,DaysSince100!$H:$DJ,'Projections Data'!BJ$4+2,FALSE))</f>
        <v>#N/A</v>
      </c>
      <c r="BK5" s="21" t="e">
        <f>IF(VLOOKUP($B$2,DaysSince100!$H:$DJ,'Projections Data'!BK$4+2,FALSE)=0,#N/A,VLOOKUP($B$2,DaysSince100!$H:$DJ,'Projections Data'!BK$4+2,FALSE))</f>
        <v>#N/A</v>
      </c>
      <c r="BL5" s="21" t="e">
        <f>IF(VLOOKUP($B$2,DaysSince100!$H:$DJ,'Projections Data'!BL$4+2,FALSE)=0,#N/A,VLOOKUP($B$2,DaysSince100!$H:$DJ,'Projections Data'!BL$4+2,FALSE))</f>
        <v>#N/A</v>
      </c>
      <c r="BM5" s="21" t="e">
        <f>IF(VLOOKUP($B$2,DaysSince100!$H:$DJ,'Projections Data'!BM$4+2,FALSE)=0,#N/A,VLOOKUP($B$2,DaysSince100!$H:$DJ,'Projections Data'!BM$4+2,FALSE))</f>
        <v>#N/A</v>
      </c>
      <c r="BN5" s="21" t="e">
        <f>IF(VLOOKUP($B$2,DaysSince100!$H:$DJ,'Projections Data'!BN$4+2,FALSE)=0,#N/A,VLOOKUP($B$2,DaysSince100!$H:$DJ,'Projections Data'!BN$4+2,FALSE))</f>
        <v>#N/A</v>
      </c>
      <c r="BO5" s="21" t="e">
        <f>IF(VLOOKUP($B$2,DaysSince100!$H:$DJ,'Projections Data'!BO$4+2,FALSE)=0,#N/A,VLOOKUP($B$2,DaysSince100!$H:$DJ,'Projections Data'!BO$4+2,FALSE))</f>
        <v>#N/A</v>
      </c>
      <c r="BP5" s="21" t="e">
        <f>IF(VLOOKUP($B$2,DaysSince100!$H:$DJ,'Projections Data'!BP$4+2,FALSE)=0,#N/A,VLOOKUP($B$2,DaysSince100!$H:$DJ,'Projections Data'!BP$4+2,FALSE))</f>
        <v>#N/A</v>
      </c>
      <c r="BQ5" s="21" t="e">
        <f>IF(VLOOKUP($B$2,DaysSince100!$H:$DJ,'Projections Data'!BQ$4+2,FALSE)=0,#N/A,VLOOKUP($B$2,DaysSince100!$H:$DJ,'Projections Data'!BQ$4+2,FALSE))</f>
        <v>#N/A</v>
      </c>
      <c r="BR5" s="21" t="e">
        <f>IF(VLOOKUP($B$2,DaysSince100!$H:$DJ,'Projections Data'!BR$4+2,FALSE)=0,#N/A,VLOOKUP($B$2,DaysSince100!$H:$DJ,'Projections Data'!BR$4+2,FALSE))</f>
        <v>#N/A</v>
      </c>
      <c r="BS5" s="21" t="e">
        <f>IF(VLOOKUP($B$2,DaysSince100!$H:$DJ,'Projections Data'!BS$4+2,FALSE)=0,#N/A,VLOOKUP($B$2,DaysSince100!$H:$DJ,'Projections Data'!BS$4+2,FALSE))</f>
        <v>#N/A</v>
      </c>
      <c r="BT5" s="21" t="e">
        <f>IF(VLOOKUP($B$2,DaysSince100!$H:$DJ,'Projections Data'!BT$4+2,FALSE)=0,#N/A,VLOOKUP($B$2,DaysSince100!$H:$DJ,'Projections Data'!BT$4+2,FALSE))</f>
        <v>#N/A</v>
      </c>
      <c r="BU5" s="21" t="e">
        <f>IF(VLOOKUP($B$2,DaysSince100!$H:$DJ,'Projections Data'!BU$4+2,FALSE)=0,#N/A,VLOOKUP($B$2,DaysSince100!$H:$DJ,'Projections Data'!BU$4+2,FALSE))</f>
        <v>#N/A</v>
      </c>
      <c r="BV5" s="21" t="e">
        <f>IF(VLOOKUP($B$2,DaysSince100!$H:$DJ,'Projections Data'!BV$4+2,FALSE)=0,#N/A,VLOOKUP($B$2,DaysSince100!$H:$DJ,'Projections Data'!BV$4+2,FALSE))</f>
        <v>#N/A</v>
      </c>
      <c r="BW5" s="21" t="e">
        <f>IF(VLOOKUP($B$2,DaysSince100!$H:$DJ,'Projections Data'!BW$4+2,FALSE)=0,#N/A,VLOOKUP($B$2,DaysSince100!$H:$DJ,'Projections Data'!BW$4+2,FALSE))</f>
        <v>#N/A</v>
      </c>
      <c r="BX5" s="21" t="e">
        <f>IF(VLOOKUP($B$2,DaysSince100!$H:$DJ,'Projections Data'!BX$4+2,FALSE)=0,#N/A,VLOOKUP($B$2,DaysSince100!$H:$DJ,'Projections Data'!BX$4+2,FALSE))</f>
        <v>#N/A</v>
      </c>
      <c r="BY5" s="21" t="e">
        <f>IF(VLOOKUP($B$2,DaysSince100!$H:$DJ,'Projections Data'!BY$4+2,FALSE)=0,#N/A,VLOOKUP($B$2,DaysSince100!$H:$DJ,'Projections Data'!BY$4+2,FALSE))</f>
        <v>#N/A</v>
      </c>
      <c r="BZ5" s="21" t="e">
        <f>IF(VLOOKUP($B$2,DaysSince100!$H:$DJ,'Projections Data'!BZ$4+2,FALSE)=0,#N/A,VLOOKUP($B$2,DaysSince100!$H:$DJ,'Projections Data'!BZ$4+2,FALSE))</f>
        <v>#N/A</v>
      </c>
      <c r="CA5" s="21" t="e">
        <f>IF(VLOOKUP($B$2,DaysSince100!$H:$DJ,'Projections Data'!CA$4+2,FALSE)=0,#N/A,VLOOKUP($B$2,DaysSince100!$H:$DJ,'Projections Data'!CA$4+2,FALSE))</f>
        <v>#N/A</v>
      </c>
      <c r="CB5" s="21" t="e">
        <f>IF(VLOOKUP($B$2,DaysSince100!$H:$DJ,'Projections Data'!CB$4+2,FALSE)=0,#N/A,VLOOKUP($B$2,DaysSince100!$H:$DJ,'Projections Data'!CB$4+2,FALSE))</f>
        <v>#N/A</v>
      </c>
      <c r="CC5" s="21" t="e">
        <f>IF(VLOOKUP($B$2,DaysSince100!$H:$DJ,'Projections Data'!CC$4+2,FALSE)=0,#N/A,VLOOKUP($B$2,DaysSince100!$H:$DJ,'Projections Data'!CC$4+2,FALSE))</f>
        <v>#N/A</v>
      </c>
      <c r="CD5" s="21" t="e">
        <f>IF(VLOOKUP($B$2,DaysSince100!$H:$DJ,'Projections Data'!CD$4+2,FALSE)=0,#N/A,VLOOKUP($B$2,DaysSince100!$H:$DJ,'Projections Data'!CD$4+2,FALSE))</f>
        <v>#N/A</v>
      </c>
      <c r="CE5" s="21" t="e">
        <f>IF(VLOOKUP($B$2,DaysSince100!$H:$DJ,'Projections Data'!CE$4+2,FALSE)=0,#N/A,VLOOKUP($B$2,DaysSince100!$H:$DJ,'Projections Data'!CE$4+2,FALSE))</f>
        <v>#N/A</v>
      </c>
      <c r="CF5" s="21" t="e">
        <f>IF(VLOOKUP($B$2,DaysSince100!$H:$DJ,'Projections Data'!CF$4+2,FALSE)=0,#N/A,VLOOKUP($B$2,DaysSince100!$H:$DJ,'Projections Data'!CF$4+2,FALSE))</f>
        <v>#N/A</v>
      </c>
      <c r="CG5" s="21" t="e">
        <f>IF(VLOOKUP($B$2,DaysSince100!$H:$DJ,'Projections Data'!CG$4+2,FALSE)=0,#N/A,VLOOKUP($B$2,DaysSince100!$H:$DJ,'Projections Data'!CG$4+2,FALSE))</f>
        <v>#N/A</v>
      </c>
      <c r="CH5" s="21" t="e">
        <f>IF(VLOOKUP($B$2,DaysSince100!$H:$DJ,'Projections Data'!CH$4+2,FALSE)=0,#N/A,VLOOKUP($B$2,DaysSince100!$H:$DJ,'Projections Data'!CH$4+2,FALSE))</f>
        <v>#N/A</v>
      </c>
      <c r="CI5" s="21" t="e">
        <f>IF(VLOOKUP($B$2,DaysSince100!$H:$DJ,'Projections Data'!CI$4+2,FALSE)=0,#N/A,VLOOKUP($B$2,DaysSince100!$H:$DJ,'Projections Data'!CI$4+2,FALSE))</f>
        <v>#N/A</v>
      </c>
      <c r="CJ5" s="21" t="e">
        <f>IF(VLOOKUP($B$2,DaysSince100!$H:$DJ,'Projections Data'!CJ$4+2,FALSE)=0,#N/A,VLOOKUP($B$2,DaysSince100!$H:$DJ,'Projections Data'!CJ$4+2,FALSE))</f>
        <v>#N/A</v>
      </c>
      <c r="CK5" s="21" t="e">
        <f>IF(VLOOKUP($B$2,DaysSince100!$H:$DJ,'Projections Data'!CK$4+2,FALSE)=0,#N/A,VLOOKUP($B$2,DaysSince100!$H:$DJ,'Projections Data'!CK$4+2,FALSE))</f>
        <v>#N/A</v>
      </c>
      <c r="CL5" s="21" t="e">
        <f>IF(VLOOKUP($B$2,DaysSince100!$H:$DJ,'Projections Data'!CL$4+2,FALSE)=0,#N/A,VLOOKUP($B$2,DaysSince100!$H:$DJ,'Projections Data'!CL$4+2,FALSE))</f>
        <v>#N/A</v>
      </c>
      <c r="CM5" s="21" t="e">
        <f>IF(VLOOKUP($B$2,DaysSince100!$H:$DJ,'Projections Data'!CM$4+2,FALSE)=0,#N/A,VLOOKUP($B$2,DaysSince100!$H:$DJ,'Projections Data'!CM$4+2,FALSE))</f>
        <v>#N/A</v>
      </c>
      <c r="CN5" s="21" t="e">
        <f>IF(VLOOKUP($B$2,DaysSince100!$H:$DJ,'Projections Data'!CN$4+2,FALSE)=0,#N/A,VLOOKUP($B$2,DaysSince100!$H:$DJ,'Projections Data'!CN$4+2,FALSE))</f>
        <v>#N/A</v>
      </c>
      <c r="CO5" s="21" t="e">
        <f>IF(VLOOKUP($B$2,DaysSince100!$H:$DJ,'Projections Data'!CO$4+2,FALSE)=0,#N/A,VLOOKUP($B$2,DaysSince100!$H:$DJ,'Projections Data'!CO$4+2,FALSE))</f>
        <v>#N/A</v>
      </c>
      <c r="CP5" s="21" t="e">
        <f>IF(VLOOKUP($B$2,DaysSince100!$H:$DJ,'Projections Data'!CP$4+2,FALSE)=0,#N/A,VLOOKUP($B$2,DaysSince100!$H:$DJ,'Projections Data'!CP$4+2,FALSE))</f>
        <v>#N/A</v>
      </c>
      <c r="CQ5" s="21" t="e">
        <f>IF(VLOOKUP($B$2,DaysSince100!$H:$DJ,'Projections Data'!CQ$4+2,FALSE)=0,#N/A,VLOOKUP($B$2,DaysSince100!$H:$DJ,'Projections Data'!CQ$4+2,FALSE))</f>
        <v>#N/A</v>
      </c>
      <c r="CR5" s="21" t="e">
        <f>IF(VLOOKUP($B$2,DaysSince100!$H:$DJ,'Projections Data'!CR$4+2,FALSE)=0,#N/A,VLOOKUP($B$2,DaysSince100!$H:$DJ,'Projections Data'!CR$4+2,FALSE))</f>
        <v>#N/A</v>
      </c>
      <c r="CS5" s="21" t="e">
        <f>IF(VLOOKUP($B$2,DaysSince100!$H:$DJ,'Projections Data'!CS$4+2,FALSE)=0,#N/A,VLOOKUP($B$2,DaysSince100!$H:$DJ,'Projections Data'!CS$4+2,FALSE))</f>
        <v>#N/A</v>
      </c>
      <c r="CT5" s="21" t="e">
        <f>IF(VLOOKUP($B$2,DaysSince100!$H:$DJ,'Projections Data'!CT$4+2,FALSE)=0,#N/A,VLOOKUP($B$2,DaysSince100!$H:$DJ,'Projections Data'!CT$4+2,FALSE))</f>
        <v>#N/A</v>
      </c>
      <c r="CU5" s="21" t="e">
        <f>IF(VLOOKUP($B$2,DaysSince100!$H:$KU,'Projections Data'!CU$4+2,FALSE)=0,#N/A,VLOOKUP($B$2,DaysSince100!$H:$KU,'Projections Data'!CU$4+2,FALSE))</f>
        <v>#N/A</v>
      </c>
      <c r="CV5" s="21" t="e">
        <f>IF(VLOOKUP($B$2,DaysSince100!$H:$KU,'Projections Data'!CV$4+2,FALSE)=0,#N/A,VLOOKUP($B$2,DaysSince100!$H:$KU,'Projections Data'!CV$4+2,FALSE))</f>
        <v>#N/A</v>
      </c>
      <c r="CW5" s="21" t="e">
        <f>IF(VLOOKUP($B$2,DaysSince100!$H:$KU,'Projections Data'!CW$4+2,FALSE)=0,#N/A,VLOOKUP($B$2,DaysSince100!$H:$KU,'Projections Data'!CW$4+2,FALSE))</f>
        <v>#N/A</v>
      </c>
      <c r="CX5" s="21" t="e">
        <f>IF(VLOOKUP($B$2,DaysSince100!$H:$KU,'Projections Data'!CX$4+2,FALSE)=0,#N/A,VLOOKUP($B$2,DaysSince100!$H:$KU,'Projections Data'!CX$4+2,FALSE))</f>
        <v>#N/A</v>
      </c>
      <c r="CY5" s="21" t="e">
        <f>IF(VLOOKUP($B$2,DaysSince100!$H:$KU,'Projections Data'!CY$4+2,FALSE)=0,#N/A,VLOOKUP($B$2,DaysSince100!$H:$KU,'Projections Data'!CY$4+2,FALSE))</f>
        <v>#N/A</v>
      </c>
      <c r="CZ5" s="21" t="e">
        <f>IF(VLOOKUP($B$2,DaysSince100!$H:$KU,'Projections Data'!CZ$4+2,FALSE)=0,#N/A,VLOOKUP($B$2,DaysSince100!$H:$KU,'Projections Data'!CZ$4+2,FALSE))</f>
        <v>#N/A</v>
      </c>
      <c r="DA5" s="21" t="e">
        <f>IF(VLOOKUP($B$2,DaysSince100!$H:$KU,'Projections Data'!DA$4+2,FALSE)=0,#N/A,VLOOKUP($B$2,DaysSince100!$H:$KU,'Projections Data'!DA$4+2,FALSE))</f>
        <v>#N/A</v>
      </c>
      <c r="DB5" s="21" t="e">
        <f>IF(VLOOKUP($B$2,DaysSince100!$H:$KU,'Projections Data'!DB$4+2,FALSE)=0,#N/A,VLOOKUP($B$2,DaysSince100!$H:$KU,'Projections Data'!DB$4+2,FALSE))</f>
        <v>#N/A</v>
      </c>
      <c r="DC5" s="21" t="e">
        <f>IF(VLOOKUP($B$2,DaysSince100!$H:$KU,'Projections Data'!DC$4+2,FALSE)=0,#N/A,VLOOKUP($B$2,DaysSince100!$H:$KU,'Projections Data'!DC$4+2,FALSE))</f>
        <v>#N/A</v>
      </c>
      <c r="DD5" s="21" t="e">
        <f>IF(VLOOKUP($B$2,DaysSince100!$H:$KU,'Projections Data'!DD$4+2,FALSE)=0,#N/A,VLOOKUP($B$2,DaysSince100!$H:$KU,'Projections Data'!DD$4+2,FALSE))</f>
        <v>#N/A</v>
      </c>
      <c r="DE5" s="21" t="e">
        <f>IF(VLOOKUP($B$2,DaysSince100!$H:$KU,'Projections Data'!DE$4+2,FALSE)=0,#N/A,VLOOKUP($B$2,DaysSince100!$H:$KU,'Projections Data'!DE$4+2,FALSE))</f>
        <v>#N/A</v>
      </c>
      <c r="DF5" s="21" t="e">
        <f>IF(VLOOKUP($B$2,DaysSince100!$H:$KU,'Projections Data'!DF$4+2,FALSE)=0,#N/A,VLOOKUP($B$2,DaysSince100!$H:$KU,'Projections Data'!DF$4+2,FALSE))</f>
        <v>#N/A</v>
      </c>
      <c r="DG5" s="21" t="e">
        <f>IF(VLOOKUP($B$2,DaysSince100!$H:$KU,'Projections Data'!DG$4+2,FALSE)=0,#N/A,VLOOKUP($B$2,DaysSince100!$H:$KU,'Projections Data'!DG$4+2,FALSE))</f>
        <v>#N/A</v>
      </c>
      <c r="DH5" s="21" t="e">
        <f>IF(VLOOKUP($B$2,DaysSince100!$H:$KU,'Projections Data'!DH$4+2,FALSE)=0,#N/A,VLOOKUP($B$2,DaysSince100!$H:$KU,'Projections Data'!DH$4+2,FALSE))</f>
        <v>#N/A</v>
      </c>
      <c r="DI5" s="21" t="e">
        <f>IF(VLOOKUP($B$2,DaysSince100!$H:$KU,'Projections Data'!DI$4+2,FALSE)=0,#N/A,VLOOKUP($B$2,DaysSince100!$H:$KU,'Projections Data'!DI$4+2,FALSE))</f>
        <v>#N/A</v>
      </c>
      <c r="DJ5" s="21" t="e">
        <f>IF(VLOOKUP($B$2,DaysSince100!$H:$KU,'Projections Data'!DJ$4+2,FALSE)=0,#N/A,VLOOKUP($B$2,DaysSince100!$H:$KU,'Projections Data'!DJ$4+2,FALSE))</f>
        <v>#N/A</v>
      </c>
      <c r="DK5" s="21" t="e">
        <f>IF(VLOOKUP($B$2,DaysSince100!$H:$KU,'Projections Data'!DK$4+2,FALSE)=0,#N/A,VLOOKUP($B$2,DaysSince100!$H:$KU,'Projections Data'!DK$4+2,FALSE))</f>
        <v>#N/A</v>
      </c>
      <c r="DL5" s="21" t="e">
        <f>IF(VLOOKUP($B$2,DaysSince100!$H:$KU,'Projections Data'!DL$4+2,FALSE)=0,#N/A,VLOOKUP($B$2,DaysSince100!$H:$KU,'Projections Data'!DL$4+2,FALSE))</f>
        <v>#N/A</v>
      </c>
      <c r="DM5" s="21" t="e">
        <f>IF(VLOOKUP($B$2,DaysSince100!$H:$KU,'Projections Data'!DM$4+2,FALSE)=0,#N/A,VLOOKUP($B$2,DaysSince100!$H:$KU,'Projections Data'!DM$4+2,FALSE))</f>
        <v>#N/A</v>
      </c>
      <c r="DN5" s="21" t="e">
        <f>IF(VLOOKUP($B$2,DaysSince100!$H:$KU,'Projections Data'!DN$4+2,FALSE)=0,#N/A,VLOOKUP($B$2,DaysSince100!$H:$KU,'Projections Data'!DN$4+2,FALSE))</f>
        <v>#N/A</v>
      </c>
      <c r="DO5" s="21" t="e">
        <f>IF(VLOOKUP($B$2,DaysSince100!$H:$KU,'Projections Data'!DO$4+2,FALSE)=0,#N/A,VLOOKUP($B$2,DaysSince100!$H:$KU,'Projections Data'!DO$4+2,FALSE))</f>
        <v>#N/A</v>
      </c>
      <c r="DP5" s="21" t="e">
        <f>IF(VLOOKUP($B$2,DaysSince100!$H:$KU,'Projections Data'!DP$4+2,FALSE)=0,#N/A,VLOOKUP($B$2,DaysSince100!$H:$KU,'Projections Data'!DP$4+2,FALSE))</f>
        <v>#N/A</v>
      </c>
      <c r="DQ5" s="21" t="e">
        <f>IF(VLOOKUP($B$2,DaysSince100!$H:$KU,'Projections Data'!DQ$4+2,FALSE)=0,#N/A,VLOOKUP($B$2,DaysSince100!$H:$KU,'Projections Data'!DQ$4+2,FALSE))</f>
        <v>#N/A</v>
      </c>
      <c r="DR5" s="21" t="e">
        <f>IF(VLOOKUP($B$2,DaysSince100!$H:$KU,'Projections Data'!DR$4+2,FALSE)=0,#N/A,VLOOKUP($B$2,DaysSince100!$H:$KU,'Projections Data'!DR$4+2,FALSE))</f>
        <v>#N/A</v>
      </c>
      <c r="DS5" s="21" t="e">
        <f>IF(VLOOKUP($B$2,DaysSince100!$H:$KU,'Projections Data'!DS$4+2,FALSE)=0,#N/A,VLOOKUP($B$2,DaysSince100!$H:$KU,'Projections Data'!DS$4+2,FALSE))</f>
        <v>#N/A</v>
      </c>
      <c r="DT5" s="21" t="e">
        <f>IF(VLOOKUP($B$2,DaysSince100!$H:$KU,'Projections Data'!DT$4+2,FALSE)=0,#N/A,VLOOKUP($B$2,DaysSince100!$H:$KU,'Projections Data'!DT$4+2,FALSE))</f>
        <v>#N/A</v>
      </c>
      <c r="DU5" s="21" t="e">
        <f>IF(VLOOKUP($B$2,DaysSince100!$H:$KU,'Projections Data'!DU$4+2,FALSE)=0,#N/A,VLOOKUP($B$2,DaysSince100!$H:$KU,'Projections Data'!DU$4+2,FALSE))</f>
        <v>#N/A</v>
      </c>
      <c r="DV5" s="21" t="e">
        <f>IF(VLOOKUP($B$2,DaysSince100!$H:$KU,'Projections Data'!DV$4+2,FALSE)=0,#N/A,VLOOKUP($B$2,DaysSince100!$H:$KU,'Projections Data'!DV$4+2,FALSE))</f>
        <v>#N/A</v>
      </c>
      <c r="DW5" s="21" t="e">
        <f>IF(VLOOKUP($B$2,DaysSince100!$H:$KU,'Projections Data'!DW$4+2,FALSE)=0,#N/A,VLOOKUP($B$2,DaysSince100!$H:$KU,'Projections Data'!DW$4+2,FALSE))</f>
        <v>#N/A</v>
      </c>
      <c r="DX5" s="21" t="e">
        <f>IF(VLOOKUP($B$2,DaysSince100!$H:$KU,'Projections Data'!DX$4+2,FALSE)=0,#N/A,VLOOKUP($B$2,DaysSince100!$H:$KU,'Projections Data'!DX$4+2,FALSE))</f>
        <v>#N/A</v>
      </c>
      <c r="DY5" s="21" t="e">
        <f>IF(VLOOKUP($B$2,DaysSince100!$H:$KU,'Projections Data'!DY$4+2,FALSE)=0,#N/A,VLOOKUP($B$2,DaysSince100!$H:$KU,'Projections Data'!DY$4+2,FALSE))</f>
        <v>#N/A</v>
      </c>
      <c r="DZ5" s="21" t="e">
        <f>IF(VLOOKUP($B$2,DaysSince100!$H:$KU,'Projections Data'!DZ$4+2,FALSE)=0,#N/A,VLOOKUP($B$2,DaysSince100!$H:$KU,'Projections Data'!DZ$4+2,FALSE))</f>
        <v>#N/A</v>
      </c>
      <c r="EA5" s="21" t="e">
        <f>IF(VLOOKUP($B$2,DaysSince100!$H:$KU,'Projections Data'!EA$4+2,FALSE)=0,#N/A,VLOOKUP($B$2,DaysSince100!$H:$KU,'Projections Data'!EA$4+2,FALSE))</f>
        <v>#N/A</v>
      </c>
      <c r="EB5" s="21" t="e">
        <f>IF(VLOOKUP($B$2,DaysSince100!$H:$KU,'Projections Data'!EB$4+2,FALSE)=0,#N/A,VLOOKUP($B$2,DaysSince100!$H:$KU,'Projections Data'!EB$4+2,FALSE))</f>
        <v>#N/A</v>
      </c>
      <c r="EC5" s="21" t="e">
        <f>IF(VLOOKUP($B$2,DaysSince100!$H:$KU,'Projections Data'!EC$4+2,FALSE)=0,#N/A,VLOOKUP($B$2,DaysSince100!$H:$KU,'Projections Data'!EC$4+2,FALSE))</f>
        <v>#N/A</v>
      </c>
      <c r="ED5" s="21" t="e">
        <f>IF(VLOOKUP($B$2,DaysSince100!$H:$KU,'Projections Data'!ED$4+2,FALSE)=0,#N/A,VLOOKUP($B$2,DaysSince100!$H:$KU,'Projections Data'!ED$4+2,FALSE))</f>
        <v>#N/A</v>
      </c>
      <c r="EE5" s="21" t="e">
        <f>IF(VLOOKUP($B$2,DaysSince100!$H:$KU,'Projections Data'!EE$4+2,FALSE)=0,#N/A,VLOOKUP($B$2,DaysSince100!$H:$KU,'Projections Data'!EE$4+2,FALSE))</f>
        <v>#N/A</v>
      </c>
      <c r="EF5" s="21" t="e">
        <f>IF(VLOOKUP($B$2,DaysSince100!$H:$KU,'Projections Data'!EF$4+2,FALSE)=0,#N/A,VLOOKUP($B$2,DaysSince100!$H:$KU,'Projections Data'!EF$4+2,FALSE))</f>
        <v>#N/A</v>
      </c>
      <c r="EG5" s="21" t="e">
        <f>IF(VLOOKUP($B$2,DaysSince100!$H:$KU,'Projections Data'!EG$4+2,FALSE)=0,#N/A,VLOOKUP($B$2,DaysSince100!$H:$KU,'Projections Data'!EG$4+2,FALSE))</f>
        <v>#N/A</v>
      </c>
      <c r="EH5" s="21" t="e">
        <f>IF(VLOOKUP($B$2,DaysSince100!$H:$KU,'Projections Data'!EH$4+2,FALSE)=0,#N/A,VLOOKUP($B$2,DaysSince100!$H:$KU,'Projections Data'!EH$4+2,FALSE))</f>
        <v>#N/A</v>
      </c>
      <c r="EI5" s="21" t="e">
        <f>IF(VLOOKUP($B$2,DaysSince100!$H:$KU,'Projections Data'!EI$4+2,FALSE)=0,#N/A,VLOOKUP($B$2,DaysSince100!$H:$KU,'Projections Data'!EI$4+2,FALSE))</f>
        <v>#N/A</v>
      </c>
      <c r="EJ5" s="21" t="e">
        <f>IF(VLOOKUP($B$2,DaysSince100!$H:$KU,'Projections Data'!EJ$4+2,FALSE)=0,#N/A,VLOOKUP($B$2,DaysSince100!$H:$KU,'Projections Data'!EJ$4+2,FALSE))</f>
        <v>#N/A</v>
      </c>
      <c r="EK5" s="21" t="e">
        <f>IF(VLOOKUP($B$2,DaysSince100!$H:$KU,'Projections Data'!EK$4+2,FALSE)=0,#N/A,VLOOKUP($B$2,DaysSince100!$H:$KU,'Projections Data'!EK$4+2,FALSE))</f>
        <v>#N/A</v>
      </c>
      <c r="EL5" s="21" t="e">
        <f>IF(VLOOKUP($B$2,DaysSince100!$H:$KU,'Projections Data'!EL$4+2,FALSE)=0,#N/A,VLOOKUP($B$2,DaysSince100!$H:$KU,'Projections Data'!EL$4+2,FALSE))</f>
        <v>#N/A</v>
      </c>
      <c r="EM5" s="21" t="e">
        <f>IF(VLOOKUP($B$2,DaysSince100!$H:$KU,'Projections Data'!EM$4+2,FALSE)=0,#N/A,VLOOKUP($B$2,DaysSince100!$H:$KU,'Projections Data'!EM$4+2,FALSE))</f>
        <v>#N/A</v>
      </c>
      <c r="EN5" s="21" t="e">
        <f>IF(VLOOKUP($B$2,DaysSince100!$H:$KU,'Projections Data'!EN$4+2,FALSE)=0,#N/A,VLOOKUP($B$2,DaysSince100!$H:$KU,'Projections Data'!EN$4+2,FALSE))</f>
        <v>#N/A</v>
      </c>
      <c r="EO5" s="21" t="e">
        <f>IF(VLOOKUP($B$2,DaysSince100!$H:$KU,'Projections Data'!EO$4+2,FALSE)=0,#N/A,VLOOKUP($B$2,DaysSince100!$H:$KU,'Projections Data'!EO$4+2,FALSE))</f>
        <v>#N/A</v>
      </c>
      <c r="EP5" s="21" t="e">
        <f>IF(VLOOKUP($B$2,DaysSince100!$H:$KU,'Projections Data'!EP$4+2,FALSE)=0,#N/A,VLOOKUP($B$2,DaysSince100!$H:$KU,'Projections Data'!EP$4+2,FALSE))</f>
        <v>#N/A</v>
      </c>
      <c r="EQ5" s="21" t="e">
        <f>IF(VLOOKUP($B$2,DaysSince100!$H:$KU,'Projections Data'!EQ$4+2,FALSE)=0,#N/A,VLOOKUP($B$2,DaysSince100!$H:$KU,'Projections Data'!EQ$4+2,FALSE))</f>
        <v>#N/A</v>
      </c>
      <c r="ER5" s="21" t="e">
        <f>IF(VLOOKUP($B$2,DaysSince100!$H:$KU,'Projections Data'!ER$4+2,FALSE)=0,#N/A,VLOOKUP($B$2,DaysSince100!$H:$KU,'Projections Data'!ER$4+2,FALSE))</f>
        <v>#N/A</v>
      </c>
      <c r="ES5" s="21" t="e">
        <f>IF(VLOOKUP($B$2,DaysSince100!$H:$KU,'Projections Data'!ES$4+2,FALSE)=0,#N/A,VLOOKUP($B$2,DaysSince100!$H:$KU,'Projections Data'!ES$4+2,FALSE))</f>
        <v>#N/A</v>
      </c>
      <c r="ET5" s="21" t="e">
        <f>IF(VLOOKUP($B$2,DaysSince100!$H:$KU,'Projections Data'!ET$4+2,FALSE)=0,#N/A,VLOOKUP($B$2,DaysSince100!$H:$KU,'Projections Data'!ET$4+2,FALSE))</f>
        <v>#N/A</v>
      </c>
      <c r="EU5" s="21" t="e">
        <f>IF(VLOOKUP($B$2,DaysSince100!$H:$KU,'Projections Data'!EU$4+2,FALSE)=0,#N/A,VLOOKUP($B$2,DaysSince100!$H:$KU,'Projections Data'!EU$4+2,FALSE))</f>
        <v>#N/A</v>
      </c>
      <c r="EV5" s="21" t="e">
        <f>IF(VLOOKUP($B$2,DaysSince100!$H:$KU,'Projections Data'!EV$4+2,FALSE)=0,#N/A,VLOOKUP($B$2,DaysSince100!$H:$KU,'Projections Data'!EV$4+2,FALSE))</f>
        <v>#N/A</v>
      </c>
      <c r="EW5" s="21" t="e">
        <f>IF(VLOOKUP($B$2,DaysSince100!$H:$KU,'Projections Data'!EW$4+2,FALSE)=0,#N/A,VLOOKUP($B$2,DaysSince100!$H:$KU,'Projections Data'!EW$4+2,FALSE))</f>
        <v>#N/A</v>
      </c>
      <c r="EX5" s="21" t="e">
        <f>IF(VLOOKUP($B$2,DaysSince100!$H:$KU,'Projections Data'!EX$4+2,FALSE)=0,#N/A,VLOOKUP($B$2,DaysSince100!$H:$KU,'Projections Data'!EX$4+2,FALSE))</f>
        <v>#N/A</v>
      </c>
      <c r="EY5" s="21" t="e">
        <f>IF(VLOOKUP($B$2,DaysSince100!$H:$KU,'Projections Data'!EY$4+2,FALSE)=0,#N/A,VLOOKUP($B$2,DaysSince100!$H:$KU,'Projections Data'!EY$4+2,FALSE))</f>
        <v>#N/A</v>
      </c>
      <c r="EZ5" s="21" t="e">
        <f>IF(VLOOKUP($B$2,DaysSince100!$H:$KU,'Projections Data'!EZ$4+2,FALSE)=0,#N/A,VLOOKUP($B$2,DaysSince100!$H:$KU,'Projections Data'!EZ$4+2,FALSE))</f>
        <v>#N/A</v>
      </c>
      <c r="FA5" s="21" t="e">
        <f>IF(VLOOKUP($B$2,DaysSince100!$H:$KU,'Projections Data'!FA$4+2,FALSE)=0,#N/A,VLOOKUP($B$2,DaysSince100!$H:$KU,'Projections Data'!FA$4+2,FALSE))</f>
        <v>#N/A</v>
      </c>
      <c r="FB5" s="21" t="e">
        <f>IF(VLOOKUP($B$2,DaysSince100!$H:$KU,'Projections Data'!FB$4+2,FALSE)=0,#N/A,VLOOKUP($B$2,DaysSince100!$H:$KU,'Projections Data'!FB$4+2,FALSE))</f>
        <v>#N/A</v>
      </c>
      <c r="FC5" s="21" t="e">
        <f>IF(VLOOKUP($B$2,DaysSince100!$H:$KU,'Projections Data'!FC$4+2,FALSE)=0,#N/A,VLOOKUP($B$2,DaysSince100!$H:$KU,'Projections Data'!FC$4+2,FALSE))</f>
        <v>#N/A</v>
      </c>
      <c r="FD5" s="21" t="e">
        <f>IF(VLOOKUP($B$2,DaysSince100!$H:$KU,'Projections Data'!FD$4+2,FALSE)=0,#N/A,VLOOKUP($B$2,DaysSince100!$H:$KU,'Projections Data'!FD$4+2,FALSE))</f>
        <v>#N/A</v>
      </c>
      <c r="FE5" s="21" t="e">
        <f>IF(VLOOKUP($B$2,DaysSince100!$H:$KU,'Projections Data'!FE$4+2,FALSE)=0,#N/A,VLOOKUP($B$2,DaysSince100!$H:$KU,'Projections Data'!FE$4+2,FALSE))</f>
        <v>#N/A</v>
      </c>
      <c r="FF5" s="21" t="e">
        <f>IF(VLOOKUP($B$2,DaysSince100!$H:$KU,'Projections Data'!FF$4+2,FALSE)=0,#N/A,VLOOKUP($B$2,DaysSince100!$H:$KU,'Projections Data'!FF$4+2,FALSE))</f>
        <v>#N/A</v>
      </c>
      <c r="FG5" s="21" t="e">
        <f>IF(VLOOKUP($B$2,DaysSince100!$H:$KU,'Projections Data'!FG$4+2,FALSE)=0,#N/A,VLOOKUP($B$2,DaysSince100!$H:$KU,'Projections Data'!FG$4+2,FALSE))</f>
        <v>#N/A</v>
      </c>
      <c r="FH5" s="21" t="e">
        <f>IF(VLOOKUP($B$2,DaysSince100!$H:$KU,'Projections Data'!FH$4+2,FALSE)=0,#N/A,VLOOKUP($B$2,DaysSince100!$H:$KU,'Projections Data'!FH$4+2,FALSE))</f>
        <v>#N/A</v>
      </c>
      <c r="FI5" s="21" t="e">
        <f>IF(VLOOKUP($B$2,DaysSince100!$H:$KU,'Projections Data'!FI$4+2,FALSE)=0,#N/A,VLOOKUP($B$2,DaysSince100!$H:$KU,'Projections Data'!FI$4+2,FALSE))</f>
        <v>#N/A</v>
      </c>
      <c r="FJ5" s="21" t="e">
        <f>IF(VLOOKUP($B$2,DaysSince100!$H:$KU,'Projections Data'!FJ$4+2,FALSE)=0,#N/A,VLOOKUP($B$2,DaysSince100!$H:$KU,'Projections Data'!FJ$4+2,FALSE))</f>
        <v>#N/A</v>
      </c>
      <c r="FK5" s="21" t="e">
        <f>IF(VLOOKUP($B$2,DaysSince100!$H:$KU,'Projections Data'!FK$4+2,FALSE)=0,#N/A,VLOOKUP($B$2,DaysSince100!$H:$KU,'Projections Data'!FK$4+2,FALSE))</f>
        <v>#N/A</v>
      </c>
      <c r="FL5" s="21" t="e">
        <f>IF(VLOOKUP($B$2,DaysSince100!$H:$KU,'Projections Data'!FL$4+2,FALSE)=0,#N/A,VLOOKUP($B$2,DaysSince100!$H:$KU,'Projections Data'!FL$4+2,FALSE))</f>
        <v>#N/A</v>
      </c>
      <c r="FM5" s="21" t="e">
        <f>IF(VLOOKUP($B$2,DaysSince100!$H:$KU,'Projections Data'!FM$4+2,FALSE)=0,#N/A,VLOOKUP($B$2,DaysSince100!$H:$KU,'Projections Data'!FM$4+2,FALSE))</f>
        <v>#N/A</v>
      </c>
      <c r="FN5" s="21" t="e">
        <f>IF(VLOOKUP($B$2,DaysSince100!$H:$KU,'Projections Data'!FN$4+2,FALSE)=0,#N/A,VLOOKUP($B$2,DaysSince100!$H:$KU,'Projections Data'!FN$4+2,FALSE))</f>
        <v>#N/A</v>
      </c>
      <c r="FO5" s="21" t="e">
        <f>IF(VLOOKUP($B$2,DaysSince100!$H:$KU,'Projections Data'!FO$4+2,FALSE)=0,#N/A,VLOOKUP($B$2,DaysSince100!$H:$KU,'Projections Data'!FO$4+2,FALSE))</f>
        <v>#N/A</v>
      </c>
      <c r="FP5" s="21" t="e">
        <f>IF(VLOOKUP($B$2,DaysSince100!$H:$KU,'Projections Data'!FP$4+2,FALSE)=0,#N/A,VLOOKUP($B$2,DaysSince100!$H:$KU,'Projections Data'!FP$4+2,FALSE))</f>
        <v>#N/A</v>
      </c>
      <c r="FQ5" s="21" t="e">
        <f>IF(VLOOKUP($B$2,DaysSince100!$H:$KU,'Projections Data'!FQ$4+2,FALSE)=0,#N/A,VLOOKUP($B$2,DaysSince100!$H:$KU,'Projections Data'!FQ$4+2,FALSE))</f>
        <v>#N/A</v>
      </c>
      <c r="FR5" s="21" t="e">
        <f>IF(VLOOKUP($B$2,DaysSince100!$H:$KU,'Projections Data'!FR$4+2,FALSE)=0,#N/A,VLOOKUP($B$2,DaysSince100!$H:$KU,'Projections Data'!FR$4+2,FALSE))</f>
        <v>#N/A</v>
      </c>
      <c r="FS5" s="21" t="e">
        <f>IF(VLOOKUP($B$2,DaysSince100!$H:$KU,'Projections Data'!FS$4+2,FALSE)=0,#N/A,VLOOKUP($B$2,DaysSince100!$H:$KU,'Projections Data'!FS$4+2,FALSE))</f>
        <v>#N/A</v>
      </c>
      <c r="FT5" s="21" t="e">
        <f>IF(VLOOKUP($B$2,DaysSince100!$H:$KU,'Projections Data'!FT$4+2,FALSE)=0,#N/A,VLOOKUP($B$2,DaysSince100!$H:$KU,'Projections Data'!FT$4+2,FALSE))</f>
        <v>#N/A</v>
      </c>
      <c r="FU5" s="21" t="e">
        <f>IF(VLOOKUP($B$2,DaysSince100!$H:$KU,'Projections Data'!FU$4+2,FALSE)=0,#N/A,VLOOKUP($B$2,DaysSince100!$H:$KU,'Projections Data'!FU$4+2,FALSE))</f>
        <v>#N/A</v>
      </c>
      <c r="FV5" s="21" t="e">
        <f>IF(VLOOKUP($B$2,DaysSince100!$H:$KU,'Projections Data'!FV$4+2,FALSE)=0,#N/A,VLOOKUP($B$2,DaysSince100!$H:$KU,'Projections Data'!FV$4+2,FALSE))</f>
        <v>#N/A</v>
      </c>
      <c r="FW5" s="21" t="e">
        <f>IF(VLOOKUP($B$2,DaysSince100!$H:$KU,'Projections Data'!FW$4+2,FALSE)=0,#N/A,VLOOKUP($B$2,DaysSince100!$H:$KU,'Projections Data'!FW$4+2,FALSE))</f>
        <v>#N/A</v>
      </c>
      <c r="FX5" s="21" t="e">
        <f>IF(VLOOKUP($B$2,DaysSince100!$H:$KU,'Projections Data'!FX$4+2,FALSE)=0,#N/A,VLOOKUP($B$2,DaysSince100!$H:$KU,'Projections Data'!FX$4+2,FALSE))</f>
        <v>#N/A</v>
      </c>
      <c r="FY5" s="21" t="e">
        <f>IF(VLOOKUP($B$2,DaysSince100!$H:$KU,'Projections Data'!FY$4+2,FALSE)=0,#N/A,VLOOKUP($B$2,DaysSince100!$H:$KU,'Projections Data'!FY$4+2,FALSE))</f>
        <v>#N/A</v>
      </c>
      <c r="FZ5" s="21" t="e">
        <f>IF(VLOOKUP($B$2,DaysSince100!$H:$KU,'Projections Data'!FZ$4+2,FALSE)=0,#N/A,VLOOKUP($B$2,DaysSince100!$H:$KU,'Projections Data'!FZ$4+2,FALSE))</f>
        <v>#N/A</v>
      </c>
      <c r="GA5" s="21" t="e">
        <f>IF(VLOOKUP($B$2,DaysSince100!$H:$KU,'Projections Data'!GA$4+2,FALSE)=0,#N/A,VLOOKUP($B$2,DaysSince100!$H:$KU,'Projections Data'!GA$4+2,FALSE))</f>
        <v>#N/A</v>
      </c>
      <c r="GB5" s="21" t="e">
        <f>IF(VLOOKUP($B$2,DaysSince100!$H:$KU,'Projections Data'!GB$4+2,FALSE)=0,#N/A,VLOOKUP($B$2,DaysSince100!$H:$KU,'Projections Data'!GB$4+2,FALSE))</f>
        <v>#N/A</v>
      </c>
      <c r="GC5" s="21" t="e">
        <f>IF(VLOOKUP($B$2,DaysSince100!$H:$KU,'Projections Data'!GC$4+2,FALSE)=0,#N/A,VLOOKUP($B$2,DaysSince100!$H:$KU,'Projections Data'!GC$4+2,FALSE))</f>
        <v>#N/A</v>
      </c>
      <c r="GD5" s="21" t="e">
        <f>IF(VLOOKUP($B$2,DaysSince100!$H:$KU,'Projections Data'!GD$4+2,FALSE)=0,#N/A,VLOOKUP($B$2,DaysSince100!$H:$KU,'Projections Data'!GD$4+2,FALSE))</f>
        <v>#N/A</v>
      </c>
      <c r="GE5" s="21" t="e">
        <f>IF(VLOOKUP($B$2,DaysSince100!$H:$KU,'Projections Data'!GE$4+2,FALSE)=0,#N/A,VLOOKUP($B$2,DaysSince100!$H:$KU,'Projections Data'!GE$4+2,FALSE))</f>
        <v>#N/A</v>
      </c>
      <c r="GF5" s="21" t="e">
        <f>IF(VLOOKUP($B$2,DaysSince100!$H:$KU,'Projections Data'!GF$4+2,FALSE)=0,#N/A,VLOOKUP($B$2,DaysSince100!$H:$KU,'Projections Data'!GF$4+2,FALSE))</f>
        <v>#N/A</v>
      </c>
      <c r="GG5" s="21" t="e">
        <f>IF(VLOOKUP($B$2,DaysSince100!$H:$KU,'Projections Data'!GG$4+2,FALSE)=0,#N/A,VLOOKUP($B$2,DaysSince100!$H:$KU,'Projections Data'!GG$4+2,FALSE))</f>
        <v>#N/A</v>
      </c>
      <c r="GH5" s="21" t="e">
        <f>IF(VLOOKUP($B$2,DaysSince100!$H:$KU,'Projections Data'!GH$4+2,FALSE)=0,#N/A,VLOOKUP($B$2,DaysSince100!$H:$KU,'Projections Data'!GH$4+2,FALSE))</f>
        <v>#N/A</v>
      </c>
      <c r="GI5" s="21" t="e">
        <f>IF(VLOOKUP($B$2,DaysSince100!$H:$KU,'Projections Data'!GI$4+2,FALSE)=0,#N/A,VLOOKUP($B$2,DaysSince100!$H:$KU,'Projections Data'!GI$4+2,FALSE))</f>
        <v>#N/A</v>
      </c>
      <c r="GJ5" s="21" t="e">
        <f>IF(VLOOKUP($B$2,DaysSince100!$H:$KU,'Projections Data'!GJ$4+2,FALSE)=0,#N/A,VLOOKUP($B$2,DaysSince100!$H:$KU,'Projections Data'!GJ$4+2,FALSE))</f>
        <v>#N/A</v>
      </c>
      <c r="GK5" s="21" t="e">
        <f>IF(VLOOKUP($B$2,DaysSince100!$H:$KU,'Projections Data'!GK$4+2,FALSE)=0,#N/A,VLOOKUP($B$2,DaysSince100!$H:$KU,'Projections Data'!GK$4+2,FALSE))</f>
        <v>#N/A</v>
      </c>
      <c r="GL5" s="21" t="e">
        <f>IF(VLOOKUP($B$2,DaysSince100!$H:$KU,'Projections Data'!GL$4+2,FALSE)=0,#N/A,VLOOKUP($B$2,DaysSince100!$H:$KU,'Projections Data'!GL$4+2,FALSE))</f>
        <v>#N/A</v>
      </c>
      <c r="GM5" s="21" t="e">
        <f>IF(VLOOKUP($B$2,DaysSince100!$H:$KU,'Projections Data'!GM$4+2,FALSE)=0,#N/A,VLOOKUP($B$2,DaysSince100!$H:$KU,'Projections Data'!GM$4+2,FALSE))</f>
        <v>#N/A</v>
      </c>
      <c r="GN5" s="21" t="e">
        <f>IF(VLOOKUP($B$2,DaysSince100!$H:$KU,'Projections Data'!GN$4+2,FALSE)=0,#N/A,VLOOKUP($B$2,DaysSince100!$H:$KU,'Projections Data'!GN$4+2,FALSE))</f>
        <v>#N/A</v>
      </c>
      <c r="GO5" s="21" t="e">
        <f>IF(VLOOKUP($B$2,DaysSince100!$H:$KU,'Projections Data'!GO$4+2,FALSE)=0,#N/A,VLOOKUP($B$2,DaysSince100!$H:$KU,'Projections Data'!GO$4+2,FALSE))</f>
        <v>#N/A</v>
      </c>
      <c r="GP5" s="21" t="e">
        <f>IF(VLOOKUP($B$2,DaysSince100!$H:$KU,'Projections Data'!GP$4+2,FALSE)=0,#N/A,VLOOKUP($B$2,DaysSince100!$H:$KU,'Projections Data'!GP$4+2,FALSE))</f>
        <v>#N/A</v>
      </c>
      <c r="GQ5" s="21" t="e">
        <f>IF(VLOOKUP($B$2,DaysSince100!$H:$KU,'Projections Data'!GQ$4+2,FALSE)=0,#N/A,VLOOKUP($B$2,DaysSince100!$H:$KU,'Projections Data'!GQ$4+2,FALSE))</f>
        <v>#N/A</v>
      </c>
      <c r="GR5" s="21" t="e">
        <f>IF(VLOOKUP($B$2,DaysSince100!$H:$KU,'Projections Data'!GR$4+2,FALSE)=0,#N/A,VLOOKUP($B$2,DaysSince100!$H:$KU,'Projections Data'!GR$4+2,FALSE))</f>
        <v>#N/A</v>
      </c>
      <c r="GS5" s="21" t="e">
        <f>IF(VLOOKUP($B$2,DaysSince100!$H:$KU,'Projections Data'!GS$4+2,FALSE)=0,#N/A,VLOOKUP($B$2,DaysSince100!$H:$KU,'Projections Data'!GS$4+2,FALSE))</f>
        <v>#N/A</v>
      </c>
      <c r="GT5" s="21" t="e">
        <f>IF(VLOOKUP($B$2,DaysSince100!$H:$KU,'Projections Data'!GT$4+2,FALSE)=0,#N/A,VLOOKUP($B$2,DaysSince100!$H:$KU,'Projections Data'!GT$4+2,FALSE))</f>
        <v>#N/A</v>
      </c>
      <c r="GU5" s="21" t="e">
        <f>IF(VLOOKUP($B$2,DaysSince100!$H:$KU,'Projections Data'!GU$4+2,FALSE)=0,#N/A,VLOOKUP($B$2,DaysSince100!$H:$KU,'Projections Data'!GU$4+2,FALSE))</f>
        <v>#N/A</v>
      </c>
      <c r="GV5" s="21" t="e">
        <f>IF(VLOOKUP($B$2,DaysSince100!$H:$KU,'Projections Data'!GV$4+2,FALSE)=0,#N/A,VLOOKUP($B$2,DaysSince100!$H:$KU,'Projections Data'!GV$4+2,FALSE))</f>
        <v>#N/A</v>
      </c>
      <c r="GW5" s="21" t="e">
        <f>IF(VLOOKUP($B$2,DaysSince100!$H:$KU,'Projections Data'!GW$4+2,FALSE)=0,#N/A,VLOOKUP($B$2,DaysSince100!$H:$KU,'Projections Data'!GW$4+2,FALSE))</f>
        <v>#N/A</v>
      </c>
      <c r="GX5" s="21" t="e">
        <f>IF(VLOOKUP($B$2,DaysSince100!$H:$KU,'Projections Data'!GX$4+2,FALSE)=0,#N/A,VLOOKUP($B$2,DaysSince100!$H:$KU,'Projections Data'!GX$4+2,FALSE))</f>
        <v>#N/A</v>
      </c>
      <c r="GY5" s="21" t="e">
        <f>IF(VLOOKUP($B$2,DaysSince100!$H:$KU,'Projections Data'!GY$4+2,FALSE)=0,#N/A,VLOOKUP($B$2,DaysSince100!$H:$KU,'Projections Data'!GY$4+2,FALSE))</f>
        <v>#N/A</v>
      </c>
      <c r="GZ5" s="21" t="e">
        <f>IF(VLOOKUP($B$2,DaysSince100!$H:$KU,'Projections Data'!GZ$4+2,FALSE)=0,#N/A,VLOOKUP($B$2,DaysSince100!$H:$KU,'Projections Data'!GZ$4+2,FALSE))</f>
        <v>#N/A</v>
      </c>
      <c r="HA5" s="21" t="e">
        <f>IF(VLOOKUP($B$2,DaysSince100!$H:$KU,'Projections Data'!HA$4+2,FALSE)=0,#N/A,VLOOKUP($B$2,DaysSince100!$H:$KU,'Projections Data'!HA$4+2,FALSE))</f>
        <v>#N/A</v>
      </c>
      <c r="HB5" s="21" t="e">
        <f>IF(VLOOKUP($B$2,DaysSince100!$H:$KU,'Projections Data'!HB$4+2,FALSE)=0,#N/A,VLOOKUP($B$2,DaysSince100!$H:$KU,'Projections Data'!HB$4+2,FALSE))</f>
        <v>#N/A</v>
      </c>
      <c r="HC5" s="21" t="e">
        <f>IF(VLOOKUP($B$2,DaysSince100!$H:$KU,'Projections Data'!HC$4+2,FALSE)=0,#N/A,VLOOKUP($B$2,DaysSince100!$H:$KU,'Projections Data'!HC$4+2,FALSE))</f>
        <v>#N/A</v>
      </c>
      <c r="HD5" s="21" t="e">
        <f>IF(VLOOKUP($B$2,DaysSince100!$H:$KU,'Projections Data'!HD$4+2,FALSE)=0,#N/A,VLOOKUP($B$2,DaysSince100!$H:$KU,'Projections Data'!HD$4+2,FALSE))</f>
        <v>#N/A</v>
      </c>
      <c r="HE5" s="21" t="e">
        <f>IF(VLOOKUP($B$2,DaysSince100!$H:$KU,'Projections Data'!HE$4+2,FALSE)=0,#N/A,VLOOKUP($B$2,DaysSince100!$H:$KU,'Projections Data'!HE$4+2,FALSE))</f>
        <v>#N/A</v>
      </c>
      <c r="HF5" s="21" t="e">
        <f>IF(VLOOKUP($B$2,DaysSince100!$H:$KU,'Projections Data'!HF$4+2,FALSE)=0,#N/A,VLOOKUP($B$2,DaysSince100!$H:$KU,'Projections Data'!HF$4+2,FALSE))</f>
        <v>#N/A</v>
      </c>
      <c r="HG5" s="21" t="e">
        <f>IF(VLOOKUP($B$2,DaysSince100!$H:$KU,'Projections Data'!HG$4+2,FALSE)=0,#N/A,VLOOKUP($B$2,DaysSince100!$H:$KU,'Projections Data'!HG$4+2,FALSE))</f>
        <v>#N/A</v>
      </c>
      <c r="HH5" s="21" t="e">
        <f>IF(VLOOKUP($B$2,DaysSince100!$H:$KU,'Projections Data'!HH$4+2,FALSE)=0,#N/A,VLOOKUP($B$2,DaysSince100!$H:$KU,'Projections Data'!HH$4+2,FALSE))</f>
        <v>#N/A</v>
      </c>
      <c r="HI5" s="21" t="e">
        <f>IF(VLOOKUP($B$2,DaysSince100!$H:$KU,'Projections Data'!HI$4+2,FALSE)=0,#N/A,VLOOKUP($B$2,DaysSince100!$H:$KU,'Projections Data'!HI$4+2,FALSE))</f>
        <v>#N/A</v>
      </c>
      <c r="HJ5" s="21" t="e">
        <f>IF(VLOOKUP($B$2,DaysSince100!$H:$KU,'Projections Data'!HJ$4+2,FALSE)=0,#N/A,VLOOKUP($B$2,DaysSince100!$H:$KU,'Projections Data'!HJ$4+2,FALSE))</f>
        <v>#N/A</v>
      </c>
      <c r="HK5" s="21" t="e">
        <f>IF(VLOOKUP($B$2,DaysSince100!$H:$KU,'Projections Data'!HK$4+2,FALSE)=0,#N/A,VLOOKUP($B$2,DaysSince100!$H:$KU,'Projections Data'!HK$4+2,FALSE))</f>
        <v>#N/A</v>
      </c>
      <c r="HL5" s="21" t="e">
        <f>IF(VLOOKUP($B$2,DaysSince100!$H:$KU,'Projections Data'!HL$4+2,FALSE)=0,#N/A,VLOOKUP($B$2,DaysSince100!$H:$KU,'Projections Data'!HL$4+2,FALSE))</f>
        <v>#N/A</v>
      </c>
      <c r="HM5" s="21" t="e">
        <f>IF(VLOOKUP($B$2,DaysSince100!$H:$KU,'Projections Data'!HM$4+2,FALSE)=0,#N/A,VLOOKUP($B$2,DaysSince100!$H:$KU,'Projections Data'!HM$4+2,FALSE))</f>
        <v>#N/A</v>
      </c>
      <c r="HN5" s="21" t="e">
        <f>IF(VLOOKUP($B$2,DaysSince100!$H:$KU,'Projections Data'!HN$4+2,FALSE)=0,#N/A,VLOOKUP($B$2,DaysSince100!$H:$KU,'Projections Data'!HN$4+2,FALSE))</f>
        <v>#N/A</v>
      </c>
      <c r="HO5" s="21" t="e">
        <f>IF(VLOOKUP($B$2,DaysSince100!$H:$KU,'Projections Data'!HO$4+2,FALSE)=0,#N/A,VLOOKUP($B$2,DaysSince100!$H:$KU,'Projections Data'!HO$4+2,FALSE))</f>
        <v>#N/A</v>
      </c>
      <c r="HP5" s="21" t="e">
        <f>IF(VLOOKUP($B$2,DaysSince100!$H:$KU,'Projections Data'!HP$4+2,FALSE)=0,#N/A,VLOOKUP($B$2,DaysSince100!$H:$KU,'Projections Data'!HP$4+2,FALSE))</f>
        <v>#N/A</v>
      </c>
      <c r="HQ5" s="21" t="e">
        <f>IF(VLOOKUP($B$2,DaysSince100!$H:$KU,'Projections Data'!HQ$4+2,FALSE)=0,#N/A,VLOOKUP($B$2,DaysSince100!$H:$KU,'Projections Data'!HQ$4+2,FALSE))</f>
        <v>#N/A</v>
      </c>
      <c r="HR5" s="21" t="e">
        <f>IF(VLOOKUP($B$2,DaysSince100!$H:$KU,'Projections Data'!HR$4+2,FALSE)=0,#N/A,VLOOKUP($B$2,DaysSince100!$H:$KU,'Projections Data'!HR$4+2,FALSE))</f>
        <v>#N/A</v>
      </c>
      <c r="HS5" s="21" t="e">
        <f>IF(VLOOKUP($B$2,DaysSince100!$H:$KU,'Projections Data'!HS$4+2,FALSE)=0,#N/A,VLOOKUP($B$2,DaysSince100!$H:$KU,'Projections Data'!HS$4+2,FALSE))</f>
        <v>#N/A</v>
      </c>
      <c r="HT5" s="21" t="e">
        <f>IF(VLOOKUP($B$2,DaysSince100!$H:$KU,'Projections Data'!HT$4+2,FALSE)=0,#N/A,VLOOKUP($B$2,DaysSince100!$H:$KU,'Projections Data'!HT$4+2,FALSE))</f>
        <v>#N/A</v>
      </c>
      <c r="HU5" s="21" t="e">
        <f>IF(VLOOKUP($B$2,DaysSince100!$H:$KU,'Projections Data'!HU$4+2,FALSE)=0,#N/A,VLOOKUP($B$2,DaysSince100!$H:$KU,'Projections Data'!HU$4+2,FALSE))</f>
        <v>#N/A</v>
      </c>
      <c r="HV5" s="21" t="e">
        <f>IF(VLOOKUP($B$2,DaysSince100!$H:$KU,'Projections Data'!HV$4+2,FALSE)=0,#N/A,VLOOKUP($B$2,DaysSince100!$H:$KU,'Projections Data'!HV$4+2,FALSE))</f>
        <v>#N/A</v>
      </c>
      <c r="HW5" s="21" t="e">
        <f>IF(VLOOKUP($B$2,DaysSince100!$H:$KU,'Projections Data'!HW$4+2,FALSE)=0,#N/A,VLOOKUP($B$2,DaysSince100!$H:$KU,'Projections Data'!HW$4+2,FALSE))</f>
        <v>#N/A</v>
      </c>
      <c r="HX5" s="21" t="e">
        <f>IF(VLOOKUP($B$2,DaysSince100!$H:$KU,'Projections Data'!HX$4+2,FALSE)=0,#N/A,VLOOKUP($B$2,DaysSince100!$H:$KU,'Projections Data'!HX$4+2,FALSE))</f>
        <v>#N/A</v>
      </c>
      <c r="HY5" s="21" t="e">
        <f>IF(VLOOKUP($B$2,DaysSince100!$H:$KU,'Projections Data'!HY$4+2,FALSE)=0,#N/A,VLOOKUP($B$2,DaysSince100!$H:$KU,'Projections Data'!HY$4+2,FALSE))</f>
        <v>#N/A</v>
      </c>
      <c r="HZ5" s="21" t="e">
        <f>IF(VLOOKUP($B$2,DaysSince100!$H:$KU,'Projections Data'!HZ$4+2,FALSE)=0,#N/A,VLOOKUP($B$2,DaysSince100!$H:$KU,'Projections Data'!HZ$4+2,FALSE))</f>
        <v>#N/A</v>
      </c>
      <c r="IA5" s="21" t="e">
        <f>IF(VLOOKUP($B$2,DaysSince100!$H:$KU,'Projections Data'!IA$4+2,FALSE)=0,#N/A,VLOOKUP($B$2,DaysSince100!$H:$KU,'Projections Data'!IA$4+2,FALSE))</f>
        <v>#N/A</v>
      </c>
      <c r="IB5" s="21" t="e">
        <f>IF(VLOOKUP($B$2,DaysSince100!$H:$KU,'Projections Data'!IB$4+2,FALSE)=0,#N/A,VLOOKUP($B$2,DaysSince100!$H:$KU,'Projections Data'!IB$4+2,FALSE))</f>
        <v>#N/A</v>
      </c>
      <c r="IC5" s="21" t="e">
        <f>IF(VLOOKUP($B$2,DaysSince100!$H:$KU,'Projections Data'!IC$4+2,FALSE)=0,#N/A,VLOOKUP($B$2,DaysSince100!$H:$KU,'Projections Data'!IC$4+2,FALSE))</f>
        <v>#N/A</v>
      </c>
      <c r="ID5" s="21" t="e">
        <f>IF(VLOOKUP($B$2,DaysSince100!$H:$KU,'Projections Data'!ID$4+2,FALSE)=0,#N/A,VLOOKUP($B$2,DaysSince100!$H:$KU,'Projections Data'!ID$4+2,FALSE))</f>
        <v>#N/A</v>
      </c>
      <c r="IE5" s="21" t="e">
        <f>IF(VLOOKUP($B$2,DaysSince100!$H:$KU,'Projections Data'!IE$4+2,FALSE)=0,#N/A,VLOOKUP($B$2,DaysSince100!$H:$KU,'Projections Data'!IE$4+2,FALSE))</f>
        <v>#N/A</v>
      </c>
      <c r="IF5" s="21" t="e">
        <f>IF(VLOOKUP($B$2,DaysSince100!$H:$KU,'Projections Data'!IF$4+2,FALSE)=0,#N/A,VLOOKUP($B$2,DaysSince100!$H:$KU,'Projections Data'!IF$4+2,FALSE))</f>
        <v>#N/A</v>
      </c>
      <c r="IG5" s="21" t="e">
        <f>IF(VLOOKUP($B$2,DaysSince100!$H:$KU,'Projections Data'!IG$4+2,FALSE)=0,#N/A,VLOOKUP($B$2,DaysSince100!$H:$KU,'Projections Data'!IG$4+2,FALSE))</f>
        <v>#N/A</v>
      </c>
      <c r="IH5" s="21" t="e">
        <f>IF(VLOOKUP($B$2,DaysSince100!$H:$KU,'Projections Data'!IH$4+2,FALSE)=0,#N/A,VLOOKUP($B$2,DaysSince100!$H:$KU,'Projections Data'!IH$4+2,FALSE))</f>
        <v>#N/A</v>
      </c>
      <c r="II5" s="21" t="e">
        <f>IF(VLOOKUP($B$2,DaysSince100!$H:$KU,'Projections Data'!II$4+2,FALSE)=0,#N/A,VLOOKUP($B$2,DaysSince100!$H:$KU,'Projections Data'!II$4+2,FALSE))</f>
        <v>#N/A</v>
      </c>
      <c r="IJ5" s="21" t="e">
        <f>IF(VLOOKUP($B$2,DaysSince100!$H:$KU,'Projections Data'!IJ$4+2,FALSE)=0,#N/A,VLOOKUP($B$2,DaysSince100!$H:$KU,'Projections Data'!IJ$4+2,FALSE))</f>
        <v>#N/A</v>
      </c>
      <c r="IK5" s="21" t="e">
        <f>IF(VLOOKUP($B$2,DaysSince100!$H:$KU,'Projections Data'!IK$4+2,FALSE)=0,#N/A,VLOOKUP($B$2,DaysSince100!$H:$KU,'Projections Data'!IK$4+2,FALSE))</f>
        <v>#N/A</v>
      </c>
      <c r="IL5" s="21" t="e">
        <f>IF(VLOOKUP($B$2,DaysSince100!$H:$KU,'Projections Data'!IL$4+2,FALSE)=0,#N/A,VLOOKUP($B$2,DaysSince100!$H:$KU,'Projections Data'!IL$4+2,FALSE))</f>
        <v>#N/A</v>
      </c>
      <c r="IM5" s="21" t="e">
        <f>IF(VLOOKUP($B$2,DaysSince100!$H:$KU,'Projections Data'!IM$4+2,FALSE)=0,#N/A,VLOOKUP($B$2,DaysSince100!$H:$KU,'Projections Data'!IM$4+2,FALSE))</f>
        <v>#N/A</v>
      </c>
      <c r="IN5" s="21" t="e">
        <f>IF(VLOOKUP($B$2,DaysSince100!$H:$KU,'Projections Data'!IN$4+2,FALSE)=0,#N/A,VLOOKUP($B$2,DaysSince100!$H:$KU,'Projections Data'!IN$4+2,FALSE))</f>
        <v>#N/A</v>
      </c>
    </row>
    <row r="6" spans="2:248" x14ac:dyDescent="0.3">
      <c r="B6" s="19" t="s">
        <v>638</v>
      </c>
      <c r="C6" s="21">
        <f>C4-C7-C8</f>
        <v>26062</v>
      </c>
      <c r="D6" s="19">
        <f>HLOOKUP(C5-1,G4:IN7,4,FALSE)</f>
        <v>27648</v>
      </c>
      <c r="F6" s="19" t="str">
        <f>"Current Avg ("&amp;TEXT(C11,"0%")&amp;")"</f>
        <v>Current Avg (18%)</v>
      </c>
      <c r="G6" s="21">
        <f t="shared" ref="G6:BR6" si="13">IF(IF(AND(ISNA(G$5),ISNA(F$5)),F6*(1+$C$11),IF(AND(F$5&gt;0,ISNA(G$5)),F6*(1+$C$11),G$5))&gt;$C$20,$C$20,IF(AND(ISNA(G$5),ISNA(F$5)),F6*(1+$C$11),IF(AND(F$5&gt;0,ISNA(G$5)),F6*(1+$C$11),G$5)))</f>
        <v>155</v>
      </c>
      <c r="H6" s="21">
        <f t="shared" si="13"/>
        <v>229</v>
      </c>
      <c r="I6" s="21">
        <f t="shared" si="13"/>
        <v>322</v>
      </c>
      <c r="J6" s="21">
        <f t="shared" si="13"/>
        <v>453</v>
      </c>
      <c r="K6" s="21">
        <f t="shared" si="13"/>
        <v>655</v>
      </c>
      <c r="L6" s="21">
        <f t="shared" si="13"/>
        <v>888</v>
      </c>
      <c r="M6" s="21">
        <f t="shared" si="13"/>
        <v>1128</v>
      </c>
      <c r="N6" s="21">
        <f t="shared" si="13"/>
        <v>1694</v>
      </c>
      <c r="O6" s="21">
        <f t="shared" si="13"/>
        <v>2036</v>
      </c>
      <c r="P6" s="21">
        <f t="shared" si="13"/>
        <v>2502</v>
      </c>
      <c r="Q6" s="21">
        <f t="shared" si="13"/>
        <v>3089</v>
      </c>
      <c r="R6" s="21">
        <f t="shared" si="13"/>
        <v>3858</v>
      </c>
      <c r="S6" s="21">
        <f t="shared" si="13"/>
        <v>4636</v>
      </c>
      <c r="T6" s="21">
        <f t="shared" si="13"/>
        <v>5883</v>
      </c>
      <c r="U6" s="21">
        <f t="shared" si="13"/>
        <v>7375</v>
      </c>
      <c r="V6" s="21">
        <f t="shared" si="13"/>
        <v>9172</v>
      </c>
      <c r="W6" s="21">
        <f t="shared" si="13"/>
        <v>10149</v>
      </c>
      <c r="X6" s="21">
        <f t="shared" si="13"/>
        <v>12462</v>
      </c>
      <c r="Y6" s="21">
        <f t="shared" si="13"/>
        <v>14000</v>
      </c>
      <c r="Z6" s="21">
        <f t="shared" si="13"/>
        <v>17660</v>
      </c>
      <c r="AA6" s="21">
        <f t="shared" si="13"/>
        <v>21157</v>
      </c>
      <c r="AB6" s="21">
        <f t="shared" si="13"/>
        <v>24747</v>
      </c>
      <c r="AC6" s="21">
        <f t="shared" si="13"/>
        <v>27980</v>
      </c>
      <c r="AD6" s="21">
        <f t="shared" si="13"/>
        <v>31506</v>
      </c>
      <c r="AE6" s="21">
        <f t="shared" si="13"/>
        <v>37054.957139772043</v>
      </c>
      <c r="AF6" s="21">
        <f t="shared" si="13"/>
        <v>43581.217819791244</v>
      </c>
      <c r="AG6" s="21">
        <f t="shared" si="13"/>
        <v>51256.908474939184</v>
      </c>
      <c r="AH6" s="21">
        <f t="shared" si="13"/>
        <v>60284.471105697005</v>
      </c>
      <c r="AI6" s="21">
        <f t="shared" si="13"/>
        <v>70902.002571428573</v>
      </c>
      <c r="AJ6" s="21">
        <f t="shared" si="13"/>
        <v>83389.534260404136</v>
      </c>
      <c r="AK6" s="21">
        <f t="shared" si="13"/>
        <v>98076.417759310207</v>
      </c>
      <c r="AL6" s="21">
        <f t="shared" si="13"/>
        <v>115350.01131510243</v>
      </c>
      <c r="AM6" s="21">
        <f t="shared" si="13"/>
        <v>135665.89618972069</v>
      </c>
      <c r="AN6" s="21">
        <f t="shared" si="13"/>
        <v>159559.89235824489</v>
      </c>
      <c r="AO6" s="21">
        <f t="shared" si="13"/>
        <v>187662.19045773518</v>
      </c>
      <c r="AP6" s="21">
        <f t="shared" si="13"/>
        <v>220713.97270891623</v>
      </c>
      <c r="AQ6" s="21">
        <f t="shared" si="13"/>
        <v>259586.96117811548</v>
      </c>
      <c r="AR6" s="21">
        <f t="shared" si="13"/>
        <v>305306.40895380999</v>
      </c>
      <c r="AS6" s="21">
        <f t="shared" si="13"/>
        <v>359078.14061706164</v>
      </c>
      <c r="AT6" s="21">
        <f t="shared" si="13"/>
        <v>422320.35518295743</v>
      </c>
      <c r="AU6" s="21">
        <f t="shared" si="13"/>
        <v>496701.03029765101</v>
      </c>
      <c r="AV6" s="21">
        <f t="shared" si="13"/>
        <v>584181.91420555045</v>
      </c>
      <c r="AW6" s="21">
        <f t="shared" si="13"/>
        <v>687070.2657499098</v>
      </c>
      <c r="AX6" s="21">
        <f t="shared" si="13"/>
        <v>808079.7070200817</v>
      </c>
      <c r="AY6" s="21">
        <f t="shared" si="13"/>
        <v>950401.79359958973</v>
      </c>
      <c r="AZ6" s="21">
        <f t="shared" si="13"/>
        <v>1117790.1900398422</v>
      </c>
      <c r="BA6" s="21">
        <f t="shared" si="13"/>
        <v>1314659.6706400048</v>
      </c>
      <c r="BB6" s="21">
        <f t="shared" si="13"/>
        <v>1546202.5566226181</v>
      </c>
      <c r="BC6" s="21">
        <f t="shared" si="13"/>
        <v>1818525.6606696206</v>
      </c>
      <c r="BD6" s="21">
        <f t="shared" si="13"/>
        <v>2138811.3506534765</v>
      </c>
      <c r="BE6" s="21">
        <f t="shared" si="13"/>
        <v>2515506.9805282336</v>
      </c>
      <c r="BF6" s="21">
        <f t="shared" si="13"/>
        <v>2958547.6845131428</v>
      </c>
      <c r="BG6" s="21">
        <f t="shared" si="13"/>
        <v>3479618.4106394439</v>
      </c>
      <c r="BH6" s="21">
        <f t="shared" si="13"/>
        <v>4092462.1046469337</v>
      </c>
      <c r="BI6" s="21">
        <f t="shared" si="13"/>
        <v>4813242.1724063167</v>
      </c>
      <c r="BJ6" s="21">
        <f t="shared" si="13"/>
        <v>5660968.7806087518</v>
      </c>
      <c r="BK6" s="21">
        <f t="shared" si="13"/>
        <v>6658000.2391622197</v>
      </c>
      <c r="BL6" s="21">
        <f t="shared" si="13"/>
        <v>7830632.6889718799</v>
      </c>
      <c r="BM6" s="21">
        <f t="shared" si="13"/>
        <v>9209793.6477861647</v>
      </c>
      <c r="BN6" s="21">
        <f t="shared" si="13"/>
        <v>10831857.705988102</v>
      </c>
      <c r="BO6" s="21">
        <f t="shared" si="13"/>
        <v>12739605.885847095</v>
      </c>
      <c r="BP6" s="21">
        <f t="shared" si="13"/>
        <v>14983353.966788922</v>
      </c>
      <c r="BQ6" s="21">
        <f t="shared" si="13"/>
        <v>17622279.535624862</v>
      </c>
      <c r="BR6" s="21">
        <f t="shared" si="13"/>
        <v>20725982.761939351</v>
      </c>
      <c r="BS6" s="21">
        <f t="shared" ref="BS6:ED6" si="14">IF(IF(AND(ISNA(BS$5),ISNA(BR$5)),BR6*(1+$C$11),IF(AND(BR$5&gt;0,ISNA(BS$5)),BR6*(1+$C$11),BS$5))&gt;$C$20,$C$20,IF(AND(ISNA(BS$5),ISNA(BR$5)),BR6*(1+$C$11),IF(AND(BR$5&gt;0,ISNA(BS$5)),BR6*(1+$C$11),BS$5)))</f>
        <v>24184730.400000002</v>
      </c>
      <c r="BT6" s="21">
        <f t="shared" si="14"/>
        <v>24184730.400000002</v>
      </c>
      <c r="BU6" s="21">
        <f t="shared" si="14"/>
        <v>24184730.400000002</v>
      </c>
      <c r="BV6" s="21">
        <f t="shared" si="14"/>
        <v>24184730.400000002</v>
      </c>
      <c r="BW6" s="21">
        <f t="shared" si="14"/>
        <v>24184730.400000002</v>
      </c>
      <c r="BX6" s="21">
        <f t="shared" si="14"/>
        <v>24184730.400000002</v>
      </c>
      <c r="BY6" s="21">
        <f t="shared" si="14"/>
        <v>24184730.400000002</v>
      </c>
      <c r="BZ6" s="21">
        <f t="shared" si="14"/>
        <v>24184730.400000002</v>
      </c>
      <c r="CA6" s="21">
        <f t="shared" si="14"/>
        <v>24184730.400000002</v>
      </c>
      <c r="CB6" s="21">
        <f t="shared" si="14"/>
        <v>24184730.400000002</v>
      </c>
      <c r="CC6" s="21">
        <f t="shared" si="14"/>
        <v>24184730.400000002</v>
      </c>
      <c r="CD6" s="21">
        <f t="shared" si="14"/>
        <v>24184730.400000002</v>
      </c>
      <c r="CE6" s="21">
        <f t="shared" si="14"/>
        <v>24184730.400000002</v>
      </c>
      <c r="CF6" s="21">
        <f t="shared" si="14"/>
        <v>24184730.400000002</v>
      </c>
      <c r="CG6" s="21">
        <f t="shared" si="14"/>
        <v>24184730.400000002</v>
      </c>
      <c r="CH6" s="21">
        <f t="shared" si="14"/>
        <v>24184730.400000002</v>
      </c>
      <c r="CI6" s="21">
        <f t="shared" si="14"/>
        <v>24184730.400000002</v>
      </c>
      <c r="CJ6" s="21">
        <f t="shared" si="14"/>
        <v>24184730.400000002</v>
      </c>
      <c r="CK6" s="21">
        <f t="shared" si="14"/>
        <v>24184730.400000002</v>
      </c>
      <c r="CL6" s="21">
        <f t="shared" si="14"/>
        <v>24184730.400000002</v>
      </c>
      <c r="CM6" s="21">
        <f t="shared" si="14"/>
        <v>24184730.400000002</v>
      </c>
      <c r="CN6" s="21">
        <f t="shared" si="14"/>
        <v>24184730.400000002</v>
      </c>
      <c r="CO6" s="21">
        <f t="shared" si="14"/>
        <v>24184730.400000002</v>
      </c>
      <c r="CP6" s="21">
        <f t="shared" si="14"/>
        <v>24184730.400000002</v>
      </c>
      <c r="CQ6" s="21">
        <f t="shared" si="14"/>
        <v>24184730.400000002</v>
      </c>
      <c r="CR6" s="21">
        <f t="shared" si="14"/>
        <v>24184730.400000002</v>
      </c>
      <c r="CS6" s="21">
        <f t="shared" si="14"/>
        <v>24184730.400000002</v>
      </c>
      <c r="CT6" s="21">
        <f t="shared" si="14"/>
        <v>24184730.400000002</v>
      </c>
      <c r="CU6" s="21">
        <f t="shared" si="14"/>
        <v>24184730.400000002</v>
      </c>
      <c r="CV6" s="21">
        <f t="shared" si="14"/>
        <v>24184730.400000002</v>
      </c>
      <c r="CW6" s="21">
        <f t="shared" si="14"/>
        <v>24184730.400000002</v>
      </c>
      <c r="CX6" s="21">
        <f t="shared" si="14"/>
        <v>24184730.400000002</v>
      </c>
      <c r="CY6" s="21">
        <f t="shared" si="14"/>
        <v>24184730.400000002</v>
      </c>
      <c r="CZ6" s="21">
        <f t="shared" si="14"/>
        <v>24184730.400000002</v>
      </c>
      <c r="DA6" s="21">
        <f t="shared" si="14"/>
        <v>24184730.400000002</v>
      </c>
      <c r="DB6" s="21">
        <f t="shared" si="14"/>
        <v>24184730.400000002</v>
      </c>
      <c r="DC6" s="21">
        <f t="shared" si="14"/>
        <v>24184730.400000002</v>
      </c>
      <c r="DD6" s="21">
        <f t="shared" si="14"/>
        <v>24184730.400000002</v>
      </c>
      <c r="DE6" s="21">
        <f t="shared" si="14"/>
        <v>24184730.400000002</v>
      </c>
      <c r="DF6" s="21">
        <f t="shared" si="14"/>
        <v>24184730.400000002</v>
      </c>
      <c r="DG6" s="21">
        <f t="shared" si="14"/>
        <v>24184730.400000002</v>
      </c>
      <c r="DH6" s="21">
        <f t="shared" si="14"/>
        <v>24184730.400000002</v>
      </c>
      <c r="DI6" s="21">
        <f t="shared" si="14"/>
        <v>24184730.400000002</v>
      </c>
      <c r="DJ6" s="21">
        <f t="shared" si="14"/>
        <v>24184730.400000002</v>
      </c>
      <c r="DK6" s="21">
        <f t="shared" si="14"/>
        <v>24184730.400000002</v>
      </c>
      <c r="DL6" s="21">
        <f t="shared" si="14"/>
        <v>24184730.400000002</v>
      </c>
      <c r="DM6" s="21">
        <f t="shared" si="14"/>
        <v>24184730.400000002</v>
      </c>
      <c r="DN6" s="21">
        <f t="shared" si="14"/>
        <v>24184730.400000002</v>
      </c>
      <c r="DO6" s="21">
        <f t="shared" si="14"/>
        <v>24184730.400000002</v>
      </c>
      <c r="DP6" s="21">
        <f t="shared" si="14"/>
        <v>24184730.400000002</v>
      </c>
      <c r="DQ6" s="21">
        <f t="shared" si="14"/>
        <v>24184730.400000002</v>
      </c>
      <c r="DR6" s="21">
        <f t="shared" si="14"/>
        <v>24184730.400000002</v>
      </c>
      <c r="DS6" s="21">
        <f t="shared" si="14"/>
        <v>24184730.400000002</v>
      </c>
      <c r="DT6" s="21">
        <f t="shared" si="14"/>
        <v>24184730.400000002</v>
      </c>
      <c r="DU6" s="21">
        <f t="shared" si="14"/>
        <v>24184730.400000002</v>
      </c>
      <c r="DV6" s="21">
        <f t="shared" si="14"/>
        <v>24184730.400000002</v>
      </c>
      <c r="DW6" s="21">
        <f t="shared" si="14"/>
        <v>24184730.400000002</v>
      </c>
      <c r="DX6" s="21">
        <f t="shared" si="14"/>
        <v>24184730.400000002</v>
      </c>
      <c r="DY6" s="21">
        <f t="shared" si="14"/>
        <v>24184730.400000002</v>
      </c>
      <c r="DZ6" s="21">
        <f t="shared" si="14"/>
        <v>24184730.400000002</v>
      </c>
      <c r="EA6" s="21">
        <f t="shared" si="14"/>
        <v>24184730.400000002</v>
      </c>
      <c r="EB6" s="21">
        <f t="shared" si="14"/>
        <v>24184730.400000002</v>
      </c>
      <c r="EC6" s="21">
        <f t="shared" si="14"/>
        <v>24184730.400000002</v>
      </c>
      <c r="ED6" s="21">
        <f t="shared" si="14"/>
        <v>24184730.400000002</v>
      </c>
      <c r="EE6" s="21">
        <f t="shared" ref="EE6:GP6" si="15">IF(IF(AND(ISNA(EE$5),ISNA(ED$5)),ED6*(1+$C$11),IF(AND(ED$5&gt;0,ISNA(EE$5)),ED6*(1+$C$11),EE$5))&gt;$C$20,$C$20,IF(AND(ISNA(EE$5),ISNA(ED$5)),ED6*(1+$C$11),IF(AND(ED$5&gt;0,ISNA(EE$5)),ED6*(1+$C$11),EE$5)))</f>
        <v>24184730.400000002</v>
      </c>
      <c r="EF6" s="21">
        <f t="shared" si="15"/>
        <v>24184730.400000002</v>
      </c>
      <c r="EG6" s="21">
        <f t="shared" si="15"/>
        <v>24184730.400000002</v>
      </c>
      <c r="EH6" s="21">
        <f t="shared" si="15"/>
        <v>24184730.400000002</v>
      </c>
      <c r="EI6" s="21">
        <f t="shared" si="15"/>
        <v>24184730.400000002</v>
      </c>
      <c r="EJ6" s="21">
        <f t="shared" si="15"/>
        <v>24184730.400000002</v>
      </c>
      <c r="EK6" s="21">
        <f t="shared" si="15"/>
        <v>24184730.400000002</v>
      </c>
      <c r="EL6" s="21">
        <f t="shared" si="15"/>
        <v>24184730.400000002</v>
      </c>
      <c r="EM6" s="21">
        <f t="shared" si="15"/>
        <v>24184730.400000002</v>
      </c>
      <c r="EN6" s="21">
        <f t="shared" si="15"/>
        <v>24184730.400000002</v>
      </c>
      <c r="EO6" s="21">
        <f t="shared" si="15"/>
        <v>24184730.400000002</v>
      </c>
      <c r="EP6" s="21">
        <f t="shared" si="15"/>
        <v>24184730.400000002</v>
      </c>
      <c r="EQ6" s="21">
        <f t="shared" si="15"/>
        <v>24184730.400000002</v>
      </c>
      <c r="ER6" s="21">
        <f t="shared" si="15"/>
        <v>24184730.400000002</v>
      </c>
      <c r="ES6" s="21">
        <f t="shared" si="15"/>
        <v>24184730.400000002</v>
      </c>
      <c r="ET6" s="21">
        <f t="shared" si="15"/>
        <v>24184730.400000002</v>
      </c>
      <c r="EU6" s="21">
        <f t="shared" si="15"/>
        <v>24184730.400000002</v>
      </c>
      <c r="EV6" s="21">
        <f t="shared" si="15"/>
        <v>24184730.400000002</v>
      </c>
      <c r="EW6" s="21">
        <f t="shared" si="15"/>
        <v>24184730.400000002</v>
      </c>
      <c r="EX6" s="21">
        <f t="shared" si="15"/>
        <v>24184730.400000002</v>
      </c>
      <c r="EY6" s="21">
        <f t="shared" si="15"/>
        <v>24184730.400000002</v>
      </c>
      <c r="EZ6" s="21">
        <f t="shared" si="15"/>
        <v>24184730.400000002</v>
      </c>
      <c r="FA6" s="21">
        <f t="shared" si="15"/>
        <v>24184730.400000002</v>
      </c>
      <c r="FB6" s="21">
        <f t="shared" si="15"/>
        <v>24184730.400000002</v>
      </c>
      <c r="FC6" s="21">
        <f t="shared" si="15"/>
        <v>24184730.400000002</v>
      </c>
      <c r="FD6" s="21">
        <f t="shared" si="15"/>
        <v>24184730.400000002</v>
      </c>
      <c r="FE6" s="21">
        <f t="shared" si="15"/>
        <v>24184730.400000002</v>
      </c>
      <c r="FF6" s="21">
        <f t="shared" si="15"/>
        <v>24184730.400000002</v>
      </c>
      <c r="FG6" s="21">
        <f t="shared" si="15"/>
        <v>24184730.400000002</v>
      </c>
      <c r="FH6" s="21">
        <f t="shared" si="15"/>
        <v>24184730.400000002</v>
      </c>
      <c r="FI6" s="21">
        <f t="shared" si="15"/>
        <v>24184730.400000002</v>
      </c>
      <c r="FJ6" s="21">
        <f t="shared" si="15"/>
        <v>24184730.400000002</v>
      </c>
      <c r="FK6" s="21">
        <f t="shared" si="15"/>
        <v>24184730.400000002</v>
      </c>
      <c r="FL6" s="21">
        <f t="shared" si="15"/>
        <v>24184730.400000002</v>
      </c>
      <c r="FM6" s="21">
        <f t="shared" si="15"/>
        <v>24184730.400000002</v>
      </c>
      <c r="FN6" s="21">
        <f t="shared" si="15"/>
        <v>24184730.400000002</v>
      </c>
      <c r="FO6" s="21">
        <f t="shared" si="15"/>
        <v>24184730.400000002</v>
      </c>
      <c r="FP6" s="21">
        <f t="shared" si="15"/>
        <v>24184730.400000002</v>
      </c>
      <c r="FQ6" s="21">
        <f t="shared" si="15"/>
        <v>24184730.400000002</v>
      </c>
      <c r="FR6" s="21">
        <f t="shared" si="15"/>
        <v>24184730.400000002</v>
      </c>
      <c r="FS6" s="21">
        <f t="shared" si="15"/>
        <v>24184730.400000002</v>
      </c>
      <c r="FT6" s="21">
        <f t="shared" si="15"/>
        <v>24184730.400000002</v>
      </c>
      <c r="FU6" s="21">
        <f t="shared" si="15"/>
        <v>24184730.400000002</v>
      </c>
      <c r="FV6" s="21">
        <f t="shared" si="15"/>
        <v>24184730.400000002</v>
      </c>
      <c r="FW6" s="21">
        <f t="shared" si="15"/>
        <v>24184730.400000002</v>
      </c>
      <c r="FX6" s="21">
        <f t="shared" si="15"/>
        <v>24184730.400000002</v>
      </c>
      <c r="FY6" s="21">
        <f t="shared" si="15"/>
        <v>24184730.400000002</v>
      </c>
      <c r="FZ6" s="21">
        <f t="shared" si="15"/>
        <v>24184730.400000002</v>
      </c>
      <c r="GA6" s="21">
        <f t="shared" si="15"/>
        <v>24184730.400000002</v>
      </c>
      <c r="GB6" s="21">
        <f t="shared" si="15"/>
        <v>24184730.400000002</v>
      </c>
      <c r="GC6" s="21">
        <f t="shared" si="15"/>
        <v>24184730.400000002</v>
      </c>
      <c r="GD6" s="21">
        <f t="shared" si="15"/>
        <v>24184730.400000002</v>
      </c>
      <c r="GE6" s="21">
        <f t="shared" si="15"/>
        <v>24184730.400000002</v>
      </c>
      <c r="GF6" s="21">
        <f t="shared" si="15"/>
        <v>24184730.400000002</v>
      </c>
      <c r="GG6" s="21">
        <f t="shared" si="15"/>
        <v>24184730.400000002</v>
      </c>
      <c r="GH6" s="21">
        <f t="shared" si="15"/>
        <v>24184730.400000002</v>
      </c>
      <c r="GI6" s="21">
        <f t="shared" si="15"/>
        <v>24184730.400000002</v>
      </c>
      <c r="GJ6" s="21">
        <f t="shared" si="15"/>
        <v>24184730.400000002</v>
      </c>
      <c r="GK6" s="21">
        <f t="shared" si="15"/>
        <v>24184730.400000002</v>
      </c>
      <c r="GL6" s="21">
        <f t="shared" si="15"/>
        <v>24184730.400000002</v>
      </c>
      <c r="GM6" s="21">
        <f t="shared" si="15"/>
        <v>24184730.400000002</v>
      </c>
      <c r="GN6" s="21">
        <f t="shared" si="15"/>
        <v>24184730.400000002</v>
      </c>
      <c r="GO6" s="21">
        <f t="shared" si="15"/>
        <v>24184730.400000002</v>
      </c>
      <c r="GP6" s="21">
        <f t="shared" si="15"/>
        <v>24184730.400000002</v>
      </c>
      <c r="GQ6" s="21">
        <f t="shared" ref="GQ6:IN6" si="16">IF(IF(AND(ISNA(GQ$5),ISNA(GP$5)),GP6*(1+$C$11),IF(AND(GP$5&gt;0,ISNA(GQ$5)),GP6*(1+$C$11),GQ$5))&gt;$C$20,$C$20,IF(AND(ISNA(GQ$5),ISNA(GP$5)),GP6*(1+$C$11),IF(AND(GP$5&gt;0,ISNA(GQ$5)),GP6*(1+$C$11),GQ$5)))</f>
        <v>24184730.400000002</v>
      </c>
      <c r="GR6" s="21">
        <f t="shared" si="16"/>
        <v>24184730.400000002</v>
      </c>
      <c r="GS6" s="21">
        <f t="shared" si="16"/>
        <v>24184730.400000002</v>
      </c>
      <c r="GT6" s="21">
        <f t="shared" si="16"/>
        <v>24184730.400000002</v>
      </c>
      <c r="GU6" s="21">
        <f t="shared" si="16"/>
        <v>24184730.400000002</v>
      </c>
      <c r="GV6" s="21">
        <f t="shared" si="16"/>
        <v>24184730.400000002</v>
      </c>
      <c r="GW6" s="21">
        <f t="shared" si="16"/>
        <v>24184730.400000002</v>
      </c>
      <c r="GX6" s="21">
        <f t="shared" si="16"/>
        <v>24184730.400000002</v>
      </c>
      <c r="GY6" s="21">
        <f t="shared" si="16"/>
        <v>24184730.400000002</v>
      </c>
      <c r="GZ6" s="21">
        <f t="shared" si="16"/>
        <v>24184730.400000002</v>
      </c>
      <c r="HA6" s="21">
        <f t="shared" si="16"/>
        <v>24184730.400000002</v>
      </c>
      <c r="HB6" s="21">
        <f t="shared" si="16"/>
        <v>24184730.400000002</v>
      </c>
      <c r="HC6" s="21">
        <f t="shared" si="16"/>
        <v>24184730.400000002</v>
      </c>
      <c r="HD6" s="21">
        <f t="shared" si="16"/>
        <v>24184730.400000002</v>
      </c>
      <c r="HE6" s="21">
        <f t="shared" si="16"/>
        <v>24184730.400000002</v>
      </c>
      <c r="HF6" s="21">
        <f t="shared" si="16"/>
        <v>24184730.400000002</v>
      </c>
      <c r="HG6" s="21">
        <f t="shared" si="16"/>
        <v>24184730.400000002</v>
      </c>
      <c r="HH6" s="21">
        <f t="shared" si="16"/>
        <v>24184730.400000002</v>
      </c>
      <c r="HI6" s="21">
        <f t="shared" si="16"/>
        <v>24184730.400000002</v>
      </c>
      <c r="HJ6" s="21">
        <f t="shared" si="16"/>
        <v>24184730.400000002</v>
      </c>
      <c r="HK6" s="21">
        <f t="shared" si="16"/>
        <v>24184730.400000002</v>
      </c>
      <c r="HL6" s="21">
        <f t="shared" si="16"/>
        <v>24184730.400000002</v>
      </c>
      <c r="HM6" s="21">
        <f t="shared" si="16"/>
        <v>24184730.400000002</v>
      </c>
      <c r="HN6" s="21">
        <f t="shared" si="16"/>
        <v>24184730.400000002</v>
      </c>
      <c r="HO6" s="21">
        <f t="shared" si="16"/>
        <v>24184730.400000002</v>
      </c>
      <c r="HP6" s="21">
        <f t="shared" si="16"/>
        <v>24184730.400000002</v>
      </c>
      <c r="HQ6" s="21">
        <f t="shared" si="16"/>
        <v>24184730.400000002</v>
      </c>
      <c r="HR6" s="21">
        <f t="shared" si="16"/>
        <v>24184730.400000002</v>
      </c>
      <c r="HS6" s="21">
        <f t="shared" si="16"/>
        <v>24184730.400000002</v>
      </c>
      <c r="HT6" s="21">
        <f t="shared" si="16"/>
        <v>24184730.400000002</v>
      </c>
      <c r="HU6" s="21">
        <f t="shared" si="16"/>
        <v>24184730.400000002</v>
      </c>
      <c r="HV6" s="21">
        <f t="shared" si="16"/>
        <v>24184730.400000002</v>
      </c>
      <c r="HW6" s="21">
        <f t="shared" si="16"/>
        <v>24184730.400000002</v>
      </c>
      <c r="HX6" s="21">
        <f t="shared" si="16"/>
        <v>24184730.400000002</v>
      </c>
      <c r="HY6" s="21">
        <f t="shared" si="16"/>
        <v>24184730.400000002</v>
      </c>
      <c r="HZ6" s="21">
        <f t="shared" si="16"/>
        <v>24184730.400000002</v>
      </c>
      <c r="IA6" s="21">
        <f t="shared" si="16"/>
        <v>24184730.400000002</v>
      </c>
      <c r="IB6" s="21">
        <f t="shared" si="16"/>
        <v>24184730.400000002</v>
      </c>
      <c r="IC6" s="21">
        <f t="shared" si="16"/>
        <v>24184730.400000002</v>
      </c>
      <c r="ID6" s="21">
        <f t="shared" si="16"/>
        <v>24184730.400000002</v>
      </c>
      <c r="IE6" s="21">
        <f t="shared" si="16"/>
        <v>24184730.400000002</v>
      </c>
      <c r="IF6" s="21">
        <f t="shared" si="16"/>
        <v>24184730.400000002</v>
      </c>
      <c r="IG6" s="21">
        <f t="shared" si="16"/>
        <v>24184730.400000002</v>
      </c>
      <c r="IH6" s="21">
        <f t="shared" si="16"/>
        <v>24184730.400000002</v>
      </c>
      <c r="II6" s="21">
        <f t="shared" si="16"/>
        <v>24184730.400000002</v>
      </c>
      <c r="IJ6" s="21">
        <f t="shared" si="16"/>
        <v>24184730.400000002</v>
      </c>
      <c r="IK6" s="21">
        <f t="shared" si="16"/>
        <v>24184730.400000002</v>
      </c>
      <c r="IL6" s="21">
        <f t="shared" si="16"/>
        <v>24184730.400000002</v>
      </c>
      <c r="IM6" s="21">
        <f t="shared" si="16"/>
        <v>24184730.400000002</v>
      </c>
      <c r="IN6" s="21">
        <f t="shared" si="16"/>
        <v>24184730.400000002</v>
      </c>
    </row>
    <row r="7" spans="2:248" x14ac:dyDescent="0.3">
      <c r="B7" s="19" t="s">
        <v>640</v>
      </c>
      <c r="C7" s="21">
        <f>VLOOKUP(B2,'Country Summary'!C:G,5,FALSE)</f>
        <v>2941</v>
      </c>
      <c r="F7" s="19" t="s">
        <v>612</v>
      </c>
      <c r="G7" s="21">
        <f t="shared" ref="G7:R7" si="17">G6</f>
        <v>155</v>
      </c>
      <c r="H7" s="21">
        <f t="shared" si="17"/>
        <v>229</v>
      </c>
      <c r="I7" s="21">
        <f t="shared" si="17"/>
        <v>322</v>
      </c>
      <c r="J7" s="21">
        <f t="shared" si="17"/>
        <v>453</v>
      </c>
      <c r="K7" s="21">
        <f t="shared" si="17"/>
        <v>655</v>
      </c>
      <c r="L7" s="21">
        <f t="shared" si="17"/>
        <v>888</v>
      </c>
      <c r="M7" s="21">
        <f t="shared" si="17"/>
        <v>1128</v>
      </c>
      <c r="N7" s="21">
        <f t="shared" si="17"/>
        <v>1694</v>
      </c>
      <c r="O7" s="21">
        <f t="shared" si="17"/>
        <v>2036</v>
      </c>
      <c r="P7" s="21">
        <f t="shared" si="17"/>
        <v>2502</v>
      </c>
      <c r="Q7" s="21">
        <f t="shared" si="17"/>
        <v>3089</v>
      </c>
      <c r="R7" s="21">
        <f t="shared" si="17"/>
        <v>3858</v>
      </c>
      <c r="S7" s="21">
        <f>S6-G6</f>
        <v>4481</v>
      </c>
      <c r="T7" s="21">
        <f t="shared" ref="T7:CE7" si="18">T6-H6</f>
        <v>5654</v>
      </c>
      <c r="U7" s="21">
        <f t="shared" si="18"/>
        <v>7053</v>
      </c>
      <c r="V7" s="21">
        <f t="shared" si="18"/>
        <v>8719</v>
      </c>
      <c r="W7" s="21">
        <f t="shared" si="18"/>
        <v>9494</v>
      </c>
      <c r="X7" s="21">
        <f t="shared" si="18"/>
        <v>11574</v>
      </c>
      <c r="Y7" s="21">
        <f t="shared" si="18"/>
        <v>12872</v>
      </c>
      <c r="Z7" s="21">
        <f t="shared" si="18"/>
        <v>15966</v>
      </c>
      <c r="AA7" s="21">
        <f t="shared" si="18"/>
        <v>19121</v>
      </c>
      <c r="AB7" s="21">
        <f t="shared" si="18"/>
        <v>22245</v>
      </c>
      <c r="AC7" s="21">
        <f t="shared" si="18"/>
        <v>24891</v>
      </c>
      <c r="AD7" s="21">
        <f t="shared" si="18"/>
        <v>27648</v>
      </c>
      <c r="AE7" s="21">
        <f t="shared" si="18"/>
        <v>32418.957139772043</v>
      </c>
      <c r="AF7" s="21">
        <f t="shared" si="18"/>
        <v>37698.217819791244</v>
      </c>
      <c r="AG7" s="21">
        <f t="shared" si="18"/>
        <v>43881.908474939184</v>
      </c>
      <c r="AH7" s="21">
        <f t="shared" si="18"/>
        <v>51112.471105697005</v>
      </c>
      <c r="AI7" s="21">
        <f t="shared" si="18"/>
        <v>60753.002571428573</v>
      </c>
      <c r="AJ7" s="21">
        <f t="shared" si="18"/>
        <v>70927.534260404136</v>
      </c>
      <c r="AK7" s="21">
        <f t="shared" si="18"/>
        <v>84076.417759310207</v>
      </c>
      <c r="AL7" s="21">
        <f t="shared" si="18"/>
        <v>97690.011315102427</v>
      </c>
      <c r="AM7" s="21">
        <f t="shared" si="18"/>
        <v>114508.89618972069</v>
      </c>
      <c r="AN7" s="21">
        <f t="shared" si="18"/>
        <v>134812.89235824489</v>
      </c>
      <c r="AO7" s="21">
        <f t="shared" si="18"/>
        <v>159682.19045773518</v>
      </c>
      <c r="AP7" s="21">
        <f t="shared" si="18"/>
        <v>189207.97270891623</v>
      </c>
      <c r="AQ7" s="21">
        <f t="shared" si="18"/>
        <v>222532.00403834344</v>
      </c>
      <c r="AR7" s="21">
        <f t="shared" si="18"/>
        <v>261725.19113401877</v>
      </c>
      <c r="AS7" s="21">
        <f t="shared" si="18"/>
        <v>307821.23214212246</v>
      </c>
      <c r="AT7" s="21">
        <f t="shared" si="18"/>
        <v>362035.88407726045</v>
      </c>
      <c r="AU7" s="21">
        <f t="shared" si="18"/>
        <v>425799.02772622241</v>
      </c>
      <c r="AV7" s="21">
        <f t="shared" si="18"/>
        <v>500792.37994514633</v>
      </c>
      <c r="AW7" s="21">
        <f t="shared" si="18"/>
        <v>588993.84799059958</v>
      </c>
      <c r="AX7" s="21">
        <f t="shared" si="18"/>
        <v>692729.69570497924</v>
      </c>
      <c r="AY7" s="21">
        <f t="shared" si="18"/>
        <v>814735.89740986901</v>
      </c>
      <c r="AZ7" s="21">
        <f t="shared" si="18"/>
        <v>958230.29768159729</v>
      </c>
      <c r="BA7" s="21">
        <f t="shared" si="18"/>
        <v>1126997.4801822696</v>
      </c>
      <c r="BB7" s="21">
        <f t="shared" si="18"/>
        <v>1325488.5839137018</v>
      </c>
      <c r="BC7" s="21">
        <f t="shared" si="18"/>
        <v>1558938.699491505</v>
      </c>
      <c r="BD7" s="21">
        <f t="shared" si="18"/>
        <v>1833504.9416996664</v>
      </c>
      <c r="BE7" s="21">
        <f t="shared" si="18"/>
        <v>2156428.8399111722</v>
      </c>
      <c r="BF7" s="21">
        <f t="shared" si="18"/>
        <v>2536227.3293301854</v>
      </c>
      <c r="BG7" s="21">
        <f t="shared" si="18"/>
        <v>2982917.3803417929</v>
      </c>
      <c r="BH7" s="21">
        <f t="shared" si="18"/>
        <v>3508280.190441383</v>
      </c>
      <c r="BI7" s="21">
        <f t="shared" si="18"/>
        <v>4126171.9066564068</v>
      </c>
      <c r="BJ7" s="21">
        <f t="shared" si="18"/>
        <v>4852889.0735886702</v>
      </c>
      <c r="BK7" s="21">
        <f t="shared" si="18"/>
        <v>5707598.44556263</v>
      </c>
      <c r="BL7" s="21">
        <f t="shared" si="18"/>
        <v>6712842.4989320375</v>
      </c>
      <c r="BM7" s="21">
        <f t="shared" si="18"/>
        <v>7895133.9771461599</v>
      </c>
      <c r="BN7" s="21">
        <f t="shared" si="18"/>
        <v>9285655.1493654829</v>
      </c>
      <c r="BO7" s="21">
        <f t="shared" si="18"/>
        <v>10921080.225177474</v>
      </c>
      <c r="BP7" s="21">
        <f t="shared" si="18"/>
        <v>12844542.616135444</v>
      </c>
      <c r="BQ7" s="21">
        <f t="shared" si="18"/>
        <v>15106772.555096628</v>
      </c>
      <c r="BR7" s="21">
        <f t="shared" si="18"/>
        <v>17767435.077426206</v>
      </c>
      <c r="BS7" s="21">
        <f t="shared" si="18"/>
        <v>20705111.98936056</v>
      </c>
      <c r="BT7" s="21">
        <f t="shared" si="18"/>
        <v>20092268.29535307</v>
      </c>
      <c r="BU7" s="21">
        <f t="shared" si="18"/>
        <v>19371488.227593686</v>
      </c>
      <c r="BV7" s="21">
        <f t="shared" si="18"/>
        <v>18523761.619391251</v>
      </c>
      <c r="BW7" s="21">
        <f t="shared" si="18"/>
        <v>17526730.160837784</v>
      </c>
      <c r="BX7" s="21">
        <f t="shared" si="18"/>
        <v>16354097.711028121</v>
      </c>
      <c r="BY7" s="21">
        <f t="shared" si="18"/>
        <v>14974936.752213838</v>
      </c>
      <c r="BZ7" s="21">
        <f t="shared" si="18"/>
        <v>13352872.694011901</v>
      </c>
      <c r="CA7" s="21">
        <f t="shared" si="18"/>
        <v>11445124.514152907</v>
      </c>
      <c r="CB7" s="21">
        <f t="shared" si="18"/>
        <v>9201376.4332110807</v>
      </c>
      <c r="CC7" s="21">
        <f t="shared" si="18"/>
        <v>6562450.8643751405</v>
      </c>
      <c r="CD7" s="21">
        <f t="shared" si="18"/>
        <v>3458747.6380606517</v>
      </c>
      <c r="CE7" s="21">
        <f t="shared" si="18"/>
        <v>0</v>
      </c>
      <c r="CF7" s="21">
        <f t="shared" ref="CF7:EQ7" si="19">CF6-BT6</f>
        <v>0</v>
      </c>
      <c r="CG7" s="21">
        <f t="shared" si="19"/>
        <v>0</v>
      </c>
      <c r="CH7" s="21">
        <f t="shared" si="19"/>
        <v>0</v>
      </c>
      <c r="CI7" s="21">
        <f t="shared" si="19"/>
        <v>0</v>
      </c>
      <c r="CJ7" s="21">
        <f t="shared" si="19"/>
        <v>0</v>
      </c>
      <c r="CK7" s="21">
        <f t="shared" si="19"/>
        <v>0</v>
      </c>
      <c r="CL7" s="21">
        <f t="shared" si="19"/>
        <v>0</v>
      </c>
      <c r="CM7" s="21">
        <f t="shared" si="19"/>
        <v>0</v>
      </c>
      <c r="CN7" s="21">
        <f t="shared" si="19"/>
        <v>0</v>
      </c>
      <c r="CO7" s="21">
        <f t="shared" si="19"/>
        <v>0</v>
      </c>
      <c r="CP7" s="21">
        <f t="shared" si="19"/>
        <v>0</v>
      </c>
      <c r="CQ7" s="21">
        <f t="shared" si="19"/>
        <v>0</v>
      </c>
      <c r="CR7" s="21">
        <f t="shared" si="19"/>
        <v>0</v>
      </c>
      <c r="CS7" s="21">
        <f t="shared" si="19"/>
        <v>0</v>
      </c>
      <c r="CT7" s="21">
        <f t="shared" si="19"/>
        <v>0</v>
      </c>
      <c r="CU7" s="21">
        <f t="shared" si="19"/>
        <v>0</v>
      </c>
      <c r="CV7" s="21">
        <f t="shared" si="19"/>
        <v>0</v>
      </c>
      <c r="CW7" s="21">
        <f t="shared" si="19"/>
        <v>0</v>
      </c>
      <c r="CX7" s="21">
        <f t="shared" si="19"/>
        <v>0</v>
      </c>
      <c r="CY7" s="21">
        <f t="shared" si="19"/>
        <v>0</v>
      </c>
      <c r="CZ7" s="21">
        <f t="shared" si="19"/>
        <v>0</v>
      </c>
      <c r="DA7" s="21">
        <f t="shared" si="19"/>
        <v>0</v>
      </c>
      <c r="DB7" s="21">
        <f t="shared" si="19"/>
        <v>0</v>
      </c>
      <c r="DC7" s="21">
        <f t="shared" si="19"/>
        <v>0</v>
      </c>
      <c r="DD7" s="21">
        <f t="shared" si="19"/>
        <v>0</v>
      </c>
      <c r="DE7" s="21">
        <f t="shared" si="19"/>
        <v>0</v>
      </c>
      <c r="DF7" s="21">
        <f t="shared" si="19"/>
        <v>0</v>
      </c>
      <c r="DG7" s="21">
        <f t="shared" si="19"/>
        <v>0</v>
      </c>
      <c r="DH7" s="21">
        <f t="shared" si="19"/>
        <v>0</v>
      </c>
      <c r="DI7" s="21">
        <f t="shared" si="19"/>
        <v>0</v>
      </c>
      <c r="DJ7" s="21">
        <f t="shared" si="19"/>
        <v>0</v>
      </c>
      <c r="DK7" s="21">
        <f t="shared" si="19"/>
        <v>0</v>
      </c>
      <c r="DL7" s="21">
        <f t="shared" si="19"/>
        <v>0</v>
      </c>
      <c r="DM7" s="21">
        <f t="shared" si="19"/>
        <v>0</v>
      </c>
      <c r="DN7" s="21">
        <f t="shared" si="19"/>
        <v>0</v>
      </c>
      <c r="DO7" s="21">
        <f t="shared" si="19"/>
        <v>0</v>
      </c>
      <c r="DP7" s="21">
        <f t="shared" si="19"/>
        <v>0</v>
      </c>
      <c r="DQ7" s="21">
        <f t="shared" si="19"/>
        <v>0</v>
      </c>
      <c r="DR7" s="21">
        <f t="shared" si="19"/>
        <v>0</v>
      </c>
      <c r="DS7" s="21">
        <f t="shared" si="19"/>
        <v>0</v>
      </c>
      <c r="DT7" s="21">
        <f t="shared" si="19"/>
        <v>0</v>
      </c>
      <c r="DU7" s="21">
        <f t="shared" si="19"/>
        <v>0</v>
      </c>
      <c r="DV7" s="21">
        <f t="shared" si="19"/>
        <v>0</v>
      </c>
      <c r="DW7" s="21">
        <f t="shared" si="19"/>
        <v>0</v>
      </c>
      <c r="DX7" s="21">
        <f t="shared" si="19"/>
        <v>0</v>
      </c>
      <c r="DY7" s="21">
        <f t="shared" si="19"/>
        <v>0</v>
      </c>
      <c r="DZ7" s="21">
        <f t="shared" si="19"/>
        <v>0</v>
      </c>
      <c r="EA7" s="21">
        <f t="shared" si="19"/>
        <v>0</v>
      </c>
      <c r="EB7" s="21">
        <f t="shared" si="19"/>
        <v>0</v>
      </c>
      <c r="EC7" s="21">
        <f t="shared" si="19"/>
        <v>0</v>
      </c>
      <c r="ED7" s="21">
        <f t="shared" si="19"/>
        <v>0</v>
      </c>
      <c r="EE7" s="21">
        <f t="shared" si="19"/>
        <v>0</v>
      </c>
      <c r="EF7" s="21">
        <f t="shared" si="19"/>
        <v>0</v>
      </c>
      <c r="EG7" s="21">
        <f t="shared" si="19"/>
        <v>0</v>
      </c>
      <c r="EH7" s="21">
        <f t="shared" si="19"/>
        <v>0</v>
      </c>
      <c r="EI7" s="21">
        <f t="shared" si="19"/>
        <v>0</v>
      </c>
      <c r="EJ7" s="21">
        <f t="shared" si="19"/>
        <v>0</v>
      </c>
      <c r="EK7" s="21">
        <f t="shared" si="19"/>
        <v>0</v>
      </c>
      <c r="EL7" s="21">
        <f t="shared" si="19"/>
        <v>0</v>
      </c>
      <c r="EM7" s="21">
        <f t="shared" si="19"/>
        <v>0</v>
      </c>
      <c r="EN7" s="21">
        <f t="shared" si="19"/>
        <v>0</v>
      </c>
      <c r="EO7" s="21">
        <f t="shared" si="19"/>
        <v>0</v>
      </c>
      <c r="EP7" s="21">
        <f t="shared" si="19"/>
        <v>0</v>
      </c>
      <c r="EQ7" s="21">
        <f t="shared" si="19"/>
        <v>0</v>
      </c>
      <c r="ER7" s="21">
        <f t="shared" ref="ER7:HC7" si="20">ER6-EF6</f>
        <v>0</v>
      </c>
      <c r="ES7" s="21">
        <f t="shared" si="20"/>
        <v>0</v>
      </c>
      <c r="ET7" s="21">
        <f t="shared" si="20"/>
        <v>0</v>
      </c>
      <c r="EU7" s="21">
        <f t="shared" si="20"/>
        <v>0</v>
      </c>
      <c r="EV7" s="21">
        <f t="shared" si="20"/>
        <v>0</v>
      </c>
      <c r="EW7" s="21">
        <f t="shared" si="20"/>
        <v>0</v>
      </c>
      <c r="EX7" s="21">
        <f t="shared" si="20"/>
        <v>0</v>
      </c>
      <c r="EY7" s="21">
        <f t="shared" si="20"/>
        <v>0</v>
      </c>
      <c r="EZ7" s="21">
        <f t="shared" si="20"/>
        <v>0</v>
      </c>
      <c r="FA7" s="21">
        <f t="shared" si="20"/>
        <v>0</v>
      </c>
      <c r="FB7" s="21">
        <f t="shared" si="20"/>
        <v>0</v>
      </c>
      <c r="FC7" s="21">
        <f t="shared" si="20"/>
        <v>0</v>
      </c>
      <c r="FD7" s="21">
        <f t="shared" si="20"/>
        <v>0</v>
      </c>
      <c r="FE7" s="21">
        <f t="shared" si="20"/>
        <v>0</v>
      </c>
      <c r="FF7" s="21">
        <f t="shared" si="20"/>
        <v>0</v>
      </c>
      <c r="FG7" s="21">
        <f t="shared" si="20"/>
        <v>0</v>
      </c>
      <c r="FH7" s="21">
        <f t="shared" si="20"/>
        <v>0</v>
      </c>
      <c r="FI7" s="21">
        <f t="shared" si="20"/>
        <v>0</v>
      </c>
      <c r="FJ7" s="21">
        <f t="shared" si="20"/>
        <v>0</v>
      </c>
      <c r="FK7" s="21">
        <f t="shared" si="20"/>
        <v>0</v>
      </c>
      <c r="FL7" s="21">
        <f t="shared" si="20"/>
        <v>0</v>
      </c>
      <c r="FM7" s="21">
        <f t="shared" si="20"/>
        <v>0</v>
      </c>
      <c r="FN7" s="21">
        <f t="shared" si="20"/>
        <v>0</v>
      </c>
      <c r="FO7" s="21">
        <f t="shared" si="20"/>
        <v>0</v>
      </c>
      <c r="FP7" s="21">
        <f t="shared" si="20"/>
        <v>0</v>
      </c>
      <c r="FQ7" s="21">
        <f t="shared" si="20"/>
        <v>0</v>
      </c>
      <c r="FR7" s="21">
        <f t="shared" si="20"/>
        <v>0</v>
      </c>
      <c r="FS7" s="21">
        <f t="shared" si="20"/>
        <v>0</v>
      </c>
      <c r="FT7" s="21">
        <f t="shared" si="20"/>
        <v>0</v>
      </c>
      <c r="FU7" s="21">
        <f t="shared" si="20"/>
        <v>0</v>
      </c>
      <c r="FV7" s="21">
        <f t="shared" si="20"/>
        <v>0</v>
      </c>
      <c r="FW7" s="21">
        <f t="shared" si="20"/>
        <v>0</v>
      </c>
      <c r="FX7" s="21">
        <f t="shared" si="20"/>
        <v>0</v>
      </c>
      <c r="FY7" s="21">
        <f t="shared" si="20"/>
        <v>0</v>
      </c>
      <c r="FZ7" s="21">
        <f t="shared" si="20"/>
        <v>0</v>
      </c>
      <c r="GA7" s="21">
        <f t="shared" si="20"/>
        <v>0</v>
      </c>
      <c r="GB7" s="21">
        <f t="shared" si="20"/>
        <v>0</v>
      </c>
      <c r="GC7" s="21">
        <f t="shared" si="20"/>
        <v>0</v>
      </c>
      <c r="GD7" s="21">
        <f t="shared" si="20"/>
        <v>0</v>
      </c>
      <c r="GE7" s="21">
        <f t="shared" si="20"/>
        <v>0</v>
      </c>
      <c r="GF7" s="21">
        <f t="shared" si="20"/>
        <v>0</v>
      </c>
      <c r="GG7" s="21">
        <f t="shared" si="20"/>
        <v>0</v>
      </c>
      <c r="GH7" s="21">
        <f t="shared" si="20"/>
        <v>0</v>
      </c>
      <c r="GI7" s="21">
        <f t="shared" si="20"/>
        <v>0</v>
      </c>
      <c r="GJ7" s="21">
        <f t="shared" si="20"/>
        <v>0</v>
      </c>
      <c r="GK7" s="21">
        <f t="shared" si="20"/>
        <v>0</v>
      </c>
      <c r="GL7" s="21">
        <f t="shared" si="20"/>
        <v>0</v>
      </c>
      <c r="GM7" s="21">
        <f t="shared" si="20"/>
        <v>0</v>
      </c>
      <c r="GN7" s="21">
        <f t="shared" si="20"/>
        <v>0</v>
      </c>
      <c r="GO7" s="21">
        <f t="shared" si="20"/>
        <v>0</v>
      </c>
      <c r="GP7" s="21">
        <f t="shared" si="20"/>
        <v>0</v>
      </c>
      <c r="GQ7" s="21">
        <f t="shared" si="20"/>
        <v>0</v>
      </c>
      <c r="GR7" s="21">
        <f t="shared" si="20"/>
        <v>0</v>
      </c>
      <c r="GS7" s="21">
        <f t="shared" si="20"/>
        <v>0</v>
      </c>
      <c r="GT7" s="21">
        <f t="shared" si="20"/>
        <v>0</v>
      </c>
      <c r="GU7" s="21">
        <f t="shared" si="20"/>
        <v>0</v>
      </c>
      <c r="GV7" s="21">
        <f t="shared" si="20"/>
        <v>0</v>
      </c>
      <c r="GW7" s="21">
        <f t="shared" si="20"/>
        <v>0</v>
      </c>
      <c r="GX7" s="21">
        <f t="shared" si="20"/>
        <v>0</v>
      </c>
      <c r="GY7" s="21">
        <f t="shared" si="20"/>
        <v>0</v>
      </c>
      <c r="GZ7" s="21">
        <f t="shared" si="20"/>
        <v>0</v>
      </c>
      <c r="HA7" s="21">
        <f t="shared" si="20"/>
        <v>0</v>
      </c>
      <c r="HB7" s="21">
        <f t="shared" si="20"/>
        <v>0</v>
      </c>
      <c r="HC7" s="21">
        <f t="shared" si="20"/>
        <v>0</v>
      </c>
      <c r="HD7" s="21">
        <f t="shared" ref="HD7:IN7" si="21">HD6-GR6</f>
        <v>0</v>
      </c>
      <c r="HE7" s="21">
        <f t="shared" si="21"/>
        <v>0</v>
      </c>
      <c r="HF7" s="21">
        <f t="shared" si="21"/>
        <v>0</v>
      </c>
      <c r="HG7" s="21">
        <f t="shared" si="21"/>
        <v>0</v>
      </c>
      <c r="HH7" s="21">
        <f t="shared" si="21"/>
        <v>0</v>
      </c>
      <c r="HI7" s="21">
        <f t="shared" si="21"/>
        <v>0</v>
      </c>
      <c r="HJ7" s="21">
        <f t="shared" si="21"/>
        <v>0</v>
      </c>
      <c r="HK7" s="21">
        <f t="shared" si="21"/>
        <v>0</v>
      </c>
      <c r="HL7" s="21">
        <f t="shared" si="21"/>
        <v>0</v>
      </c>
      <c r="HM7" s="21">
        <f t="shared" si="21"/>
        <v>0</v>
      </c>
      <c r="HN7" s="21">
        <f t="shared" si="21"/>
        <v>0</v>
      </c>
      <c r="HO7" s="21">
        <f t="shared" si="21"/>
        <v>0</v>
      </c>
      <c r="HP7" s="21">
        <f t="shared" si="21"/>
        <v>0</v>
      </c>
      <c r="HQ7" s="21">
        <f t="shared" si="21"/>
        <v>0</v>
      </c>
      <c r="HR7" s="21">
        <f t="shared" si="21"/>
        <v>0</v>
      </c>
      <c r="HS7" s="21">
        <f t="shared" si="21"/>
        <v>0</v>
      </c>
      <c r="HT7" s="21">
        <f t="shared" si="21"/>
        <v>0</v>
      </c>
      <c r="HU7" s="21">
        <f t="shared" si="21"/>
        <v>0</v>
      </c>
      <c r="HV7" s="21">
        <f t="shared" si="21"/>
        <v>0</v>
      </c>
      <c r="HW7" s="21">
        <f t="shared" si="21"/>
        <v>0</v>
      </c>
      <c r="HX7" s="21">
        <f t="shared" si="21"/>
        <v>0</v>
      </c>
      <c r="HY7" s="21">
        <f t="shared" si="21"/>
        <v>0</v>
      </c>
      <c r="HZ7" s="21">
        <f t="shared" si="21"/>
        <v>0</v>
      </c>
      <c r="IA7" s="21">
        <f t="shared" si="21"/>
        <v>0</v>
      </c>
      <c r="IB7" s="21">
        <f t="shared" si="21"/>
        <v>0</v>
      </c>
      <c r="IC7" s="21">
        <f t="shared" si="21"/>
        <v>0</v>
      </c>
      <c r="ID7" s="21">
        <f t="shared" si="21"/>
        <v>0</v>
      </c>
      <c r="IE7" s="21">
        <f t="shared" si="21"/>
        <v>0</v>
      </c>
      <c r="IF7" s="21">
        <f t="shared" si="21"/>
        <v>0</v>
      </c>
      <c r="IG7" s="21">
        <f t="shared" si="21"/>
        <v>0</v>
      </c>
      <c r="IH7" s="21">
        <f t="shared" si="21"/>
        <v>0</v>
      </c>
      <c r="II7" s="21">
        <f t="shared" si="21"/>
        <v>0</v>
      </c>
      <c r="IJ7" s="21">
        <f t="shared" si="21"/>
        <v>0</v>
      </c>
      <c r="IK7" s="21">
        <f t="shared" si="21"/>
        <v>0</v>
      </c>
      <c r="IL7" s="21">
        <f t="shared" si="21"/>
        <v>0</v>
      </c>
      <c r="IM7" s="21">
        <f t="shared" si="21"/>
        <v>0</v>
      </c>
      <c r="IN7" s="21">
        <f t="shared" si="21"/>
        <v>0</v>
      </c>
    </row>
    <row r="8" spans="2:248" x14ac:dyDescent="0.3">
      <c r="B8" s="19" t="s">
        <v>641</v>
      </c>
      <c r="C8" s="21">
        <f>VLOOKUP(B2,'Country Summary'!C:H,6,FALSE)</f>
        <v>2503</v>
      </c>
      <c r="G8" s="21">
        <f>IF(G5="#N/A","#N/A",G7)</f>
        <v>155</v>
      </c>
      <c r="H8" s="21">
        <f t="shared" ref="H8:BS8" si="22">IF(H5="#N/A","#N/A",H7)</f>
        <v>229</v>
      </c>
      <c r="I8" s="21">
        <f t="shared" si="22"/>
        <v>322</v>
      </c>
      <c r="J8" s="21">
        <f t="shared" si="22"/>
        <v>453</v>
      </c>
      <c r="K8" s="21">
        <f t="shared" si="22"/>
        <v>655</v>
      </c>
      <c r="L8" s="21">
        <f t="shared" si="22"/>
        <v>888</v>
      </c>
      <c r="M8" s="21">
        <f t="shared" si="22"/>
        <v>1128</v>
      </c>
      <c r="N8" s="21">
        <f t="shared" si="22"/>
        <v>1694</v>
      </c>
      <c r="O8" s="21">
        <f t="shared" si="22"/>
        <v>2036</v>
      </c>
      <c r="P8" s="21">
        <f t="shared" si="22"/>
        <v>2502</v>
      </c>
      <c r="Q8" s="21">
        <f t="shared" si="22"/>
        <v>3089</v>
      </c>
      <c r="R8" s="21">
        <f t="shared" si="22"/>
        <v>3858</v>
      </c>
      <c r="S8" s="21">
        <f t="shared" si="22"/>
        <v>4481</v>
      </c>
      <c r="T8" s="21">
        <f t="shared" si="22"/>
        <v>5654</v>
      </c>
      <c r="U8" s="21">
        <f t="shared" si="22"/>
        <v>7053</v>
      </c>
      <c r="V8" s="21">
        <f t="shared" si="22"/>
        <v>8719</v>
      </c>
      <c r="W8" s="21">
        <f t="shared" si="22"/>
        <v>9494</v>
      </c>
      <c r="X8" s="21">
        <f t="shared" si="22"/>
        <v>11574</v>
      </c>
      <c r="Y8" s="21">
        <f t="shared" si="22"/>
        <v>12872</v>
      </c>
      <c r="Z8" s="21">
        <f t="shared" si="22"/>
        <v>15966</v>
      </c>
      <c r="AA8" s="21">
        <f t="shared" si="22"/>
        <v>19121</v>
      </c>
      <c r="AB8" s="21">
        <f t="shared" si="22"/>
        <v>22245</v>
      </c>
      <c r="AC8" s="21">
        <f t="shared" si="22"/>
        <v>24891</v>
      </c>
      <c r="AD8" s="21">
        <f t="shared" si="22"/>
        <v>27648</v>
      </c>
      <c r="AE8" s="21" t="e">
        <f t="shared" si="22"/>
        <v>#N/A</v>
      </c>
      <c r="AF8" s="21" t="e">
        <f t="shared" si="22"/>
        <v>#N/A</v>
      </c>
      <c r="AG8" s="21" t="e">
        <f t="shared" si="22"/>
        <v>#N/A</v>
      </c>
      <c r="AH8" s="21" t="e">
        <f t="shared" si="22"/>
        <v>#N/A</v>
      </c>
      <c r="AI8" s="21" t="e">
        <f t="shared" si="22"/>
        <v>#N/A</v>
      </c>
      <c r="AJ8" s="21" t="e">
        <f t="shared" si="22"/>
        <v>#N/A</v>
      </c>
      <c r="AK8" s="21" t="e">
        <f t="shared" si="22"/>
        <v>#N/A</v>
      </c>
      <c r="AL8" s="21" t="e">
        <f t="shared" si="22"/>
        <v>#N/A</v>
      </c>
      <c r="AM8" s="21" t="e">
        <f t="shared" si="22"/>
        <v>#N/A</v>
      </c>
      <c r="AN8" s="21" t="e">
        <f t="shared" si="22"/>
        <v>#N/A</v>
      </c>
      <c r="AO8" s="21" t="e">
        <f t="shared" si="22"/>
        <v>#N/A</v>
      </c>
      <c r="AP8" s="21" t="e">
        <f t="shared" si="22"/>
        <v>#N/A</v>
      </c>
      <c r="AQ8" s="21" t="e">
        <f t="shared" si="22"/>
        <v>#N/A</v>
      </c>
      <c r="AR8" s="21" t="e">
        <f t="shared" si="22"/>
        <v>#N/A</v>
      </c>
      <c r="AS8" s="21" t="e">
        <f t="shared" si="22"/>
        <v>#N/A</v>
      </c>
      <c r="AT8" s="21" t="e">
        <f t="shared" si="22"/>
        <v>#N/A</v>
      </c>
      <c r="AU8" s="21" t="e">
        <f t="shared" si="22"/>
        <v>#N/A</v>
      </c>
      <c r="AV8" s="21" t="e">
        <f t="shared" si="22"/>
        <v>#N/A</v>
      </c>
      <c r="AW8" s="21" t="e">
        <f t="shared" si="22"/>
        <v>#N/A</v>
      </c>
      <c r="AX8" s="21" t="e">
        <f t="shared" si="22"/>
        <v>#N/A</v>
      </c>
      <c r="AY8" s="21" t="e">
        <f t="shared" si="22"/>
        <v>#N/A</v>
      </c>
      <c r="AZ8" s="21" t="e">
        <f t="shared" si="22"/>
        <v>#N/A</v>
      </c>
      <c r="BA8" s="21" t="e">
        <f t="shared" si="22"/>
        <v>#N/A</v>
      </c>
      <c r="BB8" s="21" t="e">
        <f t="shared" si="22"/>
        <v>#N/A</v>
      </c>
      <c r="BC8" s="21" t="e">
        <f t="shared" si="22"/>
        <v>#N/A</v>
      </c>
      <c r="BD8" s="21" t="e">
        <f t="shared" si="22"/>
        <v>#N/A</v>
      </c>
      <c r="BE8" s="21" t="e">
        <f t="shared" si="22"/>
        <v>#N/A</v>
      </c>
      <c r="BF8" s="21" t="e">
        <f t="shared" si="22"/>
        <v>#N/A</v>
      </c>
      <c r="BG8" s="21" t="e">
        <f t="shared" si="22"/>
        <v>#N/A</v>
      </c>
      <c r="BH8" s="21" t="e">
        <f t="shared" si="22"/>
        <v>#N/A</v>
      </c>
      <c r="BI8" s="21" t="e">
        <f t="shared" si="22"/>
        <v>#N/A</v>
      </c>
      <c r="BJ8" s="21" t="e">
        <f t="shared" si="22"/>
        <v>#N/A</v>
      </c>
      <c r="BK8" s="21" t="e">
        <f t="shared" si="22"/>
        <v>#N/A</v>
      </c>
      <c r="BL8" s="21" t="e">
        <f t="shared" si="22"/>
        <v>#N/A</v>
      </c>
      <c r="BM8" s="21" t="e">
        <f t="shared" si="22"/>
        <v>#N/A</v>
      </c>
      <c r="BN8" s="21" t="e">
        <f t="shared" si="22"/>
        <v>#N/A</v>
      </c>
      <c r="BO8" s="21" t="e">
        <f t="shared" si="22"/>
        <v>#N/A</v>
      </c>
      <c r="BP8" s="21" t="e">
        <f t="shared" si="22"/>
        <v>#N/A</v>
      </c>
      <c r="BQ8" s="21" t="e">
        <f t="shared" si="22"/>
        <v>#N/A</v>
      </c>
      <c r="BR8" s="21" t="e">
        <f t="shared" si="22"/>
        <v>#N/A</v>
      </c>
      <c r="BS8" s="21" t="e">
        <f t="shared" si="22"/>
        <v>#N/A</v>
      </c>
      <c r="BT8" s="21" t="e">
        <f t="shared" ref="BT8:DC8" si="23">IF(BT5="#N/A","#N/A",BT7)</f>
        <v>#N/A</v>
      </c>
      <c r="BU8" s="21" t="e">
        <f t="shared" si="23"/>
        <v>#N/A</v>
      </c>
      <c r="BV8" s="21" t="e">
        <f t="shared" si="23"/>
        <v>#N/A</v>
      </c>
      <c r="BW8" s="21" t="e">
        <f t="shared" si="23"/>
        <v>#N/A</v>
      </c>
      <c r="BX8" s="21" t="e">
        <f t="shared" si="23"/>
        <v>#N/A</v>
      </c>
      <c r="BY8" s="21" t="e">
        <f t="shared" si="23"/>
        <v>#N/A</v>
      </c>
      <c r="BZ8" s="21" t="e">
        <f t="shared" si="23"/>
        <v>#N/A</v>
      </c>
      <c r="CA8" s="21" t="e">
        <f t="shared" si="23"/>
        <v>#N/A</v>
      </c>
      <c r="CB8" s="21" t="e">
        <f t="shared" si="23"/>
        <v>#N/A</v>
      </c>
      <c r="CC8" s="21" t="e">
        <f t="shared" si="23"/>
        <v>#N/A</v>
      </c>
      <c r="CD8" s="21" t="e">
        <f t="shared" si="23"/>
        <v>#N/A</v>
      </c>
      <c r="CE8" s="21" t="e">
        <f t="shared" si="23"/>
        <v>#N/A</v>
      </c>
      <c r="CF8" s="21" t="e">
        <f t="shared" si="23"/>
        <v>#N/A</v>
      </c>
      <c r="CG8" s="21" t="e">
        <f t="shared" si="23"/>
        <v>#N/A</v>
      </c>
      <c r="CH8" s="21" t="e">
        <f t="shared" si="23"/>
        <v>#N/A</v>
      </c>
      <c r="CI8" s="21" t="e">
        <f t="shared" si="23"/>
        <v>#N/A</v>
      </c>
      <c r="CJ8" s="21" t="e">
        <f t="shared" si="23"/>
        <v>#N/A</v>
      </c>
      <c r="CK8" s="21" t="e">
        <f t="shared" si="23"/>
        <v>#N/A</v>
      </c>
      <c r="CL8" s="21" t="e">
        <f t="shared" si="23"/>
        <v>#N/A</v>
      </c>
      <c r="CM8" s="21" t="e">
        <f t="shared" si="23"/>
        <v>#N/A</v>
      </c>
      <c r="CN8" s="21" t="e">
        <f t="shared" si="23"/>
        <v>#N/A</v>
      </c>
      <c r="CO8" s="21" t="e">
        <f t="shared" si="23"/>
        <v>#N/A</v>
      </c>
      <c r="CP8" s="21" t="e">
        <f t="shared" si="23"/>
        <v>#N/A</v>
      </c>
      <c r="CQ8" s="21" t="e">
        <f t="shared" si="23"/>
        <v>#N/A</v>
      </c>
      <c r="CR8" s="21" t="e">
        <f t="shared" si="23"/>
        <v>#N/A</v>
      </c>
      <c r="CS8" s="21" t="e">
        <f t="shared" si="23"/>
        <v>#N/A</v>
      </c>
      <c r="CT8" s="21" t="e">
        <f t="shared" si="23"/>
        <v>#N/A</v>
      </c>
      <c r="CU8" s="21" t="e">
        <f t="shared" si="23"/>
        <v>#N/A</v>
      </c>
      <c r="CV8" s="21" t="e">
        <f t="shared" si="23"/>
        <v>#N/A</v>
      </c>
      <c r="CW8" s="21" t="e">
        <f t="shared" si="23"/>
        <v>#N/A</v>
      </c>
      <c r="CX8" s="21" t="e">
        <f t="shared" si="23"/>
        <v>#N/A</v>
      </c>
      <c r="CY8" s="21" t="e">
        <f t="shared" si="23"/>
        <v>#N/A</v>
      </c>
      <c r="CZ8" s="21" t="e">
        <f t="shared" si="23"/>
        <v>#N/A</v>
      </c>
      <c r="DA8" s="21" t="e">
        <f t="shared" si="23"/>
        <v>#N/A</v>
      </c>
      <c r="DB8" s="21" t="e">
        <f t="shared" si="23"/>
        <v>#N/A</v>
      </c>
      <c r="DC8" s="21" t="e">
        <f t="shared" si="23"/>
        <v>#N/A</v>
      </c>
      <c r="DD8" s="21" t="e">
        <f t="shared" ref="DD8:EI8" si="24">IF(DD5="#N/A","#N/A",DD7)</f>
        <v>#N/A</v>
      </c>
      <c r="DE8" s="21" t="e">
        <f t="shared" si="24"/>
        <v>#N/A</v>
      </c>
      <c r="DF8" s="21" t="e">
        <f t="shared" si="24"/>
        <v>#N/A</v>
      </c>
      <c r="DG8" s="21" t="e">
        <f t="shared" si="24"/>
        <v>#N/A</v>
      </c>
      <c r="DH8" s="21" t="e">
        <f t="shared" si="24"/>
        <v>#N/A</v>
      </c>
      <c r="DI8" s="21" t="e">
        <f t="shared" si="24"/>
        <v>#N/A</v>
      </c>
      <c r="DJ8" s="21" t="e">
        <f t="shared" si="24"/>
        <v>#N/A</v>
      </c>
      <c r="DK8" s="21" t="e">
        <f t="shared" si="24"/>
        <v>#N/A</v>
      </c>
      <c r="DL8" s="21" t="e">
        <f t="shared" si="24"/>
        <v>#N/A</v>
      </c>
      <c r="DM8" s="21" t="e">
        <f t="shared" si="24"/>
        <v>#N/A</v>
      </c>
      <c r="DN8" s="21" t="e">
        <f t="shared" si="24"/>
        <v>#N/A</v>
      </c>
      <c r="DO8" s="21" t="e">
        <f t="shared" si="24"/>
        <v>#N/A</v>
      </c>
      <c r="DP8" s="21" t="e">
        <f t="shared" si="24"/>
        <v>#N/A</v>
      </c>
      <c r="DQ8" s="21" t="e">
        <f t="shared" si="24"/>
        <v>#N/A</v>
      </c>
      <c r="DR8" s="21" t="e">
        <f t="shared" si="24"/>
        <v>#N/A</v>
      </c>
      <c r="DS8" s="21" t="e">
        <f t="shared" si="24"/>
        <v>#N/A</v>
      </c>
      <c r="DT8" s="21" t="e">
        <f t="shared" si="24"/>
        <v>#N/A</v>
      </c>
      <c r="DU8" s="21" t="e">
        <f t="shared" si="24"/>
        <v>#N/A</v>
      </c>
      <c r="DV8" s="21" t="e">
        <f t="shared" si="24"/>
        <v>#N/A</v>
      </c>
      <c r="DW8" s="21" t="e">
        <f t="shared" si="24"/>
        <v>#N/A</v>
      </c>
      <c r="DX8" s="21" t="e">
        <f t="shared" si="24"/>
        <v>#N/A</v>
      </c>
      <c r="DY8" s="21" t="e">
        <f t="shared" si="24"/>
        <v>#N/A</v>
      </c>
      <c r="DZ8" s="21" t="e">
        <f t="shared" si="24"/>
        <v>#N/A</v>
      </c>
      <c r="EA8" s="21" t="e">
        <f t="shared" si="24"/>
        <v>#N/A</v>
      </c>
      <c r="EB8" s="21" t="e">
        <f t="shared" si="24"/>
        <v>#N/A</v>
      </c>
      <c r="EC8" s="21" t="e">
        <f t="shared" si="24"/>
        <v>#N/A</v>
      </c>
      <c r="ED8" s="21" t="e">
        <f t="shared" si="24"/>
        <v>#N/A</v>
      </c>
      <c r="EE8" s="21" t="e">
        <f t="shared" si="24"/>
        <v>#N/A</v>
      </c>
      <c r="EF8" s="21" t="e">
        <f t="shared" si="24"/>
        <v>#N/A</v>
      </c>
      <c r="EG8" s="21" t="e">
        <f t="shared" si="24"/>
        <v>#N/A</v>
      </c>
      <c r="EH8" s="21" t="e">
        <f t="shared" si="24"/>
        <v>#N/A</v>
      </c>
      <c r="EI8" s="21" t="e">
        <f t="shared" si="24"/>
        <v>#N/A</v>
      </c>
      <c r="EJ8" s="21" t="e">
        <f t="shared" ref="EJ8:FO8" si="25">IF(EJ5="#N/A","#N/A",EJ7)</f>
        <v>#N/A</v>
      </c>
      <c r="EK8" s="21" t="e">
        <f t="shared" si="25"/>
        <v>#N/A</v>
      </c>
      <c r="EL8" s="21" t="e">
        <f t="shared" si="25"/>
        <v>#N/A</v>
      </c>
      <c r="EM8" s="21" t="e">
        <f t="shared" si="25"/>
        <v>#N/A</v>
      </c>
      <c r="EN8" s="21" t="e">
        <f t="shared" si="25"/>
        <v>#N/A</v>
      </c>
      <c r="EO8" s="21" t="e">
        <f t="shared" si="25"/>
        <v>#N/A</v>
      </c>
      <c r="EP8" s="21" t="e">
        <f t="shared" si="25"/>
        <v>#N/A</v>
      </c>
      <c r="EQ8" s="21" t="e">
        <f t="shared" si="25"/>
        <v>#N/A</v>
      </c>
      <c r="ER8" s="21" t="e">
        <f t="shared" si="25"/>
        <v>#N/A</v>
      </c>
      <c r="ES8" s="21" t="e">
        <f t="shared" si="25"/>
        <v>#N/A</v>
      </c>
      <c r="ET8" s="21" t="e">
        <f t="shared" si="25"/>
        <v>#N/A</v>
      </c>
      <c r="EU8" s="21" t="e">
        <f t="shared" si="25"/>
        <v>#N/A</v>
      </c>
      <c r="EV8" s="21" t="e">
        <f t="shared" si="25"/>
        <v>#N/A</v>
      </c>
      <c r="EW8" s="21" t="e">
        <f t="shared" si="25"/>
        <v>#N/A</v>
      </c>
      <c r="EX8" s="21" t="e">
        <f t="shared" si="25"/>
        <v>#N/A</v>
      </c>
      <c r="EY8" s="21" t="e">
        <f t="shared" si="25"/>
        <v>#N/A</v>
      </c>
      <c r="EZ8" s="21" t="e">
        <f t="shared" si="25"/>
        <v>#N/A</v>
      </c>
      <c r="FA8" s="21" t="e">
        <f t="shared" si="25"/>
        <v>#N/A</v>
      </c>
      <c r="FB8" s="21" t="e">
        <f t="shared" si="25"/>
        <v>#N/A</v>
      </c>
      <c r="FC8" s="21" t="e">
        <f t="shared" si="25"/>
        <v>#N/A</v>
      </c>
      <c r="FD8" s="21" t="e">
        <f t="shared" si="25"/>
        <v>#N/A</v>
      </c>
      <c r="FE8" s="21" t="e">
        <f t="shared" si="25"/>
        <v>#N/A</v>
      </c>
      <c r="FF8" s="21" t="e">
        <f t="shared" si="25"/>
        <v>#N/A</v>
      </c>
      <c r="FG8" s="21" t="e">
        <f t="shared" si="25"/>
        <v>#N/A</v>
      </c>
      <c r="FH8" s="21" t="e">
        <f t="shared" si="25"/>
        <v>#N/A</v>
      </c>
      <c r="FI8" s="21" t="e">
        <f t="shared" si="25"/>
        <v>#N/A</v>
      </c>
      <c r="FJ8" s="21" t="e">
        <f t="shared" si="25"/>
        <v>#N/A</v>
      </c>
      <c r="FK8" s="21" t="e">
        <f t="shared" si="25"/>
        <v>#N/A</v>
      </c>
      <c r="FL8" s="21" t="e">
        <f t="shared" si="25"/>
        <v>#N/A</v>
      </c>
      <c r="FM8" s="21" t="e">
        <f t="shared" si="25"/>
        <v>#N/A</v>
      </c>
      <c r="FN8" s="21" t="e">
        <f t="shared" si="25"/>
        <v>#N/A</v>
      </c>
      <c r="FO8" s="21" t="e">
        <f t="shared" si="25"/>
        <v>#N/A</v>
      </c>
      <c r="FP8" s="21" t="e">
        <f t="shared" ref="FP8:GU8" si="26">IF(FP5="#N/A","#N/A",FP7)</f>
        <v>#N/A</v>
      </c>
      <c r="FQ8" s="21" t="e">
        <f t="shared" si="26"/>
        <v>#N/A</v>
      </c>
      <c r="FR8" s="21" t="e">
        <f t="shared" si="26"/>
        <v>#N/A</v>
      </c>
      <c r="FS8" s="21" t="e">
        <f t="shared" si="26"/>
        <v>#N/A</v>
      </c>
      <c r="FT8" s="21" t="e">
        <f t="shared" si="26"/>
        <v>#N/A</v>
      </c>
      <c r="FU8" s="21" t="e">
        <f t="shared" si="26"/>
        <v>#N/A</v>
      </c>
      <c r="FV8" s="21" t="e">
        <f t="shared" si="26"/>
        <v>#N/A</v>
      </c>
      <c r="FW8" s="21" t="e">
        <f t="shared" si="26"/>
        <v>#N/A</v>
      </c>
      <c r="FX8" s="21" t="e">
        <f t="shared" si="26"/>
        <v>#N/A</v>
      </c>
      <c r="FY8" s="21" t="e">
        <f t="shared" si="26"/>
        <v>#N/A</v>
      </c>
      <c r="FZ8" s="21" t="e">
        <f t="shared" si="26"/>
        <v>#N/A</v>
      </c>
      <c r="GA8" s="21" t="e">
        <f t="shared" si="26"/>
        <v>#N/A</v>
      </c>
      <c r="GB8" s="21" t="e">
        <f t="shared" si="26"/>
        <v>#N/A</v>
      </c>
      <c r="GC8" s="21" t="e">
        <f t="shared" si="26"/>
        <v>#N/A</v>
      </c>
      <c r="GD8" s="21" t="e">
        <f t="shared" si="26"/>
        <v>#N/A</v>
      </c>
      <c r="GE8" s="21" t="e">
        <f t="shared" si="26"/>
        <v>#N/A</v>
      </c>
      <c r="GF8" s="21" t="e">
        <f t="shared" si="26"/>
        <v>#N/A</v>
      </c>
      <c r="GG8" s="21" t="e">
        <f t="shared" si="26"/>
        <v>#N/A</v>
      </c>
      <c r="GH8" s="21" t="e">
        <f t="shared" si="26"/>
        <v>#N/A</v>
      </c>
      <c r="GI8" s="21" t="e">
        <f t="shared" si="26"/>
        <v>#N/A</v>
      </c>
      <c r="GJ8" s="21" t="e">
        <f t="shared" si="26"/>
        <v>#N/A</v>
      </c>
      <c r="GK8" s="21" t="e">
        <f t="shared" si="26"/>
        <v>#N/A</v>
      </c>
      <c r="GL8" s="21" t="e">
        <f t="shared" si="26"/>
        <v>#N/A</v>
      </c>
      <c r="GM8" s="21" t="e">
        <f t="shared" si="26"/>
        <v>#N/A</v>
      </c>
      <c r="GN8" s="21" t="e">
        <f t="shared" si="26"/>
        <v>#N/A</v>
      </c>
      <c r="GO8" s="21" t="e">
        <f t="shared" si="26"/>
        <v>#N/A</v>
      </c>
      <c r="GP8" s="21" t="e">
        <f t="shared" si="26"/>
        <v>#N/A</v>
      </c>
      <c r="GQ8" s="21" t="e">
        <f t="shared" si="26"/>
        <v>#N/A</v>
      </c>
      <c r="GR8" s="21" t="e">
        <f t="shared" si="26"/>
        <v>#N/A</v>
      </c>
      <c r="GS8" s="21" t="e">
        <f t="shared" si="26"/>
        <v>#N/A</v>
      </c>
      <c r="GT8" s="21" t="e">
        <f t="shared" si="26"/>
        <v>#N/A</v>
      </c>
      <c r="GU8" s="21" t="e">
        <f t="shared" si="26"/>
        <v>#N/A</v>
      </c>
      <c r="GV8" s="21" t="e">
        <f t="shared" ref="GV8:IA8" si="27">IF(GV5="#N/A","#N/A",GV7)</f>
        <v>#N/A</v>
      </c>
      <c r="GW8" s="21" t="e">
        <f t="shared" si="27"/>
        <v>#N/A</v>
      </c>
      <c r="GX8" s="21" t="e">
        <f t="shared" si="27"/>
        <v>#N/A</v>
      </c>
      <c r="GY8" s="21" t="e">
        <f t="shared" si="27"/>
        <v>#N/A</v>
      </c>
      <c r="GZ8" s="21" t="e">
        <f t="shared" si="27"/>
        <v>#N/A</v>
      </c>
      <c r="HA8" s="21" t="e">
        <f t="shared" si="27"/>
        <v>#N/A</v>
      </c>
      <c r="HB8" s="21" t="e">
        <f t="shared" si="27"/>
        <v>#N/A</v>
      </c>
      <c r="HC8" s="21" t="e">
        <f t="shared" si="27"/>
        <v>#N/A</v>
      </c>
      <c r="HD8" s="21" t="e">
        <f t="shared" si="27"/>
        <v>#N/A</v>
      </c>
      <c r="HE8" s="21" t="e">
        <f t="shared" si="27"/>
        <v>#N/A</v>
      </c>
      <c r="HF8" s="21" t="e">
        <f t="shared" si="27"/>
        <v>#N/A</v>
      </c>
      <c r="HG8" s="21" t="e">
        <f t="shared" si="27"/>
        <v>#N/A</v>
      </c>
      <c r="HH8" s="21" t="e">
        <f t="shared" si="27"/>
        <v>#N/A</v>
      </c>
      <c r="HI8" s="21" t="e">
        <f t="shared" si="27"/>
        <v>#N/A</v>
      </c>
      <c r="HJ8" s="21" t="e">
        <f t="shared" si="27"/>
        <v>#N/A</v>
      </c>
      <c r="HK8" s="21" t="e">
        <f t="shared" si="27"/>
        <v>#N/A</v>
      </c>
      <c r="HL8" s="21" t="e">
        <f t="shared" si="27"/>
        <v>#N/A</v>
      </c>
      <c r="HM8" s="21" t="e">
        <f t="shared" si="27"/>
        <v>#N/A</v>
      </c>
      <c r="HN8" s="21" t="e">
        <f t="shared" si="27"/>
        <v>#N/A</v>
      </c>
      <c r="HO8" s="21" t="e">
        <f t="shared" si="27"/>
        <v>#N/A</v>
      </c>
      <c r="HP8" s="21" t="e">
        <f t="shared" si="27"/>
        <v>#N/A</v>
      </c>
      <c r="HQ8" s="21" t="e">
        <f t="shared" si="27"/>
        <v>#N/A</v>
      </c>
      <c r="HR8" s="21" t="e">
        <f t="shared" si="27"/>
        <v>#N/A</v>
      </c>
      <c r="HS8" s="21" t="e">
        <f t="shared" si="27"/>
        <v>#N/A</v>
      </c>
      <c r="HT8" s="21" t="e">
        <f t="shared" si="27"/>
        <v>#N/A</v>
      </c>
      <c r="HU8" s="21" t="e">
        <f t="shared" si="27"/>
        <v>#N/A</v>
      </c>
      <c r="HV8" s="21" t="e">
        <f t="shared" si="27"/>
        <v>#N/A</v>
      </c>
      <c r="HW8" s="21" t="e">
        <f t="shared" si="27"/>
        <v>#N/A</v>
      </c>
      <c r="HX8" s="21" t="e">
        <f t="shared" si="27"/>
        <v>#N/A</v>
      </c>
      <c r="HY8" s="21" t="e">
        <f t="shared" si="27"/>
        <v>#N/A</v>
      </c>
      <c r="HZ8" s="21" t="e">
        <f t="shared" si="27"/>
        <v>#N/A</v>
      </c>
      <c r="IA8" s="21" t="e">
        <f t="shared" si="27"/>
        <v>#N/A</v>
      </c>
      <c r="IB8" s="21" t="e">
        <f t="shared" ref="IB8:IN8" si="28">IF(IB5="#N/A","#N/A",IB7)</f>
        <v>#N/A</v>
      </c>
      <c r="IC8" s="21" t="e">
        <f t="shared" si="28"/>
        <v>#N/A</v>
      </c>
      <c r="ID8" s="21" t="e">
        <f t="shared" si="28"/>
        <v>#N/A</v>
      </c>
      <c r="IE8" s="21" t="e">
        <f t="shared" si="28"/>
        <v>#N/A</v>
      </c>
      <c r="IF8" s="21" t="e">
        <f t="shared" si="28"/>
        <v>#N/A</v>
      </c>
      <c r="IG8" s="21" t="e">
        <f t="shared" si="28"/>
        <v>#N/A</v>
      </c>
      <c r="IH8" s="21" t="e">
        <f t="shared" si="28"/>
        <v>#N/A</v>
      </c>
      <c r="II8" s="21" t="e">
        <f t="shared" si="28"/>
        <v>#N/A</v>
      </c>
      <c r="IJ8" s="21" t="e">
        <f t="shared" si="28"/>
        <v>#N/A</v>
      </c>
      <c r="IK8" s="21" t="e">
        <f t="shared" si="28"/>
        <v>#N/A</v>
      </c>
      <c r="IL8" s="21" t="e">
        <f t="shared" si="28"/>
        <v>#N/A</v>
      </c>
      <c r="IM8" s="21" t="e">
        <f t="shared" si="28"/>
        <v>#N/A</v>
      </c>
      <c r="IN8" s="21" t="e">
        <f t="shared" si="28"/>
        <v>#N/A</v>
      </c>
    </row>
    <row r="9" spans="2:248" x14ac:dyDescent="0.3">
      <c r="E9" s="19">
        <v>0.1</v>
      </c>
      <c r="F9" s="22" t="s">
        <v>615</v>
      </c>
      <c r="G9" s="21">
        <f t="shared" ref="G9:BR9" si="29">IF(IF(AND(ISNA(G$5),ISNA(F$5)),F9*(1+$E9),IF(AND(F$5&gt;0,ISNA(G$5)),F9*(1+$E9),G$5))&gt;$C$20,$C$20,IF(AND(ISNA(G$5),ISNA(F$5)),F9*(1+$E9),IF(AND(F$5&gt;0,ISNA(G$5)),F9*(1+$E9),G$5)))</f>
        <v>155</v>
      </c>
      <c r="H9" s="21">
        <f t="shared" si="29"/>
        <v>229</v>
      </c>
      <c r="I9" s="21">
        <f t="shared" si="29"/>
        <v>322</v>
      </c>
      <c r="J9" s="21">
        <f t="shared" si="29"/>
        <v>453</v>
      </c>
      <c r="K9" s="21">
        <f t="shared" si="29"/>
        <v>655</v>
      </c>
      <c r="L9" s="21">
        <f t="shared" si="29"/>
        <v>888</v>
      </c>
      <c r="M9" s="21">
        <f t="shared" si="29"/>
        <v>1128</v>
      </c>
      <c r="N9" s="21">
        <f t="shared" si="29"/>
        <v>1694</v>
      </c>
      <c r="O9" s="21">
        <f t="shared" si="29"/>
        <v>2036</v>
      </c>
      <c r="P9" s="21">
        <f t="shared" si="29"/>
        <v>2502</v>
      </c>
      <c r="Q9" s="21">
        <f t="shared" si="29"/>
        <v>3089</v>
      </c>
      <c r="R9" s="21">
        <f t="shared" si="29"/>
        <v>3858</v>
      </c>
      <c r="S9" s="21">
        <f t="shared" si="29"/>
        <v>4636</v>
      </c>
      <c r="T9" s="21">
        <f t="shared" si="29"/>
        <v>5883</v>
      </c>
      <c r="U9" s="21">
        <f t="shared" si="29"/>
        <v>7375</v>
      </c>
      <c r="V9" s="21">
        <f t="shared" si="29"/>
        <v>9172</v>
      </c>
      <c r="W9" s="21">
        <f t="shared" si="29"/>
        <v>10149</v>
      </c>
      <c r="X9" s="21">
        <f t="shared" si="29"/>
        <v>12462</v>
      </c>
      <c r="Y9" s="21">
        <f t="shared" si="29"/>
        <v>14000</v>
      </c>
      <c r="Z9" s="21">
        <f t="shared" si="29"/>
        <v>17660</v>
      </c>
      <c r="AA9" s="21">
        <f t="shared" si="29"/>
        <v>21157</v>
      </c>
      <c r="AB9" s="21">
        <f t="shared" si="29"/>
        <v>24747</v>
      </c>
      <c r="AC9" s="21">
        <f t="shared" si="29"/>
        <v>27980</v>
      </c>
      <c r="AD9" s="21">
        <f t="shared" si="29"/>
        <v>31506</v>
      </c>
      <c r="AE9" s="21">
        <f t="shared" si="29"/>
        <v>34656.600000000006</v>
      </c>
      <c r="AF9" s="21">
        <f t="shared" si="29"/>
        <v>38122.260000000009</v>
      </c>
      <c r="AG9" s="21">
        <f t="shared" si="29"/>
        <v>41934.486000000012</v>
      </c>
      <c r="AH9" s="21">
        <f t="shared" si="29"/>
        <v>46127.934600000015</v>
      </c>
      <c r="AI9" s="21">
        <f t="shared" si="29"/>
        <v>50740.728060000023</v>
      </c>
      <c r="AJ9" s="21">
        <f t="shared" si="29"/>
        <v>55814.800866000027</v>
      </c>
      <c r="AK9" s="21">
        <f t="shared" si="29"/>
        <v>61396.280952600035</v>
      </c>
      <c r="AL9" s="21">
        <f t="shared" si="29"/>
        <v>67535.909047860041</v>
      </c>
      <c r="AM9" s="21">
        <f t="shared" si="29"/>
        <v>74289.499952646045</v>
      </c>
      <c r="AN9" s="21">
        <f t="shared" si="29"/>
        <v>81718.44994791066</v>
      </c>
      <c r="AO9" s="21">
        <f t="shared" si="29"/>
        <v>89890.29494270173</v>
      </c>
      <c r="AP9" s="21">
        <f t="shared" si="29"/>
        <v>98879.324436971918</v>
      </c>
      <c r="AQ9" s="21">
        <f t="shared" si="29"/>
        <v>108767.25688066911</v>
      </c>
      <c r="AR9" s="21">
        <f t="shared" si="29"/>
        <v>119643.98256873603</v>
      </c>
      <c r="AS9" s="21">
        <f t="shared" si="29"/>
        <v>131608.38082560964</v>
      </c>
      <c r="AT9" s="21">
        <f t="shared" si="29"/>
        <v>144769.21890817062</v>
      </c>
      <c r="AU9" s="21">
        <f t="shared" si="29"/>
        <v>159246.1407989877</v>
      </c>
      <c r="AV9" s="21">
        <f t="shared" si="29"/>
        <v>175170.75487888648</v>
      </c>
      <c r="AW9" s="21">
        <f t="shared" si="29"/>
        <v>192687.83036677513</v>
      </c>
      <c r="AX9" s="21">
        <f t="shared" si="29"/>
        <v>211956.61340345265</v>
      </c>
      <c r="AY9" s="21">
        <f t="shared" si="29"/>
        <v>233152.27474379793</v>
      </c>
      <c r="AZ9" s="21">
        <f t="shared" si="29"/>
        <v>256467.50221817775</v>
      </c>
      <c r="BA9" s="21">
        <f t="shared" si="29"/>
        <v>282114.25243999553</v>
      </c>
      <c r="BB9" s="21">
        <f t="shared" si="29"/>
        <v>310325.67768399511</v>
      </c>
      <c r="BC9" s="21">
        <f t="shared" si="29"/>
        <v>341358.24545239465</v>
      </c>
      <c r="BD9" s="21">
        <f t="shared" si="29"/>
        <v>375494.06999763416</v>
      </c>
      <c r="BE9" s="21">
        <f t="shared" si="29"/>
        <v>413043.47699739761</v>
      </c>
      <c r="BF9" s="21">
        <f t="shared" si="29"/>
        <v>454347.8246971374</v>
      </c>
      <c r="BG9" s="21">
        <f t="shared" si="29"/>
        <v>499782.60716685117</v>
      </c>
      <c r="BH9" s="21">
        <f t="shared" si="29"/>
        <v>549760.86788353638</v>
      </c>
      <c r="BI9" s="21">
        <f t="shared" si="29"/>
        <v>604736.95467189013</v>
      </c>
      <c r="BJ9" s="21">
        <f t="shared" si="29"/>
        <v>665210.6501390792</v>
      </c>
      <c r="BK9" s="21">
        <f t="shared" si="29"/>
        <v>731731.71515298716</v>
      </c>
      <c r="BL9" s="21">
        <f t="shared" si="29"/>
        <v>804904.88666828594</v>
      </c>
      <c r="BM9" s="21">
        <f t="shared" si="29"/>
        <v>885395.37533511466</v>
      </c>
      <c r="BN9" s="21">
        <f t="shared" si="29"/>
        <v>973934.91286862618</v>
      </c>
      <c r="BO9" s="21">
        <f t="shared" si="29"/>
        <v>1071328.4041554888</v>
      </c>
      <c r="BP9" s="21">
        <f t="shared" si="29"/>
        <v>1178461.2445710378</v>
      </c>
      <c r="BQ9" s="21">
        <f t="shared" si="29"/>
        <v>1296307.3690281417</v>
      </c>
      <c r="BR9" s="21">
        <f t="shared" si="29"/>
        <v>1425938.1059309561</v>
      </c>
      <c r="BS9" s="21">
        <f t="shared" ref="BS9:ED9" si="30">IF(IF(AND(ISNA(BS$5),ISNA(BR$5)),BR9*(1+$E9),IF(AND(BR$5&gt;0,ISNA(BS$5)),BR9*(1+$E9),BS$5))&gt;$C$20,$C$20,IF(AND(ISNA(BS$5),ISNA(BR$5)),BR9*(1+$E9),IF(AND(BR$5&gt;0,ISNA(BS$5)),BR9*(1+$E9),BS$5)))</f>
        <v>1568531.9165240519</v>
      </c>
      <c r="BT9" s="21">
        <f t="shared" si="30"/>
        <v>1725385.1081764572</v>
      </c>
      <c r="BU9" s="21">
        <f t="shared" si="30"/>
        <v>1897923.618994103</v>
      </c>
      <c r="BV9" s="21">
        <f t="shared" si="30"/>
        <v>2087715.9808935134</v>
      </c>
      <c r="BW9" s="21">
        <f t="shared" si="30"/>
        <v>2296487.578982865</v>
      </c>
      <c r="BX9" s="21">
        <f t="shared" si="30"/>
        <v>2526136.3368811519</v>
      </c>
      <c r="BY9" s="21">
        <f t="shared" si="30"/>
        <v>2778749.9705692674</v>
      </c>
      <c r="BZ9" s="21">
        <f t="shared" si="30"/>
        <v>3056624.9676261945</v>
      </c>
      <c r="CA9" s="21">
        <f t="shared" si="30"/>
        <v>3362287.4643888143</v>
      </c>
      <c r="CB9" s="21">
        <f t="shared" si="30"/>
        <v>3698516.2108276961</v>
      </c>
      <c r="CC9" s="21">
        <f t="shared" si="30"/>
        <v>4068367.8319104663</v>
      </c>
      <c r="CD9" s="21">
        <f t="shared" si="30"/>
        <v>4475204.6151015135</v>
      </c>
      <c r="CE9" s="21">
        <f t="shared" si="30"/>
        <v>4922725.0766116651</v>
      </c>
      <c r="CF9" s="21">
        <f t="shared" si="30"/>
        <v>5414997.5842728317</v>
      </c>
      <c r="CG9" s="21">
        <f t="shared" si="30"/>
        <v>5956497.3427001154</v>
      </c>
      <c r="CH9" s="21">
        <f t="shared" si="30"/>
        <v>6552147.0769701274</v>
      </c>
      <c r="CI9" s="21">
        <f t="shared" si="30"/>
        <v>7207361.7846671408</v>
      </c>
      <c r="CJ9" s="21">
        <f t="shared" si="30"/>
        <v>7928097.9631338557</v>
      </c>
      <c r="CK9" s="21">
        <f t="shared" si="30"/>
        <v>8720907.7594472412</v>
      </c>
      <c r="CL9" s="21">
        <f t="shared" si="30"/>
        <v>9592998.5353919659</v>
      </c>
      <c r="CM9" s="21">
        <f t="shared" si="30"/>
        <v>10552298.388931163</v>
      </c>
      <c r="CN9" s="21">
        <f t="shared" si="30"/>
        <v>11607528.22782428</v>
      </c>
      <c r="CO9" s="21">
        <f t="shared" si="30"/>
        <v>12768281.050606709</v>
      </c>
      <c r="CP9" s="21">
        <f t="shared" si="30"/>
        <v>14045109.155667381</v>
      </c>
      <c r="CQ9" s="21">
        <f t="shared" si="30"/>
        <v>15449620.07123412</v>
      </c>
      <c r="CR9" s="21">
        <f t="shared" si="30"/>
        <v>16994582.078357533</v>
      </c>
      <c r="CS9" s="21">
        <f t="shared" si="30"/>
        <v>18694040.286193289</v>
      </c>
      <c r="CT9" s="21">
        <f t="shared" si="30"/>
        <v>20563444.314812619</v>
      </c>
      <c r="CU9" s="21">
        <f t="shared" si="30"/>
        <v>22619788.746293884</v>
      </c>
      <c r="CV9" s="21">
        <f t="shared" si="30"/>
        <v>24184730.400000002</v>
      </c>
      <c r="CW9" s="21">
        <f t="shared" si="30"/>
        <v>24184730.400000002</v>
      </c>
      <c r="CX9" s="21">
        <f t="shared" si="30"/>
        <v>24184730.400000002</v>
      </c>
      <c r="CY9" s="21">
        <f t="shared" si="30"/>
        <v>24184730.400000002</v>
      </c>
      <c r="CZ9" s="21">
        <f t="shared" si="30"/>
        <v>24184730.400000002</v>
      </c>
      <c r="DA9" s="21">
        <f t="shared" si="30"/>
        <v>24184730.400000002</v>
      </c>
      <c r="DB9" s="21">
        <f t="shared" si="30"/>
        <v>24184730.400000002</v>
      </c>
      <c r="DC9" s="21">
        <f t="shared" si="30"/>
        <v>24184730.400000002</v>
      </c>
      <c r="DD9" s="21">
        <f t="shared" si="30"/>
        <v>24184730.400000002</v>
      </c>
      <c r="DE9" s="21">
        <f t="shared" si="30"/>
        <v>24184730.400000002</v>
      </c>
      <c r="DF9" s="21">
        <f t="shared" si="30"/>
        <v>24184730.400000002</v>
      </c>
      <c r="DG9" s="21">
        <f t="shared" si="30"/>
        <v>24184730.400000002</v>
      </c>
      <c r="DH9" s="21">
        <f t="shared" si="30"/>
        <v>24184730.400000002</v>
      </c>
      <c r="DI9" s="21">
        <f t="shared" si="30"/>
        <v>24184730.400000002</v>
      </c>
      <c r="DJ9" s="21">
        <f t="shared" si="30"/>
        <v>24184730.400000002</v>
      </c>
      <c r="DK9" s="21">
        <f t="shared" si="30"/>
        <v>24184730.400000002</v>
      </c>
      <c r="DL9" s="21">
        <f t="shared" si="30"/>
        <v>24184730.400000002</v>
      </c>
      <c r="DM9" s="21">
        <f t="shared" si="30"/>
        <v>24184730.400000002</v>
      </c>
      <c r="DN9" s="21">
        <f t="shared" si="30"/>
        <v>24184730.400000002</v>
      </c>
      <c r="DO9" s="21">
        <f t="shared" si="30"/>
        <v>24184730.400000002</v>
      </c>
      <c r="DP9" s="21">
        <f t="shared" si="30"/>
        <v>24184730.400000002</v>
      </c>
      <c r="DQ9" s="21">
        <f t="shared" si="30"/>
        <v>24184730.400000002</v>
      </c>
      <c r="DR9" s="21">
        <f t="shared" si="30"/>
        <v>24184730.400000002</v>
      </c>
      <c r="DS9" s="21">
        <f t="shared" si="30"/>
        <v>24184730.400000002</v>
      </c>
      <c r="DT9" s="21">
        <f t="shared" si="30"/>
        <v>24184730.400000002</v>
      </c>
      <c r="DU9" s="21">
        <f t="shared" si="30"/>
        <v>24184730.400000002</v>
      </c>
      <c r="DV9" s="21">
        <f t="shared" si="30"/>
        <v>24184730.400000002</v>
      </c>
      <c r="DW9" s="21">
        <f t="shared" si="30"/>
        <v>24184730.400000002</v>
      </c>
      <c r="DX9" s="21">
        <f t="shared" si="30"/>
        <v>24184730.400000002</v>
      </c>
      <c r="DY9" s="21">
        <f t="shared" si="30"/>
        <v>24184730.400000002</v>
      </c>
      <c r="DZ9" s="21">
        <f t="shared" si="30"/>
        <v>24184730.400000002</v>
      </c>
      <c r="EA9" s="21">
        <f t="shared" si="30"/>
        <v>24184730.400000002</v>
      </c>
      <c r="EB9" s="21">
        <f t="shared" si="30"/>
        <v>24184730.400000002</v>
      </c>
      <c r="EC9" s="21">
        <f t="shared" si="30"/>
        <v>24184730.400000002</v>
      </c>
      <c r="ED9" s="21">
        <f t="shared" si="30"/>
        <v>24184730.400000002</v>
      </c>
      <c r="EE9" s="21">
        <f t="shared" ref="EE9:GP9" si="31">IF(IF(AND(ISNA(EE$5),ISNA(ED$5)),ED9*(1+$E9),IF(AND(ED$5&gt;0,ISNA(EE$5)),ED9*(1+$E9),EE$5))&gt;$C$20,$C$20,IF(AND(ISNA(EE$5),ISNA(ED$5)),ED9*(1+$E9),IF(AND(ED$5&gt;0,ISNA(EE$5)),ED9*(1+$E9),EE$5)))</f>
        <v>24184730.400000002</v>
      </c>
      <c r="EF9" s="21">
        <f t="shared" si="31"/>
        <v>24184730.400000002</v>
      </c>
      <c r="EG9" s="21">
        <f t="shared" si="31"/>
        <v>24184730.400000002</v>
      </c>
      <c r="EH9" s="21">
        <f t="shared" si="31"/>
        <v>24184730.400000002</v>
      </c>
      <c r="EI9" s="21">
        <f t="shared" si="31"/>
        <v>24184730.400000002</v>
      </c>
      <c r="EJ9" s="21">
        <f t="shared" si="31"/>
        <v>24184730.400000002</v>
      </c>
      <c r="EK9" s="21">
        <f t="shared" si="31"/>
        <v>24184730.400000002</v>
      </c>
      <c r="EL9" s="21">
        <f t="shared" si="31"/>
        <v>24184730.400000002</v>
      </c>
      <c r="EM9" s="21">
        <f t="shared" si="31"/>
        <v>24184730.400000002</v>
      </c>
      <c r="EN9" s="21">
        <f t="shared" si="31"/>
        <v>24184730.400000002</v>
      </c>
      <c r="EO9" s="21">
        <f t="shared" si="31"/>
        <v>24184730.400000002</v>
      </c>
      <c r="EP9" s="21">
        <f t="shared" si="31"/>
        <v>24184730.400000002</v>
      </c>
      <c r="EQ9" s="21">
        <f t="shared" si="31"/>
        <v>24184730.400000002</v>
      </c>
      <c r="ER9" s="21">
        <f t="shared" si="31"/>
        <v>24184730.400000002</v>
      </c>
      <c r="ES9" s="21">
        <f t="shared" si="31"/>
        <v>24184730.400000002</v>
      </c>
      <c r="ET9" s="21">
        <f t="shared" si="31"/>
        <v>24184730.400000002</v>
      </c>
      <c r="EU9" s="21">
        <f t="shared" si="31"/>
        <v>24184730.400000002</v>
      </c>
      <c r="EV9" s="21">
        <f t="shared" si="31"/>
        <v>24184730.400000002</v>
      </c>
      <c r="EW9" s="21">
        <f t="shared" si="31"/>
        <v>24184730.400000002</v>
      </c>
      <c r="EX9" s="21">
        <f t="shared" si="31"/>
        <v>24184730.400000002</v>
      </c>
      <c r="EY9" s="21">
        <f t="shared" si="31"/>
        <v>24184730.400000002</v>
      </c>
      <c r="EZ9" s="21">
        <f t="shared" si="31"/>
        <v>24184730.400000002</v>
      </c>
      <c r="FA9" s="21">
        <f t="shared" si="31"/>
        <v>24184730.400000002</v>
      </c>
      <c r="FB9" s="21">
        <f t="shared" si="31"/>
        <v>24184730.400000002</v>
      </c>
      <c r="FC9" s="21">
        <f t="shared" si="31"/>
        <v>24184730.400000002</v>
      </c>
      <c r="FD9" s="21">
        <f t="shared" si="31"/>
        <v>24184730.400000002</v>
      </c>
      <c r="FE9" s="21">
        <f t="shared" si="31"/>
        <v>24184730.400000002</v>
      </c>
      <c r="FF9" s="21">
        <f t="shared" si="31"/>
        <v>24184730.400000002</v>
      </c>
      <c r="FG9" s="21">
        <f t="shared" si="31"/>
        <v>24184730.400000002</v>
      </c>
      <c r="FH9" s="21">
        <f t="shared" si="31"/>
        <v>24184730.400000002</v>
      </c>
      <c r="FI9" s="21">
        <f t="shared" si="31"/>
        <v>24184730.400000002</v>
      </c>
      <c r="FJ9" s="21">
        <f t="shared" si="31"/>
        <v>24184730.400000002</v>
      </c>
      <c r="FK9" s="21">
        <f t="shared" si="31"/>
        <v>24184730.400000002</v>
      </c>
      <c r="FL9" s="21">
        <f t="shared" si="31"/>
        <v>24184730.400000002</v>
      </c>
      <c r="FM9" s="21">
        <f t="shared" si="31"/>
        <v>24184730.400000002</v>
      </c>
      <c r="FN9" s="21">
        <f t="shared" si="31"/>
        <v>24184730.400000002</v>
      </c>
      <c r="FO9" s="21">
        <f t="shared" si="31"/>
        <v>24184730.400000002</v>
      </c>
      <c r="FP9" s="21">
        <f t="shared" si="31"/>
        <v>24184730.400000002</v>
      </c>
      <c r="FQ9" s="21">
        <f t="shared" si="31"/>
        <v>24184730.400000002</v>
      </c>
      <c r="FR9" s="21">
        <f t="shared" si="31"/>
        <v>24184730.400000002</v>
      </c>
      <c r="FS9" s="21">
        <f t="shared" si="31"/>
        <v>24184730.400000002</v>
      </c>
      <c r="FT9" s="21">
        <f t="shared" si="31"/>
        <v>24184730.400000002</v>
      </c>
      <c r="FU9" s="21">
        <f t="shared" si="31"/>
        <v>24184730.400000002</v>
      </c>
      <c r="FV9" s="21">
        <f t="shared" si="31"/>
        <v>24184730.400000002</v>
      </c>
      <c r="FW9" s="21">
        <f t="shared" si="31"/>
        <v>24184730.400000002</v>
      </c>
      <c r="FX9" s="21">
        <f t="shared" si="31"/>
        <v>24184730.400000002</v>
      </c>
      <c r="FY9" s="21">
        <f t="shared" si="31"/>
        <v>24184730.400000002</v>
      </c>
      <c r="FZ9" s="21">
        <f t="shared" si="31"/>
        <v>24184730.400000002</v>
      </c>
      <c r="GA9" s="21">
        <f t="shared" si="31"/>
        <v>24184730.400000002</v>
      </c>
      <c r="GB9" s="21">
        <f t="shared" si="31"/>
        <v>24184730.400000002</v>
      </c>
      <c r="GC9" s="21">
        <f t="shared" si="31"/>
        <v>24184730.400000002</v>
      </c>
      <c r="GD9" s="21">
        <f t="shared" si="31"/>
        <v>24184730.400000002</v>
      </c>
      <c r="GE9" s="21">
        <f t="shared" si="31"/>
        <v>24184730.400000002</v>
      </c>
      <c r="GF9" s="21">
        <f t="shared" si="31"/>
        <v>24184730.400000002</v>
      </c>
      <c r="GG9" s="21">
        <f t="shared" si="31"/>
        <v>24184730.400000002</v>
      </c>
      <c r="GH9" s="21">
        <f t="shared" si="31"/>
        <v>24184730.400000002</v>
      </c>
      <c r="GI9" s="21">
        <f t="shared" si="31"/>
        <v>24184730.400000002</v>
      </c>
      <c r="GJ9" s="21">
        <f t="shared" si="31"/>
        <v>24184730.400000002</v>
      </c>
      <c r="GK9" s="21">
        <f t="shared" si="31"/>
        <v>24184730.400000002</v>
      </c>
      <c r="GL9" s="21">
        <f t="shared" si="31"/>
        <v>24184730.400000002</v>
      </c>
      <c r="GM9" s="21">
        <f t="shared" si="31"/>
        <v>24184730.400000002</v>
      </c>
      <c r="GN9" s="21">
        <f t="shared" si="31"/>
        <v>24184730.400000002</v>
      </c>
      <c r="GO9" s="21">
        <f t="shared" si="31"/>
        <v>24184730.400000002</v>
      </c>
      <c r="GP9" s="21">
        <f t="shared" si="31"/>
        <v>24184730.400000002</v>
      </c>
      <c r="GQ9" s="21">
        <f t="shared" ref="GQ9:IN9" si="32">IF(IF(AND(ISNA(GQ$5),ISNA(GP$5)),GP9*(1+$E9),IF(AND(GP$5&gt;0,ISNA(GQ$5)),GP9*(1+$E9),GQ$5))&gt;$C$20,$C$20,IF(AND(ISNA(GQ$5),ISNA(GP$5)),GP9*(1+$E9),IF(AND(GP$5&gt;0,ISNA(GQ$5)),GP9*(1+$E9),GQ$5)))</f>
        <v>24184730.400000002</v>
      </c>
      <c r="GR9" s="21">
        <f t="shared" si="32"/>
        <v>24184730.400000002</v>
      </c>
      <c r="GS9" s="21">
        <f t="shared" si="32"/>
        <v>24184730.400000002</v>
      </c>
      <c r="GT9" s="21">
        <f t="shared" si="32"/>
        <v>24184730.400000002</v>
      </c>
      <c r="GU9" s="21">
        <f t="shared" si="32"/>
        <v>24184730.400000002</v>
      </c>
      <c r="GV9" s="21">
        <f t="shared" si="32"/>
        <v>24184730.400000002</v>
      </c>
      <c r="GW9" s="21">
        <f t="shared" si="32"/>
        <v>24184730.400000002</v>
      </c>
      <c r="GX9" s="21">
        <f t="shared" si="32"/>
        <v>24184730.400000002</v>
      </c>
      <c r="GY9" s="21">
        <f t="shared" si="32"/>
        <v>24184730.400000002</v>
      </c>
      <c r="GZ9" s="21">
        <f t="shared" si="32"/>
        <v>24184730.400000002</v>
      </c>
      <c r="HA9" s="21">
        <f t="shared" si="32"/>
        <v>24184730.400000002</v>
      </c>
      <c r="HB9" s="21">
        <f t="shared" si="32"/>
        <v>24184730.400000002</v>
      </c>
      <c r="HC9" s="21">
        <f t="shared" si="32"/>
        <v>24184730.400000002</v>
      </c>
      <c r="HD9" s="21">
        <f t="shared" si="32"/>
        <v>24184730.400000002</v>
      </c>
      <c r="HE9" s="21">
        <f t="shared" si="32"/>
        <v>24184730.400000002</v>
      </c>
      <c r="HF9" s="21">
        <f t="shared" si="32"/>
        <v>24184730.400000002</v>
      </c>
      <c r="HG9" s="21">
        <f t="shared" si="32"/>
        <v>24184730.400000002</v>
      </c>
      <c r="HH9" s="21">
        <f t="shared" si="32"/>
        <v>24184730.400000002</v>
      </c>
      <c r="HI9" s="21">
        <f t="shared" si="32"/>
        <v>24184730.400000002</v>
      </c>
      <c r="HJ9" s="21">
        <f t="shared" si="32"/>
        <v>24184730.400000002</v>
      </c>
      <c r="HK9" s="21">
        <f t="shared" si="32"/>
        <v>24184730.400000002</v>
      </c>
      <c r="HL9" s="21">
        <f t="shared" si="32"/>
        <v>24184730.400000002</v>
      </c>
      <c r="HM9" s="21">
        <f t="shared" si="32"/>
        <v>24184730.400000002</v>
      </c>
      <c r="HN9" s="21">
        <f t="shared" si="32"/>
        <v>24184730.400000002</v>
      </c>
      <c r="HO9" s="21">
        <f t="shared" si="32"/>
        <v>24184730.400000002</v>
      </c>
      <c r="HP9" s="21">
        <f t="shared" si="32"/>
        <v>24184730.400000002</v>
      </c>
      <c r="HQ9" s="21">
        <f t="shared" si="32"/>
        <v>24184730.400000002</v>
      </c>
      <c r="HR9" s="21">
        <f t="shared" si="32"/>
        <v>24184730.400000002</v>
      </c>
      <c r="HS9" s="21">
        <f t="shared" si="32"/>
        <v>24184730.400000002</v>
      </c>
      <c r="HT9" s="21">
        <f t="shared" si="32"/>
        <v>24184730.400000002</v>
      </c>
      <c r="HU9" s="21">
        <f t="shared" si="32"/>
        <v>24184730.400000002</v>
      </c>
      <c r="HV9" s="21">
        <f t="shared" si="32"/>
        <v>24184730.400000002</v>
      </c>
      <c r="HW9" s="21">
        <f t="shared" si="32"/>
        <v>24184730.400000002</v>
      </c>
      <c r="HX9" s="21">
        <f t="shared" si="32"/>
        <v>24184730.400000002</v>
      </c>
      <c r="HY9" s="21">
        <f t="shared" si="32"/>
        <v>24184730.400000002</v>
      </c>
      <c r="HZ9" s="21">
        <f t="shared" si="32"/>
        <v>24184730.400000002</v>
      </c>
      <c r="IA9" s="21">
        <f t="shared" si="32"/>
        <v>24184730.400000002</v>
      </c>
      <c r="IB9" s="21">
        <f t="shared" si="32"/>
        <v>24184730.400000002</v>
      </c>
      <c r="IC9" s="21">
        <f t="shared" si="32"/>
        <v>24184730.400000002</v>
      </c>
      <c r="ID9" s="21">
        <f t="shared" si="32"/>
        <v>24184730.400000002</v>
      </c>
      <c r="IE9" s="21">
        <f t="shared" si="32"/>
        <v>24184730.400000002</v>
      </c>
      <c r="IF9" s="21">
        <f t="shared" si="32"/>
        <v>24184730.400000002</v>
      </c>
      <c r="IG9" s="21">
        <f t="shared" si="32"/>
        <v>24184730.400000002</v>
      </c>
      <c r="IH9" s="21">
        <f t="shared" si="32"/>
        <v>24184730.400000002</v>
      </c>
      <c r="II9" s="21">
        <f t="shared" si="32"/>
        <v>24184730.400000002</v>
      </c>
      <c r="IJ9" s="21">
        <f t="shared" si="32"/>
        <v>24184730.400000002</v>
      </c>
      <c r="IK9" s="21">
        <f t="shared" si="32"/>
        <v>24184730.400000002</v>
      </c>
      <c r="IL9" s="21">
        <f t="shared" si="32"/>
        <v>24184730.400000002</v>
      </c>
      <c r="IM9" s="21">
        <f t="shared" si="32"/>
        <v>24184730.400000002</v>
      </c>
      <c r="IN9" s="21">
        <f t="shared" si="32"/>
        <v>24184730.400000002</v>
      </c>
    </row>
    <row r="10" spans="2:248" x14ac:dyDescent="0.3">
      <c r="B10" s="19" t="s">
        <v>483</v>
      </c>
      <c r="C10" s="19">
        <v>5</v>
      </c>
      <c r="F10" s="19" t="s">
        <v>612</v>
      </c>
      <c r="G10" s="21">
        <f t="shared" ref="G10:R10" si="33">G9</f>
        <v>155</v>
      </c>
      <c r="H10" s="21">
        <f t="shared" si="33"/>
        <v>229</v>
      </c>
      <c r="I10" s="21">
        <f t="shared" si="33"/>
        <v>322</v>
      </c>
      <c r="J10" s="21">
        <f t="shared" si="33"/>
        <v>453</v>
      </c>
      <c r="K10" s="21">
        <f t="shared" si="33"/>
        <v>655</v>
      </c>
      <c r="L10" s="21">
        <f t="shared" si="33"/>
        <v>888</v>
      </c>
      <c r="M10" s="21">
        <f t="shared" si="33"/>
        <v>1128</v>
      </c>
      <c r="N10" s="21">
        <f t="shared" si="33"/>
        <v>1694</v>
      </c>
      <c r="O10" s="21">
        <f t="shared" si="33"/>
        <v>2036</v>
      </c>
      <c r="P10" s="21">
        <f t="shared" si="33"/>
        <v>2502</v>
      </c>
      <c r="Q10" s="21">
        <f t="shared" si="33"/>
        <v>3089</v>
      </c>
      <c r="R10" s="21">
        <f t="shared" si="33"/>
        <v>3858</v>
      </c>
      <c r="S10" s="21">
        <f>S9-G9</f>
        <v>4481</v>
      </c>
      <c r="T10" s="21">
        <f t="shared" ref="T10" si="34">T9-H9</f>
        <v>5654</v>
      </c>
      <c r="U10" s="21">
        <f t="shared" ref="U10" si="35">U9-I9</f>
        <v>7053</v>
      </c>
      <c r="V10" s="21">
        <f t="shared" ref="V10" si="36">V9-J9</f>
        <v>8719</v>
      </c>
      <c r="W10" s="21">
        <f t="shared" ref="W10" si="37">W9-K9</f>
        <v>9494</v>
      </c>
      <c r="X10" s="21">
        <f t="shared" ref="X10" si="38">X9-L9</f>
        <v>11574</v>
      </c>
      <c r="Y10" s="21">
        <f t="shared" ref="Y10" si="39">Y9-M9</f>
        <v>12872</v>
      </c>
      <c r="Z10" s="21">
        <f t="shared" ref="Z10" si="40">Z9-N9</f>
        <v>15966</v>
      </c>
      <c r="AA10" s="21">
        <f t="shared" ref="AA10" si="41">AA9-O9</f>
        <v>19121</v>
      </c>
      <c r="AB10" s="21">
        <f t="shared" ref="AB10" si="42">AB9-P9</f>
        <v>22245</v>
      </c>
      <c r="AC10" s="21">
        <f t="shared" ref="AC10" si="43">AC9-Q9</f>
        <v>24891</v>
      </c>
      <c r="AD10" s="21">
        <f t="shared" ref="AD10" si="44">AD9-R9</f>
        <v>27648</v>
      </c>
      <c r="AE10" s="21">
        <f t="shared" ref="AE10" si="45">AE9-S9</f>
        <v>30020.600000000006</v>
      </c>
      <c r="AF10" s="21">
        <f t="shared" ref="AF10" si="46">AF9-T9</f>
        <v>32239.260000000009</v>
      </c>
      <c r="AG10" s="21">
        <f t="shared" ref="AG10" si="47">AG9-U9</f>
        <v>34559.486000000012</v>
      </c>
      <c r="AH10" s="21">
        <f t="shared" ref="AH10" si="48">AH9-V9</f>
        <v>36955.934600000015</v>
      </c>
      <c r="AI10" s="21">
        <f t="shared" ref="AI10" si="49">AI9-W9</f>
        <v>40591.728060000023</v>
      </c>
      <c r="AJ10" s="21">
        <f t="shared" ref="AJ10" si="50">AJ9-X9</f>
        <v>43352.800866000027</v>
      </c>
      <c r="AK10" s="21">
        <f t="shared" ref="AK10" si="51">AK9-Y9</f>
        <v>47396.280952600035</v>
      </c>
      <c r="AL10" s="21">
        <f t="shared" ref="AL10" si="52">AL9-Z9</f>
        <v>49875.909047860041</v>
      </c>
      <c r="AM10" s="21">
        <f t="shared" ref="AM10" si="53">AM9-AA9</f>
        <v>53132.499952646045</v>
      </c>
      <c r="AN10" s="21">
        <f t="shared" ref="AN10" si="54">AN9-AB9</f>
        <v>56971.44994791066</v>
      </c>
      <c r="AO10" s="21">
        <f t="shared" ref="AO10" si="55">AO9-AC9</f>
        <v>61910.29494270173</v>
      </c>
      <c r="AP10" s="21">
        <f t="shared" ref="AP10" si="56">AP9-AD9</f>
        <v>67373.324436971918</v>
      </c>
      <c r="AQ10" s="21">
        <f t="shared" ref="AQ10" si="57">AQ9-AE9</f>
        <v>74110.656880669107</v>
      </c>
      <c r="AR10" s="21">
        <f t="shared" ref="AR10" si="58">AR9-AF9</f>
        <v>81521.722568736019</v>
      </c>
      <c r="AS10" s="21">
        <f t="shared" ref="AS10" si="59">AS9-AG9</f>
        <v>89673.894825609634</v>
      </c>
      <c r="AT10" s="21">
        <f t="shared" ref="AT10" si="60">AT9-AH9</f>
        <v>98641.284308170609</v>
      </c>
      <c r="AU10" s="21">
        <f t="shared" ref="AU10" si="61">AU9-AI9</f>
        <v>108505.41273898768</v>
      </c>
      <c r="AV10" s="21">
        <f t="shared" ref="AV10" si="62">AV9-AJ9</f>
        <v>119355.95401288645</v>
      </c>
      <c r="AW10" s="21">
        <f t="shared" ref="AW10" si="63">AW9-AK9</f>
        <v>131291.5494141751</v>
      </c>
      <c r="AX10" s="21">
        <f t="shared" ref="AX10" si="64">AX9-AL9</f>
        <v>144420.70435559261</v>
      </c>
      <c r="AY10" s="21">
        <f t="shared" ref="AY10" si="65">AY9-AM9</f>
        <v>158862.77479115187</v>
      </c>
      <c r="AZ10" s="21">
        <f t="shared" ref="AZ10" si="66">AZ9-AN9</f>
        <v>174749.0522702671</v>
      </c>
      <c r="BA10" s="21">
        <f t="shared" ref="BA10" si="67">BA9-AO9</f>
        <v>192223.9574972938</v>
      </c>
      <c r="BB10" s="21">
        <f t="shared" ref="BB10" si="68">BB9-AP9</f>
        <v>211446.35324702319</v>
      </c>
      <c r="BC10" s="21">
        <f t="shared" ref="BC10" si="69">BC9-AQ9</f>
        <v>232590.98857172555</v>
      </c>
      <c r="BD10" s="21">
        <f t="shared" ref="BD10" si="70">BD9-AR9</f>
        <v>255850.08742889814</v>
      </c>
      <c r="BE10" s="21">
        <f t="shared" ref="BE10" si="71">BE9-AS9</f>
        <v>281435.09617178794</v>
      </c>
      <c r="BF10" s="21">
        <f t="shared" ref="BF10" si="72">BF9-AT9</f>
        <v>309578.60578896676</v>
      </c>
      <c r="BG10" s="21">
        <f t="shared" ref="BG10" si="73">BG9-AU9</f>
        <v>340536.46636786347</v>
      </c>
      <c r="BH10" s="21">
        <f t="shared" ref="BH10" si="74">BH9-AV9</f>
        <v>374590.11300464987</v>
      </c>
      <c r="BI10" s="21">
        <f t="shared" ref="BI10" si="75">BI9-AW9</f>
        <v>412049.12430511496</v>
      </c>
      <c r="BJ10" s="21">
        <f t="shared" ref="BJ10" si="76">BJ9-AX9</f>
        <v>453254.03673562652</v>
      </c>
      <c r="BK10" s="21">
        <f t="shared" ref="BK10" si="77">BK9-AY9</f>
        <v>498579.44040918921</v>
      </c>
      <c r="BL10" s="21">
        <f t="shared" ref="BL10" si="78">BL9-AZ9</f>
        <v>548437.38445010816</v>
      </c>
      <c r="BM10" s="21">
        <f t="shared" ref="BM10" si="79">BM9-BA9</f>
        <v>603281.12289511913</v>
      </c>
      <c r="BN10" s="21">
        <f t="shared" ref="BN10" si="80">BN9-BB9</f>
        <v>663609.23518463108</v>
      </c>
      <c r="BO10" s="21">
        <f t="shared" ref="BO10" si="81">BO9-BC9</f>
        <v>729970.15870309412</v>
      </c>
      <c r="BP10" s="21">
        <f t="shared" ref="BP10" si="82">BP9-BD9</f>
        <v>802967.17457340367</v>
      </c>
      <c r="BQ10" s="21">
        <f t="shared" ref="BQ10" si="83">BQ9-BE9</f>
        <v>883263.89203074411</v>
      </c>
      <c r="BR10" s="21">
        <f t="shared" ref="BR10" si="84">BR9-BF9</f>
        <v>971590.28123381874</v>
      </c>
      <c r="BS10" s="21">
        <f t="shared" ref="BS10" si="85">BS9-BG9</f>
        <v>1068749.3093572007</v>
      </c>
      <c r="BT10" s="21">
        <f t="shared" ref="BT10" si="86">BT9-BH9</f>
        <v>1175624.2402929207</v>
      </c>
      <c r="BU10" s="21">
        <f t="shared" ref="BU10" si="87">BU9-BI9</f>
        <v>1293186.6643222128</v>
      </c>
      <c r="BV10" s="21">
        <f t="shared" ref="BV10" si="88">BV9-BJ9</f>
        <v>1422505.3307544342</v>
      </c>
      <c r="BW10" s="21">
        <f t="shared" ref="BW10" si="89">BW9-BK9</f>
        <v>1564755.8638298777</v>
      </c>
      <c r="BX10" s="21">
        <f t="shared" ref="BX10" si="90">BX9-BL9</f>
        <v>1721231.4502128661</v>
      </c>
      <c r="BY10" s="21">
        <f t="shared" ref="BY10" si="91">BY9-BM9</f>
        <v>1893354.5952341529</v>
      </c>
      <c r="BZ10" s="21">
        <f t="shared" ref="BZ10" si="92">BZ9-BN9</f>
        <v>2082690.0547575683</v>
      </c>
      <c r="CA10" s="21">
        <f t="shared" ref="CA10" si="93">CA9-BO9</f>
        <v>2290959.0602333257</v>
      </c>
      <c r="CB10" s="21">
        <f t="shared" ref="CB10" si="94">CB9-BP9</f>
        <v>2520054.9662566585</v>
      </c>
      <c r="CC10" s="21">
        <f t="shared" ref="CC10" si="95">CC9-BQ9</f>
        <v>2772060.4628823246</v>
      </c>
      <c r="CD10" s="21">
        <f t="shared" ref="CD10" si="96">CD9-BR9</f>
        <v>3049266.5091705574</v>
      </c>
      <c r="CE10" s="21">
        <f t="shared" ref="CE10" si="97">CE9-BS9</f>
        <v>3354193.1600876134</v>
      </c>
      <c r="CF10" s="21">
        <f t="shared" ref="CF10" si="98">CF9-BT9</f>
        <v>3689612.4760963744</v>
      </c>
      <c r="CG10" s="21">
        <f t="shared" ref="CG10" si="99">CG9-BU9</f>
        <v>4058573.7237060126</v>
      </c>
      <c r="CH10" s="21">
        <f t="shared" ref="CH10" si="100">CH9-BV9</f>
        <v>4464431.0960766142</v>
      </c>
      <c r="CI10" s="21">
        <f t="shared" ref="CI10" si="101">CI9-BW9</f>
        <v>4910874.2056842763</v>
      </c>
      <c r="CJ10" s="21">
        <f t="shared" ref="CJ10" si="102">CJ9-BX9</f>
        <v>5401961.6262527034</v>
      </c>
      <c r="CK10" s="21">
        <f t="shared" ref="CK10" si="103">CK9-BY9</f>
        <v>5942157.7888779733</v>
      </c>
      <c r="CL10" s="21">
        <f t="shared" ref="CL10" si="104">CL9-BZ9</f>
        <v>6536373.5677657714</v>
      </c>
      <c r="CM10" s="21">
        <f t="shared" ref="CM10" si="105">CM9-CA9</f>
        <v>7190010.9245423488</v>
      </c>
      <c r="CN10" s="21">
        <f t="shared" ref="CN10" si="106">CN9-CB9</f>
        <v>7909012.0169965839</v>
      </c>
      <c r="CO10" s="21">
        <f t="shared" ref="CO10" si="107">CO9-CC9</f>
        <v>8699913.2186962422</v>
      </c>
      <c r="CP10" s="21">
        <f t="shared" ref="CP10" si="108">CP9-CD9</f>
        <v>9569904.540565867</v>
      </c>
      <c r="CQ10" s="21">
        <f t="shared" ref="CQ10" si="109">CQ9-CE9</f>
        <v>10526894.994622454</v>
      </c>
      <c r="CR10" s="21">
        <f t="shared" ref="CR10" si="110">CR9-CF9</f>
        <v>11579584.494084701</v>
      </c>
      <c r="CS10" s="21">
        <f t="shared" ref="CS10" si="111">CS9-CG9</f>
        <v>12737542.943493173</v>
      </c>
      <c r="CT10" s="21">
        <f t="shared" ref="CT10" si="112">CT9-CH9</f>
        <v>14011297.237842493</v>
      </c>
      <c r="CU10" s="21">
        <f t="shared" ref="CU10" si="113">CU9-CI9</f>
        <v>15412426.961626742</v>
      </c>
      <c r="CV10" s="21">
        <f t="shared" ref="CV10" si="114">CV9-CJ9</f>
        <v>16256632.436866146</v>
      </c>
      <c r="CW10" s="21">
        <f t="shared" ref="CW10" si="115">CW9-CK9</f>
        <v>15463822.640552761</v>
      </c>
      <c r="CX10" s="21">
        <f t="shared" ref="CX10" si="116">CX9-CL9</f>
        <v>14591731.864608036</v>
      </c>
      <c r="CY10" s="21">
        <f t="shared" ref="CY10" si="117">CY9-CM9</f>
        <v>13632432.01106884</v>
      </c>
      <c r="CZ10" s="21">
        <f t="shared" ref="CZ10" si="118">CZ9-CN9</f>
        <v>12577202.172175722</v>
      </c>
      <c r="DA10" s="21">
        <f t="shared" ref="DA10" si="119">DA9-CO9</f>
        <v>11416449.349393293</v>
      </c>
      <c r="DB10" s="21">
        <f t="shared" ref="DB10" si="120">DB9-CP9</f>
        <v>10139621.244332621</v>
      </c>
      <c r="DC10" s="21">
        <f t="shared" ref="DC10" si="121">DC9-CQ9</f>
        <v>8735110.3287658822</v>
      </c>
      <c r="DD10" s="21">
        <f t="shared" ref="DD10" si="122">DD9-CR9</f>
        <v>7190148.3216424696</v>
      </c>
      <c r="DE10" s="21">
        <f t="shared" ref="DE10" si="123">DE9-CS9</f>
        <v>5490690.1138067134</v>
      </c>
      <c r="DF10" s="21">
        <f t="shared" ref="DF10" si="124">DF9-CT9</f>
        <v>3621286.085187383</v>
      </c>
      <c r="DG10" s="21">
        <f t="shared" ref="DG10" si="125">DG9-CU9</f>
        <v>1564941.6537061185</v>
      </c>
      <c r="DH10" s="21">
        <f t="shared" ref="DH10" si="126">DH9-CV9</f>
        <v>0</v>
      </c>
      <c r="DI10" s="21">
        <f t="shared" ref="DI10" si="127">DI9-CW9</f>
        <v>0</v>
      </c>
      <c r="DJ10" s="21">
        <f t="shared" ref="DJ10" si="128">DJ9-CX9</f>
        <v>0</v>
      </c>
      <c r="DK10" s="21">
        <f t="shared" ref="DK10" si="129">DK9-CY9</f>
        <v>0</v>
      </c>
      <c r="DL10" s="21">
        <f t="shared" ref="DL10" si="130">DL9-CZ9</f>
        <v>0</v>
      </c>
      <c r="DM10" s="21">
        <f t="shared" ref="DM10" si="131">DM9-DA9</f>
        <v>0</v>
      </c>
      <c r="DN10" s="21">
        <f t="shared" ref="DN10" si="132">DN9-DB9</f>
        <v>0</v>
      </c>
      <c r="DO10" s="21">
        <f t="shared" ref="DO10" si="133">DO9-DC9</f>
        <v>0</v>
      </c>
      <c r="DP10" s="21">
        <f t="shared" ref="DP10" si="134">DP9-DD9</f>
        <v>0</v>
      </c>
      <c r="DQ10" s="21">
        <f t="shared" ref="DQ10" si="135">DQ9-DE9</f>
        <v>0</v>
      </c>
      <c r="DR10" s="21">
        <f t="shared" ref="DR10" si="136">DR9-DF9</f>
        <v>0</v>
      </c>
      <c r="DS10" s="21">
        <f t="shared" ref="DS10" si="137">DS9-DG9</f>
        <v>0</v>
      </c>
      <c r="DT10" s="21">
        <f t="shared" ref="DT10" si="138">DT9-DH9</f>
        <v>0</v>
      </c>
      <c r="DU10" s="21">
        <f t="shared" ref="DU10" si="139">DU9-DI9</f>
        <v>0</v>
      </c>
      <c r="DV10" s="21">
        <f t="shared" ref="DV10" si="140">DV9-DJ9</f>
        <v>0</v>
      </c>
      <c r="DW10" s="21">
        <f t="shared" ref="DW10" si="141">DW9-DK9</f>
        <v>0</v>
      </c>
      <c r="DX10" s="21">
        <f t="shared" ref="DX10" si="142">DX9-DL9</f>
        <v>0</v>
      </c>
      <c r="DY10" s="21">
        <f t="shared" ref="DY10" si="143">DY9-DM9</f>
        <v>0</v>
      </c>
      <c r="DZ10" s="21">
        <f t="shared" ref="DZ10" si="144">DZ9-DN9</f>
        <v>0</v>
      </c>
      <c r="EA10" s="21">
        <f t="shared" ref="EA10" si="145">EA9-DO9</f>
        <v>0</v>
      </c>
      <c r="EB10" s="21">
        <f t="shared" ref="EB10" si="146">EB9-DP9</f>
        <v>0</v>
      </c>
      <c r="EC10" s="21">
        <f t="shared" ref="EC10" si="147">EC9-DQ9</f>
        <v>0</v>
      </c>
      <c r="ED10" s="21">
        <f t="shared" ref="ED10" si="148">ED9-DR9</f>
        <v>0</v>
      </c>
      <c r="EE10" s="21">
        <f t="shared" ref="EE10" si="149">EE9-DS9</f>
        <v>0</v>
      </c>
      <c r="EF10" s="21">
        <f t="shared" ref="EF10" si="150">EF9-DT9</f>
        <v>0</v>
      </c>
      <c r="EG10" s="21">
        <f t="shared" ref="EG10" si="151">EG9-DU9</f>
        <v>0</v>
      </c>
      <c r="EH10" s="21">
        <f t="shared" ref="EH10" si="152">EH9-DV9</f>
        <v>0</v>
      </c>
      <c r="EI10" s="21">
        <f t="shared" ref="EI10" si="153">EI9-DW9</f>
        <v>0</v>
      </c>
      <c r="EJ10" s="21">
        <f t="shared" ref="EJ10" si="154">EJ9-DX9</f>
        <v>0</v>
      </c>
      <c r="EK10" s="21">
        <f t="shared" ref="EK10" si="155">EK9-DY9</f>
        <v>0</v>
      </c>
      <c r="EL10" s="21">
        <f t="shared" ref="EL10" si="156">EL9-DZ9</f>
        <v>0</v>
      </c>
      <c r="EM10" s="21">
        <f t="shared" ref="EM10" si="157">EM9-EA9</f>
        <v>0</v>
      </c>
      <c r="EN10" s="21">
        <f t="shared" ref="EN10" si="158">EN9-EB9</f>
        <v>0</v>
      </c>
      <c r="EO10" s="21">
        <f t="shared" ref="EO10" si="159">EO9-EC9</f>
        <v>0</v>
      </c>
      <c r="EP10" s="21">
        <f t="shared" ref="EP10" si="160">EP9-ED9</f>
        <v>0</v>
      </c>
      <c r="EQ10" s="21">
        <f t="shared" ref="EQ10" si="161">EQ9-EE9</f>
        <v>0</v>
      </c>
      <c r="ER10" s="21">
        <f t="shared" ref="ER10" si="162">ER9-EF9</f>
        <v>0</v>
      </c>
      <c r="ES10" s="21">
        <f t="shared" ref="ES10" si="163">ES9-EG9</f>
        <v>0</v>
      </c>
      <c r="ET10" s="21">
        <f t="shared" ref="ET10" si="164">ET9-EH9</f>
        <v>0</v>
      </c>
      <c r="EU10" s="21">
        <f t="shared" ref="EU10" si="165">EU9-EI9</f>
        <v>0</v>
      </c>
      <c r="EV10" s="21">
        <f t="shared" ref="EV10" si="166">EV9-EJ9</f>
        <v>0</v>
      </c>
      <c r="EW10" s="21">
        <f t="shared" ref="EW10" si="167">EW9-EK9</f>
        <v>0</v>
      </c>
      <c r="EX10" s="21">
        <f t="shared" ref="EX10" si="168">EX9-EL9</f>
        <v>0</v>
      </c>
      <c r="EY10" s="21">
        <f t="shared" ref="EY10" si="169">EY9-EM9</f>
        <v>0</v>
      </c>
      <c r="EZ10" s="21">
        <f t="shared" ref="EZ10" si="170">EZ9-EN9</f>
        <v>0</v>
      </c>
      <c r="FA10" s="21">
        <f t="shared" ref="FA10" si="171">FA9-EO9</f>
        <v>0</v>
      </c>
      <c r="FB10" s="21">
        <f t="shared" ref="FB10" si="172">FB9-EP9</f>
        <v>0</v>
      </c>
      <c r="FC10" s="21">
        <f t="shared" ref="FC10" si="173">FC9-EQ9</f>
        <v>0</v>
      </c>
      <c r="FD10" s="21">
        <f t="shared" ref="FD10" si="174">FD9-ER9</f>
        <v>0</v>
      </c>
      <c r="FE10" s="21">
        <f t="shared" ref="FE10" si="175">FE9-ES9</f>
        <v>0</v>
      </c>
      <c r="FF10" s="21">
        <f t="shared" ref="FF10" si="176">FF9-ET9</f>
        <v>0</v>
      </c>
      <c r="FG10" s="21">
        <f t="shared" ref="FG10" si="177">FG9-EU9</f>
        <v>0</v>
      </c>
      <c r="FH10" s="21">
        <f t="shared" ref="FH10" si="178">FH9-EV9</f>
        <v>0</v>
      </c>
      <c r="FI10" s="21">
        <f t="shared" ref="FI10" si="179">FI9-EW9</f>
        <v>0</v>
      </c>
      <c r="FJ10" s="21">
        <f t="shared" ref="FJ10" si="180">FJ9-EX9</f>
        <v>0</v>
      </c>
      <c r="FK10" s="21">
        <f t="shared" ref="FK10" si="181">FK9-EY9</f>
        <v>0</v>
      </c>
      <c r="FL10" s="21">
        <f t="shared" ref="FL10" si="182">FL9-EZ9</f>
        <v>0</v>
      </c>
      <c r="FM10" s="21">
        <f t="shared" ref="FM10" si="183">FM9-FA9</f>
        <v>0</v>
      </c>
      <c r="FN10" s="21">
        <f t="shared" ref="FN10" si="184">FN9-FB9</f>
        <v>0</v>
      </c>
      <c r="FO10" s="21">
        <f t="shared" ref="FO10" si="185">FO9-FC9</f>
        <v>0</v>
      </c>
      <c r="FP10" s="21">
        <f t="shared" ref="FP10" si="186">FP9-FD9</f>
        <v>0</v>
      </c>
      <c r="FQ10" s="21">
        <f t="shared" ref="FQ10" si="187">FQ9-FE9</f>
        <v>0</v>
      </c>
      <c r="FR10" s="21">
        <f t="shared" ref="FR10" si="188">FR9-FF9</f>
        <v>0</v>
      </c>
      <c r="FS10" s="21">
        <f t="shared" ref="FS10" si="189">FS9-FG9</f>
        <v>0</v>
      </c>
      <c r="FT10" s="21">
        <f t="shared" ref="FT10" si="190">FT9-FH9</f>
        <v>0</v>
      </c>
      <c r="FU10" s="21">
        <f t="shared" ref="FU10" si="191">FU9-FI9</f>
        <v>0</v>
      </c>
      <c r="FV10" s="21">
        <f t="shared" ref="FV10" si="192">FV9-FJ9</f>
        <v>0</v>
      </c>
      <c r="FW10" s="21">
        <f t="shared" ref="FW10" si="193">FW9-FK9</f>
        <v>0</v>
      </c>
      <c r="FX10" s="21">
        <f t="shared" ref="FX10" si="194">FX9-FL9</f>
        <v>0</v>
      </c>
      <c r="FY10" s="21">
        <f t="shared" ref="FY10" si="195">FY9-FM9</f>
        <v>0</v>
      </c>
      <c r="FZ10" s="21">
        <f t="shared" ref="FZ10" si="196">FZ9-FN9</f>
        <v>0</v>
      </c>
      <c r="GA10" s="21">
        <f t="shared" ref="GA10" si="197">GA9-FO9</f>
        <v>0</v>
      </c>
      <c r="GB10" s="21">
        <f t="shared" ref="GB10" si="198">GB9-FP9</f>
        <v>0</v>
      </c>
      <c r="GC10" s="21">
        <f t="shared" ref="GC10" si="199">GC9-FQ9</f>
        <v>0</v>
      </c>
      <c r="GD10" s="21">
        <f t="shared" ref="GD10" si="200">GD9-FR9</f>
        <v>0</v>
      </c>
      <c r="GE10" s="21">
        <f t="shared" ref="GE10" si="201">GE9-FS9</f>
        <v>0</v>
      </c>
      <c r="GF10" s="21">
        <f t="shared" ref="GF10" si="202">GF9-FT9</f>
        <v>0</v>
      </c>
      <c r="GG10" s="21">
        <f t="shared" ref="GG10" si="203">GG9-FU9</f>
        <v>0</v>
      </c>
      <c r="GH10" s="21">
        <f t="shared" ref="GH10" si="204">GH9-FV9</f>
        <v>0</v>
      </c>
      <c r="GI10" s="21">
        <f t="shared" ref="GI10" si="205">GI9-FW9</f>
        <v>0</v>
      </c>
      <c r="GJ10" s="21">
        <f t="shared" ref="GJ10" si="206">GJ9-FX9</f>
        <v>0</v>
      </c>
      <c r="GK10" s="21">
        <f t="shared" ref="GK10" si="207">GK9-FY9</f>
        <v>0</v>
      </c>
      <c r="GL10" s="21">
        <f t="shared" ref="GL10" si="208">GL9-FZ9</f>
        <v>0</v>
      </c>
      <c r="GM10" s="21">
        <f t="shared" ref="GM10" si="209">GM9-GA9</f>
        <v>0</v>
      </c>
      <c r="GN10" s="21">
        <f t="shared" ref="GN10" si="210">GN9-GB9</f>
        <v>0</v>
      </c>
      <c r="GO10" s="21">
        <f t="shared" ref="GO10" si="211">GO9-GC9</f>
        <v>0</v>
      </c>
      <c r="GP10" s="21">
        <f t="shared" ref="GP10" si="212">GP9-GD9</f>
        <v>0</v>
      </c>
      <c r="GQ10" s="21">
        <f t="shared" ref="GQ10" si="213">GQ9-GE9</f>
        <v>0</v>
      </c>
      <c r="GR10" s="21">
        <f t="shared" ref="GR10" si="214">GR9-GF9</f>
        <v>0</v>
      </c>
      <c r="GS10" s="21">
        <f t="shared" ref="GS10" si="215">GS9-GG9</f>
        <v>0</v>
      </c>
      <c r="GT10" s="21">
        <f t="shared" ref="GT10" si="216">GT9-GH9</f>
        <v>0</v>
      </c>
      <c r="GU10" s="21">
        <f t="shared" ref="GU10" si="217">GU9-GI9</f>
        <v>0</v>
      </c>
      <c r="GV10" s="21">
        <f t="shared" ref="GV10" si="218">GV9-GJ9</f>
        <v>0</v>
      </c>
      <c r="GW10" s="21">
        <f t="shared" ref="GW10" si="219">GW9-GK9</f>
        <v>0</v>
      </c>
      <c r="GX10" s="21">
        <f t="shared" ref="GX10" si="220">GX9-GL9</f>
        <v>0</v>
      </c>
      <c r="GY10" s="21">
        <f t="shared" ref="GY10" si="221">GY9-GM9</f>
        <v>0</v>
      </c>
      <c r="GZ10" s="21">
        <f t="shared" ref="GZ10" si="222">GZ9-GN9</f>
        <v>0</v>
      </c>
      <c r="HA10" s="21">
        <f t="shared" ref="HA10" si="223">HA9-GO9</f>
        <v>0</v>
      </c>
      <c r="HB10" s="21">
        <f t="shared" ref="HB10" si="224">HB9-GP9</f>
        <v>0</v>
      </c>
      <c r="HC10" s="21">
        <f t="shared" ref="HC10" si="225">HC9-GQ9</f>
        <v>0</v>
      </c>
      <c r="HD10" s="21">
        <f t="shared" ref="HD10" si="226">HD9-GR9</f>
        <v>0</v>
      </c>
      <c r="HE10" s="21">
        <f t="shared" ref="HE10" si="227">HE9-GS9</f>
        <v>0</v>
      </c>
      <c r="HF10" s="21">
        <f t="shared" ref="HF10" si="228">HF9-GT9</f>
        <v>0</v>
      </c>
      <c r="HG10" s="21">
        <f t="shared" ref="HG10" si="229">HG9-GU9</f>
        <v>0</v>
      </c>
      <c r="HH10" s="21">
        <f t="shared" ref="HH10" si="230">HH9-GV9</f>
        <v>0</v>
      </c>
      <c r="HI10" s="21">
        <f t="shared" ref="HI10" si="231">HI9-GW9</f>
        <v>0</v>
      </c>
      <c r="HJ10" s="21">
        <f t="shared" ref="HJ10" si="232">HJ9-GX9</f>
        <v>0</v>
      </c>
      <c r="HK10" s="21">
        <f t="shared" ref="HK10" si="233">HK9-GY9</f>
        <v>0</v>
      </c>
      <c r="HL10" s="21">
        <f t="shared" ref="HL10" si="234">HL9-GZ9</f>
        <v>0</v>
      </c>
      <c r="HM10" s="21">
        <f t="shared" ref="HM10" si="235">HM9-HA9</f>
        <v>0</v>
      </c>
      <c r="HN10" s="21">
        <f t="shared" ref="HN10" si="236">HN9-HB9</f>
        <v>0</v>
      </c>
      <c r="HO10" s="21">
        <f t="shared" ref="HO10" si="237">HO9-HC9</f>
        <v>0</v>
      </c>
      <c r="HP10" s="21">
        <f t="shared" ref="HP10" si="238">HP9-HD9</f>
        <v>0</v>
      </c>
      <c r="HQ10" s="21">
        <f t="shared" ref="HQ10" si="239">HQ9-HE9</f>
        <v>0</v>
      </c>
      <c r="HR10" s="21">
        <f t="shared" ref="HR10" si="240">HR9-HF9</f>
        <v>0</v>
      </c>
      <c r="HS10" s="21">
        <f t="shared" ref="HS10" si="241">HS9-HG9</f>
        <v>0</v>
      </c>
      <c r="HT10" s="21">
        <f t="shared" ref="HT10" si="242">HT9-HH9</f>
        <v>0</v>
      </c>
      <c r="HU10" s="21">
        <f t="shared" ref="HU10" si="243">HU9-HI9</f>
        <v>0</v>
      </c>
      <c r="HV10" s="21">
        <f t="shared" ref="HV10" si="244">HV9-HJ9</f>
        <v>0</v>
      </c>
      <c r="HW10" s="21">
        <f t="shared" ref="HW10" si="245">HW9-HK9</f>
        <v>0</v>
      </c>
      <c r="HX10" s="21">
        <f t="shared" ref="HX10" si="246">HX9-HL9</f>
        <v>0</v>
      </c>
      <c r="HY10" s="21">
        <f t="shared" ref="HY10" si="247">HY9-HM9</f>
        <v>0</v>
      </c>
      <c r="HZ10" s="21">
        <f t="shared" ref="HZ10" si="248">HZ9-HN9</f>
        <v>0</v>
      </c>
      <c r="IA10" s="21">
        <f t="shared" ref="IA10" si="249">IA9-HO9</f>
        <v>0</v>
      </c>
      <c r="IB10" s="21">
        <f t="shared" ref="IB10" si="250">IB9-HP9</f>
        <v>0</v>
      </c>
      <c r="IC10" s="21">
        <f t="shared" ref="IC10" si="251">IC9-HQ9</f>
        <v>0</v>
      </c>
      <c r="ID10" s="21">
        <f t="shared" ref="ID10" si="252">ID9-HR9</f>
        <v>0</v>
      </c>
      <c r="IE10" s="21">
        <f t="shared" ref="IE10" si="253">IE9-HS9</f>
        <v>0</v>
      </c>
      <c r="IF10" s="21">
        <f t="shared" ref="IF10" si="254">IF9-HT9</f>
        <v>0</v>
      </c>
      <c r="IG10" s="21">
        <f t="shared" ref="IG10" si="255">IG9-HU9</f>
        <v>0</v>
      </c>
      <c r="IH10" s="21">
        <f t="shared" ref="IH10" si="256">IH9-HV9</f>
        <v>0</v>
      </c>
      <c r="II10" s="21">
        <f t="shared" ref="II10" si="257">II9-HW9</f>
        <v>0</v>
      </c>
      <c r="IJ10" s="21">
        <f t="shared" ref="IJ10" si="258">IJ9-HX9</f>
        <v>0</v>
      </c>
      <c r="IK10" s="21">
        <f t="shared" ref="IK10" si="259">IK9-HY9</f>
        <v>0</v>
      </c>
      <c r="IL10" s="21">
        <f t="shared" ref="IL10" si="260">IL9-HZ9</f>
        <v>0</v>
      </c>
      <c r="IM10" s="21">
        <f t="shared" ref="IM10" si="261">IM9-IA9</f>
        <v>0</v>
      </c>
      <c r="IN10" s="21">
        <f t="shared" ref="IN10" si="262">IN9-IB9</f>
        <v>0</v>
      </c>
    </row>
    <row r="11" spans="2:248" x14ac:dyDescent="0.3">
      <c r="B11" s="19" t="s">
        <v>482</v>
      </c>
      <c r="C11" s="23">
        <f>VLOOKUP(B2,DaysSince100!C:G,5,FALSE)-1</f>
        <v>0.17612382212188282</v>
      </c>
      <c r="E11" s="19">
        <v>0.25</v>
      </c>
      <c r="F11" s="22" t="s">
        <v>619</v>
      </c>
      <c r="G11" s="21">
        <f t="shared" ref="G11:BR11" si="263">IF(IF(AND(ISNA(G$5),ISNA(F$5)),F11*(1+$E11),IF(AND(F$5&gt;0,ISNA(G$5)),F11*(1+$E11),G$5))&gt;$C$20,$C$20,IF(AND(ISNA(G$5),ISNA(F$5)),F11*(1+$E11),IF(AND(F$5&gt;0,ISNA(G$5)),F11*(1+$E11),G$5)))</f>
        <v>155</v>
      </c>
      <c r="H11" s="21">
        <f t="shared" si="263"/>
        <v>229</v>
      </c>
      <c r="I11" s="21">
        <f t="shared" si="263"/>
        <v>322</v>
      </c>
      <c r="J11" s="21">
        <f t="shared" si="263"/>
        <v>453</v>
      </c>
      <c r="K11" s="21">
        <f t="shared" si="263"/>
        <v>655</v>
      </c>
      <c r="L11" s="21">
        <f t="shared" si="263"/>
        <v>888</v>
      </c>
      <c r="M11" s="21">
        <f t="shared" si="263"/>
        <v>1128</v>
      </c>
      <c r="N11" s="21">
        <f t="shared" si="263"/>
        <v>1694</v>
      </c>
      <c r="O11" s="21">
        <f t="shared" si="263"/>
        <v>2036</v>
      </c>
      <c r="P11" s="21">
        <f t="shared" si="263"/>
        <v>2502</v>
      </c>
      <c r="Q11" s="21">
        <f t="shared" si="263"/>
        <v>3089</v>
      </c>
      <c r="R11" s="21">
        <f t="shared" si="263"/>
        <v>3858</v>
      </c>
      <c r="S11" s="21">
        <f t="shared" si="263"/>
        <v>4636</v>
      </c>
      <c r="T11" s="21">
        <f t="shared" si="263"/>
        <v>5883</v>
      </c>
      <c r="U11" s="21">
        <f t="shared" si="263"/>
        <v>7375</v>
      </c>
      <c r="V11" s="21">
        <f t="shared" si="263"/>
        <v>9172</v>
      </c>
      <c r="W11" s="21">
        <f t="shared" si="263"/>
        <v>10149</v>
      </c>
      <c r="X11" s="21">
        <f t="shared" si="263"/>
        <v>12462</v>
      </c>
      <c r="Y11" s="21">
        <f t="shared" si="263"/>
        <v>14000</v>
      </c>
      <c r="Z11" s="21">
        <f t="shared" si="263"/>
        <v>17660</v>
      </c>
      <c r="AA11" s="21">
        <f t="shared" si="263"/>
        <v>21157</v>
      </c>
      <c r="AB11" s="21">
        <f t="shared" si="263"/>
        <v>24747</v>
      </c>
      <c r="AC11" s="21">
        <f t="shared" si="263"/>
        <v>27980</v>
      </c>
      <c r="AD11" s="21">
        <f t="shared" si="263"/>
        <v>31506</v>
      </c>
      <c r="AE11" s="21">
        <f t="shared" si="263"/>
        <v>39382.5</v>
      </c>
      <c r="AF11" s="21">
        <f t="shared" si="263"/>
        <v>49228.125</v>
      </c>
      <c r="AG11" s="21">
        <f t="shared" si="263"/>
        <v>61535.15625</v>
      </c>
      <c r="AH11" s="21">
        <f t="shared" si="263"/>
        <v>76918.9453125</v>
      </c>
      <c r="AI11" s="21">
        <f t="shared" si="263"/>
        <v>96148.681640625</v>
      </c>
      <c r="AJ11" s="21">
        <f t="shared" si="263"/>
        <v>120185.85205078125</v>
      </c>
      <c r="AK11" s="21">
        <f t="shared" si="263"/>
        <v>150232.31506347656</v>
      </c>
      <c r="AL11" s="21">
        <f t="shared" si="263"/>
        <v>187790.3938293457</v>
      </c>
      <c r="AM11" s="21">
        <f t="shared" si="263"/>
        <v>234737.99228668213</v>
      </c>
      <c r="AN11" s="21">
        <f t="shared" si="263"/>
        <v>293422.49035835266</v>
      </c>
      <c r="AO11" s="21">
        <f t="shared" si="263"/>
        <v>366778.11294794083</v>
      </c>
      <c r="AP11" s="21">
        <f t="shared" si="263"/>
        <v>458472.64118492603</v>
      </c>
      <c r="AQ11" s="21">
        <f t="shared" si="263"/>
        <v>573090.80148115754</v>
      </c>
      <c r="AR11" s="21">
        <f t="shared" si="263"/>
        <v>716363.50185144693</v>
      </c>
      <c r="AS11" s="21">
        <f t="shared" si="263"/>
        <v>895454.37731430866</v>
      </c>
      <c r="AT11" s="21">
        <f t="shared" si="263"/>
        <v>1119317.9716428858</v>
      </c>
      <c r="AU11" s="21">
        <f t="shared" si="263"/>
        <v>1399147.4645536072</v>
      </c>
      <c r="AV11" s="21">
        <f t="shared" si="263"/>
        <v>1748934.3306920091</v>
      </c>
      <c r="AW11" s="21">
        <f t="shared" si="263"/>
        <v>2186167.9133650111</v>
      </c>
      <c r="AX11" s="21">
        <f t="shared" si="263"/>
        <v>2732709.8917062636</v>
      </c>
      <c r="AY11" s="21">
        <f t="shared" si="263"/>
        <v>3415887.3646328296</v>
      </c>
      <c r="AZ11" s="21">
        <f t="shared" si="263"/>
        <v>4269859.2057910366</v>
      </c>
      <c r="BA11" s="21">
        <f t="shared" si="263"/>
        <v>5337324.007238796</v>
      </c>
      <c r="BB11" s="21">
        <f t="shared" si="263"/>
        <v>6671655.0090484954</v>
      </c>
      <c r="BC11" s="21">
        <f t="shared" si="263"/>
        <v>8339568.7613106193</v>
      </c>
      <c r="BD11" s="21">
        <f t="shared" si="263"/>
        <v>10424460.951638274</v>
      </c>
      <c r="BE11" s="21">
        <f t="shared" si="263"/>
        <v>13030576.189547842</v>
      </c>
      <c r="BF11" s="21">
        <f t="shared" si="263"/>
        <v>16288220.236934803</v>
      </c>
      <c r="BG11" s="21">
        <f t="shared" si="263"/>
        <v>20360275.296168506</v>
      </c>
      <c r="BH11" s="21">
        <f t="shared" si="263"/>
        <v>24184730.400000002</v>
      </c>
      <c r="BI11" s="21">
        <f t="shared" si="263"/>
        <v>24184730.400000002</v>
      </c>
      <c r="BJ11" s="21">
        <f t="shared" si="263"/>
        <v>24184730.400000002</v>
      </c>
      <c r="BK11" s="21">
        <f t="shared" si="263"/>
        <v>24184730.400000002</v>
      </c>
      <c r="BL11" s="21">
        <f t="shared" si="263"/>
        <v>24184730.400000002</v>
      </c>
      <c r="BM11" s="21">
        <f t="shared" si="263"/>
        <v>24184730.400000002</v>
      </c>
      <c r="BN11" s="21">
        <f t="shared" si="263"/>
        <v>24184730.400000002</v>
      </c>
      <c r="BO11" s="21">
        <f t="shared" si="263"/>
        <v>24184730.400000002</v>
      </c>
      <c r="BP11" s="21">
        <f t="shared" si="263"/>
        <v>24184730.400000002</v>
      </c>
      <c r="BQ11" s="21">
        <f t="shared" si="263"/>
        <v>24184730.400000002</v>
      </c>
      <c r="BR11" s="21">
        <f t="shared" si="263"/>
        <v>24184730.400000002</v>
      </c>
      <c r="BS11" s="21">
        <f t="shared" ref="BS11:ED11" si="264">IF(IF(AND(ISNA(BS$5),ISNA(BR$5)),BR11*(1+$E11),IF(AND(BR$5&gt;0,ISNA(BS$5)),BR11*(1+$E11),BS$5))&gt;$C$20,$C$20,IF(AND(ISNA(BS$5),ISNA(BR$5)),BR11*(1+$E11),IF(AND(BR$5&gt;0,ISNA(BS$5)),BR11*(1+$E11),BS$5)))</f>
        <v>24184730.400000002</v>
      </c>
      <c r="BT11" s="21">
        <f t="shared" si="264"/>
        <v>24184730.400000002</v>
      </c>
      <c r="BU11" s="21">
        <f t="shared" si="264"/>
        <v>24184730.400000002</v>
      </c>
      <c r="BV11" s="21">
        <f t="shared" si="264"/>
        <v>24184730.400000002</v>
      </c>
      <c r="BW11" s="21">
        <f t="shared" si="264"/>
        <v>24184730.400000002</v>
      </c>
      <c r="BX11" s="21">
        <f t="shared" si="264"/>
        <v>24184730.400000002</v>
      </c>
      <c r="BY11" s="21">
        <f t="shared" si="264"/>
        <v>24184730.400000002</v>
      </c>
      <c r="BZ11" s="21">
        <f t="shared" si="264"/>
        <v>24184730.400000002</v>
      </c>
      <c r="CA11" s="21">
        <f t="shared" si="264"/>
        <v>24184730.400000002</v>
      </c>
      <c r="CB11" s="21">
        <f t="shared" si="264"/>
        <v>24184730.400000002</v>
      </c>
      <c r="CC11" s="21">
        <f t="shared" si="264"/>
        <v>24184730.400000002</v>
      </c>
      <c r="CD11" s="21">
        <f t="shared" si="264"/>
        <v>24184730.400000002</v>
      </c>
      <c r="CE11" s="21">
        <f t="shared" si="264"/>
        <v>24184730.400000002</v>
      </c>
      <c r="CF11" s="21">
        <f t="shared" si="264"/>
        <v>24184730.400000002</v>
      </c>
      <c r="CG11" s="21">
        <f t="shared" si="264"/>
        <v>24184730.400000002</v>
      </c>
      <c r="CH11" s="21">
        <f t="shared" si="264"/>
        <v>24184730.400000002</v>
      </c>
      <c r="CI11" s="21">
        <f t="shared" si="264"/>
        <v>24184730.400000002</v>
      </c>
      <c r="CJ11" s="21">
        <f t="shared" si="264"/>
        <v>24184730.400000002</v>
      </c>
      <c r="CK11" s="21">
        <f t="shared" si="264"/>
        <v>24184730.400000002</v>
      </c>
      <c r="CL11" s="21">
        <f t="shared" si="264"/>
        <v>24184730.400000002</v>
      </c>
      <c r="CM11" s="21">
        <f t="shared" si="264"/>
        <v>24184730.400000002</v>
      </c>
      <c r="CN11" s="21">
        <f t="shared" si="264"/>
        <v>24184730.400000002</v>
      </c>
      <c r="CO11" s="21">
        <f t="shared" si="264"/>
        <v>24184730.400000002</v>
      </c>
      <c r="CP11" s="21">
        <f t="shared" si="264"/>
        <v>24184730.400000002</v>
      </c>
      <c r="CQ11" s="21">
        <f t="shared" si="264"/>
        <v>24184730.400000002</v>
      </c>
      <c r="CR11" s="21">
        <f t="shared" si="264"/>
        <v>24184730.400000002</v>
      </c>
      <c r="CS11" s="21">
        <f t="shared" si="264"/>
        <v>24184730.400000002</v>
      </c>
      <c r="CT11" s="21">
        <f t="shared" si="264"/>
        <v>24184730.400000002</v>
      </c>
      <c r="CU11" s="21">
        <f t="shared" si="264"/>
        <v>24184730.400000002</v>
      </c>
      <c r="CV11" s="21">
        <f t="shared" si="264"/>
        <v>24184730.400000002</v>
      </c>
      <c r="CW11" s="21">
        <f t="shared" si="264"/>
        <v>24184730.400000002</v>
      </c>
      <c r="CX11" s="21">
        <f t="shared" si="264"/>
        <v>24184730.400000002</v>
      </c>
      <c r="CY11" s="21">
        <f t="shared" si="264"/>
        <v>24184730.400000002</v>
      </c>
      <c r="CZ11" s="21">
        <f t="shared" si="264"/>
        <v>24184730.400000002</v>
      </c>
      <c r="DA11" s="21">
        <f t="shared" si="264"/>
        <v>24184730.400000002</v>
      </c>
      <c r="DB11" s="21">
        <f t="shared" si="264"/>
        <v>24184730.400000002</v>
      </c>
      <c r="DC11" s="21">
        <f t="shared" si="264"/>
        <v>24184730.400000002</v>
      </c>
      <c r="DD11" s="21">
        <f t="shared" si="264"/>
        <v>24184730.400000002</v>
      </c>
      <c r="DE11" s="21">
        <f t="shared" si="264"/>
        <v>24184730.400000002</v>
      </c>
      <c r="DF11" s="21">
        <f t="shared" si="264"/>
        <v>24184730.400000002</v>
      </c>
      <c r="DG11" s="21">
        <f t="shared" si="264"/>
        <v>24184730.400000002</v>
      </c>
      <c r="DH11" s="21">
        <f t="shared" si="264"/>
        <v>24184730.400000002</v>
      </c>
      <c r="DI11" s="21">
        <f t="shared" si="264"/>
        <v>24184730.400000002</v>
      </c>
      <c r="DJ11" s="21">
        <f t="shared" si="264"/>
        <v>24184730.400000002</v>
      </c>
      <c r="DK11" s="21">
        <f t="shared" si="264"/>
        <v>24184730.400000002</v>
      </c>
      <c r="DL11" s="21">
        <f t="shared" si="264"/>
        <v>24184730.400000002</v>
      </c>
      <c r="DM11" s="21">
        <f t="shared" si="264"/>
        <v>24184730.400000002</v>
      </c>
      <c r="DN11" s="21">
        <f t="shared" si="264"/>
        <v>24184730.400000002</v>
      </c>
      <c r="DO11" s="21">
        <f t="shared" si="264"/>
        <v>24184730.400000002</v>
      </c>
      <c r="DP11" s="21">
        <f t="shared" si="264"/>
        <v>24184730.400000002</v>
      </c>
      <c r="DQ11" s="21">
        <f t="shared" si="264"/>
        <v>24184730.400000002</v>
      </c>
      <c r="DR11" s="21">
        <f t="shared" si="264"/>
        <v>24184730.400000002</v>
      </c>
      <c r="DS11" s="21">
        <f t="shared" si="264"/>
        <v>24184730.400000002</v>
      </c>
      <c r="DT11" s="21">
        <f t="shared" si="264"/>
        <v>24184730.400000002</v>
      </c>
      <c r="DU11" s="21">
        <f t="shared" si="264"/>
        <v>24184730.400000002</v>
      </c>
      <c r="DV11" s="21">
        <f t="shared" si="264"/>
        <v>24184730.400000002</v>
      </c>
      <c r="DW11" s="21">
        <f t="shared" si="264"/>
        <v>24184730.400000002</v>
      </c>
      <c r="DX11" s="21">
        <f t="shared" si="264"/>
        <v>24184730.400000002</v>
      </c>
      <c r="DY11" s="21">
        <f t="shared" si="264"/>
        <v>24184730.400000002</v>
      </c>
      <c r="DZ11" s="21">
        <f t="shared" si="264"/>
        <v>24184730.400000002</v>
      </c>
      <c r="EA11" s="21">
        <f t="shared" si="264"/>
        <v>24184730.400000002</v>
      </c>
      <c r="EB11" s="21">
        <f t="shared" si="264"/>
        <v>24184730.400000002</v>
      </c>
      <c r="EC11" s="21">
        <f t="shared" si="264"/>
        <v>24184730.400000002</v>
      </c>
      <c r="ED11" s="21">
        <f t="shared" si="264"/>
        <v>24184730.400000002</v>
      </c>
      <c r="EE11" s="21">
        <f t="shared" ref="EE11:GP11" si="265">IF(IF(AND(ISNA(EE$5),ISNA(ED$5)),ED11*(1+$E11),IF(AND(ED$5&gt;0,ISNA(EE$5)),ED11*(1+$E11),EE$5))&gt;$C$20,$C$20,IF(AND(ISNA(EE$5),ISNA(ED$5)),ED11*(1+$E11),IF(AND(ED$5&gt;0,ISNA(EE$5)),ED11*(1+$E11),EE$5)))</f>
        <v>24184730.400000002</v>
      </c>
      <c r="EF11" s="21">
        <f t="shared" si="265"/>
        <v>24184730.400000002</v>
      </c>
      <c r="EG11" s="21">
        <f t="shared" si="265"/>
        <v>24184730.400000002</v>
      </c>
      <c r="EH11" s="21">
        <f t="shared" si="265"/>
        <v>24184730.400000002</v>
      </c>
      <c r="EI11" s="21">
        <f t="shared" si="265"/>
        <v>24184730.400000002</v>
      </c>
      <c r="EJ11" s="21">
        <f t="shared" si="265"/>
        <v>24184730.400000002</v>
      </c>
      <c r="EK11" s="21">
        <f t="shared" si="265"/>
        <v>24184730.400000002</v>
      </c>
      <c r="EL11" s="21">
        <f t="shared" si="265"/>
        <v>24184730.400000002</v>
      </c>
      <c r="EM11" s="21">
        <f t="shared" si="265"/>
        <v>24184730.400000002</v>
      </c>
      <c r="EN11" s="21">
        <f t="shared" si="265"/>
        <v>24184730.400000002</v>
      </c>
      <c r="EO11" s="21">
        <f t="shared" si="265"/>
        <v>24184730.400000002</v>
      </c>
      <c r="EP11" s="21">
        <f t="shared" si="265"/>
        <v>24184730.400000002</v>
      </c>
      <c r="EQ11" s="21">
        <f t="shared" si="265"/>
        <v>24184730.400000002</v>
      </c>
      <c r="ER11" s="21">
        <f t="shared" si="265"/>
        <v>24184730.400000002</v>
      </c>
      <c r="ES11" s="21">
        <f t="shared" si="265"/>
        <v>24184730.400000002</v>
      </c>
      <c r="ET11" s="21">
        <f t="shared" si="265"/>
        <v>24184730.400000002</v>
      </c>
      <c r="EU11" s="21">
        <f t="shared" si="265"/>
        <v>24184730.400000002</v>
      </c>
      <c r="EV11" s="21">
        <f t="shared" si="265"/>
        <v>24184730.400000002</v>
      </c>
      <c r="EW11" s="21">
        <f t="shared" si="265"/>
        <v>24184730.400000002</v>
      </c>
      <c r="EX11" s="21">
        <f t="shared" si="265"/>
        <v>24184730.400000002</v>
      </c>
      <c r="EY11" s="21">
        <f t="shared" si="265"/>
        <v>24184730.400000002</v>
      </c>
      <c r="EZ11" s="21">
        <f t="shared" si="265"/>
        <v>24184730.400000002</v>
      </c>
      <c r="FA11" s="21">
        <f t="shared" si="265"/>
        <v>24184730.400000002</v>
      </c>
      <c r="FB11" s="21">
        <f t="shared" si="265"/>
        <v>24184730.400000002</v>
      </c>
      <c r="FC11" s="21">
        <f t="shared" si="265"/>
        <v>24184730.400000002</v>
      </c>
      <c r="FD11" s="21">
        <f t="shared" si="265"/>
        <v>24184730.400000002</v>
      </c>
      <c r="FE11" s="21">
        <f t="shared" si="265"/>
        <v>24184730.400000002</v>
      </c>
      <c r="FF11" s="21">
        <f t="shared" si="265"/>
        <v>24184730.400000002</v>
      </c>
      <c r="FG11" s="21">
        <f t="shared" si="265"/>
        <v>24184730.400000002</v>
      </c>
      <c r="FH11" s="21">
        <f t="shared" si="265"/>
        <v>24184730.400000002</v>
      </c>
      <c r="FI11" s="21">
        <f t="shared" si="265"/>
        <v>24184730.400000002</v>
      </c>
      <c r="FJ11" s="21">
        <f t="shared" si="265"/>
        <v>24184730.400000002</v>
      </c>
      <c r="FK11" s="21">
        <f t="shared" si="265"/>
        <v>24184730.400000002</v>
      </c>
      <c r="FL11" s="21">
        <f t="shared" si="265"/>
        <v>24184730.400000002</v>
      </c>
      <c r="FM11" s="21">
        <f t="shared" si="265"/>
        <v>24184730.400000002</v>
      </c>
      <c r="FN11" s="21">
        <f t="shared" si="265"/>
        <v>24184730.400000002</v>
      </c>
      <c r="FO11" s="21">
        <f t="shared" si="265"/>
        <v>24184730.400000002</v>
      </c>
      <c r="FP11" s="21">
        <f t="shared" si="265"/>
        <v>24184730.400000002</v>
      </c>
      <c r="FQ11" s="21">
        <f t="shared" si="265"/>
        <v>24184730.400000002</v>
      </c>
      <c r="FR11" s="21">
        <f t="shared" si="265"/>
        <v>24184730.400000002</v>
      </c>
      <c r="FS11" s="21">
        <f t="shared" si="265"/>
        <v>24184730.400000002</v>
      </c>
      <c r="FT11" s="21">
        <f t="shared" si="265"/>
        <v>24184730.400000002</v>
      </c>
      <c r="FU11" s="21">
        <f t="shared" si="265"/>
        <v>24184730.400000002</v>
      </c>
      <c r="FV11" s="21">
        <f t="shared" si="265"/>
        <v>24184730.400000002</v>
      </c>
      <c r="FW11" s="21">
        <f t="shared" si="265"/>
        <v>24184730.400000002</v>
      </c>
      <c r="FX11" s="21">
        <f t="shared" si="265"/>
        <v>24184730.400000002</v>
      </c>
      <c r="FY11" s="21">
        <f t="shared" si="265"/>
        <v>24184730.400000002</v>
      </c>
      <c r="FZ11" s="21">
        <f t="shared" si="265"/>
        <v>24184730.400000002</v>
      </c>
      <c r="GA11" s="21">
        <f t="shared" si="265"/>
        <v>24184730.400000002</v>
      </c>
      <c r="GB11" s="21">
        <f t="shared" si="265"/>
        <v>24184730.400000002</v>
      </c>
      <c r="GC11" s="21">
        <f t="shared" si="265"/>
        <v>24184730.400000002</v>
      </c>
      <c r="GD11" s="21">
        <f t="shared" si="265"/>
        <v>24184730.400000002</v>
      </c>
      <c r="GE11" s="21">
        <f t="shared" si="265"/>
        <v>24184730.400000002</v>
      </c>
      <c r="GF11" s="21">
        <f t="shared" si="265"/>
        <v>24184730.400000002</v>
      </c>
      <c r="GG11" s="21">
        <f t="shared" si="265"/>
        <v>24184730.400000002</v>
      </c>
      <c r="GH11" s="21">
        <f t="shared" si="265"/>
        <v>24184730.400000002</v>
      </c>
      <c r="GI11" s="21">
        <f t="shared" si="265"/>
        <v>24184730.400000002</v>
      </c>
      <c r="GJ11" s="21">
        <f t="shared" si="265"/>
        <v>24184730.400000002</v>
      </c>
      <c r="GK11" s="21">
        <f t="shared" si="265"/>
        <v>24184730.400000002</v>
      </c>
      <c r="GL11" s="21">
        <f t="shared" si="265"/>
        <v>24184730.400000002</v>
      </c>
      <c r="GM11" s="21">
        <f t="shared" si="265"/>
        <v>24184730.400000002</v>
      </c>
      <c r="GN11" s="21">
        <f t="shared" si="265"/>
        <v>24184730.400000002</v>
      </c>
      <c r="GO11" s="21">
        <f t="shared" si="265"/>
        <v>24184730.400000002</v>
      </c>
      <c r="GP11" s="21">
        <f t="shared" si="265"/>
        <v>24184730.400000002</v>
      </c>
      <c r="GQ11" s="21">
        <f t="shared" ref="GQ11:IN11" si="266">IF(IF(AND(ISNA(GQ$5),ISNA(GP$5)),GP11*(1+$E11),IF(AND(GP$5&gt;0,ISNA(GQ$5)),GP11*(1+$E11),GQ$5))&gt;$C$20,$C$20,IF(AND(ISNA(GQ$5),ISNA(GP$5)),GP11*(1+$E11),IF(AND(GP$5&gt;0,ISNA(GQ$5)),GP11*(1+$E11),GQ$5)))</f>
        <v>24184730.400000002</v>
      </c>
      <c r="GR11" s="21">
        <f t="shared" si="266"/>
        <v>24184730.400000002</v>
      </c>
      <c r="GS11" s="21">
        <f t="shared" si="266"/>
        <v>24184730.400000002</v>
      </c>
      <c r="GT11" s="21">
        <f t="shared" si="266"/>
        <v>24184730.400000002</v>
      </c>
      <c r="GU11" s="21">
        <f t="shared" si="266"/>
        <v>24184730.400000002</v>
      </c>
      <c r="GV11" s="21">
        <f t="shared" si="266"/>
        <v>24184730.400000002</v>
      </c>
      <c r="GW11" s="21">
        <f t="shared" si="266"/>
        <v>24184730.400000002</v>
      </c>
      <c r="GX11" s="21">
        <f t="shared" si="266"/>
        <v>24184730.400000002</v>
      </c>
      <c r="GY11" s="21">
        <f t="shared" si="266"/>
        <v>24184730.400000002</v>
      </c>
      <c r="GZ11" s="21">
        <f t="shared" si="266"/>
        <v>24184730.400000002</v>
      </c>
      <c r="HA11" s="21">
        <f t="shared" si="266"/>
        <v>24184730.400000002</v>
      </c>
      <c r="HB11" s="21">
        <f t="shared" si="266"/>
        <v>24184730.400000002</v>
      </c>
      <c r="HC11" s="21">
        <f t="shared" si="266"/>
        <v>24184730.400000002</v>
      </c>
      <c r="HD11" s="21">
        <f t="shared" si="266"/>
        <v>24184730.400000002</v>
      </c>
      <c r="HE11" s="21">
        <f t="shared" si="266"/>
        <v>24184730.400000002</v>
      </c>
      <c r="HF11" s="21">
        <f t="shared" si="266"/>
        <v>24184730.400000002</v>
      </c>
      <c r="HG11" s="21">
        <f t="shared" si="266"/>
        <v>24184730.400000002</v>
      </c>
      <c r="HH11" s="21">
        <f t="shared" si="266"/>
        <v>24184730.400000002</v>
      </c>
      <c r="HI11" s="21">
        <f t="shared" si="266"/>
        <v>24184730.400000002</v>
      </c>
      <c r="HJ11" s="21">
        <f t="shared" si="266"/>
        <v>24184730.400000002</v>
      </c>
      <c r="HK11" s="21">
        <f t="shared" si="266"/>
        <v>24184730.400000002</v>
      </c>
      <c r="HL11" s="21">
        <f t="shared" si="266"/>
        <v>24184730.400000002</v>
      </c>
      <c r="HM11" s="21">
        <f t="shared" si="266"/>
        <v>24184730.400000002</v>
      </c>
      <c r="HN11" s="21">
        <f t="shared" si="266"/>
        <v>24184730.400000002</v>
      </c>
      <c r="HO11" s="21">
        <f t="shared" si="266"/>
        <v>24184730.400000002</v>
      </c>
      <c r="HP11" s="21">
        <f t="shared" si="266"/>
        <v>24184730.400000002</v>
      </c>
      <c r="HQ11" s="21">
        <f t="shared" si="266"/>
        <v>24184730.400000002</v>
      </c>
      <c r="HR11" s="21">
        <f t="shared" si="266"/>
        <v>24184730.400000002</v>
      </c>
      <c r="HS11" s="21">
        <f t="shared" si="266"/>
        <v>24184730.400000002</v>
      </c>
      <c r="HT11" s="21">
        <f t="shared" si="266"/>
        <v>24184730.400000002</v>
      </c>
      <c r="HU11" s="21">
        <f t="shared" si="266"/>
        <v>24184730.400000002</v>
      </c>
      <c r="HV11" s="21">
        <f t="shared" si="266"/>
        <v>24184730.400000002</v>
      </c>
      <c r="HW11" s="21">
        <f t="shared" si="266"/>
        <v>24184730.400000002</v>
      </c>
      <c r="HX11" s="21">
        <f t="shared" si="266"/>
        <v>24184730.400000002</v>
      </c>
      <c r="HY11" s="21">
        <f t="shared" si="266"/>
        <v>24184730.400000002</v>
      </c>
      <c r="HZ11" s="21">
        <f t="shared" si="266"/>
        <v>24184730.400000002</v>
      </c>
      <c r="IA11" s="21">
        <f t="shared" si="266"/>
        <v>24184730.400000002</v>
      </c>
      <c r="IB11" s="21">
        <f t="shared" si="266"/>
        <v>24184730.400000002</v>
      </c>
      <c r="IC11" s="21">
        <f t="shared" si="266"/>
        <v>24184730.400000002</v>
      </c>
      <c r="ID11" s="21">
        <f t="shared" si="266"/>
        <v>24184730.400000002</v>
      </c>
      <c r="IE11" s="21">
        <f t="shared" si="266"/>
        <v>24184730.400000002</v>
      </c>
      <c r="IF11" s="21">
        <f t="shared" si="266"/>
        <v>24184730.400000002</v>
      </c>
      <c r="IG11" s="21">
        <f t="shared" si="266"/>
        <v>24184730.400000002</v>
      </c>
      <c r="IH11" s="21">
        <f t="shared" si="266"/>
        <v>24184730.400000002</v>
      </c>
      <c r="II11" s="21">
        <f t="shared" si="266"/>
        <v>24184730.400000002</v>
      </c>
      <c r="IJ11" s="21">
        <f t="shared" si="266"/>
        <v>24184730.400000002</v>
      </c>
      <c r="IK11" s="21">
        <f t="shared" si="266"/>
        <v>24184730.400000002</v>
      </c>
      <c r="IL11" s="21">
        <f t="shared" si="266"/>
        <v>24184730.400000002</v>
      </c>
      <c r="IM11" s="21">
        <f t="shared" si="266"/>
        <v>24184730.400000002</v>
      </c>
      <c r="IN11" s="21">
        <f t="shared" si="266"/>
        <v>24184730.400000002</v>
      </c>
    </row>
    <row r="12" spans="2:248" x14ac:dyDescent="0.3">
      <c r="F12" s="19" t="s">
        <v>612</v>
      </c>
      <c r="G12" s="21">
        <f t="shared" ref="G12:R12" si="267">G11</f>
        <v>155</v>
      </c>
      <c r="H12" s="21">
        <f t="shared" si="267"/>
        <v>229</v>
      </c>
      <c r="I12" s="21">
        <f t="shared" si="267"/>
        <v>322</v>
      </c>
      <c r="J12" s="21">
        <f t="shared" si="267"/>
        <v>453</v>
      </c>
      <c r="K12" s="21">
        <f t="shared" si="267"/>
        <v>655</v>
      </c>
      <c r="L12" s="21">
        <f t="shared" si="267"/>
        <v>888</v>
      </c>
      <c r="M12" s="21">
        <f t="shared" si="267"/>
        <v>1128</v>
      </c>
      <c r="N12" s="21">
        <f t="shared" si="267"/>
        <v>1694</v>
      </c>
      <c r="O12" s="21">
        <f t="shared" si="267"/>
        <v>2036</v>
      </c>
      <c r="P12" s="21">
        <f t="shared" si="267"/>
        <v>2502</v>
      </c>
      <c r="Q12" s="21">
        <f t="shared" si="267"/>
        <v>3089</v>
      </c>
      <c r="R12" s="21">
        <f t="shared" si="267"/>
        <v>3858</v>
      </c>
      <c r="S12" s="21">
        <f>S11-G11</f>
        <v>4481</v>
      </c>
      <c r="T12" s="21">
        <f t="shared" ref="T12" si="268">T11-H11</f>
        <v>5654</v>
      </c>
      <c r="U12" s="21">
        <f t="shared" ref="U12" si="269">U11-I11</f>
        <v>7053</v>
      </c>
      <c r="V12" s="21">
        <f t="shared" ref="V12" si="270">V11-J11</f>
        <v>8719</v>
      </c>
      <c r="W12" s="21">
        <f t="shared" ref="W12" si="271">W11-K11</f>
        <v>9494</v>
      </c>
      <c r="X12" s="21">
        <f t="shared" ref="X12" si="272">X11-L11</f>
        <v>11574</v>
      </c>
      <c r="Y12" s="21">
        <f t="shared" ref="Y12" si="273">Y11-M11</f>
        <v>12872</v>
      </c>
      <c r="Z12" s="21">
        <f t="shared" ref="Z12" si="274">Z11-N11</f>
        <v>15966</v>
      </c>
      <c r="AA12" s="21">
        <f t="shared" ref="AA12" si="275">AA11-O11</f>
        <v>19121</v>
      </c>
      <c r="AB12" s="21">
        <f t="shared" ref="AB12" si="276">AB11-P11</f>
        <v>22245</v>
      </c>
      <c r="AC12" s="21">
        <f t="shared" ref="AC12" si="277">AC11-Q11</f>
        <v>24891</v>
      </c>
      <c r="AD12" s="21">
        <f t="shared" ref="AD12" si="278">AD11-R11</f>
        <v>27648</v>
      </c>
      <c r="AE12" s="21">
        <f t="shared" ref="AE12" si="279">AE11-S11</f>
        <v>34746.5</v>
      </c>
      <c r="AF12" s="21">
        <f t="shared" ref="AF12" si="280">AF11-T11</f>
        <v>43345.125</v>
      </c>
      <c r="AG12" s="21">
        <f t="shared" ref="AG12" si="281">AG11-U11</f>
        <v>54160.15625</v>
      </c>
      <c r="AH12" s="21">
        <f t="shared" ref="AH12" si="282">AH11-V11</f>
        <v>67746.9453125</v>
      </c>
      <c r="AI12" s="21">
        <f t="shared" ref="AI12" si="283">AI11-W11</f>
        <v>85999.681640625</v>
      </c>
      <c r="AJ12" s="21">
        <f t="shared" ref="AJ12" si="284">AJ11-X11</f>
        <v>107723.85205078125</v>
      </c>
      <c r="AK12" s="21">
        <f t="shared" ref="AK12" si="285">AK11-Y11</f>
        <v>136232.31506347656</v>
      </c>
      <c r="AL12" s="21">
        <f t="shared" ref="AL12" si="286">AL11-Z11</f>
        <v>170130.3938293457</v>
      </c>
      <c r="AM12" s="21">
        <f t="shared" ref="AM12" si="287">AM11-AA11</f>
        <v>213580.99228668213</v>
      </c>
      <c r="AN12" s="21">
        <f t="shared" ref="AN12" si="288">AN11-AB11</f>
        <v>268675.49035835266</v>
      </c>
      <c r="AO12" s="21">
        <f t="shared" ref="AO12" si="289">AO11-AC11</f>
        <v>338798.11294794083</v>
      </c>
      <c r="AP12" s="21">
        <f t="shared" ref="AP12" si="290">AP11-AD11</f>
        <v>426966.64118492603</v>
      </c>
      <c r="AQ12" s="21">
        <f t="shared" ref="AQ12" si="291">AQ11-AE11</f>
        <v>533708.30148115754</v>
      </c>
      <c r="AR12" s="21">
        <f t="shared" ref="AR12" si="292">AR11-AF11</f>
        <v>667135.37685144693</v>
      </c>
      <c r="AS12" s="21">
        <f t="shared" ref="AS12" si="293">AS11-AG11</f>
        <v>833919.22106430866</v>
      </c>
      <c r="AT12" s="21">
        <f t="shared" ref="AT12" si="294">AT11-AH11</f>
        <v>1042399.0263303858</v>
      </c>
      <c r="AU12" s="21">
        <f t="shared" ref="AU12" si="295">AU11-AI11</f>
        <v>1302998.7829129822</v>
      </c>
      <c r="AV12" s="21">
        <f t="shared" ref="AV12" si="296">AV11-AJ11</f>
        <v>1628748.4786412278</v>
      </c>
      <c r="AW12" s="21">
        <f t="shared" ref="AW12" si="297">AW11-AK11</f>
        <v>2035935.5983015345</v>
      </c>
      <c r="AX12" s="21">
        <f t="shared" ref="AX12" si="298">AX11-AL11</f>
        <v>2544919.4978769179</v>
      </c>
      <c r="AY12" s="21">
        <f t="shared" ref="AY12" si="299">AY11-AM11</f>
        <v>3181149.3723461474</v>
      </c>
      <c r="AZ12" s="21">
        <f t="shared" ref="AZ12" si="300">AZ11-AN11</f>
        <v>3976436.7154326839</v>
      </c>
      <c r="BA12" s="21">
        <f t="shared" ref="BA12" si="301">BA11-AO11</f>
        <v>4970545.8942908552</v>
      </c>
      <c r="BB12" s="21">
        <f t="shared" ref="BB12" si="302">BB11-AP11</f>
        <v>6213182.3678635694</v>
      </c>
      <c r="BC12" s="21">
        <f t="shared" ref="BC12" si="303">BC11-AQ11</f>
        <v>7766477.9598294618</v>
      </c>
      <c r="BD12" s="21">
        <f t="shared" ref="BD12" si="304">BD11-AR11</f>
        <v>9708097.449786827</v>
      </c>
      <c r="BE12" s="21">
        <f t="shared" ref="BE12" si="305">BE11-AS11</f>
        <v>12135121.812233534</v>
      </c>
      <c r="BF12" s="21">
        <f t="shared" ref="BF12" si="306">BF11-AT11</f>
        <v>15168902.265291918</v>
      </c>
      <c r="BG12" s="21">
        <f t="shared" ref="BG12" si="307">BG11-AU11</f>
        <v>18961127.8316149</v>
      </c>
      <c r="BH12" s="21">
        <f t="shared" ref="BH12" si="308">BH11-AV11</f>
        <v>22435796.069307994</v>
      </c>
      <c r="BI12" s="21">
        <f t="shared" ref="BI12" si="309">BI11-AW11</f>
        <v>21998562.486634992</v>
      </c>
      <c r="BJ12" s="21">
        <f t="shared" ref="BJ12" si="310">BJ11-AX11</f>
        <v>21452020.50829374</v>
      </c>
      <c r="BK12" s="21">
        <f t="shared" ref="BK12" si="311">BK11-AY11</f>
        <v>20768843.035367172</v>
      </c>
      <c r="BL12" s="21">
        <f t="shared" ref="BL12" si="312">BL11-AZ11</f>
        <v>19914871.194208965</v>
      </c>
      <c r="BM12" s="21">
        <f t="shared" ref="BM12" si="313">BM11-BA11</f>
        <v>18847406.392761208</v>
      </c>
      <c r="BN12" s="21">
        <f t="shared" ref="BN12" si="314">BN11-BB11</f>
        <v>17513075.390951507</v>
      </c>
      <c r="BO12" s="21">
        <f t="shared" ref="BO12" si="315">BO11-BC11</f>
        <v>15845161.638689384</v>
      </c>
      <c r="BP12" s="21">
        <f t="shared" ref="BP12" si="316">BP11-BD11</f>
        <v>13760269.448361728</v>
      </c>
      <c r="BQ12" s="21">
        <f t="shared" ref="BQ12" si="317">BQ11-BE11</f>
        <v>11154154.21045216</v>
      </c>
      <c r="BR12" s="21">
        <f t="shared" ref="BR12" si="318">BR11-BF11</f>
        <v>7896510.1630651988</v>
      </c>
      <c r="BS12" s="21">
        <f t="shared" ref="BS12" si="319">BS11-BG11</f>
        <v>3824455.1038314961</v>
      </c>
      <c r="BT12" s="21">
        <f t="shared" ref="BT12" si="320">BT11-BH11</f>
        <v>0</v>
      </c>
      <c r="BU12" s="21">
        <f t="shared" ref="BU12" si="321">BU11-BI11</f>
        <v>0</v>
      </c>
      <c r="BV12" s="21">
        <f t="shared" ref="BV12" si="322">BV11-BJ11</f>
        <v>0</v>
      </c>
      <c r="BW12" s="21">
        <f t="shared" ref="BW12" si="323">BW11-BK11</f>
        <v>0</v>
      </c>
      <c r="BX12" s="21">
        <f t="shared" ref="BX12" si="324">BX11-BL11</f>
        <v>0</v>
      </c>
      <c r="BY12" s="21">
        <f t="shared" ref="BY12" si="325">BY11-BM11</f>
        <v>0</v>
      </c>
      <c r="BZ12" s="21">
        <f t="shared" ref="BZ12" si="326">BZ11-BN11</f>
        <v>0</v>
      </c>
      <c r="CA12" s="21">
        <f t="shared" ref="CA12" si="327">CA11-BO11</f>
        <v>0</v>
      </c>
      <c r="CB12" s="21">
        <f t="shared" ref="CB12" si="328">CB11-BP11</f>
        <v>0</v>
      </c>
      <c r="CC12" s="21">
        <f t="shared" ref="CC12" si="329">CC11-BQ11</f>
        <v>0</v>
      </c>
      <c r="CD12" s="21">
        <f t="shared" ref="CD12" si="330">CD11-BR11</f>
        <v>0</v>
      </c>
      <c r="CE12" s="21">
        <f t="shared" ref="CE12" si="331">CE11-BS11</f>
        <v>0</v>
      </c>
      <c r="CF12" s="21">
        <f t="shared" ref="CF12" si="332">CF11-BT11</f>
        <v>0</v>
      </c>
      <c r="CG12" s="21">
        <f t="shared" ref="CG12" si="333">CG11-BU11</f>
        <v>0</v>
      </c>
      <c r="CH12" s="21">
        <f t="shared" ref="CH12" si="334">CH11-BV11</f>
        <v>0</v>
      </c>
      <c r="CI12" s="21">
        <f t="shared" ref="CI12" si="335">CI11-BW11</f>
        <v>0</v>
      </c>
      <c r="CJ12" s="21">
        <f t="shared" ref="CJ12" si="336">CJ11-BX11</f>
        <v>0</v>
      </c>
      <c r="CK12" s="21">
        <f t="shared" ref="CK12" si="337">CK11-BY11</f>
        <v>0</v>
      </c>
      <c r="CL12" s="21">
        <f t="shared" ref="CL12" si="338">CL11-BZ11</f>
        <v>0</v>
      </c>
      <c r="CM12" s="21">
        <f t="shared" ref="CM12" si="339">CM11-CA11</f>
        <v>0</v>
      </c>
      <c r="CN12" s="21">
        <f t="shared" ref="CN12" si="340">CN11-CB11</f>
        <v>0</v>
      </c>
      <c r="CO12" s="21">
        <f t="shared" ref="CO12" si="341">CO11-CC11</f>
        <v>0</v>
      </c>
      <c r="CP12" s="21">
        <f t="shared" ref="CP12" si="342">CP11-CD11</f>
        <v>0</v>
      </c>
      <c r="CQ12" s="21">
        <f t="shared" ref="CQ12" si="343">CQ11-CE11</f>
        <v>0</v>
      </c>
      <c r="CR12" s="21">
        <f t="shared" ref="CR12" si="344">CR11-CF11</f>
        <v>0</v>
      </c>
      <c r="CS12" s="21">
        <f t="shared" ref="CS12" si="345">CS11-CG11</f>
        <v>0</v>
      </c>
      <c r="CT12" s="21">
        <f t="shared" ref="CT12" si="346">CT11-CH11</f>
        <v>0</v>
      </c>
      <c r="CU12" s="21">
        <f t="shared" ref="CU12" si="347">CU11-CI11</f>
        <v>0</v>
      </c>
      <c r="CV12" s="21">
        <f t="shared" ref="CV12" si="348">CV11-CJ11</f>
        <v>0</v>
      </c>
      <c r="CW12" s="21">
        <f t="shared" ref="CW12" si="349">CW11-CK11</f>
        <v>0</v>
      </c>
      <c r="CX12" s="21">
        <f t="shared" ref="CX12" si="350">CX11-CL11</f>
        <v>0</v>
      </c>
      <c r="CY12" s="21">
        <f t="shared" ref="CY12" si="351">CY11-CM11</f>
        <v>0</v>
      </c>
      <c r="CZ12" s="21">
        <f t="shared" ref="CZ12" si="352">CZ11-CN11</f>
        <v>0</v>
      </c>
      <c r="DA12" s="21">
        <f t="shared" ref="DA12" si="353">DA11-CO11</f>
        <v>0</v>
      </c>
      <c r="DB12" s="21">
        <f t="shared" ref="DB12" si="354">DB11-CP11</f>
        <v>0</v>
      </c>
      <c r="DC12" s="21">
        <f t="shared" ref="DC12" si="355">DC11-CQ11</f>
        <v>0</v>
      </c>
      <c r="DD12" s="21">
        <f t="shared" ref="DD12" si="356">DD11-CR11</f>
        <v>0</v>
      </c>
      <c r="DE12" s="21">
        <f t="shared" ref="DE12" si="357">DE11-CS11</f>
        <v>0</v>
      </c>
      <c r="DF12" s="21">
        <f t="shared" ref="DF12" si="358">DF11-CT11</f>
        <v>0</v>
      </c>
      <c r="DG12" s="21">
        <f t="shared" ref="DG12" si="359">DG11-CU11</f>
        <v>0</v>
      </c>
      <c r="DH12" s="21">
        <f t="shared" ref="DH12" si="360">DH11-CV11</f>
        <v>0</v>
      </c>
      <c r="DI12" s="21">
        <f t="shared" ref="DI12" si="361">DI11-CW11</f>
        <v>0</v>
      </c>
      <c r="DJ12" s="21">
        <f t="shared" ref="DJ12" si="362">DJ11-CX11</f>
        <v>0</v>
      </c>
      <c r="DK12" s="21">
        <f t="shared" ref="DK12" si="363">DK11-CY11</f>
        <v>0</v>
      </c>
      <c r="DL12" s="21">
        <f t="shared" ref="DL12" si="364">DL11-CZ11</f>
        <v>0</v>
      </c>
      <c r="DM12" s="21">
        <f t="shared" ref="DM12" si="365">DM11-DA11</f>
        <v>0</v>
      </c>
      <c r="DN12" s="21">
        <f t="shared" ref="DN12" si="366">DN11-DB11</f>
        <v>0</v>
      </c>
      <c r="DO12" s="21">
        <f t="shared" ref="DO12" si="367">DO11-DC11</f>
        <v>0</v>
      </c>
      <c r="DP12" s="21">
        <f t="shared" ref="DP12" si="368">DP11-DD11</f>
        <v>0</v>
      </c>
      <c r="DQ12" s="21">
        <f t="shared" ref="DQ12" si="369">DQ11-DE11</f>
        <v>0</v>
      </c>
      <c r="DR12" s="21">
        <f t="shared" ref="DR12" si="370">DR11-DF11</f>
        <v>0</v>
      </c>
      <c r="DS12" s="21">
        <f t="shared" ref="DS12" si="371">DS11-DG11</f>
        <v>0</v>
      </c>
      <c r="DT12" s="21">
        <f t="shared" ref="DT12" si="372">DT11-DH11</f>
        <v>0</v>
      </c>
      <c r="DU12" s="21">
        <f t="shared" ref="DU12" si="373">DU11-DI11</f>
        <v>0</v>
      </c>
      <c r="DV12" s="21">
        <f t="shared" ref="DV12" si="374">DV11-DJ11</f>
        <v>0</v>
      </c>
      <c r="DW12" s="21">
        <f t="shared" ref="DW12" si="375">DW11-DK11</f>
        <v>0</v>
      </c>
      <c r="DX12" s="21">
        <f t="shared" ref="DX12" si="376">DX11-DL11</f>
        <v>0</v>
      </c>
      <c r="DY12" s="21">
        <f t="shared" ref="DY12" si="377">DY11-DM11</f>
        <v>0</v>
      </c>
      <c r="DZ12" s="21">
        <f t="shared" ref="DZ12" si="378">DZ11-DN11</f>
        <v>0</v>
      </c>
      <c r="EA12" s="21">
        <f t="shared" ref="EA12" si="379">EA11-DO11</f>
        <v>0</v>
      </c>
      <c r="EB12" s="21">
        <f t="shared" ref="EB12" si="380">EB11-DP11</f>
        <v>0</v>
      </c>
      <c r="EC12" s="21">
        <f t="shared" ref="EC12" si="381">EC11-DQ11</f>
        <v>0</v>
      </c>
      <c r="ED12" s="21">
        <f t="shared" ref="ED12" si="382">ED11-DR11</f>
        <v>0</v>
      </c>
      <c r="EE12" s="21">
        <f t="shared" ref="EE12" si="383">EE11-DS11</f>
        <v>0</v>
      </c>
      <c r="EF12" s="21">
        <f t="shared" ref="EF12" si="384">EF11-DT11</f>
        <v>0</v>
      </c>
      <c r="EG12" s="21">
        <f t="shared" ref="EG12" si="385">EG11-DU11</f>
        <v>0</v>
      </c>
      <c r="EH12" s="21">
        <f t="shared" ref="EH12" si="386">EH11-DV11</f>
        <v>0</v>
      </c>
      <c r="EI12" s="21">
        <f t="shared" ref="EI12" si="387">EI11-DW11</f>
        <v>0</v>
      </c>
      <c r="EJ12" s="21">
        <f t="shared" ref="EJ12" si="388">EJ11-DX11</f>
        <v>0</v>
      </c>
      <c r="EK12" s="21">
        <f t="shared" ref="EK12" si="389">EK11-DY11</f>
        <v>0</v>
      </c>
      <c r="EL12" s="21">
        <f t="shared" ref="EL12" si="390">EL11-DZ11</f>
        <v>0</v>
      </c>
      <c r="EM12" s="21">
        <f t="shared" ref="EM12" si="391">EM11-EA11</f>
        <v>0</v>
      </c>
      <c r="EN12" s="21">
        <f t="shared" ref="EN12" si="392">EN11-EB11</f>
        <v>0</v>
      </c>
      <c r="EO12" s="21">
        <f t="shared" ref="EO12" si="393">EO11-EC11</f>
        <v>0</v>
      </c>
      <c r="EP12" s="21">
        <f t="shared" ref="EP12" si="394">EP11-ED11</f>
        <v>0</v>
      </c>
      <c r="EQ12" s="21">
        <f t="shared" ref="EQ12" si="395">EQ11-EE11</f>
        <v>0</v>
      </c>
      <c r="ER12" s="21">
        <f t="shared" ref="ER12" si="396">ER11-EF11</f>
        <v>0</v>
      </c>
      <c r="ES12" s="21">
        <f t="shared" ref="ES12" si="397">ES11-EG11</f>
        <v>0</v>
      </c>
      <c r="ET12" s="21">
        <f t="shared" ref="ET12" si="398">ET11-EH11</f>
        <v>0</v>
      </c>
      <c r="EU12" s="21">
        <f t="shared" ref="EU12" si="399">EU11-EI11</f>
        <v>0</v>
      </c>
      <c r="EV12" s="21">
        <f t="shared" ref="EV12" si="400">EV11-EJ11</f>
        <v>0</v>
      </c>
      <c r="EW12" s="21">
        <f t="shared" ref="EW12" si="401">EW11-EK11</f>
        <v>0</v>
      </c>
      <c r="EX12" s="21">
        <f t="shared" ref="EX12" si="402">EX11-EL11</f>
        <v>0</v>
      </c>
      <c r="EY12" s="21">
        <f t="shared" ref="EY12" si="403">EY11-EM11</f>
        <v>0</v>
      </c>
      <c r="EZ12" s="21">
        <f t="shared" ref="EZ12" si="404">EZ11-EN11</f>
        <v>0</v>
      </c>
      <c r="FA12" s="21">
        <f t="shared" ref="FA12" si="405">FA11-EO11</f>
        <v>0</v>
      </c>
      <c r="FB12" s="21">
        <f t="shared" ref="FB12" si="406">FB11-EP11</f>
        <v>0</v>
      </c>
      <c r="FC12" s="21">
        <f t="shared" ref="FC12" si="407">FC11-EQ11</f>
        <v>0</v>
      </c>
      <c r="FD12" s="21">
        <f t="shared" ref="FD12" si="408">FD11-ER11</f>
        <v>0</v>
      </c>
      <c r="FE12" s="21">
        <f t="shared" ref="FE12" si="409">FE11-ES11</f>
        <v>0</v>
      </c>
      <c r="FF12" s="21">
        <f t="shared" ref="FF12" si="410">FF11-ET11</f>
        <v>0</v>
      </c>
      <c r="FG12" s="21">
        <f t="shared" ref="FG12" si="411">FG11-EU11</f>
        <v>0</v>
      </c>
      <c r="FH12" s="21">
        <f t="shared" ref="FH12" si="412">FH11-EV11</f>
        <v>0</v>
      </c>
      <c r="FI12" s="21">
        <f t="shared" ref="FI12" si="413">FI11-EW11</f>
        <v>0</v>
      </c>
      <c r="FJ12" s="21">
        <f t="shared" ref="FJ12" si="414">FJ11-EX11</f>
        <v>0</v>
      </c>
      <c r="FK12" s="21">
        <f t="shared" ref="FK12" si="415">FK11-EY11</f>
        <v>0</v>
      </c>
      <c r="FL12" s="21">
        <f t="shared" ref="FL12" si="416">FL11-EZ11</f>
        <v>0</v>
      </c>
      <c r="FM12" s="21">
        <f t="shared" ref="FM12" si="417">FM11-FA11</f>
        <v>0</v>
      </c>
      <c r="FN12" s="21">
        <f t="shared" ref="FN12" si="418">FN11-FB11</f>
        <v>0</v>
      </c>
      <c r="FO12" s="21">
        <f t="shared" ref="FO12" si="419">FO11-FC11</f>
        <v>0</v>
      </c>
      <c r="FP12" s="21">
        <f t="shared" ref="FP12" si="420">FP11-FD11</f>
        <v>0</v>
      </c>
      <c r="FQ12" s="21">
        <f t="shared" ref="FQ12" si="421">FQ11-FE11</f>
        <v>0</v>
      </c>
      <c r="FR12" s="21">
        <f t="shared" ref="FR12" si="422">FR11-FF11</f>
        <v>0</v>
      </c>
      <c r="FS12" s="21">
        <f t="shared" ref="FS12" si="423">FS11-FG11</f>
        <v>0</v>
      </c>
      <c r="FT12" s="21">
        <f t="shared" ref="FT12" si="424">FT11-FH11</f>
        <v>0</v>
      </c>
      <c r="FU12" s="21">
        <f t="shared" ref="FU12" si="425">FU11-FI11</f>
        <v>0</v>
      </c>
      <c r="FV12" s="21">
        <f t="shared" ref="FV12" si="426">FV11-FJ11</f>
        <v>0</v>
      </c>
      <c r="FW12" s="21">
        <f t="shared" ref="FW12" si="427">FW11-FK11</f>
        <v>0</v>
      </c>
      <c r="FX12" s="21">
        <f t="shared" ref="FX12" si="428">FX11-FL11</f>
        <v>0</v>
      </c>
      <c r="FY12" s="21">
        <f t="shared" ref="FY12" si="429">FY11-FM11</f>
        <v>0</v>
      </c>
      <c r="FZ12" s="21">
        <f t="shared" ref="FZ12" si="430">FZ11-FN11</f>
        <v>0</v>
      </c>
      <c r="GA12" s="21">
        <f t="shared" ref="GA12" si="431">GA11-FO11</f>
        <v>0</v>
      </c>
      <c r="GB12" s="21">
        <f t="shared" ref="GB12" si="432">GB11-FP11</f>
        <v>0</v>
      </c>
      <c r="GC12" s="21">
        <f t="shared" ref="GC12" si="433">GC11-FQ11</f>
        <v>0</v>
      </c>
      <c r="GD12" s="21">
        <f t="shared" ref="GD12" si="434">GD11-FR11</f>
        <v>0</v>
      </c>
      <c r="GE12" s="21">
        <f t="shared" ref="GE12" si="435">GE11-FS11</f>
        <v>0</v>
      </c>
      <c r="GF12" s="21">
        <f t="shared" ref="GF12" si="436">GF11-FT11</f>
        <v>0</v>
      </c>
      <c r="GG12" s="21">
        <f t="shared" ref="GG12" si="437">GG11-FU11</f>
        <v>0</v>
      </c>
      <c r="GH12" s="21">
        <f t="shared" ref="GH12" si="438">GH11-FV11</f>
        <v>0</v>
      </c>
      <c r="GI12" s="21">
        <f t="shared" ref="GI12" si="439">GI11-FW11</f>
        <v>0</v>
      </c>
      <c r="GJ12" s="21">
        <f t="shared" ref="GJ12" si="440">GJ11-FX11</f>
        <v>0</v>
      </c>
      <c r="GK12" s="21">
        <f t="shared" ref="GK12" si="441">GK11-FY11</f>
        <v>0</v>
      </c>
      <c r="GL12" s="21">
        <f t="shared" ref="GL12" si="442">GL11-FZ11</f>
        <v>0</v>
      </c>
      <c r="GM12" s="21">
        <f t="shared" ref="GM12" si="443">GM11-GA11</f>
        <v>0</v>
      </c>
      <c r="GN12" s="21">
        <f t="shared" ref="GN12" si="444">GN11-GB11</f>
        <v>0</v>
      </c>
      <c r="GO12" s="21">
        <f t="shared" ref="GO12" si="445">GO11-GC11</f>
        <v>0</v>
      </c>
      <c r="GP12" s="21">
        <f t="shared" ref="GP12" si="446">GP11-GD11</f>
        <v>0</v>
      </c>
      <c r="GQ12" s="21">
        <f t="shared" ref="GQ12" si="447">GQ11-GE11</f>
        <v>0</v>
      </c>
      <c r="GR12" s="21">
        <f t="shared" ref="GR12" si="448">GR11-GF11</f>
        <v>0</v>
      </c>
      <c r="GS12" s="21">
        <f t="shared" ref="GS12" si="449">GS11-GG11</f>
        <v>0</v>
      </c>
      <c r="GT12" s="21">
        <f t="shared" ref="GT12" si="450">GT11-GH11</f>
        <v>0</v>
      </c>
      <c r="GU12" s="21">
        <f t="shared" ref="GU12" si="451">GU11-GI11</f>
        <v>0</v>
      </c>
      <c r="GV12" s="21">
        <f t="shared" ref="GV12" si="452">GV11-GJ11</f>
        <v>0</v>
      </c>
      <c r="GW12" s="21">
        <f t="shared" ref="GW12" si="453">GW11-GK11</f>
        <v>0</v>
      </c>
      <c r="GX12" s="21">
        <f t="shared" ref="GX12" si="454">GX11-GL11</f>
        <v>0</v>
      </c>
      <c r="GY12" s="21">
        <f t="shared" ref="GY12" si="455">GY11-GM11</f>
        <v>0</v>
      </c>
      <c r="GZ12" s="21">
        <f t="shared" ref="GZ12" si="456">GZ11-GN11</f>
        <v>0</v>
      </c>
      <c r="HA12" s="21">
        <f t="shared" ref="HA12" si="457">HA11-GO11</f>
        <v>0</v>
      </c>
      <c r="HB12" s="21">
        <f t="shared" ref="HB12" si="458">HB11-GP11</f>
        <v>0</v>
      </c>
      <c r="HC12" s="21">
        <f t="shared" ref="HC12" si="459">HC11-GQ11</f>
        <v>0</v>
      </c>
      <c r="HD12" s="21">
        <f t="shared" ref="HD12" si="460">HD11-GR11</f>
        <v>0</v>
      </c>
      <c r="HE12" s="21">
        <f t="shared" ref="HE12" si="461">HE11-GS11</f>
        <v>0</v>
      </c>
      <c r="HF12" s="21">
        <f t="shared" ref="HF12" si="462">HF11-GT11</f>
        <v>0</v>
      </c>
      <c r="HG12" s="21">
        <f t="shared" ref="HG12" si="463">HG11-GU11</f>
        <v>0</v>
      </c>
      <c r="HH12" s="21">
        <f t="shared" ref="HH12" si="464">HH11-GV11</f>
        <v>0</v>
      </c>
      <c r="HI12" s="21">
        <f t="shared" ref="HI12" si="465">HI11-GW11</f>
        <v>0</v>
      </c>
      <c r="HJ12" s="21">
        <f t="shared" ref="HJ12" si="466">HJ11-GX11</f>
        <v>0</v>
      </c>
      <c r="HK12" s="21">
        <f t="shared" ref="HK12" si="467">HK11-GY11</f>
        <v>0</v>
      </c>
      <c r="HL12" s="21">
        <f t="shared" ref="HL12" si="468">HL11-GZ11</f>
        <v>0</v>
      </c>
      <c r="HM12" s="21">
        <f t="shared" ref="HM12" si="469">HM11-HA11</f>
        <v>0</v>
      </c>
      <c r="HN12" s="21">
        <f t="shared" ref="HN12" si="470">HN11-HB11</f>
        <v>0</v>
      </c>
      <c r="HO12" s="21">
        <f t="shared" ref="HO12" si="471">HO11-HC11</f>
        <v>0</v>
      </c>
      <c r="HP12" s="21">
        <f t="shared" ref="HP12" si="472">HP11-HD11</f>
        <v>0</v>
      </c>
      <c r="HQ12" s="21">
        <f t="shared" ref="HQ12" si="473">HQ11-HE11</f>
        <v>0</v>
      </c>
      <c r="HR12" s="21">
        <f t="shared" ref="HR12" si="474">HR11-HF11</f>
        <v>0</v>
      </c>
      <c r="HS12" s="21">
        <f t="shared" ref="HS12" si="475">HS11-HG11</f>
        <v>0</v>
      </c>
      <c r="HT12" s="21">
        <f t="shared" ref="HT12" si="476">HT11-HH11</f>
        <v>0</v>
      </c>
      <c r="HU12" s="21">
        <f t="shared" ref="HU12" si="477">HU11-HI11</f>
        <v>0</v>
      </c>
      <c r="HV12" s="21">
        <f t="shared" ref="HV12" si="478">HV11-HJ11</f>
        <v>0</v>
      </c>
      <c r="HW12" s="21">
        <f t="shared" ref="HW12" si="479">HW11-HK11</f>
        <v>0</v>
      </c>
      <c r="HX12" s="21">
        <f t="shared" ref="HX12" si="480">HX11-HL11</f>
        <v>0</v>
      </c>
      <c r="HY12" s="21">
        <f t="shared" ref="HY12" si="481">HY11-HM11</f>
        <v>0</v>
      </c>
      <c r="HZ12" s="21">
        <f t="shared" ref="HZ12" si="482">HZ11-HN11</f>
        <v>0</v>
      </c>
      <c r="IA12" s="21">
        <f t="shared" ref="IA12" si="483">IA11-HO11</f>
        <v>0</v>
      </c>
      <c r="IB12" s="21">
        <f t="shared" ref="IB12" si="484">IB11-HP11</f>
        <v>0</v>
      </c>
      <c r="IC12" s="21">
        <f t="shared" ref="IC12" si="485">IC11-HQ11</f>
        <v>0</v>
      </c>
      <c r="ID12" s="21">
        <f t="shared" ref="ID12" si="486">ID11-HR11</f>
        <v>0</v>
      </c>
      <c r="IE12" s="21">
        <f t="shared" ref="IE12" si="487">IE11-HS11</f>
        <v>0</v>
      </c>
      <c r="IF12" s="21">
        <f t="shared" ref="IF12" si="488">IF11-HT11</f>
        <v>0</v>
      </c>
      <c r="IG12" s="21">
        <f t="shared" ref="IG12" si="489">IG11-HU11</f>
        <v>0</v>
      </c>
      <c r="IH12" s="21">
        <f t="shared" ref="IH12" si="490">IH11-HV11</f>
        <v>0</v>
      </c>
      <c r="II12" s="21">
        <f t="shared" ref="II12" si="491">II11-HW11</f>
        <v>0</v>
      </c>
      <c r="IJ12" s="21">
        <f t="shared" ref="IJ12" si="492">IJ11-HX11</f>
        <v>0</v>
      </c>
      <c r="IK12" s="21">
        <f t="shared" ref="IK12" si="493">IK11-HY11</f>
        <v>0</v>
      </c>
      <c r="IL12" s="21">
        <f t="shared" ref="IL12" si="494">IL11-HZ11</f>
        <v>0</v>
      </c>
      <c r="IM12" s="21">
        <f t="shared" ref="IM12" si="495">IM11-IA11</f>
        <v>0</v>
      </c>
      <c r="IN12" s="21">
        <f t="shared" ref="IN12" si="496">IN11-IB11</f>
        <v>0</v>
      </c>
    </row>
    <row r="13" spans="2:248" x14ac:dyDescent="0.3">
      <c r="B13" s="19" t="s">
        <v>484</v>
      </c>
      <c r="C13" s="21">
        <f>C4*(1+C11)</f>
        <v>37054.957139772043</v>
      </c>
      <c r="E13" s="19">
        <v>0.3</v>
      </c>
      <c r="F13" s="22" t="s">
        <v>486</v>
      </c>
      <c r="G13" s="21">
        <f t="shared" ref="G13:BR13" si="497">IF(IF(AND(ISNA(G$5),ISNA(F$5)),F13*(1+$E13),IF(AND(F$5&gt;0,ISNA(G$5)),F13*(1+$E13),G$5))&gt;$C$20,$C$20,IF(AND(ISNA(G$5),ISNA(F$5)),F13*(1+$E13),IF(AND(F$5&gt;0,ISNA(G$5)),F13*(1+$E13),G$5)))</f>
        <v>155</v>
      </c>
      <c r="H13" s="21">
        <f t="shared" si="497"/>
        <v>229</v>
      </c>
      <c r="I13" s="21">
        <f t="shared" si="497"/>
        <v>322</v>
      </c>
      <c r="J13" s="21">
        <f t="shared" si="497"/>
        <v>453</v>
      </c>
      <c r="K13" s="21">
        <f t="shared" si="497"/>
        <v>655</v>
      </c>
      <c r="L13" s="21">
        <f t="shared" si="497"/>
        <v>888</v>
      </c>
      <c r="M13" s="21">
        <f t="shared" si="497"/>
        <v>1128</v>
      </c>
      <c r="N13" s="21">
        <f t="shared" si="497"/>
        <v>1694</v>
      </c>
      <c r="O13" s="21">
        <f t="shared" si="497"/>
        <v>2036</v>
      </c>
      <c r="P13" s="21">
        <f t="shared" si="497"/>
        <v>2502</v>
      </c>
      <c r="Q13" s="21">
        <f t="shared" si="497"/>
        <v>3089</v>
      </c>
      <c r="R13" s="21">
        <f t="shared" si="497"/>
        <v>3858</v>
      </c>
      <c r="S13" s="21">
        <f t="shared" si="497"/>
        <v>4636</v>
      </c>
      <c r="T13" s="21">
        <f t="shared" si="497"/>
        <v>5883</v>
      </c>
      <c r="U13" s="21">
        <f t="shared" si="497"/>
        <v>7375</v>
      </c>
      <c r="V13" s="21">
        <f t="shared" si="497"/>
        <v>9172</v>
      </c>
      <c r="W13" s="21">
        <f t="shared" si="497"/>
        <v>10149</v>
      </c>
      <c r="X13" s="21">
        <f t="shared" si="497"/>
        <v>12462</v>
      </c>
      <c r="Y13" s="21">
        <f t="shared" si="497"/>
        <v>14000</v>
      </c>
      <c r="Z13" s="21">
        <f t="shared" si="497"/>
        <v>17660</v>
      </c>
      <c r="AA13" s="21">
        <f t="shared" si="497"/>
        <v>21157</v>
      </c>
      <c r="AB13" s="21">
        <f t="shared" si="497"/>
        <v>24747</v>
      </c>
      <c r="AC13" s="21">
        <f t="shared" si="497"/>
        <v>27980</v>
      </c>
      <c r="AD13" s="21">
        <f t="shared" si="497"/>
        <v>31506</v>
      </c>
      <c r="AE13" s="21">
        <f t="shared" si="497"/>
        <v>40957.800000000003</v>
      </c>
      <c r="AF13" s="21">
        <f t="shared" si="497"/>
        <v>53245.140000000007</v>
      </c>
      <c r="AG13" s="21">
        <f t="shared" si="497"/>
        <v>69218.682000000015</v>
      </c>
      <c r="AH13" s="21">
        <f t="shared" si="497"/>
        <v>89984.286600000021</v>
      </c>
      <c r="AI13" s="21">
        <f t="shared" si="497"/>
        <v>116979.57258000004</v>
      </c>
      <c r="AJ13" s="21">
        <f t="shared" si="497"/>
        <v>152073.44435400006</v>
      </c>
      <c r="AK13" s="21">
        <f t="shared" si="497"/>
        <v>197695.47766020009</v>
      </c>
      <c r="AL13" s="21">
        <f t="shared" si="497"/>
        <v>257004.12095826014</v>
      </c>
      <c r="AM13" s="21">
        <f t="shared" si="497"/>
        <v>334105.35724573821</v>
      </c>
      <c r="AN13" s="21">
        <f t="shared" si="497"/>
        <v>434336.96441945969</v>
      </c>
      <c r="AO13" s="21">
        <f t="shared" si="497"/>
        <v>564638.0537452976</v>
      </c>
      <c r="AP13" s="21">
        <f t="shared" si="497"/>
        <v>734029.46986888687</v>
      </c>
      <c r="AQ13" s="21">
        <f t="shared" si="497"/>
        <v>954238.31082955294</v>
      </c>
      <c r="AR13" s="21">
        <f t="shared" si="497"/>
        <v>1240509.8040784188</v>
      </c>
      <c r="AS13" s="21">
        <f t="shared" si="497"/>
        <v>1612662.7453019444</v>
      </c>
      <c r="AT13" s="21">
        <f t="shared" si="497"/>
        <v>2096461.5688925278</v>
      </c>
      <c r="AU13" s="21">
        <f t="shared" si="497"/>
        <v>2725400.0395602863</v>
      </c>
      <c r="AV13" s="21">
        <f t="shared" si="497"/>
        <v>3543020.0514283725</v>
      </c>
      <c r="AW13" s="21">
        <f t="shared" si="497"/>
        <v>4605926.0668568844</v>
      </c>
      <c r="AX13" s="21">
        <f t="shared" si="497"/>
        <v>5987703.8869139496</v>
      </c>
      <c r="AY13" s="21">
        <f t="shared" si="497"/>
        <v>7784015.0529881343</v>
      </c>
      <c r="AZ13" s="21">
        <f t="shared" si="497"/>
        <v>10119219.568884576</v>
      </c>
      <c r="BA13" s="21">
        <f t="shared" si="497"/>
        <v>13154985.439549949</v>
      </c>
      <c r="BB13" s="21">
        <f t="shared" si="497"/>
        <v>17101481.071414933</v>
      </c>
      <c r="BC13" s="21">
        <f t="shared" si="497"/>
        <v>22231925.392839413</v>
      </c>
      <c r="BD13" s="21">
        <f t="shared" si="497"/>
        <v>24184730.400000002</v>
      </c>
      <c r="BE13" s="21">
        <f t="shared" si="497"/>
        <v>24184730.400000002</v>
      </c>
      <c r="BF13" s="21">
        <f t="shared" si="497"/>
        <v>24184730.400000002</v>
      </c>
      <c r="BG13" s="21">
        <f t="shared" si="497"/>
        <v>24184730.400000002</v>
      </c>
      <c r="BH13" s="21">
        <f t="shared" si="497"/>
        <v>24184730.400000002</v>
      </c>
      <c r="BI13" s="21">
        <f t="shared" si="497"/>
        <v>24184730.400000002</v>
      </c>
      <c r="BJ13" s="21">
        <f t="shared" si="497"/>
        <v>24184730.400000002</v>
      </c>
      <c r="BK13" s="21">
        <f t="shared" si="497"/>
        <v>24184730.400000002</v>
      </c>
      <c r="BL13" s="21">
        <f t="shared" si="497"/>
        <v>24184730.400000002</v>
      </c>
      <c r="BM13" s="21">
        <f t="shared" si="497"/>
        <v>24184730.400000002</v>
      </c>
      <c r="BN13" s="21">
        <f t="shared" si="497"/>
        <v>24184730.400000002</v>
      </c>
      <c r="BO13" s="21">
        <f t="shared" si="497"/>
        <v>24184730.400000002</v>
      </c>
      <c r="BP13" s="21">
        <f t="shared" si="497"/>
        <v>24184730.400000002</v>
      </c>
      <c r="BQ13" s="21">
        <f t="shared" si="497"/>
        <v>24184730.400000002</v>
      </c>
      <c r="BR13" s="21">
        <f t="shared" si="497"/>
        <v>24184730.400000002</v>
      </c>
      <c r="BS13" s="21">
        <f t="shared" ref="BS13:ED13" si="498">IF(IF(AND(ISNA(BS$5),ISNA(BR$5)),BR13*(1+$E13),IF(AND(BR$5&gt;0,ISNA(BS$5)),BR13*(1+$E13),BS$5))&gt;$C$20,$C$20,IF(AND(ISNA(BS$5),ISNA(BR$5)),BR13*(1+$E13),IF(AND(BR$5&gt;0,ISNA(BS$5)),BR13*(1+$E13),BS$5)))</f>
        <v>24184730.400000002</v>
      </c>
      <c r="BT13" s="21">
        <f t="shared" si="498"/>
        <v>24184730.400000002</v>
      </c>
      <c r="BU13" s="21">
        <f t="shared" si="498"/>
        <v>24184730.400000002</v>
      </c>
      <c r="BV13" s="21">
        <f t="shared" si="498"/>
        <v>24184730.400000002</v>
      </c>
      <c r="BW13" s="21">
        <f t="shared" si="498"/>
        <v>24184730.400000002</v>
      </c>
      <c r="BX13" s="21">
        <f t="shared" si="498"/>
        <v>24184730.400000002</v>
      </c>
      <c r="BY13" s="21">
        <f t="shared" si="498"/>
        <v>24184730.400000002</v>
      </c>
      <c r="BZ13" s="21">
        <f t="shared" si="498"/>
        <v>24184730.400000002</v>
      </c>
      <c r="CA13" s="21">
        <f t="shared" si="498"/>
        <v>24184730.400000002</v>
      </c>
      <c r="CB13" s="21">
        <f t="shared" si="498"/>
        <v>24184730.400000002</v>
      </c>
      <c r="CC13" s="21">
        <f t="shared" si="498"/>
        <v>24184730.400000002</v>
      </c>
      <c r="CD13" s="21">
        <f t="shared" si="498"/>
        <v>24184730.400000002</v>
      </c>
      <c r="CE13" s="21">
        <f t="shared" si="498"/>
        <v>24184730.400000002</v>
      </c>
      <c r="CF13" s="21">
        <f t="shared" si="498"/>
        <v>24184730.400000002</v>
      </c>
      <c r="CG13" s="21">
        <f t="shared" si="498"/>
        <v>24184730.400000002</v>
      </c>
      <c r="CH13" s="21">
        <f t="shared" si="498"/>
        <v>24184730.400000002</v>
      </c>
      <c r="CI13" s="21">
        <f t="shared" si="498"/>
        <v>24184730.400000002</v>
      </c>
      <c r="CJ13" s="21">
        <f t="shared" si="498"/>
        <v>24184730.400000002</v>
      </c>
      <c r="CK13" s="21">
        <f t="shared" si="498"/>
        <v>24184730.400000002</v>
      </c>
      <c r="CL13" s="21">
        <f t="shared" si="498"/>
        <v>24184730.400000002</v>
      </c>
      <c r="CM13" s="21">
        <f t="shared" si="498"/>
        <v>24184730.400000002</v>
      </c>
      <c r="CN13" s="21">
        <f t="shared" si="498"/>
        <v>24184730.400000002</v>
      </c>
      <c r="CO13" s="21">
        <f t="shared" si="498"/>
        <v>24184730.400000002</v>
      </c>
      <c r="CP13" s="21">
        <f t="shared" si="498"/>
        <v>24184730.400000002</v>
      </c>
      <c r="CQ13" s="21">
        <f t="shared" si="498"/>
        <v>24184730.400000002</v>
      </c>
      <c r="CR13" s="21">
        <f t="shared" si="498"/>
        <v>24184730.400000002</v>
      </c>
      <c r="CS13" s="21">
        <f t="shared" si="498"/>
        <v>24184730.400000002</v>
      </c>
      <c r="CT13" s="21">
        <f t="shared" si="498"/>
        <v>24184730.400000002</v>
      </c>
      <c r="CU13" s="21">
        <f t="shared" si="498"/>
        <v>24184730.400000002</v>
      </c>
      <c r="CV13" s="21">
        <f t="shared" si="498"/>
        <v>24184730.400000002</v>
      </c>
      <c r="CW13" s="21">
        <f t="shared" si="498"/>
        <v>24184730.400000002</v>
      </c>
      <c r="CX13" s="21">
        <f t="shared" si="498"/>
        <v>24184730.400000002</v>
      </c>
      <c r="CY13" s="21">
        <f t="shared" si="498"/>
        <v>24184730.400000002</v>
      </c>
      <c r="CZ13" s="21">
        <f t="shared" si="498"/>
        <v>24184730.400000002</v>
      </c>
      <c r="DA13" s="21">
        <f t="shared" si="498"/>
        <v>24184730.400000002</v>
      </c>
      <c r="DB13" s="21">
        <f t="shared" si="498"/>
        <v>24184730.400000002</v>
      </c>
      <c r="DC13" s="21">
        <f t="shared" si="498"/>
        <v>24184730.400000002</v>
      </c>
      <c r="DD13" s="21">
        <f t="shared" si="498"/>
        <v>24184730.400000002</v>
      </c>
      <c r="DE13" s="21">
        <f t="shared" si="498"/>
        <v>24184730.400000002</v>
      </c>
      <c r="DF13" s="21">
        <f t="shared" si="498"/>
        <v>24184730.400000002</v>
      </c>
      <c r="DG13" s="21">
        <f t="shared" si="498"/>
        <v>24184730.400000002</v>
      </c>
      <c r="DH13" s="21">
        <f t="shared" si="498"/>
        <v>24184730.400000002</v>
      </c>
      <c r="DI13" s="21">
        <f t="shared" si="498"/>
        <v>24184730.400000002</v>
      </c>
      <c r="DJ13" s="21">
        <f t="shared" si="498"/>
        <v>24184730.400000002</v>
      </c>
      <c r="DK13" s="21">
        <f t="shared" si="498"/>
        <v>24184730.400000002</v>
      </c>
      <c r="DL13" s="21">
        <f t="shared" si="498"/>
        <v>24184730.400000002</v>
      </c>
      <c r="DM13" s="21">
        <f t="shared" si="498"/>
        <v>24184730.400000002</v>
      </c>
      <c r="DN13" s="21">
        <f t="shared" si="498"/>
        <v>24184730.400000002</v>
      </c>
      <c r="DO13" s="21">
        <f t="shared" si="498"/>
        <v>24184730.400000002</v>
      </c>
      <c r="DP13" s="21">
        <f t="shared" si="498"/>
        <v>24184730.400000002</v>
      </c>
      <c r="DQ13" s="21">
        <f t="shared" si="498"/>
        <v>24184730.400000002</v>
      </c>
      <c r="DR13" s="21">
        <f t="shared" si="498"/>
        <v>24184730.400000002</v>
      </c>
      <c r="DS13" s="21">
        <f t="shared" si="498"/>
        <v>24184730.400000002</v>
      </c>
      <c r="DT13" s="21">
        <f t="shared" si="498"/>
        <v>24184730.400000002</v>
      </c>
      <c r="DU13" s="21">
        <f t="shared" si="498"/>
        <v>24184730.400000002</v>
      </c>
      <c r="DV13" s="21">
        <f t="shared" si="498"/>
        <v>24184730.400000002</v>
      </c>
      <c r="DW13" s="21">
        <f t="shared" si="498"/>
        <v>24184730.400000002</v>
      </c>
      <c r="DX13" s="21">
        <f t="shared" si="498"/>
        <v>24184730.400000002</v>
      </c>
      <c r="DY13" s="21">
        <f t="shared" si="498"/>
        <v>24184730.400000002</v>
      </c>
      <c r="DZ13" s="21">
        <f t="shared" si="498"/>
        <v>24184730.400000002</v>
      </c>
      <c r="EA13" s="21">
        <f t="shared" si="498"/>
        <v>24184730.400000002</v>
      </c>
      <c r="EB13" s="21">
        <f t="shared" si="498"/>
        <v>24184730.400000002</v>
      </c>
      <c r="EC13" s="21">
        <f t="shared" si="498"/>
        <v>24184730.400000002</v>
      </c>
      <c r="ED13" s="21">
        <f t="shared" si="498"/>
        <v>24184730.400000002</v>
      </c>
      <c r="EE13" s="21">
        <f t="shared" ref="EE13:GP13" si="499">IF(IF(AND(ISNA(EE$5),ISNA(ED$5)),ED13*(1+$E13),IF(AND(ED$5&gt;0,ISNA(EE$5)),ED13*(1+$E13),EE$5))&gt;$C$20,$C$20,IF(AND(ISNA(EE$5),ISNA(ED$5)),ED13*(1+$E13),IF(AND(ED$5&gt;0,ISNA(EE$5)),ED13*(1+$E13),EE$5)))</f>
        <v>24184730.400000002</v>
      </c>
      <c r="EF13" s="21">
        <f t="shared" si="499"/>
        <v>24184730.400000002</v>
      </c>
      <c r="EG13" s="21">
        <f t="shared" si="499"/>
        <v>24184730.400000002</v>
      </c>
      <c r="EH13" s="21">
        <f t="shared" si="499"/>
        <v>24184730.400000002</v>
      </c>
      <c r="EI13" s="21">
        <f t="shared" si="499"/>
        <v>24184730.400000002</v>
      </c>
      <c r="EJ13" s="21">
        <f t="shared" si="499"/>
        <v>24184730.400000002</v>
      </c>
      <c r="EK13" s="21">
        <f t="shared" si="499"/>
        <v>24184730.400000002</v>
      </c>
      <c r="EL13" s="21">
        <f t="shared" si="499"/>
        <v>24184730.400000002</v>
      </c>
      <c r="EM13" s="21">
        <f t="shared" si="499"/>
        <v>24184730.400000002</v>
      </c>
      <c r="EN13" s="21">
        <f t="shared" si="499"/>
        <v>24184730.400000002</v>
      </c>
      <c r="EO13" s="21">
        <f t="shared" si="499"/>
        <v>24184730.400000002</v>
      </c>
      <c r="EP13" s="21">
        <f t="shared" si="499"/>
        <v>24184730.400000002</v>
      </c>
      <c r="EQ13" s="21">
        <f t="shared" si="499"/>
        <v>24184730.400000002</v>
      </c>
      <c r="ER13" s="21">
        <f t="shared" si="499"/>
        <v>24184730.400000002</v>
      </c>
      <c r="ES13" s="21">
        <f t="shared" si="499"/>
        <v>24184730.400000002</v>
      </c>
      <c r="ET13" s="21">
        <f t="shared" si="499"/>
        <v>24184730.400000002</v>
      </c>
      <c r="EU13" s="21">
        <f t="shared" si="499"/>
        <v>24184730.400000002</v>
      </c>
      <c r="EV13" s="21">
        <f t="shared" si="499"/>
        <v>24184730.400000002</v>
      </c>
      <c r="EW13" s="21">
        <f t="shared" si="499"/>
        <v>24184730.400000002</v>
      </c>
      <c r="EX13" s="21">
        <f t="shared" si="499"/>
        <v>24184730.400000002</v>
      </c>
      <c r="EY13" s="21">
        <f t="shared" si="499"/>
        <v>24184730.400000002</v>
      </c>
      <c r="EZ13" s="21">
        <f t="shared" si="499"/>
        <v>24184730.400000002</v>
      </c>
      <c r="FA13" s="21">
        <f t="shared" si="499"/>
        <v>24184730.400000002</v>
      </c>
      <c r="FB13" s="21">
        <f t="shared" si="499"/>
        <v>24184730.400000002</v>
      </c>
      <c r="FC13" s="21">
        <f t="shared" si="499"/>
        <v>24184730.400000002</v>
      </c>
      <c r="FD13" s="21">
        <f t="shared" si="499"/>
        <v>24184730.400000002</v>
      </c>
      <c r="FE13" s="21">
        <f t="shared" si="499"/>
        <v>24184730.400000002</v>
      </c>
      <c r="FF13" s="21">
        <f t="shared" si="499"/>
        <v>24184730.400000002</v>
      </c>
      <c r="FG13" s="21">
        <f t="shared" si="499"/>
        <v>24184730.400000002</v>
      </c>
      <c r="FH13" s="21">
        <f t="shared" si="499"/>
        <v>24184730.400000002</v>
      </c>
      <c r="FI13" s="21">
        <f t="shared" si="499"/>
        <v>24184730.400000002</v>
      </c>
      <c r="FJ13" s="21">
        <f t="shared" si="499"/>
        <v>24184730.400000002</v>
      </c>
      <c r="FK13" s="21">
        <f t="shared" si="499"/>
        <v>24184730.400000002</v>
      </c>
      <c r="FL13" s="21">
        <f t="shared" si="499"/>
        <v>24184730.400000002</v>
      </c>
      <c r="FM13" s="21">
        <f t="shared" si="499"/>
        <v>24184730.400000002</v>
      </c>
      <c r="FN13" s="21">
        <f t="shared" si="499"/>
        <v>24184730.400000002</v>
      </c>
      <c r="FO13" s="21">
        <f t="shared" si="499"/>
        <v>24184730.400000002</v>
      </c>
      <c r="FP13" s="21">
        <f t="shared" si="499"/>
        <v>24184730.400000002</v>
      </c>
      <c r="FQ13" s="21">
        <f t="shared" si="499"/>
        <v>24184730.400000002</v>
      </c>
      <c r="FR13" s="21">
        <f t="shared" si="499"/>
        <v>24184730.400000002</v>
      </c>
      <c r="FS13" s="21">
        <f t="shared" si="499"/>
        <v>24184730.400000002</v>
      </c>
      <c r="FT13" s="21">
        <f t="shared" si="499"/>
        <v>24184730.400000002</v>
      </c>
      <c r="FU13" s="21">
        <f t="shared" si="499"/>
        <v>24184730.400000002</v>
      </c>
      <c r="FV13" s="21">
        <f t="shared" si="499"/>
        <v>24184730.400000002</v>
      </c>
      <c r="FW13" s="21">
        <f t="shared" si="499"/>
        <v>24184730.400000002</v>
      </c>
      <c r="FX13" s="21">
        <f t="shared" si="499"/>
        <v>24184730.400000002</v>
      </c>
      <c r="FY13" s="21">
        <f t="shared" si="499"/>
        <v>24184730.400000002</v>
      </c>
      <c r="FZ13" s="21">
        <f t="shared" si="499"/>
        <v>24184730.400000002</v>
      </c>
      <c r="GA13" s="21">
        <f t="shared" si="499"/>
        <v>24184730.400000002</v>
      </c>
      <c r="GB13" s="21">
        <f t="shared" si="499"/>
        <v>24184730.400000002</v>
      </c>
      <c r="GC13" s="21">
        <f t="shared" si="499"/>
        <v>24184730.400000002</v>
      </c>
      <c r="GD13" s="21">
        <f t="shared" si="499"/>
        <v>24184730.400000002</v>
      </c>
      <c r="GE13" s="21">
        <f t="shared" si="499"/>
        <v>24184730.400000002</v>
      </c>
      <c r="GF13" s="21">
        <f t="shared" si="499"/>
        <v>24184730.400000002</v>
      </c>
      <c r="GG13" s="21">
        <f t="shared" si="499"/>
        <v>24184730.400000002</v>
      </c>
      <c r="GH13" s="21">
        <f t="shared" si="499"/>
        <v>24184730.400000002</v>
      </c>
      <c r="GI13" s="21">
        <f t="shared" si="499"/>
        <v>24184730.400000002</v>
      </c>
      <c r="GJ13" s="21">
        <f t="shared" si="499"/>
        <v>24184730.400000002</v>
      </c>
      <c r="GK13" s="21">
        <f t="shared" si="499"/>
        <v>24184730.400000002</v>
      </c>
      <c r="GL13" s="21">
        <f t="shared" si="499"/>
        <v>24184730.400000002</v>
      </c>
      <c r="GM13" s="21">
        <f t="shared" si="499"/>
        <v>24184730.400000002</v>
      </c>
      <c r="GN13" s="21">
        <f t="shared" si="499"/>
        <v>24184730.400000002</v>
      </c>
      <c r="GO13" s="21">
        <f t="shared" si="499"/>
        <v>24184730.400000002</v>
      </c>
      <c r="GP13" s="21">
        <f t="shared" si="499"/>
        <v>24184730.400000002</v>
      </c>
      <c r="GQ13" s="21">
        <f t="shared" ref="GQ13:IN13" si="500">IF(IF(AND(ISNA(GQ$5),ISNA(GP$5)),GP13*(1+$E13),IF(AND(GP$5&gt;0,ISNA(GQ$5)),GP13*(1+$E13),GQ$5))&gt;$C$20,$C$20,IF(AND(ISNA(GQ$5),ISNA(GP$5)),GP13*(1+$E13),IF(AND(GP$5&gt;0,ISNA(GQ$5)),GP13*(1+$E13),GQ$5)))</f>
        <v>24184730.400000002</v>
      </c>
      <c r="GR13" s="21">
        <f t="shared" si="500"/>
        <v>24184730.400000002</v>
      </c>
      <c r="GS13" s="21">
        <f t="shared" si="500"/>
        <v>24184730.400000002</v>
      </c>
      <c r="GT13" s="21">
        <f t="shared" si="500"/>
        <v>24184730.400000002</v>
      </c>
      <c r="GU13" s="21">
        <f t="shared" si="500"/>
        <v>24184730.400000002</v>
      </c>
      <c r="GV13" s="21">
        <f t="shared" si="500"/>
        <v>24184730.400000002</v>
      </c>
      <c r="GW13" s="21">
        <f t="shared" si="500"/>
        <v>24184730.400000002</v>
      </c>
      <c r="GX13" s="21">
        <f t="shared" si="500"/>
        <v>24184730.400000002</v>
      </c>
      <c r="GY13" s="21">
        <f t="shared" si="500"/>
        <v>24184730.400000002</v>
      </c>
      <c r="GZ13" s="21">
        <f t="shared" si="500"/>
        <v>24184730.400000002</v>
      </c>
      <c r="HA13" s="21">
        <f t="shared" si="500"/>
        <v>24184730.400000002</v>
      </c>
      <c r="HB13" s="21">
        <f t="shared" si="500"/>
        <v>24184730.400000002</v>
      </c>
      <c r="HC13" s="21">
        <f t="shared" si="500"/>
        <v>24184730.400000002</v>
      </c>
      <c r="HD13" s="21">
        <f t="shared" si="500"/>
        <v>24184730.400000002</v>
      </c>
      <c r="HE13" s="21">
        <f t="shared" si="500"/>
        <v>24184730.400000002</v>
      </c>
      <c r="HF13" s="21">
        <f t="shared" si="500"/>
        <v>24184730.400000002</v>
      </c>
      <c r="HG13" s="21">
        <f t="shared" si="500"/>
        <v>24184730.400000002</v>
      </c>
      <c r="HH13" s="21">
        <f t="shared" si="500"/>
        <v>24184730.400000002</v>
      </c>
      <c r="HI13" s="21">
        <f t="shared" si="500"/>
        <v>24184730.400000002</v>
      </c>
      <c r="HJ13" s="21">
        <f t="shared" si="500"/>
        <v>24184730.400000002</v>
      </c>
      <c r="HK13" s="21">
        <f t="shared" si="500"/>
        <v>24184730.400000002</v>
      </c>
      <c r="HL13" s="21">
        <f t="shared" si="500"/>
        <v>24184730.400000002</v>
      </c>
      <c r="HM13" s="21">
        <f t="shared" si="500"/>
        <v>24184730.400000002</v>
      </c>
      <c r="HN13" s="21">
        <f t="shared" si="500"/>
        <v>24184730.400000002</v>
      </c>
      <c r="HO13" s="21">
        <f t="shared" si="500"/>
        <v>24184730.400000002</v>
      </c>
      <c r="HP13" s="21">
        <f t="shared" si="500"/>
        <v>24184730.400000002</v>
      </c>
      <c r="HQ13" s="21">
        <f t="shared" si="500"/>
        <v>24184730.400000002</v>
      </c>
      <c r="HR13" s="21">
        <f t="shared" si="500"/>
        <v>24184730.400000002</v>
      </c>
      <c r="HS13" s="21">
        <f t="shared" si="500"/>
        <v>24184730.400000002</v>
      </c>
      <c r="HT13" s="21">
        <f t="shared" si="500"/>
        <v>24184730.400000002</v>
      </c>
      <c r="HU13" s="21">
        <f t="shared" si="500"/>
        <v>24184730.400000002</v>
      </c>
      <c r="HV13" s="21">
        <f t="shared" si="500"/>
        <v>24184730.400000002</v>
      </c>
      <c r="HW13" s="21">
        <f t="shared" si="500"/>
        <v>24184730.400000002</v>
      </c>
      <c r="HX13" s="21">
        <f t="shared" si="500"/>
        <v>24184730.400000002</v>
      </c>
      <c r="HY13" s="21">
        <f t="shared" si="500"/>
        <v>24184730.400000002</v>
      </c>
      <c r="HZ13" s="21">
        <f t="shared" si="500"/>
        <v>24184730.400000002</v>
      </c>
      <c r="IA13" s="21">
        <f t="shared" si="500"/>
        <v>24184730.400000002</v>
      </c>
      <c r="IB13" s="21">
        <f t="shared" si="500"/>
        <v>24184730.400000002</v>
      </c>
      <c r="IC13" s="21">
        <f t="shared" si="500"/>
        <v>24184730.400000002</v>
      </c>
      <c r="ID13" s="21">
        <f t="shared" si="500"/>
        <v>24184730.400000002</v>
      </c>
      <c r="IE13" s="21">
        <f t="shared" si="500"/>
        <v>24184730.400000002</v>
      </c>
      <c r="IF13" s="21">
        <f t="shared" si="500"/>
        <v>24184730.400000002</v>
      </c>
      <c r="IG13" s="21">
        <f t="shared" si="500"/>
        <v>24184730.400000002</v>
      </c>
      <c r="IH13" s="21">
        <f t="shared" si="500"/>
        <v>24184730.400000002</v>
      </c>
      <c r="II13" s="21">
        <f t="shared" si="500"/>
        <v>24184730.400000002</v>
      </c>
      <c r="IJ13" s="21">
        <f t="shared" si="500"/>
        <v>24184730.400000002</v>
      </c>
      <c r="IK13" s="21">
        <f t="shared" si="500"/>
        <v>24184730.400000002</v>
      </c>
      <c r="IL13" s="21">
        <f t="shared" si="500"/>
        <v>24184730.400000002</v>
      </c>
      <c r="IM13" s="21">
        <f t="shared" si="500"/>
        <v>24184730.400000002</v>
      </c>
      <c r="IN13" s="21">
        <f t="shared" si="500"/>
        <v>24184730.400000002</v>
      </c>
    </row>
    <row r="14" spans="2:248" x14ac:dyDescent="0.3">
      <c r="B14" s="19" t="s">
        <v>501</v>
      </c>
      <c r="C14" s="25">
        <v>4.7E-2</v>
      </c>
      <c r="F14" s="19" t="s">
        <v>612</v>
      </c>
      <c r="G14" s="21">
        <f t="shared" ref="G14:R14" si="501">G13</f>
        <v>155</v>
      </c>
      <c r="H14" s="21">
        <f t="shared" si="501"/>
        <v>229</v>
      </c>
      <c r="I14" s="21">
        <f t="shared" si="501"/>
        <v>322</v>
      </c>
      <c r="J14" s="21">
        <f t="shared" si="501"/>
        <v>453</v>
      </c>
      <c r="K14" s="21">
        <f t="shared" si="501"/>
        <v>655</v>
      </c>
      <c r="L14" s="21">
        <f t="shared" si="501"/>
        <v>888</v>
      </c>
      <c r="M14" s="21">
        <f t="shared" si="501"/>
        <v>1128</v>
      </c>
      <c r="N14" s="21">
        <f t="shared" si="501"/>
        <v>1694</v>
      </c>
      <c r="O14" s="21">
        <f t="shared" si="501"/>
        <v>2036</v>
      </c>
      <c r="P14" s="21">
        <f t="shared" si="501"/>
        <v>2502</v>
      </c>
      <c r="Q14" s="21">
        <f t="shared" si="501"/>
        <v>3089</v>
      </c>
      <c r="R14" s="21">
        <f t="shared" si="501"/>
        <v>3858</v>
      </c>
      <c r="S14" s="21">
        <f>S13-G13</f>
        <v>4481</v>
      </c>
      <c r="T14" s="21">
        <f t="shared" ref="T14" si="502">T13-H13</f>
        <v>5654</v>
      </c>
      <c r="U14" s="21">
        <f t="shared" ref="U14" si="503">U13-I13</f>
        <v>7053</v>
      </c>
      <c r="V14" s="21">
        <f t="shared" ref="V14" si="504">V13-J13</f>
        <v>8719</v>
      </c>
      <c r="W14" s="21">
        <f t="shared" ref="W14" si="505">W13-K13</f>
        <v>9494</v>
      </c>
      <c r="X14" s="21">
        <f t="shared" ref="X14" si="506">X13-L13</f>
        <v>11574</v>
      </c>
      <c r="Y14" s="21">
        <f t="shared" ref="Y14" si="507">Y13-M13</f>
        <v>12872</v>
      </c>
      <c r="Z14" s="21">
        <f t="shared" ref="Z14" si="508">Z13-N13</f>
        <v>15966</v>
      </c>
      <c r="AA14" s="21">
        <f t="shared" ref="AA14" si="509">AA13-O13</f>
        <v>19121</v>
      </c>
      <c r="AB14" s="21">
        <f t="shared" ref="AB14" si="510">AB13-P13</f>
        <v>22245</v>
      </c>
      <c r="AC14" s="21">
        <f t="shared" ref="AC14" si="511">AC13-Q13</f>
        <v>24891</v>
      </c>
      <c r="AD14" s="21">
        <f t="shared" ref="AD14" si="512">AD13-R13</f>
        <v>27648</v>
      </c>
      <c r="AE14" s="21">
        <f t="shared" ref="AE14" si="513">AE13-S13</f>
        <v>36321.800000000003</v>
      </c>
      <c r="AF14" s="21">
        <f t="shared" ref="AF14" si="514">AF13-T13</f>
        <v>47362.140000000007</v>
      </c>
      <c r="AG14" s="21">
        <f t="shared" ref="AG14" si="515">AG13-U13</f>
        <v>61843.682000000015</v>
      </c>
      <c r="AH14" s="21">
        <f t="shared" ref="AH14" si="516">AH13-V13</f>
        <v>80812.286600000021</v>
      </c>
      <c r="AI14" s="21">
        <f t="shared" ref="AI14" si="517">AI13-W13</f>
        <v>106830.57258000004</v>
      </c>
      <c r="AJ14" s="21">
        <f t="shared" ref="AJ14" si="518">AJ13-X13</f>
        <v>139611.44435400006</v>
      </c>
      <c r="AK14" s="21">
        <f t="shared" ref="AK14" si="519">AK13-Y13</f>
        <v>183695.47766020009</v>
      </c>
      <c r="AL14" s="21">
        <f t="shared" ref="AL14" si="520">AL13-Z13</f>
        <v>239344.12095826014</v>
      </c>
      <c r="AM14" s="21">
        <f t="shared" ref="AM14" si="521">AM13-AA13</f>
        <v>312948.35724573821</v>
      </c>
      <c r="AN14" s="21">
        <f t="shared" ref="AN14" si="522">AN13-AB13</f>
        <v>409589.96441945969</v>
      </c>
      <c r="AO14" s="21">
        <f t="shared" ref="AO14" si="523">AO13-AC13</f>
        <v>536658.0537452976</v>
      </c>
      <c r="AP14" s="21">
        <f t="shared" ref="AP14" si="524">AP13-AD13</f>
        <v>702523.46986888687</v>
      </c>
      <c r="AQ14" s="21">
        <f t="shared" ref="AQ14" si="525">AQ13-AE13</f>
        <v>913280.51082955289</v>
      </c>
      <c r="AR14" s="21">
        <f t="shared" ref="AR14" si="526">AR13-AF13</f>
        <v>1187264.6640784189</v>
      </c>
      <c r="AS14" s="21">
        <f t="shared" ref="AS14" si="527">AS13-AG13</f>
        <v>1543444.0633019444</v>
      </c>
      <c r="AT14" s="21">
        <f t="shared" ref="AT14" si="528">AT13-AH13</f>
        <v>2006477.2822925278</v>
      </c>
      <c r="AU14" s="21">
        <f t="shared" ref="AU14" si="529">AU13-AI13</f>
        <v>2608420.4669802864</v>
      </c>
      <c r="AV14" s="21">
        <f t="shared" ref="AV14" si="530">AV13-AJ13</f>
        <v>3390946.6070743725</v>
      </c>
      <c r="AW14" s="21">
        <f t="shared" ref="AW14" si="531">AW13-AK13</f>
        <v>4408230.5891966838</v>
      </c>
      <c r="AX14" s="21">
        <f t="shared" ref="AX14" si="532">AX13-AL13</f>
        <v>5730699.7659556894</v>
      </c>
      <c r="AY14" s="21">
        <f t="shared" ref="AY14" si="533">AY13-AM13</f>
        <v>7449909.6957423957</v>
      </c>
      <c r="AZ14" s="21">
        <f t="shared" ref="AZ14" si="534">AZ13-AN13</f>
        <v>9684882.6044651158</v>
      </c>
      <c r="BA14" s="21">
        <f t="shared" ref="BA14" si="535">BA13-AO13</f>
        <v>12590347.385804651</v>
      </c>
      <c r="BB14" s="21">
        <f t="shared" ref="BB14" si="536">BB13-AP13</f>
        <v>16367451.601546045</v>
      </c>
      <c r="BC14" s="21">
        <f t="shared" ref="BC14" si="537">BC13-AQ13</f>
        <v>21277687.082009859</v>
      </c>
      <c r="BD14" s="21">
        <f t="shared" ref="BD14" si="538">BD13-AR13</f>
        <v>22944220.595921583</v>
      </c>
      <c r="BE14" s="21">
        <f t="shared" ref="BE14" si="539">BE13-AS13</f>
        <v>22572067.654698059</v>
      </c>
      <c r="BF14" s="21">
        <f t="shared" ref="BF14" si="540">BF13-AT13</f>
        <v>22088268.831107475</v>
      </c>
      <c r="BG14" s="21">
        <f t="shared" ref="BG14" si="541">BG13-AU13</f>
        <v>21459330.360439718</v>
      </c>
      <c r="BH14" s="21">
        <f t="shared" ref="BH14" si="542">BH13-AV13</f>
        <v>20641710.348571628</v>
      </c>
      <c r="BI14" s="21">
        <f t="shared" ref="BI14" si="543">BI13-AW13</f>
        <v>19578804.333143119</v>
      </c>
      <c r="BJ14" s="21">
        <f t="shared" ref="BJ14" si="544">BJ13-AX13</f>
        <v>18197026.513086051</v>
      </c>
      <c r="BK14" s="21">
        <f t="shared" ref="BK14" si="545">BK13-AY13</f>
        <v>16400715.347011868</v>
      </c>
      <c r="BL14" s="21">
        <f t="shared" ref="BL14" si="546">BL13-AZ13</f>
        <v>14065510.831115426</v>
      </c>
      <c r="BM14" s="21">
        <f t="shared" ref="BM14" si="547">BM13-BA13</f>
        <v>11029744.960450053</v>
      </c>
      <c r="BN14" s="21">
        <f t="shared" ref="BN14" si="548">BN13-BB13</f>
        <v>7083249.3285850696</v>
      </c>
      <c r="BO14" s="21">
        <f t="shared" ref="BO14" si="549">BO13-BC13</f>
        <v>1952805.0071605891</v>
      </c>
      <c r="BP14" s="21">
        <f t="shared" ref="BP14" si="550">BP13-BD13</f>
        <v>0</v>
      </c>
      <c r="BQ14" s="21">
        <f t="shared" ref="BQ14" si="551">BQ13-BE13</f>
        <v>0</v>
      </c>
      <c r="BR14" s="21">
        <f t="shared" ref="BR14" si="552">BR13-BF13</f>
        <v>0</v>
      </c>
      <c r="BS14" s="21">
        <f t="shared" ref="BS14" si="553">BS13-BG13</f>
        <v>0</v>
      </c>
      <c r="BT14" s="21">
        <f t="shared" ref="BT14" si="554">BT13-BH13</f>
        <v>0</v>
      </c>
      <c r="BU14" s="21">
        <f t="shared" ref="BU14" si="555">BU13-BI13</f>
        <v>0</v>
      </c>
      <c r="BV14" s="21">
        <f t="shared" ref="BV14" si="556">BV13-BJ13</f>
        <v>0</v>
      </c>
      <c r="BW14" s="21">
        <f t="shared" ref="BW14" si="557">BW13-BK13</f>
        <v>0</v>
      </c>
      <c r="BX14" s="21">
        <f t="shared" ref="BX14" si="558">BX13-BL13</f>
        <v>0</v>
      </c>
      <c r="BY14" s="21">
        <f t="shared" ref="BY14" si="559">BY13-BM13</f>
        <v>0</v>
      </c>
      <c r="BZ14" s="21">
        <f t="shared" ref="BZ14" si="560">BZ13-BN13</f>
        <v>0</v>
      </c>
      <c r="CA14" s="21">
        <f t="shared" ref="CA14" si="561">CA13-BO13</f>
        <v>0</v>
      </c>
      <c r="CB14" s="21">
        <f t="shared" ref="CB14" si="562">CB13-BP13</f>
        <v>0</v>
      </c>
      <c r="CC14" s="21">
        <f t="shared" ref="CC14" si="563">CC13-BQ13</f>
        <v>0</v>
      </c>
      <c r="CD14" s="21">
        <f t="shared" ref="CD14" si="564">CD13-BR13</f>
        <v>0</v>
      </c>
      <c r="CE14" s="21">
        <f t="shared" ref="CE14" si="565">CE13-BS13</f>
        <v>0</v>
      </c>
      <c r="CF14" s="21">
        <f t="shared" ref="CF14" si="566">CF13-BT13</f>
        <v>0</v>
      </c>
      <c r="CG14" s="21">
        <f t="shared" ref="CG14" si="567">CG13-BU13</f>
        <v>0</v>
      </c>
      <c r="CH14" s="21">
        <f t="shared" ref="CH14" si="568">CH13-BV13</f>
        <v>0</v>
      </c>
      <c r="CI14" s="21">
        <f t="shared" ref="CI14" si="569">CI13-BW13</f>
        <v>0</v>
      </c>
      <c r="CJ14" s="21">
        <f t="shared" ref="CJ14" si="570">CJ13-BX13</f>
        <v>0</v>
      </c>
      <c r="CK14" s="21">
        <f t="shared" ref="CK14" si="571">CK13-BY13</f>
        <v>0</v>
      </c>
      <c r="CL14" s="21">
        <f t="shared" ref="CL14" si="572">CL13-BZ13</f>
        <v>0</v>
      </c>
      <c r="CM14" s="21">
        <f t="shared" ref="CM14" si="573">CM13-CA13</f>
        <v>0</v>
      </c>
      <c r="CN14" s="21">
        <f t="shared" ref="CN14" si="574">CN13-CB13</f>
        <v>0</v>
      </c>
      <c r="CO14" s="21">
        <f t="shared" ref="CO14" si="575">CO13-CC13</f>
        <v>0</v>
      </c>
      <c r="CP14" s="21">
        <f t="shared" ref="CP14" si="576">CP13-CD13</f>
        <v>0</v>
      </c>
      <c r="CQ14" s="21">
        <f t="shared" ref="CQ14" si="577">CQ13-CE13</f>
        <v>0</v>
      </c>
      <c r="CR14" s="21">
        <f t="shared" ref="CR14" si="578">CR13-CF13</f>
        <v>0</v>
      </c>
      <c r="CS14" s="21">
        <f t="shared" ref="CS14" si="579">CS13-CG13</f>
        <v>0</v>
      </c>
      <c r="CT14" s="21">
        <f t="shared" ref="CT14" si="580">CT13-CH13</f>
        <v>0</v>
      </c>
      <c r="CU14" s="21">
        <f t="shared" ref="CU14" si="581">CU13-CI13</f>
        <v>0</v>
      </c>
      <c r="CV14" s="21">
        <f t="shared" ref="CV14" si="582">CV13-CJ13</f>
        <v>0</v>
      </c>
      <c r="CW14" s="21">
        <f t="shared" ref="CW14" si="583">CW13-CK13</f>
        <v>0</v>
      </c>
      <c r="CX14" s="21">
        <f t="shared" ref="CX14" si="584">CX13-CL13</f>
        <v>0</v>
      </c>
      <c r="CY14" s="21">
        <f t="shared" ref="CY14" si="585">CY13-CM13</f>
        <v>0</v>
      </c>
      <c r="CZ14" s="21">
        <f t="shared" ref="CZ14" si="586">CZ13-CN13</f>
        <v>0</v>
      </c>
      <c r="DA14" s="21">
        <f t="shared" ref="DA14" si="587">DA13-CO13</f>
        <v>0</v>
      </c>
      <c r="DB14" s="21">
        <f t="shared" ref="DB14" si="588">DB13-CP13</f>
        <v>0</v>
      </c>
      <c r="DC14" s="21">
        <f t="shared" ref="DC14" si="589">DC13-CQ13</f>
        <v>0</v>
      </c>
      <c r="DD14" s="21">
        <f t="shared" ref="DD14" si="590">DD13-CR13</f>
        <v>0</v>
      </c>
      <c r="DE14" s="21">
        <f t="shared" ref="DE14" si="591">DE13-CS13</f>
        <v>0</v>
      </c>
      <c r="DF14" s="21">
        <f t="shared" ref="DF14" si="592">DF13-CT13</f>
        <v>0</v>
      </c>
      <c r="DG14" s="21">
        <f t="shared" ref="DG14" si="593">DG13-CU13</f>
        <v>0</v>
      </c>
      <c r="DH14" s="21">
        <f t="shared" ref="DH14" si="594">DH13-CV13</f>
        <v>0</v>
      </c>
      <c r="DI14" s="21">
        <f t="shared" ref="DI14" si="595">DI13-CW13</f>
        <v>0</v>
      </c>
      <c r="DJ14" s="21">
        <f t="shared" ref="DJ14" si="596">DJ13-CX13</f>
        <v>0</v>
      </c>
      <c r="DK14" s="21">
        <f t="shared" ref="DK14" si="597">DK13-CY13</f>
        <v>0</v>
      </c>
      <c r="DL14" s="21">
        <f t="shared" ref="DL14" si="598">DL13-CZ13</f>
        <v>0</v>
      </c>
      <c r="DM14" s="21">
        <f t="shared" ref="DM14" si="599">DM13-DA13</f>
        <v>0</v>
      </c>
      <c r="DN14" s="21">
        <f t="shared" ref="DN14" si="600">DN13-DB13</f>
        <v>0</v>
      </c>
      <c r="DO14" s="21">
        <f t="shared" ref="DO14" si="601">DO13-DC13</f>
        <v>0</v>
      </c>
      <c r="DP14" s="21">
        <f t="shared" ref="DP14" si="602">DP13-DD13</f>
        <v>0</v>
      </c>
      <c r="DQ14" s="21">
        <f t="shared" ref="DQ14" si="603">DQ13-DE13</f>
        <v>0</v>
      </c>
      <c r="DR14" s="21">
        <f t="shared" ref="DR14" si="604">DR13-DF13</f>
        <v>0</v>
      </c>
      <c r="DS14" s="21">
        <f t="shared" ref="DS14" si="605">DS13-DG13</f>
        <v>0</v>
      </c>
      <c r="DT14" s="21">
        <f t="shared" ref="DT14" si="606">DT13-DH13</f>
        <v>0</v>
      </c>
      <c r="DU14" s="21">
        <f t="shared" ref="DU14" si="607">DU13-DI13</f>
        <v>0</v>
      </c>
      <c r="DV14" s="21">
        <f t="shared" ref="DV14" si="608">DV13-DJ13</f>
        <v>0</v>
      </c>
      <c r="DW14" s="21">
        <f t="shared" ref="DW14" si="609">DW13-DK13</f>
        <v>0</v>
      </c>
      <c r="DX14" s="21">
        <f t="shared" ref="DX14" si="610">DX13-DL13</f>
        <v>0</v>
      </c>
      <c r="DY14" s="21">
        <f t="shared" ref="DY14" si="611">DY13-DM13</f>
        <v>0</v>
      </c>
      <c r="DZ14" s="21">
        <f t="shared" ref="DZ14" si="612">DZ13-DN13</f>
        <v>0</v>
      </c>
      <c r="EA14" s="21">
        <f t="shared" ref="EA14" si="613">EA13-DO13</f>
        <v>0</v>
      </c>
      <c r="EB14" s="21">
        <f t="shared" ref="EB14" si="614">EB13-DP13</f>
        <v>0</v>
      </c>
      <c r="EC14" s="21">
        <f t="shared" ref="EC14" si="615">EC13-DQ13</f>
        <v>0</v>
      </c>
      <c r="ED14" s="21">
        <f t="shared" ref="ED14" si="616">ED13-DR13</f>
        <v>0</v>
      </c>
      <c r="EE14" s="21">
        <f t="shared" ref="EE14" si="617">EE13-DS13</f>
        <v>0</v>
      </c>
      <c r="EF14" s="21">
        <f t="shared" ref="EF14" si="618">EF13-DT13</f>
        <v>0</v>
      </c>
      <c r="EG14" s="21">
        <f t="shared" ref="EG14" si="619">EG13-DU13</f>
        <v>0</v>
      </c>
      <c r="EH14" s="21">
        <f t="shared" ref="EH14" si="620">EH13-DV13</f>
        <v>0</v>
      </c>
      <c r="EI14" s="21">
        <f t="shared" ref="EI14" si="621">EI13-DW13</f>
        <v>0</v>
      </c>
      <c r="EJ14" s="21">
        <f t="shared" ref="EJ14" si="622">EJ13-DX13</f>
        <v>0</v>
      </c>
      <c r="EK14" s="21">
        <f t="shared" ref="EK14" si="623">EK13-DY13</f>
        <v>0</v>
      </c>
      <c r="EL14" s="21">
        <f t="shared" ref="EL14" si="624">EL13-DZ13</f>
        <v>0</v>
      </c>
      <c r="EM14" s="21">
        <f t="shared" ref="EM14" si="625">EM13-EA13</f>
        <v>0</v>
      </c>
      <c r="EN14" s="21">
        <f t="shared" ref="EN14" si="626">EN13-EB13</f>
        <v>0</v>
      </c>
      <c r="EO14" s="21">
        <f t="shared" ref="EO14" si="627">EO13-EC13</f>
        <v>0</v>
      </c>
      <c r="EP14" s="21">
        <f t="shared" ref="EP14" si="628">EP13-ED13</f>
        <v>0</v>
      </c>
      <c r="EQ14" s="21">
        <f t="shared" ref="EQ14" si="629">EQ13-EE13</f>
        <v>0</v>
      </c>
      <c r="ER14" s="21">
        <f t="shared" ref="ER14" si="630">ER13-EF13</f>
        <v>0</v>
      </c>
      <c r="ES14" s="21">
        <f t="shared" ref="ES14" si="631">ES13-EG13</f>
        <v>0</v>
      </c>
      <c r="ET14" s="21">
        <f t="shared" ref="ET14" si="632">ET13-EH13</f>
        <v>0</v>
      </c>
      <c r="EU14" s="21">
        <f t="shared" ref="EU14" si="633">EU13-EI13</f>
        <v>0</v>
      </c>
      <c r="EV14" s="21">
        <f t="shared" ref="EV14" si="634">EV13-EJ13</f>
        <v>0</v>
      </c>
      <c r="EW14" s="21">
        <f t="shared" ref="EW14" si="635">EW13-EK13</f>
        <v>0</v>
      </c>
      <c r="EX14" s="21">
        <f t="shared" ref="EX14" si="636">EX13-EL13</f>
        <v>0</v>
      </c>
      <c r="EY14" s="21">
        <f t="shared" ref="EY14" si="637">EY13-EM13</f>
        <v>0</v>
      </c>
      <c r="EZ14" s="21">
        <f t="shared" ref="EZ14" si="638">EZ13-EN13</f>
        <v>0</v>
      </c>
      <c r="FA14" s="21">
        <f t="shared" ref="FA14" si="639">FA13-EO13</f>
        <v>0</v>
      </c>
      <c r="FB14" s="21">
        <f t="shared" ref="FB14" si="640">FB13-EP13</f>
        <v>0</v>
      </c>
      <c r="FC14" s="21">
        <f t="shared" ref="FC14" si="641">FC13-EQ13</f>
        <v>0</v>
      </c>
      <c r="FD14" s="21">
        <f t="shared" ref="FD14" si="642">FD13-ER13</f>
        <v>0</v>
      </c>
      <c r="FE14" s="21">
        <f t="shared" ref="FE14" si="643">FE13-ES13</f>
        <v>0</v>
      </c>
      <c r="FF14" s="21">
        <f t="shared" ref="FF14" si="644">FF13-ET13</f>
        <v>0</v>
      </c>
      <c r="FG14" s="21">
        <f t="shared" ref="FG14" si="645">FG13-EU13</f>
        <v>0</v>
      </c>
      <c r="FH14" s="21">
        <f t="shared" ref="FH14" si="646">FH13-EV13</f>
        <v>0</v>
      </c>
      <c r="FI14" s="21">
        <f t="shared" ref="FI14" si="647">FI13-EW13</f>
        <v>0</v>
      </c>
      <c r="FJ14" s="21">
        <f t="shared" ref="FJ14" si="648">FJ13-EX13</f>
        <v>0</v>
      </c>
      <c r="FK14" s="21">
        <f t="shared" ref="FK14" si="649">FK13-EY13</f>
        <v>0</v>
      </c>
      <c r="FL14" s="21">
        <f t="shared" ref="FL14" si="650">FL13-EZ13</f>
        <v>0</v>
      </c>
      <c r="FM14" s="21">
        <f t="shared" ref="FM14" si="651">FM13-FA13</f>
        <v>0</v>
      </c>
      <c r="FN14" s="21">
        <f t="shared" ref="FN14" si="652">FN13-FB13</f>
        <v>0</v>
      </c>
      <c r="FO14" s="21">
        <f t="shared" ref="FO14" si="653">FO13-FC13</f>
        <v>0</v>
      </c>
      <c r="FP14" s="21">
        <f t="shared" ref="FP14" si="654">FP13-FD13</f>
        <v>0</v>
      </c>
      <c r="FQ14" s="21">
        <f t="shared" ref="FQ14" si="655">FQ13-FE13</f>
        <v>0</v>
      </c>
      <c r="FR14" s="21">
        <f t="shared" ref="FR14" si="656">FR13-FF13</f>
        <v>0</v>
      </c>
      <c r="FS14" s="21">
        <f t="shared" ref="FS14" si="657">FS13-FG13</f>
        <v>0</v>
      </c>
      <c r="FT14" s="21">
        <f t="shared" ref="FT14" si="658">FT13-FH13</f>
        <v>0</v>
      </c>
      <c r="FU14" s="21">
        <f t="shared" ref="FU14" si="659">FU13-FI13</f>
        <v>0</v>
      </c>
      <c r="FV14" s="21">
        <f t="shared" ref="FV14" si="660">FV13-FJ13</f>
        <v>0</v>
      </c>
      <c r="FW14" s="21">
        <f t="shared" ref="FW14" si="661">FW13-FK13</f>
        <v>0</v>
      </c>
      <c r="FX14" s="21">
        <f t="shared" ref="FX14" si="662">FX13-FL13</f>
        <v>0</v>
      </c>
      <c r="FY14" s="21">
        <f t="shared" ref="FY14" si="663">FY13-FM13</f>
        <v>0</v>
      </c>
      <c r="FZ14" s="21">
        <f t="shared" ref="FZ14" si="664">FZ13-FN13</f>
        <v>0</v>
      </c>
      <c r="GA14" s="21">
        <f t="shared" ref="GA14" si="665">GA13-FO13</f>
        <v>0</v>
      </c>
      <c r="GB14" s="21">
        <f t="shared" ref="GB14" si="666">GB13-FP13</f>
        <v>0</v>
      </c>
      <c r="GC14" s="21">
        <f t="shared" ref="GC14" si="667">GC13-FQ13</f>
        <v>0</v>
      </c>
      <c r="GD14" s="21">
        <f t="shared" ref="GD14" si="668">GD13-FR13</f>
        <v>0</v>
      </c>
      <c r="GE14" s="21">
        <f t="shared" ref="GE14" si="669">GE13-FS13</f>
        <v>0</v>
      </c>
      <c r="GF14" s="21">
        <f t="shared" ref="GF14" si="670">GF13-FT13</f>
        <v>0</v>
      </c>
      <c r="GG14" s="21">
        <f t="shared" ref="GG14" si="671">GG13-FU13</f>
        <v>0</v>
      </c>
      <c r="GH14" s="21">
        <f t="shared" ref="GH14" si="672">GH13-FV13</f>
        <v>0</v>
      </c>
      <c r="GI14" s="21">
        <f t="shared" ref="GI14" si="673">GI13-FW13</f>
        <v>0</v>
      </c>
      <c r="GJ14" s="21">
        <f t="shared" ref="GJ14" si="674">GJ13-FX13</f>
        <v>0</v>
      </c>
      <c r="GK14" s="21">
        <f t="shared" ref="GK14" si="675">GK13-FY13</f>
        <v>0</v>
      </c>
      <c r="GL14" s="21">
        <f t="shared" ref="GL14" si="676">GL13-FZ13</f>
        <v>0</v>
      </c>
      <c r="GM14" s="21">
        <f t="shared" ref="GM14" si="677">GM13-GA13</f>
        <v>0</v>
      </c>
      <c r="GN14" s="21">
        <f t="shared" ref="GN14" si="678">GN13-GB13</f>
        <v>0</v>
      </c>
      <c r="GO14" s="21">
        <f t="shared" ref="GO14" si="679">GO13-GC13</f>
        <v>0</v>
      </c>
      <c r="GP14" s="21">
        <f t="shared" ref="GP14" si="680">GP13-GD13</f>
        <v>0</v>
      </c>
      <c r="GQ14" s="21">
        <f t="shared" ref="GQ14" si="681">GQ13-GE13</f>
        <v>0</v>
      </c>
      <c r="GR14" s="21">
        <f t="shared" ref="GR14" si="682">GR13-GF13</f>
        <v>0</v>
      </c>
      <c r="GS14" s="21">
        <f t="shared" ref="GS14" si="683">GS13-GG13</f>
        <v>0</v>
      </c>
      <c r="GT14" s="21">
        <f t="shared" ref="GT14" si="684">GT13-GH13</f>
        <v>0</v>
      </c>
      <c r="GU14" s="21">
        <f t="shared" ref="GU14" si="685">GU13-GI13</f>
        <v>0</v>
      </c>
      <c r="GV14" s="21">
        <f t="shared" ref="GV14" si="686">GV13-GJ13</f>
        <v>0</v>
      </c>
      <c r="GW14" s="21">
        <f t="shared" ref="GW14" si="687">GW13-GK13</f>
        <v>0</v>
      </c>
      <c r="GX14" s="21">
        <f t="shared" ref="GX14" si="688">GX13-GL13</f>
        <v>0</v>
      </c>
      <c r="GY14" s="21">
        <f t="shared" ref="GY14" si="689">GY13-GM13</f>
        <v>0</v>
      </c>
      <c r="GZ14" s="21">
        <f t="shared" ref="GZ14" si="690">GZ13-GN13</f>
        <v>0</v>
      </c>
      <c r="HA14" s="21">
        <f t="shared" ref="HA14" si="691">HA13-GO13</f>
        <v>0</v>
      </c>
      <c r="HB14" s="21">
        <f t="shared" ref="HB14" si="692">HB13-GP13</f>
        <v>0</v>
      </c>
      <c r="HC14" s="21">
        <f t="shared" ref="HC14" si="693">HC13-GQ13</f>
        <v>0</v>
      </c>
      <c r="HD14" s="21">
        <f t="shared" ref="HD14" si="694">HD13-GR13</f>
        <v>0</v>
      </c>
      <c r="HE14" s="21">
        <f t="shared" ref="HE14" si="695">HE13-GS13</f>
        <v>0</v>
      </c>
      <c r="HF14" s="21">
        <f t="shared" ref="HF14" si="696">HF13-GT13</f>
        <v>0</v>
      </c>
      <c r="HG14" s="21">
        <f t="shared" ref="HG14" si="697">HG13-GU13</f>
        <v>0</v>
      </c>
      <c r="HH14" s="21">
        <f t="shared" ref="HH14" si="698">HH13-GV13</f>
        <v>0</v>
      </c>
      <c r="HI14" s="21">
        <f t="shared" ref="HI14" si="699">HI13-GW13</f>
        <v>0</v>
      </c>
      <c r="HJ14" s="21">
        <f t="shared" ref="HJ14" si="700">HJ13-GX13</f>
        <v>0</v>
      </c>
      <c r="HK14" s="21">
        <f t="shared" ref="HK14" si="701">HK13-GY13</f>
        <v>0</v>
      </c>
      <c r="HL14" s="21">
        <f t="shared" ref="HL14" si="702">HL13-GZ13</f>
        <v>0</v>
      </c>
      <c r="HM14" s="21">
        <f t="shared" ref="HM14" si="703">HM13-HA13</f>
        <v>0</v>
      </c>
      <c r="HN14" s="21">
        <f t="shared" ref="HN14" si="704">HN13-HB13</f>
        <v>0</v>
      </c>
      <c r="HO14" s="21">
        <f t="shared" ref="HO14" si="705">HO13-HC13</f>
        <v>0</v>
      </c>
      <c r="HP14" s="21">
        <f t="shared" ref="HP14" si="706">HP13-HD13</f>
        <v>0</v>
      </c>
      <c r="HQ14" s="21">
        <f t="shared" ref="HQ14" si="707">HQ13-HE13</f>
        <v>0</v>
      </c>
      <c r="HR14" s="21">
        <f t="shared" ref="HR14" si="708">HR13-HF13</f>
        <v>0</v>
      </c>
      <c r="HS14" s="21">
        <f t="shared" ref="HS14" si="709">HS13-HG13</f>
        <v>0</v>
      </c>
      <c r="HT14" s="21">
        <f t="shared" ref="HT14" si="710">HT13-HH13</f>
        <v>0</v>
      </c>
      <c r="HU14" s="21">
        <f t="shared" ref="HU14" si="711">HU13-HI13</f>
        <v>0</v>
      </c>
      <c r="HV14" s="21">
        <f t="shared" ref="HV14" si="712">HV13-HJ13</f>
        <v>0</v>
      </c>
      <c r="HW14" s="21">
        <f t="shared" ref="HW14" si="713">HW13-HK13</f>
        <v>0</v>
      </c>
      <c r="HX14" s="21">
        <f t="shared" ref="HX14" si="714">HX13-HL13</f>
        <v>0</v>
      </c>
      <c r="HY14" s="21">
        <f t="shared" ref="HY14" si="715">HY13-HM13</f>
        <v>0</v>
      </c>
      <c r="HZ14" s="21">
        <f t="shared" ref="HZ14" si="716">HZ13-HN13</f>
        <v>0</v>
      </c>
      <c r="IA14" s="21">
        <f t="shared" ref="IA14" si="717">IA13-HO13</f>
        <v>0</v>
      </c>
      <c r="IB14" s="21">
        <f t="shared" ref="IB14" si="718">IB13-HP13</f>
        <v>0</v>
      </c>
      <c r="IC14" s="21">
        <f t="shared" ref="IC14" si="719">IC13-HQ13</f>
        <v>0</v>
      </c>
      <c r="ID14" s="21">
        <f t="shared" ref="ID14" si="720">ID13-HR13</f>
        <v>0</v>
      </c>
      <c r="IE14" s="21">
        <f t="shared" ref="IE14" si="721">IE13-HS13</f>
        <v>0</v>
      </c>
      <c r="IF14" s="21">
        <f t="shared" ref="IF14" si="722">IF13-HT13</f>
        <v>0</v>
      </c>
      <c r="IG14" s="21">
        <f t="shared" ref="IG14" si="723">IG13-HU13</f>
        <v>0</v>
      </c>
      <c r="IH14" s="21">
        <f t="shared" ref="IH14" si="724">IH13-HV13</f>
        <v>0</v>
      </c>
      <c r="II14" s="21">
        <f t="shared" ref="II14" si="725">II13-HW13</f>
        <v>0</v>
      </c>
      <c r="IJ14" s="21">
        <f t="shared" ref="IJ14" si="726">IJ13-HX13</f>
        <v>0</v>
      </c>
      <c r="IK14" s="21">
        <f t="shared" ref="IK14" si="727">IK13-HY13</f>
        <v>0</v>
      </c>
      <c r="IL14" s="21">
        <f t="shared" ref="IL14" si="728">IL13-HZ13</f>
        <v>0</v>
      </c>
      <c r="IM14" s="21">
        <f t="shared" ref="IM14" si="729">IM13-IA13</f>
        <v>0</v>
      </c>
      <c r="IN14" s="21">
        <f t="shared" ref="IN14" si="730">IN13-IB13</f>
        <v>0</v>
      </c>
    </row>
    <row r="15" spans="2:248" x14ac:dyDescent="0.3">
      <c r="B15" s="19" t="s">
        <v>500</v>
      </c>
      <c r="C15" s="21">
        <f>VLOOKUP(B2,H30:O127,8,FALSE)</f>
        <v>7557.7282499999992</v>
      </c>
      <c r="E15" s="19">
        <v>0.4</v>
      </c>
      <c r="F15" s="22" t="s">
        <v>487</v>
      </c>
      <c r="G15" s="21">
        <f t="shared" ref="G15:BR15" si="731">IF(IF(AND(ISNA(G$5),ISNA(F$5)),F15*(1+$E15),IF(AND(F$5&gt;0,ISNA(G$5)),F15*(1+$E15),G$5))&gt;$C$20,$C$20,IF(AND(ISNA(G$5),ISNA(F$5)),F15*(1+$E15),IF(AND(F$5&gt;0,ISNA(G$5)),F15*(1+$E15),G$5)))</f>
        <v>155</v>
      </c>
      <c r="H15" s="21">
        <f t="shared" si="731"/>
        <v>229</v>
      </c>
      <c r="I15" s="21">
        <f t="shared" si="731"/>
        <v>322</v>
      </c>
      <c r="J15" s="21">
        <f t="shared" si="731"/>
        <v>453</v>
      </c>
      <c r="K15" s="21">
        <f t="shared" si="731"/>
        <v>655</v>
      </c>
      <c r="L15" s="21">
        <f t="shared" si="731"/>
        <v>888</v>
      </c>
      <c r="M15" s="21">
        <f t="shared" si="731"/>
        <v>1128</v>
      </c>
      <c r="N15" s="21">
        <f t="shared" si="731"/>
        <v>1694</v>
      </c>
      <c r="O15" s="21">
        <f t="shared" si="731"/>
        <v>2036</v>
      </c>
      <c r="P15" s="21">
        <f t="shared" si="731"/>
        <v>2502</v>
      </c>
      <c r="Q15" s="21">
        <f t="shared" si="731"/>
        <v>3089</v>
      </c>
      <c r="R15" s="21">
        <f t="shared" si="731"/>
        <v>3858</v>
      </c>
      <c r="S15" s="21">
        <f t="shared" si="731"/>
        <v>4636</v>
      </c>
      <c r="T15" s="21">
        <f t="shared" si="731"/>
        <v>5883</v>
      </c>
      <c r="U15" s="21">
        <f t="shared" si="731"/>
        <v>7375</v>
      </c>
      <c r="V15" s="21">
        <f t="shared" si="731"/>
        <v>9172</v>
      </c>
      <c r="W15" s="21">
        <f t="shared" si="731"/>
        <v>10149</v>
      </c>
      <c r="X15" s="21">
        <f t="shared" si="731"/>
        <v>12462</v>
      </c>
      <c r="Y15" s="21">
        <f t="shared" si="731"/>
        <v>14000</v>
      </c>
      <c r="Z15" s="21">
        <f t="shared" si="731"/>
        <v>17660</v>
      </c>
      <c r="AA15" s="21">
        <f t="shared" si="731"/>
        <v>21157</v>
      </c>
      <c r="AB15" s="21">
        <f t="shared" si="731"/>
        <v>24747</v>
      </c>
      <c r="AC15" s="21">
        <f t="shared" si="731"/>
        <v>27980</v>
      </c>
      <c r="AD15" s="21">
        <f t="shared" si="731"/>
        <v>31506</v>
      </c>
      <c r="AE15" s="21">
        <f t="shared" si="731"/>
        <v>44108.399999999994</v>
      </c>
      <c r="AF15" s="21">
        <f t="shared" si="731"/>
        <v>61751.759999999987</v>
      </c>
      <c r="AG15" s="21">
        <f t="shared" si="731"/>
        <v>86452.463999999978</v>
      </c>
      <c r="AH15" s="21">
        <f t="shared" si="731"/>
        <v>121033.44959999996</v>
      </c>
      <c r="AI15" s="21">
        <f t="shared" si="731"/>
        <v>169446.82943999994</v>
      </c>
      <c r="AJ15" s="21">
        <f t="shared" si="731"/>
        <v>237225.56121599991</v>
      </c>
      <c r="AK15" s="21">
        <f t="shared" si="731"/>
        <v>332115.78570239985</v>
      </c>
      <c r="AL15" s="21">
        <f t="shared" si="731"/>
        <v>464962.09998335975</v>
      </c>
      <c r="AM15" s="21">
        <f t="shared" si="731"/>
        <v>650946.93997670361</v>
      </c>
      <c r="AN15" s="21">
        <f t="shared" si="731"/>
        <v>911325.71596738498</v>
      </c>
      <c r="AO15" s="21">
        <f t="shared" si="731"/>
        <v>1275856.002354339</v>
      </c>
      <c r="AP15" s="21">
        <f t="shared" si="731"/>
        <v>1786198.4032960746</v>
      </c>
      <c r="AQ15" s="21">
        <f t="shared" si="731"/>
        <v>2500677.7646145043</v>
      </c>
      <c r="AR15" s="21">
        <f t="shared" si="731"/>
        <v>3500948.8704603058</v>
      </c>
      <c r="AS15" s="21">
        <f t="shared" si="731"/>
        <v>4901328.4186444283</v>
      </c>
      <c r="AT15" s="21">
        <f t="shared" si="731"/>
        <v>6861859.786102199</v>
      </c>
      <c r="AU15" s="21">
        <f t="shared" si="731"/>
        <v>9606603.7005430777</v>
      </c>
      <c r="AV15" s="21">
        <f t="shared" si="731"/>
        <v>13449245.180760307</v>
      </c>
      <c r="AW15" s="21">
        <f t="shared" si="731"/>
        <v>18828943.253064428</v>
      </c>
      <c r="AX15" s="21">
        <f t="shared" si="731"/>
        <v>24184730.400000002</v>
      </c>
      <c r="AY15" s="21">
        <f t="shared" si="731"/>
        <v>24184730.400000002</v>
      </c>
      <c r="AZ15" s="21">
        <f t="shared" si="731"/>
        <v>24184730.400000002</v>
      </c>
      <c r="BA15" s="21">
        <f t="shared" si="731"/>
        <v>24184730.400000002</v>
      </c>
      <c r="BB15" s="21">
        <f t="shared" si="731"/>
        <v>24184730.400000002</v>
      </c>
      <c r="BC15" s="21">
        <f t="shared" si="731"/>
        <v>24184730.400000002</v>
      </c>
      <c r="BD15" s="21">
        <f t="shared" si="731"/>
        <v>24184730.400000002</v>
      </c>
      <c r="BE15" s="21">
        <f t="shared" si="731"/>
        <v>24184730.400000002</v>
      </c>
      <c r="BF15" s="21">
        <f t="shared" si="731"/>
        <v>24184730.400000002</v>
      </c>
      <c r="BG15" s="21">
        <f t="shared" si="731"/>
        <v>24184730.400000002</v>
      </c>
      <c r="BH15" s="21">
        <f t="shared" si="731"/>
        <v>24184730.400000002</v>
      </c>
      <c r="BI15" s="21">
        <f t="shared" si="731"/>
        <v>24184730.400000002</v>
      </c>
      <c r="BJ15" s="21">
        <f t="shared" si="731"/>
        <v>24184730.400000002</v>
      </c>
      <c r="BK15" s="21">
        <f t="shared" si="731"/>
        <v>24184730.400000002</v>
      </c>
      <c r="BL15" s="21">
        <f t="shared" si="731"/>
        <v>24184730.400000002</v>
      </c>
      <c r="BM15" s="21">
        <f t="shared" si="731"/>
        <v>24184730.400000002</v>
      </c>
      <c r="BN15" s="21">
        <f t="shared" si="731"/>
        <v>24184730.400000002</v>
      </c>
      <c r="BO15" s="21">
        <f t="shared" si="731"/>
        <v>24184730.400000002</v>
      </c>
      <c r="BP15" s="21">
        <f t="shared" si="731"/>
        <v>24184730.400000002</v>
      </c>
      <c r="BQ15" s="21">
        <f t="shared" si="731"/>
        <v>24184730.400000002</v>
      </c>
      <c r="BR15" s="21">
        <f t="shared" si="731"/>
        <v>24184730.400000002</v>
      </c>
      <c r="BS15" s="21">
        <f t="shared" ref="BS15:ED15" si="732">IF(IF(AND(ISNA(BS$5),ISNA(BR$5)),BR15*(1+$E15),IF(AND(BR$5&gt;0,ISNA(BS$5)),BR15*(1+$E15),BS$5))&gt;$C$20,$C$20,IF(AND(ISNA(BS$5),ISNA(BR$5)),BR15*(1+$E15),IF(AND(BR$5&gt;0,ISNA(BS$5)),BR15*(1+$E15),BS$5)))</f>
        <v>24184730.400000002</v>
      </c>
      <c r="BT15" s="21">
        <f t="shared" si="732"/>
        <v>24184730.400000002</v>
      </c>
      <c r="BU15" s="21">
        <f t="shared" si="732"/>
        <v>24184730.400000002</v>
      </c>
      <c r="BV15" s="21">
        <f t="shared" si="732"/>
        <v>24184730.400000002</v>
      </c>
      <c r="BW15" s="21">
        <f t="shared" si="732"/>
        <v>24184730.400000002</v>
      </c>
      <c r="BX15" s="21">
        <f t="shared" si="732"/>
        <v>24184730.400000002</v>
      </c>
      <c r="BY15" s="21">
        <f t="shared" si="732"/>
        <v>24184730.400000002</v>
      </c>
      <c r="BZ15" s="21">
        <f t="shared" si="732"/>
        <v>24184730.400000002</v>
      </c>
      <c r="CA15" s="21">
        <f t="shared" si="732"/>
        <v>24184730.400000002</v>
      </c>
      <c r="CB15" s="21">
        <f t="shared" si="732"/>
        <v>24184730.400000002</v>
      </c>
      <c r="CC15" s="21">
        <f t="shared" si="732"/>
        <v>24184730.400000002</v>
      </c>
      <c r="CD15" s="21">
        <f t="shared" si="732"/>
        <v>24184730.400000002</v>
      </c>
      <c r="CE15" s="21">
        <f t="shared" si="732"/>
        <v>24184730.400000002</v>
      </c>
      <c r="CF15" s="21">
        <f t="shared" si="732"/>
        <v>24184730.400000002</v>
      </c>
      <c r="CG15" s="21">
        <f t="shared" si="732"/>
        <v>24184730.400000002</v>
      </c>
      <c r="CH15" s="21">
        <f t="shared" si="732"/>
        <v>24184730.400000002</v>
      </c>
      <c r="CI15" s="21">
        <f t="shared" si="732"/>
        <v>24184730.400000002</v>
      </c>
      <c r="CJ15" s="21">
        <f t="shared" si="732"/>
        <v>24184730.400000002</v>
      </c>
      <c r="CK15" s="21">
        <f t="shared" si="732"/>
        <v>24184730.400000002</v>
      </c>
      <c r="CL15" s="21">
        <f t="shared" si="732"/>
        <v>24184730.400000002</v>
      </c>
      <c r="CM15" s="21">
        <f t="shared" si="732"/>
        <v>24184730.400000002</v>
      </c>
      <c r="CN15" s="21">
        <f t="shared" si="732"/>
        <v>24184730.400000002</v>
      </c>
      <c r="CO15" s="21">
        <f t="shared" si="732"/>
        <v>24184730.400000002</v>
      </c>
      <c r="CP15" s="21">
        <f t="shared" si="732"/>
        <v>24184730.400000002</v>
      </c>
      <c r="CQ15" s="21">
        <f t="shared" si="732"/>
        <v>24184730.400000002</v>
      </c>
      <c r="CR15" s="21">
        <f t="shared" si="732"/>
        <v>24184730.400000002</v>
      </c>
      <c r="CS15" s="21">
        <f t="shared" si="732"/>
        <v>24184730.400000002</v>
      </c>
      <c r="CT15" s="21">
        <f t="shared" si="732"/>
        <v>24184730.400000002</v>
      </c>
      <c r="CU15" s="21">
        <f t="shared" si="732"/>
        <v>24184730.400000002</v>
      </c>
      <c r="CV15" s="21">
        <f t="shared" si="732"/>
        <v>24184730.400000002</v>
      </c>
      <c r="CW15" s="21">
        <f t="shared" si="732"/>
        <v>24184730.400000002</v>
      </c>
      <c r="CX15" s="21">
        <f t="shared" si="732"/>
        <v>24184730.400000002</v>
      </c>
      <c r="CY15" s="21">
        <f t="shared" si="732"/>
        <v>24184730.400000002</v>
      </c>
      <c r="CZ15" s="21">
        <f t="shared" si="732"/>
        <v>24184730.400000002</v>
      </c>
      <c r="DA15" s="21">
        <f t="shared" si="732"/>
        <v>24184730.400000002</v>
      </c>
      <c r="DB15" s="21">
        <f t="shared" si="732"/>
        <v>24184730.400000002</v>
      </c>
      <c r="DC15" s="21">
        <f t="shared" si="732"/>
        <v>24184730.400000002</v>
      </c>
      <c r="DD15" s="21">
        <f t="shared" si="732"/>
        <v>24184730.400000002</v>
      </c>
      <c r="DE15" s="21">
        <f t="shared" si="732"/>
        <v>24184730.400000002</v>
      </c>
      <c r="DF15" s="21">
        <f t="shared" si="732"/>
        <v>24184730.400000002</v>
      </c>
      <c r="DG15" s="21">
        <f t="shared" si="732"/>
        <v>24184730.400000002</v>
      </c>
      <c r="DH15" s="21">
        <f t="shared" si="732"/>
        <v>24184730.400000002</v>
      </c>
      <c r="DI15" s="21">
        <f t="shared" si="732"/>
        <v>24184730.400000002</v>
      </c>
      <c r="DJ15" s="21">
        <f t="shared" si="732"/>
        <v>24184730.400000002</v>
      </c>
      <c r="DK15" s="21">
        <f t="shared" si="732"/>
        <v>24184730.400000002</v>
      </c>
      <c r="DL15" s="21">
        <f t="shared" si="732"/>
        <v>24184730.400000002</v>
      </c>
      <c r="DM15" s="21">
        <f t="shared" si="732"/>
        <v>24184730.400000002</v>
      </c>
      <c r="DN15" s="21">
        <f t="shared" si="732"/>
        <v>24184730.400000002</v>
      </c>
      <c r="DO15" s="21">
        <f t="shared" si="732"/>
        <v>24184730.400000002</v>
      </c>
      <c r="DP15" s="21">
        <f t="shared" si="732"/>
        <v>24184730.400000002</v>
      </c>
      <c r="DQ15" s="21">
        <f t="shared" si="732"/>
        <v>24184730.400000002</v>
      </c>
      <c r="DR15" s="21">
        <f t="shared" si="732"/>
        <v>24184730.400000002</v>
      </c>
      <c r="DS15" s="21">
        <f t="shared" si="732"/>
        <v>24184730.400000002</v>
      </c>
      <c r="DT15" s="21">
        <f t="shared" si="732"/>
        <v>24184730.400000002</v>
      </c>
      <c r="DU15" s="21">
        <f t="shared" si="732"/>
        <v>24184730.400000002</v>
      </c>
      <c r="DV15" s="21">
        <f t="shared" si="732"/>
        <v>24184730.400000002</v>
      </c>
      <c r="DW15" s="21">
        <f t="shared" si="732"/>
        <v>24184730.400000002</v>
      </c>
      <c r="DX15" s="21">
        <f t="shared" si="732"/>
        <v>24184730.400000002</v>
      </c>
      <c r="DY15" s="21">
        <f t="shared" si="732"/>
        <v>24184730.400000002</v>
      </c>
      <c r="DZ15" s="21">
        <f t="shared" si="732"/>
        <v>24184730.400000002</v>
      </c>
      <c r="EA15" s="21">
        <f t="shared" si="732"/>
        <v>24184730.400000002</v>
      </c>
      <c r="EB15" s="21">
        <f t="shared" si="732"/>
        <v>24184730.400000002</v>
      </c>
      <c r="EC15" s="21">
        <f t="shared" si="732"/>
        <v>24184730.400000002</v>
      </c>
      <c r="ED15" s="21">
        <f t="shared" si="732"/>
        <v>24184730.400000002</v>
      </c>
      <c r="EE15" s="21">
        <f t="shared" ref="EE15:GP15" si="733">IF(IF(AND(ISNA(EE$5),ISNA(ED$5)),ED15*(1+$E15),IF(AND(ED$5&gt;0,ISNA(EE$5)),ED15*(1+$E15),EE$5))&gt;$C$20,$C$20,IF(AND(ISNA(EE$5),ISNA(ED$5)),ED15*(1+$E15),IF(AND(ED$5&gt;0,ISNA(EE$5)),ED15*(1+$E15),EE$5)))</f>
        <v>24184730.400000002</v>
      </c>
      <c r="EF15" s="21">
        <f t="shared" si="733"/>
        <v>24184730.400000002</v>
      </c>
      <c r="EG15" s="21">
        <f t="shared" si="733"/>
        <v>24184730.400000002</v>
      </c>
      <c r="EH15" s="21">
        <f t="shared" si="733"/>
        <v>24184730.400000002</v>
      </c>
      <c r="EI15" s="21">
        <f t="shared" si="733"/>
        <v>24184730.400000002</v>
      </c>
      <c r="EJ15" s="21">
        <f t="shared" si="733"/>
        <v>24184730.400000002</v>
      </c>
      <c r="EK15" s="21">
        <f t="shared" si="733"/>
        <v>24184730.400000002</v>
      </c>
      <c r="EL15" s="21">
        <f t="shared" si="733"/>
        <v>24184730.400000002</v>
      </c>
      <c r="EM15" s="21">
        <f t="shared" si="733"/>
        <v>24184730.400000002</v>
      </c>
      <c r="EN15" s="21">
        <f t="shared" si="733"/>
        <v>24184730.400000002</v>
      </c>
      <c r="EO15" s="21">
        <f t="shared" si="733"/>
        <v>24184730.400000002</v>
      </c>
      <c r="EP15" s="21">
        <f t="shared" si="733"/>
        <v>24184730.400000002</v>
      </c>
      <c r="EQ15" s="21">
        <f t="shared" si="733"/>
        <v>24184730.400000002</v>
      </c>
      <c r="ER15" s="21">
        <f t="shared" si="733"/>
        <v>24184730.400000002</v>
      </c>
      <c r="ES15" s="21">
        <f t="shared" si="733"/>
        <v>24184730.400000002</v>
      </c>
      <c r="ET15" s="21">
        <f t="shared" si="733"/>
        <v>24184730.400000002</v>
      </c>
      <c r="EU15" s="21">
        <f t="shared" si="733"/>
        <v>24184730.400000002</v>
      </c>
      <c r="EV15" s="21">
        <f t="shared" si="733"/>
        <v>24184730.400000002</v>
      </c>
      <c r="EW15" s="21">
        <f t="shared" si="733"/>
        <v>24184730.400000002</v>
      </c>
      <c r="EX15" s="21">
        <f t="shared" si="733"/>
        <v>24184730.400000002</v>
      </c>
      <c r="EY15" s="21">
        <f t="shared" si="733"/>
        <v>24184730.400000002</v>
      </c>
      <c r="EZ15" s="21">
        <f t="shared" si="733"/>
        <v>24184730.400000002</v>
      </c>
      <c r="FA15" s="21">
        <f t="shared" si="733"/>
        <v>24184730.400000002</v>
      </c>
      <c r="FB15" s="21">
        <f t="shared" si="733"/>
        <v>24184730.400000002</v>
      </c>
      <c r="FC15" s="21">
        <f t="shared" si="733"/>
        <v>24184730.400000002</v>
      </c>
      <c r="FD15" s="21">
        <f t="shared" si="733"/>
        <v>24184730.400000002</v>
      </c>
      <c r="FE15" s="21">
        <f t="shared" si="733"/>
        <v>24184730.400000002</v>
      </c>
      <c r="FF15" s="21">
        <f t="shared" si="733"/>
        <v>24184730.400000002</v>
      </c>
      <c r="FG15" s="21">
        <f t="shared" si="733"/>
        <v>24184730.400000002</v>
      </c>
      <c r="FH15" s="21">
        <f t="shared" si="733"/>
        <v>24184730.400000002</v>
      </c>
      <c r="FI15" s="21">
        <f t="shared" si="733"/>
        <v>24184730.400000002</v>
      </c>
      <c r="FJ15" s="21">
        <f t="shared" si="733"/>
        <v>24184730.400000002</v>
      </c>
      <c r="FK15" s="21">
        <f t="shared" si="733"/>
        <v>24184730.400000002</v>
      </c>
      <c r="FL15" s="21">
        <f t="shared" si="733"/>
        <v>24184730.400000002</v>
      </c>
      <c r="FM15" s="21">
        <f t="shared" si="733"/>
        <v>24184730.400000002</v>
      </c>
      <c r="FN15" s="21">
        <f t="shared" si="733"/>
        <v>24184730.400000002</v>
      </c>
      <c r="FO15" s="21">
        <f t="shared" si="733"/>
        <v>24184730.400000002</v>
      </c>
      <c r="FP15" s="21">
        <f t="shared" si="733"/>
        <v>24184730.400000002</v>
      </c>
      <c r="FQ15" s="21">
        <f t="shared" si="733"/>
        <v>24184730.400000002</v>
      </c>
      <c r="FR15" s="21">
        <f t="shared" si="733"/>
        <v>24184730.400000002</v>
      </c>
      <c r="FS15" s="21">
        <f t="shared" si="733"/>
        <v>24184730.400000002</v>
      </c>
      <c r="FT15" s="21">
        <f t="shared" si="733"/>
        <v>24184730.400000002</v>
      </c>
      <c r="FU15" s="21">
        <f t="shared" si="733"/>
        <v>24184730.400000002</v>
      </c>
      <c r="FV15" s="21">
        <f t="shared" si="733"/>
        <v>24184730.400000002</v>
      </c>
      <c r="FW15" s="21">
        <f t="shared" si="733"/>
        <v>24184730.400000002</v>
      </c>
      <c r="FX15" s="21">
        <f t="shared" si="733"/>
        <v>24184730.400000002</v>
      </c>
      <c r="FY15" s="21">
        <f t="shared" si="733"/>
        <v>24184730.400000002</v>
      </c>
      <c r="FZ15" s="21">
        <f t="shared" si="733"/>
        <v>24184730.400000002</v>
      </c>
      <c r="GA15" s="21">
        <f t="shared" si="733"/>
        <v>24184730.400000002</v>
      </c>
      <c r="GB15" s="21">
        <f t="shared" si="733"/>
        <v>24184730.400000002</v>
      </c>
      <c r="GC15" s="21">
        <f t="shared" si="733"/>
        <v>24184730.400000002</v>
      </c>
      <c r="GD15" s="21">
        <f t="shared" si="733"/>
        <v>24184730.400000002</v>
      </c>
      <c r="GE15" s="21">
        <f t="shared" si="733"/>
        <v>24184730.400000002</v>
      </c>
      <c r="GF15" s="21">
        <f t="shared" si="733"/>
        <v>24184730.400000002</v>
      </c>
      <c r="GG15" s="21">
        <f t="shared" si="733"/>
        <v>24184730.400000002</v>
      </c>
      <c r="GH15" s="21">
        <f t="shared" si="733"/>
        <v>24184730.400000002</v>
      </c>
      <c r="GI15" s="21">
        <f t="shared" si="733"/>
        <v>24184730.400000002</v>
      </c>
      <c r="GJ15" s="21">
        <f t="shared" si="733"/>
        <v>24184730.400000002</v>
      </c>
      <c r="GK15" s="21">
        <f t="shared" si="733"/>
        <v>24184730.400000002</v>
      </c>
      <c r="GL15" s="21">
        <f t="shared" si="733"/>
        <v>24184730.400000002</v>
      </c>
      <c r="GM15" s="21">
        <f t="shared" si="733"/>
        <v>24184730.400000002</v>
      </c>
      <c r="GN15" s="21">
        <f t="shared" si="733"/>
        <v>24184730.400000002</v>
      </c>
      <c r="GO15" s="21">
        <f t="shared" si="733"/>
        <v>24184730.400000002</v>
      </c>
      <c r="GP15" s="21">
        <f t="shared" si="733"/>
        <v>24184730.400000002</v>
      </c>
      <c r="GQ15" s="21">
        <f t="shared" ref="GQ15:IN15" si="734">IF(IF(AND(ISNA(GQ$5),ISNA(GP$5)),GP15*(1+$E15),IF(AND(GP$5&gt;0,ISNA(GQ$5)),GP15*(1+$E15),GQ$5))&gt;$C$20,$C$20,IF(AND(ISNA(GQ$5),ISNA(GP$5)),GP15*(1+$E15),IF(AND(GP$5&gt;0,ISNA(GQ$5)),GP15*(1+$E15),GQ$5)))</f>
        <v>24184730.400000002</v>
      </c>
      <c r="GR15" s="21">
        <f t="shared" si="734"/>
        <v>24184730.400000002</v>
      </c>
      <c r="GS15" s="21">
        <f t="shared" si="734"/>
        <v>24184730.400000002</v>
      </c>
      <c r="GT15" s="21">
        <f t="shared" si="734"/>
        <v>24184730.400000002</v>
      </c>
      <c r="GU15" s="21">
        <f t="shared" si="734"/>
        <v>24184730.400000002</v>
      </c>
      <c r="GV15" s="21">
        <f t="shared" si="734"/>
        <v>24184730.400000002</v>
      </c>
      <c r="GW15" s="21">
        <f t="shared" si="734"/>
        <v>24184730.400000002</v>
      </c>
      <c r="GX15" s="21">
        <f t="shared" si="734"/>
        <v>24184730.400000002</v>
      </c>
      <c r="GY15" s="21">
        <f t="shared" si="734"/>
        <v>24184730.400000002</v>
      </c>
      <c r="GZ15" s="21">
        <f t="shared" si="734"/>
        <v>24184730.400000002</v>
      </c>
      <c r="HA15" s="21">
        <f t="shared" si="734"/>
        <v>24184730.400000002</v>
      </c>
      <c r="HB15" s="21">
        <f t="shared" si="734"/>
        <v>24184730.400000002</v>
      </c>
      <c r="HC15" s="21">
        <f t="shared" si="734"/>
        <v>24184730.400000002</v>
      </c>
      <c r="HD15" s="21">
        <f t="shared" si="734"/>
        <v>24184730.400000002</v>
      </c>
      <c r="HE15" s="21">
        <f t="shared" si="734"/>
        <v>24184730.400000002</v>
      </c>
      <c r="HF15" s="21">
        <f t="shared" si="734"/>
        <v>24184730.400000002</v>
      </c>
      <c r="HG15" s="21">
        <f t="shared" si="734"/>
        <v>24184730.400000002</v>
      </c>
      <c r="HH15" s="21">
        <f t="shared" si="734"/>
        <v>24184730.400000002</v>
      </c>
      <c r="HI15" s="21">
        <f t="shared" si="734"/>
        <v>24184730.400000002</v>
      </c>
      <c r="HJ15" s="21">
        <f t="shared" si="734"/>
        <v>24184730.400000002</v>
      </c>
      <c r="HK15" s="21">
        <f t="shared" si="734"/>
        <v>24184730.400000002</v>
      </c>
      <c r="HL15" s="21">
        <f t="shared" si="734"/>
        <v>24184730.400000002</v>
      </c>
      <c r="HM15" s="21">
        <f t="shared" si="734"/>
        <v>24184730.400000002</v>
      </c>
      <c r="HN15" s="21">
        <f t="shared" si="734"/>
        <v>24184730.400000002</v>
      </c>
      <c r="HO15" s="21">
        <f t="shared" si="734"/>
        <v>24184730.400000002</v>
      </c>
      <c r="HP15" s="21">
        <f t="shared" si="734"/>
        <v>24184730.400000002</v>
      </c>
      <c r="HQ15" s="21">
        <f t="shared" si="734"/>
        <v>24184730.400000002</v>
      </c>
      <c r="HR15" s="21">
        <f t="shared" si="734"/>
        <v>24184730.400000002</v>
      </c>
      <c r="HS15" s="21">
        <f t="shared" si="734"/>
        <v>24184730.400000002</v>
      </c>
      <c r="HT15" s="21">
        <f t="shared" si="734"/>
        <v>24184730.400000002</v>
      </c>
      <c r="HU15" s="21">
        <f t="shared" si="734"/>
        <v>24184730.400000002</v>
      </c>
      <c r="HV15" s="21">
        <f t="shared" si="734"/>
        <v>24184730.400000002</v>
      </c>
      <c r="HW15" s="21">
        <f t="shared" si="734"/>
        <v>24184730.400000002</v>
      </c>
      <c r="HX15" s="21">
        <f t="shared" si="734"/>
        <v>24184730.400000002</v>
      </c>
      <c r="HY15" s="21">
        <f t="shared" si="734"/>
        <v>24184730.400000002</v>
      </c>
      <c r="HZ15" s="21">
        <f t="shared" si="734"/>
        <v>24184730.400000002</v>
      </c>
      <c r="IA15" s="21">
        <f t="shared" si="734"/>
        <v>24184730.400000002</v>
      </c>
      <c r="IB15" s="21">
        <f t="shared" si="734"/>
        <v>24184730.400000002</v>
      </c>
      <c r="IC15" s="21">
        <f t="shared" si="734"/>
        <v>24184730.400000002</v>
      </c>
      <c r="ID15" s="21">
        <f t="shared" si="734"/>
        <v>24184730.400000002</v>
      </c>
      <c r="IE15" s="21">
        <f t="shared" si="734"/>
        <v>24184730.400000002</v>
      </c>
      <c r="IF15" s="21">
        <f t="shared" si="734"/>
        <v>24184730.400000002</v>
      </c>
      <c r="IG15" s="21">
        <f t="shared" si="734"/>
        <v>24184730.400000002</v>
      </c>
      <c r="IH15" s="21">
        <f t="shared" si="734"/>
        <v>24184730.400000002</v>
      </c>
      <c r="II15" s="21">
        <f t="shared" si="734"/>
        <v>24184730.400000002</v>
      </c>
      <c r="IJ15" s="21">
        <f t="shared" si="734"/>
        <v>24184730.400000002</v>
      </c>
      <c r="IK15" s="21">
        <f t="shared" si="734"/>
        <v>24184730.400000002</v>
      </c>
      <c r="IL15" s="21">
        <f t="shared" si="734"/>
        <v>24184730.400000002</v>
      </c>
      <c r="IM15" s="21">
        <f t="shared" si="734"/>
        <v>24184730.400000002</v>
      </c>
      <c r="IN15" s="21">
        <f t="shared" si="734"/>
        <v>24184730.400000002</v>
      </c>
    </row>
    <row r="16" spans="2:248" x14ac:dyDescent="0.3">
      <c r="B16" s="19" t="s">
        <v>621</v>
      </c>
      <c r="C16" s="23">
        <v>2.5000000000000001E-2</v>
      </c>
      <c r="F16" s="19" t="s">
        <v>612</v>
      </c>
      <c r="G16" s="21">
        <f t="shared" ref="G16:R16" si="735">G15</f>
        <v>155</v>
      </c>
      <c r="H16" s="21">
        <f t="shared" si="735"/>
        <v>229</v>
      </c>
      <c r="I16" s="21">
        <f t="shared" si="735"/>
        <v>322</v>
      </c>
      <c r="J16" s="21">
        <f t="shared" si="735"/>
        <v>453</v>
      </c>
      <c r="K16" s="21">
        <f t="shared" si="735"/>
        <v>655</v>
      </c>
      <c r="L16" s="21">
        <f t="shared" si="735"/>
        <v>888</v>
      </c>
      <c r="M16" s="21">
        <f t="shared" si="735"/>
        <v>1128</v>
      </c>
      <c r="N16" s="21">
        <f t="shared" si="735"/>
        <v>1694</v>
      </c>
      <c r="O16" s="21">
        <f t="shared" si="735"/>
        <v>2036</v>
      </c>
      <c r="P16" s="21">
        <f t="shared" si="735"/>
        <v>2502</v>
      </c>
      <c r="Q16" s="21">
        <f t="shared" si="735"/>
        <v>3089</v>
      </c>
      <c r="R16" s="21">
        <f t="shared" si="735"/>
        <v>3858</v>
      </c>
      <c r="S16" s="21">
        <f>S15-G15</f>
        <v>4481</v>
      </c>
      <c r="T16" s="21">
        <f t="shared" ref="T16" si="736">T15-H15</f>
        <v>5654</v>
      </c>
      <c r="U16" s="21">
        <f t="shared" ref="U16" si="737">U15-I15</f>
        <v>7053</v>
      </c>
      <c r="V16" s="21">
        <f t="shared" ref="V16" si="738">V15-J15</f>
        <v>8719</v>
      </c>
      <c r="W16" s="21">
        <f t="shared" ref="W16" si="739">W15-K15</f>
        <v>9494</v>
      </c>
      <c r="X16" s="21">
        <f t="shared" ref="X16" si="740">X15-L15</f>
        <v>11574</v>
      </c>
      <c r="Y16" s="21">
        <f t="shared" ref="Y16" si="741">Y15-M15</f>
        <v>12872</v>
      </c>
      <c r="Z16" s="21">
        <f t="shared" ref="Z16" si="742">Z15-N15</f>
        <v>15966</v>
      </c>
      <c r="AA16" s="21">
        <f t="shared" ref="AA16" si="743">AA15-O15</f>
        <v>19121</v>
      </c>
      <c r="AB16" s="21">
        <f t="shared" ref="AB16" si="744">AB15-P15</f>
        <v>22245</v>
      </c>
      <c r="AC16" s="21">
        <f t="shared" ref="AC16" si="745">AC15-Q15</f>
        <v>24891</v>
      </c>
      <c r="AD16" s="21">
        <f t="shared" ref="AD16" si="746">AD15-R15</f>
        <v>27648</v>
      </c>
      <c r="AE16" s="21">
        <f t="shared" ref="AE16" si="747">AE15-S15</f>
        <v>39472.399999999994</v>
      </c>
      <c r="AF16" s="21">
        <f t="shared" ref="AF16" si="748">AF15-T15</f>
        <v>55868.759999999987</v>
      </c>
      <c r="AG16" s="21">
        <f t="shared" ref="AG16" si="749">AG15-U15</f>
        <v>79077.463999999978</v>
      </c>
      <c r="AH16" s="21">
        <f t="shared" ref="AH16" si="750">AH15-V15</f>
        <v>111861.44959999996</v>
      </c>
      <c r="AI16" s="21">
        <f t="shared" ref="AI16" si="751">AI15-W15</f>
        <v>159297.82943999994</v>
      </c>
      <c r="AJ16" s="21">
        <f t="shared" ref="AJ16" si="752">AJ15-X15</f>
        <v>224763.56121599991</v>
      </c>
      <c r="AK16" s="21">
        <f t="shared" ref="AK16" si="753">AK15-Y15</f>
        <v>318115.78570239985</v>
      </c>
      <c r="AL16" s="21">
        <f t="shared" ref="AL16" si="754">AL15-Z15</f>
        <v>447302.09998335975</v>
      </c>
      <c r="AM16" s="21">
        <f t="shared" ref="AM16" si="755">AM15-AA15</f>
        <v>629789.93997670361</v>
      </c>
      <c r="AN16" s="21">
        <f t="shared" ref="AN16" si="756">AN15-AB15</f>
        <v>886578.71596738498</v>
      </c>
      <c r="AO16" s="21">
        <f t="shared" ref="AO16" si="757">AO15-AC15</f>
        <v>1247876.002354339</v>
      </c>
      <c r="AP16" s="21">
        <f t="shared" ref="AP16" si="758">AP15-AD15</f>
        <v>1754692.4032960746</v>
      </c>
      <c r="AQ16" s="21">
        <f t="shared" ref="AQ16" si="759">AQ15-AE15</f>
        <v>2456569.3646145044</v>
      </c>
      <c r="AR16" s="21">
        <f t="shared" ref="AR16" si="760">AR15-AF15</f>
        <v>3439197.1104603061</v>
      </c>
      <c r="AS16" s="21">
        <f t="shared" ref="AS16" si="761">AS15-AG15</f>
        <v>4814875.9546444286</v>
      </c>
      <c r="AT16" s="21">
        <f t="shared" ref="AT16" si="762">AT15-AH15</f>
        <v>6740826.3365021991</v>
      </c>
      <c r="AU16" s="21">
        <f t="shared" ref="AU16" si="763">AU15-AI15</f>
        <v>9437156.8711030781</v>
      </c>
      <c r="AV16" s="21">
        <f t="shared" ref="AV16" si="764">AV15-AJ15</f>
        <v>13212019.619544307</v>
      </c>
      <c r="AW16" s="21">
        <f t="shared" ref="AW16" si="765">AW15-AK15</f>
        <v>18496827.467362028</v>
      </c>
      <c r="AX16" s="21">
        <f t="shared" ref="AX16" si="766">AX15-AL15</f>
        <v>23719768.300016642</v>
      </c>
      <c r="AY16" s="21">
        <f t="shared" ref="AY16" si="767">AY15-AM15</f>
        <v>23533783.460023299</v>
      </c>
      <c r="AZ16" s="21">
        <f t="shared" ref="AZ16" si="768">AZ15-AN15</f>
        <v>23273404.684032619</v>
      </c>
      <c r="BA16" s="21">
        <f t="shared" ref="BA16" si="769">BA15-AO15</f>
        <v>22908874.397645663</v>
      </c>
      <c r="BB16" s="21">
        <f t="shared" ref="BB16" si="770">BB15-AP15</f>
        <v>22398531.996703926</v>
      </c>
      <c r="BC16" s="21">
        <f t="shared" ref="BC16" si="771">BC15-AQ15</f>
        <v>21684052.635385498</v>
      </c>
      <c r="BD16" s="21">
        <f t="shared" ref="BD16" si="772">BD15-AR15</f>
        <v>20683781.529539697</v>
      </c>
      <c r="BE16" s="21">
        <f t="shared" ref="BE16" si="773">BE15-AS15</f>
        <v>19283401.981355574</v>
      </c>
      <c r="BF16" s="21">
        <f t="shared" ref="BF16" si="774">BF15-AT15</f>
        <v>17322870.613897804</v>
      </c>
      <c r="BG16" s="21">
        <f t="shared" ref="BG16" si="775">BG15-AU15</f>
        <v>14578126.699456925</v>
      </c>
      <c r="BH16" s="21">
        <f t="shared" ref="BH16" si="776">BH15-AV15</f>
        <v>10735485.219239695</v>
      </c>
      <c r="BI16" s="21">
        <f t="shared" ref="BI16" si="777">BI15-AW15</f>
        <v>5355787.1469355747</v>
      </c>
      <c r="BJ16" s="21">
        <f t="shared" ref="BJ16" si="778">BJ15-AX15</f>
        <v>0</v>
      </c>
      <c r="BK16" s="21">
        <f t="shared" ref="BK16" si="779">BK15-AY15</f>
        <v>0</v>
      </c>
      <c r="BL16" s="21">
        <f t="shared" ref="BL16" si="780">BL15-AZ15</f>
        <v>0</v>
      </c>
      <c r="BM16" s="21">
        <f t="shared" ref="BM16" si="781">BM15-BA15</f>
        <v>0</v>
      </c>
      <c r="BN16" s="21">
        <f t="shared" ref="BN16" si="782">BN15-BB15</f>
        <v>0</v>
      </c>
      <c r="BO16" s="21">
        <f t="shared" ref="BO16" si="783">BO15-BC15</f>
        <v>0</v>
      </c>
      <c r="BP16" s="21">
        <f t="shared" ref="BP16" si="784">BP15-BD15</f>
        <v>0</v>
      </c>
      <c r="BQ16" s="21">
        <f t="shared" ref="BQ16" si="785">BQ15-BE15</f>
        <v>0</v>
      </c>
      <c r="BR16" s="21">
        <f t="shared" ref="BR16" si="786">BR15-BF15</f>
        <v>0</v>
      </c>
      <c r="BS16" s="21">
        <f t="shared" ref="BS16" si="787">BS15-BG15</f>
        <v>0</v>
      </c>
      <c r="BT16" s="21">
        <f t="shared" ref="BT16" si="788">BT15-BH15</f>
        <v>0</v>
      </c>
      <c r="BU16" s="21">
        <f t="shared" ref="BU16" si="789">BU15-BI15</f>
        <v>0</v>
      </c>
      <c r="BV16" s="21">
        <f t="shared" ref="BV16" si="790">BV15-BJ15</f>
        <v>0</v>
      </c>
      <c r="BW16" s="21">
        <f t="shared" ref="BW16" si="791">BW15-BK15</f>
        <v>0</v>
      </c>
      <c r="BX16" s="21">
        <f t="shared" ref="BX16" si="792">BX15-BL15</f>
        <v>0</v>
      </c>
      <c r="BY16" s="21">
        <f t="shared" ref="BY16" si="793">BY15-BM15</f>
        <v>0</v>
      </c>
      <c r="BZ16" s="21">
        <f t="shared" ref="BZ16" si="794">BZ15-BN15</f>
        <v>0</v>
      </c>
      <c r="CA16" s="21">
        <f t="shared" ref="CA16" si="795">CA15-BO15</f>
        <v>0</v>
      </c>
      <c r="CB16" s="21">
        <f t="shared" ref="CB16" si="796">CB15-BP15</f>
        <v>0</v>
      </c>
      <c r="CC16" s="21">
        <f t="shared" ref="CC16" si="797">CC15-BQ15</f>
        <v>0</v>
      </c>
      <c r="CD16" s="21">
        <f t="shared" ref="CD16" si="798">CD15-BR15</f>
        <v>0</v>
      </c>
      <c r="CE16" s="21">
        <f t="shared" ref="CE16" si="799">CE15-BS15</f>
        <v>0</v>
      </c>
      <c r="CF16" s="21">
        <f t="shared" ref="CF16" si="800">CF15-BT15</f>
        <v>0</v>
      </c>
      <c r="CG16" s="21">
        <f t="shared" ref="CG16" si="801">CG15-BU15</f>
        <v>0</v>
      </c>
      <c r="CH16" s="21">
        <f t="shared" ref="CH16" si="802">CH15-BV15</f>
        <v>0</v>
      </c>
      <c r="CI16" s="21">
        <f t="shared" ref="CI16" si="803">CI15-BW15</f>
        <v>0</v>
      </c>
      <c r="CJ16" s="21">
        <f t="shared" ref="CJ16" si="804">CJ15-BX15</f>
        <v>0</v>
      </c>
      <c r="CK16" s="21">
        <f t="shared" ref="CK16" si="805">CK15-BY15</f>
        <v>0</v>
      </c>
      <c r="CL16" s="21">
        <f t="shared" ref="CL16" si="806">CL15-BZ15</f>
        <v>0</v>
      </c>
      <c r="CM16" s="21">
        <f t="shared" ref="CM16" si="807">CM15-CA15</f>
        <v>0</v>
      </c>
      <c r="CN16" s="21">
        <f t="shared" ref="CN16" si="808">CN15-CB15</f>
        <v>0</v>
      </c>
      <c r="CO16" s="21">
        <f t="shared" ref="CO16" si="809">CO15-CC15</f>
        <v>0</v>
      </c>
      <c r="CP16" s="21">
        <f t="shared" ref="CP16" si="810">CP15-CD15</f>
        <v>0</v>
      </c>
      <c r="CQ16" s="21">
        <f t="shared" ref="CQ16" si="811">CQ15-CE15</f>
        <v>0</v>
      </c>
      <c r="CR16" s="21">
        <f t="shared" ref="CR16" si="812">CR15-CF15</f>
        <v>0</v>
      </c>
      <c r="CS16" s="21">
        <f t="shared" ref="CS16" si="813">CS15-CG15</f>
        <v>0</v>
      </c>
      <c r="CT16" s="21">
        <f t="shared" ref="CT16" si="814">CT15-CH15</f>
        <v>0</v>
      </c>
      <c r="CU16" s="21">
        <f t="shared" ref="CU16" si="815">CU15-CI15</f>
        <v>0</v>
      </c>
      <c r="CV16" s="21">
        <f t="shared" ref="CV16" si="816">CV15-CJ15</f>
        <v>0</v>
      </c>
      <c r="CW16" s="21">
        <f t="shared" ref="CW16" si="817">CW15-CK15</f>
        <v>0</v>
      </c>
      <c r="CX16" s="21">
        <f t="shared" ref="CX16" si="818">CX15-CL15</f>
        <v>0</v>
      </c>
      <c r="CY16" s="21">
        <f t="shared" ref="CY16" si="819">CY15-CM15</f>
        <v>0</v>
      </c>
      <c r="CZ16" s="21">
        <f t="shared" ref="CZ16" si="820">CZ15-CN15</f>
        <v>0</v>
      </c>
      <c r="DA16" s="21">
        <f t="shared" ref="DA16" si="821">DA15-CO15</f>
        <v>0</v>
      </c>
      <c r="DB16" s="21">
        <f t="shared" ref="DB16" si="822">DB15-CP15</f>
        <v>0</v>
      </c>
      <c r="DC16" s="21">
        <f t="shared" ref="DC16" si="823">DC15-CQ15</f>
        <v>0</v>
      </c>
      <c r="DD16" s="21">
        <f t="shared" ref="DD16" si="824">DD15-CR15</f>
        <v>0</v>
      </c>
      <c r="DE16" s="21">
        <f t="shared" ref="DE16" si="825">DE15-CS15</f>
        <v>0</v>
      </c>
      <c r="DF16" s="21">
        <f t="shared" ref="DF16" si="826">DF15-CT15</f>
        <v>0</v>
      </c>
      <c r="DG16" s="21">
        <f t="shared" ref="DG16" si="827">DG15-CU15</f>
        <v>0</v>
      </c>
      <c r="DH16" s="21">
        <f t="shared" ref="DH16" si="828">DH15-CV15</f>
        <v>0</v>
      </c>
      <c r="DI16" s="21">
        <f t="shared" ref="DI16" si="829">DI15-CW15</f>
        <v>0</v>
      </c>
      <c r="DJ16" s="21">
        <f t="shared" ref="DJ16" si="830">DJ15-CX15</f>
        <v>0</v>
      </c>
      <c r="DK16" s="21">
        <f t="shared" ref="DK16" si="831">DK15-CY15</f>
        <v>0</v>
      </c>
      <c r="DL16" s="21">
        <f t="shared" ref="DL16" si="832">DL15-CZ15</f>
        <v>0</v>
      </c>
      <c r="DM16" s="21">
        <f t="shared" ref="DM16" si="833">DM15-DA15</f>
        <v>0</v>
      </c>
      <c r="DN16" s="21">
        <f t="shared" ref="DN16" si="834">DN15-DB15</f>
        <v>0</v>
      </c>
      <c r="DO16" s="21">
        <f t="shared" ref="DO16" si="835">DO15-DC15</f>
        <v>0</v>
      </c>
      <c r="DP16" s="21">
        <f t="shared" ref="DP16" si="836">DP15-DD15</f>
        <v>0</v>
      </c>
      <c r="DQ16" s="21">
        <f t="shared" ref="DQ16" si="837">DQ15-DE15</f>
        <v>0</v>
      </c>
      <c r="DR16" s="21">
        <f t="shared" ref="DR16" si="838">DR15-DF15</f>
        <v>0</v>
      </c>
      <c r="DS16" s="21">
        <f t="shared" ref="DS16" si="839">DS15-DG15</f>
        <v>0</v>
      </c>
      <c r="DT16" s="21">
        <f t="shared" ref="DT16" si="840">DT15-DH15</f>
        <v>0</v>
      </c>
      <c r="DU16" s="21">
        <f t="shared" ref="DU16" si="841">DU15-DI15</f>
        <v>0</v>
      </c>
      <c r="DV16" s="21">
        <f t="shared" ref="DV16" si="842">DV15-DJ15</f>
        <v>0</v>
      </c>
      <c r="DW16" s="21">
        <f t="shared" ref="DW16" si="843">DW15-DK15</f>
        <v>0</v>
      </c>
      <c r="DX16" s="21">
        <f t="shared" ref="DX16" si="844">DX15-DL15</f>
        <v>0</v>
      </c>
      <c r="DY16" s="21">
        <f t="shared" ref="DY16" si="845">DY15-DM15</f>
        <v>0</v>
      </c>
      <c r="DZ16" s="21">
        <f t="shared" ref="DZ16" si="846">DZ15-DN15</f>
        <v>0</v>
      </c>
      <c r="EA16" s="21">
        <f t="shared" ref="EA16" si="847">EA15-DO15</f>
        <v>0</v>
      </c>
      <c r="EB16" s="21">
        <f t="shared" ref="EB16" si="848">EB15-DP15</f>
        <v>0</v>
      </c>
      <c r="EC16" s="21">
        <f t="shared" ref="EC16" si="849">EC15-DQ15</f>
        <v>0</v>
      </c>
      <c r="ED16" s="21">
        <f t="shared" ref="ED16" si="850">ED15-DR15</f>
        <v>0</v>
      </c>
      <c r="EE16" s="21">
        <f t="shared" ref="EE16" si="851">EE15-DS15</f>
        <v>0</v>
      </c>
      <c r="EF16" s="21">
        <f t="shared" ref="EF16" si="852">EF15-DT15</f>
        <v>0</v>
      </c>
      <c r="EG16" s="21">
        <f t="shared" ref="EG16" si="853">EG15-DU15</f>
        <v>0</v>
      </c>
      <c r="EH16" s="21">
        <f t="shared" ref="EH16" si="854">EH15-DV15</f>
        <v>0</v>
      </c>
      <c r="EI16" s="21">
        <f t="shared" ref="EI16" si="855">EI15-DW15</f>
        <v>0</v>
      </c>
      <c r="EJ16" s="21">
        <f t="shared" ref="EJ16" si="856">EJ15-DX15</f>
        <v>0</v>
      </c>
      <c r="EK16" s="21">
        <f t="shared" ref="EK16" si="857">EK15-DY15</f>
        <v>0</v>
      </c>
      <c r="EL16" s="21">
        <f t="shared" ref="EL16" si="858">EL15-DZ15</f>
        <v>0</v>
      </c>
      <c r="EM16" s="21">
        <f t="shared" ref="EM16" si="859">EM15-EA15</f>
        <v>0</v>
      </c>
      <c r="EN16" s="21">
        <f t="shared" ref="EN16" si="860">EN15-EB15</f>
        <v>0</v>
      </c>
      <c r="EO16" s="21">
        <f t="shared" ref="EO16" si="861">EO15-EC15</f>
        <v>0</v>
      </c>
      <c r="EP16" s="21">
        <f t="shared" ref="EP16" si="862">EP15-ED15</f>
        <v>0</v>
      </c>
      <c r="EQ16" s="21">
        <f t="shared" ref="EQ16" si="863">EQ15-EE15</f>
        <v>0</v>
      </c>
      <c r="ER16" s="21">
        <f t="shared" ref="ER16" si="864">ER15-EF15</f>
        <v>0</v>
      </c>
      <c r="ES16" s="21">
        <f t="shared" ref="ES16" si="865">ES15-EG15</f>
        <v>0</v>
      </c>
      <c r="ET16" s="21">
        <f t="shared" ref="ET16" si="866">ET15-EH15</f>
        <v>0</v>
      </c>
      <c r="EU16" s="21">
        <f t="shared" ref="EU16" si="867">EU15-EI15</f>
        <v>0</v>
      </c>
      <c r="EV16" s="21">
        <f t="shared" ref="EV16" si="868">EV15-EJ15</f>
        <v>0</v>
      </c>
      <c r="EW16" s="21">
        <f t="shared" ref="EW16" si="869">EW15-EK15</f>
        <v>0</v>
      </c>
      <c r="EX16" s="21">
        <f t="shared" ref="EX16" si="870">EX15-EL15</f>
        <v>0</v>
      </c>
      <c r="EY16" s="21">
        <f t="shared" ref="EY16" si="871">EY15-EM15</f>
        <v>0</v>
      </c>
      <c r="EZ16" s="21">
        <f t="shared" ref="EZ16" si="872">EZ15-EN15</f>
        <v>0</v>
      </c>
      <c r="FA16" s="21">
        <f t="shared" ref="FA16" si="873">FA15-EO15</f>
        <v>0</v>
      </c>
      <c r="FB16" s="21">
        <f t="shared" ref="FB16" si="874">FB15-EP15</f>
        <v>0</v>
      </c>
      <c r="FC16" s="21">
        <f t="shared" ref="FC16" si="875">FC15-EQ15</f>
        <v>0</v>
      </c>
      <c r="FD16" s="21">
        <f t="shared" ref="FD16" si="876">FD15-ER15</f>
        <v>0</v>
      </c>
      <c r="FE16" s="21">
        <f t="shared" ref="FE16" si="877">FE15-ES15</f>
        <v>0</v>
      </c>
      <c r="FF16" s="21">
        <f t="shared" ref="FF16" si="878">FF15-ET15</f>
        <v>0</v>
      </c>
      <c r="FG16" s="21">
        <f t="shared" ref="FG16" si="879">FG15-EU15</f>
        <v>0</v>
      </c>
      <c r="FH16" s="21">
        <f t="shared" ref="FH16" si="880">FH15-EV15</f>
        <v>0</v>
      </c>
      <c r="FI16" s="21">
        <f t="shared" ref="FI16" si="881">FI15-EW15</f>
        <v>0</v>
      </c>
      <c r="FJ16" s="21">
        <f t="shared" ref="FJ16" si="882">FJ15-EX15</f>
        <v>0</v>
      </c>
      <c r="FK16" s="21">
        <f t="shared" ref="FK16" si="883">FK15-EY15</f>
        <v>0</v>
      </c>
      <c r="FL16" s="21">
        <f t="shared" ref="FL16" si="884">FL15-EZ15</f>
        <v>0</v>
      </c>
      <c r="FM16" s="21">
        <f t="shared" ref="FM16" si="885">FM15-FA15</f>
        <v>0</v>
      </c>
      <c r="FN16" s="21">
        <f t="shared" ref="FN16" si="886">FN15-FB15</f>
        <v>0</v>
      </c>
      <c r="FO16" s="21">
        <f t="shared" ref="FO16" si="887">FO15-FC15</f>
        <v>0</v>
      </c>
      <c r="FP16" s="21">
        <f t="shared" ref="FP16" si="888">FP15-FD15</f>
        <v>0</v>
      </c>
      <c r="FQ16" s="21">
        <f t="shared" ref="FQ16" si="889">FQ15-FE15</f>
        <v>0</v>
      </c>
      <c r="FR16" s="21">
        <f t="shared" ref="FR16" si="890">FR15-FF15</f>
        <v>0</v>
      </c>
      <c r="FS16" s="21">
        <f t="shared" ref="FS16" si="891">FS15-FG15</f>
        <v>0</v>
      </c>
      <c r="FT16" s="21">
        <f t="shared" ref="FT16" si="892">FT15-FH15</f>
        <v>0</v>
      </c>
      <c r="FU16" s="21">
        <f t="shared" ref="FU16" si="893">FU15-FI15</f>
        <v>0</v>
      </c>
      <c r="FV16" s="21">
        <f t="shared" ref="FV16" si="894">FV15-FJ15</f>
        <v>0</v>
      </c>
      <c r="FW16" s="21">
        <f t="shared" ref="FW16" si="895">FW15-FK15</f>
        <v>0</v>
      </c>
      <c r="FX16" s="21">
        <f t="shared" ref="FX16" si="896">FX15-FL15</f>
        <v>0</v>
      </c>
      <c r="FY16" s="21">
        <f t="shared" ref="FY16" si="897">FY15-FM15</f>
        <v>0</v>
      </c>
      <c r="FZ16" s="21">
        <f t="shared" ref="FZ16" si="898">FZ15-FN15</f>
        <v>0</v>
      </c>
      <c r="GA16" s="21">
        <f t="shared" ref="GA16" si="899">GA15-FO15</f>
        <v>0</v>
      </c>
      <c r="GB16" s="21">
        <f t="shared" ref="GB16" si="900">GB15-FP15</f>
        <v>0</v>
      </c>
      <c r="GC16" s="21">
        <f t="shared" ref="GC16" si="901">GC15-FQ15</f>
        <v>0</v>
      </c>
      <c r="GD16" s="21">
        <f t="shared" ref="GD16" si="902">GD15-FR15</f>
        <v>0</v>
      </c>
      <c r="GE16" s="21">
        <f t="shared" ref="GE16" si="903">GE15-FS15</f>
        <v>0</v>
      </c>
      <c r="GF16" s="21">
        <f t="shared" ref="GF16" si="904">GF15-FT15</f>
        <v>0</v>
      </c>
      <c r="GG16" s="21">
        <f t="shared" ref="GG16" si="905">GG15-FU15</f>
        <v>0</v>
      </c>
      <c r="GH16" s="21">
        <f t="shared" ref="GH16" si="906">GH15-FV15</f>
        <v>0</v>
      </c>
      <c r="GI16" s="21">
        <f t="shared" ref="GI16" si="907">GI15-FW15</f>
        <v>0</v>
      </c>
      <c r="GJ16" s="21">
        <f t="shared" ref="GJ16" si="908">GJ15-FX15</f>
        <v>0</v>
      </c>
      <c r="GK16" s="21">
        <f t="shared" ref="GK16" si="909">GK15-FY15</f>
        <v>0</v>
      </c>
      <c r="GL16" s="21">
        <f t="shared" ref="GL16" si="910">GL15-FZ15</f>
        <v>0</v>
      </c>
      <c r="GM16" s="21">
        <f t="shared" ref="GM16" si="911">GM15-GA15</f>
        <v>0</v>
      </c>
      <c r="GN16" s="21">
        <f t="shared" ref="GN16" si="912">GN15-GB15</f>
        <v>0</v>
      </c>
      <c r="GO16" s="21">
        <f t="shared" ref="GO16" si="913">GO15-GC15</f>
        <v>0</v>
      </c>
      <c r="GP16" s="21">
        <f t="shared" ref="GP16" si="914">GP15-GD15</f>
        <v>0</v>
      </c>
      <c r="GQ16" s="21">
        <f t="shared" ref="GQ16" si="915">GQ15-GE15</f>
        <v>0</v>
      </c>
      <c r="GR16" s="21">
        <f t="shared" ref="GR16" si="916">GR15-GF15</f>
        <v>0</v>
      </c>
      <c r="GS16" s="21">
        <f t="shared" ref="GS16" si="917">GS15-GG15</f>
        <v>0</v>
      </c>
      <c r="GT16" s="21">
        <f t="shared" ref="GT16" si="918">GT15-GH15</f>
        <v>0</v>
      </c>
      <c r="GU16" s="21">
        <f t="shared" ref="GU16" si="919">GU15-GI15</f>
        <v>0</v>
      </c>
      <c r="GV16" s="21">
        <f t="shared" ref="GV16" si="920">GV15-GJ15</f>
        <v>0</v>
      </c>
      <c r="GW16" s="21">
        <f t="shared" ref="GW16" si="921">GW15-GK15</f>
        <v>0</v>
      </c>
      <c r="GX16" s="21">
        <f t="shared" ref="GX16" si="922">GX15-GL15</f>
        <v>0</v>
      </c>
      <c r="GY16" s="21">
        <f t="shared" ref="GY16" si="923">GY15-GM15</f>
        <v>0</v>
      </c>
      <c r="GZ16" s="21">
        <f t="shared" ref="GZ16" si="924">GZ15-GN15</f>
        <v>0</v>
      </c>
      <c r="HA16" s="21">
        <f t="shared" ref="HA16" si="925">HA15-GO15</f>
        <v>0</v>
      </c>
      <c r="HB16" s="21">
        <f t="shared" ref="HB16" si="926">HB15-GP15</f>
        <v>0</v>
      </c>
      <c r="HC16" s="21">
        <f t="shared" ref="HC16" si="927">HC15-GQ15</f>
        <v>0</v>
      </c>
      <c r="HD16" s="21">
        <f t="shared" ref="HD16" si="928">HD15-GR15</f>
        <v>0</v>
      </c>
      <c r="HE16" s="21">
        <f t="shared" ref="HE16" si="929">HE15-GS15</f>
        <v>0</v>
      </c>
      <c r="HF16" s="21">
        <f t="shared" ref="HF16" si="930">HF15-GT15</f>
        <v>0</v>
      </c>
      <c r="HG16" s="21">
        <f t="shared" ref="HG16" si="931">HG15-GU15</f>
        <v>0</v>
      </c>
      <c r="HH16" s="21">
        <f t="shared" ref="HH16" si="932">HH15-GV15</f>
        <v>0</v>
      </c>
      <c r="HI16" s="21">
        <f t="shared" ref="HI16" si="933">HI15-GW15</f>
        <v>0</v>
      </c>
      <c r="HJ16" s="21">
        <f t="shared" ref="HJ16" si="934">HJ15-GX15</f>
        <v>0</v>
      </c>
      <c r="HK16" s="21">
        <f t="shared" ref="HK16" si="935">HK15-GY15</f>
        <v>0</v>
      </c>
      <c r="HL16" s="21">
        <f t="shared" ref="HL16" si="936">HL15-GZ15</f>
        <v>0</v>
      </c>
      <c r="HM16" s="21">
        <f t="shared" ref="HM16" si="937">HM15-HA15</f>
        <v>0</v>
      </c>
      <c r="HN16" s="21">
        <f t="shared" ref="HN16" si="938">HN15-HB15</f>
        <v>0</v>
      </c>
      <c r="HO16" s="21">
        <f t="shared" ref="HO16" si="939">HO15-HC15</f>
        <v>0</v>
      </c>
      <c r="HP16" s="21">
        <f t="shared" ref="HP16" si="940">HP15-HD15</f>
        <v>0</v>
      </c>
      <c r="HQ16" s="21">
        <f t="shared" ref="HQ16" si="941">HQ15-HE15</f>
        <v>0</v>
      </c>
      <c r="HR16" s="21">
        <f t="shared" ref="HR16" si="942">HR15-HF15</f>
        <v>0</v>
      </c>
      <c r="HS16" s="21">
        <f t="shared" ref="HS16" si="943">HS15-HG15</f>
        <v>0</v>
      </c>
      <c r="HT16" s="21">
        <f t="shared" ref="HT16" si="944">HT15-HH15</f>
        <v>0</v>
      </c>
      <c r="HU16" s="21">
        <f t="shared" ref="HU16" si="945">HU15-HI15</f>
        <v>0</v>
      </c>
      <c r="HV16" s="21">
        <f t="shared" ref="HV16" si="946">HV15-HJ15</f>
        <v>0</v>
      </c>
      <c r="HW16" s="21">
        <f t="shared" ref="HW16" si="947">HW15-HK15</f>
        <v>0</v>
      </c>
      <c r="HX16" s="21">
        <f t="shared" ref="HX16" si="948">HX15-HL15</f>
        <v>0</v>
      </c>
      <c r="HY16" s="21">
        <f t="shared" ref="HY16" si="949">HY15-HM15</f>
        <v>0</v>
      </c>
      <c r="HZ16" s="21">
        <f t="shared" ref="HZ16" si="950">HZ15-HN15</f>
        <v>0</v>
      </c>
      <c r="IA16" s="21">
        <f t="shared" ref="IA16" si="951">IA15-HO15</f>
        <v>0</v>
      </c>
      <c r="IB16" s="21">
        <f t="shared" ref="IB16" si="952">IB15-HP15</f>
        <v>0</v>
      </c>
      <c r="IC16" s="21">
        <f t="shared" ref="IC16" si="953">IC15-HQ15</f>
        <v>0</v>
      </c>
      <c r="ID16" s="21">
        <f t="shared" ref="ID16" si="954">ID15-HR15</f>
        <v>0</v>
      </c>
      <c r="IE16" s="21">
        <f t="shared" ref="IE16" si="955">IE15-HS15</f>
        <v>0</v>
      </c>
      <c r="IF16" s="21">
        <f t="shared" ref="IF16" si="956">IF15-HT15</f>
        <v>0</v>
      </c>
      <c r="IG16" s="21">
        <f t="shared" ref="IG16" si="957">IG15-HU15</f>
        <v>0</v>
      </c>
      <c r="IH16" s="21">
        <f t="shared" ref="IH16" si="958">IH15-HV15</f>
        <v>0</v>
      </c>
      <c r="II16" s="21">
        <f t="shared" ref="II16" si="959">II15-HW15</f>
        <v>0</v>
      </c>
      <c r="IJ16" s="21">
        <f t="shared" ref="IJ16" si="960">IJ15-HX15</f>
        <v>0</v>
      </c>
      <c r="IK16" s="21">
        <f t="shared" ref="IK16" si="961">IK15-HY15</f>
        <v>0</v>
      </c>
      <c r="IL16" s="21">
        <f t="shared" ref="IL16" si="962">IL15-HZ15</f>
        <v>0</v>
      </c>
      <c r="IM16" s="21">
        <f t="shared" ref="IM16" si="963">IM15-IA15</f>
        <v>0</v>
      </c>
      <c r="IN16" s="21">
        <f t="shared" ref="IN16" si="964">IN15-IB15</f>
        <v>0</v>
      </c>
    </row>
    <row r="17" spans="2:248" x14ac:dyDescent="0.3">
      <c r="F17" s="22" t="s">
        <v>500</v>
      </c>
      <c r="G17" s="24">
        <f t="shared" ref="G17:BR17" si="965">$C$15</f>
        <v>7557.7282499999992</v>
      </c>
      <c r="H17" s="24">
        <f t="shared" si="965"/>
        <v>7557.7282499999992</v>
      </c>
      <c r="I17" s="24">
        <f t="shared" si="965"/>
        <v>7557.7282499999992</v>
      </c>
      <c r="J17" s="24">
        <f t="shared" si="965"/>
        <v>7557.7282499999992</v>
      </c>
      <c r="K17" s="24">
        <f t="shared" si="965"/>
        <v>7557.7282499999992</v>
      </c>
      <c r="L17" s="24">
        <f t="shared" si="965"/>
        <v>7557.7282499999992</v>
      </c>
      <c r="M17" s="24">
        <f t="shared" si="965"/>
        <v>7557.7282499999992</v>
      </c>
      <c r="N17" s="24">
        <f t="shared" si="965"/>
        <v>7557.7282499999992</v>
      </c>
      <c r="O17" s="24">
        <f t="shared" si="965"/>
        <v>7557.7282499999992</v>
      </c>
      <c r="P17" s="24">
        <f t="shared" si="965"/>
        <v>7557.7282499999992</v>
      </c>
      <c r="Q17" s="24">
        <f t="shared" si="965"/>
        <v>7557.7282499999992</v>
      </c>
      <c r="R17" s="24">
        <f t="shared" si="965"/>
        <v>7557.7282499999992</v>
      </c>
      <c r="S17" s="24">
        <f t="shared" si="965"/>
        <v>7557.7282499999992</v>
      </c>
      <c r="T17" s="24">
        <f t="shared" si="965"/>
        <v>7557.7282499999992</v>
      </c>
      <c r="U17" s="24">
        <f t="shared" si="965"/>
        <v>7557.7282499999992</v>
      </c>
      <c r="V17" s="24">
        <f t="shared" si="965"/>
        <v>7557.7282499999992</v>
      </c>
      <c r="W17" s="24">
        <f t="shared" si="965"/>
        <v>7557.7282499999992</v>
      </c>
      <c r="X17" s="24">
        <f t="shared" si="965"/>
        <v>7557.7282499999992</v>
      </c>
      <c r="Y17" s="24">
        <f t="shared" si="965"/>
        <v>7557.7282499999992</v>
      </c>
      <c r="Z17" s="24">
        <f t="shared" si="965"/>
        <v>7557.7282499999992</v>
      </c>
      <c r="AA17" s="24">
        <f t="shared" si="965"/>
        <v>7557.7282499999992</v>
      </c>
      <c r="AB17" s="24">
        <f t="shared" si="965"/>
        <v>7557.7282499999992</v>
      </c>
      <c r="AC17" s="24">
        <f t="shared" si="965"/>
        <v>7557.7282499999992</v>
      </c>
      <c r="AD17" s="24">
        <f t="shared" si="965"/>
        <v>7557.7282499999992</v>
      </c>
      <c r="AE17" s="24">
        <f t="shared" si="965"/>
        <v>7557.7282499999992</v>
      </c>
      <c r="AF17" s="24">
        <f t="shared" si="965"/>
        <v>7557.7282499999992</v>
      </c>
      <c r="AG17" s="24">
        <f t="shared" si="965"/>
        <v>7557.7282499999992</v>
      </c>
      <c r="AH17" s="24">
        <f t="shared" si="965"/>
        <v>7557.7282499999992</v>
      </c>
      <c r="AI17" s="24">
        <f t="shared" si="965"/>
        <v>7557.7282499999992</v>
      </c>
      <c r="AJ17" s="24">
        <f t="shared" si="965"/>
        <v>7557.7282499999992</v>
      </c>
      <c r="AK17" s="24">
        <f t="shared" si="965"/>
        <v>7557.7282499999992</v>
      </c>
      <c r="AL17" s="24">
        <f t="shared" si="965"/>
        <v>7557.7282499999992</v>
      </c>
      <c r="AM17" s="24">
        <f t="shared" si="965"/>
        <v>7557.7282499999992</v>
      </c>
      <c r="AN17" s="24">
        <f t="shared" si="965"/>
        <v>7557.7282499999992</v>
      </c>
      <c r="AO17" s="24">
        <f t="shared" si="965"/>
        <v>7557.7282499999992</v>
      </c>
      <c r="AP17" s="24">
        <f t="shared" si="965"/>
        <v>7557.7282499999992</v>
      </c>
      <c r="AQ17" s="24">
        <f t="shared" si="965"/>
        <v>7557.7282499999992</v>
      </c>
      <c r="AR17" s="24">
        <f t="shared" si="965"/>
        <v>7557.7282499999992</v>
      </c>
      <c r="AS17" s="24">
        <f t="shared" si="965"/>
        <v>7557.7282499999992</v>
      </c>
      <c r="AT17" s="24">
        <f t="shared" si="965"/>
        <v>7557.7282499999992</v>
      </c>
      <c r="AU17" s="24">
        <f t="shared" si="965"/>
        <v>7557.7282499999992</v>
      </c>
      <c r="AV17" s="24">
        <f t="shared" si="965"/>
        <v>7557.7282499999992</v>
      </c>
      <c r="AW17" s="24">
        <f t="shared" si="965"/>
        <v>7557.7282499999992</v>
      </c>
      <c r="AX17" s="24">
        <f t="shared" si="965"/>
        <v>7557.7282499999992</v>
      </c>
      <c r="AY17" s="24">
        <f t="shared" si="965"/>
        <v>7557.7282499999992</v>
      </c>
      <c r="AZ17" s="24">
        <f t="shared" si="965"/>
        <v>7557.7282499999992</v>
      </c>
      <c r="BA17" s="24">
        <f t="shared" si="965"/>
        <v>7557.7282499999992</v>
      </c>
      <c r="BB17" s="24">
        <f t="shared" si="965"/>
        <v>7557.7282499999992</v>
      </c>
      <c r="BC17" s="24">
        <f t="shared" si="965"/>
        <v>7557.7282499999992</v>
      </c>
      <c r="BD17" s="24">
        <f t="shared" si="965"/>
        <v>7557.7282499999992</v>
      </c>
      <c r="BE17" s="24">
        <f t="shared" si="965"/>
        <v>7557.7282499999992</v>
      </c>
      <c r="BF17" s="24">
        <f t="shared" si="965"/>
        <v>7557.7282499999992</v>
      </c>
      <c r="BG17" s="24">
        <f t="shared" si="965"/>
        <v>7557.7282499999992</v>
      </c>
      <c r="BH17" s="24">
        <f t="shared" si="965"/>
        <v>7557.7282499999992</v>
      </c>
      <c r="BI17" s="24">
        <f t="shared" si="965"/>
        <v>7557.7282499999992</v>
      </c>
      <c r="BJ17" s="24">
        <f t="shared" si="965"/>
        <v>7557.7282499999992</v>
      </c>
      <c r="BK17" s="24">
        <f t="shared" si="965"/>
        <v>7557.7282499999992</v>
      </c>
      <c r="BL17" s="24">
        <f t="shared" si="965"/>
        <v>7557.7282499999992</v>
      </c>
      <c r="BM17" s="24">
        <f t="shared" si="965"/>
        <v>7557.7282499999992</v>
      </c>
      <c r="BN17" s="24">
        <f t="shared" si="965"/>
        <v>7557.7282499999992</v>
      </c>
      <c r="BO17" s="24">
        <f t="shared" si="965"/>
        <v>7557.7282499999992</v>
      </c>
      <c r="BP17" s="24">
        <f t="shared" si="965"/>
        <v>7557.7282499999992</v>
      </c>
      <c r="BQ17" s="24">
        <f t="shared" si="965"/>
        <v>7557.7282499999992</v>
      </c>
      <c r="BR17" s="24">
        <f t="shared" si="965"/>
        <v>7557.7282499999992</v>
      </c>
      <c r="BS17" s="24">
        <f t="shared" ref="BS17:ED17" si="966">$C$15</f>
        <v>7557.7282499999992</v>
      </c>
      <c r="BT17" s="24">
        <f t="shared" si="966"/>
        <v>7557.7282499999992</v>
      </c>
      <c r="BU17" s="24">
        <f t="shared" si="966"/>
        <v>7557.7282499999992</v>
      </c>
      <c r="BV17" s="24">
        <f t="shared" si="966"/>
        <v>7557.7282499999992</v>
      </c>
      <c r="BW17" s="24">
        <f t="shared" si="966"/>
        <v>7557.7282499999992</v>
      </c>
      <c r="BX17" s="24">
        <f t="shared" si="966"/>
        <v>7557.7282499999992</v>
      </c>
      <c r="BY17" s="24">
        <f t="shared" si="966"/>
        <v>7557.7282499999992</v>
      </c>
      <c r="BZ17" s="24">
        <f t="shared" si="966"/>
        <v>7557.7282499999992</v>
      </c>
      <c r="CA17" s="24">
        <f t="shared" si="966"/>
        <v>7557.7282499999992</v>
      </c>
      <c r="CB17" s="24">
        <f t="shared" si="966"/>
        <v>7557.7282499999992</v>
      </c>
      <c r="CC17" s="24">
        <f t="shared" si="966"/>
        <v>7557.7282499999992</v>
      </c>
      <c r="CD17" s="24">
        <f t="shared" si="966"/>
        <v>7557.7282499999992</v>
      </c>
      <c r="CE17" s="24">
        <f t="shared" si="966"/>
        <v>7557.7282499999992</v>
      </c>
      <c r="CF17" s="24">
        <f t="shared" si="966"/>
        <v>7557.7282499999992</v>
      </c>
      <c r="CG17" s="24">
        <f t="shared" si="966"/>
        <v>7557.7282499999992</v>
      </c>
      <c r="CH17" s="24">
        <f t="shared" si="966"/>
        <v>7557.7282499999992</v>
      </c>
      <c r="CI17" s="24">
        <f t="shared" si="966"/>
        <v>7557.7282499999992</v>
      </c>
      <c r="CJ17" s="24">
        <f t="shared" si="966"/>
        <v>7557.7282499999992</v>
      </c>
      <c r="CK17" s="24">
        <f t="shared" si="966"/>
        <v>7557.7282499999992</v>
      </c>
      <c r="CL17" s="24">
        <f t="shared" si="966"/>
        <v>7557.7282499999992</v>
      </c>
      <c r="CM17" s="24">
        <f t="shared" si="966"/>
        <v>7557.7282499999992</v>
      </c>
      <c r="CN17" s="24">
        <f t="shared" si="966"/>
        <v>7557.7282499999992</v>
      </c>
      <c r="CO17" s="24">
        <f t="shared" si="966"/>
        <v>7557.7282499999992</v>
      </c>
      <c r="CP17" s="24">
        <f t="shared" si="966"/>
        <v>7557.7282499999992</v>
      </c>
      <c r="CQ17" s="24">
        <f t="shared" si="966"/>
        <v>7557.7282499999992</v>
      </c>
      <c r="CR17" s="24">
        <f t="shared" si="966"/>
        <v>7557.7282499999992</v>
      </c>
      <c r="CS17" s="24">
        <f t="shared" si="966"/>
        <v>7557.7282499999992</v>
      </c>
      <c r="CT17" s="24">
        <f t="shared" si="966"/>
        <v>7557.7282499999992</v>
      </c>
      <c r="CU17" s="24">
        <f t="shared" si="966"/>
        <v>7557.7282499999992</v>
      </c>
      <c r="CV17" s="24">
        <f t="shared" si="966"/>
        <v>7557.7282499999992</v>
      </c>
      <c r="CW17" s="24">
        <f t="shared" si="966"/>
        <v>7557.7282499999992</v>
      </c>
      <c r="CX17" s="24">
        <f t="shared" si="966"/>
        <v>7557.7282499999992</v>
      </c>
      <c r="CY17" s="24">
        <f t="shared" si="966"/>
        <v>7557.7282499999992</v>
      </c>
      <c r="CZ17" s="24">
        <f t="shared" si="966"/>
        <v>7557.7282499999992</v>
      </c>
      <c r="DA17" s="24">
        <f t="shared" si="966"/>
        <v>7557.7282499999992</v>
      </c>
      <c r="DB17" s="24">
        <f t="shared" si="966"/>
        <v>7557.7282499999992</v>
      </c>
      <c r="DC17" s="24">
        <f t="shared" si="966"/>
        <v>7557.7282499999992</v>
      </c>
      <c r="DD17" s="24">
        <f t="shared" si="966"/>
        <v>7557.7282499999992</v>
      </c>
      <c r="DE17" s="24">
        <f t="shared" si="966"/>
        <v>7557.7282499999992</v>
      </c>
      <c r="DF17" s="24">
        <f t="shared" si="966"/>
        <v>7557.7282499999992</v>
      </c>
      <c r="DG17" s="24">
        <f t="shared" si="966"/>
        <v>7557.7282499999992</v>
      </c>
      <c r="DH17" s="24">
        <f t="shared" si="966"/>
        <v>7557.7282499999992</v>
      </c>
      <c r="DI17" s="24">
        <f t="shared" si="966"/>
        <v>7557.7282499999992</v>
      </c>
      <c r="DJ17" s="24">
        <f t="shared" si="966"/>
        <v>7557.7282499999992</v>
      </c>
      <c r="DK17" s="24">
        <f t="shared" si="966"/>
        <v>7557.7282499999992</v>
      </c>
      <c r="DL17" s="24">
        <f t="shared" si="966"/>
        <v>7557.7282499999992</v>
      </c>
      <c r="DM17" s="24">
        <f t="shared" si="966"/>
        <v>7557.7282499999992</v>
      </c>
      <c r="DN17" s="24">
        <f t="shared" si="966"/>
        <v>7557.7282499999992</v>
      </c>
      <c r="DO17" s="24">
        <f t="shared" si="966"/>
        <v>7557.7282499999992</v>
      </c>
      <c r="DP17" s="24">
        <f t="shared" si="966"/>
        <v>7557.7282499999992</v>
      </c>
      <c r="DQ17" s="24">
        <f t="shared" si="966"/>
        <v>7557.7282499999992</v>
      </c>
      <c r="DR17" s="24">
        <f t="shared" si="966"/>
        <v>7557.7282499999992</v>
      </c>
      <c r="DS17" s="24">
        <f t="shared" si="966"/>
        <v>7557.7282499999992</v>
      </c>
      <c r="DT17" s="24">
        <f t="shared" si="966"/>
        <v>7557.7282499999992</v>
      </c>
      <c r="DU17" s="24">
        <f t="shared" si="966"/>
        <v>7557.7282499999992</v>
      </c>
      <c r="DV17" s="24">
        <f t="shared" si="966"/>
        <v>7557.7282499999992</v>
      </c>
      <c r="DW17" s="24">
        <f t="shared" si="966"/>
        <v>7557.7282499999992</v>
      </c>
      <c r="DX17" s="24">
        <f t="shared" si="966"/>
        <v>7557.7282499999992</v>
      </c>
      <c r="DY17" s="24">
        <f t="shared" si="966"/>
        <v>7557.7282499999992</v>
      </c>
      <c r="DZ17" s="24">
        <f t="shared" si="966"/>
        <v>7557.7282499999992</v>
      </c>
      <c r="EA17" s="24">
        <f t="shared" si="966"/>
        <v>7557.7282499999992</v>
      </c>
      <c r="EB17" s="24">
        <f t="shared" si="966"/>
        <v>7557.7282499999992</v>
      </c>
      <c r="EC17" s="24">
        <f t="shared" si="966"/>
        <v>7557.7282499999992</v>
      </c>
      <c r="ED17" s="24">
        <f t="shared" si="966"/>
        <v>7557.7282499999992</v>
      </c>
      <c r="EE17" s="24">
        <f t="shared" ref="EE17:GP17" si="967">$C$15</f>
        <v>7557.7282499999992</v>
      </c>
      <c r="EF17" s="24">
        <f t="shared" si="967"/>
        <v>7557.7282499999992</v>
      </c>
      <c r="EG17" s="24">
        <f t="shared" si="967"/>
        <v>7557.7282499999992</v>
      </c>
      <c r="EH17" s="24">
        <f t="shared" si="967"/>
        <v>7557.7282499999992</v>
      </c>
      <c r="EI17" s="24">
        <f t="shared" si="967"/>
        <v>7557.7282499999992</v>
      </c>
      <c r="EJ17" s="24">
        <f t="shared" si="967"/>
        <v>7557.7282499999992</v>
      </c>
      <c r="EK17" s="24">
        <f t="shared" si="967"/>
        <v>7557.7282499999992</v>
      </c>
      <c r="EL17" s="24">
        <f t="shared" si="967"/>
        <v>7557.7282499999992</v>
      </c>
      <c r="EM17" s="24">
        <f t="shared" si="967"/>
        <v>7557.7282499999992</v>
      </c>
      <c r="EN17" s="24">
        <f t="shared" si="967"/>
        <v>7557.7282499999992</v>
      </c>
      <c r="EO17" s="24">
        <f t="shared" si="967"/>
        <v>7557.7282499999992</v>
      </c>
      <c r="EP17" s="24">
        <f t="shared" si="967"/>
        <v>7557.7282499999992</v>
      </c>
      <c r="EQ17" s="24">
        <f t="shared" si="967"/>
        <v>7557.7282499999992</v>
      </c>
      <c r="ER17" s="24">
        <f t="shared" si="967"/>
        <v>7557.7282499999992</v>
      </c>
      <c r="ES17" s="24">
        <f t="shared" si="967"/>
        <v>7557.7282499999992</v>
      </c>
      <c r="ET17" s="24">
        <f t="shared" si="967"/>
        <v>7557.7282499999992</v>
      </c>
      <c r="EU17" s="24">
        <f t="shared" si="967"/>
        <v>7557.7282499999992</v>
      </c>
      <c r="EV17" s="24">
        <f t="shared" si="967"/>
        <v>7557.7282499999992</v>
      </c>
      <c r="EW17" s="24">
        <f t="shared" si="967"/>
        <v>7557.7282499999992</v>
      </c>
      <c r="EX17" s="24">
        <f t="shared" si="967"/>
        <v>7557.7282499999992</v>
      </c>
      <c r="EY17" s="24">
        <f t="shared" si="967"/>
        <v>7557.7282499999992</v>
      </c>
      <c r="EZ17" s="24">
        <f t="shared" si="967"/>
        <v>7557.7282499999992</v>
      </c>
      <c r="FA17" s="24">
        <f t="shared" si="967"/>
        <v>7557.7282499999992</v>
      </c>
      <c r="FB17" s="24">
        <f t="shared" si="967"/>
        <v>7557.7282499999992</v>
      </c>
      <c r="FC17" s="24">
        <f t="shared" si="967"/>
        <v>7557.7282499999992</v>
      </c>
      <c r="FD17" s="24">
        <f t="shared" si="967"/>
        <v>7557.7282499999992</v>
      </c>
      <c r="FE17" s="24">
        <f t="shared" si="967"/>
        <v>7557.7282499999992</v>
      </c>
      <c r="FF17" s="24">
        <f t="shared" si="967"/>
        <v>7557.7282499999992</v>
      </c>
      <c r="FG17" s="24">
        <f t="shared" si="967"/>
        <v>7557.7282499999992</v>
      </c>
      <c r="FH17" s="24">
        <f t="shared" si="967"/>
        <v>7557.7282499999992</v>
      </c>
      <c r="FI17" s="24">
        <f t="shared" si="967"/>
        <v>7557.7282499999992</v>
      </c>
      <c r="FJ17" s="24">
        <f t="shared" si="967"/>
        <v>7557.7282499999992</v>
      </c>
      <c r="FK17" s="24">
        <f t="shared" si="967"/>
        <v>7557.7282499999992</v>
      </c>
      <c r="FL17" s="24">
        <f t="shared" si="967"/>
        <v>7557.7282499999992</v>
      </c>
      <c r="FM17" s="24">
        <f t="shared" si="967"/>
        <v>7557.7282499999992</v>
      </c>
      <c r="FN17" s="24">
        <f t="shared" si="967"/>
        <v>7557.7282499999992</v>
      </c>
      <c r="FO17" s="24">
        <f t="shared" si="967"/>
        <v>7557.7282499999992</v>
      </c>
      <c r="FP17" s="24">
        <f t="shared" si="967"/>
        <v>7557.7282499999992</v>
      </c>
      <c r="FQ17" s="24">
        <f t="shared" si="967"/>
        <v>7557.7282499999992</v>
      </c>
      <c r="FR17" s="24">
        <f t="shared" si="967"/>
        <v>7557.7282499999992</v>
      </c>
      <c r="FS17" s="24">
        <f t="shared" si="967"/>
        <v>7557.7282499999992</v>
      </c>
      <c r="FT17" s="24">
        <f t="shared" si="967"/>
        <v>7557.7282499999992</v>
      </c>
      <c r="FU17" s="24">
        <f t="shared" si="967"/>
        <v>7557.7282499999992</v>
      </c>
      <c r="FV17" s="24">
        <f t="shared" si="967"/>
        <v>7557.7282499999992</v>
      </c>
      <c r="FW17" s="24">
        <f t="shared" si="967"/>
        <v>7557.7282499999992</v>
      </c>
      <c r="FX17" s="24">
        <f t="shared" si="967"/>
        <v>7557.7282499999992</v>
      </c>
      <c r="FY17" s="24">
        <f t="shared" si="967"/>
        <v>7557.7282499999992</v>
      </c>
      <c r="FZ17" s="24">
        <f t="shared" si="967"/>
        <v>7557.7282499999992</v>
      </c>
      <c r="GA17" s="24">
        <f t="shared" si="967"/>
        <v>7557.7282499999992</v>
      </c>
      <c r="GB17" s="24">
        <f t="shared" si="967"/>
        <v>7557.7282499999992</v>
      </c>
      <c r="GC17" s="24">
        <f t="shared" si="967"/>
        <v>7557.7282499999992</v>
      </c>
      <c r="GD17" s="24">
        <f t="shared" si="967"/>
        <v>7557.7282499999992</v>
      </c>
      <c r="GE17" s="24">
        <f t="shared" si="967"/>
        <v>7557.7282499999992</v>
      </c>
      <c r="GF17" s="24">
        <f t="shared" si="967"/>
        <v>7557.7282499999992</v>
      </c>
      <c r="GG17" s="24">
        <f t="shared" si="967"/>
        <v>7557.7282499999992</v>
      </c>
      <c r="GH17" s="24">
        <f t="shared" si="967"/>
        <v>7557.7282499999992</v>
      </c>
      <c r="GI17" s="24">
        <f t="shared" si="967"/>
        <v>7557.7282499999992</v>
      </c>
      <c r="GJ17" s="24">
        <f t="shared" si="967"/>
        <v>7557.7282499999992</v>
      </c>
      <c r="GK17" s="24">
        <f t="shared" si="967"/>
        <v>7557.7282499999992</v>
      </c>
      <c r="GL17" s="24">
        <f t="shared" si="967"/>
        <v>7557.7282499999992</v>
      </c>
      <c r="GM17" s="24">
        <f t="shared" si="967"/>
        <v>7557.7282499999992</v>
      </c>
      <c r="GN17" s="24">
        <f t="shared" si="967"/>
        <v>7557.7282499999992</v>
      </c>
      <c r="GO17" s="24">
        <f t="shared" si="967"/>
        <v>7557.7282499999992</v>
      </c>
      <c r="GP17" s="24">
        <f t="shared" si="967"/>
        <v>7557.7282499999992</v>
      </c>
      <c r="GQ17" s="24">
        <f t="shared" ref="GQ17:IN17" si="968">$C$15</f>
        <v>7557.7282499999992</v>
      </c>
      <c r="GR17" s="24">
        <f t="shared" si="968"/>
        <v>7557.7282499999992</v>
      </c>
      <c r="GS17" s="24">
        <f t="shared" si="968"/>
        <v>7557.7282499999992</v>
      </c>
      <c r="GT17" s="24">
        <f t="shared" si="968"/>
        <v>7557.7282499999992</v>
      </c>
      <c r="GU17" s="24">
        <f t="shared" si="968"/>
        <v>7557.7282499999992</v>
      </c>
      <c r="GV17" s="24">
        <f t="shared" si="968"/>
        <v>7557.7282499999992</v>
      </c>
      <c r="GW17" s="24">
        <f t="shared" si="968"/>
        <v>7557.7282499999992</v>
      </c>
      <c r="GX17" s="24">
        <f t="shared" si="968"/>
        <v>7557.7282499999992</v>
      </c>
      <c r="GY17" s="24">
        <f t="shared" si="968"/>
        <v>7557.7282499999992</v>
      </c>
      <c r="GZ17" s="24">
        <f t="shared" si="968"/>
        <v>7557.7282499999992</v>
      </c>
      <c r="HA17" s="24">
        <f t="shared" si="968"/>
        <v>7557.7282499999992</v>
      </c>
      <c r="HB17" s="24">
        <f t="shared" si="968"/>
        <v>7557.7282499999992</v>
      </c>
      <c r="HC17" s="24">
        <f t="shared" si="968"/>
        <v>7557.7282499999992</v>
      </c>
      <c r="HD17" s="24">
        <f t="shared" si="968"/>
        <v>7557.7282499999992</v>
      </c>
      <c r="HE17" s="24">
        <f t="shared" si="968"/>
        <v>7557.7282499999992</v>
      </c>
      <c r="HF17" s="24">
        <f t="shared" si="968"/>
        <v>7557.7282499999992</v>
      </c>
      <c r="HG17" s="24">
        <f t="shared" si="968"/>
        <v>7557.7282499999992</v>
      </c>
      <c r="HH17" s="24">
        <f t="shared" si="968"/>
        <v>7557.7282499999992</v>
      </c>
      <c r="HI17" s="24">
        <f t="shared" si="968"/>
        <v>7557.7282499999992</v>
      </c>
      <c r="HJ17" s="24">
        <f t="shared" si="968"/>
        <v>7557.7282499999992</v>
      </c>
      <c r="HK17" s="24">
        <f t="shared" si="968"/>
        <v>7557.7282499999992</v>
      </c>
      <c r="HL17" s="24">
        <f t="shared" si="968"/>
        <v>7557.7282499999992</v>
      </c>
      <c r="HM17" s="24">
        <f t="shared" si="968"/>
        <v>7557.7282499999992</v>
      </c>
      <c r="HN17" s="24">
        <f t="shared" si="968"/>
        <v>7557.7282499999992</v>
      </c>
      <c r="HO17" s="24">
        <f t="shared" si="968"/>
        <v>7557.7282499999992</v>
      </c>
      <c r="HP17" s="24">
        <f t="shared" si="968"/>
        <v>7557.7282499999992</v>
      </c>
      <c r="HQ17" s="24">
        <f t="shared" si="968"/>
        <v>7557.7282499999992</v>
      </c>
      <c r="HR17" s="24">
        <f t="shared" si="968"/>
        <v>7557.7282499999992</v>
      </c>
      <c r="HS17" s="24">
        <f t="shared" si="968"/>
        <v>7557.7282499999992</v>
      </c>
      <c r="HT17" s="24">
        <f t="shared" si="968"/>
        <v>7557.7282499999992</v>
      </c>
      <c r="HU17" s="24">
        <f t="shared" si="968"/>
        <v>7557.7282499999992</v>
      </c>
      <c r="HV17" s="24">
        <f t="shared" si="968"/>
        <v>7557.7282499999992</v>
      </c>
      <c r="HW17" s="24">
        <f t="shared" si="968"/>
        <v>7557.7282499999992</v>
      </c>
      <c r="HX17" s="24">
        <f t="shared" si="968"/>
        <v>7557.7282499999992</v>
      </c>
      <c r="HY17" s="24">
        <f t="shared" si="968"/>
        <v>7557.7282499999992</v>
      </c>
      <c r="HZ17" s="24">
        <f t="shared" si="968"/>
        <v>7557.7282499999992</v>
      </c>
      <c r="IA17" s="24">
        <f t="shared" si="968"/>
        <v>7557.7282499999992</v>
      </c>
      <c r="IB17" s="24">
        <f t="shared" si="968"/>
        <v>7557.7282499999992</v>
      </c>
      <c r="IC17" s="24">
        <f t="shared" si="968"/>
        <v>7557.7282499999992</v>
      </c>
      <c r="ID17" s="24">
        <f t="shared" si="968"/>
        <v>7557.7282499999992</v>
      </c>
      <c r="IE17" s="24">
        <f t="shared" si="968"/>
        <v>7557.7282499999992</v>
      </c>
      <c r="IF17" s="24">
        <f t="shared" si="968"/>
        <v>7557.7282499999992</v>
      </c>
      <c r="IG17" s="24">
        <f t="shared" si="968"/>
        <v>7557.7282499999992</v>
      </c>
      <c r="IH17" s="24">
        <f t="shared" si="968"/>
        <v>7557.7282499999992</v>
      </c>
      <c r="II17" s="24">
        <f t="shared" si="968"/>
        <v>7557.7282499999992</v>
      </c>
      <c r="IJ17" s="24">
        <f t="shared" si="968"/>
        <v>7557.7282499999992</v>
      </c>
      <c r="IK17" s="24">
        <f t="shared" si="968"/>
        <v>7557.7282499999992</v>
      </c>
      <c r="IL17" s="24">
        <f t="shared" si="968"/>
        <v>7557.7282499999992</v>
      </c>
      <c r="IM17" s="24">
        <f t="shared" si="968"/>
        <v>7557.7282499999992</v>
      </c>
      <c r="IN17" s="24">
        <f t="shared" si="968"/>
        <v>7557.7282499999992</v>
      </c>
    </row>
    <row r="18" spans="2:248" x14ac:dyDescent="0.3">
      <c r="B18" s="19" t="s">
        <v>517</v>
      </c>
      <c r="C18" s="42">
        <f>VLOOKUP(B2,S30:T264,2,FALSE)</f>
        <v>60461826</v>
      </c>
      <c r="F18" s="22" t="str">
        <f>"Critically Ill ("&amp;TEXT(C11,"0%")&amp;" inc)"</f>
        <v>Critically Ill (18% inc)</v>
      </c>
      <c r="G18" s="24">
        <f t="shared" ref="G18:BR18" si="969">G7*$C$14</f>
        <v>7.2850000000000001</v>
      </c>
      <c r="H18" s="24">
        <f t="shared" si="969"/>
        <v>10.763</v>
      </c>
      <c r="I18" s="24">
        <f t="shared" si="969"/>
        <v>15.134</v>
      </c>
      <c r="J18" s="24">
        <f t="shared" si="969"/>
        <v>21.291</v>
      </c>
      <c r="K18" s="24">
        <f t="shared" si="969"/>
        <v>30.785</v>
      </c>
      <c r="L18" s="24">
        <f t="shared" si="969"/>
        <v>41.735999999999997</v>
      </c>
      <c r="M18" s="24">
        <f t="shared" si="969"/>
        <v>53.015999999999998</v>
      </c>
      <c r="N18" s="24">
        <f t="shared" si="969"/>
        <v>79.617999999999995</v>
      </c>
      <c r="O18" s="24">
        <f t="shared" si="969"/>
        <v>95.692000000000007</v>
      </c>
      <c r="P18" s="24">
        <f t="shared" si="969"/>
        <v>117.59399999999999</v>
      </c>
      <c r="Q18" s="24">
        <f t="shared" si="969"/>
        <v>145.18299999999999</v>
      </c>
      <c r="R18" s="24">
        <f t="shared" si="969"/>
        <v>181.32599999999999</v>
      </c>
      <c r="S18" s="24">
        <f t="shared" si="969"/>
        <v>210.607</v>
      </c>
      <c r="T18" s="24">
        <f t="shared" si="969"/>
        <v>265.738</v>
      </c>
      <c r="U18" s="24">
        <f t="shared" si="969"/>
        <v>331.49099999999999</v>
      </c>
      <c r="V18" s="24">
        <f t="shared" si="969"/>
        <v>409.79300000000001</v>
      </c>
      <c r="W18" s="24">
        <f t="shared" si="969"/>
        <v>446.21800000000002</v>
      </c>
      <c r="X18" s="24">
        <f t="shared" si="969"/>
        <v>543.97799999999995</v>
      </c>
      <c r="Y18" s="24">
        <f t="shared" si="969"/>
        <v>604.98400000000004</v>
      </c>
      <c r="Z18" s="24">
        <f t="shared" si="969"/>
        <v>750.40200000000004</v>
      </c>
      <c r="AA18" s="24">
        <f t="shared" si="969"/>
        <v>898.68700000000001</v>
      </c>
      <c r="AB18" s="24">
        <f t="shared" si="969"/>
        <v>1045.5150000000001</v>
      </c>
      <c r="AC18" s="24">
        <f t="shared" si="969"/>
        <v>1169.877</v>
      </c>
      <c r="AD18" s="24">
        <f t="shared" si="969"/>
        <v>1299.4559999999999</v>
      </c>
      <c r="AE18" s="24">
        <f t="shared" si="969"/>
        <v>1523.6909855692861</v>
      </c>
      <c r="AF18" s="24">
        <f t="shared" si="969"/>
        <v>1771.8162375301883</v>
      </c>
      <c r="AG18" s="24">
        <f t="shared" si="969"/>
        <v>2062.4496983221416</v>
      </c>
      <c r="AH18" s="24">
        <f t="shared" si="969"/>
        <v>2402.2861419677592</v>
      </c>
      <c r="AI18" s="24">
        <f t="shared" si="969"/>
        <v>2855.3911208571431</v>
      </c>
      <c r="AJ18" s="24">
        <f t="shared" si="969"/>
        <v>3333.5941102389943</v>
      </c>
      <c r="AK18" s="24">
        <f t="shared" si="969"/>
        <v>3951.5916346875797</v>
      </c>
      <c r="AL18" s="24">
        <f t="shared" si="969"/>
        <v>4591.4305318098141</v>
      </c>
      <c r="AM18" s="24">
        <f t="shared" si="969"/>
        <v>5381.9181209168728</v>
      </c>
      <c r="AN18" s="24">
        <f t="shared" si="969"/>
        <v>6336.2059408375098</v>
      </c>
      <c r="AO18" s="24">
        <f t="shared" si="969"/>
        <v>7505.0629515135533</v>
      </c>
      <c r="AP18" s="24">
        <f t="shared" si="969"/>
        <v>8892.7747173190637</v>
      </c>
      <c r="AQ18" s="24">
        <f t="shared" si="969"/>
        <v>10459.004189802141</v>
      </c>
      <c r="AR18" s="24">
        <f t="shared" si="969"/>
        <v>12301.083983298882</v>
      </c>
      <c r="AS18" s="24">
        <f t="shared" si="969"/>
        <v>14467.597910679755</v>
      </c>
      <c r="AT18" s="24">
        <f t="shared" si="969"/>
        <v>17015.686551631243</v>
      </c>
      <c r="AU18" s="24">
        <f t="shared" si="969"/>
        <v>20012.554303132452</v>
      </c>
      <c r="AV18" s="24">
        <f t="shared" si="969"/>
        <v>23537.241857421879</v>
      </c>
      <c r="AW18" s="24">
        <f t="shared" si="969"/>
        <v>27682.71085555818</v>
      </c>
      <c r="AX18" s="24">
        <f t="shared" si="969"/>
        <v>32558.295698134025</v>
      </c>
      <c r="AY18" s="24">
        <f t="shared" si="969"/>
        <v>38292.587178263842</v>
      </c>
      <c r="AZ18" s="24">
        <f t="shared" si="969"/>
        <v>45036.823991035075</v>
      </c>
      <c r="BA18" s="24">
        <f t="shared" si="969"/>
        <v>52968.88156856667</v>
      </c>
      <c r="BB18" s="24">
        <f t="shared" si="969"/>
        <v>62297.963443943983</v>
      </c>
      <c r="BC18" s="24">
        <f t="shared" si="969"/>
        <v>73270.118876100736</v>
      </c>
      <c r="BD18" s="24">
        <f t="shared" si="969"/>
        <v>86174.732259884317</v>
      </c>
      <c r="BE18" s="24">
        <f t="shared" si="969"/>
        <v>101352.15547582509</v>
      </c>
      <c r="BF18" s="24">
        <f t="shared" si="969"/>
        <v>119202.68447851871</v>
      </c>
      <c r="BG18" s="24">
        <f t="shared" si="969"/>
        <v>140197.11687606428</v>
      </c>
      <c r="BH18" s="24">
        <f t="shared" si="969"/>
        <v>164889.16895074499</v>
      </c>
      <c r="BI18" s="24">
        <f t="shared" si="969"/>
        <v>193930.07961285111</v>
      </c>
      <c r="BJ18" s="24">
        <f t="shared" si="969"/>
        <v>228085.78645866751</v>
      </c>
      <c r="BK18" s="24">
        <f t="shared" si="969"/>
        <v>268257.1269414436</v>
      </c>
      <c r="BL18" s="24">
        <f t="shared" si="969"/>
        <v>315503.59744980576</v>
      </c>
      <c r="BM18" s="24">
        <f t="shared" si="969"/>
        <v>371071.29692586954</v>
      </c>
      <c r="BN18" s="24">
        <f t="shared" si="969"/>
        <v>436425.7920201777</v>
      </c>
      <c r="BO18" s="24">
        <f t="shared" si="969"/>
        <v>513290.77058334131</v>
      </c>
      <c r="BP18" s="24">
        <f t="shared" si="969"/>
        <v>603693.50295836595</v>
      </c>
      <c r="BQ18" s="24">
        <f t="shared" si="969"/>
        <v>710018.31008954148</v>
      </c>
      <c r="BR18" s="24">
        <f t="shared" si="969"/>
        <v>835069.44863903173</v>
      </c>
      <c r="BS18" s="24">
        <f t="shared" ref="BS18:ED18" si="970">BS7*$C$14</f>
        <v>973140.26349994633</v>
      </c>
      <c r="BT18" s="24">
        <f t="shared" si="970"/>
        <v>944336.60988159431</v>
      </c>
      <c r="BU18" s="24">
        <f t="shared" si="970"/>
        <v>910459.94669690321</v>
      </c>
      <c r="BV18" s="24">
        <f t="shared" si="970"/>
        <v>870616.79611138883</v>
      </c>
      <c r="BW18" s="24">
        <f t="shared" si="970"/>
        <v>823756.31755937589</v>
      </c>
      <c r="BX18" s="24">
        <f t="shared" si="970"/>
        <v>768642.59241832176</v>
      </c>
      <c r="BY18" s="24">
        <f t="shared" si="970"/>
        <v>703822.02735405031</v>
      </c>
      <c r="BZ18" s="24">
        <f t="shared" si="970"/>
        <v>627585.01661855937</v>
      </c>
      <c r="CA18" s="24">
        <f t="shared" si="970"/>
        <v>537920.85216518666</v>
      </c>
      <c r="CB18" s="24">
        <f t="shared" si="970"/>
        <v>432464.69236092077</v>
      </c>
      <c r="CC18" s="24">
        <f t="shared" si="970"/>
        <v>308435.1906256316</v>
      </c>
      <c r="CD18" s="24">
        <f t="shared" si="970"/>
        <v>162561.13898885064</v>
      </c>
      <c r="CE18" s="24">
        <f t="shared" si="970"/>
        <v>0</v>
      </c>
      <c r="CF18" s="24">
        <f t="shared" si="970"/>
        <v>0</v>
      </c>
      <c r="CG18" s="24">
        <f t="shared" si="970"/>
        <v>0</v>
      </c>
      <c r="CH18" s="24">
        <f t="shared" si="970"/>
        <v>0</v>
      </c>
      <c r="CI18" s="24">
        <f t="shared" si="970"/>
        <v>0</v>
      </c>
      <c r="CJ18" s="24">
        <f t="shared" si="970"/>
        <v>0</v>
      </c>
      <c r="CK18" s="24">
        <f t="shared" si="970"/>
        <v>0</v>
      </c>
      <c r="CL18" s="24">
        <f t="shared" si="970"/>
        <v>0</v>
      </c>
      <c r="CM18" s="24">
        <f t="shared" si="970"/>
        <v>0</v>
      </c>
      <c r="CN18" s="24">
        <f t="shared" si="970"/>
        <v>0</v>
      </c>
      <c r="CO18" s="24">
        <f t="shared" si="970"/>
        <v>0</v>
      </c>
      <c r="CP18" s="24">
        <f t="shared" si="970"/>
        <v>0</v>
      </c>
      <c r="CQ18" s="24">
        <f t="shared" si="970"/>
        <v>0</v>
      </c>
      <c r="CR18" s="24">
        <f t="shared" si="970"/>
        <v>0</v>
      </c>
      <c r="CS18" s="24">
        <f t="shared" si="970"/>
        <v>0</v>
      </c>
      <c r="CT18" s="24">
        <f t="shared" si="970"/>
        <v>0</v>
      </c>
      <c r="CU18" s="24">
        <f t="shared" si="970"/>
        <v>0</v>
      </c>
      <c r="CV18" s="24">
        <f t="shared" si="970"/>
        <v>0</v>
      </c>
      <c r="CW18" s="24">
        <f t="shared" si="970"/>
        <v>0</v>
      </c>
      <c r="CX18" s="24">
        <f t="shared" si="970"/>
        <v>0</v>
      </c>
      <c r="CY18" s="24">
        <f t="shared" si="970"/>
        <v>0</v>
      </c>
      <c r="CZ18" s="24">
        <f t="shared" si="970"/>
        <v>0</v>
      </c>
      <c r="DA18" s="24">
        <f t="shared" si="970"/>
        <v>0</v>
      </c>
      <c r="DB18" s="24">
        <f t="shared" si="970"/>
        <v>0</v>
      </c>
      <c r="DC18" s="24">
        <f t="shared" si="970"/>
        <v>0</v>
      </c>
      <c r="DD18" s="24">
        <f t="shared" si="970"/>
        <v>0</v>
      </c>
      <c r="DE18" s="24">
        <f t="shared" si="970"/>
        <v>0</v>
      </c>
      <c r="DF18" s="24">
        <f t="shared" si="970"/>
        <v>0</v>
      </c>
      <c r="DG18" s="24">
        <f t="shared" si="970"/>
        <v>0</v>
      </c>
      <c r="DH18" s="24">
        <f t="shared" si="970"/>
        <v>0</v>
      </c>
      <c r="DI18" s="24">
        <f t="shared" si="970"/>
        <v>0</v>
      </c>
      <c r="DJ18" s="24">
        <f t="shared" si="970"/>
        <v>0</v>
      </c>
      <c r="DK18" s="24">
        <f t="shared" si="970"/>
        <v>0</v>
      </c>
      <c r="DL18" s="24">
        <f t="shared" si="970"/>
        <v>0</v>
      </c>
      <c r="DM18" s="24">
        <f t="shared" si="970"/>
        <v>0</v>
      </c>
      <c r="DN18" s="24">
        <f t="shared" si="970"/>
        <v>0</v>
      </c>
      <c r="DO18" s="24">
        <f t="shared" si="970"/>
        <v>0</v>
      </c>
      <c r="DP18" s="24">
        <f t="shared" si="970"/>
        <v>0</v>
      </c>
      <c r="DQ18" s="24">
        <f t="shared" si="970"/>
        <v>0</v>
      </c>
      <c r="DR18" s="24">
        <f t="shared" si="970"/>
        <v>0</v>
      </c>
      <c r="DS18" s="24">
        <f t="shared" si="970"/>
        <v>0</v>
      </c>
      <c r="DT18" s="24">
        <f t="shared" si="970"/>
        <v>0</v>
      </c>
      <c r="DU18" s="24">
        <f t="shared" si="970"/>
        <v>0</v>
      </c>
      <c r="DV18" s="24">
        <f t="shared" si="970"/>
        <v>0</v>
      </c>
      <c r="DW18" s="24">
        <f t="shared" si="970"/>
        <v>0</v>
      </c>
      <c r="DX18" s="24">
        <f t="shared" si="970"/>
        <v>0</v>
      </c>
      <c r="DY18" s="24">
        <f t="shared" si="970"/>
        <v>0</v>
      </c>
      <c r="DZ18" s="24">
        <f t="shared" si="970"/>
        <v>0</v>
      </c>
      <c r="EA18" s="24">
        <f t="shared" si="970"/>
        <v>0</v>
      </c>
      <c r="EB18" s="24">
        <f t="shared" si="970"/>
        <v>0</v>
      </c>
      <c r="EC18" s="24">
        <f t="shared" si="970"/>
        <v>0</v>
      </c>
      <c r="ED18" s="24">
        <f t="shared" si="970"/>
        <v>0</v>
      </c>
      <c r="EE18" s="24">
        <f t="shared" ref="EE18:GP18" si="971">EE7*$C$14</f>
        <v>0</v>
      </c>
      <c r="EF18" s="24">
        <f t="shared" si="971"/>
        <v>0</v>
      </c>
      <c r="EG18" s="24">
        <f t="shared" si="971"/>
        <v>0</v>
      </c>
      <c r="EH18" s="24">
        <f t="shared" si="971"/>
        <v>0</v>
      </c>
      <c r="EI18" s="24">
        <f t="shared" si="971"/>
        <v>0</v>
      </c>
      <c r="EJ18" s="24">
        <f t="shared" si="971"/>
        <v>0</v>
      </c>
      <c r="EK18" s="24">
        <f t="shared" si="971"/>
        <v>0</v>
      </c>
      <c r="EL18" s="24">
        <f t="shared" si="971"/>
        <v>0</v>
      </c>
      <c r="EM18" s="24">
        <f t="shared" si="971"/>
        <v>0</v>
      </c>
      <c r="EN18" s="24">
        <f t="shared" si="971"/>
        <v>0</v>
      </c>
      <c r="EO18" s="24">
        <f t="shared" si="971"/>
        <v>0</v>
      </c>
      <c r="EP18" s="24">
        <f t="shared" si="971"/>
        <v>0</v>
      </c>
      <c r="EQ18" s="24">
        <f t="shared" si="971"/>
        <v>0</v>
      </c>
      <c r="ER18" s="24">
        <f t="shared" si="971"/>
        <v>0</v>
      </c>
      <c r="ES18" s="24">
        <f t="shared" si="971"/>
        <v>0</v>
      </c>
      <c r="ET18" s="24">
        <f t="shared" si="971"/>
        <v>0</v>
      </c>
      <c r="EU18" s="24">
        <f t="shared" si="971"/>
        <v>0</v>
      </c>
      <c r="EV18" s="24">
        <f t="shared" si="971"/>
        <v>0</v>
      </c>
      <c r="EW18" s="24">
        <f t="shared" si="971"/>
        <v>0</v>
      </c>
      <c r="EX18" s="24">
        <f t="shared" si="971"/>
        <v>0</v>
      </c>
      <c r="EY18" s="24">
        <f t="shared" si="971"/>
        <v>0</v>
      </c>
      <c r="EZ18" s="24">
        <f t="shared" si="971"/>
        <v>0</v>
      </c>
      <c r="FA18" s="24">
        <f t="shared" si="971"/>
        <v>0</v>
      </c>
      <c r="FB18" s="24">
        <f t="shared" si="971"/>
        <v>0</v>
      </c>
      <c r="FC18" s="24">
        <f t="shared" si="971"/>
        <v>0</v>
      </c>
      <c r="FD18" s="24">
        <f t="shared" si="971"/>
        <v>0</v>
      </c>
      <c r="FE18" s="24">
        <f t="shared" si="971"/>
        <v>0</v>
      </c>
      <c r="FF18" s="24">
        <f t="shared" si="971"/>
        <v>0</v>
      </c>
      <c r="FG18" s="24">
        <f t="shared" si="971"/>
        <v>0</v>
      </c>
      <c r="FH18" s="24">
        <f t="shared" si="971"/>
        <v>0</v>
      </c>
      <c r="FI18" s="24">
        <f t="shared" si="971"/>
        <v>0</v>
      </c>
      <c r="FJ18" s="24">
        <f t="shared" si="971"/>
        <v>0</v>
      </c>
      <c r="FK18" s="24">
        <f t="shared" si="971"/>
        <v>0</v>
      </c>
      <c r="FL18" s="24">
        <f t="shared" si="971"/>
        <v>0</v>
      </c>
      <c r="FM18" s="24">
        <f t="shared" si="971"/>
        <v>0</v>
      </c>
      <c r="FN18" s="24">
        <f t="shared" si="971"/>
        <v>0</v>
      </c>
      <c r="FO18" s="24">
        <f t="shared" si="971"/>
        <v>0</v>
      </c>
      <c r="FP18" s="24">
        <f t="shared" si="971"/>
        <v>0</v>
      </c>
      <c r="FQ18" s="24">
        <f t="shared" si="971"/>
        <v>0</v>
      </c>
      <c r="FR18" s="24">
        <f t="shared" si="971"/>
        <v>0</v>
      </c>
      <c r="FS18" s="24">
        <f t="shared" si="971"/>
        <v>0</v>
      </c>
      <c r="FT18" s="24">
        <f t="shared" si="971"/>
        <v>0</v>
      </c>
      <c r="FU18" s="24">
        <f t="shared" si="971"/>
        <v>0</v>
      </c>
      <c r="FV18" s="24">
        <f t="shared" si="971"/>
        <v>0</v>
      </c>
      <c r="FW18" s="24">
        <f t="shared" si="971"/>
        <v>0</v>
      </c>
      <c r="FX18" s="24">
        <f t="shared" si="971"/>
        <v>0</v>
      </c>
      <c r="FY18" s="24">
        <f t="shared" si="971"/>
        <v>0</v>
      </c>
      <c r="FZ18" s="24">
        <f t="shared" si="971"/>
        <v>0</v>
      </c>
      <c r="GA18" s="24">
        <f t="shared" si="971"/>
        <v>0</v>
      </c>
      <c r="GB18" s="24">
        <f t="shared" si="971"/>
        <v>0</v>
      </c>
      <c r="GC18" s="24">
        <f t="shared" si="971"/>
        <v>0</v>
      </c>
      <c r="GD18" s="24">
        <f t="shared" si="971"/>
        <v>0</v>
      </c>
      <c r="GE18" s="24">
        <f t="shared" si="971"/>
        <v>0</v>
      </c>
      <c r="GF18" s="24">
        <f t="shared" si="971"/>
        <v>0</v>
      </c>
      <c r="GG18" s="24">
        <f t="shared" si="971"/>
        <v>0</v>
      </c>
      <c r="GH18" s="24">
        <f t="shared" si="971"/>
        <v>0</v>
      </c>
      <c r="GI18" s="24">
        <f t="shared" si="971"/>
        <v>0</v>
      </c>
      <c r="GJ18" s="24">
        <f t="shared" si="971"/>
        <v>0</v>
      </c>
      <c r="GK18" s="24">
        <f t="shared" si="971"/>
        <v>0</v>
      </c>
      <c r="GL18" s="24">
        <f t="shared" si="971"/>
        <v>0</v>
      </c>
      <c r="GM18" s="24">
        <f t="shared" si="971"/>
        <v>0</v>
      </c>
      <c r="GN18" s="24">
        <f t="shared" si="971"/>
        <v>0</v>
      </c>
      <c r="GO18" s="24">
        <f t="shared" si="971"/>
        <v>0</v>
      </c>
      <c r="GP18" s="24">
        <f t="shared" si="971"/>
        <v>0</v>
      </c>
      <c r="GQ18" s="24">
        <f t="shared" ref="GQ18:IN18" si="972">GQ7*$C$14</f>
        <v>0</v>
      </c>
      <c r="GR18" s="24">
        <f t="shared" si="972"/>
        <v>0</v>
      </c>
      <c r="GS18" s="24">
        <f t="shared" si="972"/>
        <v>0</v>
      </c>
      <c r="GT18" s="24">
        <f t="shared" si="972"/>
        <v>0</v>
      </c>
      <c r="GU18" s="24">
        <f t="shared" si="972"/>
        <v>0</v>
      </c>
      <c r="GV18" s="24">
        <f t="shared" si="972"/>
        <v>0</v>
      </c>
      <c r="GW18" s="24">
        <f t="shared" si="972"/>
        <v>0</v>
      </c>
      <c r="GX18" s="24">
        <f t="shared" si="972"/>
        <v>0</v>
      </c>
      <c r="GY18" s="24">
        <f t="shared" si="972"/>
        <v>0</v>
      </c>
      <c r="GZ18" s="24">
        <f t="shared" si="972"/>
        <v>0</v>
      </c>
      <c r="HA18" s="24">
        <f t="shared" si="972"/>
        <v>0</v>
      </c>
      <c r="HB18" s="24">
        <f t="shared" si="972"/>
        <v>0</v>
      </c>
      <c r="HC18" s="24">
        <f t="shared" si="972"/>
        <v>0</v>
      </c>
      <c r="HD18" s="24">
        <f t="shared" si="972"/>
        <v>0</v>
      </c>
      <c r="HE18" s="24">
        <f t="shared" si="972"/>
        <v>0</v>
      </c>
      <c r="HF18" s="24">
        <f t="shared" si="972"/>
        <v>0</v>
      </c>
      <c r="HG18" s="24">
        <f t="shared" si="972"/>
        <v>0</v>
      </c>
      <c r="HH18" s="24">
        <f t="shared" si="972"/>
        <v>0</v>
      </c>
      <c r="HI18" s="24">
        <f t="shared" si="972"/>
        <v>0</v>
      </c>
      <c r="HJ18" s="24">
        <f t="shared" si="972"/>
        <v>0</v>
      </c>
      <c r="HK18" s="24">
        <f t="shared" si="972"/>
        <v>0</v>
      </c>
      <c r="HL18" s="24">
        <f t="shared" si="972"/>
        <v>0</v>
      </c>
      <c r="HM18" s="24">
        <f t="shared" si="972"/>
        <v>0</v>
      </c>
      <c r="HN18" s="24">
        <f t="shared" si="972"/>
        <v>0</v>
      </c>
      <c r="HO18" s="24">
        <f t="shared" si="972"/>
        <v>0</v>
      </c>
      <c r="HP18" s="24">
        <f t="shared" si="972"/>
        <v>0</v>
      </c>
      <c r="HQ18" s="24">
        <f t="shared" si="972"/>
        <v>0</v>
      </c>
      <c r="HR18" s="24">
        <f t="shared" si="972"/>
        <v>0</v>
      </c>
      <c r="HS18" s="24">
        <f t="shared" si="972"/>
        <v>0</v>
      </c>
      <c r="HT18" s="24">
        <f t="shared" si="972"/>
        <v>0</v>
      </c>
      <c r="HU18" s="24">
        <f t="shared" si="972"/>
        <v>0</v>
      </c>
      <c r="HV18" s="24">
        <f t="shared" si="972"/>
        <v>0</v>
      </c>
      <c r="HW18" s="24">
        <f t="shared" si="972"/>
        <v>0</v>
      </c>
      <c r="HX18" s="24">
        <f t="shared" si="972"/>
        <v>0</v>
      </c>
      <c r="HY18" s="24">
        <f t="shared" si="972"/>
        <v>0</v>
      </c>
      <c r="HZ18" s="24">
        <f t="shared" si="972"/>
        <v>0</v>
      </c>
      <c r="IA18" s="24">
        <f t="shared" si="972"/>
        <v>0</v>
      </c>
      <c r="IB18" s="24">
        <f t="shared" si="972"/>
        <v>0</v>
      </c>
      <c r="IC18" s="24">
        <f t="shared" si="972"/>
        <v>0</v>
      </c>
      <c r="ID18" s="24">
        <f t="shared" si="972"/>
        <v>0</v>
      </c>
      <c r="IE18" s="24">
        <f t="shared" si="972"/>
        <v>0</v>
      </c>
      <c r="IF18" s="24">
        <f t="shared" si="972"/>
        <v>0</v>
      </c>
      <c r="IG18" s="24">
        <f t="shared" si="972"/>
        <v>0</v>
      </c>
      <c r="IH18" s="24">
        <f t="shared" si="972"/>
        <v>0</v>
      </c>
      <c r="II18" s="24">
        <f t="shared" si="972"/>
        <v>0</v>
      </c>
      <c r="IJ18" s="24">
        <f t="shared" si="972"/>
        <v>0</v>
      </c>
      <c r="IK18" s="24">
        <f t="shared" si="972"/>
        <v>0</v>
      </c>
      <c r="IL18" s="24">
        <f t="shared" si="972"/>
        <v>0</v>
      </c>
      <c r="IM18" s="24">
        <f t="shared" si="972"/>
        <v>0</v>
      </c>
      <c r="IN18" s="24">
        <f t="shared" si="972"/>
        <v>0</v>
      </c>
    </row>
    <row r="19" spans="2:248" x14ac:dyDescent="0.3">
      <c r="B19" s="19" t="s">
        <v>611</v>
      </c>
      <c r="C19" s="53">
        <v>0.4</v>
      </c>
      <c r="F19" s="22" t="s">
        <v>616</v>
      </c>
      <c r="G19" s="24">
        <f t="shared" ref="G19:BR19" si="973">G10*$C$14</f>
        <v>7.2850000000000001</v>
      </c>
      <c r="H19" s="24">
        <f t="shared" si="973"/>
        <v>10.763</v>
      </c>
      <c r="I19" s="24">
        <f t="shared" si="973"/>
        <v>15.134</v>
      </c>
      <c r="J19" s="24">
        <f t="shared" si="973"/>
        <v>21.291</v>
      </c>
      <c r="K19" s="24">
        <f t="shared" si="973"/>
        <v>30.785</v>
      </c>
      <c r="L19" s="24">
        <f t="shared" si="973"/>
        <v>41.735999999999997</v>
      </c>
      <c r="M19" s="24">
        <f t="shared" si="973"/>
        <v>53.015999999999998</v>
      </c>
      <c r="N19" s="24">
        <f t="shared" si="973"/>
        <v>79.617999999999995</v>
      </c>
      <c r="O19" s="24">
        <f t="shared" si="973"/>
        <v>95.692000000000007</v>
      </c>
      <c r="P19" s="24">
        <f t="shared" si="973"/>
        <v>117.59399999999999</v>
      </c>
      <c r="Q19" s="24">
        <f t="shared" si="973"/>
        <v>145.18299999999999</v>
      </c>
      <c r="R19" s="24">
        <f t="shared" si="973"/>
        <v>181.32599999999999</v>
      </c>
      <c r="S19" s="24">
        <f t="shared" si="973"/>
        <v>210.607</v>
      </c>
      <c r="T19" s="24">
        <f t="shared" si="973"/>
        <v>265.738</v>
      </c>
      <c r="U19" s="24">
        <f t="shared" si="973"/>
        <v>331.49099999999999</v>
      </c>
      <c r="V19" s="24">
        <f t="shared" si="973"/>
        <v>409.79300000000001</v>
      </c>
      <c r="W19" s="24">
        <f t="shared" si="973"/>
        <v>446.21800000000002</v>
      </c>
      <c r="X19" s="24">
        <f t="shared" si="973"/>
        <v>543.97799999999995</v>
      </c>
      <c r="Y19" s="24">
        <f t="shared" si="973"/>
        <v>604.98400000000004</v>
      </c>
      <c r="Z19" s="24">
        <f t="shared" si="973"/>
        <v>750.40200000000004</v>
      </c>
      <c r="AA19" s="24">
        <f t="shared" si="973"/>
        <v>898.68700000000001</v>
      </c>
      <c r="AB19" s="24">
        <f t="shared" si="973"/>
        <v>1045.5150000000001</v>
      </c>
      <c r="AC19" s="24">
        <f t="shared" si="973"/>
        <v>1169.877</v>
      </c>
      <c r="AD19" s="24">
        <f t="shared" si="973"/>
        <v>1299.4559999999999</v>
      </c>
      <c r="AE19" s="24">
        <f t="shared" si="973"/>
        <v>1410.9682000000003</v>
      </c>
      <c r="AF19" s="24">
        <f t="shared" si="973"/>
        <v>1515.2452200000005</v>
      </c>
      <c r="AG19" s="24">
        <f t="shared" si="973"/>
        <v>1624.2958420000004</v>
      </c>
      <c r="AH19" s="24">
        <f t="shared" si="973"/>
        <v>1736.9289262000007</v>
      </c>
      <c r="AI19" s="24">
        <f t="shared" si="973"/>
        <v>1907.8112188200012</v>
      </c>
      <c r="AJ19" s="24">
        <f t="shared" si="973"/>
        <v>2037.5816407020013</v>
      </c>
      <c r="AK19" s="24">
        <f t="shared" si="973"/>
        <v>2227.6252047722014</v>
      </c>
      <c r="AL19" s="24">
        <f t="shared" si="973"/>
        <v>2344.1677252494219</v>
      </c>
      <c r="AM19" s="24">
        <f t="shared" si="973"/>
        <v>2497.2274977743641</v>
      </c>
      <c r="AN19" s="24">
        <f t="shared" si="973"/>
        <v>2677.658147551801</v>
      </c>
      <c r="AO19" s="24">
        <f t="shared" si="973"/>
        <v>2909.7838623069815</v>
      </c>
      <c r="AP19" s="24">
        <f t="shared" si="973"/>
        <v>3166.5462485376802</v>
      </c>
      <c r="AQ19" s="24">
        <f t="shared" si="973"/>
        <v>3483.2008733914481</v>
      </c>
      <c r="AR19" s="24">
        <f t="shared" si="973"/>
        <v>3831.5209607305928</v>
      </c>
      <c r="AS19" s="24">
        <f t="shared" si="973"/>
        <v>4214.6730568036528</v>
      </c>
      <c r="AT19" s="24">
        <f t="shared" si="973"/>
        <v>4636.1403624840186</v>
      </c>
      <c r="AU19" s="24">
        <f t="shared" si="973"/>
        <v>5099.7543987324207</v>
      </c>
      <c r="AV19" s="24">
        <f t="shared" si="973"/>
        <v>5609.7298386056627</v>
      </c>
      <c r="AW19" s="24">
        <f t="shared" si="973"/>
        <v>6170.7028224662299</v>
      </c>
      <c r="AX19" s="24">
        <f t="shared" si="973"/>
        <v>6787.7731047128527</v>
      </c>
      <c r="AY19" s="24">
        <f t="shared" si="973"/>
        <v>7466.5504151841378</v>
      </c>
      <c r="AZ19" s="24">
        <f t="shared" si="973"/>
        <v>8213.2054567025534</v>
      </c>
      <c r="BA19" s="24">
        <f t="shared" si="973"/>
        <v>9034.5260023728079</v>
      </c>
      <c r="BB19" s="24">
        <f t="shared" si="973"/>
        <v>9937.9786026100901</v>
      </c>
      <c r="BC19" s="24">
        <f t="shared" si="973"/>
        <v>10931.776462871101</v>
      </c>
      <c r="BD19" s="24">
        <f t="shared" si="973"/>
        <v>12024.954109158212</v>
      </c>
      <c r="BE19" s="24">
        <f t="shared" si="973"/>
        <v>13227.449520074033</v>
      </c>
      <c r="BF19" s="24">
        <f t="shared" si="973"/>
        <v>14550.194472081437</v>
      </c>
      <c r="BG19" s="24">
        <f t="shared" si="973"/>
        <v>16005.213919289583</v>
      </c>
      <c r="BH19" s="24">
        <f t="shared" si="973"/>
        <v>17605.735311218545</v>
      </c>
      <c r="BI19" s="24">
        <f t="shared" si="973"/>
        <v>19366.308842340404</v>
      </c>
      <c r="BJ19" s="24">
        <f t="shared" si="973"/>
        <v>21302.939726574448</v>
      </c>
      <c r="BK19" s="24">
        <f t="shared" si="973"/>
        <v>23433.233699231892</v>
      </c>
      <c r="BL19" s="24">
        <f t="shared" si="973"/>
        <v>25776.557069155082</v>
      </c>
      <c r="BM19" s="24">
        <f t="shared" si="973"/>
        <v>28354.212776070599</v>
      </c>
      <c r="BN19" s="24">
        <f t="shared" si="973"/>
        <v>31189.634053677662</v>
      </c>
      <c r="BO19" s="24">
        <f t="shared" si="973"/>
        <v>34308.597459045421</v>
      </c>
      <c r="BP19" s="24">
        <f t="shared" si="973"/>
        <v>37739.457204949969</v>
      </c>
      <c r="BQ19" s="24">
        <f t="shared" si="973"/>
        <v>41513.402925444971</v>
      </c>
      <c r="BR19" s="24">
        <f t="shared" si="973"/>
        <v>45664.743217989482</v>
      </c>
      <c r="BS19" s="24">
        <f t="shared" ref="BS19:ED19" si="974">BS10*$C$14</f>
        <v>50231.217539788435</v>
      </c>
      <c r="BT19" s="24">
        <f t="shared" si="974"/>
        <v>55254.339293767276</v>
      </c>
      <c r="BU19" s="24">
        <f t="shared" si="974"/>
        <v>60779.773223144002</v>
      </c>
      <c r="BV19" s="24">
        <f t="shared" si="974"/>
        <v>66857.750545458402</v>
      </c>
      <c r="BW19" s="24">
        <f t="shared" si="974"/>
        <v>73543.525600004257</v>
      </c>
      <c r="BX19" s="24">
        <f t="shared" si="974"/>
        <v>80897.878160004708</v>
      </c>
      <c r="BY19" s="24">
        <f t="shared" si="974"/>
        <v>88987.665976005184</v>
      </c>
      <c r="BZ19" s="24">
        <f t="shared" si="974"/>
        <v>97886.432573605707</v>
      </c>
      <c r="CA19" s="24">
        <f t="shared" si="974"/>
        <v>107675.07583096631</v>
      </c>
      <c r="CB19" s="24">
        <f t="shared" si="974"/>
        <v>118442.58341406294</v>
      </c>
      <c r="CC19" s="24">
        <f t="shared" si="974"/>
        <v>130286.84175546926</v>
      </c>
      <c r="CD19" s="24">
        <f t="shared" si="974"/>
        <v>143315.52593101619</v>
      </c>
      <c r="CE19" s="24">
        <f t="shared" si="974"/>
        <v>157647.07852411782</v>
      </c>
      <c r="CF19" s="24">
        <f t="shared" si="974"/>
        <v>173411.78637652961</v>
      </c>
      <c r="CG19" s="24">
        <f t="shared" si="974"/>
        <v>190752.96501418258</v>
      </c>
      <c r="CH19" s="24">
        <f t="shared" si="974"/>
        <v>209828.26151560087</v>
      </c>
      <c r="CI19" s="24">
        <f t="shared" si="974"/>
        <v>230811.08766716099</v>
      </c>
      <c r="CJ19" s="24">
        <f t="shared" si="974"/>
        <v>253892.19643387705</v>
      </c>
      <c r="CK19" s="24">
        <f t="shared" si="974"/>
        <v>279281.41607726476</v>
      </c>
      <c r="CL19" s="24">
        <f t="shared" si="974"/>
        <v>307209.55768499128</v>
      </c>
      <c r="CM19" s="24">
        <f t="shared" si="974"/>
        <v>337930.51345349039</v>
      </c>
      <c r="CN19" s="24">
        <f t="shared" si="974"/>
        <v>371723.56479883945</v>
      </c>
      <c r="CO19" s="24">
        <f t="shared" si="974"/>
        <v>408895.9212787234</v>
      </c>
      <c r="CP19" s="24">
        <f t="shared" si="974"/>
        <v>449785.51340659574</v>
      </c>
      <c r="CQ19" s="24">
        <f t="shared" si="974"/>
        <v>494764.06474725535</v>
      </c>
      <c r="CR19" s="24">
        <f t="shared" si="974"/>
        <v>544240.47122198099</v>
      </c>
      <c r="CS19" s="24">
        <f t="shared" si="974"/>
        <v>598664.51834417915</v>
      </c>
      <c r="CT19" s="24">
        <f t="shared" si="974"/>
        <v>658530.97017859714</v>
      </c>
      <c r="CU19" s="24">
        <f t="shared" si="974"/>
        <v>724384.06719645683</v>
      </c>
      <c r="CV19" s="24">
        <f t="shared" si="974"/>
        <v>764061.72453270887</v>
      </c>
      <c r="CW19" s="24">
        <f t="shared" si="974"/>
        <v>726799.66410597973</v>
      </c>
      <c r="CX19" s="24">
        <f t="shared" si="974"/>
        <v>685811.39763657772</v>
      </c>
      <c r="CY19" s="24">
        <f t="shared" si="974"/>
        <v>640724.30452023551</v>
      </c>
      <c r="CZ19" s="24">
        <f t="shared" si="974"/>
        <v>591128.50209225889</v>
      </c>
      <c r="DA19" s="24">
        <f t="shared" si="974"/>
        <v>536573.11942148476</v>
      </c>
      <c r="DB19" s="24">
        <f t="shared" si="974"/>
        <v>476562.19848363317</v>
      </c>
      <c r="DC19" s="24">
        <f t="shared" si="974"/>
        <v>410550.18545199645</v>
      </c>
      <c r="DD19" s="24">
        <f t="shared" si="974"/>
        <v>337936.97111719608</v>
      </c>
      <c r="DE19" s="24">
        <f t="shared" si="974"/>
        <v>258062.43534891552</v>
      </c>
      <c r="DF19" s="24">
        <f t="shared" si="974"/>
        <v>170200.44600380701</v>
      </c>
      <c r="DG19" s="24">
        <f t="shared" si="974"/>
        <v>73552.25772418757</v>
      </c>
      <c r="DH19" s="24">
        <f t="shared" si="974"/>
        <v>0</v>
      </c>
      <c r="DI19" s="24">
        <f t="shared" si="974"/>
        <v>0</v>
      </c>
      <c r="DJ19" s="24">
        <f t="shared" si="974"/>
        <v>0</v>
      </c>
      <c r="DK19" s="24">
        <f t="shared" si="974"/>
        <v>0</v>
      </c>
      <c r="DL19" s="24">
        <f t="shared" si="974"/>
        <v>0</v>
      </c>
      <c r="DM19" s="24">
        <f t="shared" si="974"/>
        <v>0</v>
      </c>
      <c r="DN19" s="24">
        <f t="shared" si="974"/>
        <v>0</v>
      </c>
      <c r="DO19" s="24">
        <f t="shared" si="974"/>
        <v>0</v>
      </c>
      <c r="DP19" s="24">
        <f t="shared" si="974"/>
        <v>0</v>
      </c>
      <c r="DQ19" s="24">
        <f t="shared" si="974"/>
        <v>0</v>
      </c>
      <c r="DR19" s="24">
        <f t="shared" si="974"/>
        <v>0</v>
      </c>
      <c r="DS19" s="24">
        <f t="shared" si="974"/>
        <v>0</v>
      </c>
      <c r="DT19" s="24">
        <f t="shared" si="974"/>
        <v>0</v>
      </c>
      <c r="DU19" s="24">
        <f t="shared" si="974"/>
        <v>0</v>
      </c>
      <c r="DV19" s="24">
        <f t="shared" si="974"/>
        <v>0</v>
      </c>
      <c r="DW19" s="24">
        <f t="shared" si="974"/>
        <v>0</v>
      </c>
      <c r="DX19" s="24">
        <f t="shared" si="974"/>
        <v>0</v>
      </c>
      <c r="DY19" s="24">
        <f t="shared" si="974"/>
        <v>0</v>
      </c>
      <c r="DZ19" s="24">
        <f t="shared" si="974"/>
        <v>0</v>
      </c>
      <c r="EA19" s="24">
        <f t="shared" si="974"/>
        <v>0</v>
      </c>
      <c r="EB19" s="24">
        <f t="shared" si="974"/>
        <v>0</v>
      </c>
      <c r="EC19" s="24">
        <f t="shared" si="974"/>
        <v>0</v>
      </c>
      <c r="ED19" s="24">
        <f t="shared" si="974"/>
        <v>0</v>
      </c>
      <c r="EE19" s="24">
        <f t="shared" ref="EE19:GP19" si="975">EE10*$C$14</f>
        <v>0</v>
      </c>
      <c r="EF19" s="24">
        <f t="shared" si="975"/>
        <v>0</v>
      </c>
      <c r="EG19" s="24">
        <f t="shared" si="975"/>
        <v>0</v>
      </c>
      <c r="EH19" s="24">
        <f t="shared" si="975"/>
        <v>0</v>
      </c>
      <c r="EI19" s="24">
        <f t="shared" si="975"/>
        <v>0</v>
      </c>
      <c r="EJ19" s="24">
        <f t="shared" si="975"/>
        <v>0</v>
      </c>
      <c r="EK19" s="24">
        <f t="shared" si="975"/>
        <v>0</v>
      </c>
      <c r="EL19" s="24">
        <f t="shared" si="975"/>
        <v>0</v>
      </c>
      <c r="EM19" s="24">
        <f t="shared" si="975"/>
        <v>0</v>
      </c>
      <c r="EN19" s="24">
        <f t="shared" si="975"/>
        <v>0</v>
      </c>
      <c r="EO19" s="24">
        <f t="shared" si="975"/>
        <v>0</v>
      </c>
      <c r="EP19" s="24">
        <f t="shared" si="975"/>
        <v>0</v>
      </c>
      <c r="EQ19" s="24">
        <f t="shared" si="975"/>
        <v>0</v>
      </c>
      <c r="ER19" s="24">
        <f t="shared" si="975"/>
        <v>0</v>
      </c>
      <c r="ES19" s="24">
        <f t="shared" si="975"/>
        <v>0</v>
      </c>
      <c r="ET19" s="24">
        <f t="shared" si="975"/>
        <v>0</v>
      </c>
      <c r="EU19" s="24">
        <f t="shared" si="975"/>
        <v>0</v>
      </c>
      <c r="EV19" s="24">
        <f t="shared" si="975"/>
        <v>0</v>
      </c>
      <c r="EW19" s="24">
        <f t="shared" si="975"/>
        <v>0</v>
      </c>
      <c r="EX19" s="24">
        <f t="shared" si="975"/>
        <v>0</v>
      </c>
      <c r="EY19" s="24">
        <f t="shared" si="975"/>
        <v>0</v>
      </c>
      <c r="EZ19" s="24">
        <f t="shared" si="975"/>
        <v>0</v>
      </c>
      <c r="FA19" s="24">
        <f t="shared" si="975"/>
        <v>0</v>
      </c>
      <c r="FB19" s="24">
        <f t="shared" si="975"/>
        <v>0</v>
      </c>
      <c r="FC19" s="24">
        <f t="shared" si="975"/>
        <v>0</v>
      </c>
      <c r="FD19" s="24">
        <f t="shared" si="975"/>
        <v>0</v>
      </c>
      <c r="FE19" s="24">
        <f t="shared" si="975"/>
        <v>0</v>
      </c>
      <c r="FF19" s="24">
        <f t="shared" si="975"/>
        <v>0</v>
      </c>
      <c r="FG19" s="24">
        <f t="shared" si="975"/>
        <v>0</v>
      </c>
      <c r="FH19" s="24">
        <f t="shared" si="975"/>
        <v>0</v>
      </c>
      <c r="FI19" s="24">
        <f t="shared" si="975"/>
        <v>0</v>
      </c>
      <c r="FJ19" s="24">
        <f t="shared" si="975"/>
        <v>0</v>
      </c>
      <c r="FK19" s="24">
        <f t="shared" si="975"/>
        <v>0</v>
      </c>
      <c r="FL19" s="24">
        <f t="shared" si="975"/>
        <v>0</v>
      </c>
      <c r="FM19" s="24">
        <f t="shared" si="975"/>
        <v>0</v>
      </c>
      <c r="FN19" s="24">
        <f t="shared" si="975"/>
        <v>0</v>
      </c>
      <c r="FO19" s="24">
        <f t="shared" si="975"/>
        <v>0</v>
      </c>
      <c r="FP19" s="24">
        <f t="shared" si="975"/>
        <v>0</v>
      </c>
      <c r="FQ19" s="24">
        <f t="shared" si="975"/>
        <v>0</v>
      </c>
      <c r="FR19" s="24">
        <f t="shared" si="975"/>
        <v>0</v>
      </c>
      <c r="FS19" s="24">
        <f t="shared" si="975"/>
        <v>0</v>
      </c>
      <c r="FT19" s="24">
        <f t="shared" si="975"/>
        <v>0</v>
      </c>
      <c r="FU19" s="24">
        <f t="shared" si="975"/>
        <v>0</v>
      </c>
      <c r="FV19" s="24">
        <f t="shared" si="975"/>
        <v>0</v>
      </c>
      <c r="FW19" s="24">
        <f t="shared" si="975"/>
        <v>0</v>
      </c>
      <c r="FX19" s="24">
        <f t="shared" si="975"/>
        <v>0</v>
      </c>
      <c r="FY19" s="24">
        <f t="shared" si="975"/>
        <v>0</v>
      </c>
      <c r="FZ19" s="24">
        <f t="shared" si="975"/>
        <v>0</v>
      </c>
      <c r="GA19" s="24">
        <f t="shared" si="975"/>
        <v>0</v>
      </c>
      <c r="GB19" s="24">
        <f t="shared" si="975"/>
        <v>0</v>
      </c>
      <c r="GC19" s="24">
        <f t="shared" si="975"/>
        <v>0</v>
      </c>
      <c r="GD19" s="24">
        <f t="shared" si="975"/>
        <v>0</v>
      </c>
      <c r="GE19" s="24">
        <f t="shared" si="975"/>
        <v>0</v>
      </c>
      <c r="GF19" s="24">
        <f t="shared" si="975"/>
        <v>0</v>
      </c>
      <c r="GG19" s="24">
        <f t="shared" si="975"/>
        <v>0</v>
      </c>
      <c r="GH19" s="24">
        <f t="shared" si="975"/>
        <v>0</v>
      </c>
      <c r="GI19" s="24">
        <f t="shared" si="975"/>
        <v>0</v>
      </c>
      <c r="GJ19" s="24">
        <f t="shared" si="975"/>
        <v>0</v>
      </c>
      <c r="GK19" s="24">
        <f t="shared" si="975"/>
        <v>0</v>
      </c>
      <c r="GL19" s="24">
        <f t="shared" si="975"/>
        <v>0</v>
      </c>
      <c r="GM19" s="24">
        <f t="shared" si="975"/>
        <v>0</v>
      </c>
      <c r="GN19" s="24">
        <f t="shared" si="975"/>
        <v>0</v>
      </c>
      <c r="GO19" s="24">
        <f t="shared" si="975"/>
        <v>0</v>
      </c>
      <c r="GP19" s="24">
        <f t="shared" si="975"/>
        <v>0</v>
      </c>
      <c r="GQ19" s="24">
        <f t="shared" ref="GQ19:IN19" si="976">GQ10*$C$14</f>
        <v>0</v>
      </c>
      <c r="GR19" s="24">
        <f t="shared" si="976"/>
        <v>0</v>
      </c>
      <c r="GS19" s="24">
        <f t="shared" si="976"/>
        <v>0</v>
      </c>
      <c r="GT19" s="24">
        <f t="shared" si="976"/>
        <v>0</v>
      </c>
      <c r="GU19" s="24">
        <f t="shared" si="976"/>
        <v>0</v>
      </c>
      <c r="GV19" s="24">
        <f t="shared" si="976"/>
        <v>0</v>
      </c>
      <c r="GW19" s="24">
        <f t="shared" si="976"/>
        <v>0</v>
      </c>
      <c r="GX19" s="24">
        <f t="shared" si="976"/>
        <v>0</v>
      </c>
      <c r="GY19" s="24">
        <f t="shared" si="976"/>
        <v>0</v>
      </c>
      <c r="GZ19" s="24">
        <f t="shared" si="976"/>
        <v>0</v>
      </c>
      <c r="HA19" s="24">
        <f t="shared" si="976"/>
        <v>0</v>
      </c>
      <c r="HB19" s="24">
        <f t="shared" si="976"/>
        <v>0</v>
      </c>
      <c r="HC19" s="24">
        <f t="shared" si="976"/>
        <v>0</v>
      </c>
      <c r="HD19" s="24">
        <f t="shared" si="976"/>
        <v>0</v>
      </c>
      <c r="HE19" s="24">
        <f t="shared" si="976"/>
        <v>0</v>
      </c>
      <c r="HF19" s="24">
        <f t="shared" si="976"/>
        <v>0</v>
      </c>
      <c r="HG19" s="24">
        <f t="shared" si="976"/>
        <v>0</v>
      </c>
      <c r="HH19" s="24">
        <f t="shared" si="976"/>
        <v>0</v>
      </c>
      <c r="HI19" s="24">
        <f t="shared" si="976"/>
        <v>0</v>
      </c>
      <c r="HJ19" s="24">
        <f t="shared" si="976"/>
        <v>0</v>
      </c>
      <c r="HK19" s="24">
        <f t="shared" si="976"/>
        <v>0</v>
      </c>
      <c r="HL19" s="24">
        <f t="shared" si="976"/>
        <v>0</v>
      </c>
      <c r="HM19" s="24">
        <f t="shared" si="976"/>
        <v>0</v>
      </c>
      <c r="HN19" s="24">
        <f t="shared" si="976"/>
        <v>0</v>
      </c>
      <c r="HO19" s="24">
        <f t="shared" si="976"/>
        <v>0</v>
      </c>
      <c r="HP19" s="24">
        <f t="shared" si="976"/>
        <v>0</v>
      </c>
      <c r="HQ19" s="24">
        <f t="shared" si="976"/>
        <v>0</v>
      </c>
      <c r="HR19" s="24">
        <f t="shared" si="976"/>
        <v>0</v>
      </c>
      <c r="HS19" s="24">
        <f t="shared" si="976"/>
        <v>0</v>
      </c>
      <c r="HT19" s="24">
        <f t="shared" si="976"/>
        <v>0</v>
      </c>
      <c r="HU19" s="24">
        <f t="shared" si="976"/>
        <v>0</v>
      </c>
      <c r="HV19" s="24">
        <f t="shared" si="976"/>
        <v>0</v>
      </c>
      <c r="HW19" s="24">
        <f t="shared" si="976"/>
        <v>0</v>
      </c>
      <c r="HX19" s="24">
        <f t="shared" si="976"/>
        <v>0</v>
      </c>
      <c r="HY19" s="24">
        <f t="shared" si="976"/>
        <v>0</v>
      </c>
      <c r="HZ19" s="24">
        <f t="shared" si="976"/>
        <v>0</v>
      </c>
      <c r="IA19" s="24">
        <f t="shared" si="976"/>
        <v>0</v>
      </c>
      <c r="IB19" s="24">
        <f t="shared" si="976"/>
        <v>0</v>
      </c>
      <c r="IC19" s="24">
        <f t="shared" si="976"/>
        <v>0</v>
      </c>
      <c r="ID19" s="24">
        <f t="shared" si="976"/>
        <v>0</v>
      </c>
      <c r="IE19" s="24">
        <f t="shared" si="976"/>
        <v>0</v>
      </c>
      <c r="IF19" s="24">
        <f t="shared" si="976"/>
        <v>0</v>
      </c>
      <c r="IG19" s="24">
        <f t="shared" si="976"/>
        <v>0</v>
      </c>
      <c r="IH19" s="24">
        <f t="shared" si="976"/>
        <v>0</v>
      </c>
      <c r="II19" s="24">
        <f t="shared" si="976"/>
        <v>0</v>
      </c>
      <c r="IJ19" s="24">
        <f t="shared" si="976"/>
        <v>0</v>
      </c>
      <c r="IK19" s="24">
        <f t="shared" si="976"/>
        <v>0</v>
      </c>
      <c r="IL19" s="24">
        <f t="shared" si="976"/>
        <v>0</v>
      </c>
      <c r="IM19" s="24">
        <f t="shared" si="976"/>
        <v>0</v>
      </c>
      <c r="IN19" s="24">
        <f t="shared" si="976"/>
        <v>0</v>
      </c>
    </row>
    <row r="20" spans="2:248" x14ac:dyDescent="0.3">
      <c r="B20" s="19" t="s">
        <v>613</v>
      </c>
      <c r="C20" s="42">
        <f>C19*C18</f>
        <v>24184730.400000002</v>
      </c>
      <c r="F20" s="22" t="s">
        <v>620</v>
      </c>
      <c r="G20" s="24">
        <f t="shared" ref="G20:BR20" si="977">G12*$C$14</f>
        <v>7.2850000000000001</v>
      </c>
      <c r="H20" s="24">
        <f t="shared" si="977"/>
        <v>10.763</v>
      </c>
      <c r="I20" s="24">
        <f t="shared" si="977"/>
        <v>15.134</v>
      </c>
      <c r="J20" s="24">
        <f t="shared" si="977"/>
        <v>21.291</v>
      </c>
      <c r="K20" s="24">
        <f t="shared" si="977"/>
        <v>30.785</v>
      </c>
      <c r="L20" s="24">
        <f t="shared" si="977"/>
        <v>41.735999999999997</v>
      </c>
      <c r="M20" s="24">
        <f t="shared" si="977"/>
        <v>53.015999999999998</v>
      </c>
      <c r="N20" s="24">
        <f t="shared" si="977"/>
        <v>79.617999999999995</v>
      </c>
      <c r="O20" s="24">
        <f t="shared" si="977"/>
        <v>95.692000000000007</v>
      </c>
      <c r="P20" s="24">
        <f t="shared" si="977"/>
        <v>117.59399999999999</v>
      </c>
      <c r="Q20" s="24">
        <f t="shared" si="977"/>
        <v>145.18299999999999</v>
      </c>
      <c r="R20" s="24">
        <f t="shared" si="977"/>
        <v>181.32599999999999</v>
      </c>
      <c r="S20" s="24">
        <f t="shared" si="977"/>
        <v>210.607</v>
      </c>
      <c r="T20" s="24">
        <f t="shared" si="977"/>
        <v>265.738</v>
      </c>
      <c r="U20" s="24">
        <f t="shared" si="977"/>
        <v>331.49099999999999</v>
      </c>
      <c r="V20" s="24">
        <f t="shared" si="977"/>
        <v>409.79300000000001</v>
      </c>
      <c r="W20" s="24">
        <f t="shared" si="977"/>
        <v>446.21800000000002</v>
      </c>
      <c r="X20" s="24">
        <f t="shared" si="977"/>
        <v>543.97799999999995</v>
      </c>
      <c r="Y20" s="24">
        <f t="shared" si="977"/>
        <v>604.98400000000004</v>
      </c>
      <c r="Z20" s="24">
        <f t="shared" si="977"/>
        <v>750.40200000000004</v>
      </c>
      <c r="AA20" s="24">
        <f t="shared" si="977"/>
        <v>898.68700000000001</v>
      </c>
      <c r="AB20" s="24">
        <f t="shared" si="977"/>
        <v>1045.5150000000001</v>
      </c>
      <c r="AC20" s="24">
        <f t="shared" si="977"/>
        <v>1169.877</v>
      </c>
      <c r="AD20" s="24">
        <f t="shared" si="977"/>
        <v>1299.4559999999999</v>
      </c>
      <c r="AE20" s="24">
        <f t="shared" si="977"/>
        <v>1633.0854999999999</v>
      </c>
      <c r="AF20" s="24">
        <f t="shared" si="977"/>
        <v>2037.220875</v>
      </c>
      <c r="AG20" s="24">
        <f t="shared" si="977"/>
        <v>2545.52734375</v>
      </c>
      <c r="AH20" s="24">
        <f t="shared" si="977"/>
        <v>3184.1064296875002</v>
      </c>
      <c r="AI20" s="24">
        <f t="shared" si="977"/>
        <v>4041.9850371093748</v>
      </c>
      <c r="AJ20" s="24">
        <f t="shared" si="977"/>
        <v>5063.0210463867188</v>
      </c>
      <c r="AK20" s="24">
        <f t="shared" si="977"/>
        <v>6402.9188079833984</v>
      </c>
      <c r="AL20" s="24">
        <f t="shared" si="977"/>
        <v>7996.1285099792485</v>
      </c>
      <c r="AM20" s="24">
        <f t="shared" si="977"/>
        <v>10038.306637474059</v>
      </c>
      <c r="AN20" s="24">
        <f t="shared" si="977"/>
        <v>12627.748046842575</v>
      </c>
      <c r="AO20" s="24">
        <f t="shared" si="977"/>
        <v>15923.511308553219</v>
      </c>
      <c r="AP20" s="24">
        <f t="shared" si="977"/>
        <v>20067.432135691524</v>
      </c>
      <c r="AQ20" s="24">
        <f t="shared" si="977"/>
        <v>25084.290169614404</v>
      </c>
      <c r="AR20" s="24">
        <f t="shared" si="977"/>
        <v>31355.362712018006</v>
      </c>
      <c r="AS20" s="24">
        <f t="shared" si="977"/>
        <v>39194.203390022507</v>
      </c>
      <c r="AT20" s="24">
        <f t="shared" si="977"/>
        <v>48992.754237528134</v>
      </c>
      <c r="AU20" s="24">
        <f t="shared" si="977"/>
        <v>61240.94279691016</v>
      </c>
      <c r="AV20" s="24">
        <f t="shared" si="977"/>
        <v>76551.178496137713</v>
      </c>
      <c r="AW20" s="24">
        <f t="shared" si="977"/>
        <v>95688.97312017213</v>
      </c>
      <c r="AX20" s="24">
        <f t="shared" si="977"/>
        <v>119611.21640021514</v>
      </c>
      <c r="AY20" s="24">
        <f t="shared" si="977"/>
        <v>149514.02050026893</v>
      </c>
      <c r="AZ20" s="24">
        <f t="shared" si="977"/>
        <v>186892.52562533616</v>
      </c>
      <c r="BA20" s="24">
        <f t="shared" si="977"/>
        <v>233615.65703167018</v>
      </c>
      <c r="BB20" s="24">
        <f t="shared" si="977"/>
        <v>292019.57128958777</v>
      </c>
      <c r="BC20" s="24">
        <f t="shared" si="977"/>
        <v>365024.46411198471</v>
      </c>
      <c r="BD20" s="24">
        <f t="shared" si="977"/>
        <v>456280.58013998088</v>
      </c>
      <c r="BE20" s="24">
        <f t="shared" si="977"/>
        <v>570350.72517497605</v>
      </c>
      <c r="BF20" s="24">
        <f t="shared" si="977"/>
        <v>712938.40646872018</v>
      </c>
      <c r="BG20" s="24">
        <f t="shared" si="977"/>
        <v>891173.00808590034</v>
      </c>
      <c r="BH20" s="24">
        <f t="shared" si="977"/>
        <v>1054482.4152574758</v>
      </c>
      <c r="BI20" s="24">
        <f t="shared" si="977"/>
        <v>1033932.4368718446</v>
      </c>
      <c r="BJ20" s="24">
        <f t="shared" si="977"/>
        <v>1008244.9638898058</v>
      </c>
      <c r="BK20" s="24">
        <f t="shared" si="977"/>
        <v>976135.62266225705</v>
      </c>
      <c r="BL20" s="24">
        <f t="shared" si="977"/>
        <v>935998.94612782134</v>
      </c>
      <c r="BM20" s="24">
        <f t="shared" si="977"/>
        <v>885828.10045977682</v>
      </c>
      <c r="BN20" s="24">
        <f t="shared" si="977"/>
        <v>823114.54337472084</v>
      </c>
      <c r="BO20" s="24">
        <f t="shared" si="977"/>
        <v>744722.59701840102</v>
      </c>
      <c r="BP20" s="24">
        <f t="shared" si="977"/>
        <v>646732.66407300124</v>
      </c>
      <c r="BQ20" s="24">
        <f t="shared" si="977"/>
        <v>524245.24789125152</v>
      </c>
      <c r="BR20" s="24">
        <f t="shared" si="977"/>
        <v>371135.97766406432</v>
      </c>
      <c r="BS20" s="24">
        <f t="shared" ref="BS20:ED20" si="978">BS12*$C$14</f>
        <v>179749.38988008033</v>
      </c>
      <c r="BT20" s="24">
        <f t="shared" si="978"/>
        <v>0</v>
      </c>
      <c r="BU20" s="24">
        <f t="shared" si="978"/>
        <v>0</v>
      </c>
      <c r="BV20" s="24">
        <f t="shared" si="978"/>
        <v>0</v>
      </c>
      <c r="BW20" s="24">
        <f t="shared" si="978"/>
        <v>0</v>
      </c>
      <c r="BX20" s="24">
        <f t="shared" si="978"/>
        <v>0</v>
      </c>
      <c r="BY20" s="24">
        <f t="shared" si="978"/>
        <v>0</v>
      </c>
      <c r="BZ20" s="24">
        <f t="shared" si="978"/>
        <v>0</v>
      </c>
      <c r="CA20" s="24">
        <f t="shared" si="978"/>
        <v>0</v>
      </c>
      <c r="CB20" s="24">
        <f t="shared" si="978"/>
        <v>0</v>
      </c>
      <c r="CC20" s="24">
        <f t="shared" si="978"/>
        <v>0</v>
      </c>
      <c r="CD20" s="24">
        <f t="shared" si="978"/>
        <v>0</v>
      </c>
      <c r="CE20" s="24">
        <f t="shared" si="978"/>
        <v>0</v>
      </c>
      <c r="CF20" s="24">
        <f t="shared" si="978"/>
        <v>0</v>
      </c>
      <c r="CG20" s="24">
        <f t="shared" si="978"/>
        <v>0</v>
      </c>
      <c r="CH20" s="24">
        <f t="shared" si="978"/>
        <v>0</v>
      </c>
      <c r="CI20" s="24">
        <f t="shared" si="978"/>
        <v>0</v>
      </c>
      <c r="CJ20" s="24">
        <f t="shared" si="978"/>
        <v>0</v>
      </c>
      <c r="CK20" s="24">
        <f t="shared" si="978"/>
        <v>0</v>
      </c>
      <c r="CL20" s="24">
        <f t="shared" si="978"/>
        <v>0</v>
      </c>
      <c r="CM20" s="24">
        <f t="shared" si="978"/>
        <v>0</v>
      </c>
      <c r="CN20" s="24">
        <f t="shared" si="978"/>
        <v>0</v>
      </c>
      <c r="CO20" s="24">
        <f t="shared" si="978"/>
        <v>0</v>
      </c>
      <c r="CP20" s="24">
        <f t="shared" si="978"/>
        <v>0</v>
      </c>
      <c r="CQ20" s="24">
        <f t="shared" si="978"/>
        <v>0</v>
      </c>
      <c r="CR20" s="24">
        <f t="shared" si="978"/>
        <v>0</v>
      </c>
      <c r="CS20" s="24">
        <f t="shared" si="978"/>
        <v>0</v>
      </c>
      <c r="CT20" s="24">
        <f t="shared" si="978"/>
        <v>0</v>
      </c>
      <c r="CU20" s="24">
        <f t="shared" si="978"/>
        <v>0</v>
      </c>
      <c r="CV20" s="24">
        <f t="shared" si="978"/>
        <v>0</v>
      </c>
      <c r="CW20" s="24">
        <f t="shared" si="978"/>
        <v>0</v>
      </c>
      <c r="CX20" s="24">
        <f t="shared" si="978"/>
        <v>0</v>
      </c>
      <c r="CY20" s="24">
        <f t="shared" si="978"/>
        <v>0</v>
      </c>
      <c r="CZ20" s="24">
        <f t="shared" si="978"/>
        <v>0</v>
      </c>
      <c r="DA20" s="24">
        <f t="shared" si="978"/>
        <v>0</v>
      </c>
      <c r="DB20" s="24">
        <f t="shared" si="978"/>
        <v>0</v>
      </c>
      <c r="DC20" s="24">
        <f t="shared" si="978"/>
        <v>0</v>
      </c>
      <c r="DD20" s="24">
        <f t="shared" si="978"/>
        <v>0</v>
      </c>
      <c r="DE20" s="24">
        <f t="shared" si="978"/>
        <v>0</v>
      </c>
      <c r="DF20" s="24">
        <f t="shared" si="978"/>
        <v>0</v>
      </c>
      <c r="DG20" s="24">
        <f t="shared" si="978"/>
        <v>0</v>
      </c>
      <c r="DH20" s="24">
        <f t="shared" si="978"/>
        <v>0</v>
      </c>
      <c r="DI20" s="24">
        <f t="shared" si="978"/>
        <v>0</v>
      </c>
      <c r="DJ20" s="24">
        <f t="shared" si="978"/>
        <v>0</v>
      </c>
      <c r="DK20" s="24">
        <f t="shared" si="978"/>
        <v>0</v>
      </c>
      <c r="DL20" s="24">
        <f t="shared" si="978"/>
        <v>0</v>
      </c>
      <c r="DM20" s="24">
        <f t="shared" si="978"/>
        <v>0</v>
      </c>
      <c r="DN20" s="24">
        <f t="shared" si="978"/>
        <v>0</v>
      </c>
      <c r="DO20" s="24">
        <f t="shared" si="978"/>
        <v>0</v>
      </c>
      <c r="DP20" s="24">
        <f t="shared" si="978"/>
        <v>0</v>
      </c>
      <c r="DQ20" s="24">
        <f t="shared" si="978"/>
        <v>0</v>
      </c>
      <c r="DR20" s="24">
        <f t="shared" si="978"/>
        <v>0</v>
      </c>
      <c r="DS20" s="24">
        <f t="shared" si="978"/>
        <v>0</v>
      </c>
      <c r="DT20" s="24">
        <f t="shared" si="978"/>
        <v>0</v>
      </c>
      <c r="DU20" s="24">
        <f t="shared" si="978"/>
        <v>0</v>
      </c>
      <c r="DV20" s="24">
        <f t="shared" si="978"/>
        <v>0</v>
      </c>
      <c r="DW20" s="24">
        <f t="shared" si="978"/>
        <v>0</v>
      </c>
      <c r="DX20" s="24">
        <f t="shared" si="978"/>
        <v>0</v>
      </c>
      <c r="DY20" s="24">
        <f t="shared" si="978"/>
        <v>0</v>
      </c>
      <c r="DZ20" s="24">
        <f t="shared" si="978"/>
        <v>0</v>
      </c>
      <c r="EA20" s="24">
        <f t="shared" si="978"/>
        <v>0</v>
      </c>
      <c r="EB20" s="24">
        <f t="shared" si="978"/>
        <v>0</v>
      </c>
      <c r="EC20" s="24">
        <f t="shared" si="978"/>
        <v>0</v>
      </c>
      <c r="ED20" s="24">
        <f t="shared" si="978"/>
        <v>0</v>
      </c>
      <c r="EE20" s="24">
        <f t="shared" ref="EE20:GP20" si="979">EE12*$C$14</f>
        <v>0</v>
      </c>
      <c r="EF20" s="24">
        <f t="shared" si="979"/>
        <v>0</v>
      </c>
      <c r="EG20" s="24">
        <f t="shared" si="979"/>
        <v>0</v>
      </c>
      <c r="EH20" s="24">
        <f t="shared" si="979"/>
        <v>0</v>
      </c>
      <c r="EI20" s="24">
        <f t="shared" si="979"/>
        <v>0</v>
      </c>
      <c r="EJ20" s="24">
        <f t="shared" si="979"/>
        <v>0</v>
      </c>
      <c r="EK20" s="24">
        <f t="shared" si="979"/>
        <v>0</v>
      </c>
      <c r="EL20" s="24">
        <f t="shared" si="979"/>
        <v>0</v>
      </c>
      <c r="EM20" s="24">
        <f t="shared" si="979"/>
        <v>0</v>
      </c>
      <c r="EN20" s="24">
        <f t="shared" si="979"/>
        <v>0</v>
      </c>
      <c r="EO20" s="24">
        <f t="shared" si="979"/>
        <v>0</v>
      </c>
      <c r="EP20" s="24">
        <f t="shared" si="979"/>
        <v>0</v>
      </c>
      <c r="EQ20" s="24">
        <f t="shared" si="979"/>
        <v>0</v>
      </c>
      <c r="ER20" s="24">
        <f t="shared" si="979"/>
        <v>0</v>
      </c>
      <c r="ES20" s="24">
        <f t="shared" si="979"/>
        <v>0</v>
      </c>
      <c r="ET20" s="24">
        <f t="shared" si="979"/>
        <v>0</v>
      </c>
      <c r="EU20" s="24">
        <f t="shared" si="979"/>
        <v>0</v>
      </c>
      <c r="EV20" s="24">
        <f t="shared" si="979"/>
        <v>0</v>
      </c>
      <c r="EW20" s="24">
        <f t="shared" si="979"/>
        <v>0</v>
      </c>
      <c r="EX20" s="24">
        <f t="shared" si="979"/>
        <v>0</v>
      </c>
      <c r="EY20" s="24">
        <f t="shared" si="979"/>
        <v>0</v>
      </c>
      <c r="EZ20" s="24">
        <f t="shared" si="979"/>
        <v>0</v>
      </c>
      <c r="FA20" s="24">
        <f t="shared" si="979"/>
        <v>0</v>
      </c>
      <c r="FB20" s="24">
        <f t="shared" si="979"/>
        <v>0</v>
      </c>
      <c r="FC20" s="24">
        <f t="shared" si="979"/>
        <v>0</v>
      </c>
      <c r="FD20" s="24">
        <f t="shared" si="979"/>
        <v>0</v>
      </c>
      <c r="FE20" s="24">
        <f t="shared" si="979"/>
        <v>0</v>
      </c>
      <c r="FF20" s="24">
        <f t="shared" si="979"/>
        <v>0</v>
      </c>
      <c r="FG20" s="24">
        <f t="shared" si="979"/>
        <v>0</v>
      </c>
      <c r="FH20" s="24">
        <f t="shared" si="979"/>
        <v>0</v>
      </c>
      <c r="FI20" s="24">
        <f t="shared" si="979"/>
        <v>0</v>
      </c>
      <c r="FJ20" s="24">
        <f t="shared" si="979"/>
        <v>0</v>
      </c>
      <c r="FK20" s="24">
        <f t="shared" si="979"/>
        <v>0</v>
      </c>
      <c r="FL20" s="24">
        <f t="shared" si="979"/>
        <v>0</v>
      </c>
      <c r="FM20" s="24">
        <f t="shared" si="979"/>
        <v>0</v>
      </c>
      <c r="FN20" s="24">
        <f t="shared" si="979"/>
        <v>0</v>
      </c>
      <c r="FO20" s="24">
        <f t="shared" si="979"/>
        <v>0</v>
      </c>
      <c r="FP20" s="24">
        <f t="shared" si="979"/>
        <v>0</v>
      </c>
      <c r="FQ20" s="24">
        <f t="shared" si="979"/>
        <v>0</v>
      </c>
      <c r="FR20" s="24">
        <f t="shared" si="979"/>
        <v>0</v>
      </c>
      <c r="FS20" s="24">
        <f t="shared" si="979"/>
        <v>0</v>
      </c>
      <c r="FT20" s="24">
        <f t="shared" si="979"/>
        <v>0</v>
      </c>
      <c r="FU20" s="24">
        <f t="shared" si="979"/>
        <v>0</v>
      </c>
      <c r="FV20" s="24">
        <f t="shared" si="979"/>
        <v>0</v>
      </c>
      <c r="FW20" s="24">
        <f t="shared" si="979"/>
        <v>0</v>
      </c>
      <c r="FX20" s="24">
        <f t="shared" si="979"/>
        <v>0</v>
      </c>
      <c r="FY20" s="24">
        <f t="shared" si="979"/>
        <v>0</v>
      </c>
      <c r="FZ20" s="24">
        <f t="shared" si="979"/>
        <v>0</v>
      </c>
      <c r="GA20" s="24">
        <f t="shared" si="979"/>
        <v>0</v>
      </c>
      <c r="GB20" s="24">
        <f t="shared" si="979"/>
        <v>0</v>
      </c>
      <c r="GC20" s="24">
        <f t="shared" si="979"/>
        <v>0</v>
      </c>
      <c r="GD20" s="24">
        <f t="shared" si="979"/>
        <v>0</v>
      </c>
      <c r="GE20" s="24">
        <f t="shared" si="979"/>
        <v>0</v>
      </c>
      <c r="GF20" s="24">
        <f t="shared" si="979"/>
        <v>0</v>
      </c>
      <c r="GG20" s="24">
        <f t="shared" si="979"/>
        <v>0</v>
      </c>
      <c r="GH20" s="24">
        <f t="shared" si="979"/>
        <v>0</v>
      </c>
      <c r="GI20" s="24">
        <f t="shared" si="979"/>
        <v>0</v>
      </c>
      <c r="GJ20" s="24">
        <f t="shared" si="979"/>
        <v>0</v>
      </c>
      <c r="GK20" s="24">
        <f t="shared" si="979"/>
        <v>0</v>
      </c>
      <c r="GL20" s="24">
        <f t="shared" si="979"/>
        <v>0</v>
      </c>
      <c r="GM20" s="24">
        <f t="shared" si="979"/>
        <v>0</v>
      </c>
      <c r="GN20" s="24">
        <f t="shared" si="979"/>
        <v>0</v>
      </c>
      <c r="GO20" s="24">
        <f t="shared" si="979"/>
        <v>0</v>
      </c>
      <c r="GP20" s="24">
        <f t="shared" si="979"/>
        <v>0</v>
      </c>
      <c r="GQ20" s="24">
        <f t="shared" ref="GQ20:IN20" si="980">GQ12*$C$14</f>
        <v>0</v>
      </c>
      <c r="GR20" s="24">
        <f t="shared" si="980"/>
        <v>0</v>
      </c>
      <c r="GS20" s="24">
        <f t="shared" si="980"/>
        <v>0</v>
      </c>
      <c r="GT20" s="24">
        <f t="shared" si="980"/>
        <v>0</v>
      </c>
      <c r="GU20" s="24">
        <f t="shared" si="980"/>
        <v>0</v>
      </c>
      <c r="GV20" s="24">
        <f t="shared" si="980"/>
        <v>0</v>
      </c>
      <c r="GW20" s="24">
        <f t="shared" si="980"/>
        <v>0</v>
      </c>
      <c r="GX20" s="24">
        <f t="shared" si="980"/>
        <v>0</v>
      </c>
      <c r="GY20" s="24">
        <f t="shared" si="980"/>
        <v>0</v>
      </c>
      <c r="GZ20" s="24">
        <f t="shared" si="980"/>
        <v>0</v>
      </c>
      <c r="HA20" s="24">
        <f t="shared" si="980"/>
        <v>0</v>
      </c>
      <c r="HB20" s="24">
        <f t="shared" si="980"/>
        <v>0</v>
      </c>
      <c r="HC20" s="24">
        <f t="shared" si="980"/>
        <v>0</v>
      </c>
      <c r="HD20" s="24">
        <f t="shared" si="980"/>
        <v>0</v>
      </c>
      <c r="HE20" s="24">
        <f t="shared" si="980"/>
        <v>0</v>
      </c>
      <c r="HF20" s="24">
        <f t="shared" si="980"/>
        <v>0</v>
      </c>
      <c r="HG20" s="24">
        <f t="shared" si="980"/>
        <v>0</v>
      </c>
      <c r="HH20" s="24">
        <f t="shared" si="980"/>
        <v>0</v>
      </c>
      <c r="HI20" s="24">
        <f t="shared" si="980"/>
        <v>0</v>
      </c>
      <c r="HJ20" s="24">
        <f t="shared" si="980"/>
        <v>0</v>
      </c>
      <c r="HK20" s="24">
        <f t="shared" si="980"/>
        <v>0</v>
      </c>
      <c r="HL20" s="24">
        <f t="shared" si="980"/>
        <v>0</v>
      </c>
      <c r="HM20" s="24">
        <f t="shared" si="980"/>
        <v>0</v>
      </c>
      <c r="HN20" s="24">
        <f t="shared" si="980"/>
        <v>0</v>
      </c>
      <c r="HO20" s="24">
        <f t="shared" si="980"/>
        <v>0</v>
      </c>
      <c r="HP20" s="24">
        <f t="shared" si="980"/>
        <v>0</v>
      </c>
      <c r="HQ20" s="24">
        <f t="shared" si="980"/>
        <v>0</v>
      </c>
      <c r="HR20" s="24">
        <f t="shared" si="980"/>
        <v>0</v>
      </c>
      <c r="HS20" s="24">
        <f t="shared" si="980"/>
        <v>0</v>
      </c>
      <c r="HT20" s="24">
        <f t="shared" si="980"/>
        <v>0</v>
      </c>
      <c r="HU20" s="24">
        <f t="shared" si="980"/>
        <v>0</v>
      </c>
      <c r="HV20" s="24">
        <f t="shared" si="980"/>
        <v>0</v>
      </c>
      <c r="HW20" s="24">
        <f t="shared" si="980"/>
        <v>0</v>
      </c>
      <c r="HX20" s="24">
        <f t="shared" si="980"/>
        <v>0</v>
      </c>
      <c r="HY20" s="24">
        <f t="shared" si="980"/>
        <v>0</v>
      </c>
      <c r="HZ20" s="24">
        <f t="shared" si="980"/>
        <v>0</v>
      </c>
      <c r="IA20" s="24">
        <f t="shared" si="980"/>
        <v>0</v>
      </c>
      <c r="IB20" s="24">
        <f t="shared" si="980"/>
        <v>0</v>
      </c>
      <c r="IC20" s="24">
        <f t="shared" si="980"/>
        <v>0</v>
      </c>
      <c r="ID20" s="24">
        <f t="shared" si="980"/>
        <v>0</v>
      </c>
      <c r="IE20" s="24">
        <f t="shared" si="980"/>
        <v>0</v>
      </c>
      <c r="IF20" s="24">
        <f t="shared" si="980"/>
        <v>0</v>
      </c>
      <c r="IG20" s="24">
        <f t="shared" si="980"/>
        <v>0</v>
      </c>
      <c r="IH20" s="24">
        <f t="shared" si="980"/>
        <v>0</v>
      </c>
      <c r="II20" s="24">
        <f t="shared" si="980"/>
        <v>0</v>
      </c>
      <c r="IJ20" s="24">
        <f t="shared" si="980"/>
        <v>0</v>
      </c>
      <c r="IK20" s="24">
        <f t="shared" si="980"/>
        <v>0</v>
      </c>
      <c r="IL20" s="24">
        <f t="shared" si="980"/>
        <v>0</v>
      </c>
      <c r="IM20" s="24">
        <f t="shared" si="980"/>
        <v>0</v>
      </c>
      <c r="IN20" s="24">
        <f t="shared" si="980"/>
        <v>0</v>
      </c>
    </row>
    <row r="21" spans="2:248" x14ac:dyDescent="0.3">
      <c r="C21" s="42"/>
      <c r="F21" s="22" t="s">
        <v>617</v>
      </c>
      <c r="G21" s="24">
        <f t="shared" ref="G21:BR21" si="981">G14*$C$14</f>
        <v>7.2850000000000001</v>
      </c>
      <c r="H21" s="24">
        <f t="shared" si="981"/>
        <v>10.763</v>
      </c>
      <c r="I21" s="24">
        <f t="shared" si="981"/>
        <v>15.134</v>
      </c>
      <c r="J21" s="24">
        <f t="shared" si="981"/>
        <v>21.291</v>
      </c>
      <c r="K21" s="24">
        <f t="shared" si="981"/>
        <v>30.785</v>
      </c>
      <c r="L21" s="24">
        <f t="shared" si="981"/>
        <v>41.735999999999997</v>
      </c>
      <c r="M21" s="24">
        <f t="shared" si="981"/>
        <v>53.015999999999998</v>
      </c>
      <c r="N21" s="24">
        <f t="shared" si="981"/>
        <v>79.617999999999995</v>
      </c>
      <c r="O21" s="24">
        <f t="shared" si="981"/>
        <v>95.692000000000007</v>
      </c>
      <c r="P21" s="24">
        <f t="shared" si="981"/>
        <v>117.59399999999999</v>
      </c>
      <c r="Q21" s="24">
        <f t="shared" si="981"/>
        <v>145.18299999999999</v>
      </c>
      <c r="R21" s="24">
        <f t="shared" si="981"/>
        <v>181.32599999999999</v>
      </c>
      <c r="S21" s="24">
        <f t="shared" si="981"/>
        <v>210.607</v>
      </c>
      <c r="T21" s="24">
        <f t="shared" si="981"/>
        <v>265.738</v>
      </c>
      <c r="U21" s="24">
        <f t="shared" si="981"/>
        <v>331.49099999999999</v>
      </c>
      <c r="V21" s="24">
        <f t="shared" si="981"/>
        <v>409.79300000000001</v>
      </c>
      <c r="W21" s="24">
        <f t="shared" si="981"/>
        <v>446.21800000000002</v>
      </c>
      <c r="X21" s="24">
        <f t="shared" si="981"/>
        <v>543.97799999999995</v>
      </c>
      <c r="Y21" s="24">
        <f t="shared" si="981"/>
        <v>604.98400000000004</v>
      </c>
      <c r="Z21" s="24">
        <f t="shared" si="981"/>
        <v>750.40200000000004</v>
      </c>
      <c r="AA21" s="24">
        <f t="shared" si="981"/>
        <v>898.68700000000001</v>
      </c>
      <c r="AB21" s="24">
        <f t="shared" si="981"/>
        <v>1045.5150000000001</v>
      </c>
      <c r="AC21" s="24">
        <f t="shared" si="981"/>
        <v>1169.877</v>
      </c>
      <c r="AD21" s="24">
        <f t="shared" si="981"/>
        <v>1299.4559999999999</v>
      </c>
      <c r="AE21" s="24">
        <f t="shared" si="981"/>
        <v>1707.1246000000001</v>
      </c>
      <c r="AF21" s="24">
        <f t="shared" si="981"/>
        <v>2226.0205800000003</v>
      </c>
      <c r="AG21" s="24">
        <f t="shared" si="981"/>
        <v>2906.6530540000008</v>
      </c>
      <c r="AH21" s="24">
        <f t="shared" si="981"/>
        <v>3798.1774702000012</v>
      </c>
      <c r="AI21" s="24">
        <f t="shared" si="981"/>
        <v>5021.0369112600019</v>
      </c>
      <c r="AJ21" s="24">
        <f t="shared" si="981"/>
        <v>6561.7378846380034</v>
      </c>
      <c r="AK21" s="24">
        <f t="shared" si="981"/>
        <v>8633.6874500294052</v>
      </c>
      <c r="AL21" s="24">
        <f t="shared" si="981"/>
        <v>11249.173685038228</v>
      </c>
      <c r="AM21" s="24">
        <f t="shared" si="981"/>
        <v>14708.572790549695</v>
      </c>
      <c r="AN21" s="24">
        <f t="shared" si="981"/>
        <v>19250.728327714605</v>
      </c>
      <c r="AO21" s="24">
        <f t="shared" si="981"/>
        <v>25222.928526028987</v>
      </c>
      <c r="AP21" s="24">
        <f t="shared" si="981"/>
        <v>33018.603083837683</v>
      </c>
      <c r="AQ21" s="24">
        <f t="shared" si="981"/>
        <v>42924.184008988988</v>
      </c>
      <c r="AR21" s="24">
        <f t="shared" si="981"/>
        <v>55801.439211685683</v>
      </c>
      <c r="AS21" s="24">
        <f t="shared" si="981"/>
        <v>72541.870975191385</v>
      </c>
      <c r="AT21" s="24">
        <f t="shared" si="981"/>
        <v>94304.432267748809</v>
      </c>
      <c r="AU21" s="24">
        <f t="shared" si="981"/>
        <v>122595.76194807346</v>
      </c>
      <c r="AV21" s="24">
        <f t="shared" si="981"/>
        <v>159374.49053249552</v>
      </c>
      <c r="AW21" s="24">
        <f t="shared" si="981"/>
        <v>207186.83769224415</v>
      </c>
      <c r="AX21" s="24">
        <f t="shared" si="981"/>
        <v>269342.88899991743</v>
      </c>
      <c r="AY21" s="24">
        <f t="shared" si="981"/>
        <v>350145.75569989259</v>
      </c>
      <c r="AZ21" s="24">
        <f t="shared" si="981"/>
        <v>455189.48240986047</v>
      </c>
      <c r="BA21" s="24">
        <f t="shared" si="981"/>
        <v>591746.32713281864</v>
      </c>
      <c r="BB21" s="24">
        <f t="shared" si="981"/>
        <v>769270.2252726641</v>
      </c>
      <c r="BC21" s="24">
        <f t="shared" si="981"/>
        <v>1000051.2928544634</v>
      </c>
      <c r="BD21" s="24">
        <f t="shared" si="981"/>
        <v>1078378.3680083144</v>
      </c>
      <c r="BE21" s="24">
        <f t="shared" si="981"/>
        <v>1060887.1797708087</v>
      </c>
      <c r="BF21" s="24">
        <f t="shared" si="981"/>
        <v>1038148.6350620514</v>
      </c>
      <c r="BG21" s="24">
        <f t="shared" si="981"/>
        <v>1008588.5269406667</v>
      </c>
      <c r="BH21" s="24">
        <f t="shared" si="981"/>
        <v>970160.38638286653</v>
      </c>
      <c r="BI21" s="24">
        <f t="shared" si="981"/>
        <v>920203.80365772662</v>
      </c>
      <c r="BJ21" s="24">
        <f t="shared" si="981"/>
        <v>855260.24611504434</v>
      </c>
      <c r="BK21" s="24">
        <f t="shared" si="981"/>
        <v>770833.62130955781</v>
      </c>
      <c r="BL21" s="24">
        <f t="shared" si="981"/>
        <v>661079.009062425</v>
      </c>
      <c r="BM21" s="24">
        <f t="shared" si="981"/>
        <v>518398.01314115251</v>
      </c>
      <c r="BN21" s="24">
        <f t="shared" si="981"/>
        <v>332912.71844349825</v>
      </c>
      <c r="BO21" s="24">
        <f t="shared" si="981"/>
        <v>91781.835336547694</v>
      </c>
      <c r="BP21" s="24">
        <f t="shared" si="981"/>
        <v>0</v>
      </c>
      <c r="BQ21" s="24">
        <f t="shared" si="981"/>
        <v>0</v>
      </c>
      <c r="BR21" s="24">
        <f t="shared" si="981"/>
        <v>0</v>
      </c>
      <c r="BS21" s="24">
        <f t="shared" ref="BS21:ED21" si="982">BS14*$C$14</f>
        <v>0</v>
      </c>
      <c r="BT21" s="24">
        <f t="shared" si="982"/>
        <v>0</v>
      </c>
      <c r="BU21" s="24">
        <f t="shared" si="982"/>
        <v>0</v>
      </c>
      <c r="BV21" s="24">
        <f t="shared" si="982"/>
        <v>0</v>
      </c>
      <c r="BW21" s="24">
        <f t="shared" si="982"/>
        <v>0</v>
      </c>
      <c r="BX21" s="24">
        <f t="shared" si="982"/>
        <v>0</v>
      </c>
      <c r="BY21" s="24">
        <f t="shared" si="982"/>
        <v>0</v>
      </c>
      <c r="BZ21" s="24">
        <f t="shared" si="982"/>
        <v>0</v>
      </c>
      <c r="CA21" s="24">
        <f t="shared" si="982"/>
        <v>0</v>
      </c>
      <c r="CB21" s="24">
        <f t="shared" si="982"/>
        <v>0</v>
      </c>
      <c r="CC21" s="24">
        <f t="shared" si="982"/>
        <v>0</v>
      </c>
      <c r="CD21" s="24">
        <f t="shared" si="982"/>
        <v>0</v>
      </c>
      <c r="CE21" s="24">
        <f t="shared" si="982"/>
        <v>0</v>
      </c>
      <c r="CF21" s="24">
        <f t="shared" si="982"/>
        <v>0</v>
      </c>
      <c r="CG21" s="24">
        <f t="shared" si="982"/>
        <v>0</v>
      </c>
      <c r="CH21" s="24">
        <f t="shared" si="982"/>
        <v>0</v>
      </c>
      <c r="CI21" s="24">
        <f t="shared" si="982"/>
        <v>0</v>
      </c>
      <c r="CJ21" s="24">
        <f t="shared" si="982"/>
        <v>0</v>
      </c>
      <c r="CK21" s="24">
        <f t="shared" si="982"/>
        <v>0</v>
      </c>
      <c r="CL21" s="24">
        <f t="shared" si="982"/>
        <v>0</v>
      </c>
      <c r="CM21" s="24">
        <f t="shared" si="982"/>
        <v>0</v>
      </c>
      <c r="CN21" s="24">
        <f t="shared" si="982"/>
        <v>0</v>
      </c>
      <c r="CO21" s="24">
        <f t="shared" si="982"/>
        <v>0</v>
      </c>
      <c r="CP21" s="24">
        <f t="shared" si="982"/>
        <v>0</v>
      </c>
      <c r="CQ21" s="24">
        <f t="shared" si="982"/>
        <v>0</v>
      </c>
      <c r="CR21" s="24">
        <f t="shared" si="982"/>
        <v>0</v>
      </c>
      <c r="CS21" s="24">
        <f t="shared" si="982"/>
        <v>0</v>
      </c>
      <c r="CT21" s="24">
        <f t="shared" si="982"/>
        <v>0</v>
      </c>
      <c r="CU21" s="24">
        <f t="shared" si="982"/>
        <v>0</v>
      </c>
      <c r="CV21" s="24">
        <f t="shared" si="982"/>
        <v>0</v>
      </c>
      <c r="CW21" s="24">
        <f t="shared" si="982"/>
        <v>0</v>
      </c>
      <c r="CX21" s="24">
        <f t="shared" si="982"/>
        <v>0</v>
      </c>
      <c r="CY21" s="24">
        <f t="shared" si="982"/>
        <v>0</v>
      </c>
      <c r="CZ21" s="24">
        <f t="shared" si="982"/>
        <v>0</v>
      </c>
      <c r="DA21" s="24">
        <f t="shared" si="982"/>
        <v>0</v>
      </c>
      <c r="DB21" s="24">
        <f t="shared" si="982"/>
        <v>0</v>
      </c>
      <c r="DC21" s="24">
        <f t="shared" si="982"/>
        <v>0</v>
      </c>
      <c r="DD21" s="24">
        <f t="shared" si="982"/>
        <v>0</v>
      </c>
      <c r="DE21" s="24">
        <f t="shared" si="982"/>
        <v>0</v>
      </c>
      <c r="DF21" s="24">
        <f t="shared" si="982"/>
        <v>0</v>
      </c>
      <c r="DG21" s="24">
        <f t="shared" si="982"/>
        <v>0</v>
      </c>
      <c r="DH21" s="24">
        <f t="shared" si="982"/>
        <v>0</v>
      </c>
      <c r="DI21" s="24">
        <f t="shared" si="982"/>
        <v>0</v>
      </c>
      <c r="DJ21" s="24">
        <f t="shared" si="982"/>
        <v>0</v>
      </c>
      <c r="DK21" s="24">
        <f t="shared" si="982"/>
        <v>0</v>
      </c>
      <c r="DL21" s="24">
        <f t="shared" si="982"/>
        <v>0</v>
      </c>
      <c r="DM21" s="24">
        <f t="shared" si="982"/>
        <v>0</v>
      </c>
      <c r="DN21" s="24">
        <f t="shared" si="982"/>
        <v>0</v>
      </c>
      <c r="DO21" s="24">
        <f t="shared" si="982"/>
        <v>0</v>
      </c>
      <c r="DP21" s="24">
        <f t="shared" si="982"/>
        <v>0</v>
      </c>
      <c r="DQ21" s="24">
        <f t="shared" si="982"/>
        <v>0</v>
      </c>
      <c r="DR21" s="24">
        <f t="shared" si="982"/>
        <v>0</v>
      </c>
      <c r="DS21" s="24">
        <f t="shared" si="982"/>
        <v>0</v>
      </c>
      <c r="DT21" s="24">
        <f t="shared" si="982"/>
        <v>0</v>
      </c>
      <c r="DU21" s="24">
        <f t="shared" si="982"/>
        <v>0</v>
      </c>
      <c r="DV21" s="24">
        <f t="shared" si="982"/>
        <v>0</v>
      </c>
      <c r="DW21" s="24">
        <f t="shared" si="982"/>
        <v>0</v>
      </c>
      <c r="DX21" s="24">
        <f t="shared" si="982"/>
        <v>0</v>
      </c>
      <c r="DY21" s="24">
        <f t="shared" si="982"/>
        <v>0</v>
      </c>
      <c r="DZ21" s="24">
        <f t="shared" si="982"/>
        <v>0</v>
      </c>
      <c r="EA21" s="24">
        <f t="shared" si="982"/>
        <v>0</v>
      </c>
      <c r="EB21" s="24">
        <f t="shared" si="982"/>
        <v>0</v>
      </c>
      <c r="EC21" s="24">
        <f t="shared" si="982"/>
        <v>0</v>
      </c>
      <c r="ED21" s="24">
        <f t="shared" si="982"/>
        <v>0</v>
      </c>
      <c r="EE21" s="24">
        <f t="shared" ref="EE21:GP21" si="983">EE14*$C$14</f>
        <v>0</v>
      </c>
      <c r="EF21" s="24">
        <f t="shared" si="983"/>
        <v>0</v>
      </c>
      <c r="EG21" s="24">
        <f t="shared" si="983"/>
        <v>0</v>
      </c>
      <c r="EH21" s="24">
        <f t="shared" si="983"/>
        <v>0</v>
      </c>
      <c r="EI21" s="24">
        <f t="shared" si="983"/>
        <v>0</v>
      </c>
      <c r="EJ21" s="24">
        <f t="shared" si="983"/>
        <v>0</v>
      </c>
      <c r="EK21" s="24">
        <f t="shared" si="983"/>
        <v>0</v>
      </c>
      <c r="EL21" s="24">
        <f t="shared" si="983"/>
        <v>0</v>
      </c>
      <c r="EM21" s="24">
        <f t="shared" si="983"/>
        <v>0</v>
      </c>
      <c r="EN21" s="24">
        <f t="shared" si="983"/>
        <v>0</v>
      </c>
      <c r="EO21" s="24">
        <f t="shared" si="983"/>
        <v>0</v>
      </c>
      <c r="EP21" s="24">
        <f t="shared" si="983"/>
        <v>0</v>
      </c>
      <c r="EQ21" s="24">
        <f t="shared" si="983"/>
        <v>0</v>
      </c>
      <c r="ER21" s="24">
        <f t="shared" si="983"/>
        <v>0</v>
      </c>
      <c r="ES21" s="24">
        <f t="shared" si="983"/>
        <v>0</v>
      </c>
      <c r="ET21" s="24">
        <f t="shared" si="983"/>
        <v>0</v>
      </c>
      <c r="EU21" s="24">
        <f t="shared" si="983"/>
        <v>0</v>
      </c>
      <c r="EV21" s="24">
        <f t="shared" si="983"/>
        <v>0</v>
      </c>
      <c r="EW21" s="24">
        <f t="shared" si="983"/>
        <v>0</v>
      </c>
      <c r="EX21" s="24">
        <f t="shared" si="983"/>
        <v>0</v>
      </c>
      <c r="EY21" s="24">
        <f t="shared" si="983"/>
        <v>0</v>
      </c>
      <c r="EZ21" s="24">
        <f t="shared" si="983"/>
        <v>0</v>
      </c>
      <c r="FA21" s="24">
        <f t="shared" si="983"/>
        <v>0</v>
      </c>
      <c r="FB21" s="24">
        <f t="shared" si="983"/>
        <v>0</v>
      </c>
      <c r="FC21" s="24">
        <f t="shared" si="983"/>
        <v>0</v>
      </c>
      <c r="FD21" s="24">
        <f t="shared" si="983"/>
        <v>0</v>
      </c>
      <c r="FE21" s="24">
        <f t="shared" si="983"/>
        <v>0</v>
      </c>
      <c r="FF21" s="24">
        <f t="shared" si="983"/>
        <v>0</v>
      </c>
      <c r="FG21" s="24">
        <f t="shared" si="983"/>
        <v>0</v>
      </c>
      <c r="FH21" s="24">
        <f t="shared" si="983"/>
        <v>0</v>
      </c>
      <c r="FI21" s="24">
        <f t="shared" si="983"/>
        <v>0</v>
      </c>
      <c r="FJ21" s="24">
        <f t="shared" si="983"/>
        <v>0</v>
      </c>
      <c r="FK21" s="24">
        <f t="shared" si="983"/>
        <v>0</v>
      </c>
      <c r="FL21" s="24">
        <f t="shared" si="983"/>
        <v>0</v>
      </c>
      <c r="FM21" s="24">
        <f t="shared" si="983"/>
        <v>0</v>
      </c>
      <c r="FN21" s="24">
        <f t="shared" si="983"/>
        <v>0</v>
      </c>
      <c r="FO21" s="24">
        <f t="shared" si="983"/>
        <v>0</v>
      </c>
      <c r="FP21" s="24">
        <f t="shared" si="983"/>
        <v>0</v>
      </c>
      <c r="FQ21" s="24">
        <f t="shared" si="983"/>
        <v>0</v>
      </c>
      <c r="FR21" s="24">
        <f t="shared" si="983"/>
        <v>0</v>
      </c>
      <c r="FS21" s="24">
        <f t="shared" si="983"/>
        <v>0</v>
      </c>
      <c r="FT21" s="24">
        <f t="shared" si="983"/>
        <v>0</v>
      </c>
      <c r="FU21" s="24">
        <f t="shared" si="983"/>
        <v>0</v>
      </c>
      <c r="FV21" s="24">
        <f t="shared" si="983"/>
        <v>0</v>
      </c>
      <c r="FW21" s="24">
        <f t="shared" si="983"/>
        <v>0</v>
      </c>
      <c r="FX21" s="24">
        <f t="shared" si="983"/>
        <v>0</v>
      </c>
      <c r="FY21" s="24">
        <f t="shared" si="983"/>
        <v>0</v>
      </c>
      <c r="FZ21" s="24">
        <f t="shared" si="983"/>
        <v>0</v>
      </c>
      <c r="GA21" s="24">
        <f t="shared" si="983"/>
        <v>0</v>
      </c>
      <c r="GB21" s="24">
        <f t="shared" si="983"/>
        <v>0</v>
      </c>
      <c r="GC21" s="24">
        <f t="shared" si="983"/>
        <v>0</v>
      </c>
      <c r="GD21" s="24">
        <f t="shared" si="983"/>
        <v>0</v>
      </c>
      <c r="GE21" s="24">
        <f t="shared" si="983"/>
        <v>0</v>
      </c>
      <c r="GF21" s="24">
        <f t="shared" si="983"/>
        <v>0</v>
      </c>
      <c r="GG21" s="24">
        <f t="shared" si="983"/>
        <v>0</v>
      </c>
      <c r="GH21" s="24">
        <f t="shared" si="983"/>
        <v>0</v>
      </c>
      <c r="GI21" s="24">
        <f t="shared" si="983"/>
        <v>0</v>
      </c>
      <c r="GJ21" s="24">
        <f t="shared" si="983"/>
        <v>0</v>
      </c>
      <c r="GK21" s="24">
        <f t="shared" si="983"/>
        <v>0</v>
      </c>
      <c r="GL21" s="24">
        <f t="shared" si="983"/>
        <v>0</v>
      </c>
      <c r="GM21" s="24">
        <f t="shared" si="983"/>
        <v>0</v>
      </c>
      <c r="GN21" s="24">
        <f t="shared" si="983"/>
        <v>0</v>
      </c>
      <c r="GO21" s="24">
        <f t="shared" si="983"/>
        <v>0</v>
      </c>
      <c r="GP21" s="24">
        <f t="shared" si="983"/>
        <v>0</v>
      </c>
      <c r="GQ21" s="24">
        <f t="shared" ref="GQ21:IN21" si="984">GQ14*$C$14</f>
        <v>0</v>
      </c>
      <c r="GR21" s="24">
        <f t="shared" si="984"/>
        <v>0</v>
      </c>
      <c r="GS21" s="24">
        <f t="shared" si="984"/>
        <v>0</v>
      </c>
      <c r="GT21" s="24">
        <f t="shared" si="984"/>
        <v>0</v>
      </c>
      <c r="GU21" s="24">
        <f t="shared" si="984"/>
        <v>0</v>
      </c>
      <c r="GV21" s="24">
        <f t="shared" si="984"/>
        <v>0</v>
      </c>
      <c r="GW21" s="24">
        <f t="shared" si="984"/>
        <v>0</v>
      </c>
      <c r="GX21" s="24">
        <f t="shared" si="984"/>
        <v>0</v>
      </c>
      <c r="GY21" s="24">
        <f t="shared" si="984"/>
        <v>0</v>
      </c>
      <c r="GZ21" s="24">
        <f t="shared" si="984"/>
        <v>0</v>
      </c>
      <c r="HA21" s="24">
        <f t="shared" si="984"/>
        <v>0</v>
      </c>
      <c r="HB21" s="24">
        <f t="shared" si="984"/>
        <v>0</v>
      </c>
      <c r="HC21" s="24">
        <f t="shared" si="984"/>
        <v>0</v>
      </c>
      <c r="HD21" s="24">
        <f t="shared" si="984"/>
        <v>0</v>
      </c>
      <c r="HE21" s="24">
        <f t="shared" si="984"/>
        <v>0</v>
      </c>
      <c r="HF21" s="24">
        <f t="shared" si="984"/>
        <v>0</v>
      </c>
      <c r="HG21" s="24">
        <f t="shared" si="984"/>
        <v>0</v>
      </c>
      <c r="HH21" s="24">
        <f t="shared" si="984"/>
        <v>0</v>
      </c>
      <c r="HI21" s="24">
        <f t="shared" si="984"/>
        <v>0</v>
      </c>
      <c r="HJ21" s="24">
        <f t="shared" si="984"/>
        <v>0</v>
      </c>
      <c r="HK21" s="24">
        <f t="shared" si="984"/>
        <v>0</v>
      </c>
      <c r="HL21" s="24">
        <f t="shared" si="984"/>
        <v>0</v>
      </c>
      <c r="HM21" s="24">
        <f t="shared" si="984"/>
        <v>0</v>
      </c>
      <c r="HN21" s="24">
        <f t="shared" si="984"/>
        <v>0</v>
      </c>
      <c r="HO21" s="24">
        <f t="shared" si="984"/>
        <v>0</v>
      </c>
      <c r="HP21" s="24">
        <f t="shared" si="984"/>
        <v>0</v>
      </c>
      <c r="HQ21" s="24">
        <f t="shared" si="984"/>
        <v>0</v>
      </c>
      <c r="HR21" s="24">
        <f t="shared" si="984"/>
        <v>0</v>
      </c>
      <c r="HS21" s="24">
        <f t="shared" si="984"/>
        <v>0</v>
      </c>
      <c r="HT21" s="24">
        <f t="shared" si="984"/>
        <v>0</v>
      </c>
      <c r="HU21" s="24">
        <f t="shared" si="984"/>
        <v>0</v>
      </c>
      <c r="HV21" s="24">
        <f t="shared" si="984"/>
        <v>0</v>
      </c>
      <c r="HW21" s="24">
        <f t="shared" si="984"/>
        <v>0</v>
      </c>
      <c r="HX21" s="24">
        <f t="shared" si="984"/>
        <v>0</v>
      </c>
      <c r="HY21" s="24">
        <f t="shared" si="984"/>
        <v>0</v>
      </c>
      <c r="HZ21" s="24">
        <f t="shared" si="984"/>
        <v>0</v>
      </c>
      <c r="IA21" s="24">
        <f t="shared" si="984"/>
        <v>0</v>
      </c>
      <c r="IB21" s="24">
        <f t="shared" si="984"/>
        <v>0</v>
      </c>
      <c r="IC21" s="24">
        <f t="shared" si="984"/>
        <v>0</v>
      </c>
      <c r="ID21" s="24">
        <f t="shared" si="984"/>
        <v>0</v>
      </c>
      <c r="IE21" s="24">
        <f t="shared" si="984"/>
        <v>0</v>
      </c>
      <c r="IF21" s="24">
        <f t="shared" si="984"/>
        <v>0</v>
      </c>
      <c r="IG21" s="24">
        <f t="shared" si="984"/>
        <v>0</v>
      </c>
      <c r="IH21" s="24">
        <f t="shared" si="984"/>
        <v>0</v>
      </c>
      <c r="II21" s="24">
        <f t="shared" si="984"/>
        <v>0</v>
      </c>
      <c r="IJ21" s="24">
        <f t="shared" si="984"/>
        <v>0</v>
      </c>
      <c r="IK21" s="24">
        <f t="shared" si="984"/>
        <v>0</v>
      </c>
      <c r="IL21" s="24">
        <f t="shared" si="984"/>
        <v>0</v>
      </c>
      <c r="IM21" s="24">
        <f t="shared" si="984"/>
        <v>0</v>
      </c>
      <c r="IN21" s="24">
        <f t="shared" si="984"/>
        <v>0</v>
      </c>
    </row>
    <row r="22" spans="2:248" x14ac:dyDescent="0.3">
      <c r="B22" s="19" t="s">
        <v>629</v>
      </c>
      <c r="C22" s="66">
        <f>IF(VLOOKUP(B2,'Country Summary'!C:J,8,FALSE)="","Not initiated",VLOOKUP(B2,'Country Summary'!C:J,8,FALSE))</f>
        <v>43886</v>
      </c>
      <c r="F22" s="22" t="s">
        <v>618</v>
      </c>
      <c r="G22" s="24">
        <f t="shared" ref="G22:BR22" si="985">G16*$C$14</f>
        <v>7.2850000000000001</v>
      </c>
      <c r="H22" s="24">
        <f t="shared" si="985"/>
        <v>10.763</v>
      </c>
      <c r="I22" s="24">
        <f t="shared" si="985"/>
        <v>15.134</v>
      </c>
      <c r="J22" s="24">
        <f t="shared" si="985"/>
        <v>21.291</v>
      </c>
      <c r="K22" s="24">
        <f t="shared" si="985"/>
        <v>30.785</v>
      </c>
      <c r="L22" s="24">
        <f t="shared" si="985"/>
        <v>41.735999999999997</v>
      </c>
      <c r="M22" s="24">
        <f t="shared" si="985"/>
        <v>53.015999999999998</v>
      </c>
      <c r="N22" s="24">
        <f t="shared" si="985"/>
        <v>79.617999999999995</v>
      </c>
      <c r="O22" s="24">
        <f t="shared" si="985"/>
        <v>95.692000000000007</v>
      </c>
      <c r="P22" s="24">
        <f t="shared" si="985"/>
        <v>117.59399999999999</v>
      </c>
      <c r="Q22" s="24">
        <f t="shared" si="985"/>
        <v>145.18299999999999</v>
      </c>
      <c r="R22" s="24">
        <f t="shared" si="985"/>
        <v>181.32599999999999</v>
      </c>
      <c r="S22" s="24">
        <f t="shared" si="985"/>
        <v>210.607</v>
      </c>
      <c r="T22" s="24">
        <f t="shared" si="985"/>
        <v>265.738</v>
      </c>
      <c r="U22" s="24">
        <f t="shared" si="985"/>
        <v>331.49099999999999</v>
      </c>
      <c r="V22" s="24">
        <f t="shared" si="985"/>
        <v>409.79300000000001</v>
      </c>
      <c r="W22" s="24">
        <f t="shared" si="985"/>
        <v>446.21800000000002</v>
      </c>
      <c r="X22" s="24">
        <f t="shared" si="985"/>
        <v>543.97799999999995</v>
      </c>
      <c r="Y22" s="24">
        <f t="shared" si="985"/>
        <v>604.98400000000004</v>
      </c>
      <c r="Z22" s="24">
        <f t="shared" si="985"/>
        <v>750.40200000000004</v>
      </c>
      <c r="AA22" s="24">
        <f t="shared" si="985"/>
        <v>898.68700000000001</v>
      </c>
      <c r="AB22" s="24">
        <f t="shared" si="985"/>
        <v>1045.5150000000001</v>
      </c>
      <c r="AC22" s="24">
        <f t="shared" si="985"/>
        <v>1169.877</v>
      </c>
      <c r="AD22" s="24">
        <f t="shared" si="985"/>
        <v>1299.4559999999999</v>
      </c>
      <c r="AE22" s="24">
        <f t="shared" si="985"/>
        <v>1855.2027999999998</v>
      </c>
      <c r="AF22" s="24">
        <f t="shared" si="985"/>
        <v>2625.8317199999992</v>
      </c>
      <c r="AG22" s="24">
        <f t="shared" si="985"/>
        <v>3716.6408079999992</v>
      </c>
      <c r="AH22" s="24">
        <f t="shared" si="985"/>
        <v>5257.488131199998</v>
      </c>
      <c r="AI22" s="24">
        <f t="shared" si="985"/>
        <v>7486.9979836799976</v>
      </c>
      <c r="AJ22" s="24">
        <f t="shared" si="985"/>
        <v>10563.887377151996</v>
      </c>
      <c r="AK22" s="24">
        <f t="shared" si="985"/>
        <v>14951.441928012793</v>
      </c>
      <c r="AL22" s="24">
        <f t="shared" si="985"/>
        <v>21023.198699217908</v>
      </c>
      <c r="AM22" s="24">
        <f t="shared" si="985"/>
        <v>29600.12717890507</v>
      </c>
      <c r="AN22" s="24">
        <f t="shared" si="985"/>
        <v>41669.199650467097</v>
      </c>
      <c r="AO22" s="24">
        <f t="shared" si="985"/>
        <v>58650.172110653933</v>
      </c>
      <c r="AP22" s="24">
        <f t="shared" si="985"/>
        <v>82470.542954915509</v>
      </c>
      <c r="AQ22" s="24">
        <f t="shared" si="985"/>
        <v>115458.76013688171</v>
      </c>
      <c r="AR22" s="24">
        <f t="shared" si="985"/>
        <v>161642.26419163437</v>
      </c>
      <c r="AS22" s="24">
        <f t="shared" si="985"/>
        <v>226299.16986828815</v>
      </c>
      <c r="AT22" s="24">
        <f t="shared" si="985"/>
        <v>316818.83781560336</v>
      </c>
      <c r="AU22" s="24">
        <f t="shared" si="985"/>
        <v>443546.37294184469</v>
      </c>
      <c r="AV22" s="24">
        <f t="shared" si="985"/>
        <v>620964.92211858241</v>
      </c>
      <c r="AW22" s="24">
        <f t="shared" si="985"/>
        <v>869350.89096601529</v>
      </c>
      <c r="AX22" s="24">
        <f t="shared" si="985"/>
        <v>1114829.1101007822</v>
      </c>
      <c r="AY22" s="24">
        <f t="shared" si="985"/>
        <v>1106087.822621095</v>
      </c>
      <c r="AZ22" s="24">
        <f t="shared" si="985"/>
        <v>1093850.0201495332</v>
      </c>
      <c r="BA22" s="24">
        <f t="shared" si="985"/>
        <v>1076717.0966893462</v>
      </c>
      <c r="BB22" s="24">
        <f t="shared" si="985"/>
        <v>1052731.0038450845</v>
      </c>
      <c r="BC22" s="24">
        <f t="shared" si="985"/>
        <v>1019150.4738631184</v>
      </c>
      <c r="BD22" s="24">
        <f t="shared" si="985"/>
        <v>972137.7318883657</v>
      </c>
      <c r="BE22" s="24">
        <f t="shared" si="985"/>
        <v>906319.89312371192</v>
      </c>
      <c r="BF22" s="24">
        <f t="shared" si="985"/>
        <v>814174.91885319678</v>
      </c>
      <c r="BG22" s="24">
        <f t="shared" si="985"/>
        <v>685171.95487447549</v>
      </c>
      <c r="BH22" s="24">
        <f t="shared" si="985"/>
        <v>504567.80530426564</v>
      </c>
      <c r="BI22" s="24">
        <f t="shared" si="985"/>
        <v>251721.995905972</v>
      </c>
      <c r="BJ22" s="24">
        <f t="shared" si="985"/>
        <v>0</v>
      </c>
      <c r="BK22" s="24">
        <f t="shared" si="985"/>
        <v>0</v>
      </c>
      <c r="BL22" s="24">
        <f t="shared" si="985"/>
        <v>0</v>
      </c>
      <c r="BM22" s="24">
        <f t="shared" si="985"/>
        <v>0</v>
      </c>
      <c r="BN22" s="24">
        <f t="shared" si="985"/>
        <v>0</v>
      </c>
      <c r="BO22" s="24">
        <f t="shared" si="985"/>
        <v>0</v>
      </c>
      <c r="BP22" s="24">
        <f t="shared" si="985"/>
        <v>0</v>
      </c>
      <c r="BQ22" s="24">
        <f t="shared" si="985"/>
        <v>0</v>
      </c>
      <c r="BR22" s="24">
        <f t="shared" si="985"/>
        <v>0</v>
      </c>
      <c r="BS22" s="24">
        <f t="shared" ref="BS22:ED22" si="986">BS16*$C$14</f>
        <v>0</v>
      </c>
      <c r="BT22" s="24">
        <f t="shared" si="986"/>
        <v>0</v>
      </c>
      <c r="BU22" s="24">
        <f t="shared" si="986"/>
        <v>0</v>
      </c>
      <c r="BV22" s="24">
        <f t="shared" si="986"/>
        <v>0</v>
      </c>
      <c r="BW22" s="24">
        <f t="shared" si="986"/>
        <v>0</v>
      </c>
      <c r="BX22" s="24">
        <f t="shared" si="986"/>
        <v>0</v>
      </c>
      <c r="BY22" s="24">
        <f t="shared" si="986"/>
        <v>0</v>
      </c>
      <c r="BZ22" s="24">
        <f t="shared" si="986"/>
        <v>0</v>
      </c>
      <c r="CA22" s="24">
        <f t="shared" si="986"/>
        <v>0</v>
      </c>
      <c r="CB22" s="24">
        <f t="shared" si="986"/>
        <v>0</v>
      </c>
      <c r="CC22" s="24">
        <f t="shared" si="986"/>
        <v>0</v>
      </c>
      <c r="CD22" s="24">
        <f t="shared" si="986"/>
        <v>0</v>
      </c>
      <c r="CE22" s="24">
        <f t="shared" si="986"/>
        <v>0</v>
      </c>
      <c r="CF22" s="24">
        <f t="shared" si="986"/>
        <v>0</v>
      </c>
      <c r="CG22" s="24">
        <f t="shared" si="986"/>
        <v>0</v>
      </c>
      <c r="CH22" s="24">
        <f t="shared" si="986"/>
        <v>0</v>
      </c>
      <c r="CI22" s="24">
        <f t="shared" si="986"/>
        <v>0</v>
      </c>
      <c r="CJ22" s="24">
        <f t="shared" si="986"/>
        <v>0</v>
      </c>
      <c r="CK22" s="24">
        <f t="shared" si="986"/>
        <v>0</v>
      </c>
      <c r="CL22" s="24">
        <f t="shared" si="986"/>
        <v>0</v>
      </c>
      <c r="CM22" s="24">
        <f t="shared" si="986"/>
        <v>0</v>
      </c>
      <c r="CN22" s="24">
        <f t="shared" si="986"/>
        <v>0</v>
      </c>
      <c r="CO22" s="24">
        <f t="shared" si="986"/>
        <v>0</v>
      </c>
      <c r="CP22" s="24">
        <f t="shared" si="986"/>
        <v>0</v>
      </c>
      <c r="CQ22" s="24">
        <f t="shared" si="986"/>
        <v>0</v>
      </c>
      <c r="CR22" s="24">
        <f t="shared" si="986"/>
        <v>0</v>
      </c>
      <c r="CS22" s="24">
        <f t="shared" si="986"/>
        <v>0</v>
      </c>
      <c r="CT22" s="24">
        <f t="shared" si="986"/>
        <v>0</v>
      </c>
      <c r="CU22" s="24">
        <f t="shared" si="986"/>
        <v>0</v>
      </c>
      <c r="CV22" s="24">
        <f t="shared" si="986"/>
        <v>0</v>
      </c>
      <c r="CW22" s="24">
        <f t="shared" si="986"/>
        <v>0</v>
      </c>
      <c r="CX22" s="24">
        <f t="shared" si="986"/>
        <v>0</v>
      </c>
      <c r="CY22" s="24">
        <f t="shared" si="986"/>
        <v>0</v>
      </c>
      <c r="CZ22" s="24">
        <f t="shared" si="986"/>
        <v>0</v>
      </c>
      <c r="DA22" s="24">
        <f t="shared" si="986"/>
        <v>0</v>
      </c>
      <c r="DB22" s="24">
        <f t="shared" si="986"/>
        <v>0</v>
      </c>
      <c r="DC22" s="24">
        <f t="shared" si="986"/>
        <v>0</v>
      </c>
      <c r="DD22" s="24">
        <f t="shared" si="986"/>
        <v>0</v>
      </c>
      <c r="DE22" s="24">
        <f t="shared" si="986"/>
        <v>0</v>
      </c>
      <c r="DF22" s="24">
        <f t="shared" si="986"/>
        <v>0</v>
      </c>
      <c r="DG22" s="24">
        <f t="shared" si="986"/>
        <v>0</v>
      </c>
      <c r="DH22" s="24">
        <f t="shared" si="986"/>
        <v>0</v>
      </c>
      <c r="DI22" s="24">
        <f t="shared" si="986"/>
        <v>0</v>
      </c>
      <c r="DJ22" s="24">
        <f t="shared" si="986"/>
        <v>0</v>
      </c>
      <c r="DK22" s="24">
        <f t="shared" si="986"/>
        <v>0</v>
      </c>
      <c r="DL22" s="24">
        <f t="shared" si="986"/>
        <v>0</v>
      </c>
      <c r="DM22" s="24">
        <f t="shared" si="986"/>
        <v>0</v>
      </c>
      <c r="DN22" s="24">
        <f t="shared" si="986"/>
        <v>0</v>
      </c>
      <c r="DO22" s="24">
        <f t="shared" si="986"/>
        <v>0</v>
      </c>
      <c r="DP22" s="24">
        <f t="shared" si="986"/>
        <v>0</v>
      </c>
      <c r="DQ22" s="24">
        <f t="shared" si="986"/>
        <v>0</v>
      </c>
      <c r="DR22" s="24">
        <f t="shared" si="986"/>
        <v>0</v>
      </c>
      <c r="DS22" s="24">
        <f t="shared" si="986"/>
        <v>0</v>
      </c>
      <c r="DT22" s="24">
        <f t="shared" si="986"/>
        <v>0</v>
      </c>
      <c r="DU22" s="24">
        <f t="shared" si="986"/>
        <v>0</v>
      </c>
      <c r="DV22" s="24">
        <f t="shared" si="986"/>
        <v>0</v>
      </c>
      <c r="DW22" s="24">
        <f t="shared" si="986"/>
        <v>0</v>
      </c>
      <c r="DX22" s="24">
        <f t="shared" si="986"/>
        <v>0</v>
      </c>
      <c r="DY22" s="24">
        <f t="shared" si="986"/>
        <v>0</v>
      </c>
      <c r="DZ22" s="24">
        <f t="shared" si="986"/>
        <v>0</v>
      </c>
      <c r="EA22" s="24">
        <f t="shared" si="986"/>
        <v>0</v>
      </c>
      <c r="EB22" s="24">
        <f t="shared" si="986"/>
        <v>0</v>
      </c>
      <c r="EC22" s="24">
        <f t="shared" si="986"/>
        <v>0</v>
      </c>
      <c r="ED22" s="24">
        <f t="shared" si="986"/>
        <v>0</v>
      </c>
      <c r="EE22" s="24">
        <f t="shared" ref="EE22:GP22" si="987">EE16*$C$14</f>
        <v>0</v>
      </c>
      <c r="EF22" s="24">
        <f t="shared" si="987"/>
        <v>0</v>
      </c>
      <c r="EG22" s="24">
        <f t="shared" si="987"/>
        <v>0</v>
      </c>
      <c r="EH22" s="24">
        <f t="shared" si="987"/>
        <v>0</v>
      </c>
      <c r="EI22" s="24">
        <f t="shared" si="987"/>
        <v>0</v>
      </c>
      <c r="EJ22" s="24">
        <f t="shared" si="987"/>
        <v>0</v>
      </c>
      <c r="EK22" s="24">
        <f t="shared" si="987"/>
        <v>0</v>
      </c>
      <c r="EL22" s="24">
        <f t="shared" si="987"/>
        <v>0</v>
      </c>
      <c r="EM22" s="24">
        <f t="shared" si="987"/>
        <v>0</v>
      </c>
      <c r="EN22" s="24">
        <f t="shared" si="987"/>
        <v>0</v>
      </c>
      <c r="EO22" s="24">
        <f t="shared" si="987"/>
        <v>0</v>
      </c>
      <c r="EP22" s="24">
        <f t="shared" si="987"/>
        <v>0</v>
      </c>
      <c r="EQ22" s="24">
        <f t="shared" si="987"/>
        <v>0</v>
      </c>
      <c r="ER22" s="24">
        <f t="shared" si="987"/>
        <v>0</v>
      </c>
      <c r="ES22" s="24">
        <f t="shared" si="987"/>
        <v>0</v>
      </c>
      <c r="ET22" s="24">
        <f t="shared" si="987"/>
        <v>0</v>
      </c>
      <c r="EU22" s="24">
        <f t="shared" si="987"/>
        <v>0</v>
      </c>
      <c r="EV22" s="24">
        <f t="shared" si="987"/>
        <v>0</v>
      </c>
      <c r="EW22" s="24">
        <f t="shared" si="987"/>
        <v>0</v>
      </c>
      <c r="EX22" s="24">
        <f t="shared" si="987"/>
        <v>0</v>
      </c>
      <c r="EY22" s="24">
        <f t="shared" si="987"/>
        <v>0</v>
      </c>
      <c r="EZ22" s="24">
        <f t="shared" si="987"/>
        <v>0</v>
      </c>
      <c r="FA22" s="24">
        <f t="shared" si="987"/>
        <v>0</v>
      </c>
      <c r="FB22" s="24">
        <f t="shared" si="987"/>
        <v>0</v>
      </c>
      <c r="FC22" s="24">
        <f t="shared" si="987"/>
        <v>0</v>
      </c>
      <c r="FD22" s="24">
        <f t="shared" si="987"/>
        <v>0</v>
      </c>
      <c r="FE22" s="24">
        <f t="shared" si="987"/>
        <v>0</v>
      </c>
      <c r="FF22" s="24">
        <f t="shared" si="987"/>
        <v>0</v>
      </c>
      <c r="FG22" s="24">
        <f t="shared" si="987"/>
        <v>0</v>
      </c>
      <c r="FH22" s="24">
        <f t="shared" si="987"/>
        <v>0</v>
      </c>
      <c r="FI22" s="24">
        <f t="shared" si="987"/>
        <v>0</v>
      </c>
      <c r="FJ22" s="24">
        <f t="shared" si="987"/>
        <v>0</v>
      </c>
      <c r="FK22" s="24">
        <f t="shared" si="987"/>
        <v>0</v>
      </c>
      <c r="FL22" s="24">
        <f t="shared" si="987"/>
        <v>0</v>
      </c>
      <c r="FM22" s="24">
        <f t="shared" si="987"/>
        <v>0</v>
      </c>
      <c r="FN22" s="24">
        <f t="shared" si="987"/>
        <v>0</v>
      </c>
      <c r="FO22" s="24">
        <f t="shared" si="987"/>
        <v>0</v>
      </c>
      <c r="FP22" s="24">
        <f t="shared" si="987"/>
        <v>0</v>
      </c>
      <c r="FQ22" s="24">
        <f t="shared" si="987"/>
        <v>0</v>
      </c>
      <c r="FR22" s="24">
        <f t="shared" si="987"/>
        <v>0</v>
      </c>
      <c r="FS22" s="24">
        <f t="shared" si="987"/>
        <v>0</v>
      </c>
      <c r="FT22" s="24">
        <f t="shared" si="987"/>
        <v>0</v>
      </c>
      <c r="FU22" s="24">
        <f t="shared" si="987"/>
        <v>0</v>
      </c>
      <c r="FV22" s="24">
        <f t="shared" si="987"/>
        <v>0</v>
      </c>
      <c r="FW22" s="24">
        <f t="shared" si="987"/>
        <v>0</v>
      </c>
      <c r="FX22" s="24">
        <f t="shared" si="987"/>
        <v>0</v>
      </c>
      <c r="FY22" s="24">
        <f t="shared" si="987"/>
        <v>0</v>
      </c>
      <c r="FZ22" s="24">
        <f t="shared" si="987"/>
        <v>0</v>
      </c>
      <c r="GA22" s="24">
        <f t="shared" si="987"/>
        <v>0</v>
      </c>
      <c r="GB22" s="24">
        <f t="shared" si="987"/>
        <v>0</v>
      </c>
      <c r="GC22" s="24">
        <f t="shared" si="987"/>
        <v>0</v>
      </c>
      <c r="GD22" s="24">
        <f t="shared" si="987"/>
        <v>0</v>
      </c>
      <c r="GE22" s="24">
        <f t="shared" si="987"/>
        <v>0</v>
      </c>
      <c r="GF22" s="24">
        <f t="shared" si="987"/>
        <v>0</v>
      </c>
      <c r="GG22" s="24">
        <f t="shared" si="987"/>
        <v>0</v>
      </c>
      <c r="GH22" s="24">
        <f t="shared" si="987"/>
        <v>0</v>
      </c>
      <c r="GI22" s="24">
        <f t="shared" si="987"/>
        <v>0</v>
      </c>
      <c r="GJ22" s="24">
        <f t="shared" si="987"/>
        <v>0</v>
      </c>
      <c r="GK22" s="24">
        <f t="shared" si="987"/>
        <v>0</v>
      </c>
      <c r="GL22" s="24">
        <f t="shared" si="987"/>
        <v>0</v>
      </c>
      <c r="GM22" s="24">
        <f t="shared" si="987"/>
        <v>0</v>
      </c>
      <c r="GN22" s="24">
        <f t="shared" si="987"/>
        <v>0</v>
      </c>
      <c r="GO22" s="24">
        <f t="shared" si="987"/>
        <v>0</v>
      </c>
      <c r="GP22" s="24">
        <f t="shared" si="987"/>
        <v>0</v>
      </c>
      <c r="GQ22" s="24">
        <f t="shared" ref="GQ22:IN22" si="988">GQ16*$C$14</f>
        <v>0</v>
      </c>
      <c r="GR22" s="24">
        <f t="shared" si="988"/>
        <v>0</v>
      </c>
      <c r="GS22" s="24">
        <f t="shared" si="988"/>
        <v>0</v>
      </c>
      <c r="GT22" s="24">
        <f t="shared" si="988"/>
        <v>0</v>
      </c>
      <c r="GU22" s="24">
        <f t="shared" si="988"/>
        <v>0</v>
      </c>
      <c r="GV22" s="24">
        <f t="shared" si="988"/>
        <v>0</v>
      </c>
      <c r="GW22" s="24">
        <f t="shared" si="988"/>
        <v>0</v>
      </c>
      <c r="GX22" s="24">
        <f t="shared" si="988"/>
        <v>0</v>
      </c>
      <c r="GY22" s="24">
        <f t="shared" si="988"/>
        <v>0</v>
      </c>
      <c r="GZ22" s="24">
        <f t="shared" si="988"/>
        <v>0</v>
      </c>
      <c r="HA22" s="24">
        <f t="shared" si="988"/>
        <v>0</v>
      </c>
      <c r="HB22" s="24">
        <f t="shared" si="988"/>
        <v>0</v>
      </c>
      <c r="HC22" s="24">
        <f t="shared" si="988"/>
        <v>0</v>
      </c>
      <c r="HD22" s="24">
        <f t="shared" si="988"/>
        <v>0</v>
      </c>
      <c r="HE22" s="24">
        <f t="shared" si="988"/>
        <v>0</v>
      </c>
      <c r="HF22" s="24">
        <f t="shared" si="988"/>
        <v>0</v>
      </c>
      <c r="HG22" s="24">
        <f t="shared" si="988"/>
        <v>0</v>
      </c>
      <c r="HH22" s="24">
        <f t="shared" si="988"/>
        <v>0</v>
      </c>
      <c r="HI22" s="24">
        <f t="shared" si="988"/>
        <v>0</v>
      </c>
      <c r="HJ22" s="24">
        <f t="shared" si="988"/>
        <v>0</v>
      </c>
      <c r="HK22" s="24">
        <f t="shared" si="988"/>
        <v>0</v>
      </c>
      <c r="HL22" s="24">
        <f t="shared" si="988"/>
        <v>0</v>
      </c>
      <c r="HM22" s="24">
        <f t="shared" si="988"/>
        <v>0</v>
      </c>
      <c r="HN22" s="24">
        <f t="shared" si="988"/>
        <v>0</v>
      </c>
      <c r="HO22" s="24">
        <f t="shared" si="988"/>
        <v>0</v>
      </c>
      <c r="HP22" s="24">
        <f t="shared" si="988"/>
        <v>0</v>
      </c>
      <c r="HQ22" s="24">
        <f t="shared" si="988"/>
        <v>0</v>
      </c>
      <c r="HR22" s="24">
        <f t="shared" si="988"/>
        <v>0</v>
      </c>
      <c r="HS22" s="24">
        <f t="shared" si="988"/>
        <v>0</v>
      </c>
      <c r="HT22" s="24">
        <f t="shared" si="988"/>
        <v>0</v>
      </c>
      <c r="HU22" s="24">
        <f t="shared" si="988"/>
        <v>0</v>
      </c>
      <c r="HV22" s="24">
        <f t="shared" si="988"/>
        <v>0</v>
      </c>
      <c r="HW22" s="24">
        <f t="shared" si="988"/>
        <v>0</v>
      </c>
      <c r="HX22" s="24">
        <f t="shared" si="988"/>
        <v>0</v>
      </c>
      <c r="HY22" s="24">
        <f t="shared" si="988"/>
        <v>0</v>
      </c>
      <c r="HZ22" s="24">
        <f t="shared" si="988"/>
        <v>0</v>
      </c>
      <c r="IA22" s="24">
        <f t="shared" si="988"/>
        <v>0</v>
      </c>
      <c r="IB22" s="24">
        <f t="shared" si="988"/>
        <v>0</v>
      </c>
      <c r="IC22" s="24">
        <f t="shared" si="988"/>
        <v>0</v>
      </c>
      <c r="ID22" s="24">
        <f t="shared" si="988"/>
        <v>0</v>
      </c>
      <c r="IE22" s="24">
        <f t="shared" si="988"/>
        <v>0</v>
      </c>
      <c r="IF22" s="24">
        <f t="shared" si="988"/>
        <v>0</v>
      </c>
      <c r="IG22" s="24">
        <f t="shared" si="988"/>
        <v>0</v>
      </c>
      <c r="IH22" s="24">
        <f t="shared" si="988"/>
        <v>0</v>
      </c>
      <c r="II22" s="24">
        <f t="shared" si="988"/>
        <v>0</v>
      </c>
      <c r="IJ22" s="24">
        <f t="shared" si="988"/>
        <v>0</v>
      </c>
      <c r="IK22" s="24">
        <f t="shared" si="988"/>
        <v>0</v>
      </c>
      <c r="IL22" s="24">
        <f t="shared" si="988"/>
        <v>0</v>
      </c>
      <c r="IM22" s="24">
        <f t="shared" si="988"/>
        <v>0</v>
      </c>
      <c r="IN22" s="24">
        <f t="shared" si="988"/>
        <v>0</v>
      </c>
    </row>
    <row r="23" spans="2:248" x14ac:dyDescent="0.3">
      <c r="B23" s="19" t="s">
        <v>628</v>
      </c>
      <c r="C23" s="66">
        <f>IF(VLOOKUP(B2,'Country Summary'!C:I,7,FALSE)="","Not initiated",VLOOKUP(B2,'Country Summary'!C:I,7,FALSE))</f>
        <v>43886</v>
      </c>
      <c r="F23" s="22" t="s">
        <v>512</v>
      </c>
      <c r="G23" s="26" t="str">
        <f ca="1">IF(G3=TODAY(),1,"")</f>
        <v/>
      </c>
      <c r="H23" s="26" t="str">
        <f t="shared" ref="H23:BS23" ca="1" si="989">IF(H3=TODAY(),1,"")</f>
        <v/>
      </c>
      <c r="I23" s="26" t="str">
        <f t="shared" ca="1" si="989"/>
        <v/>
      </c>
      <c r="J23" s="26" t="str">
        <f t="shared" ca="1" si="989"/>
        <v/>
      </c>
      <c r="K23" s="26" t="str">
        <f t="shared" ca="1" si="989"/>
        <v/>
      </c>
      <c r="L23" s="26" t="str">
        <f t="shared" ca="1" si="989"/>
        <v/>
      </c>
      <c r="M23" s="26" t="str">
        <f t="shared" ca="1" si="989"/>
        <v/>
      </c>
      <c r="N23" s="26" t="str">
        <f t="shared" ca="1" si="989"/>
        <v/>
      </c>
      <c r="O23" s="26" t="str">
        <f t="shared" ca="1" si="989"/>
        <v/>
      </c>
      <c r="P23" s="26" t="str">
        <f t="shared" ca="1" si="989"/>
        <v/>
      </c>
      <c r="Q23" s="26" t="str">
        <f t="shared" ca="1" si="989"/>
        <v/>
      </c>
      <c r="R23" s="26" t="str">
        <f t="shared" ca="1" si="989"/>
        <v/>
      </c>
      <c r="S23" s="26" t="str">
        <f t="shared" ca="1" si="989"/>
        <v/>
      </c>
      <c r="T23" s="26" t="str">
        <f t="shared" ca="1" si="989"/>
        <v/>
      </c>
      <c r="U23" s="26" t="str">
        <f t="shared" ca="1" si="989"/>
        <v/>
      </c>
      <c r="V23" s="26" t="str">
        <f t="shared" ca="1" si="989"/>
        <v/>
      </c>
      <c r="W23" s="26" t="str">
        <f t="shared" ca="1" si="989"/>
        <v/>
      </c>
      <c r="X23" s="26" t="str">
        <f t="shared" ca="1" si="989"/>
        <v/>
      </c>
      <c r="Y23" s="26" t="str">
        <f t="shared" ca="1" si="989"/>
        <v/>
      </c>
      <c r="Z23" s="26" t="str">
        <f t="shared" ca="1" si="989"/>
        <v/>
      </c>
      <c r="AA23" s="26" t="str">
        <f t="shared" ca="1" si="989"/>
        <v/>
      </c>
      <c r="AB23" s="26" t="str">
        <f t="shared" ca="1" si="989"/>
        <v/>
      </c>
      <c r="AC23" s="26" t="str">
        <f t="shared" ca="1" si="989"/>
        <v/>
      </c>
      <c r="AD23" s="26" t="str">
        <f t="shared" ca="1" si="989"/>
        <v/>
      </c>
      <c r="AE23" s="26">
        <f t="shared" ca="1" si="989"/>
        <v>1</v>
      </c>
      <c r="AF23" s="26" t="str">
        <f t="shared" ca="1" si="989"/>
        <v/>
      </c>
      <c r="AG23" s="26" t="str">
        <f t="shared" ca="1" si="989"/>
        <v/>
      </c>
      <c r="AH23" s="26" t="str">
        <f t="shared" ca="1" si="989"/>
        <v/>
      </c>
      <c r="AI23" s="26" t="str">
        <f t="shared" ca="1" si="989"/>
        <v/>
      </c>
      <c r="AJ23" s="26" t="str">
        <f t="shared" ca="1" si="989"/>
        <v/>
      </c>
      <c r="AK23" s="26" t="str">
        <f t="shared" ca="1" si="989"/>
        <v/>
      </c>
      <c r="AL23" s="26" t="str">
        <f t="shared" ca="1" si="989"/>
        <v/>
      </c>
      <c r="AM23" s="26" t="str">
        <f t="shared" ca="1" si="989"/>
        <v/>
      </c>
      <c r="AN23" s="26" t="str">
        <f t="shared" ca="1" si="989"/>
        <v/>
      </c>
      <c r="AO23" s="26" t="str">
        <f t="shared" ca="1" si="989"/>
        <v/>
      </c>
      <c r="AP23" s="26" t="str">
        <f t="shared" ca="1" si="989"/>
        <v/>
      </c>
      <c r="AQ23" s="26" t="str">
        <f t="shared" ca="1" si="989"/>
        <v/>
      </c>
      <c r="AR23" s="26" t="str">
        <f t="shared" ca="1" si="989"/>
        <v/>
      </c>
      <c r="AS23" s="26" t="str">
        <f t="shared" ca="1" si="989"/>
        <v/>
      </c>
      <c r="AT23" s="26" t="str">
        <f t="shared" ca="1" si="989"/>
        <v/>
      </c>
      <c r="AU23" s="26" t="str">
        <f t="shared" ca="1" si="989"/>
        <v/>
      </c>
      <c r="AV23" s="26" t="str">
        <f t="shared" ca="1" si="989"/>
        <v/>
      </c>
      <c r="AW23" s="26" t="str">
        <f t="shared" ca="1" si="989"/>
        <v/>
      </c>
      <c r="AX23" s="26" t="str">
        <f t="shared" ca="1" si="989"/>
        <v/>
      </c>
      <c r="AY23" s="26" t="str">
        <f t="shared" ca="1" si="989"/>
        <v/>
      </c>
      <c r="AZ23" s="26" t="str">
        <f t="shared" ca="1" si="989"/>
        <v/>
      </c>
      <c r="BA23" s="26" t="str">
        <f t="shared" ca="1" si="989"/>
        <v/>
      </c>
      <c r="BB23" s="26" t="str">
        <f t="shared" ca="1" si="989"/>
        <v/>
      </c>
      <c r="BC23" s="26" t="str">
        <f t="shared" ca="1" si="989"/>
        <v/>
      </c>
      <c r="BD23" s="26" t="str">
        <f t="shared" ca="1" si="989"/>
        <v/>
      </c>
      <c r="BE23" s="26" t="str">
        <f t="shared" ca="1" si="989"/>
        <v/>
      </c>
      <c r="BF23" s="26" t="str">
        <f t="shared" ca="1" si="989"/>
        <v/>
      </c>
      <c r="BG23" s="26" t="str">
        <f t="shared" ca="1" si="989"/>
        <v/>
      </c>
      <c r="BH23" s="26" t="str">
        <f t="shared" ca="1" si="989"/>
        <v/>
      </c>
      <c r="BI23" s="26" t="str">
        <f t="shared" ca="1" si="989"/>
        <v/>
      </c>
      <c r="BJ23" s="26" t="str">
        <f t="shared" ca="1" si="989"/>
        <v/>
      </c>
      <c r="BK23" s="26" t="str">
        <f t="shared" ca="1" si="989"/>
        <v/>
      </c>
      <c r="BL23" s="26" t="str">
        <f t="shared" ca="1" si="989"/>
        <v/>
      </c>
      <c r="BM23" s="26" t="str">
        <f t="shared" ca="1" si="989"/>
        <v/>
      </c>
      <c r="BN23" s="26" t="str">
        <f t="shared" ca="1" si="989"/>
        <v/>
      </c>
      <c r="BO23" s="26" t="str">
        <f t="shared" ca="1" si="989"/>
        <v/>
      </c>
      <c r="BP23" s="26" t="str">
        <f t="shared" ca="1" si="989"/>
        <v/>
      </c>
      <c r="BQ23" s="26" t="str">
        <f t="shared" ca="1" si="989"/>
        <v/>
      </c>
      <c r="BR23" s="26" t="str">
        <f t="shared" ca="1" si="989"/>
        <v/>
      </c>
      <c r="BS23" s="26" t="str">
        <f t="shared" ca="1" si="989"/>
        <v/>
      </c>
      <c r="BT23" s="26" t="str">
        <f t="shared" ref="BT23:EE23" ca="1" si="990">IF(BT3=TODAY(),1,"")</f>
        <v/>
      </c>
      <c r="BU23" s="26" t="str">
        <f t="shared" ca="1" si="990"/>
        <v/>
      </c>
      <c r="BV23" s="26" t="str">
        <f t="shared" ca="1" si="990"/>
        <v/>
      </c>
      <c r="BW23" s="26" t="str">
        <f t="shared" ca="1" si="990"/>
        <v/>
      </c>
      <c r="BX23" s="26" t="str">
        <f t="shared" ca="1" si="990"/>
        <v/>
      </c>
      <c r="BY23" s="26" t="str">
        <f t="shared" ca="1" si="990"/>
        <v/>
      </c>
      <c r="BZ23" s="26" t="str">
        <f t="shared" ca="1" si="990"/>
        <v/>
      </c>
      <c r="CA23" s="26" t="str">
        <f t="shared" ca="1" si="990"/>
        <v/>
      </c>
      <c r="CB23" s="26" t="str">
        <f t="shared" ca="1" si="990"/>
        <v/>
      </c>
      <c r="CC23" s="26" t="str">
        <f t="shared" ca="1" si="990"/>
        <v/>
      </c>
      <c r="CD23" s="26" t="str">
        <f t="shared" ca="1" si="990"/>
        <v/>
      </c>
      <c r="CE23" s="26" t="str">
        <f t="shared" ca="1" si="990"/>
        <v/>
      </c>
      <c r="CF23" s="26" t="str">
        <f t="shared" ca="1" si="990"/>
        <v/>
      </c>
      <c r="CG23" s="26" t="str">
        <f t="shared" ca="1" si="990"/>
        <v/>
      </c>
      <c r="CH23" s="26" t="str">
        <f t="shared" ca="1" si="990"/>
        <v/>
      </c>
      <c r="CI23" s="26" t="str">
        <f t="shared" ca="1" si="990"/>
        <v/>
      </c>
      <c r="CJ23" s="26" t="str">
        <f t="shared" ca="1" si="990"/>
        <v/>
      </c>
      <c r="CK23" s="26" t="str">
        <f t="shared" ca="1" si="990"/>
        <v/>
      </c>
      <c r="CL23" s="26" t="str">
        <f t="shared" ca="1" si="990"/>
        <v/>
      </c>
      <c r="CM23" s="26" t="str">
        <f t="shared" ca="1" si="990"/>
        <v/>
      </c>
      <c r="CN23" s="26" t="str">
        <f t="shared" ca="1" si="990"/>
        <v/>
      </c>
      <c r="CO23" s="26" t="str">
        <f t="shared" ca="1" si="990"/>
        <v/>
      </c>
      <c r="CP23" s="26" t="str">
        <f t="shared" ca="1" si="990"/>
        <v/>
      </c>
      <c r="CQ23" s="26" t="str">
        <f t="shared" ca="1" si="990"/>
        <v/>
      </c>
      <c r="CR23" s="26" t="str">
        <f t="shared" ca="1" si="990"/>
        <v/>
      </c>
      <c r="CS23" s="26" t="str">
        <f t="shared" ca="1" si="990"/>
        <v/>
      </c>
      <c r="CT23" s="26" t="str">
        <f t="shared" ca="1" si="990"/>
        <v/>
      </c>
      <c r="CU23" s="26" t="str">
        <f t="shared" ca="1" si="990"/>
        <v/>
      </c>
      <c r="CV23" s="26" t="str">
        <f t="shared" ca="1" si="990"/>
        <v/>
      </c>
      <c r="CW23" s="26" t="str">
        <f t="shared" ca="1" si="990"/>
        <v/>
      </c>
      <c r="CX23" s="26" t="str">
        <f t="shared" ca="1" si="990"/>
        <v/>
      </c>
      <c r="CY23" s="26" t="str">
        <f t="shared" ca="1" si="990"/>
        <v/>
      </c>
      <c r="CZ23" s="26" t="str">
        <f t="shared" ca="1" si="990"/>
        <v/>
      </c>
      <c r="DA23" s="26" t="str">
        <f t="shared" ca="1" si="990"/>
        <v/>
      </c>
      <c r="DB23" s="26" t="str">
        <f t="shared" ca="1" si="990"/>
        <v/>
      </c>
      <c r="DC23" s="26" t="str">
        <f t="shared" ca="1" si="990"/>
        <v/>
      </c>
      <c r="DD23" s="26" t="str">
        <f t="shared" ca="1" si="990"/>
        <v/>
      </c>
      <c r="DE23" s="26" t="str">
        <f t="shared" ca="1" si="990"/>
        <v/>
      </c>
      <c r="DF23" s="26" t="str">
        <f t="shared" ca="1" si="990"/>
        <v/>
      </c>
      <c r="DG23" s="26" t="str">
        <f t="shared" ca="1" si="990"/>
        <v/>
      </c>
      <c r="DH23" s="26" t="str">
        <f t="shared" ca="1" si="990"/>
        <v/>
      </c>
      <c r="DI23" s="26" t="str">
        <f t="shared" ca="1" si="990"/>
        <v/>
      </c>
      <c r="DJ23" s="26" t="str">
        <f t="shared" ca="1" si="990"/>
        <v/>
      </c>
      <c r="DK23" s="26" t="str">
        <f t="shared" ca="1" si="990"/>
        <v/>
      </c>
      <c r="DL23" s="26" t="str">
        <f t="shared" ca="1" si="990"/>
        <v/>
      </c>
      <c r="DM23" s="26" t="str">
        <f t="shared" ca="1" si="990"/>
        <v/>
      </c>
      <c r="DN23" s="26" t="str">
        <f t="shared" ca="1" si="990"/>
        <v/>
      </c>
      <c r="DO23" s="26" t="str">
        <f t="shared" ca="1" si="990"/>
        <v/>
      </c>
      <c r="DP23" s="26" t="str">
        <f t="shared" ca="1" si="990"/>
        <v/>
      </c>
      <c r="DQ23" s="26" t="str">
        <f t="shared" ca="1" si="990"/>
        <v/>
      </c>
      <c r="DR23" s="26" t="str">
        <f t="shared" ca="1" si="990"/>
        <v/>
      </c>
      <c r="DS23" s="26" t="str">
        <f t="shared" ca="1" si="990"/>
        <v/>
      </c>
      <c r="DT23" s="26" t="str">
        <f t="shared" ca="1" si="990"/>
        <v/>
      </c>
      <c r="DU23" s="26" t="str">
        <f t="shared" ca="1" si="990"/>
        <v/>
      </c>
      <c r="DV23" s="26" t="str">
        <f t="shared" ca="1" si="990"/>
        <v/>
      </c>
      <c r="DW23" s="26" t="str">
        <f t="shared" ca="1" si="990"/>
        <v/>
      </c>
      <c r="DX23" s="26" t="str">
        <f t="shared" ca="1" si="990"/>
        <v/>
      </c>
      <c r="DY23" s="26" t="str">
        <f t="shared" ca="1" si="990"/>
        <v/>
      </c>
      <c r="DZ23" s="26" t="str">
        <f t="shared" ca="1" si="990"/>
        <v/>
      </c>
      <c r="EA23" s="26" t="str">
        <f t="shared" ca="1" si="990"/>
        <v/>
      </c>
      <c r="EB23" s="26" t="str">
        <f t="shared" ca="1" si="990"/>
        <v/>
      </c>
      <c r="EC23" s="26" t="str">
        <f t="shared" ca="1" si="990"/>
        <v/>
      </c>
      <c r="ED23" s="26" t="str">
        <f t="shared" ca="1" si="990"/>
        <v/>
      </c>
      <c r="EE23" s="26" t="str">
        <f t="shared" ca="1" si="990"/>
        <v/>
      </c>
      <c r="EF23" s="26" t="str">
        <f t="shared" ref="EF23:GQ23" ca="1" si="991">IF(EF3=TODAY(),1,"")</f>
        <v/>
      </c>
      <c r="EG23" s="26" t="str">
        <f t="shared" ca="1" si="991"/>
        <v/>
      </c>
      <c r="EH23" s="26" t="str">
        <f t="shared" ca="1" si="991"/>
        <v/>
      </c>
      <c r="EI23" s="26" t="str">
        <f t="shared" ca="1" si="991"/>
        <v/>
      </c>
      <c r="EJ23" s="26" t="str">
        <f t="shared" ca="1" si="991"/>
        <v/>
      </c>
      <c r="EK23" s="26" t="str">
        <f t="shared" ca="1" si="991"/>
        <v/>
      </c>
      <c r="EL23" s="26" t="str">
        <f t="shared" ca="1" si="991"/>
        <v/>
      </c>
      <c r="EM23" s="26" t="str">
        <f t="shared" ca="1" si="991"/>
        <v/>
      </c>
      <c r="EN23" s="26" t="str">
        <f t="shared" ca="1" si="991"/>
        <v/>
      </c>
      <c r="EO23" s="26" t="str">
        <f t="shared" ca="1" si="991"/>
        <v/>
      </c>
      <c r="EP23" s="26" t="str">
        <f t="shared" ca="1" si="991"/>
        <v/>
      </c>
      <c r="EQ23" s="26" t="str">
        <f t="shared" ca="1" si="991"/>
        <v/>
      </c>
      <c r="ER23" s="26" t="str">
        <f t="shared" ca="1" si="991"/>
        <v/>
      </c>
      <c r="ES23" s="26" t="str">
        <f t="shared" ca="1" si="991"/>
        <v/>
      </c>
      <c r="ET23" s="26" t="str">
        <f t="shared" ca="1" si="991"/>
        <v/>
      </c>
      <c r="EU23" s="26" t="str">
        <f t="shared" ca="1" si="991"/>
        <v/>
      </c>
      <c r="EV23" s="26" t="str">
        <f t="shared" ca="1" si="991"/>
        <v/>
      </c>
      <c r="EW23" s="26" t="str">
        <f t="shared" ca="1" si="991"/>
        <v/>
      </c>
      <c r="EX23" s="26" t="str">
        <f t="shared" ca="1" si="991"/>
        <v/>
      </c>
      <c r="EY23" s="26" t="str">
        <f t="shared" ca="1" si="991"/>
        <v/>
      </c>
      <c r="EZ23" s="26" t="str">
        <f t="shared" ca="1" si="991"/>
        <v/>
      </c>
      <c r="FA23" s="26" t="str">
        <f t="shared" ca="1" si="991"/>
        <v/>
      </c>
      <c r="FB23" s="26" t="str">
        <f t="shared" ca="1" si="991"/>
        <v/>
      </c>
      <c r="FC23" s="26" t="str">
        <f t="shared" ca="1" si="991"/>
        <v/>
      </c>
      <c r="FD23" s="26" t="str">
        <f t="shared" ca="1" si="991"/>
        <v/>
      </c>
      <c r="FE23" s="26" t="str">
        <f t="shared" ca="1" si="991"/>
        <v/>
      </c>
      <c r="FF23" s="26" t="str">
        <f t="shared" ca="1" si="991"/>
        <v/>
      </c>
      <c r="FG23" s="26" t="str">
        <f t="shared" ca="1" si="991"/>
        <v/>
      </c>
      <c r="FH23" s="26" t="str">
        <f t="shared" ca="1" si="991"/>
        <v/>
      </c>
      <c r="FI23" s="26" t="str">
        <f t="shared" ca="1" si="991"/>
        <v/>
      </c>
      <c r="FJ23" s="26" t="str">
        <f t="shared" ca="1" si="991"/>
        <v/>
      </c>
      <c r="FK23" s="26" t="str">
        <f t="shared" ca="1" si="991"/>
        <v/>
      </c>
      <c r="FL23" s="26" t="str">
        <f t="shared" ca="1" si="991"/>
        <v/>
      </c>
      <c r="FM23" s="26" t="str">
        <f t="shared" ca="1" si="991"/>
        <v/>
      </c>
      <c r="FN23" s="26" t="str">
        <f t="shared" ca="1" si="991"/>
        <v/>
      </c>
      <c r="FO23" s="26" t="str">
        <f t="shared" ca="1" si="991"/>
        <v/>
      </c>
      <c r="FP23" s="26" t="str">
        <f t="shared" ca="1" si="991"/>
        <v/>
      </c>
      <c r="FQ23" s="26" t="str">
        <f t="shared" ca="1" si="991"/>
        <v/>
      </c>
      <c r="FR23" s="26" t="str">
        <f t="shared" ca="1" si="991"/>
        <v/>
      </c>
      <c r="FS23" s="26" t="str">
        <f t="shared" ca="1" si="991"/>
        <v/>
      </c>
      <c r="FT23" s="26" t="str">
        <f t="shared" ca="1" si="991"/>
        <v/>
      </c>
      <c r="FU23" s="26" t="str">
        <f t="shared" ca="1" si="991"/>
        <v/>
      </c>
      <c r="FV23" s="26" t="str">
        <f t="shared" ca="1" si="991"/>
        <v/>
      </c>
      <c r="FW23" s="26" t="str">
        <f t="shared" ca="1" si="991"/>
        <v/>
      </c>
      <c r="FX23" s="26" t="str">
        <f t="shared" ca="1" si="991"/>
        <v/>
      </c>
      <c r="FY23" s="26" t="str">
        <f t="shared" ca="1" si="991"/>
        <v/>
      </c>
      <c r="FZ23" s="26" t="str">
        <f t="shared" ca="1" si="991"/>
        <v/>
      </c>
      <c r="GA23" s="26" t="str">
        <f t="shared" ca="1" si="991"/>
        <v/>
      </c>
      <c r="GB23" s="26" t="str">
        <f t="shared" ca="1" si="991"/>
        <v/>
      </c>
      <c r="GC23" s="26" t="str">
        <f t="shared" ca="1" si="991"/>
        <v/>
      </c>
      <c r="GD23" s="26" t="str">
        <f t="shared" ca="1" si="991"/>
        <v/>
      </c>
      <c r="GE23" s="26" t="str">
        <f t="shared" ca="1" si="991"/>
        <v/>
      </c>
      <c r="GF23" s="26" t="str">
        <f t="shared" ca="1" si="991"/>
        <v/>
      </c>
      <c r="GG23" s="26" t="str">
        <f t="shared" ca="1" si="991"/>
        <v/>
      </c>
      <c r="GH23" s="26" t="str">
        <f t="shared" ca="1" si="991"/>
        <v/>
      </c>
      <c r="GI23" s="26" t="str">
        <f t="shared" ca="1" si="991"/>
        <v/>
      </c>
      <c r="GJ23" s="26" t="str">
        <f t="shared" ca="1" si="991"/>
        <v/>
      </c>
      <c r="GK23" s="26" t="str">
        <f t="shared" ca="1" si="991"/>
        <v/>
      </c>
      <c r="GL23" s="26" t="str">
        <f t="shared" ca="1" si="991"/>
        <v/>
      </c>
      <c r="GM23" s="26" t="str">
        <f t="shared" ca="1" si="991"/>
        <v/>
      </c>
      <c r="GN23" s="26" t="str">
        <f t="shared" ca="1" si="991"/>
        <v/>
      </c>
      <c r="GO23" s="26" t="str">
        <f t="shared" ca="1" si="991"/>
        <v/>
      </c>
      <c r="GP23" s="26" t="str">
        <f t="shared" ca="1" si="991"/>
        <v/>
      </c>
      <c r="GQ23" s="26" t="str">
        <f t="shared" ca="1" si="991"/>
        <v/>
      </c>
      <c r="GR23" s="26" t="str">
        <f t="shared" ref="GR23:IN23" ca="1" si="992">IF(GR3=TODAY(),1,"")</f>
        <v/>
      </c>
      <c r="GS23" s="26" t="str">
        <f t="shared" ca="1" si="992"/>
        <v/>
      </c>
      <c r="GT23" s="26" t="str">
        <f t="shared" ca="1" si="992"/>
        <v/>
      </c>
      <c r="GU23" s="26" t="str">
        <f t="shared" ca="1" si="992"/>
        <v/>
      </c>
      <c r="GV23" s="26" t="str">
        <f t="shared" ca="1" si="992"/>
        <v/>
      </c>
      <c r="GW23" s="26" t="str">
        <f t="shared" ca="1" si="992"/>
        <v/>
      </c>
      <c r="GX23" s="26" t="str">
        <f t="shared" ca="1" si="992"/>
        <v/>
      </c>
      <c r="GY23" s="26" t="str">
        <f t="shared" ca="1" si="992"/>
        <v/>
      </c>
      <c r="GZ23" s="26" t="str">
        <f t="shared" ca="1" si="992"/>
        <v/>
      </c>
      <c r="HA23" s="26" t="str">
        <f t="shared" ca="1" si="992"/>
        <v/>
      </c>
      <c r="HB23" s="26" t="str">
        <f t="shared" ca="1" si="992"/>
        <v/>
      </c>
      <c r="HC23" s="26" t="str">
        <f t="shared" ca="1" si="992"/>
        <v/>
      </c>
      <c r="HD23" s="26" t="str">
        <f t="shared" ca="1" si="992"/>
        <v/>
      </c>
      <c r="HE23" s="26" t="str">
        <f t="shared" ca="1" si="992"/>
        <v/>
      </c>
      <c r="HF23" s="26" t="str">
        <f t="shared" ca="1" si="992"/>
        <v/>
      </c>
      <c r="HG23" s="26" t="str">
        <f t="shared" ca="1" si="992"/>
        <v/>
      </c>
      <c r="HH23" s="26" t="str">
        <f t="shared" ca="1" si="992"/>
        <v/>
      </c>
      <c r="HI23" s="26" t="str">
        <f t="shared" ca="1" si="992"/>
        <v/>
      </c>
      <c r="HJ23" s="26" t="str">
        <f t="shared" ca="1" si="992"/>
        <v/>
      </c>
      <c r="HK23" s="26" t="str">
        <f t="shared" ca="1" si="992"/>
        <v/>
      </c>
      <c r="HL23" s="26" t="str">
        <f t="shared" ca="1" si="992"/>
        <v/>
      </c>
      <c r="HM23" s="26" t="str">
        <f t="shared" ca="1" si="992"/>
        <v/>
      </c>
      <c r="HN23" s="26" t="str">
        <f t="shared" ca="1" si="992"/>
        <v/>
      </c>
      <c r="HO23" s="26" t="str">
        <f t="shared" ca="1" si="992"/>
        <v/>
      </c>
      <c r="HP23" s="26" t="str">
        <f t="shared" ca="1" si="992"/>
        <v/>
      </c>
      <c r="HQ23" s="26" t="str">
        <f t="shared" ca="1" si="992"/>
        <v/>
      </c>
      <c r="HR23" s="26" t="str">
        <f t="shared" ca="1" si="992"/>
        <v/>
      </c>
      <c r="HS23" s="26" t="str">
        <f t="shared" ca="1" si="992"/>
        <v/>
      </c>
      <c r="HT23" s="26" t="str">
        <f t="shared" ca="1" si="992"/>
        <v/>
      </c>
      <c r="HU23" s="26" t="str">
        <f t="shared" ca="1" si="992"/>
        <v/>
      </c>
      <c r="HV23" s="26" t="str">
        <f t="shared" ca="1" si="992"/>
        <v/>
      </c>
      <c r="HW23" s="26" t="str">
        <f t="shared" ca="1" si="992"/>
        <v/>
      </c>
      <c r="HX23" s="26" t="str">
        <f t="shared" ca="1" si="992"/>
        <v/>
      </c>
      <c r="HY23" s="26" t="str">
        <f t="shared" ca="1" si="992"/>
        <v/>
      </c>
      <c r="HZ23" s="26" t="str">
        <f t="shared" ca="1" si="992"/>
        <v/>
      </c>
      <c r="IA23" s="26" t="str">
        <f t="shared" ca="1" si="992"/>
        <v/>
      </c>
      <c r="IB23" s="26" t="str">
        <f t="shared" ca="1" si="992"/>
        <v/>
      </c>
      <c r="IC23" s="26" t="str">
        <f t="shared" ca="1" si="992"/>
        <v/>
      </c>
      <c r="ID23" s="26" t="str">
        <f t="shared" ca="1" si="992"/>
        <v/>
      </c>
      <c r="IE23" s="26" t="str">
        <f t="shared" ca="1" si="992"/>
        <v/>
      </c>
      <c r="IF23" s="26" t="str">
        <f t="shared" ca="1" si="992"/>
        <v/>
      </c>
      <c r="IG23" s="26" t="str">
        <f t="shared" ca="1" si="992"/>
        <v/>
      </c>
      <c r="IH23" s="26" t="str">
        <f t="shared" ca="1" si="992"/>
        <v/>
      </c>
      <c r="II23" s="26" t="str">
        <f t="shared" ca="1" si="992"/>
        <v/>
      </c>
      <c r="IJ23" s="26" t="str">
        <f t="shared" ca="1" si="992"/>
        <v/>
      </c>
      <c r="IK23" s="26" t="str">
        <f t="shared" ca="1" si="992"/>
        <v/>
      </c>
      <c r="IL23" s="26" t="str">
        <f t="shared" ca="1" si="992"/>
        <v/>
      </c>
      <c r="IM23" s="26" t="str">
        <f t="shared" ca="1" si="992"/>
        <v/>
      </c>
      <c r="IN23" s="26" t="str">
        <f t="shared" ca="1" si="992"/>
        <v/>
      </c>
    </row>
    <row r="24" spans="2:248" x14ac:dyDescent="0.3">
      <c r="F24" s="22" t="s">
        <v>513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993">IF(AND(I18&gt;I17,H18&lt;H17),1,0)</f>
        <v>0</v>
      </c>
      <c r="J24" s="26">
        <f t="shared" si="993"/>
        <v>0</v>
      </c>
      <c r="K24" s="26">
        <f t="shared" si="993"/>
        <v>0</v>
      </c>
      <c r="L24" s="26">
        <f t="shared" si="993"/>
        <v>0</v>
      </c>
      <c r="M24" s="26">
        <f t="shared" si="993"/>
        <v>0</v>
      </c>
      <c r="N24" s="26">
        <f t="shared" si="993"/>
        <v>0</v>
      </c>
      <c r="O24" s="26">
        <f t="shared" si="993"/>
        <v>0</v>
      </c>
      <c r="P24" s="26">
        <f t="shared" si="993"/>
        <v>0</v>
      </c>
      <c r="Q24" s="26">
        <f t="shared" si="993"/>
        <v>0</v>
      </c>
      <c r="R24" s="26">
        <f t="shared" si="993"/>
        <v>0</v>
      </c>
      <c r="S24" s="26">
        <f t="shared" si="993"/>
        <v>0</v>
      </c>
      <c r="T24" s="26">
        <f t="shared" si="993"/>
        <v>0</v>
      </c>
      <c r="U24" s="26">
        <f t="shared" si="993"/>
        <v>0</v>
      </c>
      <c r="V24" s="26">
        <f t="shared" si="993"/>
        <v>0</v>
      </c>
      <c r="W24" s="26">
        <f t="shared" si="993"/>
        <v>0</v>
      </c>
      <c r="X24" s="26">
        <f t="shared" si="993"/>
        <v>0</v>
      </c>
      <c r="Y24" s="26">
        <f t="shared" si="993"/>
        <v>0</v>
      </c>
      <c r="Z24" s="26">
        <f t="shared" si="993"/>
        <v>0</v>
      </c>
      <c r="AA24" s="26">
        <f t="shared" si="993"/>
        <v>0</v>
      </c>
      <c r="AB24" s="26">
        <f t="shared" si="993"/>
        <v>0</v>
      </c>
      <c r="AC24" s="26">
        <f t="shared" si="993"/>
        <v>0</v>
      </c>
      <c r="AD24" s="26">
        <f t="shared" si="993"/>
        <v>0</v>
      </c>
      <c r="AE24" s="26">
        <f t="shared" si="993"/>
        <v>0</v>
      </c>
      <c r="AF24" s="26">
        <f t="shared" si="993"/>
        <v>0</v>
      </c>
      <c r="AG24" s="26">
        <f t="shared" si="993"/>
        <v>0</v>
      </c>
      <c r="AH24" s="26">
        <f t="shared" si="993"/>
        <v>0</v>
      </c>
      <c r="AI24" s="26">
        <f t="shared" si="993"/>
        <v>0</v>
      </c>
      <c r="AJ24" s="26">
        <f>IF(AND(AJ18&gt;AJ17,AI18&lt;AI17),1,0)</f>
        <v>0</v>
      </c>
      <c r="AK24" s="26">
        <f t="shared" si="993"/>
        <v>0</v>
      </c>
      <c r="AL24" s="26">
        <f t="shared" si="993"/>
        <v>0</v>
      </c>
      <c r="AM24" s="26">
        <f t="shared" si="993"/>
        <v>0</v>
      </c>
      <c r="AN24" s="26">
        <f t="shared" si="993"/>
        <v>0</v>
      </c>
      <c r="AO24" s="26">
        <f t="shared" si="993"/>
        <v>0</v>
      </c>
      <c r="AP24" s="26">
        <f t="shared" si="993"/>
        <v>1</v>
      </c>
      <c r="AQ24" s="26">
        <f t="shared" si="993"/>
        <v>0</v>
      </c>
      <c r="AR24" s="26">
        <f t="shared" si="993"/>
        <v>0</v>
      </c>
      <c r="AS24" s="26">
        <f t="shared" si="993"/>
        <v>0</v>
      </c>
      <c r="AT24" s="26">
        <f t="shared" si="993"/>
        <v>0</v>
      </c>
      <c r="AU24" s="26">
        <f t="shared" si="993"/>
        <v>0</v>
      </c>
      <c r="AV24" s="26">
        <f t="shared" si="993"/>
        <v>0</v>
      </c>
      <c r="AW24" s="26">
        <f t="shared" si="993"/>
        <v>0</v>
      </c>
      <c r="AX24" s="26">
        <f t="shared" si="993"/>
        <v>0</v>
      </c>
      <c r="AY24" s="26">
        <f t="shared" si="993"/>
        <v>0</v>
      </c>
      <c r="AZ24" s="26">
        <f t="shared" si="993"/>
        <v>0</v>
      </c>
      <c r="BA24" s="26">
        <f t="shared" si="993"/>
        <v>0</v>
      </c>
      <c r="BB24" s="26">
        <f t="shared" si="993"/>
        <v>0</v>
      </c>
      <c r="BC24" s="26">
        <f t="shared" si="993"/>
        <v>0</v>
      </c>
      <c r="BD24" s="26">
        <f t="shared" si="993"/>
        <v>0</v>
      </c>
      <c r="BE24" s="26">
        <f t="shared" si="993"/>
        <v>0</v>
      </c>
      <c r="BF24" s="26">
        <f t="shared" si="993"/>
        <v>0</v>
      </c>
      <c r="BG24" s="26">
        <f t="shared" si="993"/>
        <v>0</v>
      </c>
      <c r="BH24" s="26">
        <f t="shared" si="993"/>
        <v>0</v>
      </c>
      <c r="BI24" s="26">
        <f t="shared" si="993"/>
        <v>0</v>
      </c>
      <c r="BJ24" s="26">
        <f t="shared" si="993"/>
        <v>0</v>
      </c>
      <c r="BK24" s="26">
        <f t="shared" si="993"/>
        <v>0</v>
      </c>
      <c r="BL24" s="26">
        <f t="shared" si="993"/>
        <v>0</v>
      </c>
      <c r="BM24" s="26">
        <f t="shared" si="993"/>
        <v>0</v>
      </c>
      <c r="BN24" s="26">
        <f t="shared" si="993"/>
        <v>0</v>
      </c>
      <c r="BO24" s="26">
        <f t="shared" si="993"/>
        <v>0</v>
      </c>
      <c r="BP24" s="26">
        <f t="shared" si="993"/>
        <v>0</v>
      </c>
      <c r="BQ24" s="26">
        <f t="shared" si="993"/>
        <v>0</v>
      </c>
      <c r="BR24" s="26">
        <f t="shared" si="993"/>
        <v>0</v>
      </c>
      <c r="BS24" s="26">
        <f t="shared" si="993"/>
        <v>0</v>
      </c>
      <c r="BT24" s="26">
        <f t="shared" ref="BT24:EE24" si="994">IF(AND(BT18&gt;BT17,BS18&lt;BS17),1,0)</f>
        <v>0</v>
      </c>
      <c r="BU24" s="26">
        <f t="shared" si="994"/>
        <v>0</v>
      </c>
      <c r="BV24" s="26">
        <f t="shared" si="994"/>
        <v>0</v>
      </c>
      <c r="BW24" s="26">
        <f t="shared" si="994"/>
        <v>0</v>
      </c>
      <c r="BX24" s="26">
        <f t="shared" si="994"/>
        <v>0</v>
      </c>
      <c r="BY24" s="26">
        <f t="shared" si="994"/>
        <v>0</v>
      </c>
      <c r="BZ24" s="26">
        <f t="shared" si="994"/>
        <v>0</v>
      </c>
      <c r="CA24" s="26">
        <f t="shared" si="994"/>
        <v>0</v>
      </c>
      <c r="CB24" s="26">
        <f t="shared" si="994"/>
        <v>0</v>
      </c>
      <c r="CC24" s="26">
        <f t="shared" si="994"/>
        <v>0</v>
      </c>
      <c r="CD24" s="26">
        <f t="shared" si="994"/>
        <v>0</v>
      </c>
      <c r="CE24" s="26">
        <f t="shared" si="994"/>
        <v>0</v>
      </c>
      <c r="CF24" s="26">
        <f t="shared" si="994"/>
        <v>0</v>
      </c>
      <c r="CG24" s="26">
        <f t="shared" si="994"/>
        <v>0</v>
      </c>
      <c r="CH24" s="26">
        <f t="shared" si="994"/>
        <v>0</v>
      </c>
      <c r="CI24" s="26">
        <f t="shared" si="994"/>
        <v>0</v>
      </c>
      <c r="CJ24" s="26">
        <f t="shared" si="994"/>
        <v>0</v>
      </c>
      <c r="CK24" s="26">
        <f t="shared" si="994"/>
        <v>0</v>
      </c>
      <c r="CL24" s="26">
        <f t="shared" si="994"/>
        <v>0</v>
      </c>
      <c r="CM24" s="26">
        <f t="shared" si="994"/>
        <v>0</v>
      </c>
      <c r="CN24" s="26">
        <f t="shared" si="994"/>
        <v>0</v>
      </c>
      <c r="CO24" s="26">
        <f t="shared" si="994"/>
        <v>0</v>
      </c>
      <c r="CP24" s="26">
        <f t="shared" si="994"/>
        <v>0</v>
      </c>
      <c r="CQ24" s="26">
        <f t="shared" si="994"/>
        <v>0</v>
      </c>
      <c r="CR24" s="26">
        <f t="shared" si="994"/>
        <v>0</v>
      </c>
      <c r="CS24" s="26">
        <f t="shared" si="994"/>
        <v>0</v>
      </c>
      <c r="CT24" s="26">
        <f t="shared" si="994"/>
        <v>0</v>
      </c>
      <c r="CU24" s="26">
        <f t="shared" si="994"/>
        <v>0</v>
      </c>
      <c r="CV24" s="26">
        <f t="shared" si="994"/>
        <v>0</v>
      </c>
      <c r="CW24" s="26">
        <f t="shared" si="994"/>
        <v>0</v>
      </c>
      <c r="CX24" s="26">
        <f t="shared" si="994"/>
        <v>0</v>
      </c>
      <c r="CY24" s="26">
        <f t="shared" si="994"/>
        <v>0</v>
      </c>
      <c r="CZ24" s="26">
        <f t="shared" si="994"/>
        <v>0</v>
      </c>
      <c r="DA24" s="26">
        <f t="shared" si="994"/>
        <v>0</v>
      </c>
      <c r="DB24" s="26">
        <f t="shared" si="994"/>
        <v>0</v>
      </c>
      <c r="DC24" s="26">
        <f t="shared" si="994"/>
        <v>0</v>
      </c>
      <c r="DD24" s="26">
        <f t="shared" si="994"/>
        <v>0</v>
      </c>
      <c r="DE24" s="26">
        <f t="shared" si="994"/>
        <v>0</v>
      </c>
      <c r="DF24" s="26">
        <f t="shared" si="994"/>
        <v>0</v>
      </c>
      <c r="DG24" s="26">
        <f t="shared" si="994"/>
        <v>0</v>
      </c>
      <c r="DH24" s="26">
        <f t="shared" si="994"/>
        <v>0</v>
      </c>
      <c r="DI24" s="26">
        <f t="shared" si="994"/>
        <v>0</v>
      </c>
      <c r="DJ24" s="26">
        <f t="shared" si="994"/>
        <v>0</v>
      </c>
      <c r="DK24" s="26">
        <f t="shared" si="994"/>
        <v>0</v>
      </c>
      <c r="DL24" s="26">
        <f t="shared" si="994"/>
        <v>0</v>
      </c>
      <c r="DM24" s="26">
        <f t="shared" si="994"/>
        <v>0</v>
      </c>
      <c r="DN24" s="26">
        <f t="shared" si="994"/>
        <v>0</v>
      </c>
      <c r="DO24" s="26">
        <f t="shared" si="994"/>
        <v>0</v>
      </c>
      <c r="DP24" s="26">
        <f t="shared" si="994"/>
        <v>0</v>
      </c>
      <c r="DQ24" s="26">
        <f t="shared" si="994"/>
        <v>0</v>
      </c>
      <c r="DR24" s="26">
        <f t="shared" si="994"/>
        <v>0</v>
      </c>
      <c r="DS24" s="26">
        <f t="shared" si="994"/>
        <v>0</v>
      </c>
      <c r="DT24" s="26">
        <f t="shared" si="994"/>
        <v>0</v>
      </c>
      <c r="DU24" s="26">
        <f t="shared" si="994"/>
        <v>0</v>
      </c>
      <c r="DV24" s="26">
        <f t="shared" si="994"/>
        <v>0</v>
      </c>
      <c r="DW24" s="26">
        <f t="shared" si="994"/>
        <v>0</v>
      </c>
      <c r="DX24" s="26">
        <f t="shared" si="994"/>
        <v>0</v>
      </c>
      <c r="DY24" s="26">
        <f t="shared" si="994"/>
        <v>0</v>
      </c>
      <c r="DZ24" s="26">
        <f t="shared" si="994"/>
        <v>0</v>
      </c>
      <c r="EA24" s="26">
        <f t="shared" si="994"/>
        <v>0</v>
      </c>
      <c r="EB24" s="26">
        <f t="shared" si="994"/>
        <v>0</v>
      </c>
      <c r="EC24" s="26">
        <f t="shared" si="994"/>
        <v>0</v>
      </c>
      <c r="ED24" s="26">
        <f t="shared" si="994"/>
        <v>0</v>
      </c>
      <c r="EE24" s="26">
        <f t="shared" si="994"/>
        <v>0</v>
      </c>
      <c r="EF24" s="26">
        <f t="shared" ref="EF24:GQ24" si="995">IF(AND(EF18&gt;EF17,EE18&lt;EE17),1,0)</f>
        <v>0</v>
      </c>
      <c r="EG24" s="26">
        <f t="shared" si="995"/>
        <v>0</v>
      </c>
      <c r="EH24" s="26">
        <f t="shared" si="995"/>
        <v>0</v>
      </c>
      <c r="EI24" s="26">
        <f t="shared" si="995"/>
        <v>0</v>
      </c>
      <c r="EJ24" s="26">
        <f t="shared" si="995"/>
        <v>0</v>
      </c>
      <c r="EK24" s="26">
        <f t="shared" si="995"/>
        <v>0</v>
      </c>
      <c r="EL24" s="26">
        <f t="shared" si="995"/>
        <v>0</v>
      </c>
      <c r="EM24" s="26">
        <f t="shared" si="995"/>
        <v>0</v>
      </c>
      <c r="EN24" s="26">
        <f t="shared" si="995"/>
        <v>0</v>
      </c>
      <c r="EO24" s="26">
        <f t="shared" si="995"/>
        <v>0</v>
      </c>
      <c r="EP24" s="26">
        <f t="shared" si="995"/>
        <v>0</v>
      </c>
      <c r="EQ24" s="26">
        <f t="shared" si="995"/>
        <v>0</v>
      </c>
      <c r="ER24" s="26">
        <f t="shared" si="995"/>
        <v>0</v>
      </c>
      <c r="ES24" s="26">
        <f t="shared" si="995"/>
        <v>0</v>
      </c>
      <c r="ET24" s="26">
        <f t="shared" si="995"/>
        <v>0</v>
      </c>
      <c r="EU24" s="26">
        <f t="shared" si="995"/>
        <v>0</v>
      </c>
      <c r="EV24" s="26">
        <f t="shared" si="995"/>
        <v>0</v>
      </c>
      <c r="EW24" s="26">
        <f t="shared" si="995"/>
        <v>0</v>
      </c>
      <c r="EX24" s="26">
        <f t="shared" si="995"/>
        <v>0</v>
      </c>
      <c r="EY24" s="26">
        <f t="shared" si="995"/>
        <v>0</v>
      </c>
      <c r="EZ24" s="26">
        <f t="shared" si="995"/>
        <v>0</v>
      </c>
      <c r="FA24" s="26">
        <f t="shared" si="995"/>
        <v>0</v>
      </c>
      <c r="FB24" s="26">
        <f t="shared" si="995"/>
        <v>0</v>
      </c>
      <c r="FC24" s="26">
        <f t="shared" si="995"/>
        <v>0</v>
      </c>
      <c r="FD24" s="26">
        <f t="shared" si="995"/>
        <v>0</v>
      </c>
      <c r="FE24" s="26">
        <f t="shared" si="995"/>
        <v>0</v>
      </c>
      <c r="FF24" s="26">
        <f t="shared" si="995"/>
        <v>0</v>
      </c>
      <c r="FG24" s="26">
        <f t="shared" si="995"/>
        <v>0</v>
      </c>
      <c r="FH24" s="26">
        <f t="shared" si="995"/>
        <v>0</v>
      </c>
      <c r="FI24" s="26">
        <f t="shared" si="995"/>
        <v>0</v>
      </c>
      <c r="FJ24" s="26">
        <f t="shared" si="995"/>
        <v>0</v>
      </c>
      <c r="FK24" s="26">
        <f t="shared" si="995"/>
        <v>0</v>
      </c>
      <c r="FL24" s="26">
        <f t="shared" si="995"/>
        <v>0</v>
      </c>
      <c r="FM24" s="26">
        <f t="shared" si="995"/>
        <v>0</v>
      </c>
      <c r="FN24" s="26">
        <f t="shared" si="995"/>
        <v>0</v>
      </c>
      <c r="FO24" s="26">
        <f t="shared" si="995"/>
        <v>0</v>
      </c>
      <c r="FP24" s="26">
        <f t="shared" si="995"/>
        <v>0</v>
      </c>
      <c r="FQ24" s="26">
        <f t="shared" si="995"/>
        <v>0</v>
      </c>
      <c r="FR24" s="26">
        <f t="shared" si="995"/>
        <v>0</v>
      </c>
      <c r="FS24" s="26">
        <f t="shared" si="995"/>
        <v>0</v>
      </c>
      <c r="FT24" s="26">
        <f t="shared" si="995"/>
        <v>0</v>
      </c>
      <c r="FU24" s="26">
        <f t="shared" si="995"/>
        <v>0</v>
      </c>
      <c r="FV24" s="26">
        <f t="shared" si="995"/>
        <v>0</v>
      </c>
      <c r="FW24" s="26">
        <f t="shared" si="995"/>
        <v>0</v>
      </c>
      <c r="FX24" s="26">
        <f t="shared" si="995"/>
        <v>0</v>
      </c>
      <c r="FY24" s="26">
        <f t="shared" si="995"/>
        <v>0</v>
      </c>
      <c r="FZ24" s="26">
        <f t="shared" si="995"/>
        <v>0</v>
      </c>
      <c r="GA24" s="26">
        <f t="shared" si="995"/>
        <v>0</v>
      </c>
      <c r="GB24" s="26">
        <f t="shared" si="995"/>
        <v>0</v>
      </c>
      <c r="GC24" s="26">
        <f t="shared" si="995"/>
        <v>0</v>
      </c>
      <c r="GD24" s="26">
        <f t="shared" si="995"/>
        <v>0</v>
      </c>
      <c r="GE24" s="26">
        <f t="shared" si="995"/>
        <v>0</v>
      </c>
      <c r="GF24" s="26">
        <f t="shared" si="995"/>
        <v>0</v>
      </c>
      <c r="GG24" s="26">
        <f t="shared" si="995"/>
        <v>0</v>
      </c>
      <c r="GH24" s="26">
        <f t="shared" si="995"/>
        <v>0</v>
      </c>
      <c r="GI24" s="26">
        <f t="shared" si="995"/>
        <v>0</v>
      </c>
      <c r="GJ24" s="26">
        <f t="shared" si="995"/>
        <v>0</v>
      </c>
      <c r="GK24" s="26">
        <f t="shared" si="995"/>
        <v>0</v>
      </c>
      <c r="GL24" s="26">
        <f t="shared" si="995"/>
        <v>0</v>
      </c>
      <c r="GM24" s="26">
        <f t="shared" si="995"/>
        <v>0</v>
      </c>
      <c r="GN24" s="26">
        <f t="shared" si="995"/>
        <v>0</v>
      </c>
      <c r="GO24" s="26">
        <f t="shared" si="995"/>
        <v>0</v>
      </c>
      <c r="GP24" s="26">
        <f t="shared" si="995"/>
        <v>0</v>
      </c>
      <c r="GQ24" s="26">
        <f t="shared" si="995"/>
        <v>0</v>
      </c>
      <c r="GR24" s="26">
        <f t="shared" ref="GR24:IN24" si="996">IF(AND(GR18&gt;GR17,GQ18&lt;GQ17),1,0)</f>
        <v>0</v>
      </c>
      <c r="GS24" s="26">
        <f t="shared" si="996"/>
        <v>0</v>
      </c>
      <c r="GT24" s="26">
        <f t="shared" si="996"/>
        <v>0</v>
      </c>
      <c r="GU24" s="26">
        <f t="shared" si="996"/>
        <v>0</v>
      </c>
      <c r="GV24" s="26">
        <f t="shared" si="996"/>
        <v>0</v>
      </c>
      <c r="GW24" s="26">
        <f t="shared" si="996"/>
        <v>0</v>
      </c>
      <c r="GX24" s="26">
        <f t="shared" si="996"/>
        <v>0</v>
      </c>
      <c r="GY24" s="26">
        <f t="shared" si="996"/>
        <v>0</v>
      </c>
      <c r="GZ24" s="26">
        <f t="shared" si="996"/>
        <v>0</v>
      </c>
      <c r="HA24" s="26">
        <f t="shared" si="996"/>
        <v>0</v>
      </c>
      <c r="HB24" s="26">
        <f t="shared" si="996"/>
        <v>0</v>
      </c>
      <c r="HC24" s="26">
        <f t="shared" si="996"/>
        <v>0</v>
      </c>
      <c r="HD24" s="26">
        <f t="shared" si="996"/>
        <v>0</v>
      </c>
      <c r="HE24" s="26">
        <f t="shared" si="996"/>
        <v>0</v>
      </c>
      <c r="HF24" s="26">
        <f t="shared" si="996"/>
        <v>0</v>
      </c>
      <c r="HG24" s="26">
        <f t="shared" si="996"/>
        <v>0</v>
      </c>
      <c r="HH24" s="26">
        <f t="shared" si="996"/>
        <v>0</v>
      </c>
      <c r="HI24" s="26">
        <f t="shared" si="996"/>
        <v>0</v>
      </c>
      <c r="HJ24" s="26">
        <f t="shared" si="996"/>
        <v>0</v>
      </c>
      <c r="HK24" s="26">
        <f t="shared" si="996"/>
        <v>0</v>
      </c>
      <c r="HL24" s="26">
        <f t="shared" si="996"/>
        <v>0</v>
      </c>
      <c r="HM24" s="26">
        <f t="shared" si="996"/>
        <v>0</v>
      </c>
      <c r="HN24" s="26">
        <f t="shared" si="996"/>
        <v>0</v>
      </c>
      <c r="HO24" s="26">
        <f t="shared" si="996"/>
        <v>0</v>
      </c>
      <c r="HP24" s="26">
        <f t="shared" si="996"/>
        <v>0</v>
      </c>
      <c r="HQ24" s="26">
        <f t="shared" si="996"/>
        <v>0</v>
      </c>
      <c r="HR24" s="26">
        <f t="shared" si="996"/>
        <v>0</v>
      </c>
      <c r="HS24" s="26">
        <f t="shared" si="996"/>
        <v>0</v>
      </c>
      <c r="HT24" s="26">
        <f t="shared" si="996"/>
        <v>0</v>
      </c>
      <c r="HU24" s="26">
        <f t="shared" si="996"/>
        <v>0</v>
      </c>
      <c r="HV24" s="26">
        <f t="shared" si="996"/>
        <v>0</v>
      </c>
      <c r="HW24" s="26">
        <f t="shared" si="996"/>
        <v>0</v>
      </c>
      <c r="HX24" s="26">
        <f t="shared" si="996"/>
        <v>0</v>
      </c>
      <c r="HY24" s="26">
        <f t="shared" si="996"/>
        <v>0</v>
      </c>
      <c r="HZ24" s="26">
        <f t="shared" si="996"/>
        <v>0</v>
      </c>
      <c r="IA24" s="26">
        <f t="shared" si="996"/>
        <v>0</v>
      </c>
      <c r="IB24" s="26">
        <f t="shared" si="996"/>
        <v>0</v>
      </c>
      <c r="IC24" s="26">
        <f t="shared" si="996"/>
        <v>0</v>
      </c>
      <c r="ID24" s="26">
        <f t="shared" si="996"/>
        <v>0</v>
      </c>
      <c r="IE24" s="26">
        <f t="shared" si="996"/>
        <v>0</v>
      </c>
      <c r="IF24" s="26">
        <f t="shared" si="996"/>
        <v>0</v>
      </c>
      <c r="IG24" s="26">
        <f t="shared" si="996"/>
        <v>0</v>
      </c>
      <c r="IH24" s="26">
        <f t="shared" si="996"/>
        <v>0</v>
      </c>
      <c r="II24" s="26">
        <f t="shared" si="996"/>
        <v>0</v>
      </c>
      <c r="IJ24" s="26">
        <f t="shared" si="996"/>
        <v>0</v>
      </c>
      <c r="IK24" s="26">
        <f t="shared" si="996"/>
        <v>0</v>
      </c>
      <c r="IL24" s="26">
        <f t="shared" si="996"/>
        <v>0</v>
      </c>
      <c r="IM24" s="26">
        <f t="shared" si="996"/>
        <v>0</v>
      </c>
      <c r="IN24" s="26">
        <f t="shared" si="996"/>
        <v>0</v>
      </c>
    </row>
    <row r="25" spans="2:248" x14ac:dyDescent="0.3">
      <c r="B25" s="19" t="s">
        <v>454</v>
      </c>
      <c r="C25" s="21">
        <v>0</v>
      </c>
      <c r="D25" s="19">
        <v>0</v>
      </c>
      <c r="F25" s="22" t="s">
        <v>482</v>
      </c>
      <c r="G25" s="65">
        <f ca="1">H25</f>
        <v>0.47741935483870979</v>
      </c>
      <c r="H25" s="65">
        <f t="shared" ref="H25:BS25" ca="1" si="997">IF(H4&lt;$C$10,(H5/OFFSET(H5,0,-H4))^(1/H4),(H5/OFFSET(H5,0,-$C$10))^(1/$C$10))-1</f>
        <v>0.47741935483870979</v>
      </c>
      <c r="I25" s="65">
        <f t="shared" ca="1" si="997"/>
        <v>0.44132555477196411</v>
      </c>
      <c r="J25" s="65">
        <f t="shared" ca="1" si="997"/>
        <v>0.42973484335964662</v>
      </c>
      <c r="K25" s="65">
        <f t="shared" ca="1" si="997"/>
        <v>0.43376310484681424</v>
      </c>
      <c r="L25" s="65">
        <f t="shared" ca="1" si="997"/>
        <v>0.41780418361610816</v>
      </c>
      <c r="M25" s="65">
        <f t="shared" ca="1" si="997"/>
        <v>0.37560809697707565</v>
      </c>
      <c r="N25" s="65">
        <f t="shared" ca="1" si="997"/>
        <v>0.39383545302397005</v>
      </c>
      <c r="O25" s="65">
        <f t="shared" ca="1" si="997"/>
        <v>0.350628514544846</v>
      </c>
      <c r="P25" s="65">
        <f t="shared" ca="1" si="997"/>
        <v>0.30740216882390192</v>
      </c>
      <c r="Q25" s="65">
        <f t="shared" ca="1" si="997"/>
        <v>0.28316051892393612</v>
      </c>
      <c r="R25" s="65">
        <f t="shared" ca="1" si="997"/>
        <v>0.27882354813973476</v>
      </c>
      <c r="S25" s="65">
        <f t="shared" ca="1" si="997"/>
        <v>0.22305504742252458</v>
      </c>
      <c r="T25" s="65">
        <f t="shared" ca="1" si="997"/>
        <v>0.23641485687317498</v>
      </c>
      <c r="U25" s="65">
        <f t="shared" ca="1" si="997"/>
        <v>0.24135198734888585</v>
      </c>
      <c r="V25" s="65">
        <f t="shared" ca="1" si="997"/>
        <v>0.24316629678345403</v>
      </c>
      <c r="W25" s="65">
        <f t="shared" ca="1" si="997"/>
        <v>0.21342295321980154</v>
      </c>
      <c r="X25" s="65">
        <f t="shared" ca="1" si="997"/>
        <v>0.21867769906843249</v>
      </c>
      <c r="Y25" s="65">
        <f t="shared" ca="1" si="997"/>
        <v>0.18933948541013246</v>
      </c>
      <c r="Z25" s="65">
        <f t="shared" ca="1" si="997"/>
        <v>0.1908189439097252</v>
      </c>
      <c r="AA25" s="65">
        <f t="shared" ca="1" si="997"/>
        <v>0.18194701451195328</v>
      </c>
      <c r="AB25" s="65">
        <f t="shared" ca="1" si="997"/>
        <v>0.19514296978664381</v>
      </c>
      <c r="AC25" s="65">
        <f t="shared" ca="1" si="997"/>
        <v>0.17557946886657216</v>
      </c>
      <c r="AD25" s="65">
        <f t="shared" ca="1" si="997"/>
        <v>0.17612382212188282</v>
      </c>
      <c r="AE25" s="65" t="e">
        <f t="shared" ca="1" si="997"/>
        <v>#N/A</v>
      </c>
      <c r="AF25" s="65" t="e">
        <f t="shared" ca="1" si="997"/>
        <v>#N/A</v>
      </c>
      <c r="AG25" s="65" t="e">
        <f t="shared" ca="1" si="997"/>
        <v>#N/A</v>
      </c>
      <c r="AH25" s="65" t="e">
        <f t="shared" ca="1" si="997"/>
        <v>#N/A</v>
      </c>
      <c r="AI25" s="65" t="e">
        <f t="shared" ca="1" si="997"/>
        <v>#N/A</v>
      </c>
      <c r="AJ25" s="65" t="e">
        <f t="shared" ca="1" si="997"/>
        <v>#N/A</v>
      </c>
      <c r="AK25" s="65" t="e">
        <f t="shared" ca="1" si="997"/>
        <v>#N/A</v>
      </c>
      <c r="AL25" s="65" t="e">
        <f t="shared" ca="1" si="997"/>
        <v>#N/A</v>
      </c>
      <c r="AM25" s="65" t="e">
        <f t="shared" ca="1" si="997"/>
        <v>#N/A</v>
      </c>
      <c r="AN25" s="65" t="e">
        <f t="shared" ca="1" si="997"/>
        <v>#N/A</v>
      </c>
      <c r="AO25" s="65" t="e">
        <f t="shared" ca="1" si="997"/>
        <v>#N/A</v>
      </c>
      <c r="AP25" s="65" t="e">
        <f t="shared" ca="1" si="997"/>
        <v>#N/A</v>
      </c>
      <c r="AQ25" s="65" t="e">
        <f t="shared" ca="1" si="997"/>
        <v>#N/A</v>
      </c>
      <c r="AR25" s="65" t="e">
        <f t="shared" ca="1" si="997"/>
        <v>#N/A</v>
      </c>
      <c r="AS25" s="65" t="e">
        <f t="shared" ca="1" si="997"/>
        <v>#N/A</v>
      </c>
      <c r="AT25" s="65" t="e">
        <f t="shared" ca="1" si="997"/>
        <v>#N/A</v>
      </c>
      <c r="AU25" s="65" t="e">
        <f t="shared" ca="1" si="997"/>
        <v>#N/A</v>
      </c>
      <c r="AV25" s="65" t="e">
        <f t="shared" ca="1" si="997"/>
        <v>#N/A</v>
      </c>
      <c r="AW25" s="65" t="e">
        <f t="shared" ca="1" si="997"/>
        <v>#N/A</v>
      </c>
      <c r="AX25" s="65" t="e">
        <f t="shared" ca="1" si="997"/>
        <v>#N/A</v>
      </c>
      <c r="AY25" s="65" t="e">
        <f t="shared" ca="1" si="997"/>
        <v>#N/A</v>
      </c>
      <c r="AZ25" s="65" t="e">
        <f t="shared" ca="1" si="997"/>
        <v>#N/A</v>
      </c>
      <c r="BA25" s="65" t="e">
        <f t="shared" ca="1" si="997"/>
        <v>#N/A</v>
      </c>
      <c r="BB25" s="65" t="e">
        <f t="shared" ca="1" si="997"/>
        <v>#N/A</v>
      </c>
      <c r="BC25" s="65" t="e">
        <f t="shared" ca="1" si="997"/>
        <v>#N/A</v>
      </c>
      <c r="BD25" s="65" t="e">
        <f t="shared" ca="1" si="997"/>
        <v>#N/A</v>
      </c>
      <c r="BE25" s="65" t="e">
        <f t="shared" ca="1" si="997"/>
        <v>#N/A</v>
      </c>
      <c r="BF25" s="65" t="e">
        <f t="shared" ca="1" si="997"/>
        <v>#N/A</v>
      </c>
      <c r="BG25" s="65" t="e">
        <f t="shared" ca="1" si="997"/>
        <v>#N/A</v>
      </c>
      <c r="BH25" s="65" t="e">
        <f t="shared" ca="1" si="997"/>
        <v>#N/A</v>
      </c>
      <c r="BI25" s="65" t="e">
        <f t="shared" ca="1" si="997"/>
        <v>#N/A</v>
      </c>
      <c r="BJ25" s="65" t="e">
        <f t="shared" ca="1" si="997"/>
        <v>#N/A</v>
      </c>
      <c r="BK25" s="65" t="e">
        <f t="shared" ca="1" si="997"/>
        <v>#N/A</v>
      </c>
      <c r="BL25" s="65" t="e">
        <f t="shared" ca="1" si="997"/>
        <v>#N/A</v>
      </c>
      <c r="BM25" s="65" t="e">
        <f t="shared" ca="1" si="997"/>
        <v>#N/A</v>
      </c>
      <c r="BN25" s="65" t="e">
        <f t="shared" ca="1" si="997"/>
        <v>#N/A</v>
      </c>
      <c r="BO25" s="65" t="e">
        <f t="shared" ca="1" si="997"/>
        <v>#N/A</v>
      </c>
      <c r="BP25" s="65" t="e">
        <f t="shared" ca="1" si="997"/>
        <v>#N/A</v>
      </c>
      <c r="BQ25" s="65" t="e">
        <f t="shared" ca="1" si="997"/>
        <v>#N/A</v>
      </c>
      <c r="BR25" s="65" t="e">
        <f t="shared" ca="1" si="997"/>
        <v>#N/A</v>
      </c>
      <c r="BS25" s="65" t="e">
        <f t="shared" ca="1" si="997"/>
        <v>#N/A</v>
      </c>
      <c r="BT25" s="65" t="e">
        <f t="shared" ref="BT25:EE25" ca="1" si="998">IF(BT4&lt;$C$10,(BT5/OFFSET(BT5,0,-BT4))^(1/BT4),(BT5/OFFSET(BT5,0,-$C$10))^(1/$C$10))-1</f>
        <v>#N/A</v>
      </c>
      <c r="BU25" s="65" t="e">
        <f t="shared" ca="1" si="998"/>
        <v>#N/A</v>
      </c>
      <c r="BV25" s="65" t="e">
        <f t="shared" ca="1" si="998"/>
        <v>#N/A</v>
      </c>
      <c r="BW25" s="65" t="e">
        <f t="shared" ca="1" si="998"/>
        <v>#N/A</v>
      </c>
      <c r="BX25" s="65" t="e">
        <f t="shared" ca="1" si="998"/>
        <v>#N/A</v>
      </c>
      <c r="BY25" s="65" t="e">
        <f t="shared" ca="1" si="998"/>
        <v>#N/A</v>
      </c>
      <c r="BZ25" s="65" t="e">
        <f t="shared" ca="1" si="998"/>
        <v>#N/A</v>
      </c>
      <c r="CA25" s="65" t="e">
        <f t="shared" ca="1" si="998"/>
        <v>#N/A</v>
      </c>
      <c r="CB25" s="65" t="e">
        <f t="shared" ca="1" si="998"/>
        <v>#N/A</v>
      </c>
      <c r="CC25" s="65" t="e">
        <f t="shared" ca="1" si="998"/>
        <v>#N/A</v>
      </c>
      <c r="CD25" s="65" t="e">
        <f t="shared" ca="1" si="998"/>
        <v>#N/A</v>
      </c>
      <c r="CE25" s="65" t="e">
        <f t="shared" ca="1" si="998"/>
        <v>#N/A</v>
      </c>
      <c r="CF25" s="65" t="e">
        <f t="shared" ca="1" si="998"/>
        <v>#N/A</v>
      </c>
      <c r="CG25" s="65" t="e">
        <f t="shared" ca="1" si="998"/>
        <v>#N/A</v>
      </c>
      <c r="CH25" s="65" t="e">
        <f t="shared" ca="1" si="998"/>
        <v>#N/A</v>
      </c>
      <c r="CI25" s="65" t="e">
        <f t="shared" ca="1" si="998"/>
        <v>#N/A</v>
      </c>
      <c r="CJ25" s="65" t="e">
        <f t="shared" ca="1" si="998"/>
        <v>#N/A</v>
      </c>
      <c r="CK25" s="65" t="e">
        <f t="shared" ca="1" si="998"/>
        <v>#N/A</v>
      </c>
      <c r="CL25" s="65" t="e">
        <f t="shared" ca="1" si="998"/>
        <v>#N/A</v>
      </c>
      <c r="CM25" s="65" t="e">
        <f t="shared" ca="1" si="998"/>
        <v>#N/A</v>
      </c>
      <c r="CN25" s="65" t="e">
        <f t="shared" ca="1" si="998"/>
        <v>#N/A</v>
      </c>
      <c r="CO25" s="65" t="e">
        <f t="shared" ca="1" si="998"/>
        <v>#N/A</v>
      </c>
      <c r="CP25" s="65" t="e">
        <f t="shared" ca="1" si="998"/>
        <v>#N/A</v>
      </c>
      <c r="CQ25" s="65" t="e">
        <f t="shared" ca="1" si="998"/>
        <v>#N/A</v>
      </c>
      <c r="CR25" s="65" t="e">
        <f t="shared" ca="1" si="998"/>
        <v>#N/A</v>
      </c>
      <c r="CS25" s="65" t="e">
        <f t="shared" ca="1" si="998"/>
        <v>#N/A</v>
      </c>
      <c r="CT25" s="65" t="e">
        <f t="shared" ca="1" si="998"/>
        <v>#N/A</v>
      </c>
      <c r="CU25" s="65" t="e">
        <f t="shared" ca="1" si="998"/>
        <v>#N/A</v>
      </c>
      <c r="CV25" s="65" t="e">
        <f t="shared" ca="1" si="998"/>
        <v>#N/A</v>
      </c>
      <c r="CW25" s="65" t="e">
        <f t="shared" ca="1" si="998"/>
        <v>#N/A</v>
      </c>
      <c r="CX25" s="65" t="e">
        <f t="shared" ca="1" si="998"/>
        <v>#N/A</v>
      </c>
      <c r="CY25" s="65" t="e">
        <f t="shared" ca="1" si="998"/>
        <v>#N/A</v>
      </c>
      <c r="CZ25" s="65" t="e">
        <f t="shared" ca="1" si="998"/>
        <v>#N/A</v>
      </c>
      <c r="DA25" s="65" t="e">
        <f t="shared" ca="1" si="998"/>
        <v>#N/A</v>
      </c>
      <c r="DB25" s="65" t="e">
        <f t="shared" ca="1" si="998"/>
        <v>#N/A</v>
      </c>
      <c r="DC25" s="65" t="e">
        <f t="shared" ca="1" si="998"/>
        <v>#N/A</v>
      </c>
      <c r="DD25" s="65" t="e">
        <f t="shared" ca="1" si="998"/>
        <v>#N/A</v>
      </c>
      <c r="DE25" s="65" t="e">
        <f t="shared" ca="1" si="998"/>
        <v>#N/A</v>
      </c>
      <c r="DF25" s="65" t="e">
        <f t="shared" ca="1" si="998"/>
        <v>#N/A</v>
      </c>
      <c r="DG25" s="65" t="e">
        <f t="shared" ca="1" si="998"/>
        <v>#N/A</v>
      </c>
      <c r="DH25" s="65" t="e">
        <f t="shared" ca="1" si="998"/>
        <v>#N/A</v>
      </c>
      <c r="DI25" s="65" t="e">
        <f t="shared" ca="1" si="998"/>
        <v>#N/A</v>
      </c>
      <c r="DJ25" s="65" t="e">
        <f t="shared" ca="1" si="998"/>
        <v>#N/A</v>
      </c>
      <c r="DK25" s="65" t="e">
        <f t="shared" ca="1" si="998"/>
        <v>#N/A</v>
      </c>
      <c r="DL25" s="65" t="e">
        <f t="shared" ca="1" si="998"/>
        <v>#N/A</v>
      </c>
      <c r="DM25" s="65" t="e">
        <f t="shared" ca="1" si="998"/>
        <v>#N/A</v>
      </c>
      <c r="DN25" s="65" t="e">
        <f t="shared" ca="1" si="998"/>
        <v>#N/A</v>
      </c>
      <c r="DO25" s="65" t="e">
        <f t="shared" ca="1" si="998"/>
        <v>#N/A</v>
      </c>
      <c r="DP25" s="65" t="e">
        <f t="shared" ca="1" si="998"/>
        <v>#N/A</v>
      </c>
      <c r="DQ25" s="65" t="e">
        <f t="shared" ca="1" si="998"/>
        <v>#N/A</v>
      </c>
      <c r="DR25" s="65" t="e">
        <f t="shared" ca="1" si="998"/>
        <v>#N/A</v>
      </c>
      <c r="DS25" s="65" t="e">
        <f t="shared" ca="1" si="998"/>
        <v>#N/A</v>
      </c>
      <c r="DT25" s="65" t="e">
        <f t="shared" ca="1" si="998"/>
        <v>#N/A</v>
      </c>
      <c r="DU25" s="65" t="e">
        <f t="shared" ca="1" si="998"/>
        <v>#N/A</v>
      </c>
      <c r="DV25" s="65" t="e">
        <f t="shared" ca="1" si="998"/>
        <v>#N/A</v>
      </c>
      <c r="DW25" s="65" t="e">
        <f t="shared" ca="1" si="998"/>
        <v>#N/A</v>
      </c>
      <c r="DX25" s="65" t="e">
        <f t="shared" ca="1" si="998"/>
        <v>#N/A</v>
      </c>
      <c r="DY25" s="65" t="e">
        <f t="shared" ca="1" si="998"/>
        <v>#N/A</v>
      </c>
      <c r="DZ25" s="65" t="e">
        <f t="shared" ca="1" si="998"/>
        <v>#N/A</v>
      </c>
      <c r="EA25" s="65" t="e">
        <f t="shared" ca="1" si="998"/>
        <v>#N/A</v>
      </c>
      <c r="EB25" s="65" t="e">
        <f t="shared" ca="1" si="998"/>
        <v>#N/A</v>
      </c>
      <c r="EC25" s="65" t="e">
        <f t="shared" ca="1" si="998"/>
        <v>#N/A</v>
      </c>
      <c r="ED25" s="65" t="e">
        <f t="shared" ca="1" si="998"/>
        <v>#N/A</v>
      </c>
      <c r="EE25" s="65" t="e">
        <f t="shared" ca="1" si="998"/>
        <v>#N/A</v>
      </c>
      <c r="EF25" s="65" t="e">
        <f t="shared" ref="EF25:GQ25" ca="1" si="999">IF(EF4&lt;$C$10,(EF5/OFFSET(EF5,0,-EF4))^(1/EF4),(EF5/OFFSET(EF5,0,-$C$10))^(1/$C$10))-1</f>
        <v>#N/A</v>
      </c>
      <c r="EG25" s="65" t="e">
        <f t="shared" ca="1" si="999"/>
        <v>#N/A</v>
      </c>
      <c r="EH25" s="65" t="e">
        <f t="shared" ca="1" si="999"/>
        <v>#N/A</v>
      </c>
      <c r="EI25" s="65" t="e">
        <f t="shared" ca="1" si="999"/>
        <v>#N/A</v>
      </c>
      <c r="EJ25" s="65" t="e">
        <f t="shared" ca="1" si="999"/>
        <v>#N/A</v>
      </c>
      <c r="EK25" s="65" t="e">
        <f t="shared" ca="1" si="999"/>
        <v>#N/A</v>
      </c>
      <c r="EL25" s="65" t="e">
        <f t="shared" ca="1" si="999"/>
        <v>#N/A</v>
      </c>
      <c r="EM25" s="65" t="e">
        <f t="shared" ca="1" si="999"/>
        <v>#N/A</v>
      </c>
      <c r="EN25" s="65" t="e">
        <f t="shared" ca="1" si="999"/>
        <v>#N/A</v>
      </c>
      <c r="EO25" s="65" t="e">
        <f t="shared" ca="1" si="999"/>
        <v>#N/A</v>
      </c>
      <c r="EP25" s="65" t="e">
        <f t="shared" ca="1" si="999"/>
        <v>#N/A</v>
      </c>
      <c r="EQ25" s="65" t="e">
        <f t="shared" ca="1" si="999"/>
        <v>#N/A</v>
      </c>
      <c r="ER25" s="65" t="e">
        <f t="shared" ca="1" si="999"/>
        <v>#N/A</v>
      </c>
      <c r="ES25" s="65" t="e">
        <f t="shared" ca="1" si="999"/>
        <v>#N/A</v>
      </c>
      <c r="ET25" s="65" t="e">
        <f t="shared" ca="1" si="999"/>
        <v>#N/A</v>
      </c>
      <c r="EU25" s="65" t="e">
        <f t="shared" ca="1" si="999"/>
        <v>#N/A</v>
      </c>
      <c r="EV25" s="65" t="e">
        <f t="shared" ca="1" si="999"/>
        <v>#N/A</v>
      </c>
      <c r="EW25" s="65" t="e">
        <f t="shared" ca="1" si="999"/>
        <v>#N/A</v>
      </c>
      <c r="EX25" s="65" t="e">
        <f t="shared" ca="1" si="999"/>
        <v>#N/A</v>
      </c>
      <c r="EY25" s="65" t="e">
        <f t="shared" ca="1" si="999"/>
        <v>#N/A</v>
      </c>
      <c r="EZ25" s="65" t="e">
        <f t="shared" ca="1" si="999"/>
        <v>#N/A</v>
      </c>
      <c r="FA25" s="65" t="e">
        <f t="shared" ca="1" si="999"/>
        <v>#N/A</v>
      </c>
      <c r="FB25" s="65" t="e">
        <f t="shared" ca="1" si="999"/>
        <v>#N/A</v>
      </c>
      <c r="FC25" s="65" t="e">
        <f t="shared" ca="1" si="999"/>
        <v>#N/A</v>
      </c>
      <c r="FD25" s="65" t="e">
        <f t="shared" ca="1" si="999"/>
        <v>#N/A</v>
      </c>
      <c r="FE25" s="65" t="e">
        <f t="shared" ca="1" si="999"/>
        <v>#N/A</v>
      </c>
      <c r="FF25" s="65" t="e">
        <f t="shared" ca="1" si="999"/>
        <v>#N/A</v>
      </c>
      <c r="FG25" s="65" t="e">
        <f t="shared" ca="1" si="999"/>
        <v>#N/A</v>
      </c>
      <c r="FH25" s="65" t="e">
        <f t="shared" ca="1" si="999"/>
        <v>#N/A</v>
      </c>
      <c r="FI25" s="65" t="e">
        <f t="shared" ca="1" si="999"/>
        <v>#N/A</v>
      </c>
      <c r="FJ25" s="65" t="e">
        <f t="shared" ca="1" si="999"/>
        <v>#N/A</v>
      </c>
      <c r="FK25" s="65" t="e">
        <f t="shared" ca="1" si="999"/>
        <v>#N/A</v>
      </c>
      <c r="FL25" s="65" t="e">
        <f t="shared" ca="1" si="999"/>
        <v>#N/A</v>
      </c>
      <c r="FM25" s="65" t="e">
        <f t="shared" ca="1" si="999"/>
        <v>#N/A</v>
      </c>
      <c r="FN25" s="65" t="e">
        <f t="shared" ca="1" si="999"/>
        <v>#N/A</v>
      </c>
      <c r="FO25" s="65" t="e">
        <f t="shared" ca="1" si="999"/>
        <v>#N/A</v>
      </c>
      <c r="FP25" s="65" t="e">
        <f t="shared" ca="1" si="999"/>
        <v>#N/A</v>
      </c>
      <c r="FQ25" s="65" t="e">
        <f t="shared" ca="1" si="999"/>
        <v>#N/A</v>
      </c>
      <c r="FR25" s="65" t="e">
        <f t="shared" ca="1" si="999"/>
        <v>#N/A</v>
      </c>
      <c r="FS25" s="65" t="e">
        <f t="shared" ca="1" si="999"/>
        <v>#N/A</v>
      </c>
      <c r="FT25" s="65" t="e">
        <f t="shared" ca="1" si="999"/>
        <v>#N/A</v>
      </c>
      <c r="FU25" s="65" t="e">
        <f t="shared" ca="1" si="999"/>
        <v>#N/A</v>
      </c>
      <c r="FV25" s="65" t="e">
        <f t="shared" ca="1" si="999"/>
        <v>#N/A</v>
      </c>
      <c r="FW25" s="65" t="e">
        <f t="shared" ca="1" si="999"/>
        <v>#N/A</v>
      </c>
      <c r="FX25" s="65" t="e">
        <f t="shared" ca="1" si="999"/>
        <v>#N/A</v>
      </c>
      <c r="FY25" s="65" t="e">
        <f t="shared" ca="1" si="999"/>
        <v>#N/A</v>
      </c>
      <c r="FZ25" s="65" t="e">
        <f t="shared" ca="1" si="999"/>
        <v>#N/A</v>
      </c>
      <c r="GA25" s="65" t="e">
        <f t="shared" ca="1" si="999"/>
        <v>#N/A</v>
      </c>
      <c r="GB25" s="65" t="e">
        <f t="shared" ca="1" si="999"/>
        <v>#N/A</v>
      </c>
      <c r="GC25" s="65" t="e">
        <f t="shared" ca="1" si="999"/>
        <v>#N/A</v>
      </c>
      <c r="GD25" s="65" t="e">
        <f t="shared" ca="1" si="999"/>
        <v>#N/A</v>
      </c>
      <c r="GE25" s="65" t="e">
        <f t="shared" ca="1" si="999"/>
        <v>#N/A</v>
      </c>
      <c r="GF25" s="65" t="e">
        <f t="shared" ca="1" si="999"/>
        <v>#N/A</v>
      </c>
      <c r="GG25" s="65" t="e">
        <f t="shared" ca="1" si="999"/>
        <v>#N/A</v>
      </c>
      <c r="GH25" s="65" t="e">
        <f t="shared" ca="1" si="999"/>
        <v>#N/A</v>
      </c>
      <c r="GI25" s="65" t="e">
        <f t="shared" ca="1" si="999"/>
        <v>#N/A</v>
      </c>
      <c r="GJ25" s="65" t="e">
        <f t="shared" ca="1" si="999"/>
        <v>#N/A</v>
      </c>
      <c r="GK25" s="65" t="e">
        <f t="shared" ca="1" si="999"/>
        <v>#N/A</v>
      </c>
      <c r="GL25" s="65" t="e">
        <f t="shared" ca="1" si="999"/>
        <v>#N/A</v>
      </c>
      <c r="GM25" s="65" t="e">
        <f t="shared" ca="1" si="999"/>
        <v>#N/A</v>
      </c>
      <c r="GN25" s="65" t="e">
        <f t="shared" ca="1" si="999"/>
        <v>#N/A</v>
      </c>
      <c r="GO25" s="65" t="e">
        <f t="shared" ca="1" si="999"/>
        <v>#N/A</v>
      </c>
      <c r="GP25" s="65" t="e">
        <f t="shared" ca="1" si="999"/>
        <v>#N/A</v>
      </c>
      <c r="GQ25" s="65" t="e">
        <f t="shared" ca="1" si="999"/>
        <v>#N/A</v>
      </c>
      <c r="GR25" s="65" t="e">
        <f t="shared" ref="GR25:IN25" ca="1" si="1000">IF(GR4&lt;$C$10,(GR5/OFFSET(GR5,0,-GR4))^(1/GR4),(GR5/OFFSET(GR5,0,-$C$10))^(1/$C$10))-1</f>
        <v>#N/A</v>
      </c>
      <c r="GS25" s="65" t="e">
        <f t="shared" ca="1" si="1000"/>
        <v>#N/A</v>
      </c>
      <c r="GT25" s="65" t="e">
        <f t="shared" ca="1" si="1000"/>
        <v>#N/A</v>
      </c>
      <c r="GU25" s="65" t="e">
        <f t="shared" ca="1" si="1000"/>
        <v>#N/A</v>
      </c>
      <c r="GV25" s="65" t="e">
        <f t="shared" ca="1" si="1000"/>
        <v>#N/A</v>
      </c>
      <c r="GW25" s="65" t="e">
        <f t="shared" ca="1" si="1000"/>
        <v>#N/A</v>
      </c>
      <c r="GX25" s="65" t="e">
        <f t="shared" ca="1" si="1000"/>
        <v>#N/A</v>
      </c>
      <c r="GY25" s="65" t="e">
        <f t="shared" ca="1" si="1000"/>
        <v>#N/A</v>
      </c>
      <c r="GZ25" s="65" t="e">
        <f t="shared" ca="1" si="1000"/>
        <v>#N/A</v>
      </c>
      <c r="HA25" s="65" t="e">
        <f t="shared" ca="1" si="1000"/>
        <v>#N/A</v>
      </c>
      <c r="HB25" s="65" t="e">
        <f t="shared" ca="1" si="1000"/>
        <v>#N/A</v>
      </c>
      <c r="HC25" s="65" t="e">
        <f t="shared" ca="1" si="1000"/>
        <v>#N/A</v>
      </c>
      <c r="HD25" s="65" t="e">
        <f t="shared" ca="1" si="1000"/>
        <v>#N/A</v>
      </c>
      <c r="HE25" s="65" t="e">
        <f t="shared" ca="1" si="1000"/>
        <v>#N/A</v>
      </c>
      <c r="HF25" s="65" t="e">
        <f t="shared" ca="1" si="1000"/>
        <v>#N/A</v>
      </c>
      <c r="HG25" s="65" t="e">
        <f t="shared" ca="1" si="1000"/>
        <v>#N/A</v>
      </c>
      <c r="HH25" s="65" t="e">
        <f t="shared" ca="1" si="1000"/>
        <v>#N/A</v>
      </c>
      <c r="HI25" s="65" t="e">
        <f t="shared" ca="1" si="1000"/>
        <v>#N/A</v>
      </c>
      <c r="HJ25" s="65" t="e">
        <f t="shared" ca="1" si="1000"/>
        <v>#N/A</v>
      </c>
      <c r="HK25" s="65" t="e">
        <f t="shared" ca="1" si="1000"/>
        <v>#N/A</v>
      </c>
      <c r="HL25" s="65" t="e">
        <f t="shared" ca="1" si="1000"/>
        <v>#N/A</v>
      </c>
      <c r="HM25" s="65" t="e">
        <f t="shared" ca="1" si="1000"/>
        <v>#N/A</v>
      </c>
      <c r="HN25" s="65" t="e">
        <f t="shared" ca="1" si="1000"/>
        <v>#N/A</v>
      </c>
      <c r="HO25" s="65" t="e">
        <f t="shared" ca="1" si="1000"/>
        <v>#N/A</v>
      </c>
      <c r="HP25" s="65" t="e">
        <f t="shared" ca="1" si="1000"/>
        <v>#N/A</v>
      </c>
      <c r="HQ25" s="65" t="e">
        <f t="shared" ca="1" si="1000"/>
        <v>#N/A</v>
      </c>
      <c r="HR25" s="65" t="e">
        <f t="shared" ca="1" si="1000"/>
        <v>#N/A</v>
      </c>
      <c r="HS25" s="65" t="e">
        <f t="shared" ca="1" si="1000"/>
        <v>#N/A</v>
      </c>
      <c r="HT25" s="65" t="e">
        <f t="shared" ca="1" si="1000"/>
        <v>#N/A</v>
      </c>
      <c r="HU25" s="65" t="e">
        <f t="shared" ca="1" si="1000"/>
        <v>#N/A</v>
      </c>
      <c r="HV25" s="65" t="e">
        <f t="shared" ca="1" si="1000"/>
        <v>#N/A</v>
      </c>
      <c r="HW25" s="65" t="e">
        <f t="shared" ca="1" si="1000"/>
        <v>#N/A</v>
      </c>
      <c r="HX25" s="65" t="e">
        <f t="shared" ca="1" si="1000"/>
        <v>#N/A</v>
      </c>
      <c r="HY25" s="65" t="e">
        <f t="shared" ca="1" si="1000"/>
        <v>#N/A</v>
      </c>
      <c r="HZ25" s="65" t="e">
        <f t="shared" ca="1" si="1000"/>
        <v>#N/A</v>
      </c>
      <c r="IA25" s="65" t="e">
        <f t="shared" ca="1" si="1000"/>
        <v>#N/A</v>
      </c>
      <c r="IB25" s="65" t="e">
        <f t="shared" ca="1" si="1000"/>
        <v>#N/A</v>
      </c>
      <c r="IC25" s="65" t="e">
        <f t="shared" ca="1" si="1000"/>
        <v>#N/A</v>
      </c>
      <c r="ID25" s="65" t="e">
        <f t="shared" ca="1" si="1000"/>
        <v>#N/A</v>
      </c>
      <c r="IE25" s="65" t="e">
        <f t="shared" ca="1" si="1000"/>
        <v>#N/A</v>
      </c>
      <c r="IF25" s="65" t="e">
        <f t="shared" ca="1" si="1000"/>
        <v>#N/A</v>
      </c>
      <c r="IG25" s="65" t="e">
        <f t="shared" ca="1" si="1000"/>
        <v>#N/A</v>
      </c>
      <c r="IH25" s="65" t="e">
        <f t="shared" ca="1" si="1000"/>
        <v>#N/A</v>
      </c>
      <c r="II25" s="65" t="e">
        <f t="shared" ca="1" si="1000"/>
        <v>#N/A</v>
      </c>
      <c r="IJ25" s="65" t="e">
        <f t="shared" ca="1" si="1000"/>
        <v>#N/A</v>
      </c>
      <c r="IK25" s="65" t="e">
        <f t="shared" ca="1" si="1000"/>
        <v>#N/A</v>
      </c>
      <c r="IL25" s="65" t="e">
        <f t="shared" ca="1" si="1000"/>
        <v>#N/A</v>
      </c>
      <c r="IM25" s="65" t="e">
        <f t="shared" ca="1" si="1000"/>
        <v>#N/A</v>
      </c>
      <c r="IN25" s="65" t="e">
        <f t="shared" ca="1" si="1000"/>
        <v>#N/A</v>
      </c>
    </row>
    <row r="26" spans="2:248" x14ac:dyDescent="0.3">
      <c r="B26" s="19" t="s">
        <v>455</v>
      </c>
      <c r="C26" s="21">
        <f ca="1">HLOOKUP(C29,G3:KU15,4,FALSE)</f>
        <v>83389.534260404136</v>
      </c>
      <c r="D26" s="24">
        <f>C15*1.5</f>
        <v>11336.592374999998</v>
      </c>
      <c r="F26" s="22" t="s">
        <v>634</v>
      </c>
      <c r="G26" s="27">
        <f t="shared" ref="G26:BR26" ca="1" si="1001">IF(G3=$C$23,1,-1000)</f>
        <v>-1000</v>
      </c>
      <c r="H26" s="27">
        <f t="shared" ca="1" si="1001"/>
        <v>-1000</v>
      </c>
      <c r="I26" s="27">
        <f t="shared" ca="1" si="1001"/>
        <v>1</v>
      </c>
      <c r="J26" s="27">
        <f t="shared" ca="1" si="1001"/>
        <v>-1000</v>
      </c>
      <c r="K26" s="27">
        <f t="shared" ca="1" si="1001"/>
        <v>-1000</v>
      </c>
      <c r="L26" s="27">
        <f t="shared" ca="1" si="1001"/>
        <v>-1000</v>
      </c>
      <c r="M26" s="27">
        <f t="shared" ca="1" si="1001"/>
        <v>-1000</v>
      </c>
      <c r="N26" s="27">
        <f t="shared" ca="1" si="1001"/>
        <v>-1000</v>
      </c>
      <c r="O26" s="27">
        <f t="shared" ca="1" si="1001"/>
        <v>-1000</v>
      </c>
      <c r="P26" s="27">
        <f t="shared" ca="1" si="1001"/>
        <v>-1000</v>
      </c>
      <c r="Q26" s="27">
        <f t="shared" ca="1" si="1001"/>
        <v>-1000</v>
      </c>
      <c r="R26" s="27">
        <f t="shared" ca="1" si="1001"/>
        <v>-1000</v>
      </c>
      <c r="S26" s="27">
        <f t="shared" ca="1" si="1001"/>
        <v>-1000</v>
      </c>
      <c r="T26" s="27">
        <f t="shared" ca="1" si="1001"/>
        <v>-1000</v>
      </c>
      <c r="U26" s="27">
        <f t="shared" ca="1" si="1001"/>
        <v>-1000</v>
      </c>
      <c r="V26" s="27">
        <f t="shared" ca="1" si="1001"/>
        <v>-1000</v>
      </c>
      <c r="W26" s="27">
        <f t="shared" ca="1" si="1001"/>
        <v>-1000</v>
      </c>
      <c r="X26" s="27">
        <f t="shared" ca="1" si="1001"/>
        <v>-1000</v>
      </c>
      <c r="Y26" s="27">
        <f t="shared" ca="1" si="1001"/>
        <v>-1000</v>
      </c>
      <c r="Z26" s="27">
        <f t="shared" ca="1" si="1001"/>
        <v>-1000</v>
      </c>
      <c r="AA26" s="27">
        <f t="shared" ca="1" si="1001"/>
        <v>-1000</v>
      </c>
      <c r="AB26" s="27">
        <f t="shared" ca="1" si="1001"/>
        <v>-1000</v>
      </c>
      <c r="AC26" s="27">
        <f t="shared" ca="1" si="1001"/>
        <v>-1000</v>
      </c>
      <c r="AD26" s="27">
        <f t="shared" ca="1" si="1001"/>
        <v>-1000</v>
      </c>
      <c r="AE26" s="27">
        <f t="shared" ca="1" si="1001"/>
        <v>-1000</v>
      </c>
      <c r="AF26" s="27">
        <f t="shared" ca="1" si="1001"/>
        <v>-1000</v>
      </c>
      <c r="AG26" s="27">
        <f t="shared" ca="1" si="1001"/>
        <v>-1000</v>
      </c>
      <c r="AH26" s="27">
        <f t="shared" ca="1" si="1001"/>
        <v>-1000</v>
      </c>
      <c r="AI26" s="27">
        <f t="shared" ca="1" si="1001"/>
        <v>-1000</v>
      </c>
      <c r="AJ26" s="27">
        <f t="shared" ca="1" si="1001"/>
        <v>-1000</v>
      </c>
      <c r="AK26" s="27">
        <f t="shared" ca="1" si="1001"/>
        <v>-1000</v>
      </c>
      <c r="AL26" s="27">
        <f t="shared" ca="1" si="1001"/>
        <v>-1000</v>
      </c>
      <c r="AM26" s="27">
        <f t="shared" ca="1" si="1001"/>
        <v>-1000</v>
      </c>
      <c r="AN26" s="27">
        <f t="shared" ca="1" si="1001"/>
        <v>-1000</v>
      </c>
      <c r="AO26" s="27">
        <f t="shared" ca="1" si="1001"/>
        <v>-1000</v>
      </c>
      <c r="AP26" s="27">
        <f t="shared" ca="1" si="1001"/>
        <v>-1000</v>
      </c>
      <c r="AQ26" s="27">
        <f t="shared" ca="1" si="1001"/>
        <v>-1000</v>
      </c>
      <c r="AR26" s="27">
        <f t="shared" ca="1" si="1001"/>
        <v>-1000</v>
      </c>
      <c r="AS26" s="27">
        <f t="shared" ca="1" si="1001"/>
        <v>-1000</v>
      </c>
      <c r="AT26" s="27">
        <f t="shared" ca="1" si="1001"/>
        <v>-1000</v>
      </c>
      <c r="AU26" s="27">
        <f t="shared" ca="1" si="1001"/>
        <v>-1000</v>
      </c>
      <c r="AV26" s="27">
        <f t="shared" ca="1" si="1001"/>
        <v>-1000</v>
      </c>
      <c r="AW26" s="27">
        <f t="shared" ca="1" si="1001"/>
        <v>-1000</v>
      </c>
      <c r="AX26" s="27">
        <f t="shared" ca="1" si="1001"/>
        <v>-1000</v>
      </c>
      <c r="AY26" s="27">
        <f t="shared" ca="1" si="1001"/>
        <v>-1000</v>
      </c>
      <c r="AZ26" s="27">
        <f t="shared" ca="1" si="1001"/>
        <v>-1000</v>
      </c>
      <c r="BA26" s="27">
        <f t="shared" ca="1" si="1001"/>
        <v>-1000</v>
      </c>
      <c r="BB26" s="27">
        <f t="shared" ca="1" si="1001"/>
        <v>-1000</v>
      </c>
      <c r="BC26" s="27">
        <f t="shared" ca="1" si="1001"/>
        <v>-1000</v>
      </c>
      <c r="BD26" s="27">
        <f t="shared" ca="1" si="1001"/>
        <v>-1000</v>
      </c>
      <c r="BE26" s="27">
        <f t="shared" ca="1" si="1001"/>
        <v>-1000</v>
      </c>
      <c r="BF26" s="27">
        <f t="shared" ca="1" si="1001"/>
        <v>-1000</v>
      </c>
      <c r="BG26" s="27">
        <f t="shared" ca="1" si="1001"/>
        <v>-1000</v>
      </c>
      <c r="BH26" s="27">
        <f t="shared" ca="1" si="1001"/>
        <v>-1000</v>
      </c>
      <c r="BI26" s="27">
        <f t="shared" ca="1" si="1001"/>
        <v>-1000</v>
      </c>
      <c r="BJ26" s="27">
        <f t="shared" ca="1" si="1001"/>
        <v>-1000</v>
      </c>
      <c r="BK26" s="27">
        <f t="shared" ca="1" si="1001"/>
        <v>-1000</v>
      </c>
      <c r="BL26" s="27">
        <f t="shared" ca="1" si="1001"/>
        <v>-1000</v>
      </c>
      <c r="BM26" s="27">
        <f t="shared" ca="1" si="1001"/>
        <v>-1000</v>
      </c>
      <c r="BN26" s="27">
        <f t="shared" ca="1" si="1001"/>
        <v>-1000</v>
      </c>
      <c r="BO26" s="27">
        <f t="shared" ca="1" si="1001"/>
        <v>-1000</v>
      </c>
      <c r="BP26" s="27">
        <f t="shared" ca="1" si="1001"/>
        <v>-1000</v>
      </c>
      <c r="BQ26" s="27">
        <f t="shared" ca="1" si="1001"/>
        <v>-1000</v>
      </c>
      <c r="BR26" s="27">
        <f t="shared" ca="1" si="1001"/>
        <v>-1000</v>
      </c>
      <c r="BS26" s="27">
        <f t="shared" ref="BS26:ED26" ca="1" si="1002">IF(BS3=$C$23,1,-1000)</f>
        <v>-1000</v>
      </c>
      <c r="BT26" s="27">
        <f t="shared" ca="1" si="1002"/>
        <v>-1000</v>
      </c>
      <c r="BU26" s="27">
        <f t="shared" ca="1" si="1002"/>
        <v>-1000</v>
      </c>
      <c r="BV26" s="27">
        <f t="shared" ca="1" si="1002"/>
        <v>-1000</v>
      </c>
      <c r="BW26" s="27">
        <f t="shared" ca="1" si="1002"/>
        <v>-1000</v>
      </c>
      <c r="BX26" s="27">
        <f t="shared" ca="1" si="1002"/>
        <v>-1000</v>
      </c>
      <c r="BY26" s="27">
        <f t="shared" ca="1" si="1002"/>
        <v>-1000</v>
      </c>
      <c r="BZ26" s="27">
        <f t="shared" ca="1" si="1002"/>
        <v>-1000</v>
      </c>
      <c r="CA26" s="27">
        <f t="shared" ca="1" si="1002"/>
        <v>-1000</v>
      </c>
      <c r="CB26" s="27">
        <f t="shared" ca="1" si="1002"/>
        <v>-1000</v>
      </c>
      <c r="CC26" s="27">
        <f t="shared" ca="1" si="1002"/>
        <v>-1000</v>
      </c>
      <c r="CD26" s="27">
        <f t="shared" ca="1" si="1002"/>
        <v>-1000</v>
      </c>
      <c r="CE26" s="27">
        <f t="shared" ca="1" si="1002"/>
        <v>-1000</v>
      </c>
      <c r="CF26" s="27">
        <f t="shared" ca="1" si="1002"/>
        <v>-1000</v>
      </c>
      <c r="CG26" s="27">
        <f t="shared" ca="1" si="1002"/>
        <v>-1000</v>
      </c>
      <c r="CH26" s="27">
        <f t="shared" ca="1" si="1002"/>
        <v>-1000</v>
      </c>
      <c r="CI26" s="27">
        <f t="shared" ca="1" si="1002"/>
        <v>-1000</v>
      </c>
      <c r="CJ26" s="27">
        <f t="shared" ca="1" si="1002"/>
        <v>-1000</v>
      </c>
      <c r="CK26" s="27">
        <f t="shared" ca="1" si="1002"/>
        <v>-1000</v>
      </c>
      <c r="CL26" s="27">
        <f t="shared" ca="1" si="1002"/>
        <v>-1000</v>
      </c>
      <c r="CM26" s="27">
        <f t="shared" ca="1" si="1002"/>
        <v>-1000</v>
      </c>
      <c r="CN26" s="27">
        <f t="shared" ca="1" si="1002"/>
        <v>-1000</v>
      </c>
      <c r="CO26" s="27">
        <f t="shared" ca="1" si="1002"/>
        <v>-1000</v>
      </c>
      <c r="CP26" s="27">
        <f t="shared" ca="1" si="1002"/>
        <v>-1000</v>
      </c>
      <c r="CQ26" s="27">
        <f t="shared" ca="1" si="1002"/>
        <v>-1000</v>
      </c>
      <c r="CR26" s="27">
        <f t="shared" ca="1" si="1002"/>
        <v>-1000</v>
      </c>
      <c r="CS26" s="27">
        <f t="shared" ca="1" si="1002"/>
        <v>-1000</v>
      </c>
      <c r="CT26" s="27">
        <f t="shared" ca="1" si="1002"/>
        <v>-1000</v>
      </c>
      <c r="CU26" s="27">
        <f t="shared" ca="1" si="1002"/>
        <v>-1000</v>
      </c>
      <c r="CV26" s="27">
        <f t="shared" ca="1" si="1002"/>
        <v>-1000</v>
      </c>
      <c r="CW26" s="27">
        <f t="shared" ca="1" si="1002"/>
        <v>-1000</v>
      </c>
      <c r="CX26" s="27">
        <f t="shared" ca="1" si="1002"/>
        <v>-1000</v>
      </c>
      <c r="CY26" s="27">
        <f t="shared" ca="1" si="1002"/>
        <v>-1000</v>
      </c>
      <c r="CZ26" s="27">
        <f t="shared" ca="1" si="1002"/>
        <v>-1000</v>
      </c>
      <c r="DA26" s="27">
        <f t="shared" ca="1" si="1002"/>
        <v>-1000</v>
      </c>
      <c r="DB26" s="27">
        <f t="shared" ca="1" si="1002"/>
        <v>-1000</v>
      </c>
      <c r="DC26" s="27">
        <f t="shared" ca="1" si="1002"/>
        <v>-1000</v>
      </c>
      <c r="DD26" s="27">
        <f t="shared" ca="1" si="1002"/>
        <v>-1000</v>
      </c>
      <c r="DE26" s="27">
        <f t="shared" ca="1" si="1002"/>
        <v>-1000</v>
      </c>
      <c r="DF26" s="27">
        <f t="shared" ca="1" si="1002"/>
        <v>-1000</v>
      </c>
      <c r="DG26" s="27">
        <f t="shared" ca="1" si="1002"/>
        <v>-1000</v>
      </c>
      <c r="DH26" s="27">
        <f t="shared" ca="1" si="1002"/>
        <v>-1000</v>
      </c>
      <c r="DI26" s="27">
        <f t="shared" ca="1" si="1002"/>
        <v>-1000</v>
      </c>
      <c r="DJ26" s="27">
        <f t="shared" ca="1" si="1002"/>
        <v>-1000</v>
      </c>
      <c r="DK26" s="27">
        <f t="shared" ca="1" si="1002"/>
        <v>-1000</v>
      </c>
      <c r="DL26" s="27">
        <f t="shared" ca="1" si="1002"/>
        <v>-1000</v>
      </c>
      <c r="DM26" s="27">
        <f t="shared" ca="1" si="1002"/>
        <v>-1000</v>
      </c>
      <c r="DN26" s="27">
        <f t="shared" ca="1" si="1002"/>
        <v>-1000</v>
      </c>
      <c r="DO26" s="27">
        <f t="shared" ca="1" si="1002"/>
        <v>-1000</v>
      </c>
      <c r="DP26" s="27">
        <f t="shared" ca="1" si="1002"/>
        <v>-1000</v>
      </c>
      <c r="DQ26" s="27">
        <f t="shared" ca="1" si="1002"/>
        <v>-1000</v>
      </c>
      <c r="DR26" s="27">
        <f t="shared" ca="1" si="1002"/>
        <v>-1000</v>
      </c>
      <c r="DS26" s="27">
        <f t="shared" ca="1" si="1002"/>
        <v>-1000</v>
      </c>
      <c r="DT26" s="27">
        <f t="shared" ca="1" si="1002"/>
        <v>-1000</v>
      </c>
      <c r="DU26" s="27">
        <f t="shared" ca="1" si="1002"/>
        <v>-1000</v>
      </c>
      <c r="DV26" s="27">
        <f t="shared" ca="1" si="1002"/>
        <v>-1000</v>
      </c>
      <c r="DW26" s="27">
        <f t="shared" ca="1" si="1002"/>
        <v>-1000</v>
      </c>
      <c r="DX26" s="27">
        <f t="shared" ca="1" si="1002"/>
        <v>-1000</v>
      </c>
      <c r="DY26" s="27">
        <f t="shared" ca="1" si="1002"/>
        <v>-1000</v>
      </c>
      <c r="DZ26" s="27">
        <f t="shared" ca="1" si="1002"/>
        <v>-1000</v>
      </c>
      <c r="EA26" s="27">
        <f t="shared" ca="1" si="1002"/>
        <v>-1000</v>
      </c>
      <c r="EB26" s="27">
        <f t="shared" ca="1" si="1002"/>
        <v>-1000</v>
      </c>
      <c r="EC26" s="27">
        <f t="shared" ca="1" si="1002"/>
        <v>-1000</v>
      </c>
      <c r="ED26" s="27">
        <f t="shared" ca="1" si="1002"/>
        <v>-1000</v>
      </c>
      <c r="EE26" s="27">
        <f t="shared" ref="EE26:GP26" ca="1" si="1003">IF(EE3=$C$23,1,-1000)</f>
        <v>-1000</v>
      </c>
      <c r="EF26" s="27">
        <f t="shared" ca="1" si="1003"/>
        <v>-1000</v>
      </c>
      <c r="EG26" s="27">
        <f t="shared" ca="1" si="1003"/>
        <v>-1000</v>
      </c>
      <c r="EH26" s="27">
        <f t="shared" ca="1" si="1003"/>
        <v>-1000</v>
      </c>
      <c r="EI26" s="27">
        <f t="shared" ca="1" si="1003"/>
        <v>-1000</v>
      </c>
      <c r="EJ26" s="27">
        <f t="shared" ca="1" si="1003"/>
        <v>-1000</v>
      </c>
      <c r="EK26" s="27">
        <f t="shared" ca="1" si="1003"/>
        <v>-1000</v>
      </c>
      <c r="EL26" s="27">
        <f t="shared" ca="1" si="1003"/>
        <v>-1000</v>
      </c>
      <c r="EM26" s="27">
        <f t="shared" ca="1" si="1003"/>
        <v>-1000</v>
      </c>
      <c r="EN26" s="27">
        <f t="shared" ca="1" si="1003"/>
        <v>-1000</v>
      </c>
      <c r="EO26" s="27">
        <f t="shared" ca="1" si="1003"/>
        <v>-1000</v>
      </c>
      <c r="EP26" s="27">
        <f t="shared" ca="1" si="1003"/>
        <v>-1000</v>
      </c>
      <c r="EQ26" s="27">
        <f t="shared" ca="1" si="1003"/>
        <v>-1000</v>
      </c>
      <c r="ER26" s="27">
        <f t="shared" ca="1" si="1003"/>
        <v>-1000</v>
      </c>
      <c r="ES26" s="27">
        <f t="shared" ca="1" si="1003"/>
        <v>-1000</v>
      </c>
      <c r="ET26" s="27">
        <f t="shared" ca="1" si="1003"/>
        <v>-1000</v>
      </c>
      <c r="EU26" s="27">
        <f t="shared" ca="1" si="1003"/>
        <v>-1000</v>
      </c>
      <c r="EV26" s="27">
        <f t="shared" ca="1" si="1003"/>
        <v>-1000</v>
      </c>
      <c r="EW26" s="27">
        <f t="shared" ca="1" si="1003"/>
        <v>-1000</v>
      </c>
      <c r="EX26" s="27">
        <f t="shared" ca="1" si="1003"/>
        <v>-1000</v>
      </c>
      <c r="EY26" s="27">
        <f t="shared" ca="1" si="1003"/>
        <v>-1000</v>
      </c>
      <c r="EZ26" s="27">
        <f t="shared" ca="1" si="1003"/>
        <v>-1000</v>
      </c>
      <c r="FA26" s="27">
        <f t="shared" ca="1" si="1003"/>
        <v>-1000</v>
      </c>
      <c r="FB26" s="27">
        <f t="shared" ca="1" si="1003"/>
        <v>-1000</v>
      </c>
      <c r="FC26" s="27">
        <f t="shared" ca="1" si="1003"/>
        <v>-1000</v>
      </c>
      <c r="FD26" s="27">
        <f t="shared" ca="1" si="1003"/>
        <v>-1000</v>
      </c>
      <c r="FE26" s="27">
        <f t="shared" ca="1" si="1003"/>
        <v>-1000</v>
      </c>
      <c r="FF26" s="27">
        <f t="shared" ca="1" si="1003"/>
        <v>-1000</v>
      </c>
      <c r="FG26" s="27">
        <f t="shared" ca="1" si="1003"/>
        <v>-1000</v>
      </c>
      <c r="FH26" s="27">
        <f t="shared" ca="1" si="1003"/>
        <v>-1000</v>
      </c>
      <c r="FI26" s="27">
        <f t="shared" ca="1" si="1003"/>
        <v>-1000</v>
      </c>
      <c r="FJ26" s="27">
        <f t="shared" ca="1" si="1003"/>
        <v>-1000</v>
      </c>
      <c r="FK26" s="27">
        <f t="shared" ca="1" si="1003"/>
        <v>-1000</v>
      </c>
      <c r="FL26" s="27">
        <f t="shared" ca="1" si="1003"/>
        <v>-1000</v>
      </c>
      <c r="FM26" s="27">
        <f t="shared" ca="1" si="1003"/>
        <v>-1000</v>
      </c>
      <c r="FN26" s="27">
        <f t="shared" ca="1" si="1003"/>
        <v>-1000</v>
      </c>
      <c r="FO26" s="27">
        <f t="shared" ca="1" si="1003"/>
        <v>-1000</v>
      </c>
      <c r="FP26" s="27">
        <f t="shared" ca="1" si="1003"/>
        <v>-1000</v>
      </c>
      <c r="FQ26" s="27">
        <f t="shared" ca="1" si="1003"/>
        <v>-1000</v>
      </c>
      <c r="FR26" s="27">
        <f t="shared" ca="1" si="1003"/>
        <v>-1000</v>
      </c>
      <c r="FS26" s="27">
        <f t="shared" ca="1" si="1003"/>
        <v>-1000</v>
      </c>
      <c r="FT26" s="27">
        <f t="shared" ca="1" si="1003"/>
        <v>-1000</v>
      </c>
      <c r="FU26" s="27">
        <f t="shared" ca="1" si="1003"/>
        <v>-1000</v>
      </c>
      <c r="FV26" s="27">
        <f t="shared" ca="1" si="1003"/>
        <v>-1000</v>
      </c>
      <c r="FW26" s="27">
        <f t="shared" ca="1" si="1003"/>
        <v>-1000</v>
      </c>
      <c r="FX26" s="27">
        <f t="shared" ca="1" si="1003"/>
        <v>-1000</v>
      </c>
      <c r="FY26" s="27">
        <f t="shared" ca="1" si="1003"/>
        <v>-1000</v>
      </c>
      <c r="FZ26" s="27">
        <f t="shared" ca="1" si="1003"/>
        <v>-1000</v>
      </c>
      <c r="GA26" s="27">
        <f t="shared" ca="1" si="1003"/>
        <v>-1000</v>
      </c>
      <c r="GB26" s="27">
        <f t="shared" ca="1" si="1003"/>
        <v>-1000</v>
      </c>
      <c r="GC26" s="27">
        <f t="shared" ca="1" si="1003"/>
        <v>-1000</v>
      </c>
      <c r="GD26" s="27">
        <f t="shared" ca="1" si="1003"/>
        <v>-1000</v>
      </c>
      <c r="GE26" s="27">
        <f t="shared" ca="1" si="1003"/>
        <v>-1000</v>
      </c>
      <c r="GF26" s="27">
        <f t="shared" ca="1" si="1003"/>
        <v>-1000</v>
      </c>
      <c r="GG26" s="27">
        <f t="shared" ca="1" si="1003"/>
        <v>-1000</v>
      </c>
      <c r="GH26" s="27">
        <f t="shared" ca="1" si="1003"/>
        <v>-1000</v>
      </c>
      <c r="GI26" s="27">
        <f t="shared" ca="1" si="1003"/>
        <v>-1000</v>
      </c>
      <c r="GJ26" s="27">
        <f t="shared" ca="1" si="1003"/>
        <v>-1000</v>
      </c>
      <c r="GK26" s="27">
        <f t="shared" ca="1" si="1003"/>
        <v>-1000</v>
      </c>
      <c r="GL26" s="27">
        <f t="shared" ca="1" si="1003"/>
        <v>-1000</v>
      </c>
      <c r="GM26" s="27">
        <f t="shared" ca="1" si="1003"/>
        <v>-1000</v>
      </c>
      <c r="GN26" s="27">
        <f t="shared" ca="1" si="1003"/>
        <v>-1000</v>
      </c>
      <c r="GO26" s="27">
        <f t="shared" ca="1" si="1003"/>
        <v>-1000</v>
      </c>
      <c r="GP26" s="27">
        <f t="shared" ca="1" si="1003"/>
        <v>-1000</v>
      </c>
      <c r="GQ26" s="27">
        <f t="shared" ref="GQ26:IN26" ca="1" si="1004">IF(GQ3=$C$23,1,-1000)</f>
        <v>-1000</v>
      </c>
      <c r="GR26" s="27">
        <f t="shared" ca="1" si="1004"/>
        <v>-1000</v>
      </c>
      <c r="GS26" s="27">
        <f t="shared" ca="1" si="1004"/>
        <v>-1000</v>
      </c>
      <c r="GT26" s="27">
        <f t="shared" ca="1" si="1004"/>
        <v>-1000</v>
      </c>
      <c r="GU26" s="27">
        <f t="shared" ca="1" si="1004"/>
        <v>-1000</v>
      </c>
      <c r="GV26" s="27">
        <f t="shared" ca="1" si="1004"/>
        <v>-1000</v>
      </c>
      <c r="GW26" s="27">
        <f t="shared" ca="1" si="1004"/>
        <v>-1000</v>
      </c>
      <c r="GX26" s="27">
        <f t="shared" ca="1" si="1004"/>
        <v>-1000</v>
      </c>
      <c r="GY26" s="27">
        <f t="shared" ca="1" si="1004"/>
        <v>-1000</v>
      </c>
      <c r="GZ26" s="27">
        <f t="shared" ca="1" si="1004"/>
        <v>-1000</v>
      </c>
      <c r="HA26" s="27">
        <f t="shared" ca="1" si="1004"/>
        <v>-1000</v>
      </c>
      <c r="HB26" s="27">
        <f t="shared" ca="1" si="1004"/>
        <v>-1000</v>
      </c>
      <c r="HC26" s="27">
        <f t="shared" ca="1" si="1004"/>
        <v>-1000</v>
      </c>
      <c r="HD26" s="27">
        <f t="shared" ca="1" si="1004"/>
        <v>-1000</v>
      </c>
      <c r="HE26" s="27">
        <f t="shared" ca="1" si="1004"/>
        <v>-1000</v>
      </c>
      <c r="HF26" s="27">
        <f t="shared" ca="1" si="1004"/>
        <v>-1000</v>
      </c>
      <c r="HG26" s="27">
        <f t="shared" ca="1" si="1004"/>
        <v>-1000</v>
      </c>
      <c r="HH26" s="27">
        <f t="shared" ca="1" si="1004"/>
        <v>-1000</v>
      </c>
      <c r="HI26" s="27">
        <f t="shared" ca="1" si="1004"/>
        <v>-1000</v>
      </c>
      <c r="HJ26" s="27">
        <f t="shared" ca="1" si="1004"/>
        <v>-1000</v>
      </c>
      <c r="HK26" s="27">
        <f t="shared" ca="1" si="1004"/>
        <v>-1000</v>
      </c>
      <c r="HL26" s="27">
        <f t="shared" ca="1" si="1004"/>
        <v>-1000</v>
      </c>
      <c r="HM26" s="27">
        <f t="shared" ca="1" si="1004"/>
        <v>-1000</v>
      </c>
      <c r="HN26" s="27">
        <f t="shared" ca="1" si="1004"/>
        <v>-1000</v>
      </c>
      <c r="HO26" s="27">
        <f t="shared" ca="1" si="1004"/>
        <v>-1000</v>
      </c>
      <c r="HP26" s="27">
        <f t="shared" ca="1" si="1004"/>
        <v>-1000</v>
      </c>
      <c r="HQ26" s="27">
        <f t="shared" ca="1" si="1004"/>
        <v>-1000</v>
      </c>
      <c r="HR26" s="27">
        <f t="shared" ca="1" si="1004"/>
        <v>-1000</v>
      </c>
      <c r="HS26" s="27">
        <f t="shared" ca="1" si="1004"/>
        <v>-1000</v>
      </c>
      <c r="HT26" s="27">
        <f t="shared" ca="1" si="1004"/>
        <v>-1000</v>
      </c>
      <c r="HU26" s="27">
        <f t="shared" ca="1" si="1004"/>
        <v>-1000</v>
      </c>
      <c r="HV26" s="27">
        <f t="shared" ca="1" si="1004"/>
        <v>-1000</v>
      </c>
      <c r="HW26" s="27">
        <f t="shared" ca="1" si="1004"/>
        <v>-1000</v>
      </c>
      <c r="HX26" s="27">
        <f t="shared" ca="1" si="1004"/>
        <v>-1000</v>
      </c>
      <c r="HY26" s="27">
        <f t="shared" ca="1" si="1004"/>
        <v>-1000</v>
      </c>
      <c r="HZ26" s="27">
        <f t="shared" ca="1" si="1004"/>
        <v>-1000</v>
      </c>
      <c r="IA26" s="27">
        <f t="shared" ca="1" si="1004"/>
        <v>-1000</v>
      </c>
      <c r="IB26" s="27">
        <f t="shared" ca="1" si="1004"/>
        <v>-1000</v>
      </c>
      <c r="IC26" s="27">
        <f t="shared" ca="1" si="1004"/>
        <v>-1000</v>
      </c>
      <c r="ID26" s="27">
        <f t="shared" ca="1" si="1004"/>
        <v>-1000</v>
      </c>
      <c r="IE26" s="27">
        <f t="shared" ca="1" si="1004"/>
        <v>-1000</v>
      </c>
      <c r="IF26" s="27">
        <f t="shared" ca="1" si="1004"/>
        <v>-1000</v>
      </c>
      <c r="IG26" s="27">
        <f t="shared" ca="1" si="1004"/>
        <v>-1000</v>
      </c>
      <c r="IH26" s="27">
        <f t="shared" ca="1" si="1004"/>
        <v>-1000</v>
      </c>
      <c r="II26" s="27">
        <f t="shared" ca="1" si="1004"/>
        <v>-1000</v>
      </c>
      <c r="IJ26" s="27">
        <f t="shared" ca="1" si="1004"/>
        <v>-1000</v>
      </c>
      <c r="IK26" s="27">
        <f t="shared" ca="1" si="1004"/>
        <v>-1000</v>
      </c>
      <c r="IL26" s="27">
        <f t="shared" ca="1" si="1004"/>
        <v>-1000</v>
      </c>
      <c r="IM26" s="27">
        <f t="shared" ca="1" si="1004"/>
        <v>-1000</v>
      </c>
      <c r="IN26" s="27">
        <f t="shared" ca="1" si="1004"/>
        <v>-1000</v>
      </c>
    </row>
    <row r="27" spans="2:248" x14ac:dyDescent="0.3">
      <c r="F27" s="22" t="s">
        <v>631</v>
      </c>
      <c r="G27" s="27">
        <f t="shared" ref="G27:BR27" ca="1" si="1005">IF(G26=1,-1000,IF(G3=$C$22,1,-1000))</f>
        <v>-1000</v>
      </c>
      <c r="H27" s="27">
        <f t="shared" ca="1" si="1005"/>
        <v>-1000</v>
      </c>
      <c r="I27" s="27">
        <f t="shared" ca="1" si="1005"/>
        <v>-1000</v>
      </c>
      <c r="J27" s="27">
        <f t="shared" ca="1" si="1005"/>
        <v>-1000</v>
      </c>
      <c r="K27" s="27">
        <f t="shared" ca="1" si="1005"/>
        <v>-1000</v>
      </c>
      <c r="L27" s="27">
        <f t="shared" ca="1" si="1005"/>
        <v>-1000</v>
      </c>
      <c r="M27" s="27">
        <f t="shared" ca="1" si="1005"/>
        <v>-1000</v>
      </c>
      <c r="N27" s="27">
        <f t="shared" ca="1" si="1005"/>
        <v>-1000</v>
      </c>
      <c r="O27" s="27">
        <f t="shared" ca="1" si="1005"/>
        <v>-1000</v>
      </c>
      <c r="P27" s="27">
        <f t="shared" ca="1" si="1005"/>
        <v>-1000</v>
      </c>
      <c r="Q27" s="27">
        <f t="shared" ca="1" si="1005"/>
        <v>-1000</v>
      </c>
      <c r="R27" s="27">
        <f t="shared" ca="1" si="1005"/>
        <v>-1000</v>
      </c>
      <c r="S27" s="27">
        <f t="shared" ca="1" si="1005"/>
        <v>-1000</v>
      </c>
      <c r="T27" s="27">
        <f t="shared" ca="1" si="1005"/>
        <v>-1000</v>
      </c>
      <c r="U27" s="27">
        <f t="shared" ca="1" si="1005"/>
        <v>-1000</v>
      </c>
      <c r="V27" s="27">
        <f t="shared" ca="1" si="1005"/>
        <v>-1000</v>
      </c>
      <c r="W27" s="27">
        <f t="shared" ca="1" si="1005"/>
        <v>-1000</v>
      </c>
      <c r="X27" s="27">
        <f t="shared" ca="1" si="1005"/>
        <v>-1000</v>
      </c>
      <c r="Y27" s="27">
        <f t="shared" ca="1" si="1005"/>
        <v>-1000</v>
      </c>
      <c r="Z27" s="27">
        <f t="shared" ca="1" si="1005"/>
        <v>-1000</v>
      </c>
      <c r="AA27" s="27">
        <f t="shared" ca="1" si="1005"/>
        <v>-1000</v>
      </c>
      <c r="AB27" s="27">
        <f t="shared" ca="1" si="1005"/>
        <v>-1000</v>
      </c>
      <c r="AC27" s="27">
        <f t="shared" ca="1" si="1005"/>
        <v>-1000</v>
      </c>
      <c r="AD27" s="27">
        <f t="shared" ca="1" si="1005"/>
        <v>-1000</v>
      </c>
      <c r="AE27" s="27">
        <f t="shared" ca="1" si="1005"/>
        <v>-1000</v>
      </c>
      <c r="AF27" s="27">
        <f t="shared" ca="1" si="1005"/>
        <v>-1000</v>
      </c>
      <c r="AG27" s="27">
        <f t="shared" ca="1" si="1005"/>
        <v>-1000</v>
      </c>
      <c r="AH27" s="27">
        <f t="shared" ca="1" si="1005"/>
        <v>-1000</v>
      </c>
      <c r="AI27" s="27">
        <f t="shared" ca="1" si="1005"/>
        <v>-1000</v>
      </c>
      <c r="AJ27" s="27">
        <f t="shared" ca="1" si="1005"/>
        <v>-1000</v>
      </c>
      <c r="AK27" s="27">
        <f t="shared" ca="1" si="1005"/>
        <v>-1000</v>
      </c>
      <c r="AL27" s="27">
        <f t="shared" ca="1" si="1005"/>
        <v>-1000</v>
      </c>
      <c r="AM27" s="27">
        <f t="shared" ca="1" si="1005"/>
        <v>-1000</v>
      </c>
      <c r="AN27" s="27">
        <f t="shared" ca="1" si="1005"/>
        <v>-1000</v>
      </c>
      <c r="AO27" s="27">
        <f t="shared" ca="1" si="1005"/>
        <v>-1000</v>
      </c>
      <c r="AP27" s="27">
        <f t="shared" ca="1" si="1005"/>
        <v>-1000</v>
      </c>
      <c r="AQ27" s="27">
        <f t="shared" ca="1" si="1005"/>
        <v>-1000</v>
      </c>
      <c r="AR27" s="27">
        <f t="shared" ca="1" si="1005"/>
        <v>-1000</v>
      </c>
      <c r="AS27" s="27">
        <f t="shared" ca="1" si="1005"/>
        <v>-1000</v>
      </c>
      <c r="AT27" s="27">
        <f t="shared" ca="1" si="1005"/>
        <v>-1000</v>
      </c>
      <c r="AU27" s="27">
        <f t="shared" ca="1" si="1005"/>
        <v>-1000</v>
      </c>
      <c r="AV27" s="27">
        <f t="shared" ca="1" si="1005"/>
        <v>-1000</v>
      </c>
      <c r="AW27" s="27">
        <f t="shared" ca="1" si="1005"/>
        <v>-1000</v>
      </c>
      <c r="AX27" s="27">
        <f t="shared" ca="1" si="1005"/>
        <v>-1000</v>
      </c>
      <c r="AY27" s="27">
        <f t="shared" ca="1" si="1005"/>
        <v>-1000</v>
      </c>
      <c r="AZ27" s="27">
        <f t="shared" ca="1" si="1005"/>
        <v>-1000</v>
      </c>
      <c r="BA27" s="27">
        <f t="shared" ca="1" si="1005"/>
        <v>-1000</v>
      </c>
      <c r="BB27" s="27">
        <f t="shared" ca="1" si="1005"/>
        <v>-1000</v>
      </c>
      <c r="BC27" s="27">
        <f t="shared" ca="1" si="1005"/>
        <v>-1000</v>
      </c>
      <c r="BD27" s="27">
        <f t="shared" ca="1" si="1005"/>
        <v>-1000</v>
      </c>
      <c r="BE27" s="27">
        <f t="shared" ca="1" si="1005"/>
        <v>-1000</v>
      </c>
      <c r="BF27" s="27">
        <f t="shared" ca="1" si="1005"/>
        <v>-1000</v>
      </c>
      <c r="BG27" s="27">
        <f t="shared" ca="1" si="1005"/>
        <v>-1000</v>
      </c>
      <c r="BH27" s="27">
        <f t="shared" ca="1" si="1005"/>
        <v>-1000</v>
      </c>
      <c r="BI27" s="27">
        <f t="shared" ca="1" si="1005"/>
        <v>-1000</v>
      </c>
      <c r="BJ27" s="27">
        <f t="shared" ca="1" si="1005"/>
        <v>-1000</v>
      </c>
      <c r="BK27" s="27">
        <f t="shared" ca="1" si="1005"/>
        <v>-1000</v>
      </c>
      <c r="BL27" s="27">
        <f t="shared" ca="1" si="1005"/>
        <v>-1000</v>
      </c>
      <c r="BM27" s="27">
        <f t="shared" ca="1" si="1005"/>
        <v>-1000</v>
      </c>
      <c r="BN27" s="27">
        <f t="shared" ca="1" si="1005"/>
        <v>-1000</v>
      </c>
      <c r="BO27" s="27">
        <f t="shared" ca="1" si="1005"/>
        <v>-1000</v>
      </c>
      <c r="BP27" s="27">
        <f t="shared" ca="1" si="1005"/>
        <v>-1000</v>
      </c>
      <c r="BQ27" s="27">
        <f t="shared" ca="1" si="1005"/>
        <v>-1000</v>
      </c>
      <c r="BR27" s="27">
        <f t="shared" ca="1" si="1005"/>
        <v>-1000</v>
      </c>
      <c r="BS27" s="27">
        <f t="shared" ref="BS27:ED27" ca="1" si="1006">IF(BS26=1,-1000,IF(BS3=$C$22,1,-1000))</f>
        <v>-1000</v>
      </c>
      <c r="BT27" s="27">
        <f t="shared" ca="1" si="1006"/>
        <v>-1000</v>
      </c>
      <c r="BU27" s="27">
        <f t="shared" ca="1" si="1006"/>
        <v>-1000</v>
      </c>
      <c r="BV27" s="27">
        <f t="shared" ca="1" si="1006"/>
        <v>-1000</v>
      </c>
      <c r="BW27" s="27">
        <f t="shared" ca="1" si="1006"/>
        <v>-1000</v>
      </c>
      <c r="BX27" s="27">
        <f t="shared" ca="1" si="1006"/>
        <v>-1000</v>
      </c>
      <c r="BY27" s="27">
        <f t="shared" ca="1" si="1006"/>
        <v>-1000</v>
      </c>
      <c r="BZ27" s="27">
        <f t="shared" ca="1" si="1006"/>
        <v>-1000</v>
      </c>
      <c r="CA27" s="27">
        <f t="shared" ca="1" si="1006"/>
        <v>-1000</v>
      </c>
      <c r="CB27" s="27">
        <f t="shared" ca="1" si="1006"/>
        <v>-1000</v>
      </c>
      <c r="CC27" s="27">
        <f t="shared" ca="1" si="1006"/>
        <v>-1000</v>
      </c>
      <c r="CD27" s="27">
        <f t="shared" ca="1" si="1006"/>
        <v>-1000</v>
      </c>
      <c r="CE27" s="27">
        <f t="shared" ca="1" si="1006"/>
        <v>-1000</v>
      </c>
      <c r="CF27" s="27">
        <f t="shared" ca="1" si="1006"/>
        <v>-1000</v>
      </c>
      <c r="CG27" s="27">
        <f t="shared" ca="1" si="1006"/>
        <v>-1000</v>
      </c>
      <c r="CH27" s="27">
        <f t="shared" ca="1" si="1006"/>
        <v>-1000</v>
      </c>
      <c r="CI27" s="27">
        <f t="shared" ca="1" si="1006"/>
        <v>-1000</v>
      </c>
      <c r="CJ27" s="27">
        <f t="shared" ca="1" si="1006"/>
        <v>-1000</v>
      </c>
      <c r="CK27" s="27">
        <f t="shared" ca="1" si="1006"/>
        <v>-1000</v>
      </c>
      <c r="CL27" s="27">
        <f t="shared" ca="1" si="1006"/>
        <v>-1000</v>
      </c>
      <c r="CM27" s="27">
        <f t="shared" ca="1" si="1006"/>
        <v>-1000</v>
      </c>
      <c r="CN27" s="27">
        <f t="shared" ca="1" si="1006"/>
        <v>-1000</v>
      </c>
      <c r="CO27" s="27">
        <f t="shared" ca="1" si="1006"/>
        <v>-1000</v>
      </c>
      <c r="CP27" s="27">
        <f t="shared" ca="1" si="1006"/>
        <v>-1000</v>
      </c>
      <c r="CQ27" s="27">
        <f t="shared" ca="1" si="1006"/>
        <v>-1000</v>
      </c>
      <c r="CR27" s="27">
        <f t="shared" ca="1" si="1006"/>
        <v>-1000</v>
      </c>
      <c r="CS27" s="27">
        <f t="shared" ca="1" si="1006"/>
        <v>-1000</v>
      </c>
      <c r="CT27" s="27">
        <f t="shared" ca="1" si="1006"/>
        <v>-1000</v>
      </c>
      <c r="CU27" s="27">
        <f t="shared" ca="1" si="1006"/>
        <v>-1000</v>
      </c>
      <c r="CV27" s="27">
        <f t="shared" ca="1" si="1006"/>
        <v>-1000</v>
      </c>
      <c r="CW27" s="27">
        <f t="shared" ca="1" si="1006"/>
        <v>-1000</v>
      </c>
      <c r="CX27" s="27">
        <f t="shared" ca="1" si="1006"/>
        <v>-1000</v>
      </c>
      <c r="CY27" s="27">
        <f t="shared" ca="1" si="1006"/>
        <v>-1000</v>
      </c>
      <c r="CZ27" s="27">
        <f t="shared" ca="1" si="1006"/>
        <v>-1000</v>
      </c>
      <c r="DA27" s="27">
        <f t="shared" ca="1" si="1006"/>
        <v>-1000</v>
      </c>
      <c r="DB27" s="27">
        <f t="shared" ca="1" si="1006"/>
        <v>-1000</v>
      </c>
      <c r="DC27" s="27">
        <f t="shared" ca="1" si="1006"/>
        <v>-1000</v>
      </c>
      <c r="DD27" s="27">
        <f t="shared" ca="1" si="1006"/>
        <v>-1000</v>
      </c>
      <c r="DE27" s="27">
        <f t="shared" ca="1" si="1006"/>
        <v>-1000</v>
      </c>
      <c r="DF27" s="27">
        <f t="shared" ca="1" si="1006"/>
        <v>-1000</v>
      </c>
      <c r="DG27" s="27">
        <f t="shared" ca="1" si="1006"/>
        <v>-1000</v>
      </c>
      <c r="DH27" s="27">
        <f t="shared" ca="1" si="1006"/>
        <v>-1000</v>
      </c>
      <c r="DI27" s="27">
        <f t="shared" ca="1" si="1006"/>
        <v>-1000</v>
      </c>
      <c r="DJ27" s="27">
        <f t="shared" ca="1" si="1006"/>
        <v>-1000</v>
      </c>
      <c r="DK27" s="27">
        <f t="shared" ca="1" si="1006"/>
        <v>-1000</v>
      </c>
      <c r="DL27" s="27">
        <f t="shared" ca="1" si="1006"/>
        <v>-1000</v>
      </c>
      <c r="DM27" s="27">
        <f t="shared" ca="1" si="1006"/>
        <v>-1000</v>
      </c>
      <c r="DN27" s="27">
        <f t="shared" ca="1" si="1006"/>
        <v>-1000</v>
      </c>
      <c r="DO27" s="27">
        <f t="shared" ca="1" si="1006"/>
        <v>-1000</v>
      </c>
      <c r="DP27" s="27">
        <f t="shared" ca="1" si="1006"/>
        <v>-1000</v>
      </c>
      <c r="DQ27" s="27">
        <f t="shared" ca="1" si="1006"/>
        <v>-1000</v>
      </c>
      <c r="DR27" s="27">
        <f t="shared" ca="1" si="1006"/>
        <v>-1000</v>
      </c>
      <c r="DS27" s="27">
        <f t="shared" ca="1" si="1006"/>
        <v>-1000</v>
      </c>
      <c r="DT27" s="27">
        <f t="shared" ca="1" si="1006"/>
        <v>-1000</v>
      </c>
      <c r="DU27" s="27">
        <f t="shared" ca="1" si="1006"/>
        <v>-1000</v>
      </c>
      <c r="DV27" s="27">
        <f t="shared" ca="1" si="1006"/>
        <v>-1000</v>
      </c>
      <c r="DW27" s="27">
        <f t="shared" ca="1" si="1006"/>
        <v>-1000</v>
      </c>
      <c r="DX27" s="27">
        <f t="shared" ca="1" si="1006"/>
        <v>-1000</v>
      </c>
      <c r="DY27" s="27">
        <f t="shared" ca="1" si="1006"/>
        <v>-1000</v>
      </c>
      <c r="DZ27" s="27">
        <f t="shared" ca="1" si="1006"/>
        <v>-1000</v>
      </c>
      <c r="EA27" s="27">
        <f t="shared" ca="1" si="1006"/>
        <v>-1000</v>
      </c>
      <c r="EB27" s="27">
        <f t="shared" ca="1" si="1006"/>
        <v>-1000</v>
      </c>
      <c r="EC27" s="27">
        <f t="shared" ca="1" si="1006"/>
        <v>-1000</v>
      </c>
      <c r="ED27" s="27">
        <f t="shared" ca="1" si="1006"/>
        <v>-1000</v>
      </c>
      <c r="EE27" s="27">
        <f t="shared" ref="EE27:GP27" ca="1" si="1007">IF(EE26=1,-1000,IF(EE3=$C$22,1,-1000))</f>
        <v>-1000</v>
      </c>
      <c r="EF27" s="27">
        <f t="shared" ca="1" si="1007"/>
        <v>-1000</v>
      </c>
      <c r="EG27" s="27">
        <f t="shared" ca="1" si="1007"/>
        <v>-1000</v>
      </c>
      <c r="EH27" s="27">
        <f t="shared" ca="1" si="1007"/>
        <v>-1000</v>
      </c>
      <c r="EI27" s="27">
        <f t="shared" ca="1" si="1007"/>
        <v>-1000</v>
      </c>
      <c r="EJ27" s="27">
        <f t="shared" ca="1" si="1007"/>
        <v>-1000</v>
      </c>
      <c r="EK27" s="27">
        <f t="shared" ca="1" si="1007"/>
        <v>-1000</v>
      </c>
      <c r="EL27" s="27">
        <f t="shared" ca="1" si="1007"/>
        <v>-1000</v>
      </c>
      <c r="EM27" s="27">
        <f t="shared" ca="1" si="1007"/>
        <v>-1000</v>
      </c>
      <c r="EN27" s="27">
        <f t="shared" ca="1" si="1007"/>
        <v>-1000</v>
      </c>
      <c r="EO27" s="27">
        <f t="shared" ca="1" si="1007"/>
        <v>-1000</v>
      </c>
      <c r="EP27" s="27">
        <f t="shared" ca="1" si="1007"/>
        <v>-1000</v>
      </c>
      <c r="EQ27" s="27">
        <f t="shared" ca="1" si="1007"/>
        <v>-1000</v>
      </c>
      <c r="ER27" s="27">
        <f t="shared" ca="1" si="1007"/>
        <v>-1000</v>
      </c>
      <c r="ES27" s="27">
        <f t="shared" ca="1" si="1007"/>
        <v>-1000</v>
      </c>
      <c r="ET27" s="27">
        <f t="shared" ca="1" si="1007"/>
        <v>-1000</v>
      </c>
      <c r="EU27" s="27">
        <f t="shared" ca="1" si="1007"/>
        <v>-1000</v>
      </c>
      <c r="EV27" s="27">
        <f t="shared" ca="1" si="1007"/>
        <v>-1000</v>
      </c>
      <c r="EW27" s="27">
        <f t="shared" ca="1" si="1007"/>
        <v>-1000</v>
      </c>
      <c r="EX27" s="27">
        <f t="shared" ca="1" si="1007"/>
        <v>-1000</v>
      </c>
      <c r="EY27" s="27">
        <f t="shared" ca="1" si="1007"/>
        <v>-1000</v>
      </c>
      <c r="EZ27" s="27">
        <f t="shared" ca="1" si="1007"/>
        <v>-1000</v>
      </c>
      <c r="FA27" s="27">
        <f t="shared" ca="1" si="1007"/>
        <v>-1000</v>
      </c>
      <c r="FB27" s="27">
        <f t="shared" ca="1" si="1007"/>
        <v>-1000</v>
      </c>
      <c r="FC27" s="27">
        <f t="shared" ca="1" si="1007"/>
        <v>-1000</v>
      </c>
      <c r="FD27" s="27">
        <f t="shared" ca="1" si="1007"/>
        <v>-1000</v>
      </c>
      <c r="FE27" s="27">
        <f t="shared" ca="1" si="1007"/>
        <v>-1000</v>
      </c>
      <c r="FF27" s="27">
        <f t="shared" ca="1" si="1007"/>
        <v>-1000</v>
      </c>
      <c r="FG27" s="27">
        <f t="shared" ca="1" si="1007"/>
        <v>-1000</v>
      </c>
      <c r="FH27" s="27">
        <f t="shared" ca="1" si="1007"/>
        <v>-1000</v>
      </c>
      <c r="FI27" s="27">
        <f t="shared" ca="1" si="1007"/>
        <v>-1000</v>
      </c>
      <c r="FJ27" s="27">
        <f t="shared" ca="1" si="1007"/>
        <v>-1000</v>
      </c>
      <c r="FK27" s="27">
        <f t="shared" ca="1" si="1007"/>
        <v>-1000</v>
      </c>
      <c r="FL27" s="27">
        <f t="shared" ca="1" si="1007"/>
        <v>-1000</v>
      </c>
      <c r="FM27" s="27">
        <f t="shared" ca="1" si="1007"/>
        <v>-1000</v>
      </c>
      <c r="FN27" s="27">
        <f t="shared" ca="1" si="1007"/>
        <v>-1000</v>
      </c>
      <c r="FO27" s="27">
        <f t="shared" ca="1" si="1007"/>
        <v>-1000</v>
      </c>
      <c r="FP27" s="27">
        <f t="shared" ca="1" si="1007"/>
        <v>-1000</v>
      </c>
      <c r="FQ27" s="27">
        <f t="shared" ca="1" si="1007"/>
        <v>-1000</v>
      </c>
      <c r="FR27" s="27">
        <f t="shared" ca="1" si="1007"/>
        <v>-1000</v>
      </c>
      <c r="FS27" s="27">
        <f t="shared" ca="1" si="1007"/>
        <v>-1000</v>
      </c>
      <c r="FT27" s="27">
        <f t="shared" ca="1" si="1007"/>
        <v>-1000</v>
      </c>
      <c r="FU27" s="27">
        <f t="shared" ca="1" si="1007"/>
        <v>-1000</v>
      </c>
      <c r="FV27" s="27">
        <f t="shared" ca="1" si="1007"/>
        <v>-1000</v>
      </c>
      <c r="FW27" s="27">
        <f t="shared" ca="1" si="1007"/>
        <v>-1000</v>
      </c>
      <c r="FX27" s="27">
        <f t="shared" ca="1" si="1007"/>
        <v>-1000</v>
      </c>
      <c r="FY27" s="27">
        <f t="shared" ca="1" si="1007"/>
        <v>-1000</v>
      </c>
      <c r="FZ27" s="27">
        <f t="shared" ca="1" si="1007"/>
        <v>-1000</v>
      </c>
      <c r="GA27" s="27">
        <f t="shared" ca="1" si="1007"/>
        <v>-1000</v>
      </c>
      <c r="GB27" s="27">
        <f t="shared" ca="1" si="1007"/>
        <v>-1000</v>
      </c>
      <c r="GC27" s="27">
        <f t="shared" ca="1" si="1007"/>
        <v>-1000</v>
      </c>
      <c r="GD27" s="27">
        <f t="shared" ca="1" si="1007"/>
        <v>-1000</v>
      </c>
      <c r="GE27" s="27">
        <f t="shared" ca="1" si="1007"/>
        <v>-1000</v>
      </c>
      <c r="GF27" s="27">
        <f t="shared" ca="1" si="1007"/>
        <v>-1000</v>
      </c>
      <c r="GG27" s="27">
        <f t="shared" ca="1" si="1007"/>
        <v>-1000</v>
      </c>
      <c r="GH27" s="27">
        <f t="shared" ca="1" si="1007"/>
        <v>-1000</v>
      </c>
      <c r="GI27" s="27">
        <f t="shared" ca="1" si="1007"/>
        <v>-1000</v>
      </c>
      <c r="GJ27" s="27">
        <f t="shared" ca="1" si="1007"/>
        <v>-1000</v>
      </c>
      <c r="GK27" s="27">
        <f t="shared" ca="1" si="1007"/>
        <v>-1000</v>
      </c>
      <c r="GL27" s="27">
        <f t="shared" ca="1" si="1007"/>
        <v>-1000</v>
      </c>
      <c r="GM27" s="27">
        <f t="shared" ca="1" si="1007"/>
        <v>-1000</v>
      </c>
      <c r="GN27" s="27">
        <f t="shared" ca="1" si="1007"/>
        <v>-1000</v>
      </c>
      <c r="GO27" s="27">
        <f t="shared" ca="1" si="1007"/>
        <v>-1000</v>
      </c>
      <c r="GP27" s="27">
        <f t="shared" ca="1" si="1007"/>
        <v>-1000</v>
      </c>
      <c r="GQ27" s="27">
        <f t="shared" ref="GQ27:JB27" ca="1" si="1008">IF(GQ26=1,-1000,IF(GQ3=$C$22,1,-1000))</f>
        <v>-1000</v>
      </c>
      <c r="GR27" s="27">
        <f t="shared" ca="1" si="1008"/>
        <v>-1000</v>
      </c>
      <c r="GS27" s="27">
        <f t="shared" ca="1" si="1008"/>
        <v>-1000</v>
      </c>
      <c r="GT27" s="27">
        <f t="shared" ca="1" si="1008"/>
        <v>-1000</v>
      </c>
      <c r="GU27" s="27">
        <f t="shared" ca="1" si="1008"/>
        <v>-1000</v>
      </c>
      <c r="GV27" s="27">
        <f t="shared" ca="1" si="1008"/>
        <v>-1000</v>
      </c>
      <c r="GW27" s="27">
        <f t="shared" ca="1" si="1008"/>
        <v>-1000</v>
      </c>
      <c r="GX27" s="27">
        <f t="shared" ca="1" si="1008"/>
        <v>-1000</v>
      </c>
      <c r="GY27" s="27">
        <f t="shared" ca="1" si="1008"/>
        <v>-1000</v>
      </c>
      <c r="GZ27" s="27">
        <f t="shared" ca="1" si="1008"/>
        <v>-1000</v>
      </c>
      <c r="HA27" s="27">
        <f t="shared" ca="1" si="1008"/>
        <v>-1000</v>
      </c>
      <c r="HB27" s="27">
        <f t="shared" ca="1" si="1008"/>
        <v>-1000</v>
      </c>
      <c r="HC27" s="27">
        <f t="shared" ca="1" si="1008"/>
        <v>-1000</v>
      </c>
      <c r="HD27" s="27">
        <f t="shared" ca="1" si="1008"/>
        <v>-1000</v>
      </c>
      <c r="HE27" s="27">
        <f t="shared" ca="1" si="1008"/>
        <v>-1000</v>
      </c>
      <c r="HF27" s="27">
        <f t="shared" ca="1" si="1008"/>
        <v>-1000</v>
      </c>
      <c r="HG27" s="27">
        <f t="shared" ca="1" si="1008"/>
        <v>-1000</v>
      </c>
      <c r="HH27" s="27">
        <f t="shared" ca="1" si="1008"/>
        <v>-1000</v>
      </c>
      <c r="HI27" s="27">
        <f t="shared" ca="1" si="1008"/>
        <v>-1000</v>
      </c>
      <c r="HJ27" s="27">
        <f t="shared" ca="1" si="1008"/>
        <v>-1000</v>
      </c>
      <c r="HK27" s="27">
        <f t="shared" ca="1" si="1008"/>
        <v>-1000</v>
      </c>
      <c r="HL27" s="27">
        <f t="shared" ca="1" si="1008"/>
        <v>-1000</v>
      </c>
      <c r="HM27" s="27">
        <f t="shared" ca="1" si="1008"/>
        <v>-1000</v>
      </c>
      <c r="HN27" s="27">
        <f t="shared" ca="1" si="1008"/>
        <v>-1000</v>
      </c>
      <c r="HO27" s="27">
        <f t="shared" ca="1" si="1008"/>
        <v>-1000</v>
      </c>
      <c r="HP27" s="27">
        <f t="shared" ca="1" si="1008"/>
        <v>-1000</v>
      </c>
      <c r="HQ27" s="27">
        <f t="shared" ca="1" si="1008"/>
        <v>-1000</v>
      </c>
      <c r="HR27" s="27">
        <f t="shared" ca="1" si="1008"/>
        <v>-1000</v>
      </c>
      <c r="HS27" s="27">
        <f t="shared" ca="1" si="1008"/>
        <v>-1000</v>
      </c>
      <c r="HT27" s="27">
        <f t="shared" ca="1" si="1008"/>
        <v>-1000</v>
      </c>
      <c r="HU27" s="27">
        <f t="shared" ca="1" si="1008"/>
        <v>-1000</v>
      </c>
      <c r="HV27" s="27">
        <f t="shared" ca="1" si="1008"/>
        <v>-1000</v>
      </c>
      <c r="HW27" s="27">
        <f t="shared" ca="1" si="1008"/>
        <v>-1000</v>
      </c>
      <c r="HX27" s="27">
        <f t="shared" ca="1" si="1008"/>
        <v>-1000</v>
      </c>
      <c r="HY27" s="27">
        <f t="shared" ca="1" si="1008"/>
        <v>-1000</v>
      </c>
      <c r="HZ27" s="27">
        <f t="shared" ca="1" si="1008"/>
        <v>-1000</v>
      </c>
      <c r="IA27" s="27">
        <f t="shared" ca="1" si="1008"/>
        <v>-1000</v>
      </c>
      <c r="IB27" s="27">
        <f t="shared" ca="1" si="1008"/>
        <v>-1000</v>
      </c>
      <c r="IC27" s="27">
        <f t="shared" ca="1" si="1008"/>
        <v>-1000</v>
      </c>
      <c r="ID27" s="27">
        <f t="shared" ca="1" si="1008"/>
        <v>-1000</v>
      </c>
      <c r="IE27" s="27">
        <f t="shared" ca="1" si="1008"/>
        <v>-1000</v>
      </c>
      <c r="IF27" s="27">
        <f t="shared" ca="1" si="1008"/>
        <v>-1000</v>
      </c>
      <c r="IG27" s="27">
        <f t="shared" ca="1" si="1008"/>
        <v>-1000</v>
      </c>
      <c r="IH27" s="27">
        <f t="shared" ca="1" si="1008"/>
        <v>-1000</v>
      </c>
      <c r="II27" s="27">
        <f t="shared" ca="1" si="1008"/>
        <v>-1000</v>
      </c>
      <c r="IJ27" s="27">
        <f t="shared" ca="1" si="1008"/>
        <v>-1000</v>
      </c>
      <c r="IK27" s="27">
        <f t="shared" ca="1" si="1008"/>
        <v>-1000</v>
      </c>
      <c r="IL27" s="27">
        <f t="shared" ca="1" si="1008"/>
        <v>-1000</v>
      </c>
      <c r="IM27" s="27">
        <f t="shared" ca="1" si="1008"/>
        <v>-1000</v>
      </c>
      <c r="IN27" s="27">
        <f t="shared" ca="1" si="1008"/>
        <v>-1000</v>
      </c>
    </row>
    <row r="28" spans="2:248" ht="15" thickBot="1" x14ac:dyDescent="0.35">
      <c r="B28" s="19" t="s">
        <v>456</v>
      </c>
      <c r="C28" s="20">
        <f ca="1">G3</f>
        <v>43884</v>
      </c>
      <c r="D28" s="20">
        <f ca="1">G3</f>
        <v>43884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43.8" thickBot="1" x14ac:dyDescent="0.35">
      <c r="B29" s="19" t="s">
        <v>489</v>
      </c>
      <c r="C29" s="20">
        <f ca="1">MIN(IF(Projections!$W$14="",xMin2+C5+5,xMin2+Projections!$W$14+C5),MAX(3:3))</f>
        <v>43913</v>
      </c>
      <c r="D29" s="20">
        <f ca="1">OFFSET(G24,-21,MATCH(1,G24:KU24,0))+3</f>
        <v>43923</v>
      </c>
      <c r="H29" s="68" t="s">
        <v>516</v>
      </c>
      <c r="I29" s="69" t="s">
        <v>609</v>
      </c>
      <c r="J29" s="69" t="s">
        <v>632</v>
      </c>
      <c r="K29" s="70" t="s">
        <v>610</v>
      </c>
      <c r="L29" s="52" t="s">
        <v>633</v>
      </c>
      <c r="M29" s="49" t="s">
        <v>515</v>
      </c>
      <c r="N29" s="49" t="s">
        <v>517</v>
      </c>
      <c r="O29" s="50" t="s">
        <v>518</v>
      </c>
      <c r="S29" s="19" t="s">
        <v>516</v>
      </c>
      <c r="T29" s="19" t="s">
        <v>517</v>
      </c>
    </row>
    <row r="30" spans="2:248" ht="15" thickBot="1" x14ac:dyDescent="0.35">
      <c r="C30" s="20"/>
      <c r="D30" s="20"/>
      <c r="H30" s="46" t="s">
        <v>65</v>
      </c>
      <c r="I30" s="43">
        <f>VLOOKUP(H30,'Country Summary'!B:F,5,FALSE)</f>
        <v>6421</v>
      </c>
      <c r="J30" s="43">
        <f t="shared" ref="J30:J61" si="1009">I30*$C$14</f>
        <v>301.78699999999998</v>
      </c>
      <c r="K30" s="71">
        <f>IFERROR(VLOOKUP(H30,DaysSince100!C:G,5,FALSE),0)</f>
        <v>1.2976948964303137</v>
      </c>
      <c r="L30" s="51">
        <f t="shared" ref="L30:L62" si="1010">LOG((O30/J30),K30)</f>
        <v>22.151992963436182</v>
      </c>
      <c r="M30" s="44">
        <v>29.3</v>
      </c>
      <c r="N30" s="45">
        <f t="shared" ref="N30:N60" si="1011">VLOOKUP(H30,$S$30:$T$264,2,FALSE)</f>
        <v>331002651</v>
      </c>
      <c r="O30" s="47">
        <f t="shared" ref="O30:O60" si="1012">(N30/100000)*M30</f>
        <v>96983.776743000009</v>
      </c>
      <c r="S30" s="18" t="s">
        <v>365</v>
      </c>
      <c r="T30" s="30">
        <v>1439323776</v>
      </c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H31" s="46" t="s">
        <v>80</v>
      </c>
      <c r="I31" s="43">
        <f>VLOOKUP(H31,'Country Summary'!B:F,5,FALSE)</f>
        <v>9257</v>
      </c>
      <c r="J31" s="43">
        <f t="shared" si="1009"/>
        <v>435.07900000000001</v>
      </c>
      <c r="K31" s="71">
        <f>IFERROR(VLOOKUP(H31,DaysSince100!C:G,5,FALSE),0)</f>
        <v>1.2665800533814173</v>
      </c>
      <c r="L31" s="51">
        <f t="shared" si="1010"/>
        <v>17.050866531041969</v>
      </c>
      <c r="M31" s="44">
        <v>29.2</v>
      </c>
      <c r="N31" s="45">
        <f t="shared" si="1011"/>
        <v>83783942</v>
      </c>
      <c r="O31" s="47">
        <f t="shared" si="1012"/>
        <v>24464.911064</v>
      </c>
      <c r="S31" s="18" t="s">
        <v>84</v>
      </c>
      <c r="T31" s="30">
        <v>1380004385</v>
      </c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H32" s="46" t="s">
        <v>126</v>
      </c>
      <c r="I32" s="43">
        <f>VLOOKUP(H32,'Country Summary'!B:F,5,FALSE)</f>
        <v>140</v>
      </c>
      <c r="J32" s="43">
        <f t="shared" si="1009"/>
        <v>6.58</v>
      </c>
      <c r="K32" s="71">
        <f>IFERROR(VLOOKUP(H32,DaysSince100!C:G,5,FALSE),0)</f>
        <v>0</v>
      </c>
      <c r="L32" s="51" t="e">
        <f t="shared" si="1010"/>
        <v>#NUM!</v>
      </c>
      <c r="M32" s="44">
        <v>24.8</v>
      </c>
      <c r="N32" s="45">
        <f t="shared" si="1011"/>
        <v>625978</v>
      </c>
      <c r="O32" s="47">
        <f t="shared" si="1012"/>
        <v>155.24254400000001</v>
      </c>
      <c r="S32" s="18" t="s">
        <v>65</v>
      </c>
      <c r="T32" s="30">
        <v>331002651</v>
      </c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B33" s="19" t="str">
        <f>B2&amp;" Covid-19 projections"</f>
        <v>Italy Covid-19 projections</v>
      </c>
      <c r="H33" s="46" t="s">
        <v>105</v>
      </c>
      <c r="I33" s="43">
        <f>VLOOKUP(H33,'Country Summary'!B:F,5,FALSE)</f>
        <v>1332</v>
      </c>
      <c r="J33" s="43">
        <f t="shared" si="1009"/>
        <v>62.603999999999999</v>
      </c>
      <c r="K33" s="71">
        <f>IFERROR(VLOOKUP(H33,DaysSince100!C:G,5,FALSE),0)</f>
        <v>1.3455488096516359</v>
      </c>
      <c r="L33" s="51">
        <f t="shared" si="1010"/>
        <v>11.609091207887323</v>
      </c>
      <c r="M33" s="44">
        <v>21.8</v>
      </c>
      <c r="N33" s="45">
        <f t="shared" si="1011"/>
        <v>9006398</v>
      </c>
      <c r="O33" s="47">
        <f t="shared" si="1012"/>
        <v>1963.3947640000001</v>
      </c>
      <c r="S33" s="18" t="s">
        <v>134</v>
      </c>
      <c r="T33" s="30">
        <v>273523615</v>
      </c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critically ill projections ("&amp;TEXT(C14,"0.0%")&amp;" of infected requiring critical care)"</f>
        <v>Italy critically ill projections (4.7% of infected requiring critical care)</v>
      </c>
      <c r="H34" s="46" t="s">
        <v>90</v>
      </c>
      <c r="I34" s="43">
        <f>VLOOKUP(H34,'Country Summary'!B:F,5,FALSE)</f>
        <v>1243</v>
      </c>
      <c r="J34" s="43">
        <f t="shared" si="1009"/>
        <v>58.420999999999999</v>
      </c>
      <c r="K34" s="71">
        <f>IFERROR(VLOOKUP(H34,DaysSince100!C:G,5,FALSE),0)</f>
        <v>1.3167650659961898</v>
      </c>
      <c r="L34" s="51">
        <f t="shared" si="1010"/>
        <v>12.542204143737067</v>
      </c>
      <c r="M34" s="44">
        <v>15.9</v>
      </c>
      <c r="N34" s="45">
        <f t="shared" si="1011"/>
        <v>11589623</v>
      </c>
      <c r="O34" s="47">
        <f t="shared" si="1012"/>
        <v>1842.7500570000002</v>
      </c>
      <c r="S34" s="18" t="s">
        <v>107</v>
      </c>
      <c r="T34" s="30">
        <v>220892340</v>
      </c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H35" s="46" t="s">
        <v>120</v>
      </c>
      <c r="I35" s="43">
        <f>VLOOKUP(H35,'Country Summary'!B:F,5,FALSE)</f>
        <v>25</v>
      </c>
      <c r="J35" s="43">
        <f t="shared" si="1009"/>
        <v>1.175</v>
      </c>
      <c r="K35" s="71">
        <f>IFERROR(VLOOKUP(H35,DaysSince100!C:G,5,FALSE),0)</f>
        <v>0</v>
      </c>
      <c r="L35" s="51" t="e">
        <f t="shared" si="1010"/>
        <v>#NUM!</v>
      </c>
      <c r="M35" s="44">
        <v>15.5</v>
      </c>
      <c r="N35" s="45">
        <f t="shared" si="1011"/>
        <v>2722289</v>
      </c>
      <c r="O35" s="47">
        <f t="shared" si="1012"/>
        <v>421.95479499999999</v>
      </c>
      <c r="S35" s="18" t="s">
        <v>108</v>
      </c>
      <c r="T35" s="30">
        <v>212559417</v>
      </c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C36" s="20"/>
      <c r="H36" s="46" t="s">
        <v>115</v>
      </c>
      <c r="I36" s="43">
        <f>VLOOKUP(H36,'Country Summary'!B:F,5,FALSE)</f>
        <v>225</v>
      </c>
      <c r="J36" s="43">
        <f t="shared" si="1009"/>
        <v>10.574999999999999</v>
      </c>
      <c r="K36" s="71">
        <f>IFERROR(VLOOKUP(H36,DaysSince100!C:G,5,FALSE),0)</f>
        <v>1.2507242180067484</v>
      </c>
      <c r="L36" s="51">
        <f t="shared" si="1010"/>
        <v>12.996818933082963</v>
      </c>
      <c r="M36" s="44">
        <v>14.6</v>
      </c>
      <c r="N36" s="45">
        <f t="shared" si="1011"/>
        <v>1326535</v>
      </c>
      <c r="O36" s="47">
        <f t="shared" si="1012"/>
        <v>193.67410999999998</v>
      </c>
      <c r="S36" s="18" t="s">
        <v>123</v>
      </c>
      <c r="T36" s="30">
        <v>206139589</v>
      </c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H37" s="46" t="s">
        <v>159</v>
      </c>
      <c r="I37" s="43">
        <f>VLOOKUP(H37,'Country Summary'!B:F,5,FALSE)</f>
        <v>50</v>
      </c>
      <c r="J37" s="43">
        <f t="shared" si="1009"/>
        <v>2.35</v>
      </c>
      <c r="K37" s="71">
        <f>IFERROR(VLOOKUP(H37,DaysSince100!C:G,5,FALSE),0)</f>
        <v>0</v>
      </c>
      <c r="L37" s="51" t="e">
        <f t="shared" si="1010"/>
        <v>#NUM!</v>
      </c>
      <c r="M37" s="44">
        <v>13.8</v>
      </c>
      <c r="N37" s="45">
        <f t="shared" si="1011"/>
        <v>9660351</v>
      </c>
      <c r="O37" s="47">
        <f t="shared" si="1012"/>
        <v>1333.128438</v>
      </c>
      <c r="S37" s="18" t="s">
        <v>229</v>
      </c>
      <c r="T37" s="30">
        <v>164689383</v>
      </c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B38" s="21"/>
      <c r="H38" s="46" t="s">
        <v>85</v>
      </c>
      <c r="I38" s="43">
        <f>VLOOKUP(H38,'Country Summary'!B:F,5,FALSE)</f>
        <v>31506</v>
      </c>
      <c r="J38" s="43">
        <f t="shared" si="1009"/>
        <v>1480.7819999999999</v>
      </c>
      <c r="K38" s="71">
        <f>IFERROR(VLOOKUP(H38,DaysSince100!C:G,5,FALSE),0)</f>
        <v>1.1761238221218828</v>
      </c>
      <c r="L38" s="51">
        <f t="shared" si="1010"/>
        <v>10.047828726964564</v>
      </c>
      <c r="M38" s="44">
        <v>12.5</v>
      </c>
      <c r="N38" s="45">
        <f t="shared" si="1011"/>
        <v>60461826</v>
      </c>
      <c r="O38" s="47">
        <f t="shared" si="1012"/>
        <v>7557.7282499999992</v>
      </c>
      <c r="S38" s="18" t="s">
        <v>372</v>
      </c>
      <c r="T38" s="30">
        <v>145934462</v>
      </c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4"/>
      <c r="H39" s="46" t="s">
        <v>68</v>
      </c>
      <c r="I39" s="43">
        <f>VLOOKUP(H39,'Country Summary'!B:F,5,FALSE)</f>
        <v>7699</v>
      </c>
      <c r="J39" s="43">
        <f t="shared" si="1009"/>
        <v>361.85300000000001</v>
      </c>
      <c r="K39" s="71">
        <f>IFERROR(VLOOKUP(H39,DaysSince100!C:G,5,FALSE),0)</f>
        <v>1.1995265265383273</v>
      </c>
      <c r="L39" s="51">
        <f t="shared" si="1010"/>
        <v>16.715164970731774</v>
      </c>
      <c r="M39" s="44">
        <v>11.6</v>
      </c>
      <c r="N39" s="45">
        <f t="shared" si="1011"/>
        <v>65273511</v>
      </c>
      <c r="O39" s="47">
        <f t="shared" si="1012"/>
        <v>7571.7272759999996</v>
      </c>
      <c r="S39" s="18" t="s">
        <v>121</v>
      </c>
      <c r="T39" s="30">
        <v>128932753</v>
      </c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H40" s="46" t="s">
        <v>519</v>
      </c>
      <c r="I40" s="43">
        <f>VLOOKUP(H40,'Country Summary'!B:F,5,FALSE)</f>
        <v>396</v>
      </c>
      <c r="J40" s="43">
        <f t="shared" si="1009"/>
        <v>18.611999999999998</v>
      </c>
      <c r="K40" s="71">
        <f>IFERROR(VLOOKUP(H40,DaysSince100!C:G,5,FALSE),0)</f>
        <v>0</v>
      </c>
      <c r="L40" s="51" t="e">
        <f t="shared" si="1010"/>
        <v>#NUM!</v>
      </c>
      <c r="M40" s="44">
        <v>11.6</v>
      </c>
      <c r="N40" s="45">
        <f t="shared" si="1011"/>
        <v>10708981</v>
      </c>
      <c r="O40" s="47">
        <f t="shared" si="1012"/>
        <v>1242.241796</v>
      </c>
      <c r="S40" s="18" t="s">
        <v>63</v>
      </c>
      <c r="T40" s="30">
        <v>126476461</v>
      </c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H41" s="46" t="s">
        <v>104</v>
      </c>
      <c r="I41" s="43">
        <f>VLOOKUP(H41,'Country Summary'!B:F,5,FALSE)</f>
        <v>2700</v>
      </c>
      <c r="J41" s="43">
        <f t="shared" si="1009"/>
        <v>126.9</v>
      </c>
      <c r="K41" s="71">
        <f>IFERROR(VLOOKUP(H41,DaysSince100!C:G,5,FALSE),0)</f>
        <v>1.2193346918253616</v>
      </c>
      <c r="L41" s="51">
        <f t="shared" si="1010"/>
        <v>10.161976195715683</v>
      </c>
      <c r="M41" s="44">
        <v>11</v>
      </c>
      <c r="N41" s="45">
        <f t="shared" si="1011"/>
        <v>8654622</v>
      </c>
      <c r="O41" s="47">
        <f t="shared" si="1012"/>
        <v>952.00842000000011</v>
      </c>
      <c r="S41" s="18" t="s">
        <v>447</v>
      </c>
      <c r="T41" s="30">
        <v>114963588</v>
      </c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H42" s="48" t="s">
        <v>514</v>
      </c>
      <c r="I42" s="43">
        <f>VLOOKUP(H42,'Country Summary'!B:F,5,FALSE)</f>
        <v>8320</v>
      </c>
      <c r="J42" s="43">
        <f t="shared" si="1009"/>
        <v>391.04</v>
      </c>
      <c r="K42" s="71">
        <f>IFERROR(VLOOKUP(H42,DaysSince100!C:G,5,FALSE),0)</f>
        <v>0</v>
      </c>
      <c r="L42" s="51" t="e">
        <f t="shared" si="1010"/>
        <v>#NUM!</v>
      </c>
      <c r="M42" s="64">
        <v>10.6</v>
      </c>
      <c r="N42" s="45">
        <f t="shared" si="1011"/>
        <v>51269185</v>
      </c>
      <c r="O42" s="47">
        <f t="shared" si="1012"/>
        <v>5434.5336100000004</v>
      </c>
      <c r="S42" s="18" t="s">
        <v>83</v>
      </c>
      <c r="T42" s="30">
        <v>109581078</v>
      </c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H43" s="46" t="s">
        <v>87</v>
      </c>
      <c r="I43" s="43">
        <f>VLOOKUP(H43,'Country Summary'!B:F,5,FALSE)</f>
        <v>11748</v>
      </c>
      <c r="J43" s="43">
        <f t="shared" si="1009"/>
        <v>552.15599999999995</v>
      </c>
      <c r="K43" s="71">
        <f>IFERROR(VLOOKUP(H43,DaysSince100!C:G,5,FALSE),0)</f>
        <v>1.2302724501987492</v>
      </c>
      <c r="L43" s="51">
        <f t="shared" si="1010"/>
        <v>10.161363773562785</v>
      </c>
      <c r="M43" s="44">
        <v>9.6999999999999993</v>
      </c>
      <c r="N43" s="45">
        <f t="shared" si="1011"/>
        <v>46754778</v>
      </c>
      <c r="O43" s="47">
        <f t="shared" si="1012"/>
        <v>4535.2134659999992</v>
      </c>
      <c r="S43" s="18" t="s">
        <v>92</v>
      </c>
      <c r="T43" s="30">
        <v>102334404</v>
      </c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H44" s="46" t="s">
        <v>138</v>
      </c>
      <c r="I44" s="43">
        <f>VLOOKUP(H44,'Country Summary'!B:F,5,FALSE)</f>
        <v>49</v>
      </c>
      <c r="J44" s="43">
        <f t="shared" si="1009"/>
        <v>2.3029999999999999</v>
      </c>
      <c r="K44" s="71">
        <f>IFERROR(VLOOKUP(H44,DaysSince100!C:G,5,FALSE),0)</f>
        <v>0</v>
      </c>
      <c r="L44" s="51" t="e">
        <f t="shared" si="1010"/>
        <v>#NUM!</v>
      </c>
      <c r="M44" s="44">
        <v>9.6999999999999993</v>
      </c>
      <c r="N44" s="45">
        <f t="shared" si="1011"/>
        <v>1886198</v>
      </c>
      <c r="O44" s="47">
        <f t="shared" si="1012"/>
        <v>182.96120599999998</v>
      </c>
      <c r="S44" s="18" t="s">
        <v>371</v>
      </c>
      <c r="T44" s="30">
        <v>97338579</v>
      </c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H45" s="46" t="s">
        <v>189</v>
      </c>
      <c r="I45" s="43">
        <f>VLOOKUP(H45,'Country Summary'!B:F,5,FALSE)</f>
        <v>72</v>
      </c>
      <c r="J45" s="43">
        <f t="shared" si="1009"/>
        <v>3.3839999999999999</v>
      </c>
      <c r="K45" s="71">
        <f>IFERROR(VLOOKUP(H45,DaysSince100!C:G,5,FALSE),0)</f>
        <v>0</v>
      </c>
      <c r="L45" s="51" t="e">
        <f t="shared" si="1010"/>
        <v>#NUM!</v>
      </c>
      <c r="M45" s="44">
        <v>9.1999999999999993</v>
      </c>
      <c r="N45" s="45">
        <f t="shared" si="1011"/>
        <v>5459642</v>
      </c>
      <c r="O45" s="47">
        <f t="shared" si="1012"/>
        <v>502.28706399999999</v>
      </c>
      <c r="S45" s="18" t="s">
        <v>520</v>
      </c>
      <c r="T45" s="30">
        <v>89561403</v>
      </c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H46" s="46" t="s">
        <v>119</v>
      </c>
      <c r="I46" s="43">
        <f>VLOOKUP(H46,'Country Summary'!B:F,5,FALSE)</f>
        <v>220</v>
      </c>
      <c r="J46" s="43">
        <f t="shared" si="1009"/>
        <v>10.34</v>
      </c>
      <c r="K46" s="71">
        <f>IFERROR(VLOOKUP(H46,DaysSince100!C:G,5,FALSE),0)</f>
        <v>1.1639038137093691</v>
      </c>
      <c r="L46" s="51">
        <f t="shared" si="1010"/>
        <v>7.2452317912090427</v>
      </c>
      <c r="M46" s="44">
        <v>9.1</v>
      </c>
      <c r="N46" s="45">
        <f t="shared" si="1011"/>
        <v>341243</v>
      </c>
      <c r="O46" s="47">
        <f t="shared" si="1012"/>
        <v>31.053113</v>
      </c>
      <c r="S46" s="18" t="s">
        <v>383</v>
      </c>
      <c r="T46" s="30">
        <v>84339067</v>
      </c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H47" s="46" t="s">
        <v>112</v>
      </c>
      <c r="I47" s="43">
        <f>VLOOKUP(H47,'Country Summary'!B:F,5,FALSE)</f>
        <v>1463</v>
      </c>
      <c r="J47" s="43">
        <f t="shared" si="1009"/>
        <v>68.760999999999996</v>
      </c>
      <c r="K47" s="71">
        <f>IFERROR(VLOOKUP(H47,DaysSince100!C:G,5,FALSE),0)</f>
        <v>1.1581943521549098</v>
      </c>
      <c r="L47" s="51">
        <f t="shared" si="1010"/>
        <v>12.540426838878091</v>
      </c>
      <c r="M47" s="44">
        <v>8</v>
      </c>
      <c r="N47" s="45">
        <f t="shared" si="1011"/>
        <v>5421241</v>
      </c>
      <c r="O47" s="47">
        <f t="shared" si="1012"/>
        <v>433.69927999999999</v>
      </c>
      <c r="S47" s="18" t="s">
        <v>366</v>
      </c>
      <c r="T47" s="30">
        <v>83992949</v>
      </c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H48" s="48" t="s">
        <v>63</v>
      </c>
      <c r="I48" s="43">
        <f>VLOOKUP(H48,'Country Summary'!B:F,5,FALSE)</f>
        <v>878</v>
      </c>
      <c r="J48" s="43">
        <f t="shared" si="1009"/>
        <v>41.265999999999998</v>
      </c>
      <c r="K48" s="71">
        <f>IFERROR(VLOOKUP(H48,DaysSince100!C:G,5,FALSE),0)</f>
        <v>1.0656110898075526</v>
      </c>
      <c r="L48" s="51">
        <f t="shared" si="1010"/>
        <v>85.139427040248762</v>
      </c>
      <c r="M48" s="44">
        <v>7.3</v>
      </c>
      <c r="N48" s="45">
        <f t="shared" si="1011"/>
        <v>126476461</v>
      </c>
      <c r="O48" s="47">
        <f t="shared" si="1012"/>
        <v>9232.781653</v>
      </c>
      <c r="S48" s="18" t="s">
        <v>80</v>
      </c>
      <c r="T48" s="30">
        <v>83783942</v>
      </c>
      <c r="AI48" s="31"/>
      <c r="AJ48" s="32"/>
      <c r="AK48" s="33"/>
      <c r="AL48" s="32"/>
      <c r="AM48" s="32"/>
      <c r="AN48" s="33"/>
      <c r="AO48" s="33"/>
      <c r="AP48" s="34"/>
      <c r="AQ48" s="31"/>
    </row>
    <row r="49" spans="8:43" ht="15" thickBot="1" x14ac:dyDescent="0.35">
      <c r="H49" s="48" t="s">
        <v>164</v>
      </c>
      <c r="I49" s="43">
        <f>VLOOKUP(H49,'Country Summary'!B:F,5,FALSE)</f>
        <v>238</v>
      </c>
      <c r="J49" s="43">
        <f t="shared" si="1009"/>
        <v>11.186</v>
      </c>
      <c r="K49" s="71">
        <f>IFERROR(VLOOKUP(H49,DaysSince100!C:G,5,FALSE),0)</f>
        <v>1.32204603334969</v>
      </c>
      <c r="L49" s="51">
        <f t="shared" si="1010"/>
        <v>19.532108220550096</v>
      </c>
      <c r="M49" s="44">
        <v>6.9</v>
      </c>
      <c r="N49" s="45">
        <f t="shared" si="1011"/>
        <v>37846611</v>
      </c>
      <c r="O49" s="47">
        <f t="shared" si="1012"/>
        <v>2611.4161590000003</v>
      </c>
      <c r="S49" s="18" t="s">
        <v>62</v>
      </c>
      <c r="T49" s="30">
        <v>69799978</v>
      </c>
      <c r="AI49" s="31"/>
      <c r="AJ49" s="32"/>
      <c r="AK49" s="33"/>
      <c r="AL49" s="32"/>
      <c r="AM49" s="32"/>
      <c r="AN49" s="33"/>
      <c r="AO49" s="33"/>
      <c r="AP49" s="34"/>
      <c r="AQ49" s="31"/>
    </row>
    <row r="50" spans="8:43" ht="15" thickBot="1" x14ac:dyDescent="0.35">
      <c r="H50" s="48" t="s">
        <v>114</v>
      </c>
      <c r="I50" s="43">
        <f>VLOOKUP(H50,'Country Summary'!B:F,5,FALSE)</f>
        <v>1024</v>
      </c>
      <c r="J50" s="43">
        <f t="shared" si="1009"/>
        <v>48.128</v>
      </c>
      <c r="K50" s="71">
        <f>IFERROR(VLOOKUP(H50,DaysSince100!C:G,5,FALSE),0)</f>
        <v>1.1066313225979794</v>
      </c>
      <c r="L50" s="51">
        <f t="shared" si="1010"/>
        <v>20.601357677601598</v>
      </c>
      <c r="M50" s="44">
        <v>6.7</v>
      </c>
      <c r="N50" s="45">
        <f t="shared" si="1011"/>
        <v>5792202</v>
      </c>
      <c r="O50" s="47">
        <f t="shared" si="1012"/>
        <v>388.07753400000001</v>
      </c>
      <c r="S50" s="18" t="s">
        <v>377</v>
      </c>
      <c r="T50" s="30">
        <v>67886011</v>
      </c>
      <c r="AI50" s="31"/>
      <c r="AJ50" s="32"/>
      <c r="AK50" s="33"/>
      <c r="AL50" s="32"/>
      <c r="AM50" s="32"/>
      <c r="AN50" s="33"/>
      <c r="AO50" s="33"/>
      <c r="AP50" s="34"/>
      <c r="AQ50" s="31"/>
    </row>
    <row r="51" spans="8:43" ht="15" thickBot="1" x14ac:dyDescent="0.35">
      <c r="H51" s="48" t="s">
        <v>377</v>
      </c>
      <c r="I51" s="43" t="e">
        <f>VLOOKUP(H51,'Country Summary'!B:F,5,FALSE)</f>
        <v>#N/A</v>
      </c>
      <c r="J51" s="43" t="e">
        <f t="shared" si="1009"/>
        <v>#N/A</v>
      </c>
      <c r="K51" s="71">
        <f>IFERROR(VLOOKUP(H51,DaysSince100!C:G,5,FALSE),0)</f>
        <v>1.2674062232989756</v>
      </c>
      <c r="L51" s="51" t="e">
        <f t="shared" si="1010"/>
        <v>#N/A</v>
      </c>
      <c r="M51" s="44">
        <v>6.6</v>
      </c>
      <c r="N51" s="45">
        <f t="shared" si="1011"/>
        <v>67886011</v>
      </c>
      <c r="O51" s="47">
        <f t="shared" si="1012"/>
        <v>4480.4767259999999</v>
      </c>
      <c r="S51" s="18" t="s">
        <v>68</v>
      </c>
      <c r="T51" s="30">
        <v>65273511</v>
      </c>
      <c r="AI51" s="31"/>
      <c r="AJ51" s="32"/>
      <c r="AK51" s="33"/>
      <c r="AL51" s="32"/>
      <c r="AM51" s="32"/>
      <c r="AN51" s="33"/>
      <c r="AO51" s="33"/>
      <c r="AP51" s="34"/>
      <c r="AQ51" s="31"/>
    </row>
    <row r="52" spans="8:43" ht="15" thickBot="1" x14ac:dyDescent="0.35">
      <c r="H52" s="48" t="s">
        <v>125</v>
      </c>
      <c r="I52" s="43">
        <f>VLOOKUP(H52,'Country Summary'!B:F,5,FALSE)</f>
        <v>223</v>
      </c>
      <c r="J52" s="43">
        <f t="shared" si="1009"/>
        <v>10.481</v>
      </c>
      <c r="K52" s="71">
        <f>IFERROR(VLOOKUP(H52,DaysSince100!C:G,5,FALSE),0)</f>
        <v>1.2001578890727884</v>
      </c>
      <c r="L52" s="51">
        <f t="shared" si="1010"/>
        <v>18.754078767921285</v>
      </c>
      <c r="M52" s="44">
        <v>6.5</v>
      </c>
      <c r="N52" s="45">
        <f t="shared" si="1011"/>
        <v>4937786</v>
      </c>
      <c r="O52" s="47">
        <f t="shared" si="1012"/>
        <v>320.95609000000002</v>
      </c>
      <c r="S52" s="18" t="s">
        <v>85</v>
      </c>
      <c r="T52" s="30">
        <v>60461826</v>
      </c>
      <c r="AI52" s="31"/>
      <c r="AJ52" s="32"/>
      <c r="AK52" s="33"/>
      <c r="AL52" s="32"/>
      <c r="AM52" s="32"/>
      <c r="AN52" s="33"/>
      <c r="AO52" s="33"/>
      <c r="AP52" s="34"/>
      <c r="AQ52" s="31"/>
    </row>
    <row r="53" spans="8:43" ht="15" thickBot="1" x14ac:dyDescent="0.35">
      <c r="H53" s="48" t="s">
        <v>116</v>
      </c>
      <c r="I53" s="43">
        <f>VLOOKUP(H53,'Country Summary'!B:F,5,FALSE)</f>
        <v>1708</v>
      </c>
      <c r="J53" s="43">
        <f t="shared" si="1009"/>
        <v>80.275999999999996</v>
      </c>
      <c r="K53" s="71">
        <f>IFERROR(VLOOKUP(H53,DaysSince100!C:G,5,FALSE),0)</f>
        <v>1.2059850450579939</v>
      </c>
      <c r="L53" s="51">
        <f t="shared" si="1010"/>
        <v>13.959285467920409</v>
      </c>
      <c r="M53" s="44">
        <v>6.4</v>
      </c>
      <c r="N53" s="45">
        <f t="shared" si="1011"/>
        <v>17134872</v>
      </c>
      <c r="O53" s="47">
        <f t="shared" si="1012"/>
        <v>1096.6318079999999</v>
      </c>
      <c r="S53" s="18" t="s">
        <v>509</v>
      </c>
      <c r="T53" s="30">
        <v>59734218</v>
      </c>
      <c r="AI53" s="31"/>
      <c r="AJ53" s="32"/>
      <c r="AK53" s="33"/>
      <c r="AL53" s="32"/>
      <c r="AM53" s="32"/>
      <c r="AN53" s="33"/>
      <c r="AO53" s="33"/>
      <c r="AP53" s="34"/>
      <c r="AQ53" s="31"/>
    </row>
    <row r="54" spans="8:43" ht="15" thickBot="1" x14ac:dyDescent="0.35">
      <c r="H54" s="48" t="s">
        <v>168</v>
      </c>
      <c r="I54" s="43">
        <f>VLOOKUP(H54,'Country Summary'!B:F,5,FALSE)</f>
        <v>275</v>
      </c>
      <c r="J54" s="43">
        <f t="shared" si="1009"/>
        <v>12.925000000000001</v>
      </c>
      <c r="K54" s="71">
        <f>IFERROR(VLOOKUP(H54,DaysSince100!C:G,5,FALSE),0)</f>
        <v>1.1817575763782182</v>
      </c>
      <c r="L54" s="51">
        <f t="shared" si="1010"/>
        <v>13.961303786090088</v>
      </c>
      <c r="M54" s="44">
        <v>6.4</v>
      </c>
      <c r="N54" s="45">
        <f t="shared" si="1011"/>
        <v>2078938</v>
      </c>
      <c r="O54" s="47">
        <f t="shared" si="1012"/>
        <v>133.05203200000003</v>
      </c>
      <c r="S54" s="18" t="s">
        <v>172</v>
      </c>
      <c r="T54" s="30">
        <v>59308690</v>
      </c>
      <c r="AI54" s="31"/>
      <c r="AJ54" s="32"/>
      <c r="AK54" s="33"/>
      <c r="AL54" s="32"/>
      <c r="AM54" s="32"/>
      <c r="AN54" s="33"/>
      <c r="AO54" s="33"/>
      <c r="AP54" s="34"/>
      <c r="AQ54" s="31"/>
    </row>
    <row r="55" spans="8:43" ht="15" thickBot="1" x14ac:dyDescent="0.35">
      <c r="H55" s="48" t="s">
        <v>81</v>
      </c>
      <c r="I55" s="43">
        <f>VLOOKUP(H55,'Country Summary'!B:F,5,FALSE)</f>
        <v>321</v>
      </c>
      <c r="J55" s="43">
        <f t="shared" si="1009"/>
        <v>15.087</v>
      </c>
      <c r="K55" s="71">
        <f>IFERROR(VLOOKUP(H55,DaysSince100!C:G,5,FALSE),0)</f>
        <v>1.19961899420888</v>
      </c>
      <c r="L55" s="51">
        <f t="shared" si="1010"/>
        <v>17.082947891279012</v>
      </c>
      <c r="M55" s="44">
        <v>6.1</v>
      </c>
      <c r="N55" s="45">
        <f t="shared" si="1011"/>
        <v>5540720</v>
      </c>
      <c r="O55" s="47">
        <f t="shared" si="1012"/>
        <v>337.98392000000001</v>
      </c>
      <c r="S55" s="18" t="s">
        <v>521</v>
      </c>
      <c r="T55" s="30">
        <v>54409800</v>
      </c>
      <c r="AI55" s="31"/>
      <c r="AJ55" s="32"/>
      <c r="AK55" s="33"/>
      <c r="AL55" s="32"/>
      <c r="AM55" s="32"/>
      <c r="AN55" s="33"/>
      <c r="AO55" s="33"/>
      <c r="AP55" s="34"/>
      <c r="AQ55" s="31"/>
    </row>
    <row r="56" spans="8:43" ht="15" thickBot="1" x14ac:dyDescent="0.35">
      <c r="H56" s="48" t="s">
        <v>110</v>
      </c>
      <c r="I56" s="43">
        <f>VLOOKUP(H56,'Country Summary'!B:F,5,FALSE)</f>
        <v>387</v>
      </c>
      <c r="J56" s="43">
        <f t="shared" si="1009"/>
        <v>18.189</v>
      </c>
      <c r="K56" s="71">
        <f>IFERROR(VLOOKUP(H56,DaysSince100!C:G,5,FALSE),0)</f>
        <v>1.1946462963075151</v>
      </c>
      <c r="L56" s="51">
        <f t="shared" si="1010"/>
        <v>19.890607493344618</v>
      </c>
      <c r="M56" s="44">
        <v>6</v>
      </c>
      <c r="N56" s="45">
        <f t="shared" si="1011"/>
        <v>10423054</v>
      </c>
      <c r="O56" s="47">
        <f t="shared" si="1012"/>
        <v>625.38324</v>
      </c>
      <c r="S56" s="18" t="s">
        <v>451</v>
      </c>
      <c r="T56" s="30">
        <v>53771296</v>
      </c>
      <c r="AI56" s="31"/>
      <c r="AJ56" s="32"/>
      <c r="AK56" s="33"/>
      <c r="AL56" s="32"/>
      <c r="AM56" s="32"/>
      <c r="AN56" s="33"/>
      <c r="AO56" s="33"/>
      <c r="AP56" s="34"/>
      <c r="AQ56" s="31"/>
    </row>
    <row r="57" spans="8:43" ht="15" thickBot="1" x14ac:dyDescent="0.35">
      <c r="H57" s="48" t="s">
        <v>86</v>
      </c>
      <c r="I57" s="43">
        <f>VLOOKUP(H57,'Country Summary'!B:F,5,FALSE)</f>
        <v>1190</v>
      </c>
      <c r="J57" s="43">
        <f t="shared" si="1009"/>
        <v>55.93</v>
      </c>
      <c r="K57" s="71">
        <f>IFERROR(VLOOKUP(H57,DaysSince100!C:G,5,FALSE),0)</f>
        <v>1.1471600858605453</v>
      </c>
      <c r="L57" s="51">
        <f t="shared" si="1010"/>
        <v>17.108420546151965</v>
      </c>
      <c r="M57" s="44">
        <v>5.8</v>
      </c>
      <c r="N57" s="45">
        <f t="shared" si="1011"/>
        <v>10099265</v>
      </c>
      <c r="O57" s="47">
        <f t="shared" si="1012"/>
        <v>585.75736999999992</v>
      </c>
      <c r="S57" s="18" t="s">
        <v>514</v>
      </c>
      <c r="T57" s="30">
        <v>51269185</v>
      </c>
      <c r="AI57" s="31"/>
      <c r="AJ57" s="32"/>
      <c r="AK57" s="33"/>
      <c r="AL57" s="32"/>
      <c r="AM57" s="32"/>
      <c r="AN57" s="33"/>
      <c r="AO57" s="33"/>
      <c r="AP57" s="34"/>
      <c r="AQ57" s="31"/>
    </row>
    <row r="58" spans="8:43" ht="15" thickBot="1" x14ac:dyDescent="0.35">
      <c r="H58" s="48" t="s">
        <v>135</v>
      </c>
      <c r="I58" s="43">
        <f>VLOOKUP(H58,'Country Summary'!B:F,5,FALSE)</f>
        <v>448</v>
      </c>
      <c r="J58" s="43">
        <f t="shared" si="1009"/>
        <v>21.056000000000001</v>
      </c>
      <c r="K58" s="71">
        <f>IFERROR(VLOOKUP(H58,DaysSince100!C:G,5,FALSE),0)</f>
        <v>1.4142135623730949</v>
      </c>
      <c r="L58" s="51">
        <f t="shared" si="1010"/>
        <v>8.6923792487375469</v>
      </c>
      <c r="M58" s="44">
        <v>4.2</v>
      </c>
      <c r="N58" s="45">
        <f t="shared" si="1011"/>
        <v>10196709</v>
      </c>
      <c r="O58" s="47">
        <f t="shared" si="1012"/>
        <v>428.26177799999999</v>
      </c>
      <c r="S58" s="18" t="s">
        <v>185</v>
      </c>
      <c r="T58" s="30">
        <v>50882891</v>
      </c>
      <c r="AI58" s="31"/>
      <c r="AJ58" s="32"/>
      <c r="AK58" s="33"/>
      <c r="AL58" s="32"/>
      <c r="AM58" s="32"/>
      <c r="AN58" s="33"/>
      <c r="AO58" s="33"/>
      <c r="AP58" s="34"/>
      <c r="AQ58" s="31"/>
    </row>
    <row r="59" spans="8:43" ht="15" thickBot="1" x14ac:dyDescent="0.35">
      <c r="H59" s="48" t="s">
        <v>365</v>
      </c>
      <c r="I59" s="43">
        <f>VLOOKUP(H59,'Country Summary'!B:F,5,FALSE)</f>
        <v>81058</v>
      </c>
      <c r="J59" s="43">
        <f t="shared" si="1009"/>
        <v>3809.7260000000001</v>
      </c>
      <c r="K59" s="71">
        <f>IFERROR(VLOOKUP(H59,DaysSince100!C:G,5,FALSE),0)</f>
        <v>1.0003111787855088</v>
      </c>
      <c r="L59" s="51">
        <f t="shared" si="1010"/>
        <v>8389.2002959293277</v>
      </c>
      <c r="M59" s="44">
        <v>3.6</v>
      </c>
      <c r="N59" s="45">
        <f t="shared" si="1011"/>
        <v>1439323776</v>
      </c>
      <c r="O59" s="47">
        <f t="shared" si="1012"/>
        <v>51815.655936000003</v>
      </c>
      <c r="S59" s="18" t="s">
        <v>87</v>
      </c>
      <c r="T59" s="30">
        <v>46754778</v>
      </c>
      <c r="AI59" s="31"/>
      <c r="AJ59" s="32"/>
      <c r="AK59" s="33"/>
      <c r="AL59" s="32"/>
      <c r="AM59" s="32"/>
      <c r="AN59" s="33"/>
      <c r="AO59" s="33"/>
      <c r="AP59" s="34"/>
      <c r="AQ59" s="31"/>
    </row>
    <row r="60" spans="8:43" ht="15" thickBot="1" x14ac:dyDescent="0.35">
      <c r="H60" s="48" t="s">
        <v>84</v>
      </c>
      <c r="I60" s="43">
        <f>VLOOKUP(H60,'Country Summary'!B:F,5,FALSE)</f>
        <v>142</v>
      </c>
      <c r="J60" s="43">
        <f t="shared" si="1009"/>
        <v>6.6740000000000004</v>
      </c>
      <c r="K60" s="71">
        <f>IFERROR(VLOOKUP(H60,DaysSince100!C:G,5,FALSE),0)</f>
        <v>1.1165959737838647</v>
      </c>
      <c r="L60" s="51">
        <f t="shared" si="1010"/>
        <v>76.775047653643824</v>
      </c>
      <c r="M60" s="44">
        <v>2.2999999999999998</v>
      </c>
      <c r="N60" s="45">
        <f t="shared" si="1011"/>
        <v>1380004385</v>
      </c>
      <c r="O60" s="47">
        <f t="shared" si="1012"/>
        <v>31740.100854999997</v>
      </c>
      <c r="S60" s="18" t="s">
        <v>522</v>
      </c>
      <c r="T60" s="30">
        <v>45741007</v>
      </c>
      <c r="AI60" s="31"/>
      <c r="AJ60" s="32"/>
      <c r="AK60" s="33"/>
      <c r="AL60" s="32"/>
      <c r="AM60" s="32"/>
      <c r="AN60" s="33"/>
      <c r="AO60" s="33"/>
      <c r="AP60" s="34"/>
      <c r="AQ60" s="31"/>
    </row>
    <row r="61" spans="8:43" ht="15" thickBot="1" x14ac:dyDescent="0.35">
      <c r="H61" s="48" t="s">
        <v>151</v>
      </c>
      <c r="I61" s="43">
        <f>VLOOKUP(H61,'Country Summary'!B:F,5,FALSE)</f>
        <v>201</v>
      </c>
      <c r="J61" s="43">
        <f t="shared" si="1009"/>
        <v>9.4469999999999992</v>
      </c>
      <c r="K61" s="71">
        <f>IFERROR(VLOOKUP(H61,DaysSince100!C:G,5,FALSE),0)</f>
        <v>1.2967741935483872</v>
      </c>
      <c r="L61" s="51">
        <f t="shared" si="1010"/>
        <v>19.499489106394989</v>
      </c>
      <c r="M61" s="44"/>
      <c r="N61" s="45">
        <f t="shared" ref="N61:N63" si="1013">VLOOKUP(H61,$S$30:$T$264,2,FALSE)</f>
        <v>19116201</v>
      </c>
      <c r="O61" s="47">
        <v>1500</v>
      </c>
      <c r="S61" s="18" t="s">
        <v>150</v>
      </c>
      <c r="T61" s="30">
        <v>45195774</v>
      </c>
      <c r="AI61" s="31"/>
      <c r="AJ61" s="32"/>
      <c r="AK61" s="33"/>
      <c r="AL61" s="32"/>
      <c r="AM61" s="32"/>
      <c r="AN61" s="33"/>
      <c r="AO61" s="33"/>
      <c r="AP61" s="34"/>
      <c r="AQ61" s="31"/>
    </row>
    <row r="62" spans="8:43" ht="15" thickBot="1" x14ac:dyDescent="0.35">
      <c r="H62" s="48" t="s">
        <v>103</v>
      </c>
      <c r="I62" s="43">
        <f>VLOOKUP(H62,'Country Summary'!B:F,5,FALSE)</f>
        <v>65</v>
      </c>
      <c r="J62" s="43">
        <f t="shared" ref="J62:J63" si="1014">I62*$C$14</f>
        <v>3.0550000000000002</v>
      </c>
      <c r="K62" s="71">
        <f>IFERROR(VLOOKUP(H62,DaysSince100!C:G,5,FALSE),0)</f>
        <v>0</v>
      </c>
      <c r="L62" s="51" t="e">
        <f t="shared" si="1010"/>
        <v>#NUM!</v>
      </c>
      <c r="M62" s="44">
        <v>14.7</v>
      </c>
      <c r="N62" s="45">
        <f t="shared" si="1013"/>
        <v>4105267</v>
      </c>
      <c r="O62" s="47">
        <v>1500</v>
      </c>
      <c r="S62" s="18" t="s">
        <v>102</v>
      </c>
      <c r="T62" s="30">
        <v>43851044</v>
      </c>
      <c r="AI62" s="31"/>
      <c r="AJ62" s="32"/>
      <c r="AK62" s="33"/>
      <c r="AL62" s="32"/>
      <c r="AM62" s="32"/>
      <c r="AN62" s="33"/>
      <c r="AO62" s="33"/>
      <c r="AP62" s="34"/>
      <c r="AQ62" s="31"/>
    </row>
    <row r="63" spans="8:43" ht="15" thickBot="1" x14ac:dyDescent="0.35">
      <c r="H63" s="48" t="s">
        <v>226</v>
      </c>
      <c r="I63" s="43">
        <f>VLOOKUP(H63,'Country Summary'!B:F,5,FALSE)</f>
        <v>67</v>
      </c>
      <c r="J63" s="43">
        <f t="shared" si="1014"/>
        <v>3.149</v>
      </c>
      <c r="K63" s="71">
        <f>IFERROR(VLOOKUP(H63,DaysSince100!C:G,5,FALSE),0)</f>
        <v>0</v>
      </c>
      <c r="L63" s="51" t="e">
        <f t="shared" ref="L63" si="1015">LOG((O63/J63),K63)</f>
        <v>#NUM!</v>
      </c>
      <c r="M63" s="44">
        <v>12.2</v>
      </c>
      <c r="N63" s="45">
        <f t="shared" si="1013"/>
        <v>6948445</v>
      </c>
      <c r="O63" s="47">
        <v>1500</v>
      </c>
      <c r="S63" s="18" t="s">
        <v>448</v>
      </c>
      <c r="T63" s="30">
        <v>43849260</v>
      </c>
      <c r="AI63" s="31"/>
      <c r="AJ63" s="32"/>
      <c r="AK63" s="33"/>
      <c r="AL63" s="32"/>
      <c r="AM63" s="32"/>
      <c r="AN63" s="33"/>
      <c r="AO63" s="33"/>
      <c r="AP63" s="34"/>
      <c r="AQ63" s="31"/>
    </row>
    <row r="64" spans="8:43" ht="15" thickBot="1" x14ac:dyDescent="0.35">
      <c r="N64" s="29"/>
      <c r="S64" s="18" t="s">
        <v>156</v>
      </c>
      <c r="T64" s="30">
        <v>43733762</v>
      </c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 t="s">
        <v>97</v>
      </c>
      <c r="T65" s="30">
        <v>40222493</v>
      </c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 t="s">
        <v>99</v>
      </c>
      <c r="T66" s="30">
        <v>38928346</v>
      </c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 t="s">
        <v>164</v>
      </c>
      <c r="T67" s="30">
        <v>37846611</v>
      </c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 t="s">
        <v>72</v>
      </c>
      <c r="T68" s="30">
        <v>37742154</v>
      </c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 t="s">
        <v>139</v>
      </c>
      <c r="T69" s="30">
        <v>36910560</v>
      </c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 t="s">
        <v>140</v>
      </c>
      <c r="T70" s="30">
        <v>34813871</v>
      </c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 t="s">
        <v>499</v>
      </c>
      <c r="T71" s="30">
        <v>33469203</v>
      </c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 t="s">
        <v>187</v>
      </c>
      <c r="T72" s="30">
        <v>32971854</v>
      </c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 t="s">
        <v>523</v>
      </c>
      <c r="T73" s="30">
        <v>32866272</v>
      </c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 t="s">
        <v>70</v>
      </c>
      <c r="T74" s="30">
        <v>32365999</v>
      </c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 t="s">
        <v>524</v>
      </c>
      <c r="T75" s="30">
        <v>31255435</v>
      </c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 t="s">
        <v>464</v>
      </c>
      <c r="T76" s="30">
        <v>31072940</v>
      </c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 t="s">
        <v>525</v>
      </c>
      <c r="T77" s="30">
        <v>29825964</v>
      </c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 t="s">
        <v>69</v>
      </c>
      <c r="T78" s="30">
        <v>29136808</v>
      </c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 t="s">
        <v>470</v>
      </c>
      <c r="T79" s="30">
        <v>28435940</v>
      </c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 t="s">
        <v>526</v>
      </c>
      <c r="T80" s="30">
        <v>27691018</v>
      </c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 t="s">
        <v>184</v>
      </c>
      <c r="T81" s="30">
        <v>26545863</v>
      </c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 t="s">
        <v>527</v>
      </c>
      <c r="T82" s="30">
        <v>26378274</v>
      </c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 t="s">
        <v>528</v>
      </c>
      <c r="T83" s="30">
        <v>25778816</v>
      </c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 t="s">
        <v>75</v>
      </c>
      <c r="T84" s="30">
        <v>25499884</v>
      </c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 t="s">
        <v>529</v>
      </c>
      <c r="T85" s="30">
        <v>24206644</v>
      </c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 t="s">
        <v>530</v>
      </c>
      <c r="T86" s="30">
        <v>23816775</v>
      </c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 t="s">
        <v>79</v>
      </c>
      <c r="T87" s="30">
        <v>21413249</v>
      </c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 t="s">
        <v>306</v>
      </c>
      <c r="T88" s="30">
        <v>20903273</v>
      </c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 t="s">
        <v>531</v>
      </c>
      <c r="T89" s="30">
        <v>20250833</v>
      </c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 t="s">
        <v>113</v>
      </c>
      <c r="T90" s="30">
        <v>19237691</v>
      </c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 t="s">
        <v>532</v>
      </c>
      <c r="T91" s="30">
        <v>19129952</v>
      </c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 t="s">
        <v>151</v>
      </c>
      <c r="T92" s="30">
        <v>19116201</v>
      </c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 t="s">
        <v>441</v>
      </c>
      <c r="T93" s="30">
        <v>18776707</v>
      </c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 t="s">
        <v>533</v>
      </c>
      <c r="T94" s="30">
        <v>18383955</v>
      </c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 t="s">
        <v>474</v>
      </c>
      <c r="T95" s="30">
        <v>17915568</v>
      </c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 t="s">
        <v>130</v>
      </c>
      <c r="T96" s="30">
        <v>17643054</v>
      </c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 t="s">
        <v>534</v>
      </c>
      <c r="T97" s="30">
        <v>17500658</v>
      </c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 t="s">
        <v>116</v>
      </c>
      <c r="T98" s="30">
        <v>17134872</v>
      </c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 t="s">
        <v>141</v>
      </c>
      <c r="T99" s="30">
        <v>16743927</v>
      </c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 t="s">
        <v>78</v>
      </c>
      <c r="T100" s="30">
        <v>16718965</v>
      </c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 t="s">
        <v>535</v>
      </c>
      <c r="T101" s="30">
        <v>16425864</v>
      </c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 t="s">
        <v>508</v>
      </c>
      <c r="T102" s="30">
        <v>15893222</v>
      </c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 t="s">
        <v>536</v>
      </c>
      <c r="T103" s="30">
        <v>14862924</v>
      </c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 t="s">
        <v>449</v>
      </c>
      <c r="T104" s="30">
        <v>13132795</v>
      </c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 t="s">
        <v>477</v>
      </c>
      <c r="T105" s="30">
        <v>12952218</v>
      </c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 t="s">
        <v>504</v>
      </c>
      <c r="T106" s="30">
        <v>12123200</v>
      </c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 t="s">
        <v>537</v>
      </c>
      <c r="T107" s="30">
        <v>11890784</v>
      </c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 t="s">
        <v>165</v>
      </c>
      <c r="T108" s="30">
        <v>11818619</v>
      </c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 t="s">
        <v>374</v>
      </c>
      <c r="T109" s="30">
        <v>11673021</v>
      </c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 t="s">
        <v>90</v>
      </c>
      <c r="T110" s="30">
        <v>11589623</v>
      </c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 t="s">
        <v>538</v>
      </c>
      <c r="T111" s="30">
        <v>11402528</v>
      </c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 t="s">
        <v>438</v>
      </c>
      <c r="T112" s="30">
        <v>11326616</v>
      </c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 t="s">
        <v>539</v>
      </c>
      <c r="T113" s="30">
        <v>11193725</v>
      </c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 t="s">
        <v>133</v>
      </c>
      <c r="T114" s="30">
        <v>10847910</v>
      </c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 t="s">
        <v>519</v>
      </c>
      <c r="T115" s="30">
        <v>10708981</v>
      </c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 t="s">
        <v>110</v>
      </c>
      <c r="T116" s="30">
        <v>10423054</v>
      </c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 t="s">
        <v>152</v>
      </c>
      <c r="T117" s="30">
        <v>10203134</v>
      </c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 t="s">
        <v>135</v>
      </c>
      <c r="T118" s="30">
        <v>10196709</v>
      </c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 t="s">
        <v>131</v>
      </c>
      <c r="T119" s="30">
        <v>10139177</v>
      </c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 t="s">
        <v>86</v>
      </c>
      <c r="T120" s="30">
        <v>10099265</v>
      </c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 t="s">
        <v>376</v>
      </c>
      <c r="T121" s="30">
        <v>9904607</v>
      </c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 t="s">
        <v>82</v>
      </c>
      <c r="T122" s="30">
        <v>9890402</v>
      </c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 t="s">
        <v>159</v>
      </c>
      <c r="T123" s="30">
        <v>9660351</v>
      </c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 t="s">
        <v>540</v>
      </c>
      <c r="T124" s="30">
        <v>9537645</v>
      </c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 t="s">
        <v>118</v>
      </c>
      <c r="T125" s="30">
        <v>9449323</v>
      </c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 t="s">
        <v>105</v>
      </c>
      <c r="T126" s="30">
        <v>9006398</v>
      </c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 t="s">
        <v>541</v>
      </c>
      <c r="T127" s="30">
        <v>8947024</v>
      </c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 t="s">
        <v>188</v>
      </c>
      <c r="T128" s="30">
        <v>8737371</v>
      </c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 t="s">
        <v>106</v>
      </c>
      <c r="T129" s="30">
        <v>8655535</v>
      </c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 t="s">
        <v>104</v>
      </c>
      <c r="T130" s="30">
        <v>8654622</v>
      </c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 t="s">
        <v>190</v>
      </c>
      <c r="T131" s="30">
        <v>8278724</v>
      </c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 t="s">
        <v>542</v>
      </c>
      <c r="T132" s="30">
        <v>7976983</v>
      </c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 t="s">
        <v>273</v>
      </c>
      <c r="T133" s="30">
        <v>7496981</v>
      </c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 t="s">
        <v>543</v>
      </c>
      <c r="T134" s="30">
        <v>7275560</v>
      </c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 t="s">
        <v>233</v>
      </c>
      <c r="T135" s="30">
        <v>7132538</v>
      </c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 t="s">
        <v>226</v>
      </c>
      <c r="T136" s="30">
        <v>6948445</v>
      </c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 t="s">
        <v>544</v>
      </c>
      <c r="T137" s="30">
        <v>6871292</v>
      </c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 t="s">
        <v>94</v>
      </c>
      <c r="T138" s="30">
        <v>6825445</v>
      </c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 t="s">
        <v>545</v>
      </c>
      <c r="T139" s="30">
        <v>6624554</v>
      </c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 t="s">
        <v>546</v>
      </c>
      <c r="T140" s="30">
        <v>6524195</v>
      </c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 t="s">
        <v>547</v>
      </c>
      <c r="T141" s="30">
        <v>6486205</v>
      </c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 t="s">
        <v>548</v>
      </c>
      <c r="T142" s="30">
        <v>6031200</v>
      </c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 t="s">
        <v>67</v>
      </c>
      <c r="T143" s="30">
        <v>5850342</v>
      </c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 t="s">
        <v>114</v>
      </c>
      <c r="T144" s="30">
        <v>5792202</v>
      </c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 t="s">
        <v>81</v>
      </c>
      <c r="T145" s="30">
        <v>5540720</v>
      </c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 t="s">
        <v>549</v>
      </c>
      <c r="T146" s="30">
        <v>5518087</v>
      </c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 t="s">
        <v>189</v>
      </c>
      <c r="T147" s="30">
        <v>5459642</v>
      </c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 t="s">
        <v>112</v>
      </c>
      <c r="T148" s="30">
        <v>5421241</v>
      </c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 t="s">
        <v>98</v>
      </c>
      <c r="T149" s="30">
        <v>5106626</v>
      </c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 t="s">
        <v>550</v>
      </c>
      <c r="T150" s="30">
        <v>5101414</v>
      </c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 t="s">
        <v>186</v>
      </c>
      <c r="T151" s="30">
        <v>5094118</v>
      </c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 t="s">
        <v>506</v>
      </c>
      <c r="T152" s="30">
        <v>5057681</v>
      </c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 t="s">
        <v>125</v>
      </c>
      <c r="T153" s="30">
        <v>4937786</v>
      </c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 t="s">
        <v>495</v>
      </c>
      <c r="T154" s="30">
        <v>4829767</v>
      </c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 t="s">
        <v>122</v>
      </c>
      <c r="T155" s="30">
        <v>4822233</v>
      </c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 t="s">
        <v>476</v>
      </c>
      <c r="T156" s="30">
        <v>4649658</v>
      </c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 t="s">
        <v>310</v>
      </c>
      <c r="T157" s="30">
        <v>4314767</v>
      </c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 t="s">
        <v>101</v>
      </c>
      <c r="T158" s="30">
        <v>4270571</v>
      </c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 t="s">
        <v>103</v>
      </c>
      <c r="T159" s="30">
        <v>4105267</v>
      </c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 t="s">
        <v>373</v>
      </c>
      <c r="T160" s="30">
        <v>4033963</v>
      </c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 t="s">
        <v>109</v>
      </c>
      <c r="T161" s="30">
        <v>3989167</v>
      </c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 t="s">
        <v>551</v>
      </c>
      <c r="T162" s="30">
        <v>3546421</v>
      </c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 t="s">
        <v>463</v>
      </c>
      <c r="T163" s="30">
        <v>3473730</v>
      </c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 t="s">
        <v>167</v>
      </c>
      <c r="T164" s="30">
        <v>3280819</v>
      </c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 t="s">
        <v>309</v>
      </c>
      <c r="T165" s="30">
        <v>3278290</v>
      </c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 t="s">
        <v>132</v>
      </c>
      <c r="T166" s="30">
        <v>2963243</v>
      </c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 t="s">
        <v>381</v>
      </c>
      <c r="T167" s="30">
        <v>2961167</v>
      </c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 t="s">
        <v>128</v>
      </c>
      <c r="T168" s="30">
        <v>2881053</v>
      </c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 t="s">
        <v>257</v>
      </c>
      <c r="T169" s="30">
        <v>2877797</v>
      </c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 t="s">
        <v>465</v>
      </c>
      <c r="T170" s="30">
        <v>2860853</v>
      </c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 t="s">
        <v>120</v>
      </c>
      <c r="T171" s="30">
        <v>2722289</v>
      </c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 t="s">
        <v>467</v>
      </c>
      <c r="T172" s="30">
        <v>2540905</v>
      </c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 t="s">
        <v>552</v>
      </c>
      <c r="T173" s="30">
        <v>2416668</v>
      </c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 t="s">
        <v>553</v>
      </c>
      <c r="T174" s="30">
        <v>2351627</v>
      </c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 t="s">
        <v>473</v>
      </c>
      <c r="T175" s="30">
        <v>2225734</v>
      </c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 t="s">
        <v>554</v>
      </c>
      <c r="T176" s="30">
        <v>2142249</v>
      </c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 t="s">
        <v>111</v>
      </c>
      <c r="T177" s="30">
        <v>2083374</v>
      </c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 t="s">
        <v>168</v>
      </c>
      <c r="T178" s="30">
        <v>2078938</v>
      </c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 t="s">
        <v>555</v>
      </c>
      <c r="T179" s="30">
        <v>1968001</v>
      </c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 t="s">
        <v>138</v>
      </c>
      <c r="T180" s="30">
        <v>1886198</v>
      </c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 t="s">
        <v>100</v>
      </c>
      <c r="T181" s="30">
        <v>1701575</v>
      </c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 t="s">
        <v>497</v>
      </c>
      <c r="T182" s="30">
        <v>1402985</v>
      </c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 t="s">
        <v>469</v>
      </c>
      <c r="T183" s="30">
        <v>1399488</v>
      </c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 t="s">
        <v>115</v>
      </c>
      <c r="T184" s="30">
        <v>1326535</v>
      </c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 t="s">
        <v>556</v>
      </c>
      <c r="T185" s="30">
        <v>1318445</v>
      </c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 t="s">
        <v>557</v>
      </c>
      <c r="T186" s="30">
        <v>1271768</v>
      </c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 t="s">
        <v>258</v>
      </c>
      <c r="T187" s="30">
        <v>1207359</v>
      </c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 t="s">
        <v>472</v>
      </c>
      <c r="T188" s="30">
        <v>1160164</v>
      </c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 t="s">
        <v>558</v>
      </c>
      <c r="T189" s="30">
        <v>988000</v>
      </c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 t="s">
        <v>559</v>
      </c>
      <c r="T190" s="30">
        <v>896445</v>
      </c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 t="s">
        <v>560</v>
      </c>
      <c r="T191" s="30">
        <v>895312</v>
      </c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 t="s">
        <v>561</v>
      </c>
      <c r="T192" s="30">
        <v>869601</v>
      </c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 t="s">
        <v>439</v>
      </c>
      <c r="T193" s="30">
        <v>786552</v>
      </c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 t="s">
        <v>183</v>
      </c>
      <c r="T194" s="30">
        <v>771608</v>
      </c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 t="s">
        <v>562</v>
      </c>
      <c r="T195" s="30">
        <v>686884</v>
      </c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 t="s">
        <v>563</v>
      </c>
      <c r="T196" s="30">
        <v>649335</v>
      </c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 t="s">
        <v>564</v>
      </c>
      <c r="T197" s="30">
        <v>628066</v>
      </c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 t="s">
        <v>126</v>
      </c>
      <c r="T198" s="30">
        <v>625978</v>
      </c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 t="s">
        <v>565</v>
      </c>
      <c r="T199" s="30">
        <v>597339</v>
      </c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 t="s">
        <v>480</v>
      </c>
      <c r="T200" s="30">
        <v>586632</v>
      </c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 t="s">
        <v>566</v>
      </c>
      <c r="T201" s="30">
        <v>555987</v>
      </c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 t="s">
        <v>227</v>
      </c>
      <c r="T202" s="30">
        <v>540544</v>
      </c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 t="s">
        <v>204</v>
      </c>
      <c r="T203" s="30">
        <v>441543</v>
      </c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 t="s">
        <v>260</v>
      </c>
      <c r="T204" s="30">
        <v>437479</v>
      </c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 t="s">
        <v>444</v>
      </c>
      <c r="T205" s="30">
        <v>400124</v>
      </c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 t="s">
        <v>567</v>
      </c>
      <c r="T206" s="30">
        <v>397628</v>
      </c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 t="s">
        <v>568</v>
      </c>
      <c r="T207" s="30">
        <v>393244</v>
      </c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 t="s">
        <v>207</v>
      </c>
      <c r="T208" s="30">
        <v>375265</v>
      </c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 t="s">
        <v>119</v>
      </c>
      <c r="T209" s="30">
        <v>341243</v>
      </c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 t="s">
        <v>569</v>
      </c>
      <c r="T210" s="30">
        <v>307145</v>
      </c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 t="s">
        <v>203</v>
      </c>
      <c r="T211" s="30">
        <v>298682</v>
      </c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 t="s">
        <v>570</v>
      </c>
      <c r="T212" s="30">
        <v>287375</v>
      </c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 t="s">
        <v>571</v>
      </c>
      <c r="T213" s="30">
        <v>285498</v>
      </c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 t="s">
        <v>442</v>
      </c>
      <c r="T214" s="30">
        <v>280908</v>
      </c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 t="s">
        <v>498</v>
      </c>
      <c r="T215" s="30">
        <v>272815</v>
      </c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 t="s">
        <v>572</v>
      </c>
      <c r="T216" s="30">
        <v>219159</v>
      </c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 t="s">
        <v>573</v>
      </c>
      <c r="T217" s="30">
        <v>198414</v>
      </c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 t="s">
        <v>478</v>
      </c>
      <c r="T218" s="30">
        <v>183627</v>
      </c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 t="s">
        <v>307</v>
      </c>
      <c r="T219" s="30">
        <v>173863</v>
      </c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 t="s">
        <v>491</v>
      </c>
      <c r="T220" s="30">
        <v>168775</v>
      </c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 t="s">
        <v>574</v>
      </c>
      <c r="T221" s="30">
        <v>164093</v>
      </c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 t="s">
        <v>575</v>
      </c>
      <c r="T222" s="30">
        <v>119449</v>
      </c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 t="s">
        <v>576</v>
      </c>
      <c r="T223" s="30">
        <v>115023</v>
      </c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 t="s">
        <v>577</v>
      </c>
      <c r="T224" s="30">
        <v>112523</v>
      </c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 t="s">
        <v>578</v>
      </c>
      <c r="T225" s="30">
        <v>110940</v>
      </c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 t="s">
        <v>450</v>
      </c>
      <c r="T226" s="30">
        <v>106766</v>
      </c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 t="s">
        <v>579</v>
      </c>
      <c r="T227" s="30">
        <v>105695</v>
      </c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 t="s">
        <v>580</v>
      </c>
      <c r="T228" s="30">
        <v>104425</v>
      </c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 t="s">
        <v>468</v>
      </c>
      <c r="T229" s="30">
        <v>98347</v>
      </c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 t="s">
        <v>452</v>
      </c>
      <c r="T230" s="30">
        <v>97929</v>
      </c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 t="s">
        <v>581</v>
      </c>
      <c r="T231" s="30">
        <v>85033</v>
      </c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 t="s">
        <v>136</v>
      </c>
      <c r="T232" s="30">
        <v>77265</v>
      </c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 t="s">
        <v>582</v>
      </c>
      <c r="T233" s="30">
        <v>71986</v>
      </c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 t="s">
        <v>443</v>
      </c>
      <c r="T234" s="30">
        <v>65722</v>
      </c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 t="s">
        <v>583</v>
      </c>
      <c r="T235" s="30">
        <v>62278</v>
      </c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 t="s">
        <v>584</v>
      </c>
      <c r="T236" s="30">
        <v>59190</v>
      </c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 t="s">
        <v>585</v>
      </c>
      <c r="T237" s="30">
        <v>57559</v>
      </c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 t="s">
        <v>505</v>
      </c>
      <c r="T238" s="30">
        <v>56770</v>
      </c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 t="s">
        <v>586</v>
      </c>
      <c r="T239" s="30">
        <v>55191</v>
      </c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 t="s">
        <v>587</v>
      </c>
      <c r="T240" s="30">
        <v>53199</v>
      </c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 t="s">
        <v>588</v>
      </c>
      <c r="T241" s="30">
        <v>48863</v>
      </c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 t="s">
        <v>589</v>
      </c>
      <c r="T242" s="30">
        <v>42876</v>
      </c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 t="s">
        <v>127</v>
      </c>
      <c r="T243" s="30">
        <v>39242</v>
      </c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 t="s">
        <v>590</v>
      </c>
      <c r="T244" s="30">
        <v>38717</v>
      </c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 t="s">
        <v>591</v>
      </c>
      <c r="T245" s="30">
        <v>38666</v>
      </c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 t="s">
        <v>163</v>
      </c>
      <c r="T246" s="30">
        <v>38128</v>
      </c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 t="s">
        <v>117</v>
      </c>
      <c r="T247" s="30">
        <v>33931</v>
      </c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 t="s">
        <v>162</v>
      </c>
      <c r="T248" s="30">
        <v>33691</v>
      </c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 t="s">
        <v>592</v>
      </c>
      <c r="T249" s="30">
        <v>30231</v>
      </c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 t="s">
        <v>593</v>
      </c>
      <c r="T250" s="30">
        <v>26223</v>
      </c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 t="s">
        <v>594</v>
      </c>
      <c r="T251" s="30">
        <v>18094</v>
      </c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 t="s">
        <v>595</v>
      </c>
      <c r="T252" s="30">
        <v>17564</v>
      </c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 t="s">
        <v>596</v>
      </c>
      <c r="T253" s="30">
        <v>15003</v>
      </c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 t="s">
        <v>597</v>
      </c>
      <c r="T254" s="30">
        <v>11792</v>
      </c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 t="s">
        <v>598</v>
      </c>
      <c r="T255" s="30">
        <v>11239</v>
      </c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 t="s">
        <v>599</v>
      </c>
      <c r="T256" s="30">
        <v>10824</v>
      </c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 t="s">
        <v>157</v>
      </c>
      <c r="T257" s="30">
        <v>9877</v>
      </c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 t="s">
        <v>600</v>
      </c>
      <c r="T258" s="30">
        <v>6077</v>
      </c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 t="s">
        <v>601</v>
      </c>
      <c r="T259" s="30">
        <v>5794</v>
      </c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 t="s">
        <v>602</v>
      </c>
      <c r="T260" s="30">
        <v>4992</v>
      </c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 t="s">
        <v>603</v>
      </c>
      <c r="T261" s="30">
        <v>3480</v>
      </c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 t="s">
        <v>604</v>
      </c>
      <c r="T262" s="30">
        <v>1626</v>
      </c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 t="s">
        <v>605</v>
      </c>
      <c r="T263" s="30">
        <v>1357</v>
      </c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 t="s">
        <v>308</v>
      </c>
      <c r="T264" s="37">
        <v>801</v>
      </c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autoFilter ref="H29:O29" xr:uid="{F075D66D-5483-4F79-88AF-2BDF789BD866}">
    <sortState xmlns:xlrd2="http://schemas.microsoft.com/office/spreadsheetml/2017/richdata2" ref="H33:O64">
      <sortCondition descending="1" ref="M32"/>
    </sortState>
  </autoFilter>
  <conditionalFormatting sqref="J30:O63 H30:H63">
    <cfRule type="expression" dxfId="1" priority="2">
      <formula>ISEVEN(ROW())</formula>
    </cfRule>
  </conditionalFormatting>
  <conditionalFormatting sqref="L58:O59 J58:J63 L60:L63 N60:O63 I30:I63">
    <cfRule type="expression" dxfId="0" priority="1">
      <formula>ISEVEN(ROW())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C30" sqref="C30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454</v>
      </c>
      <c r="S4" s="5">
        <v>100</v>
      </c>
    </row>
    <row r="5" spans="12:19" x14ac:dyDescent="0.3">
      <c r="R5" t="s">
        <v>455</v>
      </c>
      <c r="S5" s="5">
        <v>40000</v>
      </c>
    </row>
    <row r="6" spans="12:19" x14ac:dyDescent="0.3">
      <c r="L6" s="5"/>
    </row>
    <row r="7" spans="12:19" x14ac:dyDescent="0.3">
      <c r="R7" t="s">
        <v>456</v>
      </c>
      <c r="S7" s="5">
        <v>0</v>
      </c>
    </row>
    <row r="8" spans="12:19" x14ac:dyDescent="0.3">
      <c r="R8" t="s">
        <v>457</v>
      </c>
      <c r="S8" s="5">
        <v>25</v>
      </c>
    </row>
    <row r="10" spans="12:19" x14ac:dyDescent="0.3">
      <c r="R10">
        <v>1</v>
      </c>
      <c r="S10" t="s">
        <v>377</v>
      </c>
    </row>
    <row r="11" spans="12:19" x14ac:dyDescent="0.3">
      <c r="R11">
        <v>2</v>
      </c>
      <c r="S11" t="s">
        <v>65</v>
      </c>
    </row>
    <row r="12" spans="12:19" x14ac:dyDescent="0.3">
      <c r="R12">
        <v>3</v>
      </c>
      <c r="S12" s="17" t="s">
        <v>85</v>
      </c>
    </row>
    <row r="13" spans="12:19" x14ac:dyDescent="0.3">
      <c r="R13">
        <v>4</v>
      </c>
      <c r="S13" s="17" t="s">
        <v>365</v>
      </c>
    </row>
    <row r="14" spans="12:19" x14ac:dyDescent="0.3">
      <c r="R14">
        <v>5</v>
      </c>
    </row>
    <row r="15" spans="12:19" x14ac:dyDescent="0.3">
      <c r="R15">
        <v>6</v>
      </c>
    </row>
    <row r="16" spans="12:19" x14ac:dyDescent="0.3">
      <c r="R16">
        <v>7</v>
      </c>
    </row>
    <row r="17" spans="18:18" x14ac:dyDescent="0.3">
      <c r="R17">
        <v>8</v>
      </c>
    </row>
    <row r="18" spans="18:18" x14ac:dyDescent="0.3">
      <c r="R18">
        <v>9</v>
      </c>
    </row>
    <row r="19" spans="18:18" x14ac:dyDescent="0.3">
      <c r="R19">
        <v>10</v>
      </c>
    </row>
    <row r="20" spans="18:18" x14ac:dyDescent="0.3">
      <c r="R20">
        <v>11</v>
      </c>
    </row>
    <row r="21" spans="18:18" x14ac:dyDescent="0.3">
      <c r="R21">
        <f>R20+1</f>
        <v>12</v>
      </c>
    </row>
    <row r="22" spans="18:18" x14ac:dyDescent="0.3">
      <c r="R22">
        <f t="shared" ref="R22:R29" si="0">R21+1</f>
        <v>13</v>
      </c>
    </row>
    <row r="23" spans="18:18" x14ac:dyDescent="0.3">
      <c r="R23">
        <f t="shared" si="0"/>
        <v>14</v>
      </c>
    </row>
    <row r="24" spans="18:18" x14ac:dyDescent="0.3">
      <c r="R24">
        <f t="shared" si="0"/>
        <v>15</v>
      </c>
    </row>
    <row r="25" spans="18:18" x14ac:dyDescent="0.3">
      <c r="R25">
        <f t="shared" si="0"/>
        <v>16</v>
      </c>
    </row>
    <row r="26" spans="18:18" x14ac:dyDescent="0.3">
      <c r="R26">
        <f t="shared" si="0"/>
        <v>17</v>
      </c>
    </row>
    <row r="27" spans="18:18" x14ac:dyDescent="0.3">
      <c r="R27">
        <f t="shared" si="0"/>
        <v>18</v>
      </c>
    </row>
    <row r="28" spans="18:18" x14ac:dyDescent="0.3">
      <c r="R28">
        <f t="shared" si="0"/>
        <v>19</v>
      </c>
    </row>
    <row r="29" spans="18:18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topLeftCell="D1" zoomScale="94" workbookViewId="0">
      <selection activeCell="AG6" sqref="AG6"/>
    </sheetView>
  </sheetViews>
  <sheetFormatPr defaultRowHeight="12" x14ac:dyDescent="0.25"/>
  <cols>
    <col min="1" max="1" width="3.33203125" style="9" bestFit="1" customWidth="1"/>
    <col min="2" max="2" width="1.664062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'Projections Data'!C10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 t="shared" ref="C2:C33" si="5">H2</f>
        <v>50% Daily Increase</v>
      </c>
      <c r="D2" s="6">
        <f t="shared" ref="D2:D33" si="6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 t="shared" ref="G2:G33" si="7">IF(COUNTIF(I2:XFD2,"&gt;"&amp;0)=0,,(E2/F2)^(1/MIN(COUNTIF(I2:XFD2,"&gt;"&amp;0)-1,$F$1)))</f>
        <v>1.5</v>
      </c>
      <c r="H2" s="15" t="s">
        <v>458</v>
      </c>
      <c r="I2" s="9">
        <v>100</v>
      </c>
      <c r="J2" s="10">
        <f t="shared" ref="J2:AO2" si="8">I2*1.5</f>
        <v>150</v>
      </c>
      <c r="K2" s="10">
        <f t="shared" si="8"/>
        <v>225</v>
      </c>
      <c r="L2" s="10">
        <f t="shared" si="8"/>
        <v>337.5</v>
      </c>
      <c r="M2" s="10">
        <f t="shared" si="8"/>
        <v>506.25</v>
      </c>
      <c r="N2" s="10">
        <f t="shared" si="8"/>
        <v>759.375</v>
      </c>
      <c r="O2" s="10">
        <f t="shared" si="8"/>
        <v>1139.0625</v>
      </c>
      <c r="P2" s="10">
        <f t="shared" si="8"/>
        <v>1708.59375</v>
      </c>
      <c r="Q2" s="10">
        <f t="shared" si="8"/>
        <v>2562.890625</v>
      </c>
      <c r="R2" s="10">
        <f t="shared" si="8"/>
        <v>3844.3359375</v>
      </c>
      <c r="S2" s="10">
        <f t="shared" si="8"/>
        <v>5766.50390625</v>
      </c>
      <c r="T2" s="10">
        <f t="shared" si="8"/>
        <v>8649.755859375</v>
      </c>
      <c r="U2" s="10">
        <f t="shared" si="8"/>
        <v>12974.6337890625</v>
      </c>
      <c r="V2" s="10">
        <f t="shared" si="8"/>
        <v>19461.95068359375</v>
      </c>
      <c r="W2" s="10">
        <f t="shared" si="8"/>
        <v>29192.926025390625</v>
      </c>
      <c r="X2" s="10">
        <f t="shared" si="8"/>
        <v>43789.389038085938</v>
      </c>
      <c r="Y2" s="10">
        <f t="shared" si="8"/>
        <v>65684.083557128906</v>
      </c>
      <c r="Z2" s="10">
        <f t="shared" si="8"/>
        <v>98526.125335693359</v>
      </c>
      <c r="AA2" s="10">
        <f t="shared" si="8"/>
        <v>147789.18800354004</v>
      </c>
      <c r="AB2" s="10">
        <f t="shared" si="8"/>
        <v>221683.78200531006</v>
      </c>
      <c r="AC2" s="10">
        <f t="shared" si="8"/>
        <v>332525.67300796509</v>
      </c>
      <c r="AD2" s="10">
        <f t="shared" si="8"/>
        <v>498788.50951194763</v>
      </c>
      <c r="AE2" s="10">
        <f t="shared" si="8"/>
        <v>748182.76426792145</v>
      </c>
      <c r="AF2" s="10">
        <f t="shared" si="8"/>
        <v>1122274.1464018822</v>
      </c>
      <c r="AG2" s="10">
        <f t="shared" si="8"/>
        <v>1683411.2196028233</v>
      </c>
      <c r="AH2" s="10">
        <f t="shared" si="8"/>
        <v>2525116.8294042349</v>
      </c>
      <c r="AI2" s="10">
        <f t="shared" si="8"/>
        <v>3787675.2441063523</v>
      </c>
      <c r="AJ2" s="10">
        <f t="shared" si="8"/>
        <v>5681512.8661595285</v>
      </c>
      <c r="AK2" s="10">
        <f t="shared" si="8"/>
        <v>8522269.2992392927</v>
      </c>
      <c r="AL2" s="10">
        <f t="shared" si="8"/>
        <v>12783403.948858939</v>
      </c>
      <c r="AM2" s="10">
        <f t="shared" si="8"/>
        <v>19175105.923288409</v>
      </c>
      <c r="AN2" s="10">
        <f t="shared" si="8"/>
        <v>28762658.884932615</v>
      </c>
      <c r="AO2" s="10">
        <f t="shared" si="8"/>
        <v>43143988.327398926</v>
      </c>
      <c r="AP2" s="10">
        <f t="shared" ref="AP2:BH2" si="9">AO2*1.5</f>
        <v>64715982.491098389</v>
      </c>
      <c r="AQ2" s="10">
        <f t="shared" si="9"/>
        <v>97073973.736647576</v>
      </c>
      <c r="AR2" s="10">
        <f t="shared" si="9"/>
        <v>145610960.60497135</v>
      </c>
      <c r="AS2" s="10">
        <f t="shared" si="9"/>
        <v>218416440.90745702</v>
      </c>
      <c r="AT2" s="10">
        <f t="shared" si="9"/>
        <v>327624661.36118555</v>
      </c>
      <c r="AU2" s="10">
        <f t="shared" si="9"/>
        <v>491436992.04177833</v>
      </c>
      <c r="AV2" s="10">
        <f t="shared" si="9"/>
        <v>737155488.06266749</v>
      </c>
      <c r="AW2" s="10">
        <f t="shared" si="9"/>
        <v>1105733232.0940013</v>
      </c>
      <c r="AX2" s="10">
        <f t="shared" si="9"/>
        <v>1658599848.1410019</v>
      </c>
      <c r="AY2" s="10">
        <f t="shared" si="9"/>
        <v>2487899772.211503</v>
      </c>
      <c r="AZ2" s="10">
        <f t="shared" si="9"/>
        <v>3731849658.3172545</v>
      </c>
      <c r="BA2" s="10">
        <f t="shared" si="9"/>
        <v>5597774487.4758816</v>
      </c>
      <c r="BB2" s="10">
        <f t="shared" si="9"/>
        <v>8396661731.2138224</v>
      </c>
      <c r="BC2" s="10">
        <f t="shared" si="9"/>
        <v>12594992596.820734</v>
      </c>
      <c r="BD2" s="10">
        <f t="shared" si="9"/>
        <v>18892488895.231102</v>
      </c>
      <c r="BE2" s="10">
        <f t="shared" si="9"/>
        <v>28338733342.846653</v>
      </c>
      <c r="BF2" s="10">
        <f t="shared" si="9"/>
        <v>42508100014.269981</v>
      </c>
      <c r="BG2" s="10">
        <f t="shared" si="9"/>
        <v>63762150021.404968</v>
      </c>
      <c r="BH2" s="10">
        <f t="shared" si="9"/>
        <v>95643225032.107452</v>
      </c>
    </row>
    <row r="3" spans="1:307" x14ac:dyDescent="0.25">
      <c r="A3" s="9">
        <f t="shared" ref="A3:A66" si="10">A2+1</f>
        <v>2</v>
      </c>
      <c r="B3" s="9">
        <v>1</v>
      </c>
      <c r="C3" s="9" t="str">
        <f t="shared" si="5"/>
        <v>40% Daily Increase</v>
      </c>
      <c r="D3" s="6">
        <f t="shared" si="6"/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si="7"/>
        <v>1.4000000000000001</v>
      </c>
      <c r="H3" s="15" t="s">
        <v>459</v>
      </c>
      <c r="I3" s="9">
        <v>100</v>
      </c>
      <c r="J3" s="10">
        <f t="shared" ref="J3:AO3" si="11">I3*1.4</f>
        <v>140</v>
      </c>
      <c r="K3" s="10">
        <f t="shared" si="11"/>
        <v>196</v>
      </c>
      <c r="L3" s="10">
        <f t="shared" si="11"/>
        <v>274.39999999999998</v>
      </c>
      <c r="M3" s="10">
        <f t="shared" si="11"/>
        <v>384.15999999999997</v>
      </c>
      <c r="N3" s="10">
        <f t="shared" si="11"/>
        <v>537.82399999999996</v>
      </c>
      <c r="O3" s="10">
        <f t="shared" si="11"/>
        <v>752.95359999999994</v>
      </c>
      <c r="P3" s="10">
        <f t="shared" si="11"/>
        <v>1054.1350399999999</v>
      </c>
      <c r="Q3" s="10">
        <f t="shared" si="11"/>
        <v>1475.7890559999998</v>
      </c>
      <c r="R3" s="10">
        <f t="shared" si="11"/>
        <v>2066.1046783999996</v>
      </c>
      <c r="S3" s="10">
        <f t="shared" si="11"/>
        <v>2892.5465497599994</v>
      </c>
      <c r="T3" s="10">
        <f t="shared" si="11"/>
        <v>4049.5651696639989</v>
      </c>
      <c r="U3" s="10">
        <f t="shared" si="11"/>
        <v>5669.3912375295977</v>
      </c>
      <c r="V3" s="10">
        <f t="shared" si="11"/>
        <v>7937.1477325414362</v>
      </c>
      <c r="W3" s="10">
        <f t="shared" si="11"/>
        <v>11112.00682555801</v>
      </c>
      <c r="X3" s="10">
        <f t="shared" si="11"/>
        <v>15556.809555781212</v>
      </c>
      <c r="Y3" s="10">
        <f t="shared" si="11"/>
        <v>21779.533378093696</v>
      </c>
      <c r="Z3" s="10">
        <f t="shared" si="11"/>
        <v>30491.346729331173</v>
      </c>
      <c r="AA3" s="10">
        <f t="shared" si="11"/>
        <v>42687.885421063642</v>
      </c>
      <c r="AB3" s="10">
        <f t="shared" si="11"/>
        <v>59763.039589489097</v>
      </c>
      <c r="AC3" s="10">
        <f t="shared" si="11"/>
        <v>83668.255425284733</v>
      </c>
      <c r="AD3" s="10">
        <f t="shared" si="11"/>
        <v>117135.55759539861</v>
      </c>
      <c r="AE3" s="10">
        <f t="shared" si="11"/>
        <v>163989.78063355805</v>
      </c>
      <c r="AF3" s="10">
        <f t="shared" si="11"/>
        <v>229585.69288698127</v>
      </c>
      <c r="AG3" s="10">
        <f t="shared" si="11"/>
        <v>321419.97004177375</v>
      </c>
      <c r="AH3" s="10">
        <f t="shared" si="11"/>
        <v>449987.9580584832</v>
      </c>
      <c r="AI3" s="10">
        <f t="shared" si="11"/>
        <v>629983.14128187648</v>
      </c>
      <c r="AJ3" s="10">
        <f t="shared" si="11"/>
        <v>881976.397794627</v>
      </c>
      <c r="AK3" s="10">
        <f t="shared" si="11"/>
        <v>1234766.9569124777</v>
      </c>
      <c r="AL3" s="10">
        <f t="shared" si="11"/>
        <v>1728673.7396774688</v>
      </c>
      <c r="AM3" s="10">
        <f t="shared" si="11"/>
        <v>2420143.2355484562</v>
      </c>
      <c r="AN3" s="10">
        <f t="shared" si="11"/>
        <v>3388200.5297678383</v>
      </c>
      <c r="AO3" s="10">
        <f t="shared" si="11"/>
        <v>4743480.7416749736</v>
      </c>
      <c r="AP3" s="10">
        <f t="shared" ref="AP3:BH3" si="12">AO3*1.4</f>
        <v>6640873.0383449625</v>
      </c>
      <c r="AQ3" s="10">
        <f t="shared" si="12"/>
        <v>9297222.2536829468</v>
      </c>
      <c r="AR3" s="10">
        <f t="shared" si="12"/>
        <v>13016111.155156124</v>
      </c>
      <c r="AS3" s="10">
        <f t="shared" si="12"/>
        <v>18222555.617218573</v>
      </c>
      <c r="AT3" s="10">
        <f t="shared" si="12"/>
        <v>25511577.864105999</v>
      </c>
      <c r="AU3" s="10">
        <f t="shared" si="12"/>
        <v>35716209.009748399</v>
      </c>
      <c r="AV3" s="10">
        <f t="shared" si="12"/>
        <v>50002692.613647759</v>
      </c>
      <c r="AW3" s="10">
        <f t="shared" si="12"/>
        <v>70003769.659106866</v>
      </c>
      <c r="AX3" s="10">
        <f t="shared" si="12"/>
        <v>98005277.522749603</v>
      </c>
      <c r="AY3" s="10">
        <f t="shared" si="12"/>
        <v>137207388.53184944</v>
      </c>
      <c r="AZ3" s="10">
        <f t="shared" si="12"/>
        <v>192090343.9445892</v>
      </c>
      <c r="BA3" s="10">
        <f t="shared" si="12"/>
        <v>268926481.52242488</v>
      </c>
      <c r="BB3" s="10">
        <f t="shared" si="12"/>
        <v>376497074.1313948</v>
      </c>
      <c r="BC3" s="10">
        <f t="shared" si="12"/>
        <v>527095903.78395271</v>
      </c>
      <c r="BD3" s="10">
        <f t="shared" si="12"/>
        <v>737934265.29753375</v>
      </c>
      <c r="BE3" s="10">
        <f t="shared" si="12"/>
        <v>1033107971.4165472</v>
      </c>
      <c r="BF3" s="10">
        <f t="shared" si="12"/>
        <v>1446351159.983166</v>
      </c>
      <c r="BG3" s="10">
        <f t="shared" si="12"/>
        <v>2024891623.9764323</v>
      </c>
      <c r="BH3" s="10">
        <f t="shared" si="12"/>
        <v>2834848273.5670052</v>
      </c>
    </row>
    <row r="4" spans="1:307" x14ac:dyDescent="0.25">
      <c r="A4" s="9">
        <f t="shared" si="10"/>
        <v>3</v>
      </c>
      <c r="B4" s="9">
        <v>1</v>
      </c>
      <c r="C4" s="9" t="str">
        <f t="shared" si="5"/>
        <v>30% Daily Increase</v>
      </c>
      <c r="D4" s="6">
        <f t="shared" si="6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7"/>
        <v>1.3</v>
      </c>
      <c r="H4" s="15" t="s">
        <v>460</v>
      </c>
      <c r="I4" s="9">
        <v>100</v>
      </c>
      <c r="J4" s="10">
        <f t="shared" ref="J4:AO4" si="13">I4*1.3</f>
        <v>130</v>
      </c>
      <c r="K4" s="10">
        <f t="shared" si="13"/>
        <v>169</v>
      </c>
      <c r="L4" s="10">
        <f t="shared" si="13"/>
        <v>219.70000000000002</v>
      </c>
      <c r="M4" s="10">
        <f t="shared" si="13"/>
        <v>285.61</v>
      </c>
      <c r="N4" s="10">
        <f t="shared" si="13"/>
        <v>371.29300000000001</v>
      </c>
      <c r="O4" s="10">
        <f t="shared" si="13"/>
        <v>482.68090000000001</v>
      </c>
      <c r="P4" s="10">
        <f t="shared" si="13"/>
        <v>627.48517000000004</v>
      </c>
      <c r="Q4" s="10">
        <f t="shared" si="13"/>
        <v>815.73072100000013</v>
      </c>
      <c r="R4" s="10">
        <f t="shared" si="13"/>
        <v>1060.4499373000001</v>
      </c>
      <c r="S4" s="10">
        <f t="shared" si="13"/>
        <v>1378.5849184900003</v>
      </c>
      <c r="T4" s="10">
        <f t="shared" si="13"/>
        <v>1792.1603940370005</v>
      </c>
      <c r="U4" s="10">
        <f t="shared" si="13"/>
        <v>2329.8085122481007</v>
      </c>
      <c r="V4" s="10">
        <f t="shared" si="13"/>
        <v>3028.7510659225309</v>
      </c>
      <c r="W4" s="10">
        <f t="shared" si="13"/>
        <v>3937.37638569929</v>
      </c>
      <c r="X4" s="10">
        <f t="shared" si="13"/>
        <v>5118.5893014090771</v>
      </c>
      <c r="Y4" s="10">
        <f t="shared" si="13"/>
        <v>6654.1660918318003</v>
      </c>
      <c r="Z4" s="10">
        <f t="shared" si="13"/>
        <v>8650.4159193813412</v>
      </c>
      <c r="AA4" s="10">
        <f t="shared" si="13"/>
        <v>11245.540695195745</v>
      </c>
      <c r="AB4" s="10">
        <f t="shared" si="13"/>
        <v>14619.202903754469</v>
      </c>
      <c r="AC4" s="10">
        <f t="shared" si="13"/>
        <v>19004.963774880809</v>
      </c>
      <c r="AD4" s="10">
        <f t="shared" si="13"/>
        <v>24706.452907345054</v>
      </c>
      <c r="AE4" s="10">
        <f t="shared" si="13"/>
        <v>32118.388779548572</v>
      </c>
      <c r="AF4" s="10">
        <f t="shared" si="13"/>
        <v>41753.905413413144</v>
      </c>
      <c r="AG4" s="10">
        <f t="shared" si="13"/>
        <v>54280.077037437091</v>
      </c>
      <c r="AH4" s="10">
        <f t="shared" si="13"/>
        <v>70564.100148668222</v>
      </c>
      <c r="AI4" s="10">
        <f t="shared" si="13"/>
        <v>91733.330193268688</v>
      </c>
      <c r="AJ4" s="10">
        <f t="shared" si="13"/>
        <v>119253.32925124929</v>
      </c>
      <c r="AK4" s="10">
        <f t="shared" si="13"/>
        <v>155029.32802662408</v>
      </c>
      <c r="AL4" s="10">
        <f t="shared" si="13"/>
        <v>201538.1264346113</v>
      </c>
      <c r="AM4" s="10">
        <f t="shared" si="13"/>
        <v>261999.5643649947</v>
      </c>
      <c r="AN4" s="10">
        <f t="shared" si="13"/>
        <v>340599.43367449311</v>
      </c>
      <c r="AO4" s="10">
        <f t="shared" si="13"/>
        <v>442779.26377684105</v>
      </c>
      <c r="AP4" s="10">
        <f t="shared" ref="AP4:BH4" si="14">AO4*1.3</f>
        <v>575613.04290989344</v>
      </c>
      <c r="AQ4" s="10">
        <f t="shared" si="14"/>
        <v>748296.95578286145</v>
      </c>
      <c r="AR4" s="10">
        <f t="shared" si="14"/>
        <v>972786.04251771991</v>
      </c>
      <c r="AS4" s="10">
        <f t="shared" si="14"/>
        <v>1264621.8552730358</v>
      </c>
      <c r="AT4" s="10">
        <f t="shared" si="14"/>
        <v>1644008.4118549465</v>
      </c>
      <c r="AU4" s="10">
        <f t="shared" si="14"/>
        <v>2137210.9354114304</v>
      </c>
      <c r="AV4" s="10">
        <f t="shared" si="14"/>
        <v>2778374.2160348599</v>
      </c>
      <c r="AW4" s="10">
        <f t="shared" si="14"/>
        <v>3611886.4808453182</v>
      </c>
      <c r="AX4" s="10">
        <f t="shared" si="14"/>
        <v>4695452.4250989137</v>
      </c>
      <c r="AY4" s="10">
        <f t="shared" si="14"/>
        <v>6104088.1526285885</v>
      </c>
      <c r="AZ4" s="10">
        <f t="shared" si="14"/>
        <v>7935314.5984171657</v>
      </c>
      <c r="BA4" s="10">
        <f t="shared" si="14"/>
        <v>10315908.977942316</v>
      </c>
      <c r="BB4" s="10">
        <f t="shared" si="14"/>
        <v>13410681.671325011</v>
      </c>
      <c r="BC4" s="10">
        <f t="shared" si="14"/>
        <v>17433886.172722515</v>
      </c>
      <c r="BD4" s="10">
        <f t="shared" si="14"/>
        <v>22664052.02453927</v>
      </c>
      <c r="BE4" s="10">
        <f t="shared" si="14"/>
        <v>29463267.631901052</v>
      </c>
      <c r="BF4" s="10">
        <f t="shared" si="14"/>
        <v>38302247.921471372</v>
      </c>
      <c r="BG4" s="10">
        <f t="shared" si="14"/>
        <v>49792922.297912784</v>
      </c>
      <c r="BH4" s="10">
        <f t="shared" si="14"/>
        <v>64730798.98728662</v>
      </c>
    </row>
    <row r="5" spans="1:307" x14ac:dyDescent="0.25">
      <c r="A5" s="9">
        <f t="shared" si="10"/>
        <v>4</v>
      </c>
      <c r="B5" s="9">
        <v>1</v>
      </c>
      <c r="C5" s="9" t="str">
        <f t="shared" si="5"/>
        <v>China</v>
      </c>
      <c r="D5" s="6">
        <f t="shared" si="6"/>
        <v>81058</v>
      </c>
      <c r="E5" s="6">
        <f>IF(COUNTIF(I5:XFD5,"&gt;"&amp;0)=0,,HLOOKUP(COUNTIF(I5:XFD5,"&gt;"&amp;0)-1,I$1:XFD5,A5+1,FALSE))</f>
        <v>81058</v>
      </c>
      <c r="F5" s="7">
        <f>IF(COUNTIF(I5:XFD5,"&gt;"&amp;0)=0,,HLOOKUP(COUNTIF(I5:XFD5,"&gt;"&amp;0)-MIN($F$1+1,COUNTIF(I5:XFD5,"&gt;"&amp;0)),I$1:XFD5,A5+1,FALSE))</f>
        <v>80932</v>
      </c>
      <c r="G5" s="8">
        <f t="shared" si="7"/>
        <v>1.0003111787855088</v>
      </c>
      <c r="H5" s="15" t="s">
        <v>365</v>
      </c>
      <c r="I5" s="9">
        <v>548</v>
      </c>
      <c r="J5" s="9">
        <v>643</v>
      </c>
      <c r="K5" s="9">
        <v>920</v>
      </c>
      <c r="L5" s="9">
        <v>1406</v>
      </c>
      <c r="M5" s="9">
        <v>2075</v>
      </c>
      <c r="N5" s="9">
        <v>2877</v>
      </c>
      <c r="O5" s="9">
        <v>5509</v>
      </c>
      <c r="P5" s="9">
        <v>6087</v>
      </c>
      <c r="Q5" s="9">
        <v>8141</v>
      </c>
      <c r="R5" s="9">
        <v>9802</v>
      </c>
      <c r="S5" s="9">
        <v>11891</v>
      </c>
      <c r="T5" s="9">
        <v>16630</v>
      </c>
      <c r="U5" s="9">
        <v>19716</v>
      </c>
      <c r="V5" s="9">
        <v>23707</v>
      </c>
      <c r="W5" s="9">
        <v>27440</v>
      </c>
      <c r="X5" s="9">
        <v>30587</v>
      </c>
      <c r="Y5" s="9">
        <v>34110</v>
      </c>
      <c r="Z5" s="9">
        <v>36814</v>
      </c>
      <c r="AA5" s="9">
        <v>39829</v>
      </c>
      <c r="AB5" s="9">
        <v>42354</v>
      </c>
      <c r="AC5" s="9">
        <v>44386</v>
      </c>
      <c r="AD5" s="9">
        <v>44759</v>
      </c>
      <c r="AE5" s="9">
        <v>59895</v>
      </c>
      <c r="AF5" s="9">
        <v>66358</v>
      </c>
      <c r="AG5" s="9">
        <v>68413</v>
      </c>
      <c r="AH5" s="9">
        <v>70513</v>
      </c>
      <c r="AI5" s="9">
        <v>72434</v>
      </c>
      <c r="AJ5" s="9">
        <v>74211</v>
      </c>
      <c r="AK5" s="9">
        <v>74619</v>
      </c>
      <c r="AL5" s="9">
        <v>75077</v>
      </c>
      <c r="AM5" s="9">
        <v>75550</v>
      </c>
      <c r="AN5" s="9">
        <v>77001</v>
      </c>
      <c r="AO5" s="9">
        <v>77022</v>
      </c>
      <c r="AP5" s="9">
        <v>77241</v>
      </c>
      <c r="AQ5" s="9">
        <v>77754</v>
      </c>
      <c r="AR5" s="9">
        <v>78166</v>
      </c>
      <c r="AS5" s="9">
        <v>78600</v>
      </c>
      <c r="AT5" s="9">
        <v>78928</v>
      </c>
      <c r="AU5" s="9">
        <v>79356</v>
      </c>
      <c r="AV5" s="9">
        <v>79932</v>
      </c>
      <c r="AW5" s="9">
        <v>80136</v>
      </c>
      <c r="AX5" s="9">
        <v>80261</v>
      </c>
      <c r="AY5" s="9">
        <v>80386</v>
      </c>
      <c r="AZ5" s="9">
        <v>80537</v>
      </c>
      <c r="BA5" s="9">
        <v>80690</v>
      </c>
      <c r="BB5" s="9">
        <v>80770</v>
      </c>
      <c r="BC5" s="9">
        <v>80823</v>
      </c>
      <c r="BD5" s="9">
        <v>80860</v>
      </c>
      <c r="BE5" s="9">
        <v>80887</v>
      </c>
      <c r="BF5" s="9">
        <v>80921</v>
      </c>
      <c r="BG5" s="9">
        <v>80932</v>
      </c>
      <c r="BH5" s="9">
        <v>80945</v>
      </c>
      <c r="BI5" s="9">
        <v>80977</v>
      </c>
      <c r="BJ5" s="9">
        <v>81003</v>
      </c>
      <c r="BK5" s="9">
        <v>81033</v>
      </c>
      <c r="BL5" s="9">
        <v>81058</v>
      </c>
    </row>
    <row r="6" spans="1:307" x14ac:dyDescent="0.25">
      <c r="A6" s="9">
        <f t="shared" si="10"/>
        <v>5</v>
      </c>
      <c r="B6" s="9">
        <v>1</v>
      </c>
      <c r="C6" s="9" t="str">
        <f t="shared" si="5"/>
        <v>Italy</v>
      </c>
      <c r="D6" s="6">
        <f t="shared" si="6"/>
        <v>31506</v>
      </c>
      <c r="E6" s="6">
        <f>IF(COUNTIF(I6:XFD6,"&gt;"&amp;0)=0,,HLOOKUP(COUNTIF(I6:XFD6,"&gt;"&amp;0)-1,I$1:XFD6,A6+1,FALSE))</f>
        <v>31506</v>
      </c>
      <c r="F6" s="7">
        <f>IF(COUNTIF(I6:XFD6,"&gt;"&amp;0)=0,,HLOOKUP(COUNTIF(I6:XFD6,"&gt;"&amp;0)-MIN($F$1+1,COUNTIF(I6:XFD6,"&gt;"&amp;0)),I$1:XFD6,A6+1,FALSE))</f>
        <v>14000</v>
      </c>
      <c r="G6" s="8">
        <f t="shared" si="7"/>
        <v>1.1761238221218828</v>
      </c>
      <c r="H6" s="15" t="s">
        <v>85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14000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</row>
    <row r="7" spans="1:307" x14ac:dyDescent="0.25">
      <c r="A7" s="9">
        <f t="shared" si="10"/>
        <v>6</v>
      </c>
      <c r="B7" s="9">
        <v>1</v>
      </c>
      <c r="C7" s="9" t="str">
        <f t="shared" si="5"/>
        <v>Iran</v>
      </c>
      <c r="D7" s="6">
        <f t="shared" si="6"/>
        <v>17361</v>
      </c>
      <c r="E7" s="6">
        <f>IF(COUNTIF(I7:XFD7,"&gt;"&amp;0)=0,,HLOOKUP(COUNTIF(I7:XFD7,"&gt;"&amp;0)-1,I$1:XFD7,A7+1,FALSE))</f>
        <v>17361</v>
      </c>
      <c r="F7" s="7">
        <f>IF(COUNTIF(I7:XFD7,"&gt;"&amp;0)=0,,HLOOKUP(COUNTIF(I7:XFD7,"&gt;"&amp;0)-MIN($F$1+1,COUNTIF(I7:XFD7,"&gt;"&amp;0)),I$1:XFD7,A7+1,FALSE))</f>
        <v>11364</v>
      </c>
      <c r="G7" s="8">
        <f t="shared" si="7"/>
        <v>1.08845054813133</v>
      </c>
      <c r="H7" s="13" t="s">
        <v>366</v>
      </c>
      <c r="I7" s="9">
        <v>139</v>
      </c>
      <c r="J7" s="9">
        <v>245</v>
      </c>
      <c r="K7" s="9">
        <v>388</v>
      </c>
      <c r="L7" s="9">
        <v>593</v>
      </c>
      <c r="M7" s="9">
        <v>978</v>
      </c>
      <c r="N7" s="9">
        <v>1501</v>
      </c>
      <c r="O7" s="9">
        <v>2336</v>
      </c>
      <c r="P7" s="9">
        <v>2922</v>
      </c>
      <c r="Q7" s="9">
        <v>3513</v>
      </c>
      <c r="R7" s="9">
        <v>4747</v>
      </c>
      <c r="S7" s="9">
        <v>5823</v>
      </c>
      <c r="T7" s="9">
        <v>6566</v>
      </c>
      <c r="U7" s="9">
        <v>7161</v>
      </c>
      <c r="V7" s="9">
        <v>8042</v>
      </c>
      <c r="W7" s="9">
        <v>9000</v>
      </c>
      <c r="X7" s="9">
        <v>10075</v>
      </c>
      <c r="Y7" s="9">
        <v>11364</v>
      </c>
      <c r="Z7" s="9">
        <v>12729</v>
      </c>
      <c r="AA7" s="9">
        <v>13938</v>
      </c>
      <c r="AB7" s="9">
        <v>14991</v>
      </c>
      <c r="AC7" s="9">
        <v>16169</v>
      </c>
      <c r="AD7" s="9">
        <v>17361</v>
      </c>
    </row>
    <row r="8" spans="1:307" x14ac:dyDescent="0.25">
      <c r="A8" s="9">
        <f t="shared" si="10"/>
        <v>7</v>
      </c>
      <c r="B8" s="9">
        <v>1</v>
      </c>
      <c r="C8" s="9" t="str">
        <f t="shared" si="5"/>
        <v>Spain</v>
      </c>
      <c r="D8" s="6">
        <f t="shared" si="6"/>
        <v>14746</v>
      </c>
      <c r="E8" s="6">
        <f>IF(COUNTIF(I8:XFD8,"&gt;"&amp;0)=0,,HLOOKUP(COUNTIF(I8:XFD8,"&gt;"&amp;0)-1,I$1:XFD8,A8+1,FALSE))</f>
        <v>14746</v>
      </c>
      <c r="F8" s="7">
        <f>IF(COUNTIF(I8:XFD8,"&gt;"&amp;0)=0,,HLOOKUP(COUNTIF(I8:XFD8,"&gt;"&amp;0)-MIN($F$1+1,COUNTIF(I8:XFD8,"&gt;"&amp;0)),I$1:XFD8,A8+1,FALSE))</f>
        <v>5232</v>
      </c>
      <c r="G8" s="8">
        <f t="shared" si="7"/>
        <v>1.2302724501987492</v>
      </c>
      <c r="H8" s="15" t="s">
        <v>87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2277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14746</v>
      </c>
    </row>
    <row r="9" spans="1:307" x14ac:dyDescent="0.25">
      <c r="A9" s="9">
        <f t="shared" si="10"/>
        <v>8</v>
      </c>
      <c r="B9" s="9">
        <v>1</v>
      </c>
      <c r="C9" s="9" t="str">
        <f t="shared" si="5"/>
        <v>Germany</v>
      </c>
      <c r="D9" s="6">
        <f t="shared" si="6"/>
        <v>11979</v>
      </c>
      <c r="E9" s="6">
        <f>IF(COUNTIF(I9:XFD9,"&gt;"&amp;0)=0,,HLOOKUP(COUNTIF(I9:XFD9,"&gt;"&amp;0)-1,I$1:XFD9,A9+1,FALSE))</f>
        <v>11979</v>
      </c>
      <c r="F9" s="7">
        <f>IF(COUNTIF(I9:XFD9,"&gt;"&amp;0)=0,,HLOOKUP(COUNTIF(I9:XFD9,"&gt;"&amp;0)-MIN($F$1+1,COUNTIF(I9:XFD9,"&gt;"&amp;0)),I$1:XFD9,A9+1,FALSE))</f>
        <v>3675</v>
      </c>
      <c r="G9" s="8">
        <f t="shared" si="7"/>
        <v>1.2665800533814173</v>
      </c>
      <c r="H9" s="13" t="s">
        <v>80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2078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11979</v>
      </c>
    </row>
    <row r="10" spans="1:307" x14ac:dyDescent="0.25">
      <c r="A10" s="9">
        <f t="shared" si="10"/>
        <v>9</v>
      </c>
      <c r="B10" s="9">
        <v>1</v>
      </c>
      <c r="C10" s="9" t="str">
        <f t="shared" si="5"/>
        <v>Korea, South</v>
      </c>
      <c r="D10" s="6">
        <f t="shared" si="6"/>
        <v>8320</v>
      </c>
      <c r="E10" s="6">
        <f>IF(COUNTIF(I10:XFD10,"&gt;"&amp;0)=0,,HLOOKUP(COUNTIF(I10:XFD10,"&gt;"&amp;0)-1,I$1:XFD10,A10+1,FALSE))</f>
        <v>8320</v>
      </c>
      <c r="F10" s="7">
        <f>IF(COUNTIF(I10:XFD10,"&gt;"&amp;0)=0,,HLOOKUP(COUNTIF(I10:XFD10,"&gt;"&amp;0)-MIN($F$1+1,COUNTIF(I10:XFD10,"&gt;"&amp;0)),I$1:XFD10,A10+1,FALSE))</f>
        <v>7869</v>
      </c>
      <c r="G10" s="8">
        <f t="shared" si="7"/>
        <v>1.0112086039790331</v>
      </c>
      <c r="H10" s="13" t="s">
        <v>367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</row>
    <row r="11" spans="1:307" x14ac:dyDescent="0.25">
      <c r="A11" s="9">
        <f t="shared" si="10"/>
        <v>10</v>
      </c>
      <c r="B11" s="9">
        <v>1</v>
      </c>
      <c r="C11" s="9" t="str">
        <f t="shared" si="5"/>
        <v>France</v>
      </c>
      <c r="D11" s="6">
        <f t="shared" si="6"/>
        <v>9134</v>
      </c>
      <c r="E11" s="6">
        <f>IF(COUNTIF(I11:XFD11,"&gt;"&amp;0)=0,,HLOOKUP(COUNTIF(I11:XFD11,"&gt;"&amp;0)-1,I$1:XFD11,A11+1,FALSE))</f>
        <v>9134</v>
      </c>
      <c r="F11" s="7">
        <f>IF(COUNTIF(I11:XFD11,"&gt;"&amp;0)=0,,HLOOKUP(COUNTIF(I11:XFD11,"&gt;"&amp;0)-MIN($F$1+1,COUNTIF(I11:XFD11,"&gt;"&amp;0)),I$1:XFD11,A11+1,FALSE))</f>
        <v>3678</v>
      </c>
      <c r="G11" s="8">
        <f t="shared" si="7"/>
        <v>1.1995265265383273</v>
      </c>
      <c r="H11" s="15" t="s">
        <v>68</v>
      </c>
      <c r="I11" s="9">
        <v>130</v>
      </c>
      <c r="J11" s="9">
        <v>191</v>
      </c>
      <c r="K11" s="9">
        <v>204</v>
      </c>
      <c r="L11" s="9">
        <v>288</v>
      </c>
      <c r="M11" s="9">
        <v>380</v>
      </c>
      <c r="N11" s="9">
        <v>656</v>
      </c>
      <c r="O11" s="9">
        <v>957</v>
      </c>
      <c r="P11" s="9">
        <v>1134</v>
      </c>
      <c r="Q11" s="9">
        <v>1217</v>
      </c>
      <c r="R11" s="9">
        <v>1792</v>
      </c>
      <c r="S11" s="9">
        <v>2290</v>
      </c>
      <c r="T11" s="9">
        <v>2290</v>
      </c>
      <c r="U11" s="9">
        <v>3678</v>
      </c>
      <c r="V11" s="9">
        <v>4487</v>
      </c>
      <c r="W11" s="9">
        <v>4523</v>
      </c>
      <c r="X11" s="9">
        <v>6668</v>
      </c>
      <c r="Y11" s="9">
        <v>7730</v>
      </c>
      <c r="Z11" s="9">
        <v>9134</v>
      </c>
    </row>
    <row r="12" spans="1:307" x14ac:dyDescent="0.25">
      <c r="A12" s="9">
        <f t="shared" si="10"/>
        <v>11</v>
      </c>
      <c r="B12" s="9">
        <v>1</v>
      </c>
      <c r="C12" s="9" t="str">
        <f t="shared" si="5"/>
        <v>US</v>
      </c>
      <c r="D12" s="6">
        <f t="shared" si="6"/>
        <v>8019</v>
      </c>
      <c r="E12" s="6">
        <f>IF(COUNTIF(I12:XFD12,"&gt;"&amp;0)=0,,HLOOKUP(COUNTIF(I12:XFD12,"&gt;"&amp;0)-1,I$1:XFD12,A12+1,FALSE))</f>
        <v>8019</v>
      </c>
      <c r="F12" s="7">
        <f>IF(COUNTIF(I12:XFD12,"&gt;"&amp;0)=0,,HLOOKUP(COUNTIF(I12:XFD12,"&gt;"&amp;0)-MIN($F$1+1,COUNTIF(I12:XFD12,"&gt;"&amp;0)),I$1:XFD12,A12+1,FALSE))</f>
        <v>2179</v>
      </c>
      <c r="G12" s="8">
        <f t="shared" si="7"/>
        <v>1.2976948964303137</v>
      </c>
      <c r="H12" s="13" t="s">
        <v>65</v>
      </c>
      <c r="I12" s="9">
        <v>118</v>
      </c>
      <c r="J12" s="9">
        <v>149</v>
      </c>
      <c r="K12" s="9">
        <v>217</v>
      </c>
      <c r="L12" s="9">
        <v>262</v>
      </c>
      <c r="M12" s="9">
        <v>402</v>
      </c>
      <c r="N12" s="9">
        <v>518</v>
      </c>
      <c r="O12" s="9">
        <v>583</v>
      </c>
      <c r="P12" s="9">
        <v>959</v>
      </c>
      <c r="Q12" s="9">
        <v>1281</v>
      </c>
      <c r="R12" s="9">
        <v>1663</v>
      </c>
      <c r="S12" s="9">
        <v>2179</v>
      </c>
      <c r="T12" s="9">
        <v>2728</v>
      </c>
      <c r="U12" s="9">
        <v>3500</v>
      </c>
      <c r="V12" s="9">
        <v>4633</v>
      </c>
      <c r="W12" s="9">
        <v>6421</v>
      </c>
      <c r="X12" s="9">
        <v>8019</v>
      </c>
    </row>
    <row r="13" spans="1:307" x14ac:dyDescent="0.25">
      <c r="A13" s="9">
        <f t="shared" si="10"/>
        <v>12</v>
      </c>
      <c r="B13" s="9">
        <v>1</v>
      </c>
      <c r="C13" s="9" t="str">
        <f t="shared" si="5"/>
        <v>Switzerland</v>
      </c>
      <c r="D13" s="6">
        <f t="shared" si="6"/>
        <v>3070</v>
      </c>
      <c r="E13" s="6">
        <f>IF(COUNTIF(I13:XFD13,"&gt;"&amp;0)=0,,HLOOKUP(COUNTIF(I13:XFD13,"&gt;"&amp;0)-1,I$1:XFD13,A13+1,FALSE))</f>
        <v>3070</v>
      </c>
      <c r="F13" s="7">
        <f>IF(COUNTIF(I13:XFD13,"&gt;"&amp;0)=0,,HLOOKUP(COUNTIF(I13:XFD13,"&gt;"&amp;0)-MIN($F$1+1,COUNTIF(I13:XFD13,"&gt;"&amp;0)),I$1:XFD13,A13+1,FALSE))</f>
        <v>1139</v>
      </c>
      <c r="G13" s="8">
        <f t="shared" si="7"/>
        <v>1.2193346918253616</v>
      </c>
      <c r="H13" s="13" t="s">
        <v>104</v>
      </c>
      <c r="I13" s="9">
        <v>114</v>
      </c>
      <c r="J13" s="9">
        <v>214</v>
      </c>
      <c r="K13" s="9">
        <v>268</v>
      </c>
      <c r="L13" s="9">
        <v>337</v>
      </c>
      <c r="M13" s="9">
        <v>374</v>
      </c>
      <c r="N13" s="9">
        <v>491</v>
      </c>
      <c r="O13" s="9">
        <v>652</v>
      </c>
      <c r="P13" s="9">
        <v>652</v>
      </c>
      <c r="Q13" s="9">
        <v>1139</v>
      </c>
      <c r="R13" s="9">
        <v>1359</v>
      </c>
      <c r="S13" s="9">
        <v>2200</v>
      </c>
      <c r="T13" s="9">
        <v>2200</v>
      </c>
      <c r="U13" s="9">
        <v>2700</v>
      </c>
      <c r="V13" s="9">
        <v>3070</v>
      </c>
    </row>
    <row r="14" spans="1:307" x14ac:dyDescent="0.25">
      <c r="A14" s="9">
        <f t="shared" si="10"/>
        <v>13</v>
      </c>
      <c r="B14" s="9">
        <v>1</v>
      </c>
      <c r="C14" s="9" t="str">
        <f t="shared" si="5"/>
        <v>United Kingdom</v>
      </c>
      <c r="D14" s="6">
        <f t="shared" si="6"/>
        <v>2626</v>
      </c>
      <c r="E14" s="6">
        <f>IF(COUNTIF(I14:XFD14,"&gt;"&amp;0)=0,,HLOOKUP(COUNTIF(I14:XFD14,"&gt;"&amp;0)-1,I$1:XFD14,A14+1,FALSE))</f>
        <v>2626</v>
      </c>
      <c r="F14" s="7">
        <f>IF(COUNTIF(I14:XFD14,"&gt;"&amp;0)=0,,HLOOKUP(COUNTIF(I14:XFD14,"&gt;"&amp;0)-MIN($F$1+1,COUNTIF(I14:XFD14,"&gt;"&amp;0)),I$1:XFD14,A14+1,FALSE))</f>
        <v>803</v>
      </c>
      <c r="G14" s="8">
        <f t="shared" si="7"/>
        <v>1.2674062232989756</v>
      </c>
      <c r="H14" s="13" t="s">
        <v>377</v>
      </c>
      <c r="I14" s="9">
        <v>116</v>
      </c>
      <c r="J14" s="9">
        <v>164</v>
      </c>
      <c r="K14" s="9">
        <v>207</v>
      </c>
      <c r="L14" s="9">
        <v>274</v>
      </c>
      <c r="M14" s="9">
        <v>322</v>
      </c>
      <c r="N14" s="9">
        <v>384</v>
      </c>
      <c r="O14" s="9">
        <v>459</v>
      </c>
      <c r="P14" s="9">
        <v>590</v>
      </c>
      <c r="Q14" s="9">
        <v>803</v>
      </c>
      <c r="R14" s="9">
        <v>1145</v>
      </c>
      <c r="S14" s="9">
        <v>1355</v>
      </c>
      <c r="T14" s="9">
        <v>1552</v>
      </c>
      <c r="U14" s="9">
        <v>1960</v>
      </c>
      <c r="V14" s="9">
        <v>2626</v>
      </c>
    </row>
    <row r="15" spans="1:307" x14ac:dyDescent="0.25">
      <c r="A15" s="9">
        <f t="shared" si="10"/>
        <v>14</v>
      </c>
      <c r="B15" s="9">
        <v>1</v>
      </c>
      <c r="C15" s="9" t="str">
        <f t="shared" si="5"/>
        <v>Netherlands</v>
      </c>
      <c r="D15" s="6">
        <f t="shared" si="6"/>
        <v>2051</v>
      </c>
      <c r="E15" s="6">
        <f>IF(COUNTIF(I15:XFD15,"&gt;"&amp;0)=0,,HLOOKUP(COUNTIF(I15:XFD15,"&gt;"&amp;0)-1,I$1:XFD15,A15+1,FALSE))</f>
        <v>2051</v>
      </c>
      <c r="F15" s="7">
        <f>IF(COUNTIF(I15:XFD15,"&gt;"&amp;0)=0,,HLOOKUP(COUNTIF(I15:XFD15,"&gt;"&amp;0)-MIN($F$1+1,COUNTIF(I15:XFD15,"&gt;"&amp;0)),I$1:XFD15,A15+1,FALSE))</f>
        <v>804</v>
      </c>
      <c r="G15" s="8">
        <f t="shared" si="7"/>
        <v>1.2059850450579939</v>
      </c>
      <c r="H15" s="13" t="s">
        <v>116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804</v>
      </c>
      <c r="Q15" s="9">
        <v>960</v>
      </c>
      <c r="R15" s="9">
        <v>1136</v>
      </c>
      <c r="S15" s="9">
        <v>1414</v>
      </c>
      <c r="T15" s="9">
        <v>1708</v>
      </c>
      <c r="U15" s="9">
        <v>2051</v>
      </c>
    </row>
    <row r="16" spans="1:307" x14ac:dyDescent="0.25">
      <c r="A16" s="9">
        <f t="shared" si="10"/>
        <v>15</v>
      </c>
      <c r="B16" s="9">
        <v>1</v>
      </c>
      <c r="C16" s="9" t="str">
        <f t="shared" si="5"/>
        <v>Norway</v>
      </c>
      <c r="D16" s="6">
        <f t="shared" si="6"/>
        <v>1463</v>
      </c>
      <c r="E16" s="6">
        <f>IF(COUNTIF(I16:XFD16,"&gt;"&amp;0)=0,,HLOOKUP(COUNTIF(I16:XFD16,"&gt;"&amp;0)-1,I$1:XFD16,A16+1,FALSE))</f>
        <v>1463</v>
      </c>
      <c r="F16" s="7">
        <f>IF(COUNTIF(I16:XFD16,"&gt;"&amp;0)=0,,HLOOKUP(COUNTIF(I16:XFD16,"&gt;"&amp;0)-MIN($F$1+1,COUNTIF(I16:XFD16,"&gt;"&amp;0)),I$1:XFD16,A16+1,FALSE))</f>
        <v>702</v>
      </c>
      <c r="G16" s="8">
        <f t="shared" si="7"/>
        <v>1.1581943521549098</v>
      </c>
      <c r="H16" s="13" t="s">
        <v>112</v>
      </c>
      <c r="I16" s="9">
        <v>108</v>
      </c>
      <c r="J16" s="9">
        <v>147</v>
      </c>
      <c r="K16" s="9">
        <v>176</v>
      </c>
      <c r="L16" s="9">
        <v>205</v>
      </c>
      <c r="M16" s="9">
        <v>400</v>
      </c>
      <c r="N16" s="9">
        <v>598</v>
      </c>
      <c r="O16" s="9">
        <v>702</v>
      </c>
      <c r="P16" s="9">
        <v>996</v>
      </c>
      <c r="Q16" s="9">
        <v>1090</v>
      </c>
      <c r="R16" s="9">
        <v>1221</v>
      </c>
      <c r="S16" s="9">
        <v>1333</v>
      </c>
      <c r="T16" s="9">
        <v>1463</v>
      </c>
    </row>
    <row r="17" spans="1:45" x14ac:dyDescent="0.25">
      <c r="A17" s="9">
        <f t="shared" si="10"/>
        <v>16</v>
      </c>
      <c r="B17" s="9">
        <v>1</v>
      </c>
      <c r="C17" s="9" t="str">
        <f t="shared" si="5"/>
        <v>Austria</v>
      </c>
      <c r="D17" s="6">
        <f t="shared" si="6"/>
        <v>1332</v>
      </c>
      <c r="E17" s="6">
        <f>IF(COUNTIF(I17:XFD17,"&gt;"&amp;0)=0,,HLOOKUP(COUNTIF(I17:XFD17,"&gt;"&amp;0)-1,I$1:XFD17,A17+1,FALSE))</f>
        <v>1332</v>
      </c>
      <c r="F17" s="7">
        <f>IF(COUNTIF(I17:XFD17,"&gt;"&amp;0)=0,,HLOOKUP(COUNTIF(I17:XFD17,"&gt;"&amp;0)-MIN($F$1+1,COUNTIF(I17:XFD17,"&gt;"&amp;0)),I$1:XFD17,A17+1,FALSE))</f>
        <v>302</v>
      </c>
      <c r="G17" s="8">
        <f t="shared" si="7"/>
        <v>1.3455488096516359</v>
      </c>
      <c r="H17" s="13" t="s">
        <v>105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</row>
    <row r="18" spans="1:45" x14ac:dyDescent="0.25">
      <c r="A18" s="9">
        <f t="shared" si="10"/>
        <v>17</v>
      </c>
      <c r="B18" s="9">
        <v>1</v>
      </c>
      <c r="C18" s="9" t="str">
        <f t="shared" si="5"/>
        <v>Belgium</v>
      </c>
      <c r="D18" s="6">
        <f t="shared" si="6"/>
        <v>1243</v>
      </c>
      <c r="E18" s="6">
        <f>IF(COUNTIF(I18:XFD18,"&gt;"&amp;0)=0,,HLOOKUP(COUNTIF(I18:XFD18,"&gt;"&amp;0)-1,I$1:XFD18,A18+1,FALSE))</f>
        <v>1243</v>
      </c>
      <c r="F18" s="7">
        <f>IF(COUNTIF(I18:XFD18,"&gt;"&amp;0)=0,,HLOOKUP(COUNTIF(I18:XFD18,"&gt;"&amp;0)-MIN($F$1+1,COUNTIF(I18:XFD18,"&gt;"&amp;0)),I$1:XFD18,A18+1,FALSE))</f>
        <v>314</v>
      </c>
      <c r="G18" s="8">
        <f t="shared" si="7"/>
        <v>1.3167650659961898</v>
      </c>
      <c r="H18" s="13" t="s">
        <v>90</v>
      </c>
      <c r="I18" s="9">
        <v>109</v>
      </c>
      <c r="J18" s="9">
        <v>169</v>
      </c>
      <c r="K18" s="9">
        <v>200</v>
      </c>
      <c r="L18" s="9">
        <v>239</v>
      </c>
      <c r="M18" s="9">
        <v>267</v>
      </c>
      <c r="N18" s="9">
        <v>314</v>
      </c>
      <c r="O18" s="9">
        <v>314</v>
      </c>
      <c r="P18" s="9">
        <v>559</v>
      </c>
      <c r="Q18" s="9">
        <v>689</v>
      </c>
      <c r="R18" s="9">
        <v>886</v>
      </c>
      <c r="S18" s="9">
        <v>1058</v>
      </c>
      <c r="T18" s="9">
        <v>1243</v>
      </c>
    </row>
    <row r="19" spans="1:45" x14ac:dyDescent="0.25">
      <c r="A19" s="9">
        <f t="shared" si="10"/>
        <v>18</v>
      </c>
      <c r="B19" s="9">
        <v>1</v>
      </c>
      <c r="C19" s="9" t="str">
        <f t="shared" si="5"/>
        <v>Sweden</v>
      </c>
      <c r="D19" s="6">
        <f t="shared" si="6"/>
        <v>1190</v>
      </c>
      <c r="E19" s="6">
        <f>IF(COUNTIF(I19:XFD19,"&gt;"&amp;0)=0,,HLOOKUP(COUNTIF(I19:XFD19,"&gt;"&amp;0)-1,I$1:XFD19,A19+1,FALSE))</f>
        <v>1190</v>
      </c>
      <c r="F19" s="7">
        <f>IF(COUNTIF(I19:XFD19,"&gt;"&amp;0)=0,,HLOOKUP(COUNTIF(I19:XFD19,"&gt;"&amp;0)-MIN($F$1+1,COUNTIF(I19:XFD19,"&gt;"&amp;0)),I$1:XFD19,A19+1,FALSE))</f>
        <v>599</v>
      </c>
      <c r="G19" s="8">
        <f t="shared" si="7"/>
        <v>1.1471600858605453</v>
      </c>
      <c r="H19" s="13" t="s">
        <v>86</v>
      </c>
      <c r="I19" s="9">
        <v>101</v>
      </c>
      <c r="J19" s="9">
        <v>161</v>
      </c>
      <c r="K19" s="9">
        <v>203</v>
      </c>
      <c r="L19" s="9">
        <v>248</v>
      </c>
      <c r="M19" s="9">
        <v>355</v>
      </c>
      <c r="N19" s="9">
        <v>500</v>
      </c>
      <c r="O19" s="9">
        <v>599</v>
      </c>
      <c r="P19" s="9">
        <v>814</v>
      </c>
      <c r="Q19" s="9">
        <v>961</v>
      </c>
      <c r="R19" s="9">
        <v>1022</v>
      </c>
      <c r="S19" s="9">
        <v>1103</v>
      </c>
      <c r="T19" s="9">
        <v>1190</v>
      </c>
    </row>
    <row r="20" spans="1:45" x14ac:dyDescent="0.25">
      <c r="A20" s="9">
        <f t="shared" si="10"/>
        <v>19</v>
      </c>
      <c r="B20" s="9">
        <v>1</v>
      </c>
      <c r="C20" s="9" t="str">
        <f t="shared" si="5"/>
        <v>Denmark</v>
      </c>
      <c r="D20" s="6">
        <f t="shared" si="6"/>
        <v>1024</v>
      </c>
      <c r="E20" s="6">
        <f>IF(COUNTIF(I20:XFD20,"&gt;"&amp;0)=0,,HLOOKUP(COUNTIF(I20:XFD20,"&gt;"&amp;0)-1,I$1:XFD20,A20+1,FALSE))</f>
        <v>1024</v>
      </c>
      <c r="F20" s="7">
        <f>IF(COUNTIF(I20:XFD20,"&gt;"&amp;0)=0,,HLOOKUP(COUNTIF(I20:XFD20,"&gt;"&amp;0)-MIN($F$1+1,COUNTIF(I20:XFD20,"&gt;"&amp;0)),I$1:XFD20,A20+1,FALSE))</f>
        <v>617</v>
      </c>
      <c r="G20" s="8">
        <f t="shared" si="7"/>
        <v>1.1066313225979794</v>
      </c>
      <c r="H20" s="13" t="s">
        <v>114</v>
      </c>
      <c r="I20" s="9">
        <v>264</v>
      </c>
      <c r="J20" s="9">
        <v>444</v>
      </c>
      <c r="K20" s="9">
        <v>617</v>
      </c>
      <c r="L20" s="9">
        <v>804</v>
      </c>
      <c r="M20" s="9">
        <v>836</v>
      </c>
      <c r="N20" s="9">
        <v>875</v>
      </c>
      <c r="O20" s="9">
        <v>932</v>
      </c>
      <c r="P20" s="9">
        <v>1024</v>
      </c>
    </row>
    <row r="21" spans="1:45" x14ac:dyDescent="0.25">
      <c r="A21" s="9">
        <f t="shared" si="10"/>
        <v>20</v>
      </c>
      <c r="B21" s="9">
        <v>1</v>
      </c>
      <c r="C21" s="9" t="str">
        <f t="shared" si="5"/>
        <v>Japan</v>
      </c>
      <c r="D21" s="6">
        <f t="shared" si="6"/>
        <v>878</v>
      </c>
      <c r="E21" s="6">
        <f>IF(COUNTIF(I21:XFD21,"&gt;"&amp;0)=0,,HLOOKUP(COUNTIF(I21:XFD21,"&gt;"&amp;0)-1,I$1:XFD21,A21+1,FALSE))</f>
        <v>878</v>
      </c>
      <c r="F21" s="7">
        <f>IF(COUNTIF(I21:XFD21,"&gt;"&amp;0)=0,,HLOOKUP(COUNTIF(I21:XFD21,"&gt;"&amp;0)-MIN($F$1+1,COUNTIF(I21:XFD21,"&gt;"&amp;0)),I$1:XFD21,A21+1,FALSE))</f>
        <v>639</v>
      </c>
      <c r="G21" s="8">
        <f t="shared" si="7"/>
        <v>1.0656110898075526</v>
      </c>
      <c r="H21" s="13" t="s">
        <v>63</v>
      </c>
      <c r="I21" s="9">
        <v>105</v>
      </c>
      <c r="J21" s="9">
        <v>122</v>
      </c>
      <c r="K21" s="9">
        <v>147</v>
      </c>
      <c r="L21" s="9">
        <v>159</v>
      </c>
      <c r="M21" s="9">
        <v>170</v>
      </c>
      <c r="N21" s="9">
        <v>189</v>
      </c>
      <c r="O21" s="9">
        <v>214</v>
      </c>
      <c r="P21" s="9">
        <v>228</v>
      </c>
      <c r="Q21" s="9">
        <v>241</v>
      </c>
      <c r="R21" s="9">
        <v>256</v>
      </c>
      <c r="S21" s="9">
        <v>274</v>
      </c>
      <c r="T21" s="9">
        <v>293</v>
      </c>
      <c r="U21" s="9">
        <v>331</v>
      </c>
      <c r="V21" s="9">
        <v>360</v>
      </c>
      <c r="W21" s="9">
        <v>420</v>
      </c>
      <c r="X21" s="9">
        <v>461</v>
      </c>
      <c r="Y21" s="9">
        <v>502</v>
      </c>
      <c r="Z21" s="9">
        <v>511</v>
      </c>
      <c r="AA21" s="9">
        <v>581</v>
      </c>
      <c r="AB21" s="9">
        <v>639</v>
      </c>
      <c r="AC21" s="9">
        <v>639</v>
      </c>
      <c r="AD21" s="9">
        <v>701</v>
      </c>
      <c r="AE21" s="9">
        <v>773</v>
      </c>
      <c r="AF21" s="9">
        <v>839</v>
      </c>
      <c r="AG21" s="9">
        <v>825</v>
      </c>
      <c r="AH21" s="9">
        <v>878</v>
      </c>
    </row>
    <row r="22" spans="1:45" x14ac:dyDescent="0.25">
      <c r="A22" s="9">
        <f t="shared" si="10"/>
        <v>21</v>
      </c>
      <c r="B22" s="9">
        <v>1</v>
      </c>
      <c r="C22" s="9" t="str">
        <f t="shared" si="5"/>
        <v>Cruise Ship</v>
      </c>
      <c r="D22" s="6">
        <f t="shared" si="6"/>
        <v>706</v>
      </c>
      <c r="E22" s="6">
        <f>IF(COUNTIF(I22:XFD22,"&gt;"&amp;0)=0,,HLOOKUP(COUNTIF(I22:XFD22,"&gt;"&amp;0)-1,I$1:XFD22,A22+1,FALSE))</f>
        <v>696</v>
      </c>
      <c r="F22" s="7">
        <f>IF(COUNTIF(I22:XFD22,"&gt;"&amp;0)=0,,HLOOKUP(COUNTIF(I22:XFD22,"&gt;"&amp;0)-MIN($F$1+1,COUNTIF(I22:XFD22,"&gt;"&amp;0)),I$1:XFD22,A22+1,FALSE))</f>
        <v>696</v>
      </c>
      <c r="G22" s="8">
        <f t="shared" si="7"/>
        <v>1</v>
      </c>
      <c r="H22" s="13" t="s">
        <v>368</v>
      </c>
      <c r="I22" s="9">
        <v>135</v>
      </c>
      <c r="J22" s="9">
        <v>135</v>
      </c>
      <c r="K22" s="9">
        <v>175</v>
      </c>
      <c r="L22" s="9">
        <v>175</v>
      </c>
      <c r="M22" s="9">
        <v>218</v>
      </c>
      <c r="N22" s="9">
        <v>285</v>
      </c>
      <c r="O22" s="9">
        <v>355</v>
      </c>
      <c r="P22" s="9">
        <v>454</v>
      </c>
      <c r="Q22" s="9">
        <v>542</v>
      </c>
      <c r="R22" s="9">
        <v>621</v>
      </c>
      <c r="S22" s="9">
        <v>634</v>
      </c>
      <c r="T22" s="9">
        <v>634</v>
      </c>
      <c r="U22" s="9">
        <v>634</v>
      </c>
      <c r="V22" s="9">
        <v>691</v>
      </c>
      <c r="W22" s="9">
        <v>691</v>
      </c>
      <c r="X22" s="9">
        <v>691</v>
      </c>
      <c r="Y22" s="9">
        <v>705</v>
      </c>
      <c r="Z22" s="9">
        <v>705</v>
      </c>
      <c r="AA22" s="9">
        <v>705</v>
      </c>
      <c r="AB22" s="9">
        <v>705</v>
      </c>
      <c r="AC22" s="9">
        <v>705</v>
      </c>
      <c r="AD22" s="9">
        <v>705</v>
      </c>
      <c r="AE22" s="9">
        <v>706</v>
      </c>
      <c r="AF22" s="9">
        <v>706</v>
      </c>
      <c r="AG22" s="9">
        <v>706</v>
      </c>
      <c r="AH22" s="9">
        <v>696</v>
      </c>
      <c r="AI22" s="9">
        <v>696</v>
      </c>
      <c r="AJ22" s="9">
        <v>696</v>
      </c>
      <c r="AK22" s="9">
        <v>696</v>
      </c>
      <c r="AL22" s="9">
        <v>696</v>
      </c>
      <c r="AM22" s="9">
        <v>696</v>
      </c>
      <c r="AN22" s="9">
        <v>696</v>
      </c>
      <c r="AO22" s="9">
        <v>696</v>
      </c>
      <c r="AP22" s="9">
        <v>696</v>
      </c>
      <c r="AQ22" s="9">
        <v>696</v>
      </c>
      <c r="AR22" s="9">
        <v>696</v>
      </c>
      <c r="AS22" s="9">
        <v>696</v>
      </c>
    </row>
    <row r="23" spans="1:45" x14ac:dyDescent="0.25">
      <c r="A23" s="9">
        <f t="shared" si="10"/>
        <v>22</v>
      </c>
      <c r="B23" s="9">
        <v>1</v>
      </c>
      <c r="C23" s="9" t="str">
        <f t="shared" si="5"/>
        <v>Malaysia</v>
      </c>
      <c r="D23" s="6">
        <f t="shared" si="6"/>
        <v>673</v>
      </c>
      <c r="E23" s="6">
        <f>IF(COUNTIF(I23:XFD23,"&gt;"&amp;0)=0,,HLOOKUP(COUNTIF(I23:XFD23,"&gt;"&amp;0)-1,I$1:XFD23,A23+1,FALSE))</f>
        <v>673</v>
      </c>
      <c r="F23" s="7">
        <f>IF(COUNTIF(I23:XFD23,"&gt;"&amp;0)=0,,HLOOKUP(COUNTIF(I23:XFD23,"&gt;"&amp;0)-MIN($F$1+1,COUNTIF(I23:XFD23,"&gt;"&amp;0)),I$1:XFD23,A23+1,FALSE))</f>
        <v>149</v>
      </c>
      <c r="G23" s="8">
        <f t="shared" si="7"/>
        <v>1.3519659666933581</v>
      </c>
      <c r="H23" s="13" t="s">
        <v>70</v>
      </c>
      <c r="I23" s="9">
        <v>117</v>
      </c>
      <c r="J23" s="9">
        <v>129</v>
      </c>
      <c r="K23" s="9">
        <v>149</v>
      </c>
      <c r="L23" s="9">
        <v>149</v>
      </c>
      <c r="M23" s="9">
        <v>197</v>
      </c>
      <c r="N23" s="9">
        <v>238</v>
      </c>
      <c r="O23" s="9">
        <v>428</v>
      </c>
      <c r="P23" s="9">
        <v>566</v>
      </c>
      <c r="Q23" s="9">
        <v>673</v>
      </c>
    </row>
    <row r="24" spans="1:45" x14ac:dyDescent="0.25">
      <c r="A24" s="9">
        <f t="shared" si="10"/>
        <v>23</v>
      </c>
      <c r="B24" s="9">
        <v>1</v>
      </c>
      <c r="C24" s="9" t="str">
        <f t="shared" si="5"/>
        <v>Canada</v>
      </c>
      <c r="D24" s="6">
        <f t="shared" si="6"/>
        <v>478</v>
      </c>
      <c r="E24" s="6">
        <f>IF(COUNTIF(I24:XFD24,"&gt;"&amp;0)=0,,HLOOKUP(COUNTIF(I24:XFD24,"&gt;"&amp;0)-1,I$1:XFD24,A24+1,FALSE))</f>
        <v>478</v>
      </c>
      <c r="F24" s="7">
        <f>IF(COUNTIF(I24:XFD24,"&gt;"&amp;0)=0,,HLOOKUP(COUNTIF(I24:XFD24,"&gt;"&amp;0)-MIN($F$1+1,COUNTIF(I24:XFD24,"&gt;"&amp;0)),I$1:XFD24,A24+1,FALSE))</f>
        <v>117</v>
      </c>
      <c r="G24" s="8">
        <f t="shared" si="7"/>
        <v>1.3250992463499691</v>
      </c>
      <c r="H24" s="13" t="s">
        <v>72</v>
      </c>
      <c r="I24" s="9">
        <v>108</v>
      </c>
      <c r="J24" s="9">
        <v>117</v>
      </c>
      <c r="K24" s="9">
        <v>193</v>
      </c>
      <c r="L24" s="9">
        <v>198</v>
      </c>
      <c r="M24" s="9">
        <v>252</v>
      </c>
      <c r="N24" s="9">
        <v>415</v>
      </c>
      <c r="O24" s="9">
        <v>478</v>
      </c>
    </row>
    <row r="25" spans="1:45" x14ac:dyDescent="0.25">
      <c r="A25" s="9">
        <f t="shared" si="10"/>
        <v>24</v>
      </c>
      <c r="B25" s="9">
        <v>1</v>
      </c>
      <c r="C25" s="9" t="str">
        <f t="shared" si="5"/>
        <v>Australia</v>
      </c>
      <c r="D25" s="6">
        <f t="shared" si="6"/>
        <v>452</v>
      </c>
      <c r="E25" s="6">
        <f>IF(COUNTIF(I25:XFD25,"&gt;"&amp;0)=0,,HLOOKUP(COUNTIF(I25:XFD25,"&gt;"&amp;0)-1,I$1:XFD25,A25+1,FALSE))</f>
        <v>452</v>
      </c>
      <c r="F25" s="7">
        <f>IF(COUNTIF(I25:XFD25,"&gt;"&amp;0)=0,,HLOOKUP(COUNTIF(I25:XFD25,"&gt;"&amp;0)-MIN($F$1+1,COUNTIF(I25:XFD25,"&gt;"&amp;0)),I$1:XFD25,A25+1,FALSE))</f>
        <v>128</v>
      </c>
      <c r="G25" s="8">
        <f t="shared" si="7"/>
        <v>1.2870211772039326</v>
      </c>
      <c r="H25" s="13" t="s">
        <v>75</v>
      </c>
      <c r="I25" s="9">
        <v>107</v>
      </c>
      <c r="J25" s="9">
        <v>128</v>
      </c>
      <c r="K25" s="9">
        <v>128</v>
      </c>
      <c r="L25" s="9">
        <v>200</v>
      </c>
      <c r="M25" s="9">
        <v>250</v>
      </c>
      <c r="N25" s="9">
        <v>297</v>
      </c>
      <c r="O25" s="9">
        <v>377</v>
      </c>
      <c r="P25" s="9">
        <v>452</v>
      </c>
    </row>
    <row r="26" spans="1:45" x14ac:dyDescent="0.25">
      <c r="A26" s="9">
        <f t="shared" si="10"/>
        <v>25</v>
      </c>
      <c r="B26" s="9">
        <v>1</v>
      </c>
      <c r="C26" s="9" t="str">
        <f t="shared" si="5"/>
        <v>Portugal</v>
      </c>
      <c r="D26" s="6">
        <f t="shared" si="6"/>
        <v>448</v>
      </c>
      <c r="E26" s="6">
        <f>IF(COUNTIF(I26:XFD26,"&gt;"&amp;0)=0,,HLOOKUP(COUNTIF(I26:XFD26,"&gt;"&amp;0)-1,I$1:XFD26,A26+1,FALSE))</f>
        <v>448</v>
      </c>
      <c r="F26" s="7">
        <f>IF(COUNTIF(I26:XFD26,"&gt;"&amp;0)=0,,HLOOKUP(COUNTIF(I26:XFD26,"&gt;"&amp;0)-MIN($F$1+1,COUNTIF(I26:XFD26,"&gt;"&amp;0)),I$1:XFD26,A26+1,FALSE))</f>
        <v>112</v>
      </c>
      <c r="G26" s="8">
        <f t="shared" si="7"/>
        <v>1.4142135623730949</v>
      </c>
      <c r="H26" s="13" t="s">
        <v>135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</row>
    <row r="27" spans="1:45" x14ac:dyDescent="0.25">
      <c r="A27" s="9">
        <f t="shared" si="10"/>
        <v>26</v>
      </c>
      <c r="B27" s="9">
        <v>1</v>
      </c>
      <c r="C27" s="9" t="str">
        <f t="shared" si="5"/>
        <v>Qatar</v>
      </c>
      <c r="D27" s="6">
        <f t="shared" si="6"/>
        <v>439</v>
      </c>
      <c r="E27" s="6">
        <f>IF(COUNTIF(I27:XFD27,"&gt;"&amp;0)=0,,HLOOKUP(COUNTIF(I27:XFD27,"&gt;"&amp;0)-1,I$1:XFD27,A27+1,FALSE))</f>
        <v>439</v>
      </c>
      <c r="F27" s="7">
        <f>IF(COUNTIF(I27:XFD27,"&gt;"&amp;0)=0,,HLOOKUP(COUNTIF(I27:XFD27,"&gt;"&amp;0)-MIN($F$1+1,COUNTIF(I27:XFD27,"&gt;"&amp;0)),I$1:XFD27,A27+1,FALSE))</f>
        <v>262</v>
      </c>
      <c r="G27" s="8">
        <f t="shared" si="7"/>
        <v>1.1087474800593278</v>
      </c>
      <c r="H27" s="13" t="s">
        <v>128</v>
      </c>
      <c r="I27" s="9">
        <v>262</v>
      </c>
      <c r="J27" s="9">
        <v>262</v>
      </c>
      <c r="K27" s="9">
        <v>320</v>
      </c>
      <c r="L27" s="9">
        <v>337</v>
      </c>
      <c r="M27" s="9">
        <v>401</v>
      </c>
      <c r="N27" s="9">
        <v>439</v>
      </c>
      <c r="O27" s="9">
        <v>439</v>
      </c>
    </row>
    <row r="28" spans="1:45" x14ac:dyDescent="0.25">
      <c r="A28" s="9">
        <f t="shared" si="10"/>
        <v>27</v>
      </c>
      <c r="B28" s="9">
        <v>1</v>
      </c>
      <c r="C28" s="9" t="str">
        <f t="shared" si="5"/>
        <v>Czechia</v>
      </c>
      <c r="D28" s="6">
        <f t="shared" si="6"/>
        <v>396</v>
      </c>
      <c r="E28" s="6">
        <f>IF(COUNTIF(I28:XFD28,"&gt;"&amp;0)=0,,HLOOKUP(COUNTIF(I28:XFD28,"&gt;"&amp;0)-1,I$1:XFD28,A28+1,FALSE))</f>
        <v>396</v>
      </c>
      <c r="F28" s="7">
        <f>IF(COUNTIF(I28:XFD28,"&gt;"&amp;0)=0,,HLOOKUP(COUNTIF(I28:XFD28,"&gt;"&amp;0)-MIN($F$1+1,COUNTIF(I28:XFD28,"&gt;"&amp;0)),I$1:XFD28,A28+1,FALSE))</f>
        <v>141</v>
      </c>
      <c r="G28" s="8">
        <f t="shared" si="7"/>
        <v>1.2945505641699688</v>
      </c>
      <c r="H28" s="13" t="s">
        <v>369</v>
      </c>
      <c r="I28" s="9">
        <v>141</v>
      </c>
      <c r="J28" s="9">
        <v>189</v>
      </c>
      <c r="K28" s="9">
        <v>253</v>
      </c>
      <c r="L28" s="9">
        <v>298</v>
      </c>
      <c r="M28" s="9">
        <v>396</v>
      </c>
    </row>
    <row r="29" spans="1:45" x14ac:dyDescent="0.25">
      <c r="A29" s="9">
        <f t="shared" si="10"/>
        <v>28</v>
      </c>
      <c r="B29" s="9">
        <v>1</v>
      </c>
      <c r="C29" s="9" t="str">
        <f t="shared" si="5"/>
        <v>Greece</v>
      </c>
      <c r="D29" s="6">
        <f t="shared" si="6"/>
        <v>387</v>
      </c>
      <c r="E29" s="6">
        <f>IF(COUNTIF(I29:XFD29,"&gt;"&amp;0)=0,,HLOOKUP(COUNTIF(I29:XFD29,"&gt;"&amp;0)-1,I$1:XFD29,A29+1,FALSE))</f>
        <v>387</v>
      </c>
      <c r="F29" s="7">
        <f>IF(COUNTIF(I29:XFD29,"&gt;"&amp;0)=0,,HLOOKUP(COUNTIF(I29:XFD29,"&gt;"&amp;0)-MIN($F$1+1,COUNTIF(I29:XFD29,"&gt;"&amp;0)),I$1:XFD29,A29+1,FALSE))</f>
        <v>190</v>
      </c>
      <c r="G29" s="8">
        <f t="shared" si="7"/>
        <v>1.1946462963075151</v>
      </c>
      <c r="H29" s="13" t="s">
        <v>110</v>
      </c>
      <c r="I29" s="9">
        <v>190</v>
      </c>
      <c r="J29" s="9">
        <v>228</v>
      </c>
      <c r="K29" s="9">
        <v>331</v>
      </c>
      <c r="L29" s="9">
        <v>331</v>
      </c>
      <c r="M29" s="9">
        <v>387</v>
      </c>
    </row>
    <row r="30" spans="1:45" x14ac:dyDescent="0.25">
      <c r="A30" s="9">
        <f t="shared" si="10"/>
        <v>29</v>
      </c>
      <c r="B30" s="9">
        <v>1</v>
      </c>
      <c r="C30" s="9" t="str">
        <f t="shared" si="5"/>
        <v>Israel</v>
      </c>
      <c r="D30" s="6">
        <f t="shared" si="6"/>
        <v>337</v>
      </c>
      <c r="E30" s="6">
        <f>IF(COUNTIF(I30:XFD30,"&gt;"&amp;0)=0,,HLOOKUP(COUNTIF(I30:XFD30,"&gt;"&amp;0)-1,I$1:XFD30,A30+1,FALSE))</f>
        <v>337</v>
      </c>
      <c r="F30" s="7">
        <f>IF(COUNTIF(I30:XFD30,"&gt;"&amp;0)=0,,HLOOKUP(COUNTIF(I30:XFD30,"&gt;"&amp;0)-MIN($F$1+1,COUNTIF(I30:XFD30,"&gt;"&amp;0)),I$1:XFD30,A30+1,FALSE))</f>
        <v>131</v>
      </c>
      <c r="G30" s="8">
        <f t="shared" si="7"/>
        <v>1.2080133145498593</v>
      </c>
      <c r="H30" s="13" t="s">
        <v>106</v>
      </c>
      <c r="I30" s="9">
        <v>109</v>
      </c>
      <c r="J30" s="9">
        <v>131</v>
      </c>
      <c r="K30" s="9">
        <v>161</v>
      </c>
      <c r="L30" s="9">
        <v>193</v>
      </c>
      <c r="M30" s="9">
        <v>251</v>
      </c>
      <c r="N30" s="9">
        <v>255</v>
      </c>
      <c r="O30" s="9">
        <v>337</v>
      </c>
    </row>
    <row r="31" spans="1:45" x14ac:dyDescent="0.25">
      <c r="A31" s="9">
        <f t="shared" si="10"/>
        <v>30</v>
      </c>
      <c r="B31" s="9">
        <v>1</v>
      </c>
      <c r="C31" s="9" t="str">
        <f t="shared" si="5"/>
        <v>Finland</v>
      </c>
      <c r="D31" s="6">
        <f t="shared" si="6"/>
        <v>321</v>
      </c>
      <c r="E31" s="6">
        <f>IF(COUNTIF(I31:XFD31,"&gt;"&amp;0)=0,,HLOOKUP(COUNTIF(I31:XFD31,"&gt;"&amp;0)-1,I$1:XFD31,A31+1,FALSE))</f>
        <v>321</v>
      </c>
      <c r="F31" s="7">
        <f>IF(COUNTIF(I31:XFD31,"&gt;"&amp;0)=0,,HLOOKUP(COUNTIF(I31:XFD31,"&gt;"&amp;0)-MIN($F$1+1,COUNTIF(I31:XFD31,"&gt;"&amp;0)),I$1:XFD31,A31+1,FALSE))</f>
        <v>155</v>
      </c>
      <c r="G31" s="8">
        <f t="shared" si="7"/>
        <v>1.19961899420888</v>
      </c>
      <c r="H31" s="13" t="s">
        <v>81</v>
      </c>
      <c r="I31" s="9">
        <v>155</v>
      </c>
      <c r="J31" s="9">
        <v>225</v>
      </c>
      <c r="K31" s="9">
        <v>244</v>
      </c>
      <c r="L31" s="9">
        <v>277</v>
      </c>
      <c r="M31" s="9">
        <v>321</v>
      </c>
    </row>
    <row r="32" spans="1:45" x14ac:dyDescent="0.25">
      <c r="A32" s="9">
        <f t="shared" si="10"/>
        <v>31</v>
      </c>
      <c r="B32" s="9">
        <v>1</v>
      </c>
      <c r="C32" s="9" t="str">
        <f t="shared" si="5"/>
        <v>Brazil</v>
      </c>
      <c r="D32" s="6">
        <f t="shared" si="6"/>
        <v>321</v>
      </c>
      <c r="E32" s="6">
        <f>IF(COUNTIF(I32:XFD32,"&gt;"&amp;0)=0,,HLOOKUP(COUNTIF(I32:XFD32,"&gt;"&amp;0)-1,I$1:XFD32,A32+1,FALSE))</f>
        <v>321</v>
      </c>
      <c r="F32" s="7">
        <f>IF(COUNTIF(I32:XFD32,"&gt;"&amp;0)=0,,HLOOKUP(COUNTIF(I32:XFD32,"&gt;"&amp;0)-MIN($F$1+1,COUNTIF(I32:XFD32,"&gt;"&amp;0)),I$1:XFD32,A32+1,FALSE))</f>
        <v>151</v>
      </c>
      <c r="G32" s="8">
        <f t="shared" si="7"/>
        <v>1.2074857697376267</v>
      </c>
      <c r="H32" s="13" t="s">
        <v>108</v>
      </c>
      <c r="I32" s="9">
        <v>151</v>
      </c>
      <c r="J32" s="9">
        <v>151</v>
      </c>
      <c r="K32" s="9">
        <v>162</v>
      </c>
      <c r="L32" s="9">
        <v>200</v>
      </c>
      <c r="M32" s="9">
        <v>321</v>
      </c>
    </row>
    <row r="33" spans="1:26" x14ac:dyDescent="0.25">
      <c r="A33" s="9">
        <f t="shared" si="10"/>
        <v>32</v>
      </c>
      <c r="B33" s="9">
        <v>1</v>
      </c>
      <c r="C33" s="9" t="str">
        <f t="shared" si="5"/>
        <v>Slovenia</v>
      </c>
      <c r="D33" s="6">
        <f t="shared" si="6"/>
        <v>275</v>
      </c>
      <c r="E33" s="6">
        <f>IF(COUNTIF(I33:XFD33,"&gt;"&amp;0)=0,,HLOOKUP(COUNTIF(I33:XFD33,"&gt;"&amp;0)-1,I$1:XFD33,A33+1,FALSE))</f>
        <v>275</v>
      </c>
      <c r="F33" s="7">
        <f>IF(COUNTIF(I33:XFD33,"&gt;"&amp;0)=0,,HLOOKUP(COUNTIF(I33:XFD33,"&gt;"&amp;0)-MIN($F$1+1,COUNTIF(I33:XFD33,"&gt;"&amp;0)),I$1:XFD33,A33+1,FALSE))</f>
        <v>141</v>
      </c>
      <c r="G33" s="8">
        <f t="shared" si="7"/>
        <v>1.1817575763782182</v>
      </c>
      <c r="H33" s="13" t="s">
        <v>168</v>
      </c>
      <c r="I33" s="9">
        <v>141</v>
      </c>
      <c r="J33" s="9">
        <v>181</v>
      </c>
      <c r="K33" s="9">
        <v>219</v>
      </c>
      <c r="L33" s="9">
        <v>253</v>
      </c>
      <c r="M33" s="9">
        <v>275</v>
      </c>
    </row>
    <row r="34" spans="1:26" x14ac:dyDescent="0.25">
      <c r="A34" s="9">
        <f t="shared" si="10"/>
        <v>33</v>
      </c>
      <c r="B34" s="9">
        <v>1</v>
      </c>
      <c r="C34" s="9" t="str">
        <f t="shared" ref="C34:C65" si="15">H34</f>
        <v>Singapore</v>
      </c>
      <c r="D34" s="6">
        <f t="shared" ref="D34:D65" si="16">MAX(I34:CL34)</f>
        <v>266</v>
      </c>
      <c r="E34" s="6">
        <f>IF(COUNTIF(I34:XFD34,"&gt;"&amp;0)=0,,HLOOKUP(COUNTIF(I34:XFD34,"&gt;"&amp;0)-1,I$1:XFD34,A34+1,FALSE))</f>
        <v>266</v>
      </c>
      <c r="F34" s="7">
        <f>IF(COUNTIF(I34:XFD34,"&gt;"&amp;0)=0,,HLOOKUP(COUNTIF(I34:XFD34,"&gt;"&amp;0)-MIN($F$1+1,COUNTIF(I34:XFD34,"&gt;"&amp;0)),I$1:XFD34,A34+1,FALSE))</f>
        <v>178</v>
      </c>
      <c r="G34" s="8">
        <f t="shared" ref="G34:G65" si="17">IF(COUNTIF(I34:XFD34,"&gt;"&amp;0)=0,,(E34/F34)^(1/MIN(COUNTIF(I34:XFD34,"&gt;"&amp;0)-1,$F$1)))</f>
        <v>1.0836582130639407</v>
      </c>
      <c r="H34" s="13" t="s">
        <v>67</v>
      </c>
      <c r="I34" s="9">
        <v>102</v>
      </c>
      <c r="J34" s="9">
        <v>106</v>
      </c>
      <c r="K34" s="9">
        <v>108</v>
      </c>
      <c r="L34" s="9">
        <v>110</v>
      </c>
      <c r="M34" s="9">
        <v>110</v>
      </c>
      <c r="N34" s="9">
        <v>117</v>
      </c>
      <c r="O34" s="9">
        <v>130</v>
      </c>
      <c r="P34" s="9">
        <v>138</v>
      </c>
      <c r="Q34" s="9">
        <v>150</v>
      </c>
      <c r="R34" s="9">
        <v>150</v>
      </c>
      <c r="S34" s="9">
        <v>160</v>
      </c>
      <c r="T34" s="9">
        <v>178</v>
      </c>
      <c r="U34" s="9">
        <v>178</v>
      </c>
      <c r="V34" s="9">
        <v>200</v>
      </c>
      <c r="W34" s="9">
        <v>212</v>
      </c>
      <c r="X34" s="9">
        <v>226</v>
      </c>
      <c r="Y34" s="9">
        <v>243</v>
      </c>
      <c r="Z34" s="9">
        <v>266</v>
      </c>
    </row>
    <row r="35" spans="1:26" x14ac:dyDescent="0.25">
      <c r="A35" s="9">
        <f t="shared" si="10"/>
        <v>34</v>
      </c>
      <c r="B35" s="9">
        <v>1</v>
      </c>
      <c r="C35" s="9" t="str">
        <f t="shared" si="15"/>
        <v>Poland</v>
      </c>
      <c r="D35" s="6">
        <f t="shared" si="16"/>
        <v>238</v>
      </c>
      <c r="E35" s="6">
        <f>IF(COUNTIF(I35:XFD35,"&gt;"&amp;0)=0,,HLOOKUP(COUNTIF(I35:XFD35,"&gt;"&amp;0)-1,I$1:XFD35,A35+1,FALSE))</f>
        <v>238</v>
      </c>
      <c r="F35" s="7">
        <f>IF(COUNTIF(I35:XFD35,"&gt;"&amp;0)=0,,HLOOKUP(COUNTIF(I35:XFD35,"&gt;"&amp;0)-MIN($F$1+1,COUNTIF(I35:XFD35,"&gt;"&amp;0)),I$1:XFD35,A35+1,FALSE))</f>
        <v>103</v>
      </c>
      <c r="G35" s="8">
        <f t="shared" si="17"/>
        <v>1.32204603334969</v>
      </c>
      <c r="H35" s="13" t="s">
        <v>164</v>
      </c>
      <c r="I35" s="9">
        <v>103</v>
      </c>
      <c r="J35" s="9">
        <v>119</v>
      </c>
      <c r="K35" s="9">
        <v>177</v>
      </c>
      <c r="L35" s="9">
        <v>238</v>
      </c>
    </row>
    <row r="36" spans="1:26" x14ac:dyDescent="0.25">
      <c r="A36" s="9">
        <f t="shared" si="10"/>
        <v>35</v>
      </c>
      <c r="B36" s="9">
        <v>1</v>
      </c>
      <c r="C36" s="9" t="str">
        <f t="shared" si="15"/>
        <v>Pakistan</v>
      </c>
      <c r="D36" s="6">
        <f t="shared" si="16"/>
        <v>236</v>
      </c>
      <c r="E36" s="6">
        <f>IF(COUNTIF(I36:XFD36,"&gt;"&amp;0)=0,,HLOOKUP(COUNTIF(I36:XFD36,"&gt;"&amp;0)-1,I$1:XFD36,A36+1,FALSE))</f>
        <v>236</v>
      </c>
      <c r="F36" s="7">
        <f>IF(COUNTIF(I36:XFD36,"&gt;"&amp;0)=0,,HLOOKUP(COUNTIF(I36:XFD36,"&gt;"&amp;0)-MIN($F$1+1,COUNTIF(I36:XFD36,"&gt;"&amp;0)),I$1:XFD36,A36+1,FALSE))</f>
        <v>136</v>
      </c>
      <c r="G36" s="8">
        <f t="shared" si="17"/>
        <v>1.7352941176470589</v>
      </c>
      <c r="H36" s="13" t="s">
        <v>107</v>
      </c>
      <c r="I36" s="9">
        <v>136</v>
      </c>
      <c r="J36" s="9">
        <v>236</v>
      </c>
    </row>
    <row r="37" spans="1:26" x14ac:dyDescent="0.25">
      <c r="A37" s="9">
        <f t="shared" si="10"/>
        <v>36</v>
      </c>
      <c r="B37" s="9">
        <v>1</v>
      </c>
      <c r="C37" s="9" t="str">
        <f t="shared" si="15"/>
        <v>Bahrain</v>
      </c>
      <c r="D37" s="6">
        <f t="shared" si="16"/>
        <v>228</v>
      </c>
      <c r="E37" s="6">
        <f>IF(COUNTIF(I37:XFD37,"&gt;"&amp;0)=0,,HLOOKUP(COUNTIF(I37:XFD37,"&gt;"&amp;0)-1,I$1:XFD37,A37+1,FALSE))</f>
        <v>228</v>
      </c>
      <c r="F37" s="7">
        <f>IF(COUNTIF(I37:XFD37,"&gt;"&amp;0)=0,,HLOOKUP(COUNTIF(I37:XFD37,"&gt;"&amp;0)-MIN($F$1+1,COUNTIF(I37:XFD37,"&gt;"&amp;0)),I$1:XFD37,A37+1,FALSE))</f>
        <v>195</v>
      </c>
      <c r="G37" s="8">
        <f t="shared" si="17"/>
        <v>1.0317632316880048</v>
      </c>
      <c r="H37" s="13" t="s">
        <v>100</v>
      </c>
      <c r="I37" s="9">
        <v>110</v>
      </c>
      <c r="J37" s="9">
        <v>195</v>
      </c>
      <c r="K37" s="9">
        <v>195</v>
      </c>
      <c r="L37" s="9">
        <v>189</v>
      </c>
      <c r="M37" s="9">
        <v>210</v>
      </c>
      <c r="N37" s="9">
        <v>214</v>
      </c>
      <c r="O37" s="9">
        <v>214</v>
      </c>
      <c r="P37" s="9">
        <v>228</v>
      </c>
    </row>
    <row r="38" spans="1:26" x14ac:dyDescent="0.25">
      <c r="A38" s="9">
        <f t="shared" si="10"/>
        <v>37</v>
      </c>
      <c r="B38" s="9">
        <v>1</v>
      </c>
      <c r="C38" s="9" t="str">
        <f t="shared" si="15"/>
        <v>Estonia</v>
      </c>
      <c r="D38" s="6">
        <f t="shared" si="16"/>
        <v>225</v>
      </c>
      <c r="E38" s="6">
        <f>IF(COUNTIF(I38:XFD38,"&gt;"&amp;0)=0,,HLOOKUP(COUNTIF(I38:XFD38,"&gt;"&amp;0)-1,I$1:XFD38,A38+1,FALSE))</f>
        <v>225</v>
      </c>
      <c r="F38" s="7">
        <f>IF(COUNTIF(I38:XFD38,"&gt;"&amp;0)=0,,HLOOKUP(COUNTIF(I38:XFD38,"&gt;"&amp;0)-MIN($F$1+1,COUNTIF(I38:XFD38,"&gt;"&amp;0)),I$1:XFD38,A38+1,FALSE))</f>
        <v>115</v>
      </c>
      <c r="G38" s="8">
        <f t="shared" si="17"/>
        <v>1.2507242180067484</v>
      </c>
      <c r="H38" s="13" t="s">
        <v>115</v>
      </c>
      <c r="I38" s="9">
        <v>115</v>
      </c>
      <c r="J38" s="9">
        <v>171</v>
      </c>
      <c r="K38" s="9">
        <v>205</v>
      </c>
      <c r="L38" s="9">
        <v>225</v>
      </c>
    </row>
    <row r="39" spans="1:26" x14ac:dyDescent="0.25">
      <c r="A39" s="9">
        <f t="shared" si="10"/>
        <v>38</v>
      </c>
      <c r="B39" s="9">
        <v>1</v>
      </c>
      <c r="C39" s="9" t="str">
        <f t="shared" si="15"/>
        <v>Ireland</v>
      </c>
      <c r="D39" s="6">
        <f t="shared" si="16"/>
        <v>223</v>
      </c>
      <c r="E39" s="6">
        <f>IF(COUNTIF(I39:XFD39,"&gt;"&amp;0)=0,,HLOOKUP(COUNTIF(I39:XFD39,"&gt;"&amp;0)-1,I$1:XFD39,A39+1,FALSE))</f>
        <v>223</v>
      </c>
      <c r="F39" s="7">
        <f>IF(COUNTIF(I39:XFD39,"&gt;"&amp;0)=0,,HLOOKUP(COUNTIF(I39:XFD39,"&gt;"&amp;0)-MIN($F$1+1,COUNTIF(I39:XFD39,"&gt;"&amp;0)),I$1:XFD39,A39+1,FALSE))</f>
        <v>129</v>
      </c>
      <c r="G39" s="8">
        <f t="shared" si="17"/>
        <v>1.2001578890727884</v>
      </c>
      <c r="H39" s="13" t="s">
        <v>125</v>
      </c>
      <c r="I39" s="9">
        <v>129</v>
      </c>
      <c r="J39" s="9">
        <v>129</v>
      </c>
      <c r="K39" s="9">
        <v>169</v>
      </c>
      <c r="L39" s="9">
        <v>223</v>
      </c>
    </row>
    <row r="40" spans="1:26" x14ac:dyDescent="0.25">
      <c r="A40" s="9">
        <f t="shared" si="10"/>
        <v>39</v>
      </c>
      <c r="B40" s="9">
        <v>1</v>
      </c>
      <c r="C40" s="9" t="str">
        <f t="shared" si="15"/>
        <v>Iceland</v>
      </c>
      <c r="D40" s="6">
        <f t="shared" si="16"/>
        <v>220</v>
      </c>
      <c r="E40" s="6">
        <f>IF(COUNTIF(I40:XFD40,"&gt;"&amp;0)=0,,HLOOKUP(COUNTIF(I40:XFD40,"&gt;"&amp;0)-1,I$1:XFD40,A40+1,FALSE))</f>
        <v>220</v>
      </c>
      <c r="F40" s="7">
        <f>IF(COUNTIF(I40:XFD40,"&gt;"&amp;0)=0,,HLOOKUP(COUNTIF(I40:XFD40,"&gt;"&amp;0)-MIN($F$1+1,COUNTIF(I40:XFD40,"&gt;"&amp;0)),I$1:XFD40,A40+1,FALSE))</f>
        <v>103</v>
      </c>
      <c r="G40" s="8">
        <f t="shared" si="17"/>
        <v>1.1639038137093691</v>
      </c>
      <c r="H40" s="13" t="s">
        <v>119</v>
      </c>
      <c r="I40" s="9">
        <v>103</v>
      </c>
      <c r="J40" s="9">
        <v>134</v>
      </c>
      <c r="K40" s="9">
        <v>156</v>
      </c>
      <c r="L40" s="9">
        <v>171</v>
      </c>
      <c r="M40" s="9">
        <v>180</v>
      </c>
      <c r="N40" s="9">
        <v>220</v>
      </c>
    </row>
    <row r="41" spans="1:26" x14ac:dyDescent="0.25">
      <c r="A41" s="9">
        <f t="shared" si="10"/>
        <v>40</v>
      </c>
      <c r="B41" s="9">
        <v>1</v>
      </c>
      <c r="C41" s="9" t="str">
        <f t="shared" si="15"/>
        <v>Chile</v>
      </c>
      <c r="D41" s="6">
        <f t="shared" si="16"/>
        <v>201</v>
      </c>
      <c r="E41" s="6">
        <f>IF(COUNTIF(I41:XFD41,"&gt;"&amp;0)=0,,HLOOKUP(COUNTIF(I41:XFD41,"&gt;"&amp;0)-1,I$1:XFD41,A41+1,FALSE))</f>
        <v>201</v>
      </c>
      <c r="F41" s="7">
        <f>IF(COUNTIF(I41:XFD41,"&gt;"&amp;0)=0,,HLOOKUP(COUNTIF(I41:XFD41,"&gt;"&amp;0)-MIN($F$1+1,COUNTIF(I41:XFD41,"&gt;"&amp;0)),I$1:XFD41,A41+1,FALSE))</f>
        <v>155</v>
      </c>
      <c r="G41" s="8">
        <f t="shared" si="17"/>
        <v>1.2967741935483872</v>
      </c>
      <c r="H41" s="13" t="s">
        <v>151</v>
      </c>
      <c r="I41" s="9">
        <v>155</v>
      </c>
      <c r="J41" s="9">
        <v>201</v>
      </c>
    </row>
    <row r="42" spans="1:26" x14ac:dyDescent="0.25">
      <c r="A42" s="9">
        <f t="shared" si="10"/>
        <v>41</v>
      </c>
      <c r="B42" s="9">
        <v>1</v>
      </c>
      <c r="C42" s="9" t="str">
        <f t="shared" si="15"/>
        <v>Egypt</v>
      </c>
      <c r="D42" s="6">
        <f t="shared" si="16"/>
        <v>196</v>
      </c>
      <c r="E42" s="6">
        <f>IF(COUNTIF(I42:XFD42,"&gt;"&amp;0)=0,,HLOOKUP(COUNTIF(I42:XFD42,"&gt;"&amp;0)-1,I$1:XFD42,A42+1,FALSE))</f>
        <v>196</v>
      </c>
      <c r="F42" s="7">
        <f>IF(COUNTIF(I42:XFD42,"&gt;"&amp;0)=0,,HLOOKUP(COUNTIF(I42:XFD42,"&gt;"&amp;0)-MIN($F$1+1,COUNTIF(I42:XFD42,"&gt;"&amp;0)),I$1:XFD42,A42+1,FALSE))</f>
        <v>109</v>
      </c>
      <c r="G42" s="8">
        <f t="shared" si="17"/>
        <v>1.2160269251198381</v>
      </c>
      <c r="H42" s="13" t="s">
        <v>92</v>
      </c>
      <c r="I42" s="9">
        <v>109</v>
      </c>
      <c r="J42" s="9">
        <v>110</v>
      </c>
      <c r="K42" s="9">
        <v>150</v>
      </c>
      <c r="L42" s="9">
        <v>196</v>
      </c>
    </row>
    <row r="43" spans="1:26" x14ac:dyDescent="0.25">
      <c r="A43" s="9">
        <f t="shared" si="10"/>
        <v>42</v>
      </c>
      <c r="B43" s="9">
        <v>1</v>
      </c>
      <c r="C43" s="9" t="str">
        <f t="shared" si="15"/>
        <v>Philippines</v>
      </c>
      <c r="D43" s="6">
        <f t="shared" si="16"/>
        <v>187</v>
      </c>
      <c r="E43" s="6">
        <f>IF(COUNTIF(I43:XFD43,"&gt;"&amp;0)=0,,HLOOKUP(COUNTIF(I43:XFD43,"&gt;"&amp;0)-1,I$1:XFD43,A43+1,FALSE))</f>
        <v>187</v>
      </c>
      <c r="F43" s="7">
        <f>IF(COUNTIF(I43:XFD43,"&gt;"&amp;0)=0,,HLOOKUP(COUNTIF(I43:XFD43,"&gt;"&amp;0)-MIN($F$1+1,COUNTIF(I43:XFD43,"&gt;"&amp;0)),I$1:XFD43,A43+1,FALSE))</f>
        <v>111</v>
      </c>
      <c r="G43" s="8">
        <f t="shared" si="17"/>
        <v>1.1898883412603818</v>
      </c>
      <c r="H43" s="13" t="s">
        <v>83</v>
      </c>
      <c r="I43" s="9">
        <v>111</v>
      </c>
      <c r="J43" s="9">
        <v>140</v>
      </c>
      <c r="K43" s="9">
        <v>142</v>
      </c>
      <c r="L43" s="9">
        <v>187</v>
      </c>
    </row>
    <row r="44" spans="1:26" x14ac:dyDescent="0.25">
      <c r="A44" s="9">
        <f t="shared" si="10"/>
        <v>43</v>
      </c>
      <c r="B44" s="9">
        <v>1</v>
      </c>
      <c r="C44" s="9" t="str">
        <f t="shared" si="15"/>
        <v>Romania</v>
      </c>
      <c r="D44" s="6">
        <f t="shared" si="16"/>
        <v>184</v>
      </c>
      <c r="E44" s="6">
        <f>IF(COUNTIF(I44:XFD44,"&gt;"&amp;0)=0,,HLOOKUP(COUNTIF(I44:XFD44,"&gt;"&amp;0)-1,I$1:XFD44,A44+1,FALSE))</f>
        <v>184</v>
      </c>
      <c r="F44" s="7">
        <f>IF(COUNTIF(I44:XFD44,"&gt;"&amp;0)=0,,HLOOKUP(COUNTIF(I44:XFD44,"&gt;"&amp;0)-MIN($F$1+1,COUNTIF(I44:XFD44,"&gt;"&amp;0)),I$1:XFD44,A44+1,FALSE))</f>
        <v>123</v>
      </c>
      <c r="G44" s="8">
        <f t="shared" si="17"/>
        <v>1.1436792381530532</v>
      </c>
      <c r="H44" s="13" t="s">
        <v>113</v>
      </c>
      <c r="I44" s="9">
        <v>123</v>
      </c>
      <c r="J44" s="9">
        <v>131</v>
      </c>
      <c r="K44" s="9">
        <v>158</v>
      </c>
      <c r="L44" s="9">
        <v>184</v>
      </c>
    </row>
    <row r="45" spans="1:26" x14ac:dyDescent="0.25">
      <c r="A45" s="9">
        <f t="shared" si="10"/>
        <v>44</v>
      </c>
      <c r="B45" s="9">
        <v>1</v>
      </c>
      <c r="C45" s="9" t="str">
        <f t="shared" si="15"/>
        <v>Thailand</v>
      </c>
      <c r="D45" s="6">
        <f t="shared" si="16"/>
        <v>177</v>
      </c>
      <c r="E45" s="6">
        <f>IF(COUNTIF(I45:XFD45,"&gt;"&amp;0)=0,,HLOOKUP(COUNTIF(I45:XFD45,"&gt;"&amp;0)-1,I$1:XFD45,A45+1,FALSE))</f>
        <v>177</v>
      </c>
      <c r="F45" s="7">
        <f>IF(COUNTIF(I45:XFD45,"&gt;"&amp;0)=0,,HLOOKUP(COUNTIF(I45:XFD45,"&gt;"&amp;0)-MIN($F$1+1,COUNTIF(I45:XFD45,"&gt;"&amp;0)),I$1:XFD45,A45+1,FALSE))</f>
        <v>114</v>
      </c>
      <c r="G45" s="8">
        <f t="shared" si="17"/>
        <v>1.2460463791317595</v>
      </c>
      <c r="H45" s="13" t="s">
        <v>62</v>
      </c>
      <c r="I45" s="9">
        <v>114</v>
      </c>
      <c r="J45" s="9">
        <v>147</v>
      </c>
      <c r="K45" s="9">
        <v>177</v>
      </c>
    </row>
    <row r="46" spans="1:26" x14ac:dyDescent="0.25">
      <c r="A46" s="9">
        <f t="shared" si="10"/>
        <v>45</v>
      </c>
      <c r="B46" s="9">
        <v>1</v>
      </c>
      <c r="C46" s="9" t="str">
        <f t="shared" si="15"/>
        <v>Indonesia</v>
      </c>
      <c r="D46" s="6">
        <f t="shared" si="16"/>
        <v>172</v>
      </c>
      <c r="E46" s="6">
        <f>IF(COUNTIF(I46:XFD46,"&gt;"&amp;0)=0,,HLOOKUP(COUNTIF(I46:XFD46,"&gt;"&amp;0)-1,I$1:XFD46,A46+1,FALSE))</f>
        <v>172</v>
      </c>
      <c r="F46" s="7">
        <f>IF(COUNTIF(I46:XFD46,"&gt;"&amp;0)=0,,HLOOKUP(COUNTIF(I46:XFD46,"&gt;"&amp;0)-MIN($F$1+1,COUNTIF(I46:XFD46,"&gt;"&amp;0)),I$1:XFD46,A46+1,FALSE))</f>
        <v>117</v>
      </c>
      <c r="G46" s="8">
        <f t="shared" si="17"/>
        <v>1.2124708120550656</v>
      </c>
      <c r="H46" s="13" t="s">
        <v>134</v>
      </c>
      <c r="I46" s="9">
        <v>117</v>
      </c>
      <c r="J46" s="9">
        <v>134</v>
      </c>
      <c r="K46" s="9">
        <v>172</v>
      </c>
    </row>
    <row r="47" spans="1:26" x14ac:dyDescent="0.25">
      <c r="A47" s="9">
        <f t="shared" si="10"/>
        <v>46</v>
      </c>
      <c r="B47" s="9">
        <v>1</v>
      </c>
      <c r="C47" s="9" t="str">
        <f t="shared" si="15"/>
        <v>Saudi Arabia</v>
      </c>
      <c r="D47" s="6">
        <f t="shared" si="16"/>
        <v>171</v>
      </c>
      <c r="E47" s="6">
        <f>IF(COUNTIF(I47:XFD47,"&gt;"&amp;0)=0,,HLOOKUP(COUNTIF(I47:XFD47,"&gt;"&amp;0)-1,I$1:XFD47,A47+1,FALSE))</f>
        <v>171</v>
      </c>
      <c r="F47" s="7">
        <f>IF(COUNTIF(I47:XFD47,"&gt;"&amp;0)=0,,HLOOKUP(COUNTIF(I47:XFD47,"&gt;"&amp;0)-MIN($F$1+1,COUNTIF(I47:XFD47,"&gt;"&amp;0)),I$1:XFD47,A47+1,FALSE))</f>
        <v>103</v>
      </c>
      <c r="G47" s="8">
        <f t="shared" si="17"/>
        <v>1.184094312863732</v>
      </c>
      <c r="H47" s="13" t="s">
        <v>140</v>
      </c>
      <c r="I47" s="9">
        <v>103</v>
      </c>
      <c r="J47" s="9">
        <v>103</v>
      </c>
      <c r="K47" s="9">
        <v>118</v>
      </c>
      <c r="L47" s="9">
        <v>171</v>
      </c>
    </row>
    <row r="48" spans="1:26" x14ac:dyDescent="0.25">
      <c r="A48" s="9">
        <f t="shared" si="10"/>
        <v>47</v>
      </c>
      <c r="B48" s="9">
        <v>1</v>
      </c>
      <c r="C48" s="9" t="str">
        <f t="shared" si="15"/>
        <v>Iraq</v>
      </c>
      <c r="D48" s="6">
        <f t="shared" si="16"/>
        <v>154</v>
      </c>
      <c r="E48" s="6">
        <f>IF(COUNTIF(I48:XFD48,"&gt;"&amp;0)=0,,HLOOKUP(COUNTIF(I48:XFD48,"&gt;"&amp;0)-1,I$1:XFD48,A48+1,FALSE))</f>
        <v>154</v>
      </c>
      <c r="F48" s="7">
        <f>IF(COUNTIF(I48:XFD48,"&gt;"&amp;0)=0,,HLOOKUP(COUNTIF(I48:XFD48,"&gt;"&amp;0)-MIN($F$1+1,COUNTIF(I48:XFD48,"&gt;"&amp;0)),I$1:XFD48,A48+1,FALSE))</f>
        <v>101</v>
      </c>
      <c r="G48" s="8">
        <f t="shared" si="17"/>
        <v>1.1112194560990054</v>
      </c>
      <c r="H48" s="13" t="s">
        <v>97</v>
      </c>
      <c r="I48" s="9">
        <v>101</v>
      </c>
      <c r="J48" s="9">
        <v>110</v>
      </c>
      <c r="K48" s="9">
        <v>116</v>
      </c>
      <c r="L48" s="9">
        <v>124</v>
      </c>
      <c r="M48" s="9">
        <v>154</v>
      </c>
    </row>
    <row r="49" spans="1:12" x14ac:dyDescent="0.25">
      <c r="A49" s="9">
        <f t="shared" si="10"/>
        <v>48</v>
      </c>
      <c r="B49" s="9">
        <v>1</v>
      </c>
      <c r="C49" s="9" t="str">
        <f t="shared" si="15"/>
        <v>India</v>
      </c>
      <c r="D49" s="6">
        <f t="shared" si="16"/>
        <v>142</v>
      </c>
      <c r="E49" s="6">
        <f>IF(COUNTIF(I49:XFD49,"&gt;"&amp;0)=0,,HLOOKUP(COUNTIF(I49:XFD49,"&gt;"&amp;0)-1,I$1:XFD49,A49+1,FALSE))</f>
        <v>142</v>
      </c>
      <c r="F49" s="7">
        <f>IF(COUNTIF(I49:XFD49,"&gt;"&amp;0)=0,,HLOOKUP(COUNTIF(I49:XFD49,"&gt;"&amp;0)-MIN($F$1+1,COUNTIF(I49:XFD49,"&gt;"&amp;0)),I$1:XFD49,A49+1,FALSE))</f>
        <v>102</v>
      </c>
      <c r="G49" s="8">
        <f t="shared" si="17"/>
        <v>1.1165959737838647</v>
      </c>
      <c r="H49" s="13" t="s">
        <v>84</v>
      </c>
      <c r="I49" s="9">
        <v>102</v>
      </c>
      <c r="J49" s="9">
        <v>113</v>
      </c>
      <c r="K49" s="9">
        <v>119</v>
      </c>
      <c r="L49" s="9">
        <v>142</v>
      </c>
    </row>
    <row r="50" spans="1:12" x14ac:dyDescent="0.25">
      <c r="A50" s="9">
        <f t="shared" si="10"/>
        <v>49</v>
      </c>
      <c r="B50" s="9">
        <v>1</v>
      </c>
      <c r="C50" s="9" t="str">
        <f t="shared" si="15"/>
        <v>Luxembourg</v>
      </c>
      <c r="D50" s="6">
        <f t="shared" si="16"/>
        <v>140</v>
      </c>
      <c r="E50" s="6">
        <f>IF(COUNTIF(I50:XFD50,"&gt;"&amp;0)=0,,HLOOKUP(COUNTIF(I50:XFD50,"&gt;"&amp;0)-1,I$1:XFD50,A50+1,FALSE))</f>
        <v>140</v>
      </c>
      <c r="F50" s="7">
        <f>IF(COUNTIF(I50:XFD50,"&gt;"&amp;0)=0,,HLOOKUP(COUNTIF(I50:XFD50,"&gt;"&amp;0)-MIN($F$1+1,COUNTIF(I50:XFD50,"&gt;"&amp;0)),I$1:XFD50,A50+1,FALSE))</f>
        <v>140</v>
      </c>
      <c r="G50" s="8" t="e">
        <f t="shared" si="17"/>
        <v>#DIV/0!</v>
      </c>
      <c r="H50" s="13" t="s">
        <v>126</v>
      </c>
      <c r="I50" s="9">
        <v>140</v>
      </c>
    </row>
    <row r="51" spans="1:12" x14ac:dyDescent="0.25">
      <c r="A51" s="9">
        <f t="shared" si="10"/>
        <v>50</v>
      </c>
      <c r="B51" s="9">
        <v>1</v>
      </c>
      <c r="C51" s="9" t="str">
        <f t="shared" si="15"/>
        <v>Kuwait</v>
      </c>
      <c r="D51" s="6">
        <f t="shared" si="16"/>
        <v>130</v>
      </c>
      <c r="E51" s="6">
        <f>IF(COUNTIF(I51:XFD51,"&gt;"&amp;0)=0,,HLOOKUP(COUNTIF(I51:XFD51,"&gt;"&amp;0)-1,I$1:XFD51,A51+1,FALSE))</f>
        <v>130</v>
      </c>
      <c r="F51" s="7">
        <f>IF(COUNTIF(I51:XFD51,"&gt;"&amp;0)=0,,HLOOKUP(COUNTIF(I51:XFD51,"&gt;"&amp;0)-MIN($F$1+1,COUNTIF(I51:XFD51,"&gt;"&amp;0)),I$1:XFD51,A51+1,FALSE))</f>
        <v>104</v>
      </c>
      <c r="G51" s="8">
        <f t="shared" si="17"/>
        <v>1.0772173450159419</v>
      </c>
      <c r="H51" s="13" t="s">
        <v>101</v>
      </c>
      <c r="I51" s="9">
        <v>104</v>
      </c>
      <c r="J51" s="9">
        <v>112</v>
      </c>
      <c r="K51" s="9">
        <v>123</v>
      </c>
      <c r="L51" s="9">
        <v>130</v>
      </c>
    </row>
    <row r="52" spans="1:12" x14ac:dyDescent="0.25">
      <c r="A52" s="9">
        <f t="shared" si="10"/>
        <v>51</v>
      </c>
      <c r="B52" s="9">
        <v>1</v>
      </c>
      <c r="C52" s="9" t="str">
        <f t="shared" si="15"/>
        <v>Lebanon</v>
      </c>
      <c r="D52" s="6">
        <f t="shared" si="16"/>
        <v>120</v>
      </c>
      <c r="E52" s="6">
        <f>IF(COUNTIF(I52:XFD52,"&gt;"&amp;0)=0,,HLOOKUP(COUNTIF(I52:XFD52,"&gt;"&amp;0)-1,I$1:XFD52,A52+1,FALSE))</f>
        <v>120</v>
      </c>
      <c r="F52" s="7">
        <f>IF(COUNTIF(I52:XFD52,"&gt;"&amp;0)=0,,HLOOKUP(COUNTIF(I52:XFD52,"&gt;"&amp;0)-MIN($F$1+1,COUNTIF(I52:XFD52,"&gt;"&amp;0)),I$1:XFD52,A52+1,FALSE))</f>
        <v>110</v>
      </c>
      <c r="G52" s="8">
        <f t="shared" si="17"/>
        <v>1.044465935734187</v>
      </c>
      <c r="H52" s="13" t="s">
        <v>94</v>
      </c>
      <c r="I52" s="9">
        <v>110</v>
      </c>
      <c r="J52" s="9">
        <v>99</v>
      </c>
      <c r="K52" s="9">
        <v>120</v>
      </c>
    </row>
    <row r="53" spans="1:12" x14ac:dyDescent="0.25">
      <c r="A53" s="9">
        <f t="shared" si="10"/>
        <v>52</v>
      </c>
      <c r="B53" s="9">
        <v>1</v>
      </c>
      <c r="C53" s="9" t="str">
        <f t="shared" si="15"/>
        <v>Peru</v>
      </c>
      <c r="D53" s="6">
        <f t="shared" si="16"/>
        <v>117</v>
      </c>
      <c r="E53" s="6">
        <f>IF(COUNTIF(I53:XFD53,"&gt;"&amp;0)=0,,HLOOKUP(COUNTIF(I53:XFD53,"&gt;"&amp;0)-1,I$1:XFD53,A53+1,FALSE))</f>
        <v>117</v>
      </c>
      <c r="F53" s="7">
        <f>IF(COUNTIF(I53:XFD53,"&gt;"&amp;0)=0,,HLOOKUP(COUNTIF(I53:XFD53,"&gt;"&amp;0)-MIN($F$1+1,COUNTIF(I53:XFD53,"&gt;"&amp;0)),I$1:XFD53,A53+1,FALSE))</f>
        <v>117</v>
      </c>
      <c r="G53" s="8" t="e">
        <f t="shared" si="17"/>
        <v>#DIV/0!</v>
      </c>
      <c r="H53" s="13" t="s">
        <v>187</v>
      </c>
      <c r="I53" s="9">
        <v>117</v>
      </c>
    </row>
    <row r="54" spans="1:12" x14ac:dyDescent="0.25">
      <c r="A54" s="9">
        <f t="shared" si="10"/>
        <v>53</v>
      </c>
      <c r="B54" s="9">
        <v>1</v>
      </c>
      <c r="C54" s="9" t="str">
        <f t="shared" si="15"/>
        <v>Russia</v>
      </c>
      <c r="D54" s="6">
        <f t="shared" si="16"/>
        <v>114</v>
      </c>
      <c r="E54" s="6">
        <f>IF(COUNTIF(I54:XFD54,"&gt;"&amp;0)=0,,HLOOKUP(COUNTIF(I54:XFD54,"&gt;"&amp;0)-1,I$1:XFD54,A54+1,FALSE))</f>
        <v>114</v>
      </c>
      <c r="F54" s="7">
        <f>IF(COUNTIF(I54:XFD54,"&gt;"&amp;0)=0,,HLOOKUP(COUNTIF(I54:XFD54,"&gt;"&amp;0)-MIN($F$1+1,COUNTIF(I54:XFD54,"&gt;"&amp;0)),I$1:XFD54,A54+1,FALSE))</f>
        <v>114</v>
      </c>
      <c r="G54" s="8" t="e">
        <f t="shared" si="17"/>
        <v>#DIV/0!</v>
      </c>
      <c r="H54" s="13" t="s">
        <v>372</v>
      </c>
      <c r="I54" s="9">
        <v>114</v>
      </c>
    </row>
    <row r="55" spans="1:12" x14ac:dyDescent="0.25">
      <c r="A55" s="9">
        <f t="shared" si="10"/>
        <v>54</v>
      </c>
      <c r="B55" s="9">
        <v>1</v>
      </c>
      <c r="C55" s="9" t="str">
        <f t="shared" si="15"/>
        <v>San Marino</v>
      </c>
      <c r="D55" s="6">
        <f t="shared" si="16"/>
        <v>109</v>
      </c>
      <c r="E55" s="6">
        <f>IF(COUNTIF(I55:XFD55,"&gt;"&amp;0)=0,,HLOOKUP(COUNTIF(I55:XFD55,"&gt;"&amp;0)-1,I$1:XFD55,A55+1,FALSE))</f>
        <v>109</v>
      </c>
      <c r="F55" s="7">
        <f>IF(COUNTIF(I55:XFD55,"&gt;"&amp;0)=0,,HLOOKUP(COUNTIF(I55:XFD55,"&gt;"&amp;0)-MIN($F$1+1,COUNTIF(I55:XFD55,"&gt;"&amp;0)),I$1:XFD55,A55+1,FALSE))</f>
        <v>101</v>
      </c>
      <c r="G55" s="8">
        <f t="shared" si="17"/>
        <v>1.0388493253557416</v>
      </c>
      <c r="H55" s="13" t="s">
        <v>117</v>
      </c>
      <c r="I55" s="9">
        <v>101</v>
      </c>
      <c r="J55" s="9">
        <v>109</v>
      </c>
      <c r="K55" s="9">
        <v>109</v>
      </c>
    </row>
    <row r="56" spans="1:12" x14ac:dyDescent="0.25">
      <c r="A56" s="9">
        <f t="shared" si="10"/>
        <v>55</v>
      </c>
      <c r="B56" s="9">
        <v>1</v>
      </c>
      <c r="C56" s="9">
        <f t="shared" si="15"/>
        <v>0</v>
      </c>
      <c r="D56" s="6">
        <f t="shared" si="16"/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 t="shared" si="17"/>
        <v>0</v>
      </c>
    </row>
    <row r="57" spans="1:12" x14ac:dyDescent="0.25">
      <c r="A57" s="9">
        <f t="shared" si="10"/>
        <v>56</v>
      </c>
      <c r="B57" s="9">
        <v>1</v>
      </c>
      <c r="C57" s="9">
        <f t="shared" si="15"/>
        <v>0</v>
      </c>
      <c r="D57" s="6">
        <f t="shared" si="16"/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 t="shared" si="17"/>
        <v>0</v>
      </c>
    </row>
    <row r="58" spans="1:12" x14ac:dyDescent="0.25">
      <c r="A58" s="9">
        <f t="shared" si="10"/>
        <v>57</v>
      </c>
      <c r="B58" s="9">
        <v>1</v>
      </c>
      <c r="C58" s="9">
        <f t="shared" si="15"/>
        <v>0</v>
      </c>
      <c r="D58" s="6">
        <f t="shared" si="16"/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 t="shared" si="17"/>
        <v>0</v>
      </c>
    </row>
    <row r="59" spans="1:12" x14ac:dyDescent="0.25">
      <c r="A59" s="9">
        <f t="shared" si="10"/>
        <v>58</v>
      </c>
      <c r="B59" s="9">
        <v>1</v>
      </c>
      <c r="C59" s="9">
        <f t="shared" si="15"/>
        <v>0</v>
      </c>
      <c r="D59" s="6">
        <f t="shared" si="16"/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 t="shared" si="17"/>
        <v>0</v>
      </c>
    </row>
    <row r="60" spans="1:12" x14ac:dyDescent="0.25">
      <c r="A60" s="9">
        <f t="shared" si="10"/>
        <v>59</v>
      </c>
      <c r="B60" s="9">
        <v>1</v>
      </c>
      <c r="C60" s="9">
        <f t="shared" si="15"/>
        <v>0</v>
      </c>
      <c r="D60" s="6">
        <f t="shared" si="16"/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 t="shared" si="17"/>
        <v>0</v>
      </c>
    </row>
    <row r="61" spans="1:12" x14ac:dyDescent="0.25">
      <c r="A61" s="9">
        <f t="shared" si="10"/>
        <v>60</v>
      </c>
      <c r="B61" s="9">
        <v>1</v>
      </c>
      <c r="C61" s="9">
        <f t="shared" si="15"/>
        <v>0</v>
      </c>
      <c r="D61" s="6">
        <f t="shared" si="16"/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 t="shared" si="17"/>
        <v>0</v>
      </c>
    </row>
    <row r="62" spans="1:12" x14ac:dyDescent="0.25">
      <c r="A62" s="9">
        <f t="shared" si="10"/>
        <v>61</v>
      </c>
      <c r="B62" s="9">
        <v>1</v>
      </c>
      <c r="C62" s="9">
        <f t="shared" si="15"/>
        <v>0</v>
      </c>
      <c r="D62" s="6">
        <f t="shared" si="16"/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 t="shared" si="17"/>
        <v>0</v>
      </c>
    </row>
    <row r="63" spans="1:12" x14ac:dyDescent="0.25">
      <c r="A63" s="9">
        <f t="shared" si="10"/>
        <v>62</v>
      </c>
      <c r="B63" s="9">
        <v>1</v>
      </c>
      <c r="C63" s="9">
        <f t="shared" si="15"/>
        <v>0</v>
      </c>
      <c r="D63" s="6">
        <f t="shared" si="16"/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 t="shared" si="17"/>
        <v>0</v>
      </c>
    </row>
    <row r="64" spans="1:12" x14ac:dyDescent="0.25">
      <c r="A64" s="9">
        <f t="shared" si="10"/>
        <v>63</v>
      </c>
      <c r="B64" s="9">
        <v>1</v>
      </c>
      <c r="C64" s="9">
        <f t="shared" si="15"/>
        <v>0</v>
      </c>
      <c r="D64" s="6">
        <f t="shared" si="16"/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 t="shared" si="17"/>
        <v>0</v>
      </c>
    </row>
    <row r="65" spans="1:7" x14ac:dyDescent="0.25">
      <c r="A65" s="9">
        <f t="shared" si="10"/>
        <v>64</v>
      </c>
      <c r="B65" s="9">
        <v>1</v>
      </c>
      <c r="C65" s="9">
        <f t="shared" si="15"/>
        <v>0</v>
      </c>
      <c r="D65" s="6">
        <f t="shared" si="16"/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 t="shared" si="17"/>
        <v>0</v>
      </c>
    </row>
    <row r="66" spans="1:7" x14ac:dyDescent="0.25">
      <c r="A66" s="9">
        <f t="shared" si="10"/>
        <v>65</v>
      </c>
      <c r="B66" s="9">
        <v>1</v>
      </c>
      <c r="C66" s="9">
        <f t="shared" ref="C66:C97" si="18">H66</f>
        <v>0</v>
      </c>
      <c r="D66" s="6">
        <f t="shared" ref="D66:D97" si="19">MAX(I66:CL66)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 t="shared" ref="G66:G97" si="20">IF(COUNTIF(I66:XFD66,"&gt;"&amp;0)=0,,(E66/F66)^(1/MIN(COUNTIF(I66:XFD66,"&gt;"&amp;0)-1,$F$1)))</f>
        <v>0</v>
      </c>
    </row>
    <row r="67" spans="1:7" x14ac:dyDescent="0.25">
      <c r="A67" s="9">
        <f t="shared" ref="A67:A130" si="21">A66+1</f>
        <v>66</v>
      </c>
      <c r="B67" s="9">
        <v>1</v>
      </c>
      <c r="C67" s="9">
        <f t="shared" si="18"/>
        <v>0</v>
      </c>
      <c r="D67" s="6">
        <f t="shared" si="19"/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 t="shared" si="20"/>
        <v>0</v>
      </c>
    </row>
    <row r="68" spans="1:7" x14ac:dyDescent="0.25">
      <c r="A68" s="9">
        <f t="shared" si="21"/>
        <v>67</v>
      </c>
      <c r="B68" s="9">
        <v>1</v>
      </c>
      <c r="C68" s="9">
        <f t="shared" si="18"/>
        <v>0</v>
      </c>
      <c r="D68" s="6">
        <f t="shared" si="19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20"/>
        <v>0</v>
      </c>
    </row>
    <row r="69" spans="1:7" x14ac:dyDescent="0.25">
      <c r="A69" s="9">
        <f t="shared" si="21"/>
        <v>68</v>
      </c>
      <c r="B69" s="9">
        <v>1</v>
      </c>
      <c r="C69" s="9">
        <f t="shared" si="18"/>
        <v>0</v>
      </c>
      <c r="D69" s="6">
        <f t="shared" si="19"/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20"/>
        <v>0</v>
      </c>
    </row>
    <row r="70" spans="1:7" x14ac:dyDescent="0.25">
      <c r="A70" s="9">
        <f t="shared" si="21"/>
        <v>69</v>
      </c>
      <c r="B70" s="9">
        <v>1</v>
      </c>
      <c r="C70" s="9">
        <f t="shared" si="18"/>
        <v>0</v>
      </c>
      <c r="D70" s="6">
        <f t="shared" si="19"/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si="20"/>
        <v>0</v>
      </c>
    </row>
    <row r="71" spans="1:7" x14ac:dyDescent="0.25">
      <c r="A71" s="9">
        <f t="shared" si="21"/>
        <v>70</v>
      </c>
      <c r="B71" s="9">
        <v>1</v>
      </c>
      <c r="C71" s="9">
        <f t="shared" si="18"/>
        <v>0</v>
      </c>
      <c r="D71" s="6">
        <f t="shared" si="19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20"/>
        <v>0</v>
      </c>
    </row>
    <row r="72" spans="1:7" x14ac:dyDescent="0.25">
      <c r="A72" s="9">
        <f t="shared" si="21"/>
        <v>71</v>
      </c>
      <c r="B72" s="9">
        <v>1</v>
      </c>
      <c r="C72" s="9">
        <f t="shared" si="18"/>
        <v>0</v>
      </c>
      <c r="D72" s="6">
        <f t="shared" si="19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20"/>
        <v>0</v>
      </c>
    </row>
    <row r="73" spans="1:7" x14ac:dyDescent="0.25">
      <c r="A73" s="9">
        <f t="shared" si="21"/>
        <v>72</v>
      </c>
      <c r="B73" s="9">
        <v>1</v>
      </c>
      <c r="C73" s="9">
        <f t="shared" si="18"/>
        <v>0</v>
      </c>
      <c r="D73" s="6">
        <f t="shared" si="19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20"/>
        <v>0</v>
      </c>
    </row>
    <row r="74" spans="1:7" x14ac:dyDescent="0.25">
      <c r="A74" s="9">
        <f t="shared" si="21"/>
        <v>73</v>
      </c>
      <c r="B74" s="9">
        <v>1</v>
      </c>
      <c r="C74" s="9">
        <f t="shared" si="18"/>
        <v>0</v>
      </c>
      <c r="D74" s="6">
        <f t="shared" si="19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20"/>
        <v>0</v>
      </c>
    </row>
    <row r="75" spans="1:7" x14ac:dyDescent="0.25">
      <c r="A75" s="9">
        <f t="shared" si="21"/>
        <v>74</v>
      </c>
      <c r="B75" s="9">
        <v>1</v>
      </c>
      <c r="C75" s="9">
        <f t="shared" si="18"/>
        <v>0</v>
      </c>
      <c r="D75" s="6">
        <f t="shared" si="19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20"/>
        <v>0</v>
      </c>
    </row>
    <row r="76" spans="1:7" x14ac:dyDescent="0.25">
      <c r="A76" s="9">
        <f t="shared" si="21"/>
        <v>75</v>
      </c>
      <c r="B76" s="9">
        <v>1</v>
      </c>
      <c r="C76" s="9">
        <f t="shared" si="18"/>
        <v>0</v>
      </c>
      <c r="D76" s="6">
        <f t="shared" si="19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20"/>
        <v>0</v>
      </c>
    </row>
    <row r="77" spans="1:7" x14ac:dyDescent="0.25">
      <c r="A77" s="9">
        <f t="shared" si="21"/>
        <v>76</v>
      </c>
      <c r="B77" s="9">
        <v>1</v>
      </c>
      <c r="C77" s="9">
        <f t="shared" si="18"/>
        <v>0</v>
      </c>
      <c r="D77" s="6">
        <f t="shared" si="19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20"/>
        <v>0</v>
      </c>
    </row>
    <row r="78" spans="1:7" x14ac:dyDescent="0.25">
      <c r="A78" s="9">
        <f t="shared" si="21"/>
        <v>77</v>
      </c>
      <c r="B78" s="9">
        <v>1</v>
      </c>
      <c r="C78" s="9">
        <f t="shared" si="18"/>
        <v>0</v>
      </c>
      <c r="D78" s="6">
        <f t="shared" si="19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20"/>
        <v>0</v>
      </c>
    </row>
    <row r="79" spans="1:7" x14ac:dyDescent="0.25">
      <c r="A79" s="9">
        <f t="shared" si="21"/>
        <v>78</v>
      </c>
      <c r="B79" s="9">
        <v>1</v>
      </c>
      <c r="C79" s="9">
        <f t="shared" si="18"/>
        <v>0</v>
      </c>
      <c r="D79" s="6">
        <f t="shared" si="19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20"/>
        <v>0</v>
      </c>
    </row>
    <row r="80" spans="1:7" x14ac:dyDescent="0.25">
      <c r="A80" s="9">
        <f t="shared" si="21"/>
        <v>79</v>
      </c>
      <c r="B80" s="9">
        <v>1</v>
      </c>
      <c r="C80" s="9">
        <f t="shared" si="18"/>
        <v>0</v>
      </c>
      <c r="D80" s="6">
        <f t="shared" si="19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20"/>
        <v>0</v>
      </c>
    </row>
    <row r="81" spans="1:7" x14ac:dyDescent="0.25">
      <c r="A81" s="9">
        <f t="shared" si="21"/>
        <v>80</v>
      </c>
      <c r="B81" s="9">
        <v>1</v>
      </c>
      <c r="C81" s="9">
        <f t="shared" si="18"/>
        <v>0</v>
      </c>
      <c r="D81" s="6">
        <f t="shared" si="19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20"/>
        <v>0</v>
      </c>
    </row>
    <row r="82" spans="1:7" x14ac:dyDescent="0.25">
      <c r="A82" s="9">
        <f t="shared" si="21"/>
        <v>81</v>
      </c>
      <c r="B82" s="9">
        <v>1</v>
      </c>
      <c r="C82" s="9">
        <f t="shared" si="18"/>
        <v>0</v>
      </c>
      <c r="D82" s="6">
        <f t="shared" si="19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20"/>
        <v>0</v>
      </c>
    </row>
    <row r="83" spans="1:7" x14ac:dyDescent="0.25">
      <c r="A83" s="9">
        <f t="shared" si="21"/>
        <v>82</v>
      </c>
      <c r="B83" s="9">
        <v>1</v>
      </c>
      <c r="C83" s="9">
        <f t="shared" si="18"/>
        <v>0</v>
      </c>
      <c r="D83" s="6">
        <f t="shared" si="19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20"/>
        <v>0</v>
      </c>
    </row>
    <row r="84" spans="1:7" x14ac:dyDescent="0.25">
      <c r="A84" s="9">
        <f t="shared" si="21"/>
        <v>83</v>
      </c>
      <c r="B84" s="9">
        <v>1</v>
      </c>
      <c r="C84" s="9">
        <f t="shared" si="18"/>
        <v>0</v>
      </c>
      <c r="D84" s="6">
        <f t="shared" si="19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20"/>
        <v>0</v>
      </c>
    </row>
    <row r="85" spans="1:7" x14ac:dyDescent="0.25">
      <c r="A85" s="9">
        <f t="shared" si="21"/>
        <v>84</v>
      </c>
      <c r="B85" s="9">
        <v>1</v>
      </c>
      <c r="C85" s="9">
        <f t="shared" si="18"/>
        <v>0</v>
      </c>
      <c r="D85" s="6">
        <f t="shared" si="19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20"/>
        <v>0</v>
      </c>
    </row>
    <row r="86" spans="1:7" x14ac:dyDescent="0.25">
      <c r="A86" s="9">
        <f t="shared" si="21"/>
        <v>85</v>
      </c>
      <c r="B86" s="9">
        <v>1</v>
      </c>
      <c r="C86" s="9">
        <f t="shared" si="18"/>
        <v>0</v>
      </c>
      <c r="D86" s="6">
        <f t="shared" si="19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20"/>
        <v>0</v>
      </c>
    </row>
    <row r="87" spans="1:7" x14ac:dyDescent="0.25">
      <c r="A87" s="9">
        <f t="shared" si="21"/>
        <v>86</v>
      </c>
      <c r="B87" s="9">
        <v>1</v>
      </c>
      <c r="C87" s="9">
        <f t="shared" si="18"/>
        <v>0</v>
      </c>
      <c r="D87" s="6">
        <f t="shared" si="19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20"/>
        <v>0</v>
      </c>
    </row>
    <row r="88" spans="1:7" x14ac:dyDescent="0.25">
      <c r="A88" s="9">
        <f t="shared" si="21"/>
        <v>87</v>
      </c>
      <c r="B88" s="9">
        <v>1</v>
      </c>
      <c r="C88" s="9">
        <f t="shared" si="18"/>
        <v>0</v>
      </c>
      <c r="D88" s="6">
        <f t="shared" si="19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20"/>
        <v>0</v>
      </c>
    </row>
    <row r="89" spans="1:7" x14ac:dyDescent="0.25">
      <c r="A89" s="9">
        <f t="shared" si="21"/>
        <v>88</v>
      </c>
      <c r="B89" s="9">
        <v>1</v>
      </c>
      <c r="C89" s="9">
        <f t="shared" si="18"/>
        <v>0</v>
      </c>
      <c r="D89" s="6">
        <f t="shared" si="19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20"/>
        <v>0</v>
      </c>
    </row>
    <row r="90" spans="1:7" x14ac:dyDescent="0.25">
      <c r="A90" s="9">
        <f t="shared" si="21"/>
        <v>89</v>
      </c>
      <c r="B90" s="9">
        <v>1</v>
      </c>
      <c r="C90" s="9">
        <f t="shared" si="18"/>
        <v>0</v>
      </c>
      <c r="D90" s="6">
        <f t="shared" si="19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20"/>
        <v>0</v>
      </c>
    </row>
    <row r="91" spans="1:7" x14ac:dyDescent="0.25">
      <c r="A91" s="9">
        <f t="shared" si="21"/>
        <v>90</v>
      </c>
      <c r="B91" s="9">
        <v>1</v>
      </c>
      <c r="C91" s="9">
        <f t="shared" si="18"/>
        <v>0</v>
      </c>
      <c r="D91" s="6">
        <f t="shared" si="19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20"/>
        <v>0</v>
      </c>
    </row>
    <row r="92" spans="1:7" x14ac:dyDescent="0.25">
      <c r="A92" s="9">
        <f t="shared" si="21"/>
        <v>91</v>
      </c>
      <c r="B92" s="9">
        <v>1</v>
      </c>
      <c r="C92" s="9">
        <f t="shared" si="18"/>
        <v>0</v>
      </c>
      <c r="D92" s="6">
        <f t="shared" si="19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20"/>
        <v>0</v>
      </c>
    </row>
    <row r="93" spans="1:7" x14ac:dyDescent="0.25">
      <c r="A93" s="9">
        <f t="shared" si="21"/>
        <v>92</v>
      </c>
      <c r="B93" s="9">
        <v>1</v>
      </c>
      <c r="C93" s="9">
        <f t="shared" si="18"/>
        <v>0</v>
      </c>
      <c r="D93" s="6">
        <f t="shared" si="19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20"/>
        <v>0</v>
      </c>
    </row>
    <row r="94" spans="1:7" x14ac:dyDescent="0.25">
      <c r="A94" s="9">
        <f t="shared" si="21"/>
        <v>93</v>
      </c>
      <c r="B94" s="9">
        <v>1</v>
      </c>
      <c r="C94" s="9">
        <f t="shared" si="18"/>
        <v>0</v>
      </c>
      <c r="D94" s="6">
        <f t="shared" si="19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20"/>
        <v>0</v>
      </c>
    </row>
    <row r="95" spans="1:7" x14ac:dyDescent="0.25">
      <c r="A95" s="9">
        <f t="shared" si="21"/>
        <v>94</v>
      </c>
      <c r="B95" s="9">
        <v>1</v>
      </c>
      <c r="C95" s="9">
        <f t="shared" si="18"/>
        <v>0</v>
      </c>
      <c r="D95" s="6">
        <f t="shared" si="19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20"/>
        <v>0</v>
      </c>
    </row>
    <row r="96" spans="1:7" x14ac:dyDescent="0.25">
      <c r="A96" s="9">
        <f t="shared" si="21"/>
        <v>95</v>
      </c>
      <c r="B96" s="9">
        <v>1</v>
      </c>
      <c r="C96" s="9">
        <f t="shared" si="18"/>
        <v>0</v>
      </c>
      <c r="D96" s="6">
        <f t="shared" si="19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20"/>
        <v>0</v>
      </c>
    </row>
    <row r="97" spans="1:7" x14ac:dyDescent="0.25">
      <c r="A97" s="9">
        <f t="shared" si="21"/>
        <v>96</v>
      </c>
      <c r="B97" s="9">
        <v>1</v>
      </c>
      <c r="C97" s="9">
        <f t="shared" si="18"/>
        <v>0</v>
      </c>
      <c r="D97" s="6">
        <f t="shared" si="19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20"/>
        <v>0</v>
      </c>
    </row>
    <row r="98" spans="1:7" x14ac:dyDescent="0.25">
      <c r="A98" s="9">
        <f t="shared" si="21"/>
        <v>97</v>
      </c>
      <c r="B98" s="9">
        <v>1</v>
      </c>
      <c r="C98" s="9">
        <f t="shared" ref="C98:C129" si="22">H98</f>
        <v>0</v>
      </c>
      <c r="D98" s="6">
        <f t="shared" ref="D98:D129" si="23"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4">IF(COUNTIF(I98:XFD98,"&gt;"&amp;0)=0,,(E98/F98)^(1/MIN(COUNTIF(I98:XFD98,"&gt;"&amp;0)-1,$F$1)))</f>
        <v>0</v>
      </c>
    </row>
    <row r="99" spans="1:7" x14ac:dyDescent="0.25">
      <c r="A99" s="9">
        <f t="shared" si="21"/>
        <v>98</v>
      </c>
      <c r="B99" s="9">
        <v>1</v>
      </c>
      <c r="C99" s="9">
        <f t="shared" si="22"/>
        <v>0</v>
      </c>
      <c r="D99" s="6">
        <f t="shared" si="23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4"/>
        <v>0</v>
      </c>
    </row>
    <row r="100" spans="1:7" x14ac:dyDescent="0.25">
      <c r="A100" s="9">
        <f t="shared" si="21"/>
        <v>99</v>
      </c>
      <c r="B100" s="9">
        <v>1</v>
      </c>
      <c r="C100" s="9">
        <f t="shared" si="22"/>
        <v>0</v>
      </c>
      <c r="D100" s="6">
        <f t="shared" si="23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4"/>
        <v>0</v>
      </c>
    </row>
    <row r="101" spans="1:7" x14ac:dyDescent="0.25">
      <c r="A101" s="9">
        <f t="shared" si="21"/>
        <v>100</v>
      </c>
      <c r="B101" s="9">
        <v>1</v>
      </c>
      <c r="C101" s="9">
        <f t="shared" si="22"/>
        <v>0</v>
      </c>
      <c r="D101" s="6">
        <f t="shared" si="23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4"/>
        <v>0</v>
      </c>
    </row>
    <row r="102" spans="1:7" x14ac:dyDescent="0.25">
      <c r="A102" s="9">
        <f t="shared" si="21"/>
        <v>101</v>
      </c>
      <c r="B102" s="9">
        <v>1</v>
      </c>
      <c r="C102" s="9">
        <f t="shared" si="22"/>
        <v>0</v>
      </c>
      <c r="D102" s="6">
        <f t="shared" si="23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4"/>
        <v>0</v>
      </c>
    </row>
    <row r="103" spans="1:7" x14ac:dyDescent="0.25">
      <c r="A103" s="9">
        <f t="shared" si="21"/>
        <v>102</v>
      </c>
      <c r="B103" s="9">
        <v>1</v>
      </c>
      <c r="C103" s="9">
        <f t="shared" si="22"/>
        <v>0</v>
      </c>
      <c r="D103" s="6">
        <f t="shared" si="23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4"/>
        <v>0</v>
      </c>
    </row>
    <row r="104" spans="1:7" x14ac:dyDescent="0.25">
      <c r="A104" s="9">
        <f t="shared" si="21"/>
        <v>103</v>
      </c>
      <c r="B104" s="9">
        <v>1</v>
      </c>
      <c r="C104" s="9">
        <f t="shared" si="22"/>
        <v>0</v>
      </c>
      <c r="D104" s="6">
        <f t="shared" si="23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4"/>
        <v>0</v>
      </c>
    </row>
    <row r="105" spans="1:7" x14ac:dyDescent="0.25">
      <c r="A105" s="9">
        <f t="shared" si="21"/>
        <v>104</v>
      </c>
      <c r="B105" s="9">
        <v>1</v>
      </c>
      <c r="C105" s="9">
        <f t="shared" si="22"/>
        <v>0</v>
      </c>
      <c r="D105" s="6">
        <f t="shared" si="23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4"/>
        <v>0</v>
      </c>
    </row>
    <row r="106" spans="1:7" x14ac:dyDescent="0.25">
      <c r="A106" s="9">
        <f t="shared" si="21"/>
        <v>105</v>
      </c>
      <c r="B106" s="9">
        <v>1</v>
      </c>
      <c r="C106" s="9">
        <f t="shared" si="22"/>
        <v>0</v>
      </c>
      <c r="D106" s="6">
        <f t="shared" si="23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4"/>
        <v>0</v>
      </c>
    </row>
    <row r="107" spans="1:7" x14ac:dyDescent="0.25">
      <c r="A107" s="9">
        <f t="shared" si="21"/>
        <v>106</v>
      </c>
      <c r="B107" s="9">
        <v>1</v>
      </c>
      <c r="C107" s="9">
        <f t="shared" si="22"/>
        <v>0</v>
      </c>
      <c r="D107" s="6">
        <f t="shared" si="23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4"/>
        <v>0</v>
      </c>
    </row>
    <row r="108" spans="1:7" x14ac:dyDescent="0.25">
      <c r="A108" s="9">
        <f t="shared" si="21"/>
        <v>107</v>
      </c>
      <c r="B108" s="9">
        <v>1</v>
      </c>
      <c r="C108" s="9">
        <f t="shared" si="22"/>
        <v>0</v>
      </c>
      <c r="D108" s="6">
        <f t="shared" si="23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4"/>
        <v>0</v>
      </c>
    </row>
    <row r="109" spans="1:7" x14ac:dyDescent="0.25">
      <c r="A109" s="9">
        <f t="shared" si="21"/>
        <v>108</v>
      </c>
      <c r="B109" s="9">
        <v>1</v>
      </c>
      <c r="C109" s="9">
        <f t="shared" si="22"/>
        <v>0</v>
      </c>
      <c r="D109" s="6">
        <f t="shared" si="23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4"/>
        <v>0</v>
      </c>
    </row>
    <row r="110" spans="1:7" x14ac:dyDescent="0.25">
      <c r="A110" s="9">
        <f t="shared" si="21"/>
        <v>109</v>
      </c>
      <c r="B110" s="9">
        <v>1</v>
      </c>
      <c r="C110" s="9">
        <f t="shared" si="22"/>
        <v>0</v>
      </c>
      <c r="D110" s="6">
        <f t="shared" si="23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4"/>
        <v>0</v>
      </c>
    </row>
    <row r="111" spans="1:7" x14ac:dyDescent="0.25">
      <c r="A111" s="9">
        <f t="shared" si="21"/>
        <v>110</v>
      </c>
      <c r="B111" s="9">
        <v>1</v>
      </c>
      <c r="C111" s="9">
        <f t="shared" si="22"/>
        <v>0</v>
      </c>
      <c r="D111" s="6">
        <f t="shared" si="23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4"/>
        <v>0</v>
      </c>
    </row>
    <row r="112" spans="1:7" x14ac:dyDescent="0.25">
      <c r="A112" s="9">
        <f t="shared" si="21"/>
        <v>111</v>
      </c>
      <c r="B112" s="9">
        <v>1</v>
      </c>
      <c r="C112" s="9">
        <f t="shared" si="22"/>
        <v>0</v>
      </c>
      <c r="D112" s="6">
        <f t="shared" si="23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4"/>
        <v>0</v>
      </c>
    </row>
    <row r="113" spans="1:7" x14ac:dyDescent="0.25">
      <c r="A113" s="9">
        <f t="shared" si="21"/>
        <v>112</v>
      </c>
      <c r="B113" s="9">
        <v>1</v>
      </c>
      <c r="C113" s="9">
        <f t="shared" si="22"/>
        <v>0</v>
      </c>
      <c r="D113" s="6">
        <f t="shared" si="23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4"/>
        <v>0</v>
      </c>
    </row>
    <row r="114" spans="1:7" x14ac:dyDescent="0.25">
      <c r="A114" s="9">
        <f t="shared" si="21"/>
        <v>113</v>
      </c>
      <c r="B114" s="9">
        <v>1</v>
      </c>
      <c r="C114" s="9">
        <f t="shared" si="22"/>
        <v>0</v>
      </c>
      <c r="D114" s="6">
        <f t="shared" si="23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4"/>
        <v>0</v>
      </c>
    </row>
    <row r="115" spans="1:7" x14ac:dyDescent="0.25">
      <c r="A115" s="9">
        <f t="shared" si="21"/>
        <v>114</v>
      </c>
      <c r="B115" s="9">
        <v>1</v>
      </c>
      <c r="C115" s="9">
        <f t="shared" si="22"/>
        <v>0</v>
      </c>
      <c r="D115" s="6">
        <f t="shared" si="23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4"/>
        <v>0</v>
      </c>
    </row>
    <row r="116" spans="1:7" x14ac:dyDescent="0.25">
      <c r="A116" s="9">
        <f t="shared" si="21"/>
        <v>115</v>
      </c>
      <c r="B116" s="9">
        <v>1</v>
      </c>
      <c r="C116" s="9">
        <f t="shared" si="22"/>
        <v>0</v>
      </c>
      <c r="D116" s="6">
        <f t="shared" si="23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4"/>
        <v>0</v>
      </c>
    </row>
    <row r="117" spans="1:7" x14ac:dyDescent="0.25">
      <c r="A117" s="9">
        <f t="shared" si="21"/>
        <v>116</v>
      </c>
      <c r="B117" s="9">
        <v>1</v>
      </c>
      <c r="C117" s="9">
        <f t="shared" si="22"/>
        <v>0</v>
      </c>
      <c r="D117" s="6">
        <f t="shared" si="23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4"/>
        <v>0</v>
      </c>
    </row>
    <row r="118" spans="1:7" x14ac:dyDescent="0.25">
      <c r="A118" s="9">
        <f t="shared" si="21"/>
        <v>117</v>
      </c>
      <c r="B118" s="9">
        <v>1</v>
      </c>
      <c r="C118" s="9">
        <f t="shared" si="22"/>
        <v>0</v>
      </c>
      <c r="D118" s="6">
        <f t="shared" si="23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4"/>
        <v>0</v>
      </c>
    </row>
    <row r="119" spans="1:7" x14ac:dyDescent="0.25">
      <c r="A119" s="9">
        <f t="shared" si="21"/>
        <v>118</v>
      </c>
      <c r="B119" s="9">
        <v>1</v>
      </c>
      <c r="C119" s="9">
        <f t="shared" si="22"/>
        <v>0</v>
      </c>
      <c r="D119" s="6">
        <f t="shared" si="23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4"/>
        <v>0</v>
      </c>
    </row>
    <row r="120" spans="1:7" x14ac:dyDescent="0.25">
      <c r="A120" s="9">
        <f t="shared" si="21"/>
        <v>119</v>
      </c>
      <c r="B120" s="9">
        <v>1</v>
      </c>
      <c r="C120" s="9">
        <f t="shared" si="22"/>
        <v>0</v>
      </c>
      <c r="D120" s="6">
        <f t="shared" si="23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4"/>
        <v>0</v>
      </c>
    </row>
    <row r="121" spans="1:7" x14ac:dyDescent="0.25">
      <c r="A121" s="9">
        <f t="shared" si="21"/>
        <v>120</v>
      </c>
      <c r="B121" s="9">
        <v>1</v>
      </c>
      <c r="C121" s="9">
        <f t="shared" si="22"/>
        <v>0</v>
      </c>
      <c r="D121" s="6">
        <f t="shared" si="23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4"/>
        <v>0</v>
      </c>
    </row>
    <row r="122" spans="1:7" x14ac:dyDescent="0.25">
      <c r="A122" s="9">
        <f t="shared" si="21"/>
        <v>121</v>
      </c>
      <c r="B122" s="9">
        <v>1</v>
      </c>
      <c r="C122" s="9">
        <f t="shared" si="22"/>
        <v>0</v>
      </c>
      <c r="D122" s="6">
        <f t="shared" si="23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4"/>
        <v>0</v>
      </c>
    </row>
    <row r="123" spans="1:7" x14ac:dyDescent="0.25">
      <c r="A123" s="9">
        <f t="shared" si="21"/>
        <v>122</v>
      </c>
      <c r="B123" s="9">
        <v>1</v>
      </c>
      <c r="C123" s="9">
        <f t="shared" si="22"/>
        <v>0</v>
      </c>
      <c r="D123" s="6">
        <f t="shared" si="23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4"/>
        <v>0</v>
      </c>
    </row>
    <row r="124" spans="1:7" x14ac:dyDescent="0.25">
      <c r="A124" s="9">
        <f t="shared" si="21"/>
        <v>123</v>
      </c>
      <c r="B124" s="9">
        <v>1</v>
      </c>
      <c r="C124" s="9">
        <f t="shared" si="22"/>
        <v>0</v>
      </c>
      <c r="D124" s="6">
        <f t="shared" si="23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4"/>
        <v>0</v>
      </c>
    </row>
    <row r="125" spans="1:7" x14ac:dyDescent="0.25">
      <c r="A125" s="9">
        <f t="shared" si="21"/>
        <v>124</v>
      </c>
      <c r="B125" s="9">
        <v>1</v>
      </c>
      <c r="C125" s="9">
        <f t="shared" si="22"/>
        <v>0</v>
      </c>
      <c r="D125" s="6">
        <f t="shared" si="23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4"/>
        <v>0</v>
      </c>
    </row>
    <row r="126" spans="1:7" x14ac:dyDescent="0.25">
      <c r="A126" s="9">
        <f t="shared" si="21"/>
        <v>125</v>
      </c>
      <c r="B126" s="9">
        <v>1</v>
      </c>
      <c r="C126" s="9">
        <f t="shared" si="22"/>
        <v>0</v>
      </c>
      <c r="D126" s="6">
        <f t="shared" si="23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4"/>
        <v>0</v>
      </c>
    </row>
    <row r="127" spans="1:7" x14ac:dyDescent="0.25">
      <c r="A127" s="9">
        <f t="shared" si="21"/>
        <v>126</v>
      </c>
      <c r="B127" s="9">
        <v>1</v>
      </c>
      <c r="C127" s="9">
        <f t="shared" si="22"/>
        <v>0</v>
      </c>
      <c r="D127" s="6">
        <f t="shared" si="23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4"/>
        <v>0</v>
      </c>
    </row>
    <row r="128" spans="1:7" x14ac:dyDescent="0.25">
      <c r="A128" s="9">
        <f t="shared" si="21"/>
        <v>127</v>
      </c>
      <c r="B128" s="9">
        <v>1</v>
      </c>
      <c r="C128" s="9">
        <f t="shared" si="22"/>
        <v>0</v>
      </c>
      <c r="D128" s="6">
        <f t="shared" si="23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4"/>
        <v>0</v>
      </c>
    </row>
    <row r="129" spans="1:7" x14ac:dyDescent="0.25">
      <c r="A129" s="9">
        <f t="shared" si="21"/>
        <v>128</v>
      </c>
      <c r="B129" s="9">
        <v>1</v>
      </c>
      <c r="C129" s="9">
        <f t="shared" si="22"/>
        <v>0</v>
      </c>
      <c r="D129" s="6">
        <f t="shared" si="23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4"/>
        <v>0</v>
      </c>
    </row>
    <row r="130" spans="1:7" x14ac:dyDescent="0.25">
      <c r="A130" s="9">
        <f t="shared" si="21"/>
        <v>129</v>
      </c>
      <c r="B130" s="9">
        <v>1</v>
      </c>
      <c r="C130" s="9">
        <f t="shared" ref="C130:C161" si="25">H130</f>
        <v>0</v>
      </c>
      <c r="D130" s="6">
        <f t="shared" ref="D130:D161" si="26"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7">IF(COUNTIF(I130:XFD130,"&gt;"&amp;0)=0,,(E130/F130)^(1/MIN(COUNTIF(I130:XFD130,"&gt;"&amp;0)-1,$F$1)))</f>
        <v>0</v>
      </c>
    </row>
    <row r="131" spans="1:7" x14ac:dyDescent="0.25">
      <c r="A131" s="9">
        <f t="shared" ref="A131:A194" si="28">A130+1</f>
        <v>130</v>
      </c>
      <c r="B131" s="9">
        <v>1</v>
      </c>
      <c r="C131" s="9">
        <f t="shared" si="25"/>
        <v>0</v>
      </c>
      <c r="D131" s="6">
        <f t="shared" si="2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7"/>
        <v>0</v>
      </c>
    </row>
    <row r="132" spans="1:7" x14ac:dyDescent="0.25">
      <c r="A132" s="9">
        <f t="shared" si="28"/>
        <v>131</v>
      </c>
      <c r="B132" s="9">
        <v>1</v>
      </c>
      <c r="C132" s="9">
        <f t="shared" si="25"/>
        <v>0</v>
      </c>
      <c r="D132" s="6">
        <f t="shared" si="2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7"/>
        <v>0</v>
      </c>
    </row>
    <row r="133" spans="1:7" x14ac:dyDescent="0.25">
      <c r="A133" s="9">
        <f t="shared" si="28"/>
        <v>132</v>
      </c>
      <c r="B133" s="9">
        <v>1</v>
      </c>
      <c r="C133" s="9">
        <f t="shared" si="25"/>
        <v>0</v>
      </c>
      <c r="D133" s="6">
        <f t="shared" si="26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7"/>
        <v>0</v>
      </c>
    </row>
    <row r="134" spans="1:7" x14ac:dyDescent="0.25">
      <c r="A134" s="9">
        <f t="shared" si="28"/>
        <v>133</v>
      </c>
      <c r="B134" s="9">
        <v>1</v>
      </c>
      <c r="C134" s="9">
        <f t="shared" si="25"/>
        <v>0</v>
      </c>
      <c r="D134" s="6">
        <f t="shared" si="26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7"/>
        <v>0</v>
      </c>
    </row>
    <row r="135" spans="1:7" x14ac:dyDescent="0.25">
      <c r="A135" s="9">
        <f t="shared" si="28"/>
        <v>134</v>
      </c>
      <c r="B135" s="9">
        <v>1</v>
      </c>
      <c r="C135" s="9">
        <f t="shared" si="25"/>
        <v>0</v>
      </c>
      <c r="D135" s="6">
        <f t="shared" si="26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7"/>
        <v>0</v>
      </c>
    </row>
    <row r="136" spans="1:7" x14ac:dyDescent="0.25">
      <c r="A136" s="9">
        <f t="shared" si="28"/>
        <v>135</v>
      </c>
      <c r="B136" s="9">
        <v>1</v>
      </c>
      <c r="C136" s="9">
        <f t="shared" si="25"/>
        <v>0</v>
      </c>
      <c r="D136" s="6">
        <f t="shared" si="26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7"/>
        <v>0</v>
      </c>
    </row>
    <row r="137" spans="1:7" x14ac:dyDescent="0.25">
      <c r="A137" s="9">
        <f t="shared" si="28"/>
        <v>136</v>
      </c>
      <c r="B137" s="9">
        <v>1</v>
      </c>
      <c r="C137" s="9">
        <f t="shared" si="25"/>
        <v>0</v>
      </c>
      <c r="D137" s="6">
        <f t="shared" si="26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7"/>
        <v>0</v>
      </c>
    </row>
    <row r="138" spans="1:7" x14ac:dyDescent="0.25">
      <c r="A138" s="9">
        <f t="shared" si="28"/>
        <v>137</v>
      </c>
      <c r="B138" s="9">
        <v>1</v>
      </c>
      <c r="C138" s="9">
        <f t="shared" si="25"/>
        <v>0</v>
      </c>
      <c r="D138" s="6">
        <f t="shared" si="26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7"/>
        <v>0</v>
      </c>
    </row>
    <row r="139" spans="1:7" x14ac:dyDescent="0.25">
      <c r="A139" s="9">
        <f t="shared" si="28"/>
        <v>138</v>
      </c>
      <c r="B139" s="9">
        <v>1</v>
      </c>
      <c r="C139" s="9">
        <f t="shared" si="25"/>
        <v>0</v>
      </c>
      <c r="D139" s="6">
        <f t="shared" si="26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7"/>
        <v>0</v>
      </c>
    </row>
    <row r="140" spans="1:7" x14ac:dyDescent="0.25">
      <c r="A140" s="9">
        <f t="shared" si="28"/>
        <v>139</v>
      </c>
      <c r="B140" s="9">
        <v>1</v>
      </c>
      <c r="C140" s="9">
        <f t="shared" si="25"/>
        <v>0</v>
      </c>
      <c r="D140" s="6">
        <f t="shared" si="26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7"/>
        <v>0</v>
      </c>
    </row>
    <row r="141" spans="1:7" x14ac:dyDescent="0.25">
      <c r="A141" s="9">
        <f t="shared" si="28"/>
        <v>140</v>
      </c>
      <c r="B141" s="9">
        <v>1</v>
      </c>
      <c r="C141" s="9">
        <f t="shared" si="25"/>
        <v>0</v>
      </c>
      <c r="D141" s="6">
        <f t="shared" si="26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7"/>
        <v>0</v>
      </c>
    </row>
    <row r="142" spans="1:7" x14ac:dyDescent="0.25">
      <c r="A142" s="9">
        <f t="shared" si="28"/>
        <v>141</v>
      </c>
      <c r="B142" s="9">
        <v>1</v>
      </c>
      <c r="C142" s="9">
        <f t="shared" si="25"/>
        <v>0</v>
      </c>
      <c r="D142" s="6">
        <f t="shared" si="26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7"/>
        <v>0</v>
      </c>
    </row>
    <row r="143" spans="1:7" x14ac:dyDescent="0.25">
      <c r="A143" s="9">
        <f t="shared" si="28"/>
        <v>142</v>
      </c>
      <c r="B143" s="9">
        <v>1</v>
      </c>
      <c r="C143" s="9">
        <f t="shared" si="25"/>
        <v>0</v>
      </c>
      <c r="D143" s="6">
        <f t="shared" si="26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7"/>
        <v>0</v>
      </c>
    </row>
    <row r="144" spans="1:7" x14ac:dyDescent="0.25">
      <c r="A144" s="9">
        <f t="shared" si="28"/>
        <v>143</v>
      </c>
      <c r="B144" s="9">
        <v>1</v>
      </c>
      <c r="C144" s="9">
        <f t="shared" si="25"/>
        <v>0</v>
      </c>
      <c r="D144" s="6">
        <f t="shared" si="26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7"/>
        <v>0</v>
      </c>
    </row>
    <row r="145" spans="1:7" x14ac:dyDescent="0.25">
      <c r="A145" s="9">
        <f t="shared" si="28"/>
        <v>144</v>
      </c>
      <c r="B145" s="9">
        <v>1</v>
      </c>
      <c r="C145" s="9">
        <f t="shared" si="25"/>
        <v>0</v>
      </c>
      <c r="D145" s="6">
        <f t="shared" si="26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7"/>
        <v>0</v>
      </c>
    </row>
    <row r="146" spans="1:7" x14ac:dyDescent="0.25">
      <c r="A146" s="9">
        <f t="shared" si="28"/>
        <v>145</v>
      </c>
      <c r="B146" s="9">
        <v>1</v>
      </c>
      <c r="C146" s="9">
        <f t="shared" si="25"/>
        <v>0</v>
      </c>
      <c r="D146" s="6">
        <f t="shared" si="26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7"/>
        <v>0</v>
      </c>
    </row>
    <row r="147" spans="1:7" x14ac:dyDescent="0.25">
      <c r="A147" s="9">
        <f t="shared" si="28"/>
        <v>146</v>
      </c>
      <c r="B147" s="9">
        <v>1</v>
      </c>
      <c r="C147" s="9">
        <f t="shared" si="25"/>
        <v>0</v>
      </c>
      <c r="D147" s="6">
        <f t="shared" si="26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7"/>
        <v>0</v>
      </c>
    </row>
    <row r="148" spans="1:7" x14ac:dyDescent="0.25">
      <c r="A148" s="9">
        <f t="shared" si="28"/>
        <v>147</v>
      </c>
      <c r="B148" s="9">
        <v>1</v>
      </c>
      <c r="C148" s="9">
        <f t="shared" si="25"/>
        <v>0</v>
      </c>
      <c r="D148" s="6">
        <f t="shared" si="26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7"/>
        <v>0</v>
      </c>
    </row>
    <row r="149" spans="1:7" x14ac:dyDescent="0.25">
      <c r="A149" s="9">
        <f t="shared" si="28"/>
        <v>148</v>
      </c>
      <c r="B149" s="9">
        <v>1</v>
      </c>
      <c r="C149" s="9">
        <f t="shared" si="25"/>
        <v>0</v>
      </c>
      <c r="D149" s="6">
        <f t="shared" si="26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7"/>
        <v>0</v>
      </c>
    </row>
    <row r="150" spans="1:7" x14ac:dyDescent="0.25">
      <c r="A150" s="9">
        <f t="shared" si="28"/>
        <v>149</v>
      </c>
      <c r="B150" s="9">
        <v>1</v>
      </c>
      <c r="C150" s="9">
        <f t="shared" si="25"/>
        <v>0</v>
      </c>
      <c r="D150" s="6">
        <f t="shared" si="26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7"/>
        <v>0</v>
      </c>
    </row>
    <row r="151" spans="1:7" x14ac:dyDescent="0.25">
      <c r="A151" s="9">
        <f t="shared" si="28"/>
        <v>150</v>
      </c>
      <c r="B151" s="9">
        <v>1</v>
      </c>
      <c r="C151" s="9">
        <f t="shared" si="25"/>
        <v>0</v>
      </c>
      <c r="D151" s="6">
        <f t="shared" si="26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7"/>
        <v>0</v>
      </c>
    </row>
    <row r="152" spans="1:7" x14ac:dyDescent="0.25">
      <c r="A152" s="9">
        <f t="shared" si="28"/>
        <v>151</v>
      </c>
      <c r="B152" s="9">
        <v>1</v>
      </c>
      <c r="C152" s="9">
        <f t="shared" si="25"/>
        <v>0</v>
      </c>
      <c r="D152" s="6">
        <f t="shared" si="26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7"/>
        <v>0</v>
      </c>
    </row>
    <row r="153" spans="1:7" x14ac:dyDescent="0.25">
      <c r="A153" s="9">
        <f t="shared" si="28"/>
        <v>152</v>
      </c>
      <c r="B153" s="9">
        <v>1</v>
      </c>
      <c r="C153" s="9">
        <f t="shared" si="25"/>
        <v>0</v>
      </c>
      <c r="D153" s="6">
        <f t="shared" si="26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7"/>
        <v>0</v>
      </c>
    </row>
    <row r="154" spans="1:7" x14ac:dyDescent="0.25">
      <c r="A154" s="9">
        <f t="shared" si="28"/>
        <v>153</v>
      </c>
      <c r="B154" s="9">
        <v>1</v>
      </c>
      <c r="C154" s="9">
        <f t="shared" si="25"/>
        <v>0</v>
      </c>
      <c r="D154" s="6">
        <f t="shared" si="26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7"/>
        <v>0</v>
      </c>
    </row>
    <row r="155" spans="1:7" x14ac:dyDescent="0.25">
      <c r="A155" s="9">
        <f t="shared" si="28"/>
        <v>154</v>
      </c>
      <c r="B155" s="9">
        <v>1</v>
      </c>
      <c r="C155" s="9">
        <f t="shared" si="25"/>
        <v>0</v>
      </c>
      <c r="D155" s="6">
        <f t="shared" si="26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7"/>
        <v>0</v>
      </c>
    </row>
    <row r="156" spans="1:7" x14ac:dyDescent="0.25">
      <c r="A156" s="9">
        <f t="shared" si="28"/>
        <v>155</v>
      </c>
      <c r="B156" s="9">
        <v>1</v>
      </c>
      <c r="C156" s="9">
        <f t="shared" si="25"/>
        <v>0</v>
      </c>
      <c r="D156" s="6">
        <f t="shared" si="26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7"/>
        <v>0</v>
      </c>
    </row>
    <row r="157" spans="1:7" x14ac:dyDescent="0.25">
      <c r="A157" s="9">
        <f t="shared" si="28"/>
        <v>156</v>
      </c>
      <c r="B157" s="9">
        <v>1</v>
      </c>
      <c r="C157" s="9">
        <f t="shared" si="25"/>
        <v>0</v>
      </c>
      <c r="D157" s="6">
        <f t="shared" si="26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7"/>
        <v>0</v>
      </c>
    </row>
    <row r="158" spans="1:7" x14ac:dyDescent="0.25">
      <c r="A158" s="9">
        <f t="shared" si="28"/>
        <v>157</v>
      </c>
      <c r="B158" s="9">
        <v>1</v>
      </c>
      <c r="C158" s="9">
        <f t="shared" si="25"/>
        <v>0</v>
      </c>
      <c r="D158" s="6">
        <f t="shared" si="26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7"/>
        <v>0</v>
      </c>
    </row>
    <row r="159" spans="1:7" x14ac:dyDescent="0.25">
      <c r="A159" s="9">
        <f t="shared" si="28"/>
        <v>158</v>
      </c>
      <c r="B159" s="9">
        <v>1</v>
      </c>
      <c r="C159" s="9">
        <f t="shared" si="25"/>
        <v>0</v>
      </c>
      <c r="D159" s="6">
        <f t="shared" si="26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7"/>
        <v>0</v>
      </c>
    </row>
    <row r="160" spans="1:7" x14ac:dyDescent="0.25">
      <c r="A160" s="9">
        <f t="shared" si="28"/>
        <v>159</v>
      </c>
      <c r="B160" s="9">
        <v>1</v>
      </c>
      <c r="C160" s="9">
        <f t="shared" si="25"/>
        <v>0</v>
      </c>
      <c r="D160" s="6">
        <f t="shared" si="26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7"/>
        <v>0</v>
      </c>
    </row>
    <row r="161" spans="1:7" x14ac:dyDescent="0.25">
      <c r="A161" s="9">
        <f t="shared" si="28"/>
        <v>160</v>
      </c>
      <c r="B161" s="9">
        <v>1</v>
      </c>
      <c r="C161" s="9">
        <f t="shared" si="25"/>
        <v>0</v>
      </c>
      <c r="D161" s="6">
        <f t="shared" si="26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7"/>
        <v>0</v>
      </c>
    </row>
    <row r="162" spans="1:7" x14ac:dyDescent="0.25">
      <c r="A162" s="9">
        <f t="shared" si="28"/>
        <v>161</v>
      </c>
      <c r="B162" s="9">
        <v>1</v>
      </c>
      <c r="C162" s="9">
        <f t="shared" ref="C162:C193" si="29">H162</f>
        <v>0</v>
      </c>
      <c r="D162" s="6">
        <f t="shared" ref="D162:D193" si="30"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31">IF(COUNTIF(I162:XFD162,"&gt;"&amp;0)=0,,(E162/F162)^(1/MIN(COUNTIF(I162:XFD162,"&gt;"&amp;0)-1,$F$1)))</f>
        <v>0</v>
      </c>
    </row>
    <row r="163" spans="1:7" x14ac:dyDescent="0.25">
      <c r="A163" s="9">
        <f t="shared" si="28"/>
        <v>162</v>
      </c>
      <c r="B163" s="9">
        <v>1</v>
      </c>
      <c r="C163" s="9">
        <f t="shared" si="29"/>
        <v>0</v>
      </c>
      <c r="D163" s="6">
        <f t="shared" si="3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31"/>
        <v>0</v>
      </c>
    </row>
    <row r="164" spans="1:7" x14ac:dyDescent="0.25">
      <c r="A164" s="9">
        <f t="shared" si="28"/>
        <v>163</v>
      </c>
      <c r="B164" s="9">
        <v>1</v>
      </c>
      <c r="C164" s="9">
        <f t="shared" si="29"/>
        <v>0</v>
      </c>
      <c r="D164" s="6">
        <f t="shared" si="3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31"/>
        <v>0</v>
      </c>
    </row>
    <row r="165" spans="1:7" x14ac:dyDescent="0.25">
      <c r="A165" s="9">
        <f t="shared" si="28"/>
        <v>164</v>
      </c>
      <c r="B165" s="9">
        <v>1</v>
      </c>
      <c r="C165" s="9">
        <f t="shared" si="29"/>
        <v>0</v>
      </c>
      <c r="D165" s="6">
        <f t="shared" si="3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31"/>
        <v>0</v>
      </c>
    </row>
    <row r="166" spans="1:7" x14ac:dyDescent="0.25">
      <c r="A166" s="9">
        <f t="shared" si="28"/>
        <v>165</v>
      </c>
      <c r="B166" s="9">
        <v>1</v>
      </c>
      <c r="C166" s="9">
        <f t="shared" si="29"/>
        <v>0</v>
      </c>
      <c r="D166" s="6">
        <f t="shared" si="3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31"/>
        <v>0</v>
      </c>
    </row>
    <row r="167" spans="1:7" x14ac:dyDescent="0.25">
      <c r="A167" s="9">
        <f t="shared" si="28"/>
        <v>166</v>
      </c>
      <c r="B167" s="9">
        <v>1</v>
      </c>
      <c r="C167" s="9">
        <f t="shared" si="29"/>
        <v>0</v>
      </c>
      <c r="D167" s="6">
        <f t="shared" si="3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31"/>
        <v>0</v>
      </c>
    </row>
    <row r="168" spans="1:7" x14ac:dyDescent="0.25">
      <c r="A168" s="9">
        <f t="shared" si="28"/>
        <v>167</v>
      </c>
      <c r="B168" s="9">
        <v>1</v>
      </c>
      <c r="C168" s="9">
        <f t="shared" si="29"/>
        <v>0</v>
      </c>
      <c r="D168" s="6">
        <f t="shared" si="3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31"/>
        <v>0</v>
      </c>
    </row>
    <row r="169" spans="1:7" x14ac:dyDescent="0.25">
      <c r="A169" s="9">
        <f t="shared" si="28"/>
        <v>168</v>
      </c>
      <c r="B169" s="9">
        <v>1</v>
      </c>
      <c r="C169" s="9">
        <f t="shared" si="29"/>
        <v>0</v>
      </c>
      <c r="D169" s="6">
        <f t="shared" si="3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31"/>
        <v>0</v>
      </c>
    </row>
    <row r="170" spans="1:7" x14ac:dyDescent="0.25">
      <c r="A170" s="9">
        <f t="shared" si="28"/>
        <v>169</v>
      </c>
      <c r="B170" s="9">
        <v>1</v>
      </c>
      <c r="C170" s="9">
        <f t="shared" si="29"/>
        <v>0</v>
      </c>
      <c r="D170" s="6">
        <f t="shared" si="3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31"/>
        <v>0</v>
      </c>
    </row>
    <row r="171" spans="1:7" x14ac:dyDescent="0.25">
      <c r="A171" s="9">
        <f t="shared" si="28"/>
        <v>170</v>
      </c>
      <c r="B171" s="9">
        <v>1</v>
      </c>
      <c r="C171" s="9">
        <f t="shared" si="29"/>
        <v>0</v>
      </c>
      <c r="D171" s="6">
        <f t="shared" si="3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31"/>
        <v>0</v>
      </c>
    </row>
    <row r="172" spans="1:7" x14ac:dyDescent="0.25">
      <c r="A172" s="9">
        <f t="shared" si="28"/>
        <v>171</v>
      </c>
      <c r="B172" s="9">
        <v>1</v>
      </c>
      <c r="C172" s="9">
        <f t="shared" si="29"/>
        <v>0</v>
      </c>
      <c r="D172" s="6">
        <f t="shared" si="3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31"/>
        <v>0</v>
      </c>
    </row>
    <row r="173" spans="1:7" x14ac:dyDescent="0.25">
      <c r="A173" s="9">
        <f t="shared" si="28"/>
        <v>172</v>
      </c>
      <c r="B173" s="9">
        <v>1</v>
      </c>
      <c r="C173" s="9">
        <f t="shared" si="29"/>
        <v>0</v>
      </c>
      <c r="D173" s="6">
        <f t="shared" si="3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31"/>
        <v>0</v>
      </c>
    </row>
    <row r="174" spans="1:7" x14ac:dyDescent="0.25">
      <c r="A174" s="9">
        <f t="shared" si="28"/>
        <v>173</v>
      </c>
      <c r="B174" s="9">
        <v>1</v>
      </c>
      <c r="C174" s="9">
        <f t="shared" si="29"/>
        <v>0</v>
      </c>
      <c r="D174" s="6">
        <f t="shared" si="3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31"/>
        <v>0</v>
      </c>
    </row>
    <row r="175" spans="1:7" x14ac:dyDescent="0.25">
      <c r="A175" s="9">
        <f t="shared" si="28"/>
        <v>174</v>
      </c>
      <c r="B175" s="9">
        <v>1</v>
      </c>
      <c r="C175" s="9">
        <f t="shared" si="29"/>
        <v>0</v>
      </c>
      <c r="D175" s="6">
        <f t="shared" si="3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31"/>
        <v>0</v>
      </c>
    </row>
    <row r="176" spans="1:7" x14ac:dyDescent="0.25">
      <c r="A176" s="9">
        <f t="shared" si="28"/>
        <v>175</v>
      </c>
      <c r="B176" s="9">
        <v>1</v>
      </c>
      <c r="C176" s="9">
        <f t="shared" si="29"/>
        <v>0</v>
      </c>
      <c r="D176" s="6">
        <f t="shared" si="3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31"/>
        <v>0</v>
      </c>
    </row>
    <row r="177" spans="1:7" x14ac:dyDescent="0.25">
      <c r="A177" s="9">
        <f t="shared" si="28"/>
        <v>176</v>
      </c>
      <c r="B177" s="9">
        <v>1</v>
      </c>
      <c r="C177" s="9">
        <f t="shared" si="29"/>
        <v>0</v>
      </c>
      <c r="D177" s="6">
        <f t="shared" si="3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31"/>
        <v>0</v>
      </c>
    </row>
    <row r="178" spans="1:7" x14ac:dyDescent="0.25">
      <c r="A178" s="9">
        <f t="shared" si="28"/>
        <v>177</v>
      </c>
      <c r="B178" s="9">
        <v>1</v>
      </c>
      <c r="C178" s="9">
        <f t="shared" si="29"/>
        <v>0</v>
      </c>
      <c r="D178" s="6">
        <f t="shared" si="3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31"/>
        <v>0</v>
      </c>
    </row>
    <row r="179" spans="1:7" x14ac:dyDescent="0.25">
      <c r="A179" s="9">
        <f t="shared" si="28"/>
        <v>178</v>
      </c>
      <c r="B179" s="9">
        <v>1</v>
      </c>
      <c r="C179" s="9">
        <f t="shared" si="29"/>
        <v>0</v>
      </c>
      <c r="D179" s="6">
        <f t="shared" si="3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31"/>
        <v>0</v>
      </c>
    </row>
    <row r="180" spans="1:7" x14ac:dyDescent="0.25">
      <c r="A180" s="9">
        <f t="shared" si="28"/>
        <v>179</v>
      </c>
      <c r="B180" s="9">
        <v>1</v>
      </c>
      <c r="C180" s="9">
        <f t="shared" si="29"/>
        <v>0</v>
      </c>
      <c r="D180" s="6">
        <f t="shared" si="3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31"/>
        <v>0</v>
      </c>
    </row>
    <row r="181" spans="1:7" x14ac:dyDescent="0.25">
      <c r="A181" s="9">
        <f t="shared" si="28"/>
        <v>180</v>
      </c>
      <c r="B181" s="9">
        <v>1</v>
      </c>
      <c r="C181" s="9">
        <f t="shared" si="29"/>
        <v>0</v>
      </c>
      <c r="D181" s="6">
        <f t="shared" si="3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31"/>
        <v>0</v>
      </c>
    </row>
    <row r="182" spans="1:7" x14ac:dyDescent="0.25">
      <c r="A182" s="9">
        <f t="shared" si="28"/>
        <v>181</v>
      </c>
      <c r="B182" s="9">
        <v>1</v>
      </c>
      <c r="C182" s="9">
        <f t="shared" si="29"/>
        <v>0</v>
      </c>
      <c r="D182" s="6">
        <f t="shared" si="3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31"/>
        <v>0</v>
      </c>
    </row>
    <row r="183" spans="1:7" x14ac:dyDescent="0.25">
      <c r="A183" s="9">
        <f t="shared" si="28"/>
        <v>182</v>
      </c>
      <c r="B183" s="9">
        <v>1</v>
      </c>
      <c r="C183" s="9">
        <f t="shared" si="29"/>
        <v>0</v>
      </c>
      <c r="D183" s="6">
        <f t="shared" si="3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31"/>
        <v>0</v>
      </c>
    </row>
    <row r="184" spans="1:7" x14ac:dyDescent="0.25">
      <c r="A184" s="9">
        <f t="shared" si="28"/>
        <v>183</v>
      </c>
      <c r="B184" s="9">
        <v>1</v>
      </c>
      <c r="C184" s="9">
        <f t="shared" si="29"/>
        <v>0</v>
      </c>
      <c r="D184" s="6">
        <f t="shared" si="3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31"/>
        <v>0</v>
      </c>
    </row>
    <row r="185" spans="1:7" x14ac:dyDescent="0.25">
      <c r="A185" s="9">
        <f t="shared" si="28"/>
        <v>184</v>
      </c>
      <c r="B185" s="9">
        <v>1</v>
      </c>
      <c r="C185" s="9">
        <f t="shared" si="29"/>
        <v>0</v>
      </c>
      <c r="D185" s="6">
        <f t="shared" si="3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31"/>
        <v>0</v>
      </c>
    </row>
    <row r="186" spans="1:7" x14ac:dyDescent="0.25">
      <c r="A186" s="9">
        <f t="shared" si="28"/>
        <v>185</v>
      </c>
      <c r="B186" s="9">
        <v>1</v>
      </c>
      <c r="C186" s="9">
        <f t="shared" si="29"/>
        <v>0</v>
      </c>
      <c r="D186" s="6">
        <f t="shared" si="3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31"/>
        <v>0</v>
      </c>
    </row>
    <row r="187" spans="1:7" x14ac:dyDescent="0.25">
      <c r="A187" s="9">
        <f t="shared" si="28"/>
        <v>186</v>
      </c>
      <c r="B187" s="9">
        <v>1</v>
      </c>
      <c r="C187" s="9">
        <f t="shared" si="29"/>
        <v>0</v>
      </c>
      <c r="D187" s="6">
        <f t="shared" si="3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31"/>
        <v>0</v>
      </c>
    </row>
    <row r="188" spans="1:7" x14ac:dyDescent="0.25">
      <c r="A188" s="9">
        <f t="shared" si="28"/>
        <v>187</v>
      </c>
      <c r="B188" s="9">
        <v>1</v>
      </c>
      <c r="C188" s="9">
        <f t="shared" si="29"/>
        <v>0</v>
      </c>
      <c r="D188" s="6">
        <f t="shared" si="3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31"/>
        <v>0</v>
      </c>
    </row>
    <row r="189" spans="1:7" x14ac:dyDescent="0.25">
      <c r="A189" s="9">
        <f t="shared" si="28"/>
        <v>188</v>
      </c>
      <c r="B189" s="9">
        <v>1</v>
      </c>
      <c r="C189" s="9">
        <f t="shared" si="29"/>
        <v>0</v>
      </c>
      <c r="D189" s="6">
        <f t="shared" si="3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31"/>
        <v>0</v>
      </c>
    </row>
    <row r="190" spans="1:7" x14ac:dyDescent="0.25">
      <c r="A190" s="9">
        <f t="shared" si="28"/>
        <v>189</v>
      </c>
      <c r="B190" s="9">
        <v>1</v>
      </c>
      <c r="C190" s="9">
        <f t="shared" si="29"/>
        <v>0</v>
      </c>
      <c r="D190" s="6">
        <f t="shared" si="3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31"/>
        <v>0</v>
      </c>
    </row>
    <row r="191" spans="1:7" x14ac:dyDescent="0.25">
      <c r="A191" s="9">
        <f t="shared" si="28"/>
        <v>190</v>
      </c>
      <c r="B191" s="9">
        <v>1</v>
      </c>
      <c r="C191" s="9">
        <f t="shared" si="29"/>
        <v>0</v>
      </c>
      <c r="D191" s="6">
        <f t="shared" si="3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31"/>
        <v>0</v>
      </c>
    </row>
    <row r="192" spans="1:7" x14ac:dyDescent="0.25">
      <c r="A192" s="9">
        <f t="shared" si="28"/>
        <v>191</v>
      </c>
      <c r="B192" s="9">
        <v>1</v>
      </c>
      <c r="C192" s="9">
        <f t="shared" si="29"/>
        <v>0</v>
      </c>
      <c r="D192" s="6">
        <f t="shared" si="3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31"/>
        <v>0</v>
      </c>
    </row>
    <row r="193" spans="1:7" x14ac:dyDescent="0.25">
      <c r="A193" s="9">
        <f t="shared" si="28"/>
        <v>192</v>
      </c>
      <c r="B193" s="9">
        <v>1</v>
      </c>
      <c r="C193" s="9">
        <f t="shared" si="29"/>
        <v>0</v>
      </c>
      <c r="D193" s="6">
        <f t="shared" si="3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31"/>
        <v>0</v>
      </c>
    </row>
    <row r="194" spans="1:7" x14ac:dyDescent="0.25">
      <c r="A194" s="9">
        <f t="shared" si="28"/>
        <v>193</v>
      </c>
      <c r="B194" s="9">
        <v>1</v>
      </c>
      <c r="C194" s="9">
        <f t="shared" ref="C194:C200" si="32">H194</f>
        <v>0</v>
      </c>
      <c r="D194" s="6">
        <f t="shared" ref="D194:D200" si="33"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4">IF(COUNTIF(I194:XFD194,"&gt;"&amp;0)=0,,(E194/F194)^(1/MIN(COUNTIF(I194:XFD194,"&gt;"&amp;0)-1,$F$1)))</f>
        <v>0</v>
      </c>
    </row>
    <row r="195" spans="1:7" x14ac:dyDescent="0.25">
      <c r="A195" s="9">
        <f t="shared" ref="A195:A200" si="35">A194+1</f>
        <v>194</v>
      </c>
      <c r="B195" s="9">
        <v>1</v>
      </c>
      <c r="C195" s="9">
        <f t="shared" si="32"/>
        <v>0</v>
      </c>
      <c r="D195" s="6">
        <f t="shared" si="3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4"/>
        <v>0</v>
      </c>
    </row>
    <row r="196" spans="1:7" x14ac:dyDescent="0.25">
      <c r="A196" s="9">
        <f t="shared" si="35"/>
        <v>195</v>
      </c>
      <c r="B196" s="9">
        <v>1</v>
      </c>
      <c r="C196" s="9">
        <f t="shared" si="32"/>
        <v>0</v>
      </c>
      <c r="D196" s="6">
        <f t="shared" si="3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4"/>
        <v>0</v>
      </c>
    </row>
    <row r="197" spans="1:7" x14ac:dyDescent="0.25">
      <c r="A197" s="9">
        <f t="shared" si="35"/>
        <v>196</v>
      </c>
      <c r="B197" s="9">
        <v>1</v>
      </c>
      <c r="C197" s="9">
        <f t="shared" si="32"/>
        <v>0</v>
      </c>
      <c r="D197" s="6">
        <f t="shared" si="3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4"/>
        <v>0</v>
      </c>
    </row>
    <row r="198" spans="1:7" x14ac:dyDescent="0.25">
      <c r="A198" s="9">
        <f t="shared" si="35"/>
        <v>197</v>
      </c>
      <c r="B198" s="9">
        <v>1</v>
      </c>
      <c r="C198" s="9">
        <f t="shared" si="32"/>
        <v>0</v>
      </c>
      <c r="D198" s="6">
        <f t="shared" si="33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4"/>
        <v>0</v>
      </c>
    </row>
    <row r="199" spans="1:7" x14ac:dyDescent="0.25">
      <c r="A199" s="9">
        <f t="shared" si="35"/>
        <v>198</v>
      </c>
      <c r="B199" s="9">
        <v>1</v>
      </c>
      <c r="C199" s="9">
        <f t="shared" si="32"/>
        <v>0</v>
      </c>
      <c r="D199" s="6">
        <f t="shared" si="3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4"/>
        <v>0</v>
      </c>
    </row>
    <row r="200" spans="1:7" x14ac:dyDescent="0.25">
      <c r="A200" s="9">
        <f t="shared" si="35"/>
        <v>199</v>
      </c>
      <c r="B200" s="9">
        <v>1</v>
      </c>
      <c r="C200" s="9">
        <f t="shared" si="32"/>
        <v>0</v>
      </c>
      <c r="D200" s="6">
        <f t="shared" si="3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4"/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D1"/>
    </sortState>
  </autoFilter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XFD127"/>
  <sheetViews>
    <sheetView workbookViewId="0">
      <selection activeCell="F3" sqref="F3:H3"/>
    </sheetView>
  </sheetViews>
  <sheetFormatPr defaultRowHeight="14.4" x14ac:dyDescent="0.3"/>
  <cols>
    <col min="1" max="3" width="8.88671875" style="64"/>
    <col min="4" max="5" width="10.5546875" style="64" bestFit="1" customWidth="1"/>
    <col min="6" max="8" width="8.88671875" style="64"/>
    <col min="9" max="9" width="17.77734375" style="64" bestFit="1" customWidth="1"/>
    <col min="10" max="10" width="10.5546875" style="64" bestFit="1" customWidth="1"/>
    <col min="11" max="16384" width="8.88671875" style="64"/>
  </cols>
  <sheetData>
    <row r="1" spans="1:10 16384:16384" x14ac:dyDescent="0.3">
      <c r="C1" s="64" t="s">
        <v>516</v>
      </c>
      <c r="D1" s="64">
        <v>100</v>
      </c>
      <c r="E1" s="64" t="s">
        <v>606</v>
      </c>
      <c r="F1" s="64" t="s">
        <v>481</v>
      </c>
      <c r="G1" s="64" t="s">
        <v>640</v>
      </c>
      <c r="H1" s="64" t="s">
        <v>641</v>
      </c>
      <c r="I1" s="64" t="s">
        <v>634</v>
      </c>
      <c r="J1" s="64" t="s">
        <v>630</v>
      </c>
    </row>
    <row r="2" spans="1:10 16384:16384" x14ac:dyDescent="0.3">
      <c r="A2" s="64">
        <v>1</v>
      </c>
      <c r="B2" s="72" t="s">
        <v>365</v>
      </c>
      <c r="C2" s="72" t="s">
        <v>365</v>
      </c>
      <c r="D2" s="64">
        <v>548</v>
      </c>
      <c r="E2" s="73">
        <f ca="1">OFFSET(CumulativeTotal!A2,-A2,MATCH('Country Summary'!D2,CumulativeTotal!B2:BT2,0))</f>
        <v>43852</v>
      </c>
      <c r="F2" s="43">
        <f>MAX(CumulativeTotal!2:2)</f>
        <v>81058</v>
      </c>
      <c r="G2" s="43">
        <f>MAX(CumulativeRecovered!2:2)</f>
        <v>68798</v>
      </c>
      <c r="H2" s="43">
        <f>MAX(CumulativeDead!2:2)</f>
        <v>3230</v>
      </c>
      <c r="I2" s="73">
        <v>43853</v>
      </c>
      <c r="J2" s="73">
        <v>43853</v>
      </c>
    </row>
    <row r="3" spans="1:10 16384:16384" x14ac:dyDescent="0.3">
      <c r="A3" s="64">
        <v>2</v>
      </c>
      <c r="B3" s="72" t="s">
        <v>85</v>
      </c>
      <c r="C3" s="72" t="s">
        <v>85</v>
      </c>
      <c r="D3" s="64">
        <f>VLOOKUP(C3,DaysSince100!H:I,2,FALSE)</f>
        <v>155</v>
      </c>
      <c r="E3" s="73">
        <f ca="1">OFFSET(CumulativeTotal!A3,-A3,MATCH('Country Summary'!D3,CumulativeTotal!B3:BT3,0))</f>
        <v>43884</v>
      </c>
      <c r="F3" s="43">
        <f>MAX(CumulativeTotal!3:3)</f>
        <v>31506</v>
      </c>
      <c r="G3" s="43">
        <f>MAX(CumulativeRecovered!3:3)</f>
        <v>2941</v>
      </c>
      <c r="H3" s="43">
        <f>MAX(CumulativeDead!3:3)</f>
        <v>2503</v>
      </c>
      <c r="I3" s="73">
        <v>43886</v>
      </c>
      <c r="J3" s="73">
        <v>43886</v>
      </c>
    </row>
    <row r="4" spans="1:10 16384:16384" x14ac:dyDescent="0.3">
      <c r="A4" s="64">
        <v>3</v>
      </c>
      <c r="B4" s="72" t="s">
        <v>366</v>
      </c>
      <c r="C4" s="72" t="s">
        <v>366</v>
      </c>
      <c r="D4" s="64">
        <f>VLOOKUP(C4,DaysSince100!H:I,2,FALSE)</f>
        <v>139</v>
      </c>
      <c r="E4" s="73">
        <f ca="1">OFFSET(CumulativeTotal!A4,-A4,MATCH('Country Summary'!D4,CumulativeTotal!B4:BT4,0))</f>
        <v>43887</v>
      </c>
      <c r="F4" s="43">
        <f>MAX(CumulativeTotal!4:4)</f>
        <v>16169</v>
      </c>
      <c r="G4" s="43">
        <f>MAX(CumulativeRecovered!4:4)</f>
        <v>5389</v>
      </c>
      <c r="H4" s="43">
        <f>MAX(CumulativeDead!4:4)</f>
        <v>988</v>
      </c>
    </row>
    <row r="5" spans="1:10 16384:16384" x14ac:dyDescent="0.3">
      <c r="A5" s="64">
        <v>4</v>
      </c>
      <c r="B5" s="72" t="s">
        <v>514</v>
      </c>
      <c r="C5" s="72" t="s">
        <v>367</v>
      </c>
      <c r="D5" s="64">
        <f>VLOOKUP(C5,DaysSince100!H:I,2,FALSE)</f>
        <v>104</v>
      </c>
      <c r="E5" s="73">
        <f ca="1">OFFSET(CumulativeTotal!A5,-A5,MATCH('Country Summary'!D5,CumulativeTotal!B5:BT5,0))</f>
        <v>43881</v>
      </c>
      <c r="F5" s="43">
        <f>MAX(CumulativeTotal!5:5)</f>
        <v>8320</v>
      </c>
      <c r="G5" s="43">
        <f>MAX(CumulativeRecovered!5:5)</f>
        <v>1407</v>
      </c>
      <c r="H5" s="43">
        <f>MAX(CumulativeDead!5:5)</f>
        <v>81</v>
      </c>
      <c r="I5" s="73">
        <v>43882</v>
      </c>
      <c r="J5" s="73">
        <v>43881</v>
      </c>
    </row>
    <row r="6" spans="1:10 16384:16384" x14ac:dyDescent="0.3">
      <c r="A6" s="64">
        <v>5</v>
      </c>
      <c r="B6" s="72" t="s">
        <v>87</v>
      </c>
      <c r="C6" s="72" t="s">
        <v>87</v>
      </c>
      <c r="D6" s="64">
        <f>VLOOKUP(C6,DaysSince100!H:I,2,FALSE)</f>
        <v>120</v>
      </c>
      <c r="E6" s="73">
        <f ca="1">OFFSET(CumulativeTotal!A6,-A6,MATCH('Country Summary'!D6,CumulativeTotal!B6:BT6,0))</f>
        <v>43892</v>
      </c>
      <c r="F6" s="43">
        <f>MAX(CumulativeTotal!6:6)</f>
        <v>11748</v>
      </c>
      <c r="G6" s="43">
        <f>MAX(CumulativeRecovered!6:6)</f>
        <v>1028</v>
      </c>
      <c r="H6" s="43">
        <f>MAX(CumulativeDead!6:6)</f>
        <v>533</v>
      </c>
      <c r="I6" s="73">
        <v>43905</v>
      </c>
      <c r="J6" s="73">
        <v>43900</v>
      </c>
    </row>
    <row r="7" spans="1:10 16384:16384" x14ac:dyDescent="0.3">
      <c r="A7" s="64">
        <v>6</v>
      </c>
      <c r="B7" s="72" t="s">
        <v>80</v>
      </c>
      <c r="C7" s="72" t="s">
        <v>80</v>
      </c>
      <c r="D7" s="64">
        <f>VLOOKUP(C7,DaysSince100!H:I,2,FALSE)</f>
        <v>130</v>
      </c>
      <c r="E7" s="73">
        <f ca="1">OFFSET(CumulativeTotal!A7,-A7,MATCH('Country Summary'!D7,CumulativeTotal!B7:BT7,0))</f>
        <v>43891</v>
      </c>
      <c r="F7" s="43">
        <f>MAX(CumulativeTotal!7:7)</f>
        <v>9257</v>
      </c>
      <c r="G7" s="43">
        <f>MAX(CumulativeRecovered!7:7)</f>
        <v>67</v>
      </c>
      <c r="H7" s="43">
        <f>MAX(CumulativeDead!7:7)</f>
        <v>24</v>
      </c>
      <c r="I7" s="73">
        <v>43907</v>
      </c>
      <c r="J7" s="73">
        <v>43900</v>
      </c>
    </row>
    <row r="8" spans="1:10 16384:16384" x14ac:dyDescent="0.3">
      <c r="A8" s="64">
        <v>7</v>
      </c>
      <c r="B8" s="72" t="s">
        <v>68</v>
      </c>
      <c r="C8" s="72" t="s">
        <v>68</v>
      </c>
      <c r="D8" s="64">
        <f>VLOOKUP(C8,DaysSince100!H:I,2,FALSE)</f>
        <v>130</v>
      </c>
      <c r="E8" s="73">
        <f ca="1">OFFSET(CumulativeTotal!A8,-A8,MATCH('Country Summary'!D8,CumulativeTotal!B8:BT8,0))</f>
        <v>43891</v>
      </c>
      <c r="F8" s="43">
        <f>MAX(CumulativeTotal!8:8)</f>
        <v>7699</v>
      </c>
      <c r="G8" s="43">
        <f>MAX(CumulativeRecovered!8:8)</f>
        <v>12</v>
      </c>
      <c r="H8" s="43">
        <f>MAX(CumulativeDead!8:8)</f>
        <v>148</v>
      </c>
      <c r="I8" s="73">
        <v>43907</v>
      </c>
      <c r="J8" s="73">
        <v>43900</v>
      </c>
    </row>
    <row r="9" spans="1:10 16384:16384" x14ac:dyDescent="0.3">
      <c r="A9" s="64">
        <v>8</v>
      </c>
      <c r="B9" s="72" t="s">
        <v>65</v>
      </c>
      <c r="C9" s="72" t="s">
        <v>65</v>
      </c>
      <c r="D9" s="64">
        <f>VLOOKUP(C9,DaysSince100!H:I,2,FALSE)</f>
        <v>118</v>
      </c>
      <c r="E9" s="73">
        <f ca="1">OFFSET(CumulativeTotal!A9,-A9,MATCH('Country Summary'!D9,CumulativeTotal!B9:BT9,0))</f>
        <v>43893</v>
      </c>
      <c r="F9" s="43">
        <f>MAX(CumulativeTotal!9:9)</f>
        <v>6421</v>
      </c>
      <c r="G9" s="43">
        <f>MAX(CumulativeRecovered!9:9)</f>
        <v>17</v>
      </c>
      <c r="H9" s="43">
        <f>MAX(CumulativeDead!9:9)</f>
        <v>108</v>
      </c>
      <c r="J9" s="73">
        <v>43904</v>
      </c>
    </row>
    <row r="10" spans="1:10 16384:16384" x14ac:dyDescent="0.3">
      <c r="A10" s="64">
        <v>9</v>
      </c>
      <c r="B10" s="72" t="s">
        <v>104</v>
      </c>
      <c r="C10" s="72" t="s">
        <v>104</v>
      </c>
      <c r="D10" s="64">
        <f>VLOOKUP(C10,DaysSince100!H:I,2,FALSE)</f>
        <v>114</v>
      </c>
      <c r="E10" s="73">
        <f ca="1">OFFSET(CumulativeTotal!A10,-A10,MATCH('Country Summary'!D10,CumulativeTotal!B10:BT10,0))</f>
        <v>43895</v>
      </c>
      <c r="F10" s="43">
        <f>MAX(CumulativeTotal!10:10)</f>
        <v>2700</v>
      </c>
      <c r="G10" s="43">
        <f>MAX(CumulativeRecovered!10:10)</f>
        <v>4</v>
      </c>
      <c r="H10" s="43">
        <f>MAX(CumulativeDead!10:10)</f>
        <v>27</v>
      </c>
      <c r="I10" s="73">
        <v>43903</v>
      </c>
      <c r="J10" s="73">
        <v>43903</v>
      </c>
    </row>
    <row r="11" spans="1:10 16384:16384" x14ac:dyDescent="0.3">
      <c r="A11" s="64">
        <v>10</v>
      </c>
      <c r="B11" s="72" t="s">
        <v>112</v>
      </c>
      <c r="C11" s="72" t="s">
        <v>112</v>
      </c>
      <c r="D11" s="64">
        <f>VLOOKUP(C11,DaysSince100!H:I,2,FALSE)</f>
        <v>108</v>
      </c>
      <c r="E11" s="73">
        <f ca="1">OFFSET(CumulativeTotal!A11,-A11,MATCH('Country Summary'!D11,CumulativeTotal!B11:BT11,0))</f>
        <v>43896</v>
      </c>
      <c r="F11" s="43">
        <f>MAX(CumulativeTotal!11:11)</f>
        <v>1463</v>
      </c>
      <c r="G11" s="43">
        <f>MAX(CumulativeRecovered!11:11)</f>
        <v>1</v>
      </c>
      <c r="H11" s="43">
        <f>MAX(CumulativeDead!11:11)</f>
        <v>3</v>
      </c>
      <c r="I11" s="73">
        <v>43902</v>
      </c>
      <c r="J11" s="73">
        <v>43902</v>
      </c>
    </row>
    <row r="12" spans="1:10 16384:16384" x14ac:dyDescent="0.3">
      <c r="A12" s="64">
        <v>11</v>
      </c>
      <c r="B12" s="72" t="s">
        <v>86</v>
      </c>
      <c r="C12" s="72" t="s">
        <v>86</v>
      </c>
      <c r="D12" s="64">
        <f>VLOOKUP(C12,DaysSince100!H:I,2,FALSE)</f>
        <v>101</v>
      </c>
      <c r="E12" s="73">
        <f ca="1">OFFSET(CumulativeTotal!A12,-A12,MATCH('Country Summary'!D12,CumulativeTotal!B12:BT12,0))</f>
        <v>43896</v>
      </c>
      <c r="F12" s="43">
        <f>MAX(CumulativeTotal!12:12)</f>
        <v>1190</v>
      </c>
      <c r="G12" s="43">
        <f>MAX(CumulativeRecovered!12:12)</f>
        <v>1</v>
      </c>
      <c r="H12" s="43">
        <f>MAX(CumulativeDead!12:12)</f>
        <v>7</v>
      </c>
    </row>
    <row r="13" spans="1:10 16384:16384" x14ac:dyDescent="0.3">
      <c r="A13" s="64">
        <v>12</v>
      </c>
      <c r="B13" s="72" t="s">
        <v>114</v>
      </c>
      <c r="C13" s="72" t="s">
        <v>114</v>
      </c>
      <c r="D13" s="64">
        <f>VLOOKUP(C13,DaysSince100!H:I,2,FALSE)</f>
        <v>264</v>
      </c>
      <c r="E13" s="73">
        <f ca="1">OFFSET(CumulativeTotal!A13,-A13,MATCH('Country Summary'!D13,CumulativeTotal!B13:BT13,0))</f>
        <v>43900</v>
      </c>
      <c r="F13" s="43">
        <f>MAX(CumulativeTotal!13:13)</f>
        <v>1024</v>
      </c>
      <c r="G13" s="43">
        <f>MAX(CumulativeRecovered!13:13)</f>
        <v>1</v>
      </c>
      <c r="H13" s="43">
        <f>MAX(CumulativeDead!13:13)</f>
        <v>4</v>
      </c>
      <c r="I13" s="73">
        <v>43902</v>
      </c>
      <c r="J13" s="73">
        <v>43902</v>
      </c>
      <c r="XFD13" s="73"/>
    </row>
    <row r="14" spans="1:10 16384:16384" x14ac:dyDescent="0.3">
      <c r="A14" s="64">
        <v>13</v>
      </c>
      <c r="B14" s="72" t="s">
        <v>116</v>
      </c>
      <c r="C14" s="72" t="s">
        <v>116</v>
      </c>
      <c r="D14" s="64">
        <f>VLOOKUP(C14,DaysSince100!H:I,2,FALSE)</f>
        <v>128</v>
      </c>
      <c r="E14" s="73">
        <f ca="1">OFFSET(CumulativeTotal!A14,-A14,MATCH('Country Summary'!D14,CumulativeTotal!B14:BT14,0))</f>
        <v>43896</v>
      </c>
      <c r="F14" s="43">
        <f>MAX(CumulativeTotal!14:14)</f>
        <v>1708</v>
      </c>
      <c r="G14" s="43">
        <f>MAX(CumulativeRecovered!14:14)</f>
        <v>2</v>
      </c>
      <c r="H14" s="43">
        <f>MAX(CumulativeDead!14:14)</f>
        <v>43</v>
      </c>
    </row>
    <row r="15" spans="1:10 16384:16384" x14ac:dyDescent="0.3">
      <c r="A15" s="64">
        <v>14</v>
      </c>
      <c r="B15" s="72" t="s">
        <v>636</v>
      </c>
      <c r="C15" s="72" t="s">
        <v>377</v>
      </c>
      <c r="D15" s="64">
        <f>VLOOKUP(C15,DaysSince100!H:I,2,FALSE)</f>
        <v>116</v>
      </c>
      <c r="E15" s="73">
        <f ca="1">OFFSET(CumulativeTotal!A15,-A15,MATCH('Country Summary'!D15,CumulativeTotal!B15:BT15,0))</f>
        <v>43895</v>
      </c>
      <c r="F15" s="43">
        <f>MAX(CumulativeTotal!15:15)</f>
        <v>2626</v>
      </c>
      <c r="G15" s="43">
        <f>MAX(CumulativeRecovered!15:15)</f>
        <v>65</v>
      </c>
      <c r="H15" s="43">
        <f>MAX(CumulativeDead!15:15)</f>
        <v>104</v>
      </c>
      <c r="I15" s="73">
        <v>43910</v>
      </c>
      <c r="J15" s="73">
        <v>43904</v>
      </c>
    </row>
    <row r="16" spans="1:10 16384:16384" x14ac:dyDescent="0.3">
      <c r="A16" s="64">
        <v>15</v>
      </c>
      <c r="B16" s="72" t="s">
        <v>63</v>
      </c>
      <c r="C16" s="72" t="s">
        <v>63</v>
      </c>
      <c r="D16" s="64">
        <f>VLOOKUP(C16,DaysSince100!H:I,2,FALSE)</f>
        <v>105</v>
      </c>
      <c r="E16" s="73">
        <f ca="1">OFFSET(CumulativeTotal!A16,-A16,MATCH('Country Summary'!D16,CumulativeTotal!B16:BT16,0))</f>
        <v>43882</v>
      </c>
      <c r="F16" s="43">
        <f>MAX(CumulativeTotal!16:16)</f>
        <v>878</v>
      </c>
      <c r="G16" s="43">
        <f>MAX(CumulativeRecovered!16:16)</f>
        <v>144</v>
      </c>
      <c r="H16" s="43">
        <f>MAX(CumulativeDead!16:16)</f>
        <v>29</v>
      </c>
      <c r="I16" s="73">
        <v>43888</v>
      </c>
      <c r="J16" s="73">
        <v>43888</v>
      </c>
    </row>
    <row r="17" spans="1:10" x14ac:dyDescent="0.3">
      <c r="A17" s="64">
        <v>16</v>
      </c>
      <c r="B17" s="72" t="s">
        <v>368</v>
      </c>
      <c r="C17" s="72" t="s">
        <v>368</v>
      </c>
      <c r="D17" s="64">
        <f>VLOOKUP(C17,DaysSince100!H:I,2,FALSE)</f>
        <v>135</v>
      </c>
      <c r="E17" s="73">
        <f ca="1">OFFSET(CumulativeTotal!A17,-A17,MATCH('Country Summary'!D17,CumulativeTotal!B17:BT17,0))</f>
        <v>43871</v>
      </c>
      <c r="F17" s="43">
        <f>MAX(CumulativeTotal!17:17)</f>
        <v>706</v>
      </c>
      <c r="G17" s="43">
        <f>MAX(CumulativeRecovered!17:17)</f>
        <v>325</v>
      </c>
      <c r="H17" s="43">
        <f>MAX(CumulativeDead!17:17)</f>
        <v>7</v>
      </c>
    </row>
    <row r="18" spans="1:10" x14ac:dyDescent="0.3">
      <c r="A18" s="64">
        <v>17</v>
      </c>
      <c r="B18" s="72" t="s">
        <v>90</v>
      </c>
      <c r="C18" s="72" t="s">
        <v>90</v>
      </c>
      <c r="D18" s="64">
        <f>VLOOKUP(C18,DaysSince100!H:I,2,FALSE)</f>
        <v>109</v>
      </c>
      <c r="E18" s="73">
        <f ca="1">OFFSET(CumulativeTotal!A18,-A18,MATCH('Country Summary'!D18,CumulativeTotal!B18:BT18,0))</f>
        <v>43896</v>
      </c>
      <c r="F18" s="43">
        <f>MAX(CumulativeTotal!18:18)</f>
        <v>1243</v>
      </c>
      <c r="G18" s="43">
        <f>MAX(CumulativeRecovered!18:18)</f>
        <v>1</v>
      </c>
      <c r="H18" s="43">
        <f>MAX(CumulativeDead!18:18)</f>
        <v>10</v>
      </c>
      <c r="I18" s="73">
        <v>43908</v>
      </c>
      <c r="J18" s="73">
        <v>43908</v>
      </c>
    </row>
    <row r="19" spans="1:10" x14ac:dyDescent="0.3">
      <c r="A19" s="64">
        <v>18</v>
      </c>
      <c r="B19" s="72" t="s">
        <v>105</v>
      </c>
      <c r="C19" s="72" t="s">
        <v>105</v>
      </c>
      <c r="D19" s="64">
        <f>VLOOKUP(C19,DaysSince100!H:I,2,FALSE)</f>
        <v>104</v>
      </c>
      <c r="E19" s="73">
        <f ca="1">OFFSET(CumulativeTotal!A19,-A19,MATCH('Country Summary'!D19,CumulativeTotal!B19:BT19,0))</f>
        <v>43898</v>
      </c>
      <c r="F19" s="43">
        <f>MAX(CumulativeTotal!19:19)</f>
        <v>1332</v>
      </c>
      <c r="G19" s="43">
        <f>MAX(CumulativeRecovered!19:19)</f>
        <v>6</v>
      </c>
      <c r="H19" s="43">
        <f>MAX(CumulativeDead!19:19)</f>
        <v>3</v>
      </c>
      <c r="I19" s="73">
        <v>43903</v>
      </c>
      <c r="J19" s="73">
        <v>43903</v>
      </c>
    </row>
    <row r="20" spans="1:10" x14ac:dyDescent="0.3">
      <c r="A20" s="64">
        <v>19</v>
      </c>
      <c r="B20" s="72" t="s">
        <v>128</v>
      </c>
      <c r="C20" s="72" t="s">
        <v>128</v>
      </c>
      <c r="D20" s="64">
        <f>VLOOKUP(C20,DaysSince100!H:I,2,FALSE)</f>
        <v>262</v>
      </c>
      <c r="E20" s="73">
        <f ca="1">OFFSET(CumulativeTotal!A20,-A20,MATCH('Country Summary'!D20,CumulativeTotal!B20:BT20,0))</f>
        <v>43901</v>
      </c>
      <c r="F20" s="43">
        <f>MAX(CumulativeTotal!20:20)</f>
        <v>439</v>
      </c>
      <c r="G20" s="43">
        <f>MAX(CumulativeRecovered!20:20)</f>
        <v>4</v>
      </c>
      <c r="H20" s="43">
        <f>MAX(CumulativeDead!20:20)</f>
        <v>0</v>
      </c>
    </row>
    <row r="21" spans="1:10" x14ac:dyDescent="0.3">
      <c r="A21" s="64">
        <v>20</v>
      </c>
      <c r="B21" s="72" t="s">
        <v>75</v>
      </c>
      <c r="C21" s="72" t="s">
        <v>75</v>
      </c>
      <c r="D21" s="64">
        <f>VLOOKUP(C21,DaysSince100!H:I,2,FALSE)</f>
        <v>107</v>
      </c>
      <c r="E21" s="73">
        <f ca="1">OFFSET(CumulativeTotal!A21,-A21,MATCH('Country Summary'!D21,CumulativeTotal!B21:BT21,0))</f>
        <v>43900</v>
      </c>
      <c r="F21" s="43">
        <f>MAX(CumulativeTotal!21:21)</f>
        <v>452</v>
      </c>
      <c r="G21" s="43">
        <f>MAX(CumulativeRecovered!21:21)</f>
        <v>23</v>
      </c>
      <c r="H21" s="43">
        <f>MAX(CumulativeDead!21:21)</f>
        <v>5</v>
      </c>
    </row>
    <row r="22" spans="1:10" x14ac:dyDescent="0.3">
      <c r="A22" s="64">
        <v>21</v>
      </c>
      <c r="B22" s="72" t="s">
        <v>67</v>
      </c>
      <c r="C22" s="72" t="s">
        <v>67</v>
      </c>
      <c r="D22" s="64">
        <f>VLOOKUP(C22,DaysSince100!H:I,2,FALSE)</f>
        <v>102</v>
      </c>
      <c r="E22" s="73">
        <f ca="1">OFFSET(CumulativeTotal!A22,-A22,MATCH('Country Summary'!D22,CumulativeTotal!B22:BT22,0))</f>
        <v>43890</v>
      </c>
      <c r="F22" s="43">
        <f>MAX(CumulativeTotal!22:22)</f>
        <v>266</v>
      </c>
      <c r="G22" s="43">
        <f>MAX(CumulativeRecovered!22:22)</f>
        <v>114</v>
      </c>
      <c r="H22" s="43">
        <f>MAX(CumulativeDead!22:22)</f>
        <v>0</v>
      </c>
    </row>
    <row r="23" spans="1:10" x14ac:dyDescent="0.3">
      <c r="A23" s="64">
        <v>22</v>
      </c>
      <c r="B23" s="72" t="s">
        <v>70</v>
      </c>
      <c r="C23" s="72" t="s">
        <v>70</v>
      </c>
      <c r="D23" s="64">
        <f>VLOOKUP(C23,DaysSince100!H:I,2,FALSE)</f>
        <v>117</v>
      </c>
      <c r="E23" s="73">
        <f ca="1">OFFSET(CumulativeTotal!A23,-A23,MATCH('Country Summary'!D23,CumulativeTotal!B23:BT23,0))</f>
        <v>43899</v>
      </c>
      <c r="F23" s="43">
        <f>MAX(CumulativeTotal!23:23)</f>
        <v>673</v>
      </c>
      <c r="G23" s="43">
        <f>MAX(CumulativeRecovered!23:23)</f>
        <v>49</v>
      </c>
      <c r="H23" s="43">
        <f>MAX(CumulativeDead!23:23)</f>
        <v>2</v>
      </c>
    </row>
    <row r="24" spans="1:10" x14ac:dyDescent="0.3">
      <c r="A24" s="64">
        <v>23</v>
      </c>
      <c r="B24" s="72" t="s">
        <v>72</v>
      </c>
      <c r="C24" s="72" t="s">
        <v>72</v>
      </c>
      <c r="D24" s="64">
        <f>VLOOKUP(C24,DaysSince100!H:I,2,FALSE)</f>
        <v>108</v>
      </c>
      <c r="E24" s="73">
        <f ca="1">OFFSET(CumulativeTotal!A24,-A24,MATCH('Country Summary'!D24,CumulativeTotal!B24:BT24,0))</f>
        <v>43901</v>
      </c>
      <c r="F24" s="43">
        <f>MAX(CumulativeTotal!24:24)</f>
        <v>478</v>
      </c>
      <c r="G24" s="43">
        <f>MAX(CumulativeRecovered!24:24)</f>
        <v>9</v>
      </c>
      <c r="H24" s="43">
        <f>MAX(CumulativeDead!24:24)</f>
        <v>5</v>
      </c>
    </row>
    <row r="25" spans="1:10" x14ac:dyDescent="0.3">
      <c r="A25" s="64">
        <v>24</v>
      </c>
      <c r="B25" s="72" t="s">
        <v>110</v>
      </c>
      <c r="C25" s="72" t="s">
        <v>110</v>
      </c>
      <c r="D25" s="64">
        <f>VLOOKUP(C25,DaysSince100!H:I,2,FALSE)</f>
        <v>190</v>
      </c>
      <c r="E25" s="73">
        <f ca="1">OFFSET(CumulativeTotal!A25,-A25,MATCH('Country Summary'!D25,CumulativeTotal!B25:BT25,0))</f>
        <v>43903</v>
      </c>
      <c r="F25" s="43">
        <f>MAX(CumulativeTotal!25:25)</f>
        <v>387</v>
      </c>
      <c r="G25" s="43">
        <f>MAX(CumulativeRecovered!25:25)</f>
        <v>8</v>
      </c>
      <c r="H25" s="43">
        <f>MAX(CumulativeDead!25:25)</f>
        <v>5</v>
      </c>
    </row>
    <row r="26" spans="1:10" x14ac:dyDescent="0.3">
      <c r="A26" s="64">
        <v>25</v>
      </c>
      <c r="B26" s="72" t="s">
        <v>100</v>
      </c>
      <c r="C26" s="72" t="s">
        <v>100</v>
      </c>
      <c r="D26" s="64">
        <f>VLOOKUP(C26,DaysSince100!H:I,2,FALSE)</f>
        <v>110</v>
      </c>
      <c r="E26" s="73">
        <f ca="1">OFFSET(CumulativeTotal!A26,-A26,MATCH('Country Summary'!D26,CumulativeTotal!B26:BT26,0))</f>
        <v>43900</v>
      </c>
      <c r="F26" s="43">
        <f>MAX(CumulativeTotal!26:26)</f>
        <v>228</v>
      </c>
      <c r="G26" s="43">
        <f>MAX(CumulativeRecovered!26:26)</f>
        <v>81</v>
      </c>
      <c r="H26" s="43">
        <f>MAX(CumulativeDead!26:26)</f>
        <v>1</v>
      </c>
    </row>
    <row r="27" spans="1:10" x14ac:dyDescent="0.3">
      <c r="A27" s="64">
        <v>26</v>
      </c>
      <c r="B27" s="72" t="s">
        <v>106</v>
      </c>
      <c r="C27" s="72" t="s">
        <v>106</v>
      </c>
      <c r="D27" s="64">
        <f>VLOOKUP(C27,DaysSince100!H:I,2,FALSE)</f>
        <v>109</v>
      </c>
      <c r="E27" s="73">
        <f ca="1">OFFSET(CumulativeTotal!A27,-A27,MATCH('Country Summary'!D27,CumulativeTotal!B27:BT27,0))</f>
        <v>43901</v>
      </c>
      <c r="F27" s="43">
        <f>MAX(CumulativeTotal!27:27)</f>
        <v>337</v>
      </c>
      <c r="G27" s="43">
        <f>MAX(CumulativeRecovered!27:27)</f>
        <v>11</v>
      </c>
      <c r="H27" s="43">
        <f>MAX(CumulativeDead!27:27)</f>
        <v>0</v>
      </c>
      <c r="I27" s="73">
        <v>43902</v>
      </c>
      <c r="J27" s="73">
        <v>43902</v>
      </c>
    </row>
    <row r="28" spans="1:10" x14ac:dyDescent="0.3">
      <c r="A28" s="64">
        <v>27</v>
      </c>
      <c r="B28" s="72" t="s">
        <v>81</v>
      </c>
      <c r="C28" s="72" t="s">
        <v>81</v>
      </c>
      <c r="D28" s="64">
        <f>VLOOKUP(C28,DaysSince100!H:I,2,FALSE)</f>
        <v>155</v>
      </c>
      <c r="E28" s="73">
        <f ca="1">OFFSET(CumulativeTotal!A28,-A28,MATCH('Country Summary'!D28,CumulativeTotal!B28:BT28,0))</f>
        <v>43903</v>
      </c>
      <c r="F28" s="43">
        <f>MAX(CumulativeTotal!28:28)</f>
        <v>321</v>
      </c>
      <c r="G28" s="43">
        <f>MAX(CumulativeRecovered!28:28)</f>
        <v>10</v>
      </c>
      <c r="H28" s="43">
        <f>MAX(CumulativeDead!28:28)</f>
        <v>0</v>
      </c>
    </row>
    <row r="29" spans="1:10" x14ac:dyDescent="0.3">
      <c r="A29" s="64">
        <v>28</v>
      </c>
      <c r="B29" s="72" t="s">
        <v>108</v>
      </c>
      <c r="C29" s="72" t="s">
        <v>108</v>
      </c>
      <c r="D29" s="64">
        <f>VLOOKUP(C29,DaysSince100!H:I,2,FALSE)</f>
        <v>151</v>
      </c>
      <c r="E29" s="73">
        <f ca="1">OFFSET(CumulativeTotal!A29,-A29,MATCH('Country Summary'!D29,CumulativeTotal!B29:BT29,0))</f>
        <v>43903</v>
      </c>
      <c r="F29" s="43">
        <f>MAX(CumulativeTotal!29:29)</f>
        <v>321</v>
      </c>
      <c r="G29" s="43">
        <f>MAX(CumulativeRecovered!29:29)</f>
        <v>2</v>
      </c>
      <c r="H29" s="43">
        <f>MAX(CumulativeDead!29:29)</f>
        <v>1</v>
      </c>
    </row>
    <row r="30" spans="1:10" x14ac:dyDescent="0.3">
      <c r="A30" s="64">
        <v>29</v>
      </c>
      <c r="B30" s="72" t="s">
        <v>519</v>
      </c>
      <c r="C30" s="72" t="s">
        <v>369</v>
      </c>
      <c r="D30" s="64">
        <f>VLOOKUP(C30,DaysSince100!H:I,2,FALSE)</f>
        <v>141</v>
      </c>
      <c r="E30" s="73">
        <f ca="1">OFFSET(CumulativeTotal!A30,-A30,MATCH('Country Summary'!D30,CumulativeTotal!B30:BT30,0))</f>
        <v>43903</v>
      </c>
      <c r="F30" s="43">
        <f>MAX(CumulativeTotal!30:30)</f>
        <v>396</v>
      </c>
      <c r="G30" s="43">
        <f>MAX(CumulativeRecovered!30:30)</f>
        <v>3</v>
      </c>
      <c r="H30" s="43">
        <f>MAX(CumulativeDead!30:30)</f>
        <v>0</v>
      </c>
    </row>
    <row r="31" spans="1:10" x14ac:dyDescent="0.3">
      <c r="A31" s="64">
        <v>30</v>
      </c>
      <c r="B31" s="72" t="s">
        <v>168</v>
      </c>
      <c r="C31" s="72" t="s">
        <v>168</v>
      </c>
      <c r="D31" s="64">
        <f>VLOOKUP(C31,DaysSince100!H:I,2,FALSE)</f>
        <v>141</v>
      </c>
      <c r="E31" s="73">
        <f ca="1">OFFSET(CumulativeTotal!A31,-A31,MATCH('Country Summary'!D31,CumulativeTotal!B31:BT31,0))</f>
        <v>43903</v>
      </c>
      <c r="F31" s="43">
        <f>MAX(CumulativeTotal!31:31)</f>
        <v>275</v>
      </c>
      <c r="G31" s="43">
        <f>MAX(CumulativeRecovered!31:31)</f>
        <v>0</v>
      </c>
      <c r="H31" s="43">
        <f>MAX(CumulativeDead!31:31)</f>
        <v>1</v>
      </c>
    </row>
    <row r="32" spans="1:10" x14ac:dyDescent="0.3">
      <c r="A32" s="64">
        <v>31</v>
      </c>
      <c r="B32" s="72" t="s">
        <v>119</v>
      </c>
      <c r="C32" s="72" t="s">
        <v>119</v>
      </c>
      <c r="D32" s="64">
        <f>VLOOKUP(C32,DaysSince100!H:I,2,FALSE)</f>
        <v>103</v>
      </c>
      <c r="E32" s="73">
        <f ca="1">OFFSET(CumulativeTotal!A32,-A32,MATCH('Country Summary'!D32,CumulativeTotal!B32:BT32,0))</f>
        <v>43902</v>
      </c>
      <c r="F32" s="43">
        <f>MAX(CumulativeTotal!32:32)</f>
        <v>220</v>
      </c>
      <c r="G32" s="43">
        <f>MAX(CumulativeRecovered!32:32)</f>
        <v>8</v>
      </c>
      <c r="H32" s="43">
        <f>MAX(CumulativeDead!32:32)</f>
        <v>5</v>
      </c>
    </row>
    <row r="33" spans="1:10" x14ac:dyDescent="0.3">
      <c r="A33" s="64">
        <v>32</v>
      </c>
      <c r="B33" s="72" t="s">
        <v>135</v>
      </c>
      <c r="C33" s="72" t="s">
        <v>135</v>
      </c>
      <c r="D33" s="64">
        <f>VLOOKUP(C33,DaysSince100!H:I,2,FALSE)</f>
        <v>112</v>
      </c>
      <c r="E33" s="73">
        <f ca="1">OFFSET(CumulativeTotal!A33,-A33,MATCH('Country Summary'!D33,CumulativeTotal!B33:BT33,0))</f>
        <v>43903</v>
      </c>
      <c r="F33" s="43">
        <f>MAX(CumulativeTotal!33:33)</f>
        <v>448</v>
      </c>
      <c r="G33" s="43">
        <f>MAX(CumulativeRecovered!33:33)</f>
        <v>3</v>
      </c>
      <c r="H33" s="43">
        <f>MAX(CumulativeDead!33:33)</f>
        <v>1</v>
      </c>
      <c r="I33" s="73">
        <v>43902</v>
      </c>
      <c r="J33" s="73">
        <v>43902</v>
      </c>
    </row>
    <row r="34" spans="1:10" x14ac:dyDescent="0.3">
      <c r="A34" s="64">
        <v>33</v>
      </c>
      <c r="B34" s="72" t="s">
        <v>97</v>
      </c>
      <c r="C34" s="72" t="s">
        <v>97</v>
      </c>
      <c r="D34" s="64">
        <f>VLOOKUP(C34,DaysSince100!H:I,2,FALSE)</f>
        <v>101</v>
      </c>
      <c r="E34" s="73">
        <f ca="1">OFFSET(CumulativeTotal!A34,-A34,MATCH('Country Summary'!D34,CumulativeTotal!B34:BT34,0))</f>
        <v>43903</v>
      </c>
      <c r="F34" s="43">
        <f>MAX(CumulativeTotal!34:34)</f>
        <v>154</v>
      </c>
      <c r="G34" s="43">
        <f>MAX(CumulativeRecovered!34:34)</f>
        <v>32</v>
      </c>
      <c r="H34" s="43">
        <f>MAX(CumulativeDead!34:34)</f>
        <v>11</v>
      </c>
    </row>
    <row r="35" spans="1:10" x14ac:dyDescent="0.3">
      <c r="A35" s="64">
        <v>34</v>
      </c>
      <c r="B35" s="72" t="s">
        <v>125</v>
      </c>
      <c r="C35" s="72" t="s">
        <v>125</v>
      </c>
      <c r="D35" s="64">
        <f>VLOOKUP(C35,DaysSince100!H:I,2,FALSE)</f>
        <v>129</v>
      </c>
      <c r="E35" s="73">
        <f ca="1">OFFSET(CumulativeTotal!A35,-A35,MATCH('Country Summary'!D35,CumulativeTotal!B35:BT35,0))</f>
        <v>43904</v>
      </c>
      <c r="F35" s="43">
        <f>MAX(CumulativeTotal!35:35)</f>
        <v>223</v>
      </c>
      <c r="G35" s="43">
        <f>MAX(CumulativeRecovered!35:35)</f>
        <v>5</v>
      </c>
      <c r="H35" s="43">
        <f>MAX(CumulativeDead!35:35)</f>
        <v>2</v>
      </c>
      <c r="I35" s="73">
        <v>43905</v>
      </c>
      <c r="J35" s="73">
        <v>43905</v>
      </c>
    </row>
    <row r="36" spans="1:10" x14ac:dyDescent="0.3">
      <c r="A36" s="64">
        <v>35</v>
      </c>
      <c r="B36" s="72" t="s">
        <v>113</v>
      </c>
      <c r="C36" s="72" t="s">
        <v>113</v>
      </c>
      <c r="D36" s="64">
        <f>VLOOKUP(C36,DaysSince100!H:I,2,FALSE)</f>
        <v>123</v>
      </c>
      <c r="E36" s="73">
        <f ca="1">OFFSET(CumulativeTotal!A36,-A36,MATCH('Country Summary'!D36,CumulativeTotal!B36:BT36,0))</f>
        <v>43904</v>
      </c>
      <c r="F36" s="43">
        <f>MAX(CumulativeTotal!36:36)</f>
        <v>184</v>
      </c>
      <c r="G36" s="43">
        <f>MAX(CumulativeRecovered!36:36)</f>
        <v>16</v>
      </c>
      <c r="H36" s="43">
        <f>MAX(CumulativeDead!36:36)</f>
        <v>0</v>
      </c>
    </row>
    <row r="37" spans="1:10" x14ac:dyDescent="0.3">
      <c r="A37" s="64">
        <v>36</v>
      </c>
      <c r="B37" s="72" t="s">
        <v>140</v>
      </c>
      <c r="C37" s="72" t="s">
        <v>140</v>
      </c>
      <c r="D37" s="64">
        <f>VLOOKUP(C37,DaysSince100!H:I,2,FALSE)</f>
        <v>103</v>
      </c>
      <c r="E37" s="73">
        <f ca="1">OFFSET(CumulativeTotal!A37,-A37,MATCH('Country Summary'!D37,CumulativeTotal!B37:BT37,0))</f>
        <v>43904</v>
      </c>
      <c r="F37" s="43">
        <f>MAX(CumulativeTotal!37:37)</f>
        <v>171</v>
      </c>
      <c r="G37" s="43">
        <f>MAX(CumulativeRecovered!37:37)</f>
        <v>6</v>
      </c>
      <c r="H37" s="43">
        <f>MAX(CumulativeDead!37:37)</f>
        <v>0</v>
      </c>
    </row>
    <row r="38" spans="1:10" x14ac:dyDescent="0.3">
      <c r="A38" s="64">
        <v>37</v>
      </c>
      <c r="B38" s="72" t="s">
        <v>82</v>
      </c>
      <c r="C38" s="72" t="s">
        <v>82</v>
      </c>
      <c r="D38" s="64" t="e">
        <f>VLOOKUP(C38,DaysSince100!H:I,2,FALSE)</f>
        <v>#N/A</v>
      </c>
      <c r="E38" s="73" t="e">
        <f ca="1">OFFSET(CumulativeTotal!A38,-A38,MATCH('Country Summary'!D38,CumulativeTotal!B38:BT38,0))</f>
        <v>#N/A</v>
      </c>
      <c r="F38" s="43">
        <f>MAX(CumulativeTotal!38:38)</f>
        <v>98</v>
      </c>
      <c r="G38" s="43">
        <f>MAX(CumulativeRecovered!38:38)</f>
        <v>23</v>
      </c>
      <c r="H38" s="43">
        <f>MAX(CumulativeDead!38:38)</f>
        <v>0</v>
      </c>
    </row>
    <row r="39" spans="1:10" x14ac:dyDescent="0.3">
      <c r="A39" s="64">
        <v>38</v>
      </c>
      <c r="B39" s="72" t="s">
        <v>84</v>
      </c>
      <c r="C39" s="72" t="s">
        <v>84</v>
      </c>
      <c r="D39" s="64">
        <f>VLOOKUP(C39,DaysSince100!H:I,2,FALSE)</f>
        <v>102</v>
      </c>
      <c r="E39" s="73">
        <f ca="1">OFFSET(CumulativeTotal!A39,-A39,MATCH('Country Summary'!D39,CumulativeTotal!B39:BT39,0))</f>
        <v>43904</v>
      </c>
      <c r="F39" s="43">
        <f>MAX(CumulativeTotal!39:39)</f>
        <v>142</v>
      </c>
      <c r="G39" s="43">
        <f>MAX(CumulativeRecovered!39:39)</f>
        <v>14</v>
      </c>
      <c r="H39" s="43">
        <f>MAX(CumulativeDead!39:39)</f>
        <v>3</v>
      </c>
    </row>
    <row r="40" spans="1:10" x14ac:dyDescent="0.3">
      <c r="A40" s="64">
        <v>39</v>
      </c>
      <c r="B40" s="72" t="s">
        <v>92</v>
      </c>
      <c r="C40" s="72" t="s">
        <v>92</v>
      </c>
      <c r="D40" s="64">
        <f>VLOOKUP(C40,DaysSince100!H:I,2,FALSE)</f>
        <v>109</v>
      </c>
      <c r="E40" s="73">
        <f ca="1">OFFSET(CumulativeTotal!A40,-A40,MATCH('Country Summary'!D40,CumulativeTotal!B40:BT40,0))</f>
        <v>43904</v>
      </c>
      <c r="F40" s="43">
        <f>MAX(CumulativeTotal!40:40)</f>
        <v>196</v>
      </c>
      <c r="G40" s="43">
        <f>MAX(CumulativeRecovered!40:40)</f>
        <v>32</v>
      </c>
      <c r="H40" s="43">
        <f>MAX(CumulativeDead!40:40)</f>
        <v>4</v>
      </c>
    </row>
    <row r="41" spans="1:10" x14ac:dyDescent="0.3">
      <c r="A41" s="64">
        <v>40</v>
      </c>
      <c r="B41" s="72" t="s">
        <v>101</v>
      </c>
      <c r="C41" s="72" t="s">
        <v>101</v>
      </c>
      <c r="D41" s="64">
        <f>VLOOKUP(C41,DaysSince100!H:I,2,FALSE)</f>
        <v>104</v>
      </c>
      <c r="E41" s="73">
        <f ca="1">OFFSET(CumulativeTotal!A41,-A41,MATCH('Country Summary'!D41,CumulativeTotal!B41:BT41,0))</f>
        <v>43904</v>
      </c>
      <c r="F41" s="43">
        <f>MAX(CumulativeTotal!41:41)</f>
        <v>130</v>
      </c>
      <c r="G41" s="43">
        <f>MAX(CumulativeRecovered!41:41)</f>
        <v>9</v>
      </c>
      <c r="H41" s="43">
        <f>MAX(CumulativeDead!41:41)</f>
        <v>0</v>
      </c>
    </row>
    <row r="42" spans="1:10" x14ac:dyDescent="0.3">
      <c r="A42" s="64">
        <v>41</v>
      </c>
      <c r="B42" s="72" t="s">
        <v>117</v>
      </c>
      <c r="C42" s="72" t="s">
        <v>117</v>
      </c>
      <c r="D42" s="64">
        <f>VLOOKUP(C42,DaysSince100!H:I,2,FALSE)</f>
        <v>101</v>
      </c>
      <c r="E42" s="73">
        <f ca="1">OFFSET(CumulativeTotal!A42,-A42,MATCH('Country Summary'!D42,CumulativeTotal!B42:BT42,0))</f>
        <v>43905</v>
      </c>
      <c r="F42" s="43">
        <f>MAX(CumulativeTotal!42:42)</f>
        <v>109</v>
      </c>
      <c r="G42" s="43">
        <f>MAX(CumulativeRecovered!42:42)</f>
        <v>4</v>
      </c>
      <c r="H42" s="43">
        <f>MAX(CumulativeDead!42:42)</f>
        <v>7</v>
      </c>
    </row>
    <row r="43" spans="1:10" x14ac:dyDescent="0.3">
      <c r="A43" s="64">
        <v>42</v>
      </c>
      <c r="B43" s="72" t="s">
        <v>115</v>
      </c>
      <c r="C43" s="72" t="s">
        <v>115</v>
      </c>
      <c r="D43" s="64">
        <f>VLOOKUP(C43,DaysSince100!H:I,2,FALSE)</f>
        <v>115</v>
      </c>
      <c r="E43" s="73">
        <f ca="1">OFFSET(CumulativeTotal!A43,-A43,MATCH('Country Summary'!D43,CumulativeTotal!B43:BT43,0))</f>
        <v>43904</v>
      </c>
      <c r="F43" s="43">
        <f>MAX(CumulativeTotal!43:43)</f>
        <v>225</v>
      </c>
      <c r="G43" s="43">
        <f>MAX(CumulativeRecovered!43:43)</f>
        <v>1</v>
      </c>
      <c r="H43" s="43">
        <f>MAX(CumulativeDead!43:43)</f>
        <v>0</v>
      </c>
    </row>
    <row r="44" spans="1:10" x14ac:dyDescent="0.3">
      <c r="A44" s="64">
        <v>43</v>
      </c>
      <c r="B44" s="72" t="s">
        <v>94</v>
      </c>
      <c r="C44" s="72" t="s">
        <v>94</v>
      </c>
      <c r="D44" s="64">
        <f>VLOOKUP(C44,DaysSince100!H:I,2,FALSE)</f>
        <v>110</v>
      </c>
      <c r="E44" s="73">
        <f ca="1">OFFSET(CumulativeTotal!A44,-A44,MATCH('Country Summary'!D44,CumulativeTotal!B44:BT44,0))</f>
        <v>43905</v>
      </c>
      <c r="F44" s="43">
        <f>MAX(CumulativeTotal!44:44)</f>
        <v>120</v>
      </c>
      <c r="G44" s="43">
        <f>MAX(CumulativeRecovered!44:44)</f>
        <v>3</v>
      </c>
      <c r="H44" s="43">
        <f>MAX(CumulativeDead!44:44)</f>
        <v>3</v>
      </c>
    </row>
    <row r="45" spans="1:10" x14ac:dyDescent="0.3">
      <c r="A45" s="64">
        <v>44</v>
      </c>
      <c r="B45" s="72" t="s">
        <v>62</v>
      </c>
      <c r="C45" s="72" t="s">
        <v>62</v>
      </c>
      <c r="D45" s="64">
        <f>VLOOKUP(C45,DaysSince100!H:I,2,FALSE)</f>
        <v>114</v>
      </c>
      <c r="E45" s="73">
        <f ca="1">OFFSET(CumulativeTotal!A45,-A45,MATCH('Country Summary'!D45,CumulativeTotal!B45:BT45,0))</f>
        <v>43905</v>
      </c>
      <c r="F45" s="43">
        <f>MAX(CumulativeTotal!45:45)</f>
        <v>177</v>
      </c>
      <c r="G45" s="43">
        <f>MAX(CumulativeRecovered!45:45)</f>
        <v>41</v>
      </c>
      <c r="H45" s="43">
        <f>MAX(CumulativeDead!45:45)</f>
        <v>1</v>
      </c>
    </row>
    <row r="46" spans="1:10" x14ac:dyDescent="0.3">
      <c r="A46" s="64">
        <v>45</v>
      </c>
      <c r="B46" s="72" t="s">
        <v>134</v>
      </c>
      <c r="C46" s="72" t="s">
        <v>134</v>
      </c>
      <c r="D46" s="64">
        <f>VLOOKUP(C46,DaysSince100!H:I,2,FALSE)</f>
        <v>117</v>
      </c>
      <c r="E46" s="73">
        <f ca="1">OFFSET(CumulativeTotal!A46,-A46,MATCH('Country Summary'!D46,CumulativeTotal!B46:BT46,0))</f>
        <v>43905</v>
      </c>
      <c r="F46" s="43">
        <f>MAX(CumulativeTotal!46:46)</f>
        <v>172</v>
      </c>
      <c r="G46" s="43">
        <f>MAX(CumulativeRecovered!46:46)</f>
        <v>8</v>
      </c>
      <c r="H46" s="43">
        <f>MAX(CumulativeDead!46:46)</f>
        <v>5</v>
      </c>
    </row>
    <row r="47" spans="1:10" x14ac:dyDescent="0.3">
      <c r="A47" s="64">
        <v>46</v>
      </c>
      <c r="B47" s="72" t="s">
        <v>164</v>
      </c>
      <c r="C47" s="72" t="s">
        <v>164</v>
      </c>
      <c r="D47" s="64">
        <f>VLOOKUP(C47,DaysSince100!H:I,2,FALSE)</f>
        <v>103</v>
      </c>
      <c r="E47" s="73">
        <f ca="1">OFFSET(CumulativeTotal!A47,-A47,MATCH('Country Summary'!D47,CumulativeTotal!B47:BT47,0))</f>
        <v>43904</v>
      </c>
      <c r="F47" s="43">
        <f>MAX(CumulativeTotal!47:47)</f>
        <v>238</v>
      </c>
      <c r="G47" s="43">
        <f>MAX(CumulativeRecovered!47:47)</f>
        <v>13</v>
      </c>
      <c r="H47" s="43">
        <f>MAX(CumulativeDead!47:47)</f>
        <v>5</v>
      </c>
      <c r="I47" s="73">
        <v>43901</v>
      </c>
      <c r="J47" s="73">
        <v>43901</v>
      </c>
    </row>
    <row r="48" spans="1:10" x14ac:dyDescent="0.3">
      <c r="A48" s="64">
        <v>47</v>
      </c>
      <c r="B48" s="72" t="s">
        <v>83</v>
      </c>
      <c r="C48" s="72" t="s">
        <v>83</v>
      </c>
      <c r="D48" s="64">
        <f>VLOOKUP(C48,DaysSince100!H:I,2,FALSE)</f>
        <v>111</v>
      </c>
      <c r="E48" s="73">
        <f ca="1">OFFSET(CumulativeTotal!A48,-A48,MATCH('Country Summary'!D48,CumulativeTotal!B48:BT48,0))</f>
        <v>43904</v>
      </c>
      <c r="F48" s="43">
        <f>MAX(CumulativeTotal!48:48)</f>
        <v>187</v>
      </c>
      <c r="G48" s="43">
        <f>MAX(CumulativeRecovered!48:48)</f>
        <v>5</v>
      </c>
      <c r="H48" s="43">
        <f>MAX(CumulativeDead!48:48)</f>
        <v>12</v>
      </c>
    </row>
    <row r="49" spans="1:10" x14ac:dyDescent="0.3">
      <c r="A49" s="64">
        <v>48</v>
      </c>
      <c r="B49" s="72" t="s">
        <v>370</v>
      </c>
      <c r="C49" s="72" t="s">
        <v>370</v>
      </c>
      <c r="D49" s="64" t="e">
        <f>VLOOKUP(C49,DaysSince100!H:I,2,FALSE)</f>
        <v>#N/A</v>
      </c>
      <c r="E49" s="73" t="e">
        <f ca="1">OFFSET(CumulativeTotal!A49,-A49,MATCH('Country Summary'!D49,CumulativeTotal!B49:BT49,0))</f>
        <v>#N/A</v>
      </c>
      <c r="F49" s="43">
        <f>MAX(CumulativeTotal!49:49)</f>
        <v>77</v>
      </c>
      <c r="G49" s="43">
        <f>MAX(CumulativeRecovered!49:49)</f>
        <v>22</v>
      </c>
      <c r="H49" s="43">
        <f>MAX(CumulativeDead!49:49)</f>
        <v>1</v>
      </c>
    </row>
    <row r="50" spans="1:10" x14ac:dyDescent="0.3">
      <c r="A50" s="64">
        <v>49</v>
      </c>
      <c r="B50" s="72" t="s">
        <v>371</v>
      </c>
      <c r="C50" s="72" t="s">
        <v>371</v>
      </c>
      <c r="D50" s="64" t="e">
        <f>VLOOKUP(C50,DaysSince100!H:I,2,FALSE)</f>
        <v>#N/A</v>
      </c>
      <c r="E50" s="73" t="e">
        <f ca="1">OFFSET(CumulativeTotal!A50,-A50,MATCH('Country Summary'!D50,CumulativeTotal!B50:BT50,0))</f>
        <v>#N/A</v>
      </c>
      <c r="F50" s="43">
        <f>MAX(CumulativeTotal!50:50)</f>
        <v>66</v>
      </c>
      <c r="G50" s="43">
        <f>MAX(CumulativeRecovered!50:50)</f>
        <v>16</v>
      </c>
      <c r="H50" s="43">
        <f>MAX(CumulativeDead!50:50)</f>
        <v>0</v>
      </c>
    </row>
    <row r="51" spans="1:10" x14ac:dyDescent="0.3">
      <c r="A51" s="64">
        <v>50</v>
      </c>
      <c r="B51" s="72" t="s">
        <v>372</v>
      </c>
      <c r="C51" s="72" t="s">
        <v>372</v>
      </c>
      <c r="D51" s="64">
        <f>VLOOKUP(C51,DaysSince100!H:I,2,FALSE)</f>
        <v>114</v>
      </c>
      <c r="E51" s="73">
        <f ca="1">OFFSET(CumulativeTotal!A51,-A51,MATCH('Country Summary'!D51,CumulativeTotal!B51:BT51,0))</f>
        <v>43907</v>
      </c>
      <c r="F51" s="43">
        <f>MAX(CumulativeTotal!51:51)</f>
        <v>114</v>
      </c>
      <c r="G51" s="43">
        <f>MAX(CumulativeRecovered!51:51)</f>
        <v>8</v>
      </c>
      <c r="H51" s="43">
        <f>MAX(CumulativeDead!51:51)</f>
        <v>0</v>
      </c>
    </row>
    <row r="52" spans="1:10" x14ac:dyDescent="0.3">
      <c r="A52" s="64">
        <v>51</v>
      </c>
      <c r="B52" s="72" t="s">
        <v>151</v>
      </c>
      <c r="C52" s="72" t="s">
        <v>151</v>
      </c>
      <c r="D52" s="64">
        <f>VLOOKUP(C52,DaysSince100!H:I,2,FALSE)</f>
        <v>155</v>
      </c>
      <c r="E52" s="73">
        <f ca="1">OFFSET(CumulativeTotal!A52,-A52,MATCH('Country Summary'!D52,CumulativeTotal!B52:BT52,0))</f>
        <v>43906</v>
      </c>
      <c r="F52" s="43">
        <f>MAX(CumulativeTotal!52:52)</f>
        <v>201</v>
      </c>
      <c r="G52" s="43">
        <f>MAX(CumulativeRecovered!52:52)</f>
        <v>0</v>
      </c>
      <c r="H52" s="43">
        <f>MAX(CumulativeDead!52:52)</f>
        <v>0</v>
      </c>
      <c r="I52" s="73">
        <v>43905</v>
      </c>
      <c r="J52" s="73">
        <v>43905</v>
      </c>
    </row>
    <row r="53" spans="1:10" x14ac:dyDescent="0.3">
      <c r="A53" s="64">
        <v>52</v>
      </c>
      <c r="B53" s="72" t="s">
        <v>260</v>
      </c>
      <c r="C53" s="72" t="s">
        <v>260</v>
      </c>
      <c r="D53" s="64" t="e">
        <f>VLOOKUP(C53,DaysSince100!H:I,2,FALSE)</f>
        <v>#N/A</v>
      </c>
      <c r="E53" s="73" t="e">
        <f ca="1">OFFSET(CumulativeTotal!A53,-A53,MATCH('Country Summary'!D53,CumulativeTotal!B53:BT53,0))</f>
        <v>#N/A</v>
      </c>
      <c r="F53" s="43">
        <f>MAX(CumulativeTotal!53:53)</f>
        <v>56</v>
      </c>
      <c r="G53" s="43">
        <f>MAX(CumulativeRecovered!53:53)</f>
        <v>0</v>
      </c>
      <c r="H53" s="43">
        <f>MAX(CumulativeDead!53:53)</f>
        <v>0</v>
      </c>
    </row>
    <row r="54" spans="1:10" x14ac:dyDescent="0.3">
      <c r="A54" s="64">
        <v>53</v>
      </c>
      <c r="B54" s="72" t="s">
        <v>188</v>
      </c>
      <c r="C54" s="72" t="s">
        <v>188</v>
      </c>
      <c r="D54" s="64" t="e">
        <f>VLOOKUP(C54,DaysSince100!H:I,2,FALSE)</f>
        <v>#N/A</v>
      </c>
      <c r="E54" s="73" t="e">
        <f ca="1">OFFSET(CumulativeTotal!A54,-A54,MATCH('Country Summary'!D54,CumulativeTotal!B54:BT54,0))</f>
        <v>#N/A</v>
      </c>
      <c r="F54" s="43">
        <f>MAX(CumulativeTotal!54:54)</f>
        <v>65</v>
      </c>
      <c r="G54" s="43">
        <f>MAX(CumulativeRecovered!54:54)</f>
        <v>1</v>
      </c>
      <c r="H54" s="43">
        <f>MAX(CumulativeDead!54:54)</f>
        <v>0</v>
      </c>
    </row>
    <row r="55" spans="1:10" x14ac:dyDescent="0.3">
      <c r="A55" s="64">
        <v>54</v>
      </c>
      <c r="B55" s="72" t="s">
        <v>126</v>
      </c>
      <c r="C55" s="72" t="s">
        <v>126</v>
      </c>
      <c r="D55" s="64">
        <f>VLOOKUP(C55,DaysSince100!H:I,2,FALSE)</f>
        <v>140</v>
      </c>
      <c r="E55" s="73">
        <f ca="1">OFFSET(CumulativeTotal!A55,-A55,MATCH('Country Summary'!D55,CumulativeTotal!B55:BT55,0))</f>
        <v>43907</v>
      </c>
      <c r="F55" s="43">
        <f>MAX(CumulativeTotal!55:55)</f>
        <v>140</v>
      </c>
      <c r="G55" s="43">
        <f>MAX(CumulativeRecovered!55:55)</f>
        <v>0</v>
      </c>
      <c r="H55" s="43">
        <f>MAX(CumulativeDead!55:55)</f>
        <v>1</v>
      </c>
    </row>
    <row r="56" spans="1:10" x14ac:dyDescent="0.3">
      <c r="A56" s="64">
        <v>55</v>
      </c>
      <c r="B56" s="72" t="s">
        <v>257</v>
      </c>
      <c r="C56" s="72" t="s">
        <v>257</v>
      </c>
      <c r="D56" s="64" t="e">
        <f>VLOOKUP(C56,DaysSince100!H:I,2,FALSE)</f>
        <v>#N/A</v>
      </c>
      <c r="E56" s="73" t="e">
        <f ca="1">OFFSET(CumulativeTotal!A56,-A56,MATCH('Country Summary'!D56,CumulativeTotal!B56:BT56,0))</f>
        <v>#N/A</v>
      </c>
      <c r="F56" s="43">
        <f>MAX(CumulativeTotal!56:56)</f>
        <v>55</v>
      </c>
      <c r="G56" s="43">
        <f>MAX(CumulativeRecovered!56:56)</f>
        <v>0</v>
      </c>
      <c r="H56" s="43">
        <f>MAX(CumulativeDead!56:56)</f>
        <v>1</v>
      </c>
    </row>
    <row r="57" spans="1:10" x14ac:dyDescent="0.3">
      <c r="A57" s="64">
        <v>56</v>
      </c>
      <c r="B57" s="72" t="s">
        <v>103</v>
      </c>
      <c r="C57" s="72" t="s">
        <v>103</v>
      </c>
      <c r="D57" s="64" t="e">
        <f>VLOOKUP(C57,DaysSince100!H:I,2,FALSE)</f>
        <v>#N/A</v>
      </c>
      <c r="E57" s="73" t="e">
        <f ca="1">OFFSET(CumulativeTotal!A57,-A57,MATCH('Country Summary'!D57,CumulativeTotal!B57:BT57,0))</f>
        <v>#N/A</v>
      </c>
      <c r="F57" s="43">
        <f>MAX(CumulativeTotal!57:57)</f>
        <v>65</v>
      </c>
      <c r="G57" s="43">
        <f>MAX(CumulativeRecovered!57:57)</f>
        <v>4</v>
      </c>
      <c r="H57" s="43">
        <f>MAX(CumulativeDead!57:57)</f>
        <v>0</v>
      </c>
    </row>
    <row r="58" spans="1:10" x14ac:dyDescent="0.3">
      <c r="A58" s="64">
        <v>57</v>
      </c>
      <c r="B58" s="72" t="s">
        <v>189</v>
      </c>
      <c r="C58" s="72" t="s">
        <v>189</v>
      </c>
      <c r="D58" s="64" t="e">
        <f>VLOOKUP(C58,DaysSince100!H:I,2,FALSE)</f>
        <v>#N/A</v>
      </c>
      <c r="E58" s="73" t="e">
        <f ca="1">OFFSET(CumulativeTotal!A58,-A58,MATCH('Country Summary'!D58,CumulativeTotal!B58:BT58,0))</f>
        <v>#N/A</v>
      </c>
      <c r="F58" s="43">
        <f>MAX(CumulativeTotal!58:58)</f>
        <v>72</v>
      </c>
      <c r="G58" s="43">
        <f>MAX(CumulativeRecovered!58:58)</f>
        <v>0</v>
      </c>
      <c r="H58" s="43">
        <f>MAX(CumulativeDead!58:58)</f>
        <v>0</v>
      </c>
    </row>
    <row r="59" spans="1:10" x14ac:dyDescent="0.3">
      <c r="A59" s="64">
        <v>58</v>
      </c>
      <c r="B59" s="72" t="s">
        <v>150</v>
      </c>
      <c r="C59" s="72" t="s">
        <v>150</v>
      </c>
      <c r="D59" s="64" t="e">
        <f>VLOOKUP(C59,DaysSince100!H:I,2,FALSE)</f>
        <v>#N/A</v>
      </c>
      <c r="E59" s="73" t="e">
        <f ca="1">OFFSET(CumulativeTotal!A59,-A59,MATCH('Country Summary'!D59,CumulativeTotal!B59:BT59,0))</f>
        <v>#N/A</v>
      </c>
      <c r="F59" s="43">
        <f>MAX(CumulativeTotal!59:59)</f>
        <v>68</v>
      </c>
      <c r="G59" s="43">
        <f>MAX(CumulativeRecovered!59:59)</f>
        <v>3</v>
      </c>
      <c r="H59" s="43">
        <f>MAX(CumulativeDead!59:59)</f>
        <v>2</v>
      </c>
    </row>
    <row r="60" spans="1:10" x14ac:dyDescent="0.3">
      <c r="A60" s="64">
        <v>59</v>
      </c>
      <c r="B60" s="72" t="s">
        <v>107</v>
      </c>
      <c r="C60" s="72" t="s">
        <v>107</v>
      </c>
      <c r="D60" s="64">
        <f>VLOOKUP(C60,DaysSince100!H:I,2,FALSE)</f>
        <v>136</v>
      </c>
      <c r="E60" s="73">
        <f ca="1">OFFSET(CumulativeTotal!A60,-A60,MATCH('Country Summary'!D60,CumulativeTotal!B60:BT60,0))</f>
        <v>43906</v>
      </c>
      <c r="F60" s="43">
        <f>MAX(CumulativeTotal!60:60)</f>
        <v>236</v>
      </c>
      <c r="G60" s="43">
        <f>MAX(CumulativeRecovered!60:60)</f>
        <v>2</v>
      </c>
      <c r="H60" s="43">
        <f>MAX(CumulativeDead!60:60)</f>
        <v>0</v>
      </c>
    </row>
    <row r="61" spans="1:10" x14ac:dyDescent="0.3">
      <c r="A61" s="64">
        <v>60</v>
      </c>
      <c r="B61" s="72" t="s">
        <v>187</v>
      </c>
      <c r="C61" s="72" t="s">
        <v>187</v>
      </c>
      <c r="D61" s="64">
        <f>VLOOKUP(C61,DaysSince100!H:I,2,FALSE)</f>
        <v>117</v>
      </c>
      <c r="E61" s="73">
        <f ca="1">OFFSET(CumulativeTotal!A61,-A61,MATCH('Country Summary'!D61,CumulativeTotal!B61:BT61,0))</f>
        <v>43907</v>
      </c>
      <c r="F61" s="43">
        <f>MAX(CumulativeTotal!61:61)</f>
        <v>117</v>
      </c>
      <c r="G61" s="43">
        <f>MAX(CumulativeRecovered!61:61)</f>
        <v>1</v>
      </c>
      <c r="H61" s="43">
        <f>MAX(CumulativeDead!61:61)</f>
        <v>0</v>
      </c>
    </row>
    <row r="62" spans="1:10" x14ac:dyDescent="0.3">
      <c r="A62" s="64">
        <v>61</v>
      </c>
      <c r="B62" s="72" t="s">
        <v>118</v>
      </c>
      <c r="C62" s="72" t="s">
        <v>118</v>
      </c>
      <c r="D62" s="64" t="e">
        <f>VLOOKUP(C62,DaysSince100!H:I,2,FALSE)</f>
        <v>#N/A</v>
      </c>
      <c r="E62" s="73" t="e">
        <f ca="1">OFFSET(CumulativeTotal!A62,-A62,MATCH('Country Summary'!D62,CumulativeTotal!B62:BT62,0))</f>
        <v>#N/A</v>
      </c>
      <c r="F62" s="43">
        <f>MAX(CumulativeTotal!62:62)</f>
        <v>36</v>
      </c>
      <c r="G62" s="43">
        <f>MAX(CumulativeRecovered!62:62)</f>
        <v>3</v>
      </c>
      <c r="H62" s="43">
        <f>MAX(CumulativeDead!62:62)</f>
        <v>0</v>
      </c>
    </row>
    <row r="63" spans="1:10" x14ac:dyDescent="0.3">
      <c r="A63" s="64">
        <v>62</v>
      </c>
      <c r="B63" s="72" t="s">
        <v>310</v>
      </c>
      <c r="C63" s="72" t="s">
        <v>310</v>
      </c>
      <c r="D63" s="64" t="e">
        <f>VLOOKUP(C63,DaysSince100!H:I,2,FALSE)</f>
        <v>#N/A</v>
      </c>
      <c r="E63" s="73" t="e">
        <f ca="1">OFFSET(CumulativeTotal!A63,-A63,MATCH('Country Summary'!D63,CumulativeTotal!B63:BT63,0))</f>
        <v>#N/A</v>
      </c>
      <c r="F63" s="43">
        <f>MAX(CumulativeTotal!63:63)</f>
        <v>69</v>
      </c>
      <c r="G63" s="43">
        <f>MAX(CumulativeRecovered!63:63)</f>
        <v>0</v>
      </c>
      <c r="H63" s="43">
        <f>MAX(CumulativeDead!63:63)</f>
        <v>1</v>
      </c>
    </row>
    <row r="64" spans="1:10" x14ac:dyDescent="0.3">
      <c r="A64" s="64">
        <v>63</v>
      </c>
      <c r="B64" s="72" t="s">
        <v>102</v>
      </c>
      <c r="C64" s="72" t="s">
        <v>102</v>
      </c>
      <c r="D64" s="64" t="e">
        <f>VLOOKUP(C64,DaysSince100!H:I,2,FALSE)</f>
        <v>#N/A</v>
      </c>
      <c r="E64" s="73" t="e">
        <f ca="1">OFFSET(CumulativeTotal!A64,-A64,MATCH('Country Summary'!D64,CumulativeTotal!B64:BT64,0))</f>
        <v>#N/A</v>
      </c>
      <c r="F64" s="43">
        <f>MAX(CumulativeTotal!64:64)</f>
        <v>60</v>
      </c>
      <c r="G64" s="43">
        <f>MAX(CumulativeRecovered!64:64)</f>
        <v>12</v>
      </c>
      <c r="H64" s="43">
        <f>MAX(CumulativeDead!64:64)</f>
        <v>4</v>
      </c>
    </row>
    <row r="65" spans="1:10" x14ac:dyDescent="0.3">
      <c r="A65" s="64">
        <v>64</v>
      </c>
      <c r="B65" s="72" t="s">
        <v>109</v>
      </c>
      <c r="C65" s="72" t="s">
        <v>109</v>
      </c>
      <c r="D65" s="64" t="e">
        <f>VLOOKUP(C65,DaysSince100!H:I,2,FALSE)</f>
        <v>#N/A</v>
      </c>
      <c r="E65" s="73" t="e">
        <f ca="1">OFFSET(CumulativeTotal!A65,-A65,MATCH('Country Summary'!D65,CumulativeTotal!B65:BT65,0))</f>
        <v>#N/A</v>
      </c>
      <c r="F65" s="43">
        <f>MAX(CumulativeTotal!65:65)</f>
        <v>34</v>
      </c>
      <c r="G65" s="43">
        <f>MAX(CumulativeRecovered!65:65)</f>
        <v>1</v>
      </c>
      <c r="H65" s="43">
        <f>MAX(CumulativeDead!65:65)</f>
        <v>0</v>
      </c>
    </row>
    <row r="66" spans="1:10" x14ac:dyDescent="0.3">
      <c r="A66" s="64">
        <v>65</v>
      </c>
      <c r="B66" s="72" t="s">
        <v>172</v>
      </c>
      <c r="C66" s="72" t="s">
        <v>172</v>
      </c>
      <c r="D66" s="64" t="e">
        <f>VLOOKUP(C66,DaysSince100!H:I,2,FALSE)</f>
        <v>#N/A</v>
      </c>
      <c r="E66" s="73" t="e">
        <f ca="1">OFFSET(CumulativeTotal!A66,-A66,MATCH('Country Summary'!D66,CumulativeTotal!B66:BT66,0))</f>
        <v>#N/A</v>
      </c>
      <c r="F66" s="43">
        <f>MAX(CumulativeTotal!66:66)</f>
        <v>62</v>
      </c>
      <c r="G66" s="43">
        <f>MAX(CumulativeRecovered!66:66)</f>
        <v>0</v>
      </c>
      <c r="H66" s="43">
        <f>MAX(CumulativeDead!66:66)</f>
        <v>0</v>
      </c>
    </row>
    <row r="67" spans="1:10" x14ac:dyDescent="0.3">
      <c r="A67" s="64">
        <v>66</v>
      </c>
      <c r="B67" s="72" t="s">
        <v>226</v>
      </c>
      <c r="C67" s="72" t="s">
        <v>226</v>
      </c>
      <c r="D67" s="64" t="e">
        <f>VLOOKUP(C67,DaysSince100!H:I,2,FALSE)</f>
        <v>#N/A</v>
      </c>
      <c r="E67" s="73" t="e">
        <f ca="1">OFFSET(CumulativeTotal!A67,-A67,MATCH('Country Summary'!D67,CumulativeTotal!B67:BT67,0))</f>
        <v>#N/A</v>
      </c>
      <c r="F67" s="43">
        <f>MAX(CumulativeTotal!67:67)</f>
        <v>67</v>
      </c>
      <c r="G67" s="43">
        <f>MAX(CumulativeRecovered!67:67)</f>
        <v>0</v>
      </c>
      <c r="H67" s="43">
        <f>MAX(CumulativeDead!67:67)</f>
        <v>2</v>
      </c>
    </row>
    <row r="68" spans="1:10" x14ac:dyDescent="0.3">
      <c r="A68" s="64">
        <v>67</v>
      </c>
      <c r="B68" s="72" t="s">
        <v>186</v>
      </c>
      <c r="C68" s="72" t="s">
        <v>186</v>
      </c>
      <c r="D68" s="64" t="e">
        <f>VLOOKUP(C68,DaysSince100!H:I,2,FALSE)</f>
        <v>#N/A</v>
      </c>
      <c r="E68" s="73" t="e">
        <f ca="1">OFFSET(CumulativeTotal!A68,-A68,MATCH('Country Summary'!D68,CumulativeTotal!B68:BT68,0))</f>
        <v>#N/A</v>
      </c>
      <c r="F68" s="43">
        <f>MAX(CumulativeTotal!68:68)</f>
        <v>41</v>
      </c>
      <c r="G68" s="43">
        <f>MAX(CumulativeRecovered!68:68)</f>
        <v>0</v>
      </c>
      <c r="H68" s="43">
        <f>MAX(CumulativeDead!68:68)</f>
        <v>0</v>
      </c>
    </row>
    <row r="69" spans="1:10" x14ac:dyDescent="0.3">
      <c r="A69" s="64">
        <v>68</v>
      </c>
      <c r="B69" s="72" t="s">
        <v>159</v>
      </c>
      <c r="C69" s="72" t="s">
        <v>159</v>
      </c>
      <c r="D69" s="64" t="e">
        <f>VLOOKUP(C69,DaysSince100!H:I,2,FALSE)</f>
        <v>#N/A</v>
      </c>
      <c r="E69" s="73" t="e">
        <f ca="1">OFFSET(CumulativeTotal!A69,-A69,MATCH('Country Summary'!D69,CumulativeTotal!B69:BT69,0))</f>
        <v>#N/A</v>
      </c>
      <c r="F69" s="43">
        <f>MAX(CumulativeTotal!69:69)</f>
        <v>50</v>
      </c>
      <c r="G69" s="43">
        <f>MAX(CumulativeRecovered!69:69)</f>
        <v>2</v>
      </c>
      <c r="H69" s="43">
        <f>MAX(CumulativeDead!69:69)</f>
        <v>1</v>
      </c>
      <c r="I69" s="73">
        <v>43913</v>
      </c>
      <c r="J69" s="73">
        <v>43913</v>
      </c>
    </row>
    <row r="70" spans="1:10" x14ac:dyDescent="0.3">
      <c r="A70" s="64">
        <v>69</v>
      </c>
      <c r="B70" s="72" t="s">
        <v>98</v>
      </c>
      <c r="C70" s="72" t="s">
        <v>98</v>
      </c>
      <c r="D70" s="64" t="e">
        <f>VLOOKUP(C70,DaysSince100!H:I,2,FALSE)</f>
        <v>#N/A</v>
      </c>
      <c r="E70" s="73" t="e">
        <f ca="1">OFFSET(CumulativeTotal!A70,-A70,MATCH('Country Summary'!D70,CumulativeTotal!B70:BT70,0))</f>
        <v>#N/A</v>
      </c>
      <c r="F70" s="43">
        <f>MAX(CumulativeTotal!70:70)</f>
        <v>24</v>
      </c>
      <c r="G70" s="43">
        <f>MAX(CumulativeRecovered!70:70)</f>
        <v>9</v>
      </c>
      <c r="H70" s="43">
        <f>MAX(CumulativeDead!70:70)</f>
        <v>0</v>
      </c>
    </row>
    <row r="71" spans="1:10" x14ac:dyDescent="0.3">
      <c r="A71" s="64">
        <v>70</v>
      </c>
      <c r="B71" s="72" t="s">
        <v>130</v>
      </c>
      <c r="C71" s="72" t="s">
        <v>130</v>
      </c>
      <c r="D71" s="64" t="e">
        <f>VLOOKUP(C71,DaysSince100!H:I,2,FALSE)</f>
        <v>#N/A</v>
      </c>
      <c r="E71" s="73" t="e">
        <f ca="1">OFFSET(CumulativeTotal!A71,-A71,MATCH('Country Summary'!D71,CumulativeTotal!B71:BT71,0))</f>
        <v>#N/A</v>
      </c>
      <c r="F71" s="43">
        <f>MAX(CumulativeTotal!71:71)</f>
        <v>58</v>
      </c>
      <c r="G71" s="43">
        <f>MAX(CumulativeRecovered!71:71)</f>
        <v>0</v>
      </c>
      <c r="H71" s="43">
        <f>MAX(CumulativeDead!71:71)</f>
        <v>2</v>
      </c>
    </row>
    <row r="72" spans="1:10" x14ac:dyDescent="0.3">
      <c r="A72" s="64">
        <v>71</v>
      </c>
      <c r="B72" s="72" t="s">
        <v>138</v>
      </c>
      <c r="C72" s="72" t="s">
        <v>138</v>
      </c>
      <c r="D72" s="64" t="e">
        <f>VLOOKUP(C72,DaysSince100!H:I,2,FALSE)</f>
        <v>#N/A</v>
      </c>
      <c r="E72" s="73" t="e">
        <f ca="1">OFFSET(CumulativeTotal!A72,-A72,MATCH('Country Summary'!D72,CumulativeTotal!B72:BT72,0))</f>
        <v>#N/A</v>
      </c>
      <c r="F72" s="43">
        <f>MAX(CumulativeTotal!72:72)</f>
        <v>49</v>
      </c>
      <c r="G72" s="43">
        <f>MAX(CumulativeRecovered!72:72)</f>
        <v>1</v>
      </c>
      <c r="H72" s="43">
        <f>MAX(CumulativeDead!72:72)</f>
        <v>0</v>
      </c>
    </row>
    <row r="73" spans="1:10" x14ac:dyDescent="0.3">
      <c r="A73" s="64">
        <v>72</v>
      </c>
      <c r="B73" s="72" t="s">
        <v>165</v>
      </c>
      <c r="C73" s="72" t="s">
        <v>165</v>
      </c>
      <c r="D73" s="64" t="e">
        <f>VLOOKUP(C73,DaysSince100!H:I,2,FALSE)</f>
        <v>#N/A</v>
      </c>
      <c r="E73" s="73" t="e">
        <f ca="1">OFFSET(CumulativeTotal!A73,-A73,MATCH('Country Summary'!D73,CumulativeTotal!B73:BT73,0))</f>
        <v>#N/A</v>
      </c>
      <c r="F73" s="43">
        <f>MAX(CumulativeTotal!73:73)</f>
        <v>24</v>
      </c>
      <c r="G73" s="43">
        <f>MAX(CumulativeRecovered!73:73)</f>
        <v>0</v>
      </c>
      <c r="H73" s="43">
        <f>MAX(CumulativeDead!73:73)</f>
        <v>0</v>
      </c>
    </row>
    <row r="74" spans="1:10" x14ac:dyDescent="0.3">
      <c r="A74" s="64">
        <v>73</v>
      </c>
      <c r="B74" s="72" t="s">
        <v>131</v>
      </c>
      <c r="C74" s="72" t="s">
        <v>131</v>
      </c>
      <c r="D74" s="64" t="e">
        <f>VLOOKUP(C74,DaysSince100!H:I,2,FALSE)</f>
        <v>#N/A</v>
      </c>
      <c r="E74" s="73" t="e">
        <f ca="1">OFFSET(CumulativeTotal!A74,-A74,MATCH('Country Summary'!D74,CumulativeTotal!B74:BT74,0))</f>
        <v>#N/A</v>
      </c>
      <c r="F74" s="43">
        <f>MAX(CumulativeTotal!74:74)</f>
        <v>28</v>
      </c>
      <c r="G74" s="43">
        <f>MAX(CumulativeRecovered!74:74)</f>
        <v>6</v>
      </c>
      <c r="H74" s="43">
        <f>MAX(CumulativeDead!74:74)</f>
        <v>1</v>
      </c>
    </row>
    <row r="75" spans="1:10" x14ac:dyDescent="0.3">
      <c r="A75" s="64">
        <v>74</v>
      </c>
      <c r="B75" s="72" t="s">
        <v>258</v>
      </c>
      <c r="C75" s="72" t="s">
        <v>258</v>
      </c>
      <c r="D75" s="64" t="e">
        <f>VLOOKUP(C75,DaysSince100!H:I,2,FALSE)</f>
        <v>#N/A</v>
      </c>
      <c r="E75" s="73" t="e">
        <f ca="1">OFFSET(CumulativeTotal!A75,-A75,MATCH('Country Summary'!D75,CumulativeTotal!B75:BT75,0))</f>
        <v>#N/A</v>
      </c>
      <c r="F75" s="43">
        <f>MAX(CumulativeTotal!75:75)</f>
        <v>46</v>
      </c>
      <c r="G75" s="43">
        <f>MAX(CumulativeRecovered!75:75)</f>
        <v>0</v>
      </c>
      <c r="H75" s="43">
        <f>MAX(CumulativeDead!75:75)</f>
        <v>0</v>
      </c>
    </row>
    <row r="76" spans="1:10" x14ac:dyDescent="0.3">
      <c r="A76" s="64">
        <v>75</v>
      </c>
      <c r="B76" s="72" t="s">
        <v>111</v>
      </c>
      <c r="C76" s="72" t="s">
        <v>111</v>
      </c>
      <c r="D76" s="64" t="e">
        <f>VLOOKUP(C76,DaysSince100!H:I,2,FALSE)</f>
        <v>#N/A</v>
      </c>
      <c r="E76" s="73" t="e">
        <f ca="1">OFFSET(CumulativeTotal!A76,-A76,MATCH('Country Summary'!D76,CumulativeTotal!B76:BT76,0))</f>
        <v>#N/A</v>
      </c>
      <c r="F76" s="43">
        <f>MAX(CumulativeTotal!76:76)</f>
        <v>26</v>
      </c>
      <c r="G76" s="43">
        <f>MAX(CumulativeRecovered!76:76)</f>
        <v>1</v>
      </c>
      <c r="H76" s="43">
        <f>MAX(CumulativeDead!76:76)</f>
        <v>0</v>
      </c>
    </row>
    <row r="77" spans="1:10" x14ac:dyDescent="0.3">
      <c r="A77" s="64">
        <v>76</v>
      </c>
      <c r="B77" s="72" t="s">
        <v>167</v>
      </c>
      <c r="C77" s="72" t="s">
        <v>167</v>
      </c>
      <c r="D77" s="64" t="e">
        <f>VLOOKUP(C77,DaysSince100!H:I,2,FALSE)</f>
        <v>#N/A</v>
      </c>
      <c r="E77" s="73" t="e">
        <f ca="1">OFFSET(CumulativeTotal!A77,-A77,MATCH('Country Summary'!D77,CumulativeTotal!B77:BT77,0))</f>
        <v>#N/A</v>
      </c>
      <c r="F77" s="43">
        <f>MAX(CumulativeTotal!77:77)</f>
        <v>26</v>
      </c>
      <c r="G77" s="43">
        <f>MAX(CumulativeRecovered!77:77)</f>
        <v>2</v>
      </c>
      <c r="H77" s="43">
        <f>MAX(CumulativeDead!77:77)</f>
        <v>0</v>
      </c>
    </row>
    <row r="78" spans="1:10" x14ac:dyDescent="0.3">
      <c r="A78" s="64">
        <v>77</v>
      </c>
      <c r="B78" s="72" t="s">
        <v>185</v>
      </c>
      <c r="C78" s="72" t="s">
        <v>185</v>
      </c>
      <c r="D78" s="64" t="e">
        <f>VLOOKUP(C78,DaysSince100!H:I,2,FALSE)</f>
        <v>#N/A</v>
      </c>
      <c r="E78" s="73" t="e">
        <f ca="1">OFFSET(CumulativeTotal!A78,-A78,MATCH('Country Summary'!D78,CumulativeTotal!B78:BT78,0))</f>
        <v>#N/A</v>
      </c>
      <c r="F78" s="43">
        <f>MAX(CumulativeTotal!78:78)</f>
        <v>65</v>
      </c>
      <c r="G78" s="43">
        <f>MAX(CumulativeRecovered!78:78)</f>
        <v>1</v>
      </c>
      <c r="H78" s="43">
        <f>MAX(CumulativeDead!78:78)</f>
        <v>0</v>
      </c>
    </row>
    <row r="79" spans="1:10" x14ac:dyDescent="0.3">
      <c r="A79" s="64">
        <v>78</v>
      </c>
      <c r="B79" s="72" t="s">
        <v>204</v>
      </c>
      <c r="C79" s="72" t="s">
        <v>204</v>
      </c>
      <c r="D79" s="64" t="e">
        <f>VLOOKUP(C79,DaysSince100!H:I,2,FALSE)</f>
        <v>#N/A</v>
      </c>
      <c r="E79" s="73" t="e">
        <f ca="1">OFFSET(CumulativeTotal!A79,-A79,MATCH('Country Summary'!D79,CumulativeTotal!B79:BT79,0))</f>
        <v>#N/A</v>
      </c>
      <c r="F79" s="43">
        <f>MAX(CumulativeTotal!79:79)</f>
        <v>38</v>
      </c>
      <c r="G79" s="43">
        <f>MAX(CumulativeRecovered!79:79)</f>
        <v>2</v>
      </c>
      <c r="H79" s="43">
        <f>MAX(CumulativeDead!79:79)</f>
        <v>0</v>
      </c>
    </row>
    <row r="80" spans="1:10" x14ac:dyDescent="0.3">
      <c r="A80" s="64">
        <v>79</v>
      </c>
      <c r="B80" s="72" t="s">
        <v>121</v>
      </c>
      <c r="C80" s="72" t="s">
        <v>121</v>
      </c>
      <c r="D80" s="64" t="e">
        <f>VLOOKUP(C80,DaysSince100!H:I,2,FALSE)</f>
        <v>#N/A</v>
      </c>
      <c r="E80" s="73" t="e">
        <f ca="1">OFFSET(CumulativeTotal!A80,-A80,MATCH('Country Summary'!D80,CumulativeTotal!B80:BT80,0))</f>
        <v>#N/A</v>
      </c>
      <c r="F80" s="43">
        <f>MAX(CumulativeTotal!80:80)</f>
        <v>82</v>
      </c>
      <c r="G80" s="43">
        <f>MAX(CumulativeRecovered!80:80)</f>
        <v>4</v>
      </c>
      <c r="H80" s="43">
        <f>MAX(CumulativeDead!80:80)</f>
        <v>0</v>
      </c>
    </row>
    <row r="81" spans="1:8" x14ac:dyDescent="0.3">
      <c r="A81" s="64">
        <v>80</v>
      </c>
      <c r="B81" s="72" t="s">
        <v>141</v>
      </c>
      <c r="C81" s="72" t="s">
        <v>141</v>
      </c>
      <c r="D81" s="64" t="e">
        <f>VLOOKUP(C81,DaysSince100!H:I,2,FALSE)</f>
        <v>#N/A</v>
      </c>
      <c r="E81" s="73" t="e">
        <f ca="1">OFFSET(CumulativeTotal!A81,-A81,MATCH('Country Summary'!D81,CumulativeTotal!B81:BT81,0))</f>
        <v>#N/A</v>
      </c>
      <c r="F81" s="43">
        <f>MAX(CumulativeTotal!81:81)</f>
        <v>26</v>
      </c>
      <c r="G81" s="43">
        <f>MAX(CumulativeRecovered!81:81)</f>
        <v>2</v>
      </c>
      <c r="H81" s="43">
        <f>MAX(CumulativeDead!81:81)</f>
        <v>0</v>
      </c>
    </row>
    <row r="82" spans="1:8" x14ac:dyDescent="0.3">
      <c r="A82" s="64">
        <v>81</v>
      </c>
      <c r="B82" s="72" t="s">
        <v>227</v>
      </c>
      <c r="C82" s="72" t="s">
        <v>227</v>
      </c>
      <c r="D82" s="64" t="e">
        <f>VLOOKUP(C82,DaysSince100!H:I,2,FALSE)</f>
        <v>#N/A</v>
      </c>
      <c r="E82" s="73" t="e">
        <f ca="1">OFFSET(CumulativeTotal!A82,-A82,MATCH('Country Summary'!D82,CumulativeTotal!B82:BT82,0))</f>
        <v>#N/A</v>
      </c>
      <c r="F82" s="43">
        <f>MAX(CumulativeTotal!82:82)</f>
        <v>13</v>
      </c>
      <c r="G82" s="43">
        <f>MAX(CumulativeRecovered!82:82)</f>
        <v>0</v>
      </c>
      <c r="H82" s="43">
        <f>MAX(CumulativeDead!82:82)</f>
        <v>0</v>
      </c>
    </row>
    <row r="83" spans="1:8" x14ac:dyDescent="0.3">
      <c r="A83" s="64">
        <v>82</v>
      </c>
      <c r="B83" s="72" t="s">
        <v>132</v>
      </c>
      <c r="C83" s="72" t="s">
        <v>132</v>
      </c>
      <c r="D83" s="64" t="e">
        <f>VLOOKUP(C83,DaysSince100!H:I,2,FALSE)</f>
        <v>#N/A</v>
      </c>
      <c r="E83" s="73" t="e">
        <f ca="1">OFFSET(CumulativeTotal!A83,-A83,MATCH('Country Summary'!D83,CumulativeTotal!B83:BT83,0))</f>
        <v>#N/A</v>
      </c>
      <c r="F83" s="43">
        <f>MAX(CumulativeTotal!83:83)</f>
        <v>78</v>
      </c>
      <c r="G83" s="43">
        <f>MAX(CumulativeRecovered!83:83)</f>
        <v>1</v>
      </c>
      <c r="H83" s="43">
        <f>MAX(CumulativeDead!83:83)</f>
        <v>0</v>
      </c>
    </row>
    <row r="84" spans="1:8" x14ac:dyDescent="0.3">
      <c r="A84" s="64">
        <v>83</v>
      </c>
      <c r="B84" s="72" t="s">
        <v>381</v>
      </c>
      <c r="C84" s="72" t="s">
        <v>381</v>
      </c>
      <c r="D84" s="64" t="e">
        <f>VLOOKUP(C84,DaysSince100!H:I,2,FALSE)</f>
        <v>#N/A</v>
      </c>
      <c r="E84" s="73" t="e">
        <f ca="1">OFFSET(CumulativeTotal!A84,-A84,MATCH('Country Summary'!D84,CumulativeTotal!B84:BT84,0))</f>
        <v>#N/A</v>
      </c>
      <c r="F84" s="43">
        <f>MAX(CumulativeTotal!84:84)</f>
        <v>12</v>
      </c>
      <c r="G84" s="43">
        <f>MAX(CumulativeRecovered!84:84)</f>
        <v>2</v>
      </c>
      <c r="H84" s="43">
        <f>MAX(CumulativeDead!84:84)</f>
        <v>0</v>
      </c>
    </row>
    <row r="85" spans="1:8" x14ac:dyDescent="0.3">
      <c r="A85" s="64">
        <v>84</v>
      </c>
      <c r="B85" s="72" t="s">
        <v>99</v>
      </c>
      <c r="C85" s="72" t="s">
        <v>99</v>
      </c>
      <c r="D85" s="64" t="e">
        <f>VLOOKUP(C85,DaysSince100!H:I,2,FALSE)</f>
        <v>#N/A</v>
      </c>
      <c r="E85" s="73" t="e">
        <f ca="1">OFFSET(CumulativeTotal!A85,-A85,MATCH('Country Summary'!D85,CumulativeTotal!B85:BT85,0))</f>
        <v>#N/A</v>
      </c>
      <c r="F85" s="43">
        <f>MAX(CumulativeTotal!85:85)</f>
        <v>22</v>
      </c>
      <c r="G85" s="43">
        <f>MAX(CumulativeRecovered!85:85)</f>
        <v>1</v>
      </c>
      <c r="H85" s="43">
        <f>MAX(CumulativeDead!85:85)</f>
        <v>0</v>
      </c>
    </row>
    <row r="86" spans="1:8" x14ac:dyDescent="0.3">
      <c r="A86" s="64">
        <v>85</v>
      </c>
      <c r="B86" s="72" t="s">
        <v>139</v>
      </c>
      <c r="C86" s="72" t="s">
        <v>139</v>
      </c>
      <c r="D86" s="64" t="e">
        <f>VLOOKUP(C86,DaysSince100!H:I,2,FALSE)</f>
        <v>#N/A</v>
      </c>
      <c r="E86" s="73" t="e">
        <f ca="1">OFFSET(CumulativeTotal!A86,-A86,MATCH('Country Summary'!D86,CumulativeTotal!B86:BT86,0))</f>
        <v>#N/A</v>
      </c>
      <c r="F86" s="43">
        <f>MAX(CumulativeTotal!86:86)</f>
        <v>38</v>
      </c>
      <c r="G86" s="43">
        <f>MAX(CumulativeRecovered!86:86)</f>
        <v>1</v>
      </c>
      <c r="H86" s="43">
        <f>MAX(CumulativeDead!86:86)</f>
        <v>2</v>
      </c>
    </row>
    <row r="87" spans="1:8" x14ac:dyDescent="0.3">
      <c r="A87" s="64">
        <v>86</v>
      </c>
      <c r="B87" s="72" t="s">
        <v>120</v>
      </c>
      <c r="C87" s="72" t="s">
        <v>120</v>
      </c>
      <c r="D87" s="64" t="e">
        <f>VLOOKUP(C87,DaysSince100!H:I,2,FALSE)</f>
        <v>#N/A</v>
      </c>
      <c r="E87" s="73" t="e">
        <f ca="1">OFFSET(CumulativeTotal!A87,-A87,MATCH('Country Summary'!D87,CumulativeTotal!B87:BT87,0))</f>
        <v>#N/A</v>
      </c>
      <c r="F87" s="43">
        <f>MAX(CumulativeTotal!87:87)</f>
        <v>25</v>
      </c>
      <c r="G87" s="43">
        <f>MAX(CumulativeRecovered!87:87)</f>
        <v>1</v>
      </c>
      <c r="H87" s="43">
        <f>MAX(CumulativeDead!87:87)</f>
        <v>0</v>
      </c>
    </row>
    <row r="88" spans="1:8" x14ac:dyDescent="0.3">
      <c r="A88" s="64">
        <v>87</v>
      </c>
      <c r="B88" s="72" t="s">
        <v>373</v>
      </c>
      <c r="C88" s="72" t="s">
        <v>373</v>
      </c>
      <c r="D88" s="64" t="e">
        <f>VLOOKUP(C88,DaysSince100!H:I,2,FALSE)</f>
        <v>#N/A</v>
      </c>
      <c r="E88" s="73" t="e">
        <f ca="1">OFFSET(CumulativeTotal!A88,-A88,MATCH('Country Summary'!D88,CumulativeTotal!B88:BT88,0))</f>
        <v>#N/A</v>
      </c>
      <c r="F88" s="43">
        <f>MAX(CumulativeTotal!88:88)</f>
        <v>30</v>
      </c>
      <c r="G88" s="43">
        <f>MAX(CumulativeRecovered!88:88)</f>
        <v>1</v>
      </c>
      <c r="H88" s="43">
        <f>MAX(CumulativeDead!88:88)</f>
        <v>0</v>
      </c>
    </row>
    <row r="89" spans="1:8" x14ac:dyDescent="0.3">
      <c r="A89" s="64">
        <v>88</v>
      </c>
      <c r="B89" s="72" t="s">
        <v>233</v>
      </c>
      <c r="C89" s="72" t="s">
        <v>233</v>
      </c>
      <c r="D89" s="64" t="e">
        <f>VLOOKUP(C89,DaysSince100!H:I,2,FALSE)</f>
        <v>#N/A</v>
      </c>
      <c r="E89" s="73" t="e">
        <f ca="1">OFFSET(CumulativeTotal!A89,-A89,MATCH('Country Summary'!D89,CumulativeTotal!B89:BT89,0))</f>
        <v>#N/A</v>
      </c>
      <c r="F89" s="43">
        <f>MAX(CumulativeTotal!89:89)</f>
        <v>9</v>
      </c>
      <c r="G89" s="43">
        <f>MAX(CumulativeRecovered!89:89)</f>
        <v>0</v>
      </c>
      <c r="H89" s="43">
        <f>MAX(CumulativeDead!89:89)</f>
        <v>0</v>
      </c>
    </row>
    <row r="90" spans="1:8" x14ac:dyDescent="0.3">
      <c r="A90" s="64">
        <v>89</v>
      </c>
      <c r="B90" s="72" t="s">
        <v>79</v>
      </c>
      <c r="C90" s="72" t="s">
        <v>79</v>
      </c>
      <c r="D90" s="64" t="e">
        <f>VLOOKUP(C90,DaysSince100!H:I,2,FALSE)</f>
        <v>#N/A</v>
      </c>
      <c r="E90" s="73" t="e">
        <f ca="1">OFFSET(CumulativeTotal!A90,-A90,MATCH('Country Summary'!D90,CumulativeTotal!B90:BT90,0))</f>
        <v>#N/A</v>
      </c>
      <c r="F90" s="43">
        <f>MAX(CumulativeTotal!90:90)</f>
        <v>44</v>
      </c>
      <c r="G90" s="43">
        <f>MAX(CumulativeRecovered!90:90)</f>
        <v>1</v>
      </c>
      <c r="H90" s="43">
        <f>MAX(CumulativeDead!90:90)</f>
        <v>0</v>
      </c>
    </row>
    <row r="91" spans="1:8" x14ac:dyDescent="0.3">
      <c r="A91" s="64">
        <v>90</v>
      </c>
      <c r="B91" s="72" t="s">
        <v>78</v>
      </c>
      <c r="C91" s="72" t="s">
        <v>78</v>
      </c>
      <c r="D91" s="64" t="e">
        <f>VLOOKUP(C91,DaysSince100!H:I,2,FALSE)</f>
        <v>#N/A</v>
      </c>
      <c r="E91" s="73" t="e">
        <f ca="1">OFFSET(CumulativeTotal!A91,-A91,MATCH('Country Summary'!D91,CumulativeTotal!B91:BT91,0))</f>
        <v>#N/A</v>
      </c>
      <c r="F91" s="43">
        <f>MAX(CumulativeTotal!91:91)</f>
        <v>33</v>
      </c>
      <c r="G91" s="43">
        <f>MAX(CumulativeRecovered!91:91)</f>
        <v>1</v>
      </c>
      <c r="H91" s="43">
        <f>MAX(CumulativeDead!91:91)</f>
        <v>0</v>
      </c>
    </row>
    <row r="92" spans="1:8" x14ac:dyDescent="0.3">
      <c r="A92" s="64">
        <v>91</v>
      </c>
      <c r="B92" s="72" t="s">
        <v>133</v>
      </c>
      <c r="C92" s="72" t="s">
        <v>133</v>
      </c>
      <c r="D92" s="64" t="e">
        <f>VLOOKUP(C92,DaysSince100!H:I,2,FALSE)</f>
        <v>#N/A</v>
      </c>
      <c r="E92" s="73" t="e">
        <f ca="1">OFFSET(CumulativeTotal!A92,-A92,MATCH('Country Summary'!D92,CumulativeTotal!B92:BT92,0))</f>
        <v>#N/A</v>
      </c>
      <c r="F92" s="43">
        <f>MAX(CumulativeTotal!92:92)</f>
        <v>21</v>
      </c>
      <c r="G92" s="43">
        <f>MAX(CumulativeRecovered!92:92)</f>
        <v>0</v>
      </c>
      <c r="H92" s="43">
        <f>MAX(CumulativeDead!92:92)</f>
        <v>1</v>
      </c>
    </row>
    <row r="93" spans="1:8" x14ac:dyDescent="0.3">
      <c r="A93" s="64">
        <v>92</v>
      </c>
      <c r="B93" s="72" t="s">
        <v>203</v>
      </c>
      <c r="C93" s="72" t="s">
        <v>203</v>
      </c>
      <c r="D93" s="64" t="e">
        <f>VLOOKUP(C93,DaysSince100!H:I,2,FALSE)</f>
        <v>#N/A</v>
      </c>
      <c r="E93" s="73" t="e">
        <f ca="1">OFFSET(CumulativeTotal!A93,-A93,MATCH('Country Summary'!D93,CumulativeTotal!B93:BT93,0))</f>
        <v>#N/A</v>
      </c>
      <c r="F93" s="43">
        <f>MAX(CumulativeTotal!93:93)</f>
        <v>0</v>
      </c>
      <c r="G93" s="43">
        <f>MAX(CumulativeRecovered!93:93)</f>
        <v>0</v>
      </c>
      <c r="H93" s="43">
        <f>MAX(CumulativeDead!93:93)</f>
        <v>0</v>
      </c>
    </row>
    <row r="94" spans="1:8" x14ac:dyDescent="0.3">
      <c r="A94" s="64">
        <v>93</v>
      </c>
      <c r="B94" s="72" t="s">
        <v>122</v>
      </c>
      <c r="C94" s="72" t="s">
        <v>122</v>
      </c>
      <c r="D94" s="64" t="e">
        <f>VLOOKUP(C94,DaysSince100!H:I,2,FALSE)</f>
        <v>#N/A</v>
      </c>
      <c r="E94" s="73" t="e">
        <f ca="1">OFFSET(CumulativeTotal!A94,-A94,MATCH('Country Summary'!D94,CumulativeTotal!B94:BT94,0))</f>
        <v>#N/A</v>
      </c>
      <c r="F94" s="43">
        <f>MAX(CumulativeTotal!94:94)</f>
        <v>12</v>
      </c>
      <c r="G94" s="43">
        <f>MAX(CumulativeRecovered!94:94)</f>
        <v>0</v>
      </c>
      <c r="H94" s="43">
        <f>MAX(CumulativeDead!94:94)</f>
        <v>0</v>
      </c>
    </row>
    <row r="95" spans="1:8" x14ac:dyDescent="0.3">
      <c r="A95" s="64">
        <v>94</v>
      </c>
      <c r="B95" s="72" t="s">
        <v>382</v>
      </c>
      <c r="C95" s="72" t="s">
        <v>382</v>
      </c>
      <c r="D95" s="64" t="e">
        <f>VLOOKUP(C95,DaysSince100!H:I,2,FALSE)</f>
        <v>#N/A</v>
      </c>
      <c r="E95" s="73" t="e">
        <f ca="1">OFFSET(CumulativeTotal!A95,-A95,MATCH('Country Summary'!D95,CumulativeTotal!B95:BT95,0))</f>
        <v>#N/A</v>
      </c>
      <c r="F95" s="43">
        <f>MAX(CumulativeTotal!95:95)</f>
        <v>0</v>
      </c>
      <c r="G95" s="43">
        <f>MAX(CumulativeRecovered!95:95)</f>
        <v>0</v>
      </c>
      <c r="H95" s="43">
        <f>MAX(CumulativeDead!95:95)</f>
        <v>0</v>
      </c>
    </row>
    <row r="96" spans="1:8" x14ac:dyDescent="0.3">
      <c r="A96" s="64">
        <v>95</v>
      </c>
      <c r="B96" s="72" t="s">
        <v>383</v>
      </c>
      <c r="C96" s="72" t="s">
        <v>383</v>
      </c>
      <c r="D96" s="64" t="e">
        <f>VLOOKUP(C96,DaysSince100!H:I,2,FALSE)</f>
        <v>#N/A</v>
      </c>
      <c r="E96" s="73" t="e">
        <f ca="1">OFFSET(CumulativeTotal!A96,-A96,MATCH('Country Summary'!D96,CumulativeTotal!B96:BT96,0))</f>
        <v>#N/A</v>
      </c>
      <c r="F96" s="43">
        <f>MAX(CumulativeTotal!96:96)</f>
        <v>47</v>
      </c>
      <c r="G96" s="43">
        <f>MAX(CumulativeRecovered!96:96)</f>
        <v>0</v>
      </c>
      <c r="H96" s="43">
        <f>MAX(CumulativeDead!96:96)</f>
        <v>1</v>
      </c>
    </row>
    <row r="97" spans="1:8" x14ac:dyDescent="0.3">
      <c r="A97" s="64">
        <v>96</v>
      </c>
      <c r="B97" s="72" t="s">
        <v>438</v>
      </c>
      <c r="C97" s="72" t="s">
        <v>438</v>
      </c>
      <c r="D97" s="64" t="e">
        <f>VLOOKUP(C97,DaysSince100!H:I,2,FALSE)</f>
        <v>#N/A</v>
      </c>
      <c r="E97" s="73" t="e">
        <f ca="1">OFFSET(CumulativeTotal!A97,-A97,MATCH('Country Summary'!D97,CumulativeTotal!B97:BT97,0))</f>
        <v>#N/A</v>
      </c>
      <c r="F97" s="43">
        <f>MAX(CumulativeTotal!97:97)</f>
        <v>5</v>
      </c>
      <c r="G97" s="43">
        <f>MAX(CumulativeRecovered!97:97)</f>
        <v>0</v>
      </c>
      <c r="H97" s="43">
        <f>MAX(CumulativeDead!97:97)</f>
        <v>0</v>
      </c>
    </row>
    <row r="98" spans="1:8" x14ac:dyDescent="0.3">
      <c r="A98" s="64">
        <v>97</v>
      </c>
      <c r="B98" s="72" t="s">
        <v>441</v>
      </c>
      <c r="C98" s="72" t="s">
        <v>441</v>
      </c>
      <c r="D98" s="64" t="e">
        <f>VLOOKUP(C98,DaysSince100!H:I,2,FALSE)</f>
        <v>#N/A</v>
      </c>
      <c r="E98" s="73" t="e">
        <f ca="1">OFFSET(CumulativeTotal!A98,-A98,MATCH('Country Summary'!D98,CumulativeTotal!B98:BT98,0))</f>
        <v>#N/A</v>
      </c>
      <c r="F98" s="43">
        <f>MAX(CumulativeTotal!98:98)</f>
        <v>33</v>
      </c>
      <c r="G98" s="43">
        <f>MAX(CumulativeRecovered!98:98)</f>
        <v>0</v>
      </c>
      <c r="H98" s="43">
        <f>MAX(CumulativeDead!98:98)</f>
        <v>0</v>
      </c>
    </row>
    <row r="99" spans="1:8" x14ac:dyDescent="0.3">
      <c r="A99" s="64">
        <v>98</v>
      </c>
      <c r="B99" s="72" t="s">
        <v>229</v>
      </c>
      <c r="C99" s="72" t="s">
        <v>229</v>
      </c>
      <c r="D99" s="64" t="e">
        <f>VLOOKUP(C99,DaysSince100!H:I,2,FALSE)</f>
        <v>#N/A</v>
      </c>
      <c r="E99" s="73" t="e">
        <f ca="1">OFFSET(CumulativeTotal!A99,-A99,MATCH('Country Summary'!D99,CumulativeTotal!B99:BT99,0))</f>
        <v>#N/A</v>
      </c>
      <c r="F99" s="43">
        <f>MAX(CumulativeTotal!99:99)</f>
        <v>10</v>
      </c>
      <c r="G99" s="43">
        <f>MAX(CumulativeRecovered!99:99)</f>
        <v>3</v>
      </c>
      <c r="H99" s="43">
        <f>MAX(CumulativeDead!99:99)</f>
        <v>0</v>
      </c>
    </row>
    <row r="100" spans="1:8" x14ac:dyDescent="0.3">
      <c r="A100" s="64">
        <v>99</v>
      </c>
      <c r="B100" s="72" t="s">
        <v>374</v>
      </c>
      <c r="C100" s="72" t="s">
        <v>374</v>
      </c>
      <c r="D100" s="64" t="e">
        <f>VLOOKUP(C100,DaysSince100!H:I,2,FALSE)</f>
        <v>#N/A</v>
      </c>
      <c r="E100" s="73" t="e">
        <f ca="1">OFFSET(CumulativeTotal!A100,-A100,MATCH('Country Summary'!D100,CumulativeTotal!B100:BT100,0))</f>
        <v>#N/A</v>
      </c>
      <c r="F100" s="43">
        <f>MAX(CumulativeTotal!100:100)</f>
        <v>11</v>
      </c>
      <c r="G100" s="43">
        <f>MAX(CumulativeRecovered!100:100)</f>
        <v>0</v>
      </c>
      <c r="H100" s="43">
        <f>MAX(CumulativeDead!100:100)</f>
        <v>0</v>
      </c>
    </row>
    <row r="101" spans="1:8" x14ac:dyDescent="0.3">
      <c r="A101" s="64">
        <v>100</v>
      </c>
      <c r="B101" s="72" t="s">
        <v>207</v>
      </c>
      <c r="C101" s="72" t="s">
        <v>207</v>
      </c>
      <c r="D101" s="64" t="e">
        <f>VLOOKUP(C101,DaysSince100!H:I,2,FALSE)</f>
        <v>#N/A</v>
      </c>
      <c r="E101" s="73" t="e">
        <f ca="1">OFFSET(CumulativeTotal!A101,-A101,MATCH('Country Summary'!D101,CumulativeTotal!B101:BT101,0))</f>
        <v>#N/A</v>
      </c>
      <c r="F101" s="43">
        <f>MAX(CumulativeTotal!101:101)</f>
        <v>16</v>
      </c>
      <c r="G101" s="43">
        <f>MAX(CumulativeRecovered!101:101)</f>
        <v>0</v>
      </c>
      <c r="H101" s="43">
        <f>MAX(CumulativeDead!101:101)</f>
        <v>1</v>
      </c>
    </row>
    <row r="102" spans="1:8" x14ac:dyDescent="0.3">
      <c r="A102" s="64">
        <v>101</v>
      </c>
      <c r="B102" s="72" t="s">
        <v>156</v>
      </c>
      <c r="C102" s="72" t="s">
        <v>156</v>
      </c>
      <c r="D102" s="64" t="e">
        <f>VLOOKUP(C102,DaysSince100!H:I,2,FALSE)</f>
        <v>#N/A</v>
      </c>
      <c r="E102" s="73" t="e">
        <f ca="1">OFFSET(CumulativeTotal!A102,-A102,MATCH('Country Summary'!D102,CumulativeTotal!B102:BT102,0))</f>
        <v>#N/A</v>
      </c>
      <c r="F102" s="43">
        <f>MAX(CumulativeTotal!102:102)</f>
        <v>14</v>
      </c>
      <c r="G102" s="43">
        <f>MAX(CumulativeRecovered!102:102)</f>
        <v>0</v>
      </c>
      <c r="H102" s="43">
        <f>MAX(CumulativeDead!102:102)</f>
        <v>2</v>
      </c>
    </row>
    <row r="103" spans="1:8" x14ac:dyDescent="0.3">
      <c r="A103" s="64">
        <v>102</v>
      </c>
      <c r="B103" s="72" t="s">
        <v>450</v>
      </c>
      <c r="C103" s="72" t="s">
        <v>450</v>
      </c>
      <c r="D103" s="64" t="e">
        <f>VLOOKUP(C103,DaysSince100!H:I,2,FALSE)</f>
        <v>#N/A</v>
      </c>
      <c r="E103" s="73" t="e">
        <f ca="1">OFFSET(CumulativeTotal!A103,-A103,MATCH('Country Summary'!D103,CumulativeTotal!B103:BT103,0))</f>
        <v>#N/A</v>
      </c>
      <c r="F103" s="43">
        <f>MAX(CumulativeTotal!103:103)</f>
        <v>3</v>
      </c>
      <c r="G103" s="43">
        <f>MAX(CumulativeRecovered!103:103)</f>
        <v>0</v>
      </c>
      <c r="H103" s="43">
        <f>MAX(CumulativeDead!103:103)</f>
        <v>0</v>
      </c>
    </row>
    <row r="104" spans="1:8" x14ac:dyDescent="0.3">
      <c r="A104" s="64">
        <v>103</v>
      </c>
      <c r="B104" s="72" t="s">
        <v>306</v>
      </c>
      <c r="C104" s="72" t="s">
        <v>306</v>
      </c>
      <c r="D104" s="64" t="e">
        <f>VLOOKUP(C104,DaysSince100!H:I,2,FALSE)</f>
        <v>#N/A</v>
      </c>
      <c r="E104" s="73" t="e">
        <f ca="1">OFFSET(CumulativeTotal!A104,-A104,MATCH('Country Summary'!D104,CumulativeTotal!B104:BT104,0))</f>
        <v>#N/A</v>
      </c>
      <c r="F104" s="43">
        <f>MAX(CumulativeTotal!104:104)</f>
        <v>15</v>
      </c>
      <c r="G104" s="43">
        <f>MAX(CumulativeRecovered!104:104)</f>
        <v>0</v>
      </c>
      <c r="H104" s="43">
        <f>MAX(CumulativeDead!104:104)</f>
        <v>0</v>
      </c>
    </row>
    <row r="105" spans="1:8" x14ac:dyDescent="0.3">
      <c r="A105" s="64">
        <v>104</v>
      </c>
      <c r="B105" s="72" t="s">
        <v>184</v>
      </c>
      <c r="C105" s="72" t="s">
        <v>184</v>
      </c>
      <c r="D105" s="64" t="e">
        <f>VLOOKUP(C105,DaysSince100!H:I,2,FALSE)</f>
        <v>#N/A</v>
      </c>
      <c r="E105" s="73" t="e">
        <f ca="1">OFFSET(CumulativeTotal!A105,-A105,MATCH('Country Summary'!D105,CumulativeTotal!B105:BT105,0))</f>
        <v>#N/A</v>
      </c>
      <c r="F105" s="43">
        <f>MAX(CumulativeTotal!105:105)</f>
        <v>10</v>
      </c>
      <c r="G105" s="43">
        <f>MAX(CumulativeRecovered!105:105)</f>
        <v>0</v>
      </c>
      <c r="H105" s="43">
        <f>MAX(CumulativeDead!105:105)</f>
        <v>0</v>
      </c>
    </row>
    <row r="106" spans="1:8" x14ac:dyDescent="0.3">
      <c r="A106" s="64">
        <v>105</v>
      </c>
      <c r="B106" s="72" t="s">
        <v>379</v>
      </c>
      <c r="C106" s="72" t="s">
        <v>379</v>
      </c>
      <c r="D106" s="64" t="e">
        <f>VLOOKUP(C106,DaysSince100!H:I,2,FALSE)</f>
        <v>#N/A</v>
      </c>
      <c r="E106" s="73" t="e">
        <f ca="1">OFFSET(CumulativeTotal!A106,-A106,MATCH('Country Summary'!D106,CumulativeTotal!B106:BT106,0))</f>
        <v>#N/A</v>
      </c>
      <c r="F106" s="43">
        <f>MAX(CumulativeTotal!106:106)</f>
        <v>3</v>
      </c>
      <c r="G106" s="43">
        <f>MAX(CumulativeRecovered!106:106)</f>
        <v>0</v>
      </c>
      <c r="H106" s="43">
        <f>MAX(CumulativeDead!106:106)</f>
        <v>0</v>
      </c>
    </row>
    <row r="107" spans="1:8" x14ac:dyDescent="0.3">
      <c r="A107" s="64">
        <v>106</v>
      </c>
      <c r="B107" s="72" t="s">
        <v>376</v>
      </c>
      <c r="C107" s="72" t="s">
        <v>376</v>
      </c>
      <c r="D107" s="64" t="e">
        <f>VLOOKUP(C107,DaysSince100!H:I,2,FALSE)</f>
        <v>#N/A</v>
      </c>
      <c r="E107" s="73" t="e">
        <f ca="1">OFFSET(CumulativeTotal!A107,-A107,MATCH('Country Summary'!D107,CumulativeTotal!B107:BT107,0))</f>
        <v>#N/A</v>
      </c>
      <c r="F107" s="43">
        <f>MAX(CumulativeTotal!107:107)</f>
        <v>8</v>
      </c>
      <c r="G107" s="43">
        <f>MAX(CumulativeRecovered!107:107)</f>
        <v>0</v>
      </c>
      <c r="H107" s="43">
        <f>MAX(CumulativeDead!107:107)</f>
        <v>0</v>
      </c>
    </row>
    <row r="108" spans="1:8" x14ac:dyDescent="0.3">
      <c r="A108" s="64">
        <v>107</v>
      </c>
      <c r="B108" s="72" t="s">
        <v>127</v>
      </c>
      <c r="C108" s="72" t="s">
        <v>127</v>
      </c>
      <c r="D108" s="64" t="e">
        <f>VLOOKUP(C108,DaysSince100!H:I,2,FALSE)</f>
        <v>#N/A</v>
      </c>
      <c r="E108" s="73" t="e">
        <f ca="1">OFFSET(CumulativeTotal!A108,-A108,MATCH('Country Summary'!D108,CumulativeTotal!B108:BT108,0))</f>
        <v>#N/A</v>
      </c>
      <c r="F108" s="43">
        <f>MAX(CumulativeTotal!108:108)</f>
        <v>7</v>
      </c>
      <c r="G108" s="43">
        <f>MAX(CumulativeRecovered!108:108)</f>
        <v>0</v>
      </c>
      <c r="H108" s="43">
        <f>MAX(CumulativeDead!108:108)</f>
        <v>0</v>
      </c>
    </row>
    <row r="109" spans="1:8" x14ac:dyDescent="0.3">
      <c r="A109" s="64">
        <v>108</v>
      </c>
      <c r="B109" s="72" t="s">
        <v>123</v>
      </c>
      <c r="C109" s="72" t="s">
        <v>123</v>
      </c>
      <c r="D109" s="64" t="e">
        <f>VLOOKUP(C109,DaysSince100!H:I,2,FALSE)</f>
        <v>#N/A</v>
      </c>
      <c r="E109" s="73" t="e">
        <f ca="1">OFFSET(CumulativeTotal!A109,-A109,MATCH('Country Summary'!D109,CumulativeTotal!B109:BT109,0))</f>
        <v>#N/A</v>
      </c>
      <c r="F109" s="43">
        <f>MAX(CumulativeTotal!109:109)</f>
        <v>3</v>
      </c>
      <c r="G109" s="43">
        <f>MAX(CumulativeRecovered!109:109)</f>
        <v>0</v>
      </c>
      <c r="H109" s="43">
        <f>MAX(CumulativeDead!109:109)</f>
        <v>0</v>
      </c>
    </row>
    <row r="110" spans="1:8" x14ac:dyDescent="0.3">
      <c r="A110" s="64">
        <v>109</v>
      </c>
      <c r="B110" s="72" t="s">
        <v>136</v>
      </c>
      <c r="C110" s="72" t="s">
        <v>136</v>
      </c>
      <c r="D110" s="64" t="e">
        <f>VLOOKUP(C110,DaysSince100!H:I,2,FALSE)</f>
        <v>#N/A</v>
      </c>
      <c r="E110" s="73" t="e">
        <f ca="1">OFFSET(CumulativeTotal!A110,-A110,MATCH('Country Summary'!D110,CumulativeTotal!B110:BT110,0))</f>
        <v>#N/A</v>
      </c>
      <c r="F110" s="43">
        <f>MAX(CumulativeTotal!110:110)</f>
        <v>39</v>
      </c>
      <c r="G110" s="43">
        <f>MAX(CumulativeRecovered!110:110)</f>
        <v>1</v>
      </c>
      <c r="H110" s="43">
        <f>MAX(CumulativeDead!110:110)</f>
        <v>0</v>
      </c>
    </row>
    <row r="111" spans="1:8" x14ac:dyDescent="0.3">
      <c r="A111" s="64">
        <v>110</v>
      </c>
      <c r="B111" s="72" t="s">
        <v>452</v>
      </c>
      <c r="C111" s="72" t="s">
        <v>452</v>
      </c>
      <c r="D111" s="64" t="e">
        <f>VLOOKUP(C111,DaysSince100!H:I,2,FALSE)</f>
        <v>#N/A</v>
      </c>
      <c r="E111" s="73" t="e">
        <f ca="1">OFFSET(CumulativeTotal!A111,-A111,MATCH('Country Summary'!D111,CumulativeTotal!B111:BT111,0))</f>
        <v>#N/A</v>
      </c>
      <c r="F111" s="43">
        <f>MAX(CumulativeTotal!111:111)</f>
        <v>1</v>
      </c>
      <c r="G111" s="43">
        <f>MAX(CumulativeRecovered!111:111)</f>
        <v>0</v>
      </c>
      <c r="H111" s="43">
        <f>MAX(CumulativeDead!111:111)</f>
        <v>0</v>
      </c>
    </row>
    <row r="112" spans="1:8" x14ac:dyDescent="0.3">
      <c r="A112" s="64">
        <v>111</v>
      </c>
      <c r="B112" s="72" t="s">
        <v>183</v>
      </c>
      <c r="C112" s="72" t="s">
        <v>183</v>
      </c>
      <c r="D112" s="64" t="e">
        <f>VLOOKUP(C112,DaysSince100!H:I,2,FALSE)</f>
        <v>#N/A</v>
      </c>
      <c r="E112" s="73" t="e">
        <f ca="1">OFFSET(CumulativeTotal!A112,-A112,MATCH('Country Summary'!D112,CumulativeTotal!B112:BT112,0))</f>
        <v>#N/A</v>
      </c>
      <c r="F112" s="43">
        <f>MAX(CumulativeTotal!112:112)</f>
        <v>1</v>
      </c>
      <c r="G112" s="43">
        <f>MAX(CumulativeRecovered!112:112)</f>
        <v>0</v>
      </c>
      <c r="H112" s="43">
        <f>MAX(CumulativeDead!112:112)</f>
        <v>0</v>
      </c>
    </row>
    <row r="113" spans="1:8" x14ac:dyDescent="0.3">
      <c r="A113" s="64">
        <v>112</v>
      </c>
      <c r="B113" s="72" t="s">
        <v>443</v>
      </c>
      <c r="C113" s="72" t="s">
        <v>443</v>
      </c>
      <c r="D113" s="64" t="e">
        <f>VLOOKUP(C113,DaysSince100!H:I,2,FALSE)</f>
        <v>#N/A</v>
      </c>
      <c r="E113" s="73" t="e">
        <f ca="1">OFFSET(CumulativeTotal!A113,-A113,MATCH('Country Summary'!D113,CumulativeTotal!B113:BT113,0))</f>
        <v>#N/A</v>
      </c>
      <c r="F113" s="43">
        <f>MAX(CumulativeTotal!113:113)</f>
        <v>0</v>
      </c>
      <c r="G113" s="43">
        <f>MAX(CumulativeRecovered!113:113)</f>
        <v>0</v>
      </c>
      <c r="H113" s="43">
        <f>MAX(CumulativeDead!113:113)</f>
        <v>0</v>
      </c>
    </row>
    <row r="114" spans="1:8" x14ac:dyDescent="0.3">
      <c r="A114" s="64">
        <v>113</v>
      </c>
      <c r="B114" s="72" t="s">
        <v>380</v>
      </c>
      <c r="C114" s="72" t="s">
        <v>380</v>
      </c>
      <c r="D114" s="64" t="e">
        <f>VLOOKUP(C114,DaysSince100!H:I,2,FALSE)</f>
        <v>#N/A</v>
      </c>
      <c r="E114" s="73" t="e">
        <f ca="1">OFFSET(CumulativeTotal!A114,-A114,MATCH('Country Summary'!D114,CumulativeTotal!B114:BT114,0))</f>
        <v>#N/A</v>
      </c>
      <c r="F114" s="43">
        <f>MAX(CumulativeTotal!114:114)</f>
        <v>5</v>
      </c>
      <c r="G114" s="43">
        <f>MAX(CumulativeRecovered!114:114)</f>
        <v>1</v>
      </c>
      <c r="H114" s="43">
        <f>MAX(CumulativeDead!114:114)</f>
        <v>0</v>
      </c>
    </row>
    <row r="115" spans="1:8" x14ac:dyDescent="0.3">
      <c r="A115" s="64">
        <v>114</v>
      </c>
      <c r="B115" s="72" t="s">
        <v>447</v>
      </c>
      <c r="C115" s="72" t="s">
        <v>447</v>
      </c>
      <c r="D115" s="64" t="e">
        <f>VLOOKUP(C115,DaysSince100!H:I,2,FALSE)</f>
        <v>#N/A</v>
      </c>
      <c r="E115" s="73" t="e">
        <f ca="1">OFFSET(CumulativeTotal!A115,-A115,MATCH('Country Summary'!D115,CumulativeTotal!B115:BT115,0))</f>
        <v>#N/A</v>
      </c>
      <c r="F115" s="43">
        <f>MAX(CumulativeTotal!115:115)</f>
        <v>5</v>
      </c>
      <c r="G115" s="43">
        <f>MAX(CumulativeRecovered!115:115)</f>
        <v>0</v>
      </c>
      <c r="H115" s="43">
        <f>MAX(CumulativeDead!115:115)</f>
        <v>0</v>
      </c>
    </row>
    <row r="116" spans="1:8" x14ac:dyDescent="0.3">
      <c r="A116" s="64">
        <v>115</v>
      </c>
      <c r="B116" s="72" t="s">
        <v>444</v>
      </c>
      <c r="C116" s="72" t="s">
        <v>444</v>
      </c>
      <c r="D116" s="64" t="e">
        <f>VLOOKUP(C116,DaysSince100!H:I,2,FALSE)</f>
        <v>#N/A</v>
      </c>
      <c r="E116" s="73" t="e">
        <f ca="1">OFFSET(CumulativeTotal!A116,-A116,MATCH('Country Summary'!D116,CumulativeTotal!B116:BT116,0))</f>
        <v>#N/A</v>
      </c>
      <c r="F116" s="43">
        <f>MAX(CumulativeTotal!116:116)</f>
        <v>0</v>
      </c>
      <c r="G116" s="43">
        <f>MAX(CumulativeRecovered!116:116)</f>
        <v>0</v>
      </c>
      <c r="H116" s="43">
        <f>MAX(CumulativeDead!116:116)</f>
        <v>0</v>
      </c>
    </row>
    <row r="117" spans="1:8" x14ac:dyDescent="0.3">
      <c r="A117" s="64">
        <v>116</v>
      </c>
      <c r="B117" s="72" t="s">
        <v>449</v>
      </c>
      <c r="C117" s="72" t="s">
        <v>449</v>
      </c>
      <c r="D117" s="64" t="e">
        <f>VLOOKUP(C117,DaysSince100!H:I,2,FALSE)</f>
        <v>#N/A</v>
      </c>
      <c r="E117" s="73" t="e">
        <f ca="1">OFFSET(CumulativeTotal!A117,-A117,MATCH('Country Summary'!D117,CumulativeTotal!B117:BT117,0))</f>
        <v>#N/A</v>
      </c>
      <c r="F117" s="43">
        <f>MAX(CumulativeTotal!117:117)</f>
        <v>1</v>
      </c>
      <c r="G117" s="43">
        <f>MAX(CumulativeRecovered!117:117)</f>
        <v>0</v>
      </c>
      <c r="H117" s="43">
        <f>MAX(CumulativeDead!117:117)</f>
        <v>0</v>
      </c>
    </row>
    <row r="118" spans="1:8" x14ac:dyDescent="0.3">
      <c r="A118" s="64">
        <v>117</v>
      </c>
      <c r="B118" s="72" t="s">
        <v>439</v>
      </c>
      <c r="C118" s="72" t="s">
        <v>439</v>
      </c>
      <c r="D118" s="64" t="e">
        <f>VLOOKUP(C118,DaysSince100!H:I,2,FALSE)</f>
        <v>#N/A</v>
      </c>
      <c r="E118" s="73" t="e">
        <f ca="1">OFFSET(CumulativeTotal!A118,-A118,MATCH('Country Summary'!D118,CumulativeTotal!B118:BT118,0))</f>
        <v>#N/A</v>
      </c>
      <c r="F118" s="43">
        <f>MAX(CumulativeTotal!118:118)</f>
        <v>7</v>
      </c>
      <c r="G118" s="43">
        <f>MAX(CumulativeRecovered!118:118)</f>
        <v>0</v>
      </c>
      <c r="H118" s="43">
        <f>MAX(CumulativeDead!118:118)</f>
        <v>1</v>
      </c>
    </row>
    <row r="119" spans="1:8" x14ac:dyDescent="0.3">
      <c r="A119" s="64">
        <v>118</v>
      </c>
      <c r="B119" s="72" t="s">
        <v>308</v>
      </c>
      <c r="C119" s="72" t="s">
        <v>308</v>
      </c>
      <c r="D119" s="64" t="e">
        <f>VLOOKUP(C119,DaysSince100!H:I,2,FALSE)</f>
        <v>#N/A</v>
      </c>
      <c r="E119" s="73" t="e">
        <f ca="1">OFFSET(CumulativeTotal!A119,-A119,MATCH('Country Summary'!D119,CumulativeTotal!B119:BT119,0))</f>
        <v>#N/A</v>
      </c>
      <c r="F119" s="43">
        <f>MAX(CumulativeTotal!119:119)</f>
        <v>1</v>
      </c>
      <c r="G119" s="43">
        <f>MAX(CumulativeRecovered!119:119)</f>
        <v>0</v>
      </c>
      <c r="H119" s="43">
        <f>MAX(CumulativeDead!119:119)</f>
        <v>0</v>
      </c>
    </row>
    <row r="120" spans="1:8" x14ac:dyDescent="0.3">
      <c r="A120" s="64">
        <v>119</v>
      </c>
      <c r="B120" s="72" t="s">
        <v>152</v>
      </c>
      <c r="C120" s="72" t="s">
        <v>152</v>
      </c>
      <c r="D120" s="64" t="e">
        <f>VLOOKUP(C120,DaysSince100!H:I,2,FALSE)</f>
        <v>#N/A</v>
      </c>
      <c r="E120" s="73" t="e">
        <f ca="1">OFFSET(CumulativeTotal!A120,-A120,MATCH('Country Summary'!D120,CumulativeTotal!B120:BT120,0))</f>
        <v>#N/A</v>
      </c>
      <c r="F120" s="43">
        <f>MAX(CumulativeTotal!120:120)</f>
        <v>34</v>
      </c>
      <c r="G120" s="43">
        <f>MAX(CumulativeRecovered!120:120)</f>
        <v>1</v>
      </c>
      <c r="H120" s="43">
        <f>MAX(CumulativeDead!120:120)</f>
        <v>0</v>
      </c>
    </row>
    <row r="121" spans="1:8" x14ac:dyDescent="0.3">
      <c r="A121" s="64">
        <v>120</v>
      </c>
      <c r="B121" s="72" t="s">
        <v>451</v>
      </c>
      <c r="C121" s="72" t="s">
        <v>451</v>
      </c>
      <c r="D121" s="64" t="e">
        <f>VLOOKUP(C121,DaysSince100!H:I,2,FALSE)</f>
        <v>#N/A</v>
      </c>
      <c r="E121" s="73" t="e">
        <f ca="1">OFFSET(CumulativeTotal!A121,-A121,MATCH('Country Summary'!D121,CumulativeTotal!B121:BT121,0))</f>
        <v>#N/A</v>
      </c>
      <c r="F121" s="43">
        <f>MAX(CumulativeTotal!121:121)</f>
        <v>3</v>
      </c>
      <c r="G121" s="43">
        <f>MAX(CumulativeRecovered!121:121)</f>
        <v>0</v>
      </c>
      <c r="H121" s="43">
        <f>MAX(CumulativeDead!121:121)</f>
        <v>0</v>
      </c>
    </row>
    <row r="122" spans="1:8" x14ac:dyDescent="0.3">
      <c r="A122" s="64">
        <v>121</v>
      </c>
      <c r="B122" s="72" t="s">
        <v>163</v>
      </c>
      <c r="C122" s="72" t="s">
        <v>163</v>
      </c>
      <c r="D122" s="64" t="e">
        <f>VLOOKUP(C122,DaysSince100!H:I,2,FALSE)</f>
        <v>#N/A</v>
      </c>
      <c r="E122" s="73" t="e">
        <f ca="1">OFFSET(CumulativeTotal!A122,-A122,MATCH('Country Summary'!D122,CumulativeTotal!B122:BT122,0))</f>
        <v>#N/A</v>
      </c>
      <c r="F122" s="43">
        <f>MAX(CumulativeTotal!122:122)</f>
        <v>7</v>
      </c>
      <c r="G122" s="43">
        <f>MAX(CumulativeRecovered!122:122)</f>
        <v>0</v>
      </c>
      <c r="H122" s="43">
        <f>MAX(CumulativeDead!122:122)</f>
        <v>0</v>
      </c>
    </row>
    <row r="123" spans="1:8" x14ac:dyDescent="0.3">
      <c r="A123" s="64">
        <v>122</v>
      </c>
      <c r="B123" s="72" t="s">
        <v>309</v>
      </c>
      <c r="C123" s="72" t="s">
        <v>309</v>
      </c>
      <c r="D123" s="64" t="e">
        <f>VLOOKUP(C123,DaysSince100!H:I,2,FALSE)</f>
        <v>#N/A</v>
      </c>
      <c r="E123" s="73" t="e">
        <f ca="1">OFFSET(CumulativeTotal!A123,-A123,MATCH('Country Summary'!D123,CumulativeTotal!B123:BT123,0))</f>
        <v>#N/A</v>
      </c>
      <c r="F123" s="43">
        <f>MAX(CumulativeTotal!123:123)</f>
        <v>5</v>
      </c>
      <c r="G123" s="43">
        <f>MAX(CumulativeRecovered!123:123)</f>
        <v>0</v>
      </c>
      <c r="H123" s="43">
        <f>MAX(CumulativeDead!123:123)</f>
        <v>0</v>
      </c>
    </row>
    <row r="124" spans="1:8" x14ac:dyDescent="0.3">
      <c r="A124" s="64">
        <v>123</v>
      </c>
      <c r="B124" s="72" t="s">
        <v>69</v>
      </c>
      <c r="C124" s="72" t="s">
        <v>69</v>
      </c>
      <c r="D124" s="64" t="e">
        <f>VLOOKUP(C124,DaysSince100!H:I,2,FALSE)</f>
        <v>#N/A</v>
      </c>
      <c r="E124" s="73" t="e">
        <f ca="1">OFFSET(CumulativeTotal!A124,-A124,MATCH('Country Summary'!D124,CumulativeTotal!B124:BT124,0))</f>
        <v>#N/A</v>
      </c>
      <c r="F124" s="43">
        <f>MAX(CumulativeTotal!124:124)</f>
        <v>1</v>
      </c>
      <c r="G124" s="43">
        <f>MAX(CumulativeRecovered!124:124)</f>
        <v>1</v>
      </c>
      <c r="H124" s="43">
        <f>MAX(CumulativeDead!124:124)</f>
        <v>0</v>
      </c>
    </row>
    <row r="125" spans="1:8" x14ac:dyDescent="0.3">
      <c r="A125" s="64">
        <v>124</v>
      </c>
      <c r="B125" s="72" t="s">
        <v>448</v>
      </c>
      <c r="C125" s="72" t="s">
        <v>448</v>
      </c>
      <c r="D125" s="64" t="e">
        <f>VLOOKUP(C125,DaysSince100!H:I,2,FALSE)</f>
        <v>#N/A</v>
      </c>
      <c r="E125" s="73" t="e">
        <f ca="1">OFFSET(CumulativeTotal!A125,-A125,MATCH('Country Summary'!D125,CumulativeTotal!B125:BT125,0))</f>
        <v>#N/A</v>
      </c>
      <c r="F125" s="43">
        <f>MAX(CumulativeTotal!125:125)</f>
        <v>1</v>
      </c>
      <c r="G125" s="43">
        <f>MAX(CumulativeRecovered!125:125)</f>
        <v>0</v>
      </c>
      <c r="H125" s="43">
        <f>MAX(CumulativeDead!125:125)</f>
        <v>1</v>
      </c>
    </row>
    <row r="126" spans="1:8" x14ac:dyDescent="0.3">
      <c r="A126" s="64">
        <v>125</v>
      </c>
      <c r="B126" s="64" t="e">
        <f>VLOOKUP(A125,DaysSince100!G:H,2,FALSE)</f>
        <v>#N/A</v>
      </c>
      <c r="C126" s="64" t="e">
        <f>VLOOKUP(B127,DaysSince100!H:I,2,FALSE)</f>
        <v>#N/A</v>
      </c>
      <c r="D126" s="73" t="e">
        <f ca="1">OFFSET(CumulativeTotal!A126,-A126,MATCH('Country Summary'!C126,CumulativeTotal!B126:BT126,0))</f>
        <v>#N/A</v>
      </c>
      <c r="E126" s="43">
        <f>MAX(CumulativeTotal!126:126)</f>
        <v>1</v>
      </c>
      <c r="G126" s="43">
        <f>MAX(CumulativeRecovered!126:126)</f>
        <v>0</v>
      </c>
      <c r="H126" s="43">
        <f>MAX(CumulativeDead!126:126)</f>
        <v>0</v>
      </c>
    </row>
    <row r="127" spans="1:8" x14ac:dyDescent="0.3">
      <c r="B127" s="72" t="s">
        <v>190</v>
      </c>
      <c r="G127" s="43">
        <f>MAX(CumulativeRecovered!127:127)</f>
        <v>0</v>
      </c>
      <c r="H127" s="43">
        <f>MAX(CumulativeDead!127:127)</f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BF3" sqref="BF3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365</v>
      </c>
      <c r="B2">
        <f>SUMIF(RawDataTotal!$B:$B,$A2,RawDataTotal!E:E)</f>
        <v>548</v>
      </c>
      <c r="C2">
        <f>SUMIF(RawDataTotal!$B:$B,$A2,RawDataTotal!F:F)</f>
        <v>643</v>
      </c>
      <c r="D2">
        <f>SUMIF(RawDataTotal!$B:$B,$A2,RawDataTotal!G:G)</f>
        <v>920</v>
      </c>
      <c r="E2">
        <f>SUMIF(RawDataTotal!$B:$B,$A2,RawDataTotal!H:H)</f>
        <v>1406</v>
      </c>
      <c r="F2">
        <f>SUMIF(RawDataTotal!$B:$B,$A2,RawDataTotal!I:I)</f>
        <v>2075</v>
      </c>
      <c r="G2">
        <f>SUMIF(RawDataTotal!$B:$B,$A2,RawDataTotal!J:J)</f>
        <v>2877</v>
      </c>
      <c r="H2">
        <f>SUMIF(RawDataTotal!$B:$B,$A2,RawDataTotal!K:K)</f>
        <v>5509</v>
      </c>
      <c r="I2">
        <f>SUMIF(RawDataTotal!$B:$B,$A2,RawDataTotal!L:L)</f>
        <v>6087</v>
      </c>
      <c r="J2">
        <f>SUMIF(RawDataTotal!$B:$B,$A2,RawDataTotal!M:M)</f>
        <v>8141</v>
      </c>
      <c r="K2">
        <f>SUMIF(RawDataTotal!$B:$B,$A2,RawDataTotal!N:N)</f>
        <v>9802</v>
      </c>
      <c r="L2">
        <f>SUMIF(RawDataTotal!$B:$B,$A2,RawDataTotal!O:O)</f>
        <v>11891</v>
      </c>
      <c r="M2">
        <f>SUMIF(RawDataTotal!$B:$B,$A2,RawDataTotal!P:P)</f>
        <v>16630</v>
      </c>
      <c r="N2">
        <f>SUMIF(RawDataTotal!$B:$B,$A2,RawDataTotal!Q:Q)</f>
        <v>19716</v>
      </c>
      <c r="O2">
        <f>SUMIF(RawDataTotal!$B:$B,$A2,RawDataTotal!R:R)</f>
        <v>23707</v>
      </c>
      <c r="P2">
        <f>SUMIF(RawDataTotal!$B:$B,$A2,RawDataTotal!S:S)</f>
        <v>27440</v>
      </c>
      <c r="Q2">
        <f>SUMIF(RawDataTotal!$B:$B,$A2,RawDataTotal!T:T)</f>
        <v>30587</v>
      </c>
      <c r="R2">
        <f>SUMIF(RawDataTotal!$B:$B,$A2,RawDataTotal!U:U)</f>
        <v>34110</v>
      </c>
      <c r="S2">
        <f>SUMIF(RawDataTotal!$B:$B,$A2,RawDataTotal!V:V)</f>
        <v>36814</v>
      </c>
      <c r="T2">
        <f>SUMIF(RawDataTotal!$B:$B,$A2,RawDataTotal!W:W)</f>
        <v>39829</v>
      </c>
      <c r="U2">
        <f>SUMIF(RawDataTotal!$B:$B,$A2,RawDataTotal!X:X)</f>
        <v>42354</v>
      </c>
      <c r="V2">
        <f>SUMIF(RawDataTotal!$B:$B,$A2,RawDataTotal!Y:Y)</f>
        <v>44386</v>
      </c>
      <c r="W2">
        <f>SUMIF(RawDataTotal!$B:$B,$A2,RawDataTotal!Z:Z)</f>
        <v>44759</v>
      </c>
      <c r="X2">
        <f>SUMIF(RawDataTotal!$B:$B,$A2,RawDataTotal!AA:AA)</f>
        <v>59895</v>
      </c>
      <c r="Y2">
        <f>SUMIF(RawDataTotal!$B:$B,$A2,RawDataTotal!AB:AB)</f>
        <v>66358</v>
      </c>
      <c r="Z2">
        <f>SUMIF(RawDataTotal!$B:$B,$A2,RawDataTotal!AC:AC)</f>
        <v>68413</v>
      </c>
      <c r="AA2">
        <f>SUMIF(RawDataTotal!$B:$B,$A2,RawDataTotal!AD:AD)</f>
        <v>70513</v>
      </c>
      <c r="AB2">
        <f>SUMIF(RawDataTotal!$B:$B,$A2,RawDataTotal!AE:AE)</f>
        <v>72434</v>
      </c>
      <c r="AC2">
        <f>SUMIF(RawDataTotal!$B:$B,$A2,RawDataTotal!AF:AF)</f>
        <v>74211</v>
      </c>
      <c r="AD2">
        <f>SUMIF(RawDataTotal!$B:$B,$A2,RawDataTotal!AG:AG)</f>
        <v>74619</v>
      </c>
      <c r="AE2">
        <f>SUMIF(RawDataTotal!$B:$B,$A2,RawDataTotal!AH:AH)</f>
        <v>75077</v>
      </c>
      <c r="AF2">
        <f>SUMIF(RawDataTotal!$B:$B,$A2,RawDataTotal!AI:AI)</f>
        <v>75550</v>
      </c>
      <c r="AG2">
        <f>SUMIF(RawDataTotal!$B:$B,$A2,RawDataTotal!AJ:AJ)</f>
        <v>77001</v>
      </c>
      <c r="AH2">
        <f>SUMIF(RawDataTotal!$B:$B,$A2,RawDataTotal!AK:AK)</f>
        <v>77022</v>
      </c>
      <c r="AI2">
        <f>SUMIF(RawDataTotal!$B:$B,$A2,RawDataTotal!AL:AL)</f>
        <v>77241</v>
      </c>
      <c r="AJ2">
        <f>SUMIF(RawDataTotal!$B:$B,$A2,RawDataTotal!AM:AM)</f>
        <v>77754</v>
      </c>
      <c r="AK2">
        <f>SUMIF(RawDataTotal!$B:$B,$A2,RawDataTotal!AN:AN)</f>
        <v>78166</v>
      </c>
      <c r="AL2">
        <f>SUMIF(RawDataTotal!$B:$B,$A2,RawDataTotal!AO:AO)</f>
        <v>78600</v>
      </c>
      <c r="AM2">
        <f>SUMIF(RawDataTotal!$B:$B,$A2,RawDataTotal!AP:AP)</f>
        <v>78928</v>
      </c>
      <c r="AN2">
        <f>SUMIF(RawDataTotal!$B:$B,$A2,RawDataTotal!AQ:AQ)</f>
        <v>79356</v>
      </c>
      <c r="AO2">
        <f>SUMIF(RawDataTotal!$B:$B,$A2,RawDataTotal!AR:AR)</f>
        <v>79932</v>
      </c>
      <c r="AP2">
        <f>SUMIF(RawDataTotal!$B:$B,$A2,RawDataTotal!AS:AS)</f>
        <v>80136</v>
      </c>
      <c r="AQ2">
        <f>SUMIF(RawDataTotal!$B:$B,$A2,RawDataTotal!AT:AT)</f>
        <v>80261</v>
      </c>
      <c r="AR2">
        <f>SUMIF(RawDataTotal!$B:$B,$A2,RawDataTotal!AU:AU)</f>
        <v>80386</v>
      </c>
      <c r="AS2">
        <f>SUMIF(RawDataTotal!$B:$B,$A2,RawDataTotal!AV:AV)</f>
        <v>80537</v>
      </c>
      <c r="AT2">
        <f>SUMIF(RawDataTotal!$B:$B,$A2,RawDataTotal!AW:AW)</f>
        <v>80690</v>
      </c>
      <c r="AU2">
        <f>SUMIF(RawDataTotal!$B:$B,$A2,RawDataTotal!AX:AX)</f>
        <v>80770</v>
      </c>
      <c r="AV2">
        <f>SUMIF(RawDataTotal!$B:$B,$A2,RawDataTotal!AY:AY)</f>
        <v>80823</v>
      </c>
      <c r="AW2">
        <f>SUMIF(RawDataTotal!$B:$B,$A2,RawDataTotal!AZ:AZ)</f>
        <v>80860</v>
      </c>
      <c r="AX2">
        <f>SUMIF(RawDataTotal!$B:$B,$A2,RawDataTotal!BA:BA)</f>
        <v>80887</v>
      </c>
      <c r="AY2">
        <f>SUMIF(RawDataTotal!$B:$B,$A2,RawDataTotal!BB:BB)</f>
        <v>80921</v>
      </c>
      <c r="AZ2">
        <f>SUMIF(RawDataTotal!$B:$B,$A2,RawDataTotal!BC:BC)</f>
        <v>80932</v>
      </c>
      <c r="BA2">
        <f>SUMIF(RawDataTotal!$B:$B,$A2,RawDataTotal!BD:BD)</f>
        <v>80945</v>
      </c>
      <c r="BB2">
        <f>SUMIF(RawDataTotal!$B:$B,$A2,RawDataTotal!BE:BE)</f>
        <v>80977</v>
      </c>
      <c r="BC2">
        <f>SUMIF(RawDataTotal!$B:$B,$A2,RawDataTotal!BF:BF)</f>
        <v>81003</v>
      </c>
      <c r="BD2">
        <f>SUMIF(RawDataTotal!$B:$B,$A2,RawDataTotal!BG:BG)</f>
        <v>81033</v>
      </c>
      <c r="BE2">
        <f>SUMIF(RawDataTotal!$B:$B,$A2,RawDataTotal!BH:BH)</f>
        <v>81058</v>
      </c>
      <c r="BF2">
        <f>SUMIF(RawDataTotal!$B:$B,$A2,RawDataTotal!BI:BI)</f>
        <v>0</v>
      </c>
      <c r="BG2">
        <f>SUMIF(RawDataTotal!$B:$B,$A2,RawDataTotal!BJ:BJ)</f>
        <v>0</v>
      </c>
      <c r="BH2">
        <f>SUMIF(RawDataTotal!$B:$B,$A2,RawDataTotal!BK:BK)</f>
        <v>0</v>
      </c>
      <c r="BI2">
        <f>SUMIF(RawDataTotal!$B:$B,$A2,RawDataTotal!BL:BL)</f>
        <v>0</v>
      </c>
      <c r="BJ2">
        <f>SUMIF(RawDataTotal!$B:$B,$A2,RawDataTotal!BM:BM)</f>
        <v>0</v>
      </c>
      <c r="BK2">
        <f>SUMIF(RawDataTotal!$B:$B,$A2,RawDataTotal!BN:BN)</f>
        <v>0</v>
      </c>
      <c r="BL2">
        <f>SUMIF(RawDataTotal!$B:$B,$A2,RawDataTotal!BO:BO)</f>
        <v>0</v>
      </c>
      <c r="BM2">
        <f>SUMIF(RawDataTotal!$B:$B,$A2,RawDataTotal!BP:BP)</f>
        <v>0</v>
      </c>
      <c r="BN2">
        <f>SUMIF(RawDataTotal!$B:$B,$A2,RawDataTotal!BQ:BQ)</f>
        <v>0</v>
      </c>
      <c r="BO2">
        <f>SUMIF(RawDataTotal!$B:$B,$A2,RawDataTotal!BR:BR)</f>
        <v>0</v>
      </c>
      <c r="BP2">
        <f>SUMIF(RawDataTotal!$B:$B,$A2,RawDataTotal!BS:BS)</f>
        <v>0</v>
      </c>
      <c r="BQ2">
        <f>SUMIF(RawDataTotal!$B:$B,$A2,RawDataTotal!BT:BT)</f>
        <v>0</v>
      </c>
      <c r="BR2">
        <f>SUMIF(RawDataTotal!$B:$B,$A2,RawDataTotal!BU:BU)</f>
        <v>0</v>
      </c>
      <c r="BS2">
        <f>SUMIF(RawDataTotal!$B:$B,$A2,RawDataTotal!BV:BV)</f>
        <v>0</v>
      </c>
      <c r="BT2">
        <f>SUMIF(RawDataTotal!$B:$B,$A2,RawDataTotal!BW:BW)</f>
        <v>0</v>
      </c>
    </row>
    <row r="3" spans="1:72" ht="15" thickBot="1" x14ac:dyDescent="0.35">
      <c r="A3" s="3" t="s">
        <v>85</v>
      </c>
      <c r="B3">
        <f>SUMIF(RawDataTotal!$B:$B,$A3,RawDataTotal!E:E)</f>
        <v>0</v>
      </c>
      <c r="C3">
        <f>SUMIF(RawDataTotal!$B:$B,$A3,RawDataTotal!F:F)</f>
        <v>0</v>
      </c>
      <c r="D3">
        <f>SUMIF(RawDataTotal!$B:$B,$A3,RawDataTotal!G:G)</f>
        <v>0</v>
      </c>
      <c r="E3">
        <f>SUMIF(RawDataTotal!$B:$B,$A3,RawDataTotal!H:H)</f>
        <v>0</v>
      </c>
      <c r="F3">
        <f>SUMIF(RawDataTotal!$B:$B,$A3,RawDataTotal!I:I)</f>
        <v>0</v>
      </c>
      <c r="G3">
        <f>SUMIF(RawDataTotal!$B:$B,$A3,RawDataTotal!J:J)</f>
        <v>0</v>
      </c>
      <c r="H3">
        <f>SUMIF(RawDataTotal!$B:$B,$A3,RawDataTotal!K:K)</f>
        <v>0</v>
      </c>
      <c r="I3">
        <f>SUMIF(RawDataTotal!$B:$B,$A3,RawDataTotal!L:L)</f>
        <v>0</v>
      </c>
      <c r="J3">
        <f>SUMIF(RawDataTotal!$B:$B,$A3,RawDataTotal!M:M)</f>
        <v>0</v>
      </c>
      <c r="K3">
        <f>SUMIF(RawDataTotal!$B:$B,$A3,RawDataTotal!N:N)</f>
        <v>2</v>
      </c>
      <c r="L3">
        <f>SUMIF(RawDataTotal!$B:$B,$A3,RawDataTotal!O:O)</f>
        <v>2</v>
      </c>
      <c r="M3">
        <f>SUMIF(RawDataTotal!$B:$B,$A3,RawDataTotal!P:P)</f>
        <v>2</v>
      </c>
      <c r="N3">
        <f>SUMIF(RawDataTotal!$B:$B,$A3,RawDataTotal!Q:Q)</f>
        <v>2</v>
      </c>
      <c r="O3">
        <f>SUMIF(RawDataTotal!$B:$B,$A3,RawDataTotal!R:R)</f>
        <v>2</v>
      </c>
      <c r="P3">
        <f>SUMIF(RawDataTotal!$B:$B,$A3,RawDataTotal!S:S)</f>
        <v>2</v>
      </c>
      <c r="Q3">
        <f>SUMIF(RawDataTotal!$B:$B,$A3,RawDataTotal!T:T)</f>
        <v>2</v>
      </c>
      <c r="R3">
        <f>SUMIF(RawDataTotal!$B:$B,$A3,RawDataTotal!U:U)</f>
        <v>3</v>
      </c>
      <c r="S3">
        <f>SUMIF(RawDataTotal!$B:$B,$A3,RawDataTotal!V:V)</f>
        <v>3</v>
      </c>
      <c r="T3">
        <f>SUMIF(RawDataTotal!$B:$B,$A3,RawDataTotal!W:W)</f>
        <v>3</v>
      </c>
      <c r="U3">
        <f>SUMIF(RawDataTotal!$B:$B,$A3,RawDataTotal!X:X)</f>
        <v>3</v>
      </c>
      <c r="V3">
        <f>SUMIF(RawDataTotal!$B:$B,$A3,RawDataTotal!Y:Y)</f>
        <v>3</v>
      </c>
      <c r="W3">
        <f>SUMIF(RawDataTotal!$B:$B,$A3,RawDataTotal!Z:Z)</f>
        <v>3</v>
      </c>
      <c r="X3">
        <f>SUMIF(RawDataTotal!$B:$B,$A3,RawDataTotal!AA:AA)</f>
        <v>3</v>
      </c>
      <c r="Y3">
        <f>SUMIF(RawDataTotal!$B:$B,$A3,RawDataTotal!AB:AB)</f>
        <v>3</v>
      </c>
      <c r="Z3">
        <f>SUMIF(RawDataTotal!$B:$B,$A3,RawDataTotal!AC:AC)</f>
        <v>3</v>
      </c>
      <c r="AA3">
        <f>SUMIF(RawDataTotal!$B:$B,$A3,RawDataTotal!AD:AD)</f>
        <v>3</v>
      </c>
      <c r="AB3">
        <f>SUMIF(RawDataTotal!$B:$B,$A3,RawDataTotal!AE:AE)</f>
        <v>3</v>
      </c>
      <c r="AC3">
        <f>SUMIF(RawDataTotal!$B:$B,$A3,RawDataTotal!AF:AF)</f>
        <v>3</v>
      </c>
      <c r="AD3">
        <f>SUMIF(RawDataTotal!$B:$B,$A3,RawDataTotal!AG:AG)</f>
        <v>3</v>
      </c>
      <c r="AE3">
        <f>SUMIF(RawDataTotal!$B:$B,$A3,RawDataTotal!AH:AH)</f>
        <v>3</v>
      </c>
      <c r="AF3">
        <f>SUMIF(RawDataTotal!$B:$B,$A3,RawDataTotal!AI:AI)</f>
        <v>20</v>
      </c>
      <c r="AG3">
        <f>SUMIF(RawDataTotal!$B:$B,$A3,RawDataTotal!AJ:AJ)</f>
        <v>62</v>
      </c>
      <c r="AH3">
        <f>SUMIF(RawDataTotal!$B:$B,$A3,RawDataTotal!AK:AK)</f>
        <v>155</v>
      </c>
      <c r="AI3">
        <f>SUMIF(RawDataTotal!$B:$B,$A3,RawDataTotal!AL:AL)</f>
        <v>229</v>
      </c>
      <c r="AJ3">
        <f>SUMIF(RawDataTotal!$B:$B,$A3,RawDataTotal!AM:AM)</f>
        <v>322</v>
      </c>
      <c r="AK3">
        <f>SUMIF(RawDataTotal!$B:$B,$A3,RawDataTotal!AN:AN)</f>
        <v>453</v>
      </c>
      <c r="AL3">
        <f>SUMIF(RawDataTotal!$B:$B,$A3,RawDataTotal!AO:AO)</f>
        <v>655</v>
      </c>
      <c r="AM3">
        <f>SUMIF(RawDataTotal!$B:$B,$A3,RawDataTotal!AP:AP)</f>
        <v>888</v>
      </c>
      <c r="AN3">
        <f>SUMIF(RawDataTotal!$B:$B,$A3,RawDataTotal!AQ:AQ)</f>
        <v>1128</v>
      </c>
      <c r="AO3">
        <f>SUMIF(RawDataTotal!$B:$B,$A3,RawDataTotal!AR:AR)</f>
        <v>1694</v>
      </c>
      <c r="AP3">
        <f>SUMIF(RawDataTotal!$B:$B,$A3,RawDataTotal!AS:AS)</f>
        <v>2036</v>
      </c>
      <c r="AQ3">
        <f>SUMIF(RawDataTotal!$B:$B,$A3,RawDataTotal!AT:AT)</f>
        <v>2502</v>
      </c>
      <c r="AR3">
        <f>SUMIF(RawDataTotal!$B:$B,$A3,RawDataTotal!AU:AU)</f>
        <v>3089</v>
      </c>
      <c r="AS3">
        <f>SUMIF(RawDataTotal!$B:$B,$A3,RawDataTotal!AV:AV)</f>
        <v>3858</v>
      </c>
      <c r="AT3">
        <f>SUMIF(RawDataTotal!$B:$B,$A3,RawDataTotal!AW:AW)</f>
        <v>4636</v>
      </c>
      <c r="AU3">
        <f>SUMIF(RawDataTotal!$B:$B,$A3,RawDataTotal!AX:AX)</f>
        <v>5883</v>
      </c>
      <c r="AV3">
        <f>SUMIF(RawDataTotal!$B:$B,$A3,RawDataTotal!AY:AY)</f>
        <v>7375</v>
      </c>
      <c r="AW3">
        <f>SUMIF(RawDataTotal!$B:$B,$A3,RawDataTotal!AZ:AZ)</f>
        <v>9172</v>
      </c>
      <c r="AX3">
        <f>SUMIF(RawDataTotal!$B:$B,$A3,RawDataTotal!BA:BA)</f>
        <v>10149</v>
      </c>
      <c r="AY3">
        <f>SUMIF(RawDataTotal!$B:$B,$A3,RawDataTotal!BB:BB)</f>
        <v>12462</v>
      </c>
      <c r="AZ3">
        <f>SUMIF(RawDataTotal!$B:$B,$A3,RawDataTotal!BC:BC)</f>
        <v>12462</v>
      </c>
      <c r="BA3">
        <f>SUMIF(RawDataTotal!$B:$B,$A3,RawDataTotal!BD:BD)</f>
        <v>17660</v>
      </c>
      <c r="BB3">
        <f>SUMIF(RawDataTotal!$B:$B,$A3,RawDataTotal!BE:BE)</f>
        <v>21157</v>
      </c>
      <c r="BC3">
        <f>SUMIF(RawDataTotal!$B:$B,$A3,RawDataTotal!BF:BF)</f>
        <v>24747</v>
      </c>
      <c r="BD3">
        <f>SUMIF(RawDataTotal!$B:$B,$A3,RawDataTotal!BG:BG)</f>
        <v>27980</v>
      </c>
      <c r="BE3">
        <f>SUMIF(RawDataTotal!$B:$B,$A3,RawDataTotal!BH:BH)</f>
        <v>31506</v>
      </c>
      <c r="BF3">
        <f>SUMIF(RawDataTotal!$B:$B,$A3,RawDataTotal!BI:BI)</f>
        <v>0</v>
      </c>
      <c r="BG3">
        <f>SUMIF(RawDataTotal!$B:$B,$A3,RawDataTotal!BJ:BJ)</f>
        <v>0</v>
      </c>
      <c r="BH3">
        <f>SUMIF(RawDataTotal!$B:$B,$A3,RawDataTotal!BK:BK)</f>
        <v>0</v>
      </c>
      <c r="BI3">
        <f>SUMIF(RawDataTotal!$B:$B,$A3,RawDataTotal!BL:BL)</f>
        <v>0</v>
      </c>
      <c r="BJ3">
        <f>SUMIF(RawDataTotal!$B:$B,$A3,RawDataTotal!BM:BM)</f>
        <v>0</v>
      </c>
      <c r="BK3">
        <f>SUMIF(RawDataTotal!$B:$B,$A3,RawDataTotal!BN:BN)</f>
        <v>0</v>
      </c>
      <c r="BL3">
        <f>SUMIF(RawDataTotal!$B:$B,$A3,RawDataTotal!BO:BO)</f>
        <v>0</v>
      </c>
      <c r="BM3">
        <f>SUMIF(RawDataTotal!$B:$B,$A3,RawDataTotal!BP:BP)</f>
        <v>0</v>
      </c>
      <c r="BN3">
        <f>SUMIF(RawDataTotal!$B:$B,$A3,RawDataTotal!BQ:BQ)</f>
        <v>0</v>
      </c>
      <c r="BO3">
        <f>SUMIF(RawDataTotal!$B:$B,$A3,RawDataTotal!BR:BR)</f>
        <v>0</v>
      </c>
      <c r="BP3">
        <f>SUMIF(RawDataTotal!$B:$B,$A3,RawDataTotal!BS:BS)</f>
        <v>0</v>
      </c>
      <c r="BQ3">
        <f>SUMIF(RawDataTotal!$B:$B,$A3,RawDataTotal!BT:BT)</f>
        <v>0</v>
      </c>
      <c r="BR3">
        <f>SUMIF(RawDataTotal!$B:$B,$A3,RawDataTotal!BU:BU)</f>
        <v>0</v>
      </c>
      <c r="BS3">
        <f>SUMIF(RawDataTotal!$B:$B,$A3,RawDataTotal!BV:BV)</f>
        <v>0</v>
      </c>
      <c r="BT3">
        <f>SUMIF(RawDataTotal!$B:$B,$A3,RawDataTotal!BW:BW)</f>
        <v>0</v>
      </c>
    </row>
    <row r="4" spans="1:72" ht="15" thickBot="1" x14ac:dyDescent="0.35">
      <c r="A4" s="4" t="s">
        <v>366</v>
      </c>
      <c r="B4">
        <f>SUMIF(RawDataTotal!$B:$B,$A4,RawDataTotal!E:E)</f>
        <v>0</v>
      </c>
      <c r="C4">
        <f>SUMIF(RawDataTotal!$B:$B,$A4,RawDataTotal!F:F)</f>
        <v>0</v>
      </c>
      <c r="D4">
        <f>SUMIF(RawDataTotal!$B:$B,$A4,RawDataTotal!G:G)</f>
        <v>0</v>
      </c>
      <c r="E4">
        <f>SUMIF(RawDataTotal!$B:$B,$A4,RawDataTotal!H:H)</f>
        <v>0</v>
      </c>
      <c r="F4">
        <f>SUMIF(RawDataTotal!$B:$B,$A4,RawDataTotal!I:I)</f>
        <v>0</v>
      </c>
      <c r="G4">
        <f>SUMIF(RawDataTotal!$B:$B,$A4,RawDataTotal!J:J)</f>
        <v>0</v>
      </c>
      <c r="H4">
        <f>SUMIF(RawDataTotal!$B:$B,$A4,RawDataTotal!K:K)</f>
        <v>0</v>
      </c>
      <c r="I4">
        <f>SUMIF(RawDataTotal!$B:$B,$A4,RawDataTotal!L:L)</f>
        <v>0</v>
      </c>
      <c r="J4">
        <f>SUMIF(RawDataTotal!$B:$B,$A4,RawDataTotal!M:M)</f>
        <v>0</v>
      </c>
      <c r="K4">
        <f>SUMIF(RawDataTotal!$B:$B,$A4,RawDataTotal!N:N)</f>
        <v>0</v>
      </c>
      <c r="L4">
        <f>SUMIF(RawDataTotal!$B:$B,$A4,RawDataTotal!O:O)</f>
        <v>0</v>
      </c>
      <c r="M4">
        <f>SUMIF(RawDataTotal!$B:$B,$A4,RawDataTotal!P:P)</f>
        <v>0</v>
      </c>
      <c r="N4">
        <f>SUMIF(RawDataTotal!$B:$B,$A4,RawDataTotal!Q:Q)</f>
        <v>0</v>
      </c>
      <c r="O4">
        <f>SUMIF(RawDataTotal!$B:$B,$A4,RawDataTotal!R:R)</f>
        <v>0</v>
      </c>
      <c r="P4">
        <f>SUMIF(RawDataTotal!$B:$B,$A4,RawDataTotal!S:S)</f>
        <v>0</v>
      </c>
      <c r="Q4">
        <f>SUMIF(RawDataTotal!$B:$B,$A4,RawDataTotal!T:T)</f>
        <v>0</v>
      </c>
      <c r="R4">
        <f>SUMIF(RawDataTotal!$B:$B,$A4,RawDataTotal!U:U)</f>
        <v>0</v>
      </c>
      <c r="S4">
        <f>SUMIF(RawDataTotal!$B:$B,$A4,RawDataTotal!V:V)</f>
        <v>0</v>
      </c>
      <c r="T4">
        <f>SUMIF(RawDataTotal!$B:$B,$A4,RawDataTotal!W:W)</f>
        <v>0</v>
      </c>
      <c r="U4">
        <f>SUMIF(RawDataTotal!$B:$B,$A4,RawDataTotal!X:X)</f>
        <v>0</v>
      </c>
      <c r="V4">
        <f>SUMIF(RawDataTotal!$B:$B,$A4,RawDataTotal!Y:Y)</f>
        <v>0</v>
      </c>
      <c r="W4">
        <f>SUMIF(RawDataTotal!$B:$B,$A4,RawDataTotal!Z:Z)</f>
        <v>0</v>
      </c>
      <c r="X4">
        <f>SUMIF(RawDataTotal!$B:$B,$A4,RawDataTotal!AA:AA)</f>
        <v>0</v>
      </c>
      <c r="Y4">
        <f>SUMIF(RawDataTotal!$B:$B,$A4,RawDataTotal!AB:AB)</f>
        <v>0</v>
      </c>
      <c r="Z4">
        <f>SUMIF(RawDataTotal!$B:$B,$A4,RawDataTotal!AC:AC)</f>
        <v>0</v>
      </c>
      <c r="AA4">
        <f>SUMIF(RawDataTotal!$B:$B,$A4,RawDataTotal!AD:AD)</f>
        <v>0</v>
      </c>
      <c r="AB4">
        <f>SUMIF(RawDataTotal!$B:$B,$A4,RawDataTotal!AE:AE)</f>
        <v>0</v>
      </c>
      <c r="AC4">
        <f>SUMIF(RawDataTotal!$B:$B,$A4,RawDataTotal!AF:AF)</f>
        <v>0</v>
      </c>
      <c r="AD4">
        <f>SUMIF(RawDataTotal!$B:$B,$A4,RawDataTotal!AG:AG)</f>
        <v>2</v>
      </c>
      <c r="AE4">
        <f>SUMIF(RawDataTotal!$B:$B,$A4,RawDataTotal!AH:AH)</f>
        <v>5</v>
      </c>
      <c r="AF4">
        <f>SUMIF(RawDataTotal!$B:$B,$A4,RawDataTotal!AI:AI)</f>
        <v>18</v>
      </c>
      <c r="AG4">
        <f>SUMIF(RawDataTotal!$B:$B,$A4,RawDataTotal!AJ:AJ)</f>
        <v>28</v>
      </c>
      <c r="AH4">
        <f>SUMIF(RawDataTotal!$B:$B,$A4,RawDataTotal!AK:AK)</f>
        <v>43</v>
      </c>
      <c r="AI4">
        <f>SUMIF(RawDataTotal!$B:$B,$A4,RawDataTotal!AL:AL)</f>
        <v>61</v>
      </c>
      <c r="AJ4">
        <f>SUMIF(RawDataTotal!$B:$B,$A4,RawDataTotal!AM:AM)</f>
        <v>95</v>
      </c>
      <c r="AK4">
        <f>SUMIF(RawDataTotal!$B:$B,$A4,RawDataTotal!AN:AN)</f>
        <v>139</v>
      </c>
      <c r="AL4">
        <f>SUMIF(RawDataTotal!$B:$B,$A4,RawDataTotal!AO:AO)</f>
        <v>245</v>
      </c>
      <c r="AM4">
        <f>SUMIF(RawDataTotal!$B:$B,$A4,RawDataTotal!AP:AP)</f>
        <v>388</v>
      </c>
      <c r="AN4">
        <f>SUMIF(RawDataTotal!$B:$B,$A4,RawDataTotal!AQ:AQ)</f>
        <v>593</v>
      </c>
      <c r="AO4">
        <f>SUMIF(RawDataTotal!$B:$B,$A4,RawDataTotal!AR:AR)</f>
        <v>978</v>
      </c>
      <c r="AP4">
        <f>SUMIF(RawDataTotal!$B:$B,$A4,RawDataTotal!AS:AS)</f>
        <v>1501</v>
      </c>
      <c r="AQ4">
        <f>SUMIF(RawDataTotal!$B:$B,$A4,RawDataTotal!AT:AT)</f>
        <v>2336</v>
      </c>
      <c r="AR4">
        <f>SUMIF(RawDataTotal!$B:$B,$A4,RawDataTotal!AU:AU)</f>
        <v>2922</v>
      </c>
      <c r="AS4">
        <f>SUMIF(RawDataTotal!$B:$B,$A4,RawDataTotal!AV:AV)</f>
        <v>3513</v>
      </c>
      <c r="AT4">
        <f>SUMIF(RawDataTotal!$B:$B,$A4,RawDataTotal!AW:AW)</f>
        <v>4747</v>
      </c>
      <c r="AU4">
        <f>SUMIF(RawDataTotal!$B:$B,$A4,RawDataTotal!AX:AX)</f>
        <v>5823</v>
      </c>
      <c r="AV4">
        <f>SUMIF(RawDataTotal!$B:$B,$A4,RawDataTotal!AY:AY)</f>
        <v>6566</v>
      </c>
      <c r="AW4">
        <f>SUMIF(RawDataTotal!$B:$B,$A4,RawDataTotal!AZ:AZ)</f>
        <v>7161</v>
      </c>
      <c r="AX4">
        <f>SUMIF(RawDataTotal!$B:$B,$A4,RawDataTotal!BA:BA)</f>
        <v>8042</v>
      </c>
      <c r="AY4">
        <f>SUMIF(RawDataTotal!$B:$B,$A4,RawDataTotal!BB:BB)</f>
        <v>9000</v>
      </c>
      <c r="AZ4">
        <f>SUMIF(RawDataTotal!$B:$B,$A4,RawDataTotal!BC:BC)</f>
        <v>10075</v>
      </c>
      <c r="BA4">
        <f>SUMIF(RawDataTotal!$B:$B,$A4,RawDataTotal!BD:BD)</f>
        <v>11364</v>
      </c>
      <c r="BB4">
        <f>SUMIF(RawDataTotal!$B:$B,$A4,RawDataTotal!BE:BE)</f>
        <v>12729</v>
      </c>
      <c r="BC4">
        <f>SUMIF(RawDataTotal!$B:$B,$A4,RawDataTotal!BF:BF)</f>
        <v>13938</v>
      </c>
      <c r="BD4">
        <f>SUMIF(RawDataTotal!$B:$B,$A4,RawDataTotal!BG:BG)</f>
        <v>14991</v>
      </c>
      <c r="BE4">
        <f>SUMIF(RawDataTotal!$B:$B,$A4,RawDataTotal!BH:BH)</f>
        <v>16169</v>
      </c>
      <c r="BF4">
        <f>SUMIF(RawDataTotal!$B:$B,$A4,RawDataTotal!BI:BI)</f>
        <v>0</v>
      </c>
      <c r="BG4">
        <f>SUMIF(RawDataTotal!$B:$B,$A4,RawDataTotal!BJ:BJ)</f>
        <v>0</v>
      </c>
      <c r="BH4">
        <f>SUMIF(RawDataTotal!$B:$B,$A4,RawDataTotal!BK:BK)</f>
        <v>0</v>
      </c>
      <c r="BI4">
        <f>SUMIF(RawDataTotal!$B:$B,$A4,RawDataTotal!BL:BL)</f>
        <v>0</v>
      </c>
      <c r="BJ4">
        <f>SUMIF(RawDataTotal!$B:$B,$A4,RawDataTotal!BM:BM)</f>
        <v>0</v>
      </c>
      <c r="BK4">
        <f>SUMIF(RawDataTotal!$B:$B,$A4,RawDataTotal!BN:BN)</f>
        <v>0</v>
      </c>
      <c r="BL4">
        <f>SUMIF(RawDataTotal!$B:$B,$A4,RawDataTotal!BO:BO)</f>
        <v>0</v>
      </c>
      <c r="BM4">
        <f>SUMIF(RawDataTotal!$B:$B,$A4,RawDataTotal!BP:BP)</f>
        <v>0</v>
      </c>
      <c r="BN4">
        <f>SUMIF(RawDataTotal!$B:$B,$A4,RawDataTotal!BQ:BQ)</f>
        <v>0</v>
      </c>
      <c r="BO4">
        <f>SUMIF(RawDataTotal!$B:$B,$A4,RawDataTotal!BR:BR)</f>
        <v>0</v>
      </c>
      <c r="BP4">
        <f>SUMIF(RawDataTotal!$B:$B,$A4,RawDataTotal!BS:BS)</f>
        <v>0</v>
      </c>
      <c r="BQ4">
        <f>SUMIF(RawDataTotal!$B:$B,$A4,RawDataTotal!BT:BT)</f>
        <v>0</v>
      </c>
      <c r="BR4">
        <f>SUMIF(RawDataTotal!$B:$B,$A4,RawDataTotal!BU:BU)</f>
        <v>0</v>
      </c>
      <c r="BS4">
        <f>SUMIF(RawDataTotal!$B:$B,$A4,RawDataTotal!BV:BV)</f>
        <v>0</v>
      </c>
      <c r="BT4">
        <f>SUMIF(RawDataTotal!$B:$B,$A4,RawDataTotal!BW:BW)</f>
        <v>0</v>
      </c>
    </row>
    <row r="5" spans="1:72" ht="15" thickBot="1" x14ac:dyDescent="0.35">
      <c r="A5" s="3" t="s">
        <v>367</v>
      </c>
      <c r="B5">
        <f>SUMIF(RawDataTotal!$B:$B,$A5,RawDataTotal!E:E)</f>
        <v>1</v>
      </c>
      <c r="C5">
        <f>SUMIF(RawDataTotal!$B:$B,$A5,RawDataTotal!F:F)</f>
        <v>1</v>
      </c>
      <c r="D5">
        <f>SUMIF(RawDataTotal!$B:$B,$A5,RawDataTotal!G:G)</f>
        <v>2</v>
      </c>
      <c r="E5">
        <f>SUMIF(RawDataTotal!$B:$B,$A5,RawDataTotal!H:H)</f>
        <v>2</v>
      </c>
      <c r="F5">
        <f>SUMIF(RawDataTotal!$B:$B,$A5,RawDataTotal!I:I)</f>
        <v>3</v>
      </c>
      <c r="G5">
        <f>SUMIF(RawDataTotal!$B:$B,$A5,RawDataTotal!J:J)</f>
        <v>4</v>
      </c>
      <c r="H5">
        <f>SUMIF(RawDataTotal!$B:$B,$A5,RawDataTotal!K:K)</f>
        <v>4</v>
      </c>
      <c r="I5">
        <f>SUMIF(RawDataTotal!$B:$B,$A5,RawDataTotal!L:L)</f>
        <v>4</v>
      </c>
      <c r="J5">
        <f>SUMIF(RawDataTotal!$B:$B,$A5,RawDataTotal!M:M)</f>
        <v>4</v>
      </c>
      <c r="K5">
        <f>SUMIF(RawDataTotal!$B:$B,$A5,RawDataTotal!N:N)</f>
        <v>11</v>
      </c>
      <c r="L5">
        <f>SUMIF(RawDataTotal!$B:$B,$A5,RawDataTotal!O:O)</f>
        <v>12</v>
      </c>
      <c r="M5">
        <f>SUMIF(RawDataTotal!$B:$B,$A5,RawDataTotal!P:P)</f>
        <v>15</v>
      </c>
      <c r="N5">
        <f>SUMIF(RawDataTotal!$B:$B,$A5,RawDataTotal!Q:Q)</f>
        <v>15</v>
      </c>
      <c r="O5">
        <f>SUMIF(RawDataTotal!$B:$B,$A5,RawDataTotal!R:R)</f>
        <v>16</v>
      </c>
      <c r="P5">
        <f>SUMIF(RawDataTotal!$B:$B,$A5,RawDataTotal!S:S)</f>
        <v>19</v>
      </c>
      <c r="Q5">
        <f>SUMIF(RawDataTotal!$B:$B,$A5,RawDataTotal!T:T)</f>
        <v>23</v>
      </c>
      <c r="R5">
        <f>SUMIF(RawDataTotal!$B:$B,$A5,RawDataTotal!U:U)</f>
        <v>24</v>
      </c>
      <c r="S5">
        <f>SUMIF(RawDataTotal!$B:$B,$A5,RawDataTotal!V:V)</f>
        <v>24</v>
      </c>
      <c r="T5">
        <f>SUMIF(RawDataTotal!$B:$B,$A5,RawDataTotal!W:W)</f>
        <v>25</v>
      </c>
      <c r="U5">
        <f>SUMIF(RawDataTotal!$B:$B,$A5,RawDataTotal!X:X)</f>
        <v>27</v>
      </c>
      <c r="V5">
        <f>SUMIF(RawDataTotal!$B:$B,$A5,RawDataTotal!Y:Y)</f>
        <v>28</v>
      </c>
      <c r="W5">
        <f>SUMIF(RawDataTotal!$B:$B,$A5,RawDataTotal!Z:Z)</f>
        <v>28</v>
      </c>
      <c r="X5">
        <f>SUMIF(RawDataTotal!$B:$B,$A5,RawDataTotal!AA:AA)</f>
        <v>28</v>
      </c>
      <c r="Y5">
        <f>SUMIF(RawDataTotal!$B:$B,$A5,RawDataTotal!AB:AB)</f>
        <v>28</v>
      </c>
      <c r="Z5">
        <f>SUMIF(RawDataTotal!$B:$B,$A5,RawDataTotal!AC:AC)</f>
        <v>28</v>
      </c>
      <c r="AA5">
        <f>SUMIF(RawDataTotal!$B:$B,$A5,RawDataTotal!AD:AD)</f>
        <v>29</v>
      </c>
      <c r="AB5">
        <f>SUMIF(RawDataTotal!$B:$B,$A5,RawDataTotal!AE:AE)</f>
        <v>30</v>
      </c>
      <c r="AC5">
        <f>SUMIF(RawDataTotal!$B:$B,$A5,RawDataTotal!AF:AF)</f>
        <v>31</v>
      </c>
      <c r="AD5">
        <f>SUMIF(RawDataTotal!$B:$B,$A5,RawDataTotal!AG:AG)</f>
        <v>31</v>
      </c>
      <c r="AE5">
        <f>SUMIF(RawDataTotal!$B:$B,$A5,RawDataTotal!AH:AH)</f>
        <v>104</v>
      </c>
      <c r="AF5">
        <f>SUMIF(RawDataTotal!$B:$B,$A5,RawDataTotal!AI:AI)</f>
        <v>204</v>
      </c>
      <c r="AG5">
        <f>SUMIF(RawDataTotal!$B:$B,$A5,RawDataTotal!AJ:AJ)</f>
        <v>433</v>
      </c>
      <c r="AH5">
        <f>SUMIF(RawDataTotal!$B:$B,$A5,RawDataTotal!AK:AK)</f>
        <v>602</v>
      </c>
      <c r="AI5">
        <f>SUMIF(RawDataTotal!$B:$B,$A5,RawDataTotal!AL:AL)</f>
        <v>833</v>
      </c>
      <c r="AJ5">
        <f>SUMIF(RawDataTotal!$B:$B,$A5,RawDataTotal!AM:AM)</f>
        <v>977</v>
      </c>
      <c r="AK5">
        <f>SUMIF(RawDataTotal!$B:$B,$A5,RawDataTotal!AN:AN)</f>
        <v>1261</v>
      </c>
      <c r="AL5">
        <f>SUMIF(RawDataTotal!$B:$B,$A5,RawDataTotal!AO:AO)</f>
        <v>1766</v>
      </c>
      <c r="AM5">
        <f>SUMIF(RawDataTotal!$B:$B,$A5,RawDataTotal!AP:AP)</f>
        <v>2337</v>
      </c>
      <c r="AN5">
        <f>SUMIF(RawDataTotal!$B:$B,$A5,RawDataTotal!AQ:AQ)</f>
        <v>3150</v>
      </c>
      <c r="AO5">
        <f>SUMIF(RawDataTotal!$B:$B,$A5,RawDataTotal!AR:AR)</f>
        <v>3736</v>
      </c>
      <c r="AP5">
        <f>SUMIF(RawDataTotal!$B:$B,$A5,RawDataTotal!AS:AS)</f>
        <v>4335</v>
      </c>
      <c r="AQ5">
        <f>SUMIF(RawDataTotal!$B:$B,$A5,RawDataTotal!AT:AT)</f>
        <v>5186</v>
      </c>
      <c r="AR5">
        <f>SUMIF(RawDataTotal!$B:$B,$A5,RawDataTotal!AU:AU)</f>
        <v>5621</v>
      </c>
      <c r="AS5">
        <f>SUMIF(RawDataTotal!$B:$B,$A5,RawDataTotal!AV:AV)</f>
        <v>6088</v>
      </c>
      <c r="AT5">
        <f>SUMIF(RawDataTotal!$B:$B,$A5,RawDataTotal!AW:AW)</f>
        <v>6593</v>
      </c>
      <c r="AU5">
        <f>SUMIF(RawDataTotal!$B:$B,$A5,RawDataTotal!AX:AX)</f>
        <v>7041</v>
      </c>
      <c r="AV5">
        <f>SUMIF(RawDataTotal!$B:$B,$A5,RawDataTotal!AY:AY)</f>
        <v>7314</v>
      </c>
      <c r="AW5">
        <f>SUMIF(RawDataTotal!$B:$B,$A5,RawDataTotal!AZ:AZ)</f>
        <v>7478</v>
      </c>
      <c r="AX5">
        <f>SUMIF(RawDataTotal!$B:$B,$A5,RawDataTotal!BA:BA)</f>
        <v>7513</v>
      </c>
      <c r="AY5">
        <f>SUMIF(RawDataTotal!$B:$B,$A5,RawDataTotal!BB:BB)</f>
        <v>7755</v>
      </c>
      <c r="AZ5">
        <f>SUMIF(RawDataTotal!$B:$B,$A5,RawDataTotal!BC:BC)</f>
        <v>7869</v>
      </c>
      <c r="BA5">
        <f>SUMIF(RawDataTotal!$B:$B,$A5,RawDataTotal!BD:BD)</f>
        <v>7979</v>
      </c>
      <c r="BB5">
        <f>SUMIF(RawDataTotal!$B:$B,$A5,RawDataTotal!BE:BE)</f>
        <v>8086</v>
      </c>
      <c r="BC5">
        <f>SUMIF(RawDataTotal!$B:$B,$A5,RawDataTotal!BF:BF)</f>
        <v>8162</v>
      </c>
      <c r="BD5">
        <f>SUMIF(RawDataTotal!$B:$B,$A5,RawDataTotal!BG:BG)</f>
        <v>8236</v>
      </c>
      <c r="BE5">
        <f>SUMIF(RawDataTotal!$B:$B,$A5,RawDataTotal!BH:BH)</f>
        <v>8320</v>
      </c>
      <c r="BF5">
        <f>SUMIF(RawDataTotal!$B:$B,$A5,RawDataTotal!BI:BI)</f>
        <v>0</v>
      </c>
      <c r="BG5">
        <f>SUMIF(RawDataTotal!$B:$B,$A5,RawDataTotal!BJ:BJ)</f>
        <v>0</v>
      </c>
      <c r="BH5">
        <f>SUMIF(RawDataTotal!$B:$B,$A5,RawDataTotal!BK:BK)</f>
        <v>0</v>
      </c>
      <c r="BI5">
        <f>SUMIF(RawDataTotal!$B:$B,$A5,RawDataTotal!BL:BL)</f>
        <v>0</v>
      </c>
      <c r="BJ5">
        <f>SUMIF(RawDataTotal!$B:$B,$A5,RawDataTotal!BM:BM)</f>
        <v>0</v>
      </c>
      <c r="BK5">
        <f>SUMIF(RawDataTotal!$B:$B,$A5,RawDataTotal!BN:BN)</f>
        <v>0</v>
      </c>
      <c r="BL5">
        <f>SUMIF(RawDataTotal!$B:$B,$A5,RawDataTotal!BO:BO)</f>
        <v>0</v>
      </c>
      <c r="BM5">
        <f>SUMIF(RawDataTotal!$B:$B,$A5,RawDataTotal!BP:BP)</f>
        <v>0</v>
      </c>
      <c r="BN5">
        <f>SUMIF(RawDataTotal!$B:$B,$A5,RawDataTotal!BQ:BQ)</f>
        <v>0</v>
      </c>
      <c r="BO5">
        <f>SUMIF(RawDataTotal!$B:$B,$A5,RawDataTotal!BR:BR)</f>
        <v>0</v>
      </c>
      <c r="BP5">
        <f>SUMIF(RawDataTotal!$B:$B,$A5,RawDataTotal!BS:BS)</f>
        <v>0</v>
      </c>
      <c r="BQ5">
        <f>SUMIF(RawDataTotal!$B:$B,$A5,RawDataTotal!BT:BT)</f>
        <v>0</v>
      </c>
      <c r="BR5">
        <f>SUMIF(RawDataTotal!$B:$B,$A5,RawDataTotal!BU:BU)</f>
        <v>0</v>
      </c>
      <c r="BS5">
        <f>SUMIF(RawDataTotal!$B:$B,$A5,RawDataTotal!BV:BV)</f>
        <v>0</v>
      </c>
      <c r="BT5">
        <f>SUMIF(RawDataTotal!$B:$B,$A5,RawDataTotal!BW:BW)</f>
        <v>0</v>
      </c>
    </row>
    <row r="6" spans="1:72" ht="15" thickBot="1" x14ac:dyDescent="0.35">
      <c r="A6" s="3" t="s">
        <v>87</v>
      </c>
      <c r="B6">
        <f>SUMIF(RawDataTotal!$B:$B,$A6,RawDataTotal!E:E)</f>
        <v>0</v>
      </c>
      <c r="C6">
        <f>SUMIF(RawDataTotal!$B:$B,$A6,RawDataTotal!F:F)</f>
        <v>0</v>
      </c>
      <c r="D6">
        <f>SUMIF(RawDataTotal!$B:$B,$A6,RawDataTotal!G:G)</f>
        <v>0</v>
      </c>
      <c r="E6">
        <f>SUMIF(RawDataTotal!$B:$B,$A6,RawDataTotal!H:H)</f>
        <v>0</v>
      </c>
      <c r="F6">
        <f>SUMIF(RawDataTotal!$B:$B,$A6,RawDataTotal!I:I)</f>
        <v>0</v>
      </c>
      <c r="G6">
        <f>SUMIF(RawDataTotal!$B:$B,$A6,RawDataTotal!J:J)</f>
        <v>0</v>
      </c>
      <c r="H6">
        <f>SUMIF(RawDataTotal!$B:$B,$A6,RawDataTotal!K:K)</f>
        <v>0</v>
      </c>
      <c r="I6">
        <f>SUMIF(RawDataTotal!$B:$B,$A6,RawDataTotal!L:L)</f>
        <v>0</v>
      </c>
      <c r="J6">
        <f>SUMIF(RawDataTotal!$B:$B,$A6,RawDataTotal!M:M)</f>
        <v>0</v>
      </c>
      <c r="K6">
        <f>SUMIF(RawDataTotal!$B:$B,$A6,RawDataTotal!N:N)</f>
        <v>0</v>
      </c>
      <c r="L6">
        <f>SUMIF(RawDataTotal!$B:$B,$A6,RawDataTotal!O:O)</f>
        <v>1</v>
      </c>
      <c r="M6">
        <f>SUMIF(RawDataTotal!$B:$B,$A6,RawDataTotal!P:P)</f>
        <v>1</v>
      </c>
      <c r="N6">
        <f>SUMIF(RawDataTotal!$B:$B,$A6,RawDataTotal!Q:Q)</f>
        <v>1</v>
      </c>
      <c r="O6">
        <f>SUMIF(RawDataTotal!$B:$B,$A6,RawDataTotal!R:R)</f>
        <v>1</v>
      </c>
      <c r="P6">
        <f>SUMIF(RawDataTotal!$B:$B,$A6,RawDataTotal!S:S)</f>
        <v>1</v>
      </c>
      <c r="Q6">
        <f>SUMIF(RawDataTotal!$B:$B,$A6,RawDataTotal!T:T)</f>
        <v>1</v>
      </c>
      <c r="R6">
        <f>SUMIF(RawDataTotal!$B:$B,$A6,RawDataTotal!U:U)</f>
        <v>1</v>
      </c>
      <c r="S6">
        <f>SUMIF(RawDataTotal!$B:$B,$A6,RawDataTotal!V:V)</f>
        <v>1</v>
      </c>
      <c r="T6">
        <f>SUMIF(RawDataTotal!$B:$B,$A6,RawDataTotal!W:W)</f>
        <v>2</v>
      </c>
      <c r="U6">
        <f>SUMIF(RawDataTotal!$B:$B,$A6,RawDataTotal!X:X)</f>
        <v>2</v>
      </c>
      <c r="V6">
        <f>SUMIF(RawDataTotal!$B:$B,$A6,RawDataTotal!Y:Y)</f>
        <v>2</v>
      </c>
      <c r="W6">
        <f>SUMIF(RawDataTotal!$B:$B,$A6,RawDataTotal!Z:Z)</f>
        <v>2</v>
      </c>
      <c r="X6">
        <f>SUMIF(RawDataTotal!$B:$B,$A6,RawDataTotal!AA:AA)</f>
        <v>2</v>
      </c>
      <c r="Y6">
        <f>SUMIF(RawDataTotal!$B:$B,$A6,RawDataTotal!AB:AB)</f>
        <v>2</v>
      </c>
      <c r="Z6">
        <f>SUMIF(RawDataTotal!$B:$B,$A6,RawDataTotal!AC:AC)</f>
        <v>2</v>
      </c>
      <c r="AA6">
        <f>SUMIF(RawDataTotal!$B:$B,$A6,RawDataTotal!AD:AD)</f>
        <v>2</v>
      </c>
      <c r="AB6">
        <f>SUMIF(RawDataTotal!$B:$B,$A6,RawDataTotal!AE:AE)</f>
        <v>2</v>
      </c>
      <c r="AC6">
        <f>SUMIF(RawDataTotal!$B:$B,$A6,RawDataTotal!AF:AF)</f>
        <v>2</v>
      </c>
      <c r="AD6">
        <f>SUMIF(RawDataTotal!$B:$B,$A6,RawDataTotal!AG:AG)</f>
        <v>2</v>
      </c>
      <c r="AE6">
        <f>SUMIF(RawDataTotal!$B:$B,$A6,RawDataTotal!AH:AH)</f>
        <v>2</v>
      </c>
      <c r="AF6">
        <f>SUMIF(RawDataTotal!$B:$B,$A6,RawDataTotal!AI:AI)</f>
        <v>2</v>
      </c>
      <c r="AG6">
        <f>SUMIF(RawDataTotal!$B:$B,$A6,RawDataTotal!AJ:AJ)</f>
        <v>2</v>
      </c>
      <c r="AH6">
        <f>SUMIF(RawDataTotal!$B:$B,$A6,RawDataTotal!AK:AK)</f>
        <v>2</v>
      </c>
      <c r="AI6">
        <f>SUMIF(RawDataTotal!$B:$B,$A6,RawDataTotal!AL:AL)</f>
        <v>2</v>
      </c>
      <c r="AJ6">
        <f>SUMIF(RawDataTotal!$B:$B,$A6,RawDataTotal!AM:AM)</f>
        <v>6</v>
      </c>
      <c r="AK6">
        <f>SUMIF(RawDataTotal!$B:$B,$A6,RawDataTotal!AN:AN)</f>
        <v>13</v>
      </c>
      <c r="AL6">
        <f>SUMIF(RawDataTotal!$B:$B,$A6,RawDataTotal!AO:AO)</f>
        <v>15</v>
      </c>
      <c r="AM6">
        <f>SUMIF(RawDataTotal!$B:$B,$A6,RawDataTotal!AP:AP)</f>
        <v>32</v>
      </c>
      <c r="AN6">
        <f>SUMIF(RawDataTotal!$B:$B,$A6,RawDataTotal!AQ:AQ)</f>
        <v>45</v>
      </c>
      <c r="AO6">
        <f>SUMIF(RawDataTotal!$B:$B,$A6,RawDataTotal!AR:AR)</f>
        <v>84</v>
      </c>
      <c r="AP6">
        <f>SUMIF(RawDataTotal!$B:$B,$A6,RawDataTotal!AS:AS)</f>
        <v>120</v>
      </c>
      <c r="AQ6">
        <f>SUMIF(RawDataTotal!$B:$B,$A6,RawDataTotal!AT:AT)</f>
        <v>165</v>
      </c>
      <c r="AR6">
        <f>SUMIF(RawDataTotal!$B:$B,$A6,RawDataTotal!AU:AU)</f>
        <v>222</v>
      </c>
      <c r="AS6">
        <f>SUMIF(RawDataTotal!$B:$B,$A6,RawDataTotal!AV:AV)</f>
        <v>259</v>
      </c>
      <c r="AT6">
        <f>SUMIF(RawDataTotal!$B:$B,$A6,RawDataTotal!AW:AW)</f>
        <v>400</v>
      </c>
      <c r="AU6">
        <f>SUMIF(RawDataTotal!$B:$B,$A6,RawDataTotal!AX:AX)</f>
        <v>500</v>
      </c>
      <c r="AV6">
        <f>SUMIF(RawDataTotal!$B:$B,$A6,RawDataTotal!AY:AY)</f>
        <v>673</v>
      </c>
      <c r="AW6">
        <f>SUMIF(RawDataTotal!$B:$B,$A6,RawDataTotal!AZ:AZ)</f>
        <v>1073</v>
      </c>
      <c r="AX6">
        <f>SUMIF(RawDataTotal!$B:$B,$A6,RawDataTotal!BA:BA)</f>
        <v>1695</v>
      </c>
      <c r="AY6">
        <f>SUMIF(RawDataTotal!$B:$B,$A6,RawDataTotal!BB:BB)</f>
        <v>2277</v>
      </c>
      <c r="AZ6">
        <f>SUMIF(RawDataTotal!$B:$B,$A6,RawDataTotal!BC:BC)</f>
        <v>2277</v>
      </c>
      <c r="BA6">
        <f>SUMIF(RawDataTotal!$B:$B,$A6,RawDataTotal!BD:BD)</f>
        <v>5232</v>
      </c>
      <c r="BB6">
        <f>SUMIF(RawDataTotal!$B:$B,$A6,RawDataTotal!BE:BE)</f>
        <v>6391</v>
      </c>
      <c r="BC6">
        <f>SUMIF(RawDataTotal!$B:$B,$A6,RawDataTotal!BF:BF)</f>
        <v>7798</v>
      </c>
      <c r="BD6">
        <f>SUMIF(RawDataTotal!$B:$B,$A6,RawDataTotal!BG:BG)</f>
        <v>9942</v>
      </c>
      <c r="BE6">
        <f>SUMIF(RawDataTotal!$B:$B,$A6,RawDataTotal!BH:BH)</f>
        <v>11748</v>
      </c>
      <c r="BF6">
        <f>SUMIF(RawDataTotal!$B:$B,$A6,RawDataTotal!BI:BI)</f>
        <v>0</v>
      </c>
      <c r="BG6">
        <f>SUMIF(RawDataTotal!$B:$B,$A6,RawDataTotal!BJ:BJ)</f>
        <v>0</v>
      </c>
      <c r="BH6">
        <f>SUMIF(RawDataTotal!$B:$B,$A6,RawDataTotal!BK:BK)</f>
        <v>0</v>
      </c>
      <c r="BI6">
        <f>SUMIF(RawDataTotal!$B:$B,$A6,RawDataTotal!BL:BL)</f>
        <v>0</v>
      </c>
      <c r="BJ6">
        <f>SUMIF(RawDataTotal!$B:$B,$A6,RawDataTotal!BM:BM)</f>
        <v>0</v>
      </c>
      <c r="BK6">
        <f>SUMIF(RawDataTotal!$B:$B,$A6,RawDataTotal!BN:BN)</f>
        <v>0</v>
      </c>
      <c r="BL6">
        <f>SUMIF(RawDataTotal!$B:$B,$A6,RawDataTotal!BO:BO)</f>
        <v>0</v>
      </c>
      <c r="BM6">
        <f>SUMIF(RawDataTotal!$B:$B,$A6,RawDataTotal!BP:BP)</f>
        <v>0</v>
      </c>
      <c r="BN6">
        <f>SUMIF(RawDataTotal!$B:$B,$A6,RawDataTotal!BQ:BQ)</f>
        <v>0</v>
      </c>
      <c r="BO6">
        <f>SUMIF(RawDataTotal!$B:$B,$A6,RawDataTotal!BR:BR)</f>
        <v>0</v>
      </c>
      <c r="BP6">
        <f>SUMIF(RawDataTotal!$B:$B,$A6,RawDataTotal!BS:BS)</f>
        <v>0</v>
      </c>
      <c r="BQ6">
        <f>SUMIF(RawDataTotal!$B:$B,$A6,RawDataTotal!BT:BT)</f>
        <v>0</v>
      </c>
      <c r="BR6">
        <f>SUMIF(RawDataTotal!$B:$B,$A6,RawDataTotal!BU:BU)</f>
        <v>0</v>
      </c>
      <c r="BS6">
        <f>SUMIF(RawDataTotal!$B:$B,$A6,RawDataTotal!BV:BV)</f>
        <v>0</v>
      </c>
      <c r="BT6">
        <f>SUMIF(RawDataTotal!$B:$B,$A6,RawDataTotal!BW:BW)</f>
        <v>0</v>
      </c>
    </row>
    <row r="7" spans="1:72" ht="15" thickBot="1" x14ac:dyDescent="0.35">
      <c r="A7" s="4" t="s">
        <v>80</v>
      </c>
      <c r="B7">
        <f>SUMIF(RawDataTotal!$B:$B,$A7,RawDataTotal!E:E)</f>
        <v>0</v>
      </c>
      <c r="C7">
        <f>SUMIF(RawDataTotal!$B:$B,$A7,RawDataTotal!F:F)</f>
        <v>0</v>
      </c>
      <c r="D7">
        <f>SUMIF(RawDataTotal!$B:$B,$A7,RawDataTotal!G:G)</f>
        <v>0</v>
      </c>
      <c r="E7">
        <f>SUMIF(RawDataTotal!$B:$B,$A7,RawDataTotal!H:H)</f>
        <v>0</v>
      </c>
      <c r="F7">
        <f>SUMIF(RawDataTotal!$B:$B,$A7,RawDataTotal!I:I)</f>
        <v>0</v>
      </c>
      <c r="G7">
        <f>SUMIF(RawDataTotal!$B:$B,$A7,RawDataTotal!J:J)</f>
        <v>1</v>
      </c>
      <c r="H7">
        <f>SUMIF(RawDataTotal!$B:$B,$A7,RawDataTotal!K:K)</f>
        <v>4</v>
      </c>
      <c r="I7">
        <f>SUMIF(RawDataTotal!$B:$B,$A7,RawDataTotal!L:L)</f>
        <v>4</v>
      </c>
      <c r="J7">
        <f>SUMIF(RawDataTotal!$B:$B,$A7,RawDataTotal!M:M)</f>
        <v>4</v>
      </c>
      <c r="K7">
        <f>SUMIF(RawDataTotal!$B:$B,$A7,RawDataTotal!N:N)</f>
        <v>5</v>
      </c>
      <c r="L7">
        <f>SUMIF(RawDataTotal!$B:$B,$A7,RawDataTotal!O:O)</f>
        <v>8</v>
      </c>
      <c r="M7">
        <f>SUMIF(RawDataTotal!$B:$B,$A7,RawDataTotal!P:P)</f>
        <v>10</v>
      </c>
      <c r="N7">
        <f>SUMIF(RawDataTotal!$B:$B,$A7,RawDataTotal!Q:Q)</f>
        <v>12</v>
      </c>
      <c r="O7">
        <f>SUMIF(RawDataTotal!$B:$B,$A7,RawDataTotal!R:R)</f>
        <v>12</v>
      </c>
      <c r="P7">
        <f>SUMIF(RawDataTotal!$B:$B,$A7,RawDataTotal!S:S)</f>
        <v>12</v>
      </c>
      <c r="Q7">
        <f>SUMIF(RawDataTotal!$B:$B,$A7,RawDataTotal!T:T)</f>
        <v>12</v>
      </c>
      <c r="R7">
        <f>SUMIF(RawDataTotal!$B:$B,$A7,RawDataTotal!U:U)</f>
        <v>13</v>
      </c>
      <c r="S7">
        <f>SUMIF(RawDataTotal!$B:$B,$A7,RawDataTotal!V:V)</f>
        <v>13</v>
      </c>
      <c r="T7">
        <f>SUMIF(RawDataTotal!$B:$B,$A7,RawDataTotal!W:W)</f>
        <v>14</v>
      </c>
      <c r="U7">
        <f>SUMIF(RawDataTotal!$B:$B,$A7,RawDataTotal!X:X)</f>
        <v>14</v>
      </c>
      <c r="V7">
        <f>SUMIF(RawDataTotal!$B:$B,$A7,RawDataTotal!Y:Y)</f>
        <v>16</v>
      </c>
      <c r="W7">
        <f>SUMIF(RawDataTotal!$B:$B,$A7,RawDataTotal!Z:Z)</f>
        <v>16</v>
      </c>
      <c r="X7">
        <f>SUMIF(RawDataTotal!$B:$B,$A7,RawDataTotal!AA:AA)</f>
        <v>16</v>
      </c>
      <c r="Y7">
        <f>SUMIF(RawDataTotal!$B:$B,$A7,RawDataTotal!AB:AB)</f>
        <v>16</v>
      </c>
      <c r="Z7">
        <f>SUMIF(RawDataTotal!$B:$B,$A7,RawDataTotal!AC:AC)</f>
        <v>16</v>
      </c>
      <c r="AA7">
        <f>SUMIF(RawDataTotal!$B:$B,$A7,RawDataTotal!AD:AD)</f>
        <v>16</v>
      </c>
      <c r="AB7">
        <f>SUMIF(RawDataTotal!$B:$B,$A7,RawDataTotal!AE:AE)</f>
        <v>16</v>
      </c>
      <c r="AC7">
        <f>SUMIF(RawDataTotal!$B:$B,$A7,RawDataTotal!AF:AF)</f>
        <v>16</v>
      </c>
      <c r="AD7">
        <f>SUMIF(RawDataTotal!$B:$B,$A7,RawDataTotal!AG:AG)</f>
        <v>16</v>
      </c>
      <c r="AE7">
        <f>SUMIF(RawDataTotal!$B:$B,$A7,RawDataTotal!AH:AH)</f>
        <v>16</v>
      </c>
      <c r="AF7">
        <f>SUMIF(RawDataTotal!$B:$B,$A7,RawDataTotal!AI:AI)</f>
        <v>16</v>
      </c>
      <c r="AG7">
        <f>SUMIF(RawDataTotal!$B:$B,$A7,RawDataTotal!AJ:AJ)</f>
        <v>16</v>
      </c>
      <c r="AH7">
        <f>SUMIF(RawDataTotal!$B:$B,$A7,RawDataTotal!AK:AK)</f>
        <v>16</v>
      </c>
      <c r="AI7">
        <f>SUMIF(RawDataTotal!$B:$B,$A7,RawDataTotal!AL:AL)</f>
        <v>16</v>
      </c>
      <c r="AJ7">
        <f>SUMIF(RawDataTotal!$B:$B,$A7,RawDataTotal!AM:AM)</f>
        <v>17</v>
      </c>
      <c r="AK7">
        <f>SUMIF(RawDataTotal!$B:$B,$A7,RawDataTotal!AN:AN)</f>
        <v>27</v>
      </c>
      <c r="AL7">
        <f>SUMIF(RawDataTotal!$B:$B,$A7,RawDataTotal!AO:AO)</f>
        <v>46</v>
      </c>
      <c r="AM7">
        <f>SUMIF(RawDataTotal!$B:$B,$A7,RawDataTotal!AP:AP)</f>
        <v>48</v>
      </c>
      <c r="AN7">
        <f>SUMIF(RawDataTotal!$B:$B,$A7,RawDataTotal!AQ:AQ)</f>
        <v>79</v>
      </c>
      <c r="AO7">
        <f>SUMIF(RawDataTotal!$B:$B,$A7,RawDataTotal!AR:AR)</f>
        <v>130</v>
      </c>
      <c r="AP7">
        <f>SUMIF(RawDataTotal!$B:$B,$A7,RawDataTotal!AS:AS)</f>
        <v>159</v>
      </c>
      <c r="AQ7">
        <f>SUMIF(RawDataTotal!$B:$B,$A7,RawDataTotal!AT:AT)</f>
        <v>196</v>
      </c>
      <c r="AR7">
        <f>SUMIF(RawDataTotal!$B:$B,$A7,RawDataTotal!AU:AU)</f>
        <v>262</v>
      </c>
      <c r="AS7">
        <f>SUMIF(RawDataTotal!$B:$B,$A7,RawDataTotal!AV:AV)</f>
        <v>482</v>
      </c>
      <c r="AT7">
        <f>SUMIF(RawDataTotal!$B:$B,$A7,RawDataTotal!AW:AW)</f>
        <v>670</v>
      </c>
      <c r="AU7">
        <f>SUMIF(RawDataTotal!$B:$B,$A7,RawDataTotal!AX:AX)</f>
        <v>799</v>
      </c>
      <c r="AV7">
        <f>SUMIF(RawDataTotal!$B:$B,$A7,RawDataTotal!AY:AY)</f>
        <v>1040</v>
      </c>
      <c r="AW7">
        <f>SUMIF(RawDataTotal!$B:$B,$A7,RawDataTotal!AZ:AZ)</f>
        <v>1176</v>
      </c>
      <c r="AX7">
        <f>SUMIF(RawDataTotal!$B:$B,$A7,RawDataTotal!BA:BA)</f>
        <v>1457</v>
      </c>
      <c r="AY7">
        <f>SUMIF(RawDataTotal!$B:$B,$A7,RawDataTotal!BB:BB)</f>
        <v>1908</v>
      </c>
      <c r="AZ7">
        <f>SUMIF(RawDataTotal!$B:$B,$A7,RawDataTotal!BC:BC)</f>
        <v>2078</v>
      </c>
      <c r="BA7">
        <f>SUMIF(RawDataTotal!$B:$B,$A7,RawDataTotal!BD:BD)</f>
        <v>3675</v>
      </c>
      <c r="BB7">
        <f>SUMIF(RawDataTotal!$B:$B,$A7,RawDataTotal!BE:BE)</f>
        <v>4585</v>
      </c>
      <c r="BC7">
        <f>SUMIF(RawDataTotal!$B:$B,$A7,RawDataTotal!BF:BF)</f>
        <v>5795</v>
      </c>
      <c r="BD7">
        <f>SUMIF(RawDataTotal!$B:$B,$A7,RawDataTotal!BG:BG)</f>
        <v>7272</v>
      </c>
      <c r="BE7">
        <f>SUMIF(RawDataTotal!$B:$B,$A7,RawDataTotal!BH:BH)</f>
        <v>9257</v>
      </c>
      <c r="BF7">
        <f>SUMIF(RawDataTotal!$B:$B,$A7,RawDataTotal!BI:BI)</f>
        <v>0</v>
      </c>
      <c r="BG7">
        <f>SUMIF(RawDataTotal!$B:$B,$A7,RawDataTotal!BJ:BJ)</f>
        <v>0</v>
      </c>
      <c r="BH7">
        <f>SUMIF(RawDataTotal!$B:$B,$A7,RawDataTotal!BK:BK)</f>
        <v>0</v>
      </c>
      <c r="BI7">
        <f>SUMIF(RawDataTotal!$B:$B,$A7,RawDataTotal!BL:BL)</f>
        <v>0</v>
      </c>
      <c r="BJ7">
        <f>SUMIF(RawDataTotal!$B:$B,$A7,RawDataTotal!BM:BM)</f>
        <v>0</v>
      </c>
      <c r="BK7">
        <f>SUMIF(RawDataTotal!$B:$B,$A7,RawDataTotal!BN:BN)</f>
        <v>0</v>
      </c>
      <c r="BL7">
        <f>SUMIF(RawDataTotal!$B:$B,$A7,RawDataTotal!BO:BO)</f>
        <v>0</v>
      </c>
      <c r="BM7">
        <f>SUMIF(RawDataTotal!$B:$B,$A7,RawDataTotal!BP:BP)</f>
        <v>0</v>
      </c>
      <c r="BN7">
        <f>SUMIF(RawDataTotal!$B:$B,$A7,RawDataTotal!BQ:BQ)</f>
        <v>0</v>
      </c>
      <c r="BO7">
        <f>SUMIF(RawDataTotal!$B:$B,$A7,RawDataTotal!BR:BR)</f>
        <v>0</v>
      </c>
      <c r="BP7">
        <f>SUMIF(RawDataTotal!$B:$B,$A7,RawDataTotal!BS:BS)</f>
        <v>0</v>
      </c>
      <c r="BQ7">
        <f>SUMIF(RawDataTotal!$B:$B,$A7,RawDataTotal!BT:BT)</f>
        <v>0</v>
      </c>
      <c r="BR7">
        <f>SUMIF(RawDataTotal!$B:$B,$A7,RawDataTotal!BU:BU)</f>
        <v>0</v>
      </c>
      <c r="BS7">
        <f>SUMIF(RawDataTotal!$B:$B,$A7,RawDataTotal!BV:BV)</f>
        <v>0</v>
      </c>
      <c r="BT7">
        <f>SUMIF(RawDataTotal!$B:$B,$A7,RawDataTotal!BW:BW)</f>
        <v>0</v>
      </c>
    </row>
    <row r="8" spans="1:72" ht="15" thickBot="1" x14ac:dyDescent="0.35">
      <c r="A8" s="4" t="s">
        <v>68</v>
      </c>
      <c r="B8">
        <f>SUMIF(RawDataTotal!$B:$B,$A8,RawDataTotal!E:E)</f>
        <v>0</v>
      </c>
      <c r="C8">
        <f>SUMIF(RawDataTotal!$B:$B,$A8,RawDataTotal!F:F)</f>
        <v>0</v>
      </c>
      <c r="D8">
        <f>SUMIF(RawDataTotal!$B:$B,$A8,RawDataTotal!G:G)</f>
        <v>2</v>
      </c>
      <c r="E8">
        <f>SUMIF(RawDataTotal!$B:$B,$A8,RawDataTotal!H:H)</f>
        <v>3</v>
      </c>
      <c r="F8">
        <f>SUMIF(RawDataTotal!$B:$B,$A8,RawDataTotal!I:I)</f>
        <v>3</v>
      </c>
      <c r="G8">
        <f>SUMIF(RawDataTotal!$B:$B,$A8,RawDataTotal!J:J)</f>
        <v>3</v>
      </c>
      <c r="H8">
        <f>SUMIF(RawDataTotal!$B:$B,$A8,RawDataTotal!K:K)</f>
        <v>4</v>
      </c>
      <c r="I8">
        <f>SUMIF(RawDataTotal!$B:$B,$A8,RawDataTotal!L:L)</f>
        <v>5</v>
      </c>
      <c r="J8">
        <f>SUMIF(RawDataTotal!$B:$B,$A8,RawDataTotal!M:M)</f>
        <v>5</v>
      </c>
      <c r="K8">
        <f>SUMIF(RawDataTotal!$B:$B,$A8,RawDataTotal!N:N)</f>
        <v>5</v>
      </c>
      <c r="L8">
        <f>SUMIF(RawDataTotal!$B:$B,$A8,RawDataTotal!O:O)</f>
        <v>6</v>
      </c>
      <c r="M8">
        <f>SUMIF(RawDataTotal!$B:$B,$A8,RawDataTotal!P:P)</f>
        <v>6</v>
      </c>
      <c r="N8">
        <f>SUMIF(RawDataTotal!$B:$B,$A8,RawDataTotal!Q:Q)</f>
        <v>6</v>
      </c>
      <c r="O8">
        <f>SUMIF(RawDataTotal!$B:$B,$A8,RawDataTotal!R:R)</f>
        <v>6</v>
      </c>
      <c r="P8">
        <f>SUMIF(RawDataTotal!$B:$B,$A8,RawDataTotal!S:S)</f>
        <v>6</v>
      </c>
      <c r="Q8">
        <f>SUMIF(RawDataTotal!$B:$B,$A8,RawDataTotal!T:T)</f>
        <v>6</v>
      </c>
      <c r="R8">
        <f>SUMIF(RawDataTotal!$B:$B,$A8,RawDataTotal!U:U)</f>
        <v>6</v>
      </c>
      <c r="S8">
        <f>SUMIF(RawDataTotal!$B:$B,$A8,RawDataTotal!V:V)</f>
        <v>11</v>
      </c>
      <c r="T8">
        <f>SUMIF(RawDataTotal!$B:$B,$A8,RawDataTotal!W:W)</f>
        <v>11</v>
      </c>
      <c r="U8">
        <f>SUMIF(RawDataTotal!$B:$B,$A8,RawDataTotal!X:X)</f>
        <v>11</v>
      </c>
      <c r="V8">
        <f>SUMIF(RawDataTotal!$B:$B,$A8,RawDataTotal!Y:Y)</f>
        <v>11</v>
      </c>
      <c r="W8">
        <f>SUMIF(RawDataTotal!$B:$B,$A8,RawDataTotal!Z:Z)</f>
        <v>11</v>
      </c>
      <c r="X8">
        <f>SUMIF(RawDataTotal!$B:$B,$A8,RawDataTotal!AA:AA)</f>
        <v>11</v>
      </c>
      <c r="Y8">
        <f>SUMIF(RawDataTotal!$B:$B,$A8,RawDataTotal!AB:AB)</f>
        <v>11</v>
      </c>
      <c r="Z8">
        <f>SUMIF(RawDataTotal!$B:$B,$A8,RawDataTotal!AC:AC)</f>
        <v>12</v>
      </c>
      <c r="AA8">
        <f>SUMIF(RawDataTotal!$B:$B,$A8,RawDataTotal!AD:AD)</f>
        <v>12</v>
      </c>
      <c r="AB8">
        <f>SUMIF(RawDataTotal!$B:$B,$A8,RawDataTotal!AE:AE)</f>
        <v>12</v>
      </c>
      <c r="AC8">
        <f>SUMIF(RawDataTotal!$B:$B,$A8,RawDataTotal!AF:AF)</f>
        <v>12</v>
      </c>
      <c r="AD8">
        <f>SUMIF(RawDataTotal!$B:$B,$A8,RawDataTotal!AG:AG)</f>
        <v>12</v>
      </c>
      <c r="AE8">
        <f>SUMIF(RawDataTotal!$B:$B,$A8,RawDataTotal!AH:AH)</f>
        <v>12</v>
      </c>
      <c r="AF8">
        <f>SUMIF(RawDataTotal!$B:$B,$A8,RawDataTotal!AI:AI)</f>
        <v>12</v>
      </c>
      <c r="AG8">
        <f>SUMIF(RawDataTotal!$B:$B,$A8,RawDataTotal!AJ:AJ)</f>
        <v>12</v>
      </c>
      <c r="AH8">
        <f>SUMIF(RawDataTotal!$B:$B,$A8,RawDataTotal!AK:AK)</f>
        <v>12</v>
      </c>
      <c r="AI8">
        <f>SUMIF(RawDataTotal!$B:$B,$A8,RawDataTotal!AL:AL)</f>
        <v>12</v>
      </c>
      <c r="AJ8">
        <f>SUMIF(RawDataTotal!$B:$B,$A8,RawDataTotal!AM:AM)</f>
        <v>14</v>
      </c>
      <c r="AK8">
        <f>SUMIF(RawDataTotal!$B:$B,$A8,RawDataTotal!AN:AN)</f>
        <v>18</v>
      </c>
      <c r="AL8">
        <f>SUMIF(RawDataTotal!$B:$B,$A8,RawDataTotal!AO:AO)</f>
        <v>38</v>
      </c>
      <c r="AM8">
        <f>SUMIF(RawDataTotal!$B:$B,$A8,RawDataTotal!AP:AP)</f>
        <v>57</v>
      </c>
      <c r="AN8">
        <f>SUMIF(RawDataTotal!$B:$B,$A8,RawDataTotal!AQ:AQ)</f>
        <v>100</v>
      </c>
      <c r="AO8">
        <f>SUMIF(RawDataTotal!$B:$B,$A8,RawDataTotal!AR:AR)</f>
        <v>130</v>
      </c>
      <c r="AP8">
        <f>SUMIF(RawDataTotal!$B:$B,$A8,RawDataTotal!AS:AS)</f>
        <v>191</v>
      </c>
      <c r="AQ8">
        <f>SUMIF(RawDataTotal!$B:$B,$A8,RawDataTotal!AT:AT)</f>
        <v>204</v>
      </c>
      <c r="AR8">
        <f>SUMIF(RawDataTotal!$B:$B,$A8,RawDataTotal!AU:AU)</f>
        <v>288</v>
      </c>
      <c r="AS8">
        <f>SUMIF(RawDataTotal!$B:$B,$A8,RawDataTotal!AV:AV)</f>
        <v>380</v>
      </c>
      <c r="AT8">
        <f>SUMIF(RawDataTotal!$B:$B,$A8,RawDataTotal!AW:AW)</f>
        <v>656</v>
      </c>
      <c r="AU8">
        <f>SUMIF(RawDataTotal!$B:$B,$A8,RawDataTotal!AX:AX)</f>
        <v>957</v>
      </c>
      <c r="AV8">
        <f>SUMIF(RawDataTotal!$B:$B,$A8,RawDataTotal!AY:AY)</f>
        <v>1134</v>
      </c>
      <c r="AW8">
        <f>SUMIF(RawDataTotal!$B:$B,$A8,RawDataTotal!AZ:AZ)</f>
        <v>1217</v>
      </c>
      <c r="AX8">
        <f>SUMIF(RawDataTotal!$B:$B,$A8,RawDataTotal!BA:BA)</f>
        <v>1792</v>
      </c>
      <c r="AY8">
        <f>SUMIF(RawDataTotal!$B:$B,$A8,RawDataTotal!BB:BB)</f>
        <v>2290</v>
      </c>
      <c r="AZ8">
        <f>SUMIF(RawDataTotal!$B:$B,$A8,RawDataTotal!BC:BC)</f>
        <v>2290</v>
      </c>
      <c r="BA8">
        <f>SUMIF(RawDataTotal!$B:$B,$A8,RawDataTotal!BD:BD)</f>
        <v>3678</v>
      </c>
      <c r="BB8">
        <f>SUMIF(RawDataTotal!$B:$B,$A8,RawDataTotal!BE:BE)</f>
        <v>4487</v>
      </c>
      <c r="BC8">
        <f>SUMIF(RawDataTotal!$B:$B,$A8,RawDataTotal!BF:BF)</f>
        <v>4523</v>
      </c>
      <c r="BD8">
        <f>SUMIF(RawDataTotal!$B:$B,$A8,RawDataTotal!BG:BG)</f>
        <v>6668</v>
      </c>
      <c r="BE8">
        <f>SUMIF(RawDataTotal!$B:$B,$A8,RawDataTotal!BH:BH)</f>
        <v>7699</v>
      </c>
      <c r="BF8">
        <f>SUMIF(RawDataTotal!$B:$B,$A8,RawDataTotal!BI:BI)</f>
        <v>0</v>
      </c>
      <c r="BG8">
        <f>SUMIF(RawDataTotal!$B:$B,$A8,RawDataTotal!BJ:BJ)</f>
        <v>0</v>
      </c>
      <c r="BH8">
        <f>SUMIF(RawDataTotal!$B:$B,$A8,RawDataTotal!BK:BK)</f>
        <v>0</v>
      </c>
      <c r="BI8">
        <f>SUMIF(RawDataTotal!$B:$B,$A8,RawDataTotal!BL:BL)</f>
        <v>0</v>
      </c>
      <c r="BJ8">
        <f>SUMIF(RawDataTotal!$B:$B,$A8,RawDataTotal!BM:BM)</f>
        <v>0</v>
      </c>
      <c r="BK8">
        <f>SUMIF(RawDataTotal!$B:$B,$A8,RawDataTotal!BN:BN)</f>
        <v>0</v>
      </c>
      <c r="BL8">
        <f>SUMIF(RawDataTotal!$B:$B,$A8,RawDataTotal!BO:BO)</f>
        <v>0</v>
      </c>
      <c r="BM8">
        <f>SUMIF(RawDataTotal!$B:$B,$A8,RawDataTotal!BP:BP)</f>
        <v>0</v>
      </c>
      <c r="BN8">
        <f>SUMIF(RawDataTotal!$B:$B,$A8,RawDataTotal!BQ:BQ)</f>
        <v>0</v>
      </c>
      <c r="BO8">
        <f>SUMIF(RawDataTotal!$B:$B,$A8,RawDataTotal!BR:BR)</f>
        <v>0</v>
      </c>
      <c r="BP8">
        <f>SUMIF(RawDataTotal!$B:$B,$A8,RawDataTotal!BS:BS)</f>
        <v>0</v>
      </c>
      <c r="BQ8">
        <f>SUMIF(RawDataTotal!$B:$B,$A8,RawDataTotal!BT:BT)</f>
        <v>0</v>
      </c>
      <c r="BR8">
        <f>SUMIF(RawDataTotal!$B:$B,$A8,RawDataTotal!BU:BU)</f>
        <v>0</v>
      </c>
      <c r="BS8">
        <f>SUMIF(RawDataTotal!$B:$B,$A8,RawDataTotal!BV:BV)</f>
        <v>0</v>
      </c>
      <c r="BT8">
        <f>SUMIF(RawDataTotal!$B:$B,$A8,RawDataTotal!BW:BW)</f>
        <v>0</v>
      </c>
    </row>
    <row r="9" spans="1:72" ht="15" thickBot="1" x14ac:dyDescent="0.35">
      <c r="A9" s="3" t="s">
        <v>65</v>
      </c>
      <c r="B9">
        <f>SUMIF(RawDataTotal!$B:$B,$A9,RawDataTotal!E:E)</f>
        <v>1</v>
      </c>
      <c r="C9">
        <f>SUMIF(RawDataTotal!$B:$B,$A9,RawDataTotal!F:F)</f>
        <v>1</v>
      </c>
      <c r="D9">
        <f>SUMIF(RawDataTotal!$B:$B,$A9,RawDataTotal!G:G)</f>
        <v>2</v>
      </c>
      <c r="E9">
        <f>SUMIF(RawDataTotal!$B:$B,$A9,RawDataTotal!H:H)</f>
        <v>2</v>
      </c>
      <c r="F9">
        <f>SUMIF(RawDataTotal!$B:$B,$A9,RawDataTotal!I:I)</f>
        <v>5</v>
      </c>
      <c r="G9">
        <f>SUMIF(RawDataTotal!$B:$B,$A9,RawDataTotal!J:J)</f>
        <v>5</v>
      </c>
      <c r="H9">
        <f>SUMIF(RawDataTotal!$B:$B,$A9,RawDataTotal!K:K)</f>
        <v>5</v>
      </c>
      <c r="I9">
        <f>SUMIF(RawDataTotal!$B:$B,$A9,RawDataTotal!L:L)</f>
        <v>5</v>
      </c>
      <c r="J9">
        <f>SUMIF(RawDataTotal!$B:$B,$A9,RawDataTotal!M:M)</f>
        <v>5</v>
      </c>
      <c r="K9">
        <f>SUMIF(RawDataTotal!$B:$B,$A9,RawDataTotal!N:N)</f>
        <v>7</v>
      </c>
      <c r="L9">
        <f>SUMIF(RawDataTotal!$B:$B,$A9,RawDataTotal!O:O)</f>
        <v>8</v>
      </c>
      <c r="M9">
        <f>SUMIF(RawDataTotal!$B:$B,$A9,RawDataTotal!P:P)</f>
        <v>8</v>
      </c>
      <c r="N9">
        <f>SUMIF(RawDataTotal!$B:$B,$A9,RawDataTotal!Q:Q)</f>
        <v>11</v>
      </c>
      <c r="O9">
        <f>SUMIF(RawDataTotal!$B:$B,$A9,RawDataTotal!R:R)</f>
        <v>11</v>
      </c>
      <c r="P9">
        <f>SUMIF(RawDataTotal!$B:$B,$A9,RawDataTotal!S:S)</f>
        <v>11</v>
      </c>
      <c r="Q9">
        <f>SUMIF(RawDataTotal!$B:$B,$A9,RawDataTotal!T:T)</f>
        <v>11</v>
      </c>
      <c r="R9">
        <f>SUMIF(RawDataTotal!$B:$B,$A9,RawDataTotal!U:U)</f>
        <v>11</v>
      </c>
      <c r="S9">
        <f>SUMIF(RawDataTotal!$B:$B,$A9,RawDataTotal!V:V)</f>
        <v>11</v>
      </c>
      <c r="T9">
        <f>SUMIF(RawDataTotal!$B:$B,$A9,RawDataTotal!W:W)</f>
        <v>11</v>
      </c>
      <c r="U9">
        <f>SUMIF(RawDataTotal!$B:$B,$A9,RawDataTotal!X:X)</f>
        <v>11</v>
      </c>
      <c r="V9">
        <f>SUMIF(RawDataTotal!$B:$B,$A9,RawDataTotal!Y:Y)</f>
        <v>12</v>
      </c>
      <c r="W9">
        <f>SUMIF(RawDataTotal!$B:$B,$A9,RawDataTotal!Z:Z)</f>
        <v>12</v>
      </c>
      <c r="X9">
        <f>SUMIF(RawDataTotal!$B:$B,$A9,RawDataTotal!AA:AA)</f>
        <v>13</v>
      </c>
      <c r="Y9">
        <f>SUMIF(RawDataTotal!$B:$B,$A9,RawDataTotal!AB:AB)</f>
        <v>13</v>
      </c>
      <c r="Z9">
        <f>SUMIF(RawDataTotal!$B:$B,$A9,RawDataTotal!AC:AC)</f>
        <v>13</v>
      </c>
      <c r="AA9">
        <f>SUMIF(RawDataTotal!$B:$B,$A9,RawDataTotal!AD:AD)</f>
        <v>13</v>
      </c>
      <c r="AB9">
        <f>SUMIF(RawDataTotal!$B:$B,$A9,RawDataTotal!AE:AE)</f>
        <v>13</v>
      </c>
      <c r="AC9">
        <f>SUMIF(RawDataTotal!$B:$B,$A9,RawDataTotal!AF:AF)</f>
        <v>13</v>
      </c>
      <c r="AD9">
        <f>SUMIF(RawDataTotal!$B:$B,$A9,RawDataTotal!AG:AG)</f>
        <v>13</v>
      </c>
      <c r="AE9">
        <f>SUMIF(RawDataTotal!$B:$B,$A9,RawDataTotal!AH:AH)</f>
        <v>13</v>
      </c>
      <c r="AF9">
        <f>SUMIF(RawDataTotal!$B:$B,$A9,RawDataTotal!AI:AI)</f>
        <v>15</v>
      </c>
      <c r="AG9">
        <f>SUMIF(RawDataTotal!$B:$B,$A9,RawDataTotal!AJ:AJ)</f>
        <v>15</v>
      </c>
      <c r="AH9">
        <f>SUMIF(RawDataTotal!$B:$B,$A9,RawDataTotal!AK:AK)</f>
        <v>15</v>
      </c>
      <c r="AI9">
        <f>SUMIF(RawDataTotal!$B:$B,$A9,RawDataTotal!AL:AL)</f>
        <v>51</v>
      </c>
      <c r="AJ9">
        <f>SUMIF(RawDataTotal!$B:$B,$A9,RawDataTotal!AM:AM)</f>
        <v>51</v>
      </c>
      <c r="AK9">
        <f>SUMIF(RawDataTotal!$B:$B,$A9,RawDataTotal!AN:AN)</f>
        <v>57</v>
      </c>
      <c r="AL9">
        <f>SUMIF(RawDataTotal!$B:$B,$A9,RawDataTotal!AO:AO)</f>
        <v>58</v>
      </c>
      <c r="AM9">
        <f>SUMIF(RawDataTotal!$B:$B,$A9,RawDataTotal!AP:AP)</f>
        <v>60</v>
      </c>
      <c r="AN9">
        <f>SUMIF(RawDataTotal!$B:$B,$A9,RawDataTotal!AQ:AQ)</f>
        <v>68</v>
      </c>
      <c r="AO9">
        <f>SUMIF(RawDataTotal!$B:$B,$A9,RawDataTotal!AR:AR)</f>
        <v>74</v>
      </c>
      <c r="AP9">
        <f>SUMIF(RawDataTotal!$B:$B,$A9,RawDataTotal!AS:AS)</f>
        <v>98</v>
      </c>
      <c r="AQ9">
        <f>SUMIF(RawDataTotal!$B:$B,$A9,RawDataTotal!AT:AT)</f>
        <v>118</v>
      </c>
      <c r="AR9">
        <f>SUMIF(RawDataTotal!$B:$B,$A9,RawDataTotal!AU:AU)</f>
        <v>149</v>
      </c>
      <c r="AS9">
        <f>SUMIF(RawDataTotal!$B:$B,$A9,RawDataTotal!AV:AV)</f>
        <v>217</v>
      </c>
      <c r="AT9">
        <f>SUMIF(RawDataTotal!$B:$B,$A9,RawDataTotal!AW:AW)</f>
        <v>262</v>
      </c>
      <c r="AU9">
        <f>SUMIF(RawDataTotal!$B:$B,$A9,RawDataTotal!AX:AX)</f>
        <v>402</v>
      </c>
      <c r="AV9">
        <f>SUMIF(RawDataTotal!$B:$B,$A9,RawDataTotal!AY:AY)</f>
        <v>518</v>
      </c>
      <c r="AW9">
        <f>SUMIF(RawDataTotal!$B:$B,$A9,RawDataTotal!AZ:AZ)</f>
        <v>583</v>
      </c>
      <c r="AX9">
        <f>SUMIF(RawDataTotal!$B:$B,$A9,RawDataTotal!BA:BA)</f>
        <v>959</v>
      </c>
      <c r="AY9">
        <f>SUMIF(RawDataTotal!$B:$B,$A9,RawDataTotal!BB:BB)</f>
        <v>1281</v>
      </c>
      <c r="AZ9">
        <f>SUMIF(RawDataTotal!$B:$B,$A9,RawDataTotal!BC:BC)</f>
        <v>1663</v>
      </c>
      <c r="BA9">
        <f>SUMIF(RawDataTotal!$B:$B,$A9,RawDataTotal!BD:BD)</f>
        <v>2179</v>
      </c>
      <c r="BB9">
        <f>SUMIF(RawDataTotal!$B:$B,$A9,RawDataTotal!BE:BE)</f>
        <v>2728</v>
      </c>
      <c r="BC9">
        <f>SUMIF(RawDataTotal!$B:$B,$A9,RawDataTotal!BF:BF)</f>
        <v>3500</v>
      </c>
      <c r="BD9">
        <f>SUMIF(RawDataTotal!$B:$B,$A9,RawDataTotal!BG:BG)</f>
        <v>4633</v>
      </c>
      <c r="BE9">
        <f>SUMIF(RawDataTotal!$B:$B,$A9,RawDataTotal!BH:BH)</f>
        <v>6421</v>
      </c>
      <c r="BF9">
        <f>SUMIF(RawDataTotal!$B:$B,$A9,RawDataTotal!BI:BI)</f>
        <v>0</v>
      </c>
      <c r="BG9">
        <f>SUMIF(RawDataTotal!$B:$B,$A9,RawDataTotal!BJ:BJ)</f>
        <v>0</v>
      </c>
      <c r="BH9">
        <f>SUMIF(RawDataTotal!$B:$B,$A9,RawDataTotal!BK:BK)</f>
        <v>0</v>
      </c>
      <c r="BI9">
        <f>SUMIF(RawDataTotal!$B:$B,$A9,RawDataTotal!BL:BL)</f>
        <v>0</v>
      </c>
      <c r="BJ9">
        <f>SUMIF(RawDataTotal!$B:$B,$A9,RawDataTotal!BM:BM)</f>
        <v>0</v>
      </c>
      <c r="BK9">
        <f>SUMIF(RawDataTotal!$B:$B,$A9,RawDataTotal!BN:BN)</f>
        <v>0</v>
      </c>
      <c r="BL9">
        <f>SUMIF(RawDataTotal!$B:$B,$A9,RawDataTotal!BO:BO)</f>
        <v>0</v>
      </c>
      <c r="BM9">
        <f>SUMIF(RawDataTotal!$B:$B,$A9,RawDataTotal!BP:BP)</f>
        <v>0</v>
      </c>
      <c r="BN9">
        <f>SUMIF(RawDataTotal!$B:$B,$A9,RawDataTotal!BQ:BQ)</f>
        <v>0</v>
      </c>
      <c r="BO9">
        <f>SUMIF(RawDataTotal!$B:$B,$A9,RawDataTotal!BR:BR)</f>
        <v>0</v>
      </c>
      <c r="BP9">
        <f>SUMIF(RawDataTotal!$B:$B,$A9,RawDataTotal!BS:BS)</f>
        <v>0</v>
      </c>
      <c r="BQ9">
        <f>SUMIF(RawDataTotal!$B:$B,$A9,RawDataTotal!BT:BT)</f>
        <v>0</v>
      </c>
      <c r="BR9">
        <f>SUMIF(RawDataTotal!$B:$B,$A9,RawDataTotal!BU:BU)</f>
        <v>0</v>
      </c>
      <c r="BS9">
        <f>SUMIF(RawDataTotal!$B:$B,$A9,RawDataTotal!BV:BV)</f>
        <v>0</v>
      </c>
      <c r="BT9">
        <f>SUMIF(RawDataTotal!$B:$B,$A9,RawDataTotal!BW:BW)</f>
        <v>0</v>
      </c>
    </row>
    <row r="10" spans="1:72" ht="15" thickBot="1" x14ac:dyDescent="0.35">
      <c r="A10" s="4" t="s">
        <v>104</v>
      </c>
      <c r="B10">
        <f>SUMIF(RawDataTotal!$B:$B,$A10,RawDataTotal!E:E)</f>
        <v>0</v>
      </c>
      <c r="C10">
        <f>SUMIF(RawDataTotal!$B:$B,$A10,RawDataTotal!F:F)</f>
        <v>0</v>
      </c>
      <c r="D10">
        <f>SUMIF(RawDataTotal!$B:$B,$A10,RawDataTotal!G:G)</f>
        <v>0</v>
      </c>
      <c r="E10">
        <f>SUMIF(RawDataTotal!$B:$B,$A10,RawDataTotal!H:H)</f>
        <v>0</v>
      </c>
      <c r="F10">
        <f>SUMIF(RawDataTotal!$B:$B,$A10,RawDataTotal!I:I)</f>
        <v>0</v>
      </c>
      <c r="G10">
        <f>SUMIF(RawDataTotal!$B:$B,$A10,RawDataTotal!J:J)</f>
        <v>0</v>
      </c>
      <c r="H10">
        <f>SUMIF(RawDataTotal!$B:$B,$A10,RawDataTotal!K:K)</f>
        <v>0</v>
      </c>
      <c r="I10">
        <f>SUMIF(RawDataTotal!$B:$B,$A10,RawDataTotal!L:L)</f>
        <v>0</v>
      </c>
      <c r="J10">
        <f>SUMIF(RawDataTotal!$B:$B,$A10,RawDataTotal!M:M)</f>
        <v>0</v>
      </c>
      <c r="K10">
        <f>SUMIF(RawDataTotal!$B:$B,$A10,RawDataTotal!N:N)</f>
        <v>0</v>
      </c>
      <c r="L10">
        <f>SUMIF(RawDataTotal!$B:$B,$A10,RawDataTotal!O:O)</f>
        <v>0</v>
      </c>
      <c r="M10">
        <f>SUMIF(RawDataTotal!$B:$B,$A10,RawDataTotal!P:P)</f>
        <v>0</v>
      </c>
      <c r="N10">
        <f>SUMIF(RawDataTotal!$B:$B,$A10,RawDataTotal!Q:Q)</f>
        <v>0</v>
      </c>
      <c r="O10">
        <f>SUMIF(RawDataTotal!$B:$B,$A10,RawDataTotal!R:R)</f>
        <v>0</v>
      </c>
      <c r="P10">
        <f>SUMIF(RawDataTotal!$B:$B,$A10,RawDataTotal!S:S)</f>
        <v>0</v>
      </c>
      <c r="Q10">
        <f>SUMIF(RawDataTotal!$B:$B,$A10,RawDataTotal!T:T)</f>
        <v>0</v>
      </c>
      <c r="R10">
        <f>SUMIF(RawDataTotal!$B:$B,$A10,RawDataTotal!U:U)</f>
        <v>0</v>
      </c>
      <c r="S10">
        <f>SUMIF(RawDataTotal!$B:$B,$A10,RawDataTotal!V:V)</f>
        <v>0</v>
      </c>
      <c r="T10">
        <f>SUMIF(RawDataTotal!$B:$B,$A10,RawDataTotal!W:W)</f>
        <v>0</v>
      </c>
      <c r="U10">
        <f>SUMIF(RawDataTotal!$B:$B,$A10,RawDataTotal!X:X)</f>
        <v>0</v>
      </c>
      <c r="V10">
        <f>SUMIF(RawDataTotal!$B:$B,$A10,RawDataTotal!Y:Y)</f>
        <v>0</v>
      </c>
      <c r="W10">
        <f>SUMIF(RawDataTotal!$B:$B,$A10,RawDataTotal!Z:Z)</f>
        <v>0</v>
      </c>
      <c r="X10">
        <f>SUMIF(RawDataTotal!$B:$B,$A10,RawDataTotal!AA:AA)</f>
        <v>0</v>
      </c>
      <c r="Y10">
        <f>SUMIF(RawDataTotal!$B:$B,$A10,RawDataTotal!AB:AB)</f>
        <v>0</v>
      </c>
      <c r="Z10">
        <f>SUMIF(RawDataTotal!$B:$B,$A10,RawDataTotal!AC:AC)</f>
        <v>0</v>
      </c>
      <c r="AA10">
        <f>SUMIF(RawDataTotal!$B:$B,$A10,RawDataTotal!AD:AD)</f>
        <v>0</v>
      </c>
      <c r="AB10">
        <f>SUMIF(RawDataTotal!$B:$B,$A10,RawDataTotal!AE:AE)</f>
        <v>0</v>
      </c>
      <c r="AC10">
        <f>SUMIF(RawDataTotal!$B:$B,$A10,RawDataTotal!AF:AF)</f>
        <v>0</v>
      </c>
      <c r="AD10">
        <f>SUMIF(RawDataTotal!$B:$B,$A10,RawDataTotal!AG:AG)</f>
        <v>0</v>
      </c>
      <c r="AE10">
        <f>SUMIF(RawDataTotal!$B:$B,$A10,RawDataTotal!AH:AH)</f>
        <v>0</v>
      </c>
      <c r="AF10">
        <f>SUMIF(RawDataTotal!$B:$B,$A10,RawDataTotal!AI:AI)</f>
        <v>0</v>
      </c>
      <c r="AG10">
        <f>SUMIF(RawDataTotal!$B:$B,$A10,RawDataTotal!AJ:AJ)</f>
        <v>0</v>
      </c>
      <c r="AH10">
        <f>SUMIF(RawDataTotal!$B:$B,$A10,RawDataTotal!AK:AK)</f>
        <v>0</v>
      </c>
      <c r="AI10">
        <f>SUMIF(RawDataTotal!$B:$B,$A10,RawDataTotal!AL:AL)</f>
        <v>0</v>
      </c>
      <c r="AJ10">
        <f>SUMIF(RawDataTotal!$B:$B,$A10,RawDataTotal!AM:AM)</f>
        <v>1</v>
      </c>
      <c r="AK10">
        <f>SUMIF(RawDataTotal!$B:$B,$A10,RawDataTotal!AN:AN)</f>
        <v>1</v>
      </c>
      <c r="AL10">
        <f>SUMIF(RawDataTotal!$B:$B,$A10,RawDataTotal!AO:AO)</f>
        <v>8</v>
      </c>
      <c r="AM10">
        <f>SUMIF(RawDataTotal!$B:$B,$A10,RawDataTotal!AP:AP)</f>
        <v>8</v>
      </c>
      <c r="AN10">
        <f>SUMIF(RawDataTotal!$B:$B,$A10,RawDataTotal!AQ:AQ)</f>
        <v>18</v>
      </c>
      <c r="AO10">
        <f>SUMIF(RawDataTotal!$B:$B,$A10,RawDataTotal!AR:AR)</f>
        <v>27</v>
      </c>
      <c r="AP10">
        <f>SUMIF(RawDataTotal!$B:$B,$A10,RawDataTotal!AS:AS)</f>
        <v>42</v>
      </c>
      <c r="AQ10">
        <f>SUMIF(RawDataTotal!$B:$B,$A10,RawDataTotal!AT:AT)</f>
        <v>56</v>
      </c>
      <c r="AR10">
        <f>SUMIF(RawDataTotal!$B:$B,$A10,RawDataTotal!AU:AU)</f>
        <v>90</v>
      </c>
      <c r="AS10">
        <f>SUMIF(RawDataTotal!$B:$B,$A10,RawDataTotal!AV:AV)</f>
        <v>114</v>
      </c>
      <c r="AT10">
        <f>SUMIF(RawDataTotal!$B:$B,$A10,RawDataTotal!AW:AW)</f>
        <v>214</v>
      </c>
      <c r="AU10">
        <f>SUMIF(RawDataTotal!$B:$B,$A10,RawDataTotal!AX:AX)</f>
        <v>268</v>
      </c>
      <c r="AV10">
        <f>SUMIF(RawDataTotal!$B:$B,$A10,RawDataTotal!AY:AY)</f>
        <v>337</v>
      </c>
      <c r="AW10">
        <f>SUMIF(RawDataTotal!$B:$B,$A10,RawDataTotal!AZ:AZ)</f>
        <v>374</v>
      </c>
      <c r="AX10">
        <f>SUMIF(RawDataTotal!$B:$B,$A10,RawDataTotal!BA:BA)</f>
        <v>491</v>
      </c>
      <c r="AY10">
        <f>SUMIF(RawDataTotal!$B:$B,$A10,RawDataTotal!BB:BB)</f>
        <v>652</v>
      </c>
      <c r="AZ10">
        <f>SUMIF(RawDataTotal!$B:$B,$A10,RawDataTotal!BC:BC)</f>
        <v>652</v>
      </c>
      <c r="BA10">
        <f>SUMIF(RawDataTotal!$B:$B,$A10,RawDataTotal!BD:BD)</f>
        <v>1139</v>
      </c>
      <c r="BB10">
        <f>SUMIF(RawDataTotal!$B:$B,$A10,RawDataTotal!BE:BE)</f>
        <v>1359</v>
      </c>
      <c r="BC10">
        <f>SUMIF(RawDataTotal!$B:$B,$A10,RawDataTotal!BF:BF)</f>
        <v>2200</v>
      </c>
      <c r="BD10">
        <f>SUMIF(RawDataTotal!$B:$B,$A10,RawDataTotal!BG:BG)</f>
        <v>2200</v>
      </c>
      <c r="BE10">
        <f>SUMIF(RawDataTotal!$B:$B,$A10,RawDataTotal!BH:BH)</f>
        <v>2700</v>
      </c>
      <c r="BF10">
        <f>SUMIF(RawDataTotal!$B:$B,$A10,RawDataTotal!BI:BI)</f>
        <v>0</v>
      </c>
      <c r="BG10">
        <f>SUMIF(RawDataTotal!$B:$B,$A10,RawDataTotal!BJ:BJ)</f>
        <v>0</v>
      </c>
      <c r="BH10">
        <f>SUMIF(RawDataTotal!$B:$B,$A10,RawDataTotal!BK:BK)</f>
        <v>0</v>
      </c>
      <c r="BI10">
        <f>SUMIF(RawDataTotal!$B:$B,$A10,RawDataTotal!BL:BL)</f>
        <v>0</v>
      </c>
      <c r="BJ10">
        <f>SUMIF(RawDataTotal!$B:$B,$A10,RawDataTotal!BM:BM)</f>
        <v>0</v>
      </c>
      <c r="BK10">
        <f>SUMIF(RawDataTotal!$B:$B,$A10,RawDataTotal!BN:BN)</f>
        <v>0</v>
      </c>
      <c r="BL10">
        <f>SUMIF(RawDataTotal!$B:$B,$A10,RawDataTotal!BO:BO)</f>
        <v>0</v>
      </c>
      <c r="BM10">
        <f>SUMIF(RawDataTotal!$B:$B,$A10,RawDataTotal!BP:BP)</f>
        <v>0</v>
      </c>
      <c r="BN10">
        <f>SUMIF(RawDataTotal!$B:$B,$A10,RawDataTotal!BQ:BQ)</f>
        <v>0</v>
      </c>
      <c r="BO10">
        <f>SUMIF(RawDataTotal!$B:$B,$A10,RawDataTotal!BR:BR)</f>
        <v>0</v>
      </c>
      <c r="BP10">
        <f>SUMIF(RawDataTotal!$B:$B,$A10,RawDataTotal!BS:BS)</f>
        <v>0</v>
      </c>
      <c r="BQ10">
        <f>SUMIF(RawDataTotal!$B:$B,$A10,RawDataTotal!BT:BT)</f>
        <v>0</v>
      </c>
      <c r="BR10">
        <f>SUMIF(RawDataTotal!$B:$B,$A10,RawDataTotal!BU:BU)</f>
        <v>0</v>
      </c>
      <c r="BS10">
        <f>SUMIF(RawDataTotal!$B:$B,$A10,RawDataTotal!BV:BV)</f>
        <v>0</v>
      </c>
      <c r="BT10">
        <f>SUMIF(RawDataTotal!$B:$B,$A10,RawDataTotal!BW:BW)</f>
        <v>0</v>
      </c>
    </row>
    <row r="11" spans="1:72" ht="15" thickBot="1" x14ac:dyDescent="0.35">
      <c r="A11" s="4" t="s">
        <v>112</v>
      </c>
      <c r="B11">
        <f>SUMIF(RawDataTotal!$B:$B,$A11,RawDataTotal!E:E)</f>
        <v>0</v>
      </c>
      <c r="C11">
        <f>SUMIF(RawDataTotal!$B:$B,$A11,RawDataTotal!F:F)</f>
        <v>0</v>
      </c>
      <c r="D11">
        <f>SUMIF(RawDataTotal!$B:$B,$A11,RawDataTotal!G:G)</f>
        <v>0</v>
      </c>
      <c r="E11">
        <f>SUMIF(RawDataTotal!$B:$B,$A11,RawDataTotal!H:H)</f>
        <v>0</v>
      </c>
      <c r="F11">
        <f>SUMIF(RawDataTotal!$B:$B,$A11,RawDataTotal!I:I)</f>
        <v>0</v>
      </c>
      <c r="G11">
        <f>SUMIF(RawDataTotal!$B:$B,$A11,RawDataTotal!J:J)</f>
        <v>0</v>
      </c>
      <c r="H11">
        <f>SUMIF(RawDataTotal!$B:$B,$A11,RawDataTotal!K:K)</f>
        <v>0</v>
      </c>
      <c r="I11">
        <f>SUMIF(RawDataTotal!$B:$B,$A11,RawDataTotal!L:L)</f>
        <v>0</v>
      </c>
      <c r="J11">
        <f>SUMIF(RawDataTotal!$B:$B,$A11,RawDataTotal!M:M)</f>
        <v>0</v>
      </c>
      <c r="K11">
        <f>SUMIF(RawDataTotal!$B:$B,$A11,RawDataTotal!N:N)</f>
        <v>0</v>
      </c>
      <c r="L11">
        <f>SUMIF(RawDataTotal!$B:$B,$A11,RawDataTotal!O:O)</f>
        <v>0</v>
      </c>
      <c r="M11">
        <f>SUMIF(RawDataTotal!$B:$B,$A11,RawDataTotal!P:P)</f>
        <v>0</v>
      </c>
      <c r="N11">
        <f>SUMIF(RawDataTotal!$B:$B,$A11,RawDataTotal!Q:Q)</f>
        <v>0</v>
      </c>
      <c r="O11">
        <f>SUMIF(RawDataTotal!$B:$B,$A11,RawDataTotal!R:R)</f>
        <v>0</v>
      </c>
      <c r="P11">
        <f>SUMIF(RawDataTotal!$B:$B,$A11,RawDataTotal!S:S)</f>
        <v>0</v>
      </c>
      <c r="Q11">
        <f>SUMIF(RawDataTotal!$B:$B,$A11,RawDataTotal!T:T)</f>
        <v>0</v>
      </c>
      <c r="R11">
        <f>SUMIF(RawDataTotal!$B:$B,$A11,RawDataTotal!U:U)</f>
        <v>0</v>
      </c>
      <c r="S11">
        <f>SUMIF(RawDataTotal!$B:$B,$A11,RawDataTotal!V:V)</f>
        <v>0</v>
      </c>
      <c r="T11">
        <f>SUMIF(RawDataTotal!$B:$B,$A11,RawDataTotal!W:W)</f>
        <v>0</v>
      </c>
      <c r="U11">
        <f>SUMIF(RawDataTotal!$B:$B,$A11,RawDataTotal!X:X)</f>
        <v>0</v>
      </c>
      <c r="V11">
        <f>SUMIF(RawDataTotal!$B:$B,$A11,RawDataTotal!Y:Y)</f>
        <v>0</v>
      </c>
      <c r="W11">
        <f>SUMIF(RawDataTotal!$B:$B,$A11,RawDataTotal!Z:Z)</f>
        <v>0</v>
      </c>
      <c r="X11">
        <f>SUMIF(RawDataTotal!$B:$B,$A11,RawDataTotal!AA:AA)</f>
        <v>0</v>
      </c>
      <c r="Y11">
        <f>SUMIF(RawDataTotal!$B:$B,$A11,RawDataTotal!AB:AB)</f>
        <v>0</v>
      </c>
      <c r="Z11">
        <f>SUMIF(RawDataTotal!$B:$B,$A11,RawDataTotal!AC:AC)</f>
        <v>0</v>
      </c>
      <c r="AA11">
        <f>SUMIF(RawDataTotal!$B:$B,$A11,RawDataTotal!AD:AD)</f>
        <v>0</v>
      </c>
      <c r="AB11">
        <f>SUMIF(RawDataTotal!$B:$B,$A11,RawDataTotal!AE:AE)</f>
        <v>0</v>
      </c>
      <c r="AC11">
        <f>SUMIF(RawDataTotal!$B:$B,$A11,RawDataTotal!AF:AF)</f>
        <v>0</v>
      </c>
      <c r="AD11">
        <f>SUMIF(RawDataTotal!$B:$B,$A11,RawDataTotal!AG:AG)</f>
        <v>0</v>
      </c>
      <c r="AE11">
        <f>SUMIF(RawDataTotal!$B:$B,$A11,RawDataTotal!AH:AH)</f>
        <v>0</v>
      </c>
      <c r="AF11">
        <f>SUMIF(RawDataTotal!$B:$B,$A11,RawDataTotal!AI:AI)</f>
        <v>0</v>
      </c>
      <c r="AG11">
        <f>SUMIF(RawDataTotal!$B:$B,$A11,RawDataTotal!AJ:AJ)</f>
        <v>0</v>
      </c>
      <c r="AH11">
        <f>SUMIF(RawDataTotal!$B:$B,$A11,RawDataTotal!AK:AK)</f>
        <v>0</v>
      </c>
      <c r="AI11">
        <f>SUMIF(RawDataTotal!$B:$B,$A11,RawDataTotal!AL:AL)</f>
        <v>0</v>
      </c>
      <c r="AJ11">
        <f>SUMIF(RawDataTotal!$B:$B,$A11,RawDataTotal!AM:AM)</f>
        <v>0</v>
      </c>
      <c r="AK11">
        <f>SUMIF(RawDataTotal!$B:$B,$A11,RawDataTotal!AN:AN)</f>
        <v>1</v>
      </c>
      <c r="AL11">
        <f>SUMIF(RawDataTotal!$B:$B,$A11,RawDataTotal!AO:AO)</f>
        <v>1</v>
      </c>
      <c r="AM11">
        <f>SUMIF(RawDataTotal!$B:$B,$A11,RawDataTotal!AP:AP)</f>
        <v>6</v>
      </c>
      <c r="AN11">
        <f>SUMIF(RawDataTotal!$B:$B,$A11,RawDataTotal!AQ:AQ)</f>
        <v>15</v>
      </c>
      <c r="AO11">
        <f>SUMIF(RawDataTotal!$B:$B,$A11,RawDataTotal!AR:AR)</f>
        <v>19</v>
      </c>
      <c r="AP11">
        <f>SUMIF(RawDataTotal!$B:$B,$A11,RawDataTotal!AS:AS)</f>
        <v>25</v>
      </c>
      <c r="AQ11">
        <f>SUMIF(RawDataTotal!$B:$B,$A11,RawDataTotal!AT:AT)</f>
        <v>32</v>
      </c>
      <c r="AR11">
        <f>SUMIF(RawDataTotal!$B:$B,$A11,RawDataTotal!AU:AU)</f>
        <v>56</v>
      </c>
      <c r="AS11">
        <f>SUMIF(RawDataTotal!$B:$B,$A11,RawDataTotal!AV:AV)</f>
        <v>87</v>
      </c>
      <c r="AT11">
        <f>SUMIF(RawDataTotal!$B:$B,$A11,RawDataTotal!AW:AW)</f>
        <v>108</v>
      </c>
      <c r="AU11">
        <f>SUMIF(RawDataTotal!$B:$B,$A11,RawDataTotal!AX:AX)</f>
        <v>147</v>
      </c>
      <c r="AV11">
        <f>SUMIF(RawDataTotal!$B:$B,$A11,RawDataTotal!AY:AY)</f>
        <v>176</v>
      </c>
      <c r="AW11">
        <f>SUMIF(RawDataTotal!$B:$B,$A11,RawDataTotal!AZ:AZ)</f>
        <v>205</v>
      </c>
      <c r="AX11">
        <f>SUMIF(RawDataTotal!$B:$B,$A11,RawDataTotal!BA:BA)</f>
        <v>400</v>
      </c>
      <c r="AY11">
        <f>SUMIF(RawDataTotal!$B:$B,$A11,RawDataTotal!BB:BB)</f>
        <v>598</v>
      </c>
      <c r="AZ11">
        <f>SUMIF(RawDataTotal!$B:$B,$A11,RawDataTotal!BC:BC)</f>
        <v>702</v>
      </c>
      <c r="BA11">
        <f>SUMIF(RawDataTotal!$B:$B,$A11,RawDataTotal!BD:BD)</f>
        <v>996</v>
      </c>
      <c r="BB11">
        <f>SUMIF(RawDataTotal!$B:$B,$A11,RawDataTotal!BE:BE)</f>
        <v>1090</v>
      </c>
      <c r="BC11">
        <f>SUMIF(RawDataTotal!$B:$B,$A11,RawDataTotal!BF:BF)</f>
        <v>1221</v>
      </c>
      <c r="BD11">
        <f>SUMIF(RawDataTotal!$B:$B,$A11,RawDataTotal!BG:BG)</f>
        <v>1333</v>
      </c>
      <c r="BE11">
        <f>SUMIF(RawDataTotal!$B:$B,$A11,RawDataTotal!BH:BH)</f>
        <v>1463</v>
      </c>
      <c r="BF11">
        <f>SUMIF(RawDataTotal!$B:$B,$A11,RawDataTotal!BI:BI)</f>
        <v>0</v>
      </c>
      <c r="BG11">
        <f>SUMIF(RawDataTotal!$B:$B,$A11,RawDataTotal!BJ:BJ)</f>
        <v>0</v>
      </c>
      <c r="BH11">
        <f>SUMIF(RawDataTotal!$B:$B,$A11,RawDataTotal!BK:BK)</f>
        <v>0</v>
      </c>
      <c r="BI11">
        <f>SUMIF(RawDataTotal!$B:$B,$A11,RawDataTotal!BL:BL)</f>
        <v>0</v>
      </c>
      <c r="BJ11">
        <f>SUMIF(RawDataTotal!$B:$B,$A11,RawDataTotal!BM:BM)</f>
        <v>0</v>
      </c>
      <c r="BK11">
        <f>SUMIF(RawDataTotal!$B:$B,$A11,RawDataTotal!BN:BN)</f>
        <v>0</v>
      </c>
      <c r="BL11">
        <f>SUMIF(RawDataTotal!$B:$B,$A11,RawDataTotal!BO:BO)</f>
        <v>0</v>
      </c>
      <c r="BM11">
        <f>SUMIF(RawDataTotal!$B:$B,$A11,RawDataTotal!BP:BP)</f>
        <v>0</v>
      </c>
      <c r="BN11">
        <f>SUMIF(RawDataTotal!$B:$B,$A11,RawDataTotal!BQ:BQ)</f>
        <v>0</v>
      </c>
      <c r="BO11">
        <f>SUMIF(RawDataTotal!$B:$B,$A11,RawDataTotal!BR:BR)</f>
        <v>0</v>
      </c>
      <c r="BP11">
        <f>SUMIF(RawDataTotal!$B:$B,$A11,RawDataTotal!BS:BS)</f>
        <v>0</v>
      </c>
      <c r="BQ11">
        <f>SUMIF(RawDataTotal!$B:$B,$A11,RawDataTotal!BT:BT)</f>
        <v>0</v>
      </c>
      <c r="BR11">
        <f>SUMIF(RawDataTotal!$B:$B,$A11,RawDataTotal!BU:BU)</f>
        <v>0</v>
      </c>
      <c r="BS11">
        <f>SUMIF(RawDataTotal!$B:$B,$A11,RawDataTotal!BV:BV)</f>
        <v>0</v>
      </c>
      <c r="BT11">
        <f>SUMIF(RawDataTotal!$B:$B,$A11,RawDataTotal!BW:BW)</f>
        <v>0</v>
      </c>
    </row>
    <row r="12" spans="1:72" ht="15" thickBot="1" x14ac:dyDescent="0.35">
      <c r="A12" s="4" t="s">
        <v>86</v>
      </c>
      <c r="B12">
        <f>SUMIF(RawDataTotal!$B:$B,$A12,RawDataTotal!E:E)</f>
        <v>0</v>
      </c>
      <c r="C12">
        <f>SUMIF(RawDataTotal!$B:$B,$A12,RawDataTotal!F:F)</f>
        <v>0</v>
      </c>
      <c r="D12">
        <f>SUMIF(RawDataTotal!$B:$B,$A12,RawDataTotal!G:G)</f>
        <v>0</v>
      </c>
      <c r="E12">
        <f>SUMIF(RawDataTotal!$B:$B,$A12,RawDataTotal!H:H)</f>
        <v>0</v>
      </c>
      <c r="F12">
        <f>SUMIF(RawDataTotal!$B:$B,$A12,RawDataTotal!I:I)</f>
        <v>0</v>
      </c>
      <c r="G12">
        <f>SUMIF(RawDataTotal!$B:$B,$A12,RawDataTotal!J:J)</f>
        <v>0</v>
      </c>
      <c r="H12">
        <f>SUMIF(RawDataTotal!$B:$B,$A12,RawDataTotal!K:K)</f>
        <v>0</v>
      </c>
      <c r="I12">
        <f>SUMIF(RawDataTotal!$B:$B,$A12,RawDataTotal!L:L)</f>
        <v>0</v>
      </c>
      <c r="J12">
        <f>SUMIF(RawDataTotal!$B:$B,$A12,RawDataTotal!M:M)</f>
        <v>0</v>
      </c>
      <c r="K12">
        <f>SUMIF(RawDataTotal!$B:$B,$A12,RawDataTotal!N:N)</f>
        <v>1</v>
      </c>
      <c r="L12">
        <f>SUMIF(RawDataTotal!$B:$B,$A12,RawDataTotal!O:O)</f>
        <v>1</v>
      </c>
      <c r="M12">
        <f>SUMIF(RawDataTotal!$B:$B,$A12,RawDataTotal!P:P)</f>
        <v>1</v>
      </c>
      <c r="N12">
        <f>SUMIF(RawDataTotal!$B:$B,$A12,RawDataTotal!Q:Q)</f>
        <v>1</v>
      </c>
      <c r="O12">
        <f>SUMIF(RawDataTotal!$B:$B,$A12,RawDataTotal!R:R)</f>
        <v>1</v>
      </c>
      <c r="P12">
        <f>SUMIF(RawDataTotal!$B:$B,$A12,RawDataTotal!S:S)</f>
        <v>1</v>
      </c>
      <c r="Q12">
        <f>SUMIF(RawDataTotal!$B:$B,$A12,RawDataTotal!T:T)</f>
        <v>1</v>
      </c>
      <c r="R12">
        <f>SUMIF(RawDataTotal!$B:$B,$A12,RawDataTotal!U:U)</f>
        <v>1</v>
      </c>
      <c r="S12">
        <f>SUMIF(RawDataTotal!$B:$B,$A12,RawDataTotal!V:V)</f>
        <v>1</v>
      </c>
      <c r="T12">
        <f>SUMIF(RawDataTotal!$B:$B,$A12,RawDataTotal!W:W)</f>
        <v>1</v>
      </c>
      <c r="U12">
        <f>SUMIF(RawDataTotal!$B:$B,$A12,RawDataTotal!X:X)</f>
        <v>1</v>
      </c>
      <c r="V12">
        <f>SUMIF(RawDataTotal!$B:$B,$A12,RawDataTotal!Y:Y)</f>
        <v>1</v>
      </c>
      <c r="W12">
        <f>SUMIF(RawDataTotal!$B:$B,$A12,RawDataTotal!Z:Z)</f>
        <v>1</v>
      </c>
      <c r="X12">
        <f>SUMIF(RawDataTotal!$B:$B,$A12,RawDataTotal!AA:AA)</f>
        <v>1</v>
      </c>
      <c r="Y12">
        <f>SUMIF(RawDataTotal!$B:$B,$A12,RawDataTotal!AB:AB)</f>
        <v>1</v>
      </c>
      <c r="Z12">
        <f>SUMIF(RawDataTotal!$B:$B,$A12,RawDataTotal!AC:AC)</f>
        <v>1</v>
      </c>
      <c r="AA12">
        <f>SUMIF(RawDataTotal!$B:$B,$A12,RawDataTotal!AD:AD)</f>
        <v>1</v>
      </c>
      <c r="AB12">
        <f>SUMIF(RawDataTotal!$B:$B,$A12,RawDataTotal!AE:AE)</f>
        <v>1</v>
      </c>
      <c r="AC12">
        <f>SUMIF(RawDataTotal!$B:$B,$A12,RawDataTotal!AF:AF)</f>
        <v>1</v>
      </c>
      <c r="AD12">
        <f>SUMIF(RawDataTotal!$B:$B,$A12,RawDataTotal!AG:AG)</f>
        <v>1</v>
      </c>
      <c r="AE12">
        <f>SUMIF(RawDataTotal!$B:$B,$A12,RawDataTotal!AH:AH)</f>
        <v>1</v>
      </c>
      <c r="AF12">
        <f>SUMIF(RawDataTotal!$B:$B,$A12,RawDataTotal!AI:AI)</f>
        <v>1</v>
      </c>
      <c r="AG12">
        <f>SUMIF(RawDataTotal!$B:$B,$A12,RawDataTotal!AJ:AJ)</f>
        <v>1</v>
      </c>
      <c r="AH12">
        <f>SUMIF(RawDataTotal!$B:$B,$A12,RawDataTotal!AK:AK)</f>
        <v>1</v>
      </c>
      <c r="AI12">
        <f>SUMIF(RawDataTotal!$B:$B,$A12,RawDataTotal!AL:AL)</f>
        <v>1</v>
      </c>
      <c r="AJ12">
        <f>SUMIF(RawDataTotal!$B:$B,$A12,RawDataTotal!AM:AM)</f>
        <v>1</v>
      </c>
      <c r="AK12">
        <f>SUMIF(RawDataTotal!$B:$B,$A12,RawDataTotal!AN:AN)</f>
        <v>2</v>
      </c>
      <c r="AL12">
        <f>SUMIF(RawDataTotal!$B:$B,$A12,RawDataTotal!AO:AO)</f>
        <v>7</v>
      </c>
      <c r="AM12">
        <f>SUMIF(RawDataTotal!$B:$B,$A12,RawDataTotal!AP:AP)</f>
        <v>7</v>
      </c>
      <c r="AN12">
        <f>SUMIF(RawDataTotal!$B:$B,$A12,RawDataTotal!AQ:AQ)</f>
        <v>12</v>
      </c>
      <c r="AO12">
        <f>SUMIF(RawDataTotal!$B:$B,$A12,RawDataTotal!AR:AR)</f>
        <v>14</v>
      </c>
      <c r="AP12">
        <f>SUMIF(RawDataTotal!$B:$B,$A12,RawDataTotal!AS:AS)</f>
        <v>15</v>
      </c>
      <c r="AQ12">
        <f>SUMIF(RawDataTotal!$B:$B,$A12,RawDataTotal!AT:AT)</f>
        <v>21</v>
      </c>
      <c r="AR12">
        <f>SUMIF(RawDataTotal!$B:$B,$A12,RawDataTotal!AU:AU)</f>
        <v>35</v>
      </c>
      <c r="AS12">
        <f>SUMIF(RawDataTotal!$B:$B,$A12,RawDataTotal!AV:AV)</f>
        <v>94</v>
      </c>
      <c r="AT12">
        <f>SUMIF(RawDataTotal!$B:$B,$A12,RawDataTotal!AW:AW)</f>
        <v>101</v>
      </c>
      <c r="AU12">
        <f>SUMIF(RawDataTotal!$B:$B,$A12,RawDataTotal!AX:AX)</f>
        <v>161</v>
      </c>
      <c r="AV12">
        <f>SUMIF(RawDataTotal!$B:$B,$A12,RawDataTotal!AY:AY)</f>
        <v>203</v>
      </c>
      <c r="AW12">
        <f>SUMIF(RawDataTotal!$B:$B,$A12,RawDataTotal!AZ:AZ)</f>
        <v>248</v>
      </c>
      <c r="AX12">
        <f>SUMIF(RawDataTotal!$B:$B,$A12,RawDataTotal!BA:BA)</f>
        <v>355</v>
      </c>
      <c r="AY12">
        <f>SUMIF(RawDataTotal!$B:$B,$A12,RawDataTotal!BB:BB)</f>
        <v>500</v>
      </c>
      <c r="AZ12">
        <f>SUMIF(RawDataTotal!$B:$B,$A12,RawDataTotal!BC:BC)</f>
        <v>599</v>
      </c>
      <c r="BA12">
        <f>SUMIF(RawDataTotal!$B:$B,$A12,RawDataTotal!BD:BD)</f>
        <v>814</v>
      </c>
      <c r="BB12">
        <f>SUMIF(RawDataTotal!$B:$B,$A12,RawDataTotal!BE:BE)</f>
        <v>961</v>
      </c>
      <c r="BC12">
        <f>SUMIF(RawDataTotal!$B:$B,$A12,RawDataTotal!BF:BF)</f>
        <v>1022</v>
      </c>
      <c r="BD12">
        <f>SUMIF(RawDataTotal!$B:$B,$A12,RawDataTotal!BG:BG)</f>
        <v>1103</v>
      </c>
      <c r="BE12">
        <f>SUMIF(RawDataTotal!$B:$B,$A12,RawDataTotal!BH:BH)</f>
        <v>1190</v>
      </c>
      <c r="BF12">
        <f>SUMIF(RawDataTotal!$B:$B,$A12,RawDataTotal!BI:BI)</f>
        <v>0</v>
      </c>
      <c r="BG12">
        <f>SUMIF(RawDataTotal!$B:$B,$A12,RawDataTotal!BJ:BJ)</f>
        <v>0</v>
      </c>
      <c r="BH12">
        <f>SUMIF(RawDataTotal!$B:$B,$A12,RawDataTotal!BK:BK)</f>
        <v>0</v>
      </c>
      <c r="BI12">
        <f>SUMIF(RawDataTotal!$B:$B,$A12,RawDataTotal!BL:BL)</f>
        <v>0</v>
      </c>
      <c r="BJ12">
        <f>SUMIF(RawDataTotal!$B:$B,$A12,RawDataTotal!BM:BM)</f>
        <v>0</v>
      </c>
      <c r="BK12">
        <f>SUMIF(RawDataTotal!$B:$B,$A12,RawDataTotal!BN:BN)</f>
        <v>0</v>
      </c>
      <c r="BL12">
        <f>SUMIF(RawDataTotal!$B:$B,$A12,RawDataTotal!BO:BO)</f>
        <v>0</v>
      </c>
      <c r="BM12">
        <f>SUMIF(RawDataTotal!$B:$B,$A12,RawDataTotal!BP:BP)</f>
        <v>0</v>
      </c>
      <c r="BN12">
        <f>SUMIF(RawDataTotal!$B:$B,$A12,RawDataTotal!BQ:BQ)</f>
        <v>0</v>
      </c>
      <c r="BO12">
        <f>SUMIF(RawDataTotal!$B:$B,$A12,RawDataTotal!BR:BR)</f>
        <v>0</v>
      </c>
      <c r="BP12">
        <f>SUMIF(RawDataTotal!$B:$B,$A12,RawDataTotal!BS:BS)</f>
        <v>0</v>
      </c>
      <c r="BQ12">
        <f>SUMIF(RawDataTotal!$B:$B,$A12,RawDataTotal!BT:BT)</f>
        <v>0</v>
      </c>
      <c r="BR12">
        <f>SUMIF(RawDataTotal!$B:$B,$A12,RawDataTotal!BU:BU)</f>
        <v>0</v>
      </c>
      <c r="BS12">
        <f>SUMIF(RawDataTotal!$B:$B,$A12,RawDataTotal!BV:BV)</f>
        <v>0</v>
      </c>
      <c r="BT12">
        <f>SUMIF(RawDataTotal!$B:$B,$A12,RawDataTotal!BW:BW)</f>
        <v>0</v>
      </c>
    </row>
    <row r="13" spans="1:72" ht="15" thickBot="1" x14ac:dyDescent="0.35">
      <c r="A13" s="3" t="s">
        <v>114</v>
      </c>
      <c r="B13">
        <f>SUMIF(RawDataTotal!$B:$B,$A13,RawDataTotal!E:E)</f>
        <v>0</v>
      </c>
      <c r="C13">
        <f>SUMIF(RawDataTotal!$B:$B,$A13,RawDataTotal!F:F)</f>
        <v>0</v>
      </c>
      <c r="D13">
        <f>SUMIF(RawDataTotal!$B:$B,$A13,RawDataTotal!G:G)</f>
        <v>0</v>
      </c>
      <c r="E13">
        <f>SUMIF(RawDataTotal!$B:$B,$A13,RawDataTotal!H:H)</f>
        <v>0</v>
      </c>
      <c r="F13">
        <f>SUMIF(RawDataTotal!$B:$B,$A13,RawDataTotal!I:I)</f>
        <v>0</v>
      </c>
      <c r="G13">
        <f>SUMIF(RawDataTotal!$B:$B,$A13,RawDataTotal!J:J)</f>
        <v>0</v>
      </c>
      <c r="H13">
        <f>SUMIF(RawDataTotal!$B:$B,$A13,RawDataTotal!K:K)</f>
        <v>0</v>
      </c>
      <c r="I13">
        <f>SUMIF(RawDataTotal!$B:$B,$A13,RawDataTotal!L:L)</f>
        <v>0</v>
      </c>
      <c r="J13">
        <f>SUMIF(RawDataTotal!$B:$B,$A13,RawDataTotal!M:M)</f>
        <v>0</v>
      </c>
      <c r="K13">
        <f>SUMIF(RawDataTotal!$B:$B,$A13,RawDataTotal!N:N)</f>
        <v>0</v>
      </c>
      <c r="L13">
        <f>SUMIF(RawDataTotal!$B:$B,$A13,RawDataTotal!O:O)</f>
        <v>0</v>
      </c>
      <c r="M13">
        <f>SUMIF(RawDataTotal!$B:$B,$A13,RawDataTotal!P:P)</f>
        <v>0</v>
      </c>
      <c r="N13">
        <f>SUMIF(RawDataTotal!$B:$B,$A13,RawDataTotal!Q:Q)</f>
        <v>0</v>
      </c>
      <c r="O13">
        <f>SUMIF(RawDataTotal!$B:$B,$A13,RawDataTotal!R:R)</f>
        <v>0</v>
      </c>
      <c r="P13">
        <f>SUMIF(RawDataTotal!$B:$B,$A13,RawDataTotal!S:S)</f>
        <v>0</v>
      </c>
      <c r="Q13">
        <f>SUMIF(RawDataTotal!$B:$B,$A13,RawDataTotal!T:T)</f>
        <v>0</v>
      </c>
      <c r="R13">
        <f>SUMIF(RawDataTotal!$B:$B,$A13,RawDataTotal!U:U)</f>
        <v>0</v>
      </c>
      <c r="S13">
        <f>SUMIF(RawDataTotal!$B:$B,$A13,RawDataTotal!V:V)</f>
        <v>0</v>
      </c>
      <c r="T13">
        <f>SUMIF(RawDataTotal!$B:$B,$A13,RawDataTotal!W:W)</f>
        <v>0</v>
      </c>
      <c r="U13">
        <f>SUMIF(RawDataTotal!$B:$B,$A13,RawDataTotal!X:X)</f>
        <v>0</v>
      </c>
      <c r="V13">
        <f>SUMIF(RawDataTotal!$B:$B,$A13,RawDataTotal!Y:Y)</f>
        <v>0</v>
      </c>
      <c r="W13">
        <f>SUMIF(RawDataTotal!$B:$B,$A13,RawDataTotal!Z:Z)</f>
        <v>0</v>
      </c>
      <c r="X13">
        <f>SUMIF(RawDataTotal!$B:$B,$A13,RawDataTotal!AA:AA)</f>
        <v>0</v>
      </c>
      <c r="Y13">
        <f>SUMIF(RawDataTotal!$B:$B,$A13,RawDataTotal!AB:AB)</f>
        <v>0</v>
      </c>
      <c r="Z13">
        <f>SUMIF(RawDataTotal!$B:$B,$A13,RawDataTotal!AC:AC)</f>
        <v>0</v>
      </c>
      <c r="AA13">
        <f>SUMIF(RawDataTotal!$B:$B,$A13,RawDataTotal!AD:AD)</f>
        <v>0</v>
      </c>
      <c r="AB13">
        <f>SUMIF(RawDataTotal!$B:$B,$A13,RawDataTotal!AE:AE)</f>
        <v>0</v>
      </c>
      <c r="AC13">
        <f>SUMIF(RawDataTotal!$B:$B,$A13,RawDataTotal!AF:AF)</f>
        <v>0</v>
      </c>
      <c r="AD13">
        <f>SUMIF(RawDataTotal!$B:$B,$A13,RawDataTotal!AG:AG)</f>
        <v>0</v>
      </c>
      <c r="AE13">
        <f>SUMIF(RawDataTotal!$B:$B,$A13,RawDataTotal!AH:AH)</f>
        <v>0</v>
      </c>
      <c r="AF13">
        <f>SUMIF(RawDataTotal!$B:$B,$A13,RawDataTotal!AI:AI)</f>
        <v>0</v>
      </c>
      <c r="AG13">
        <f>SUMIF(RawDataTotal!$B:$B,$A13,RawDataTotal!AJ:AJ)</f>
        <v>0</v>
      </c>
      <c r="AH13">
        <f>SUMIF(RawDataTotal!$B:$B,$A13,RawDataTotal!AK:AK)</f>
        <v>0</v>
      </c>
      <c r="AI13">
        <f>SUMIF(RawDataTotal!$B:$B,$A13,RawDataTotal!AL:AL)</f>
        <v>0</v>
      </c>
      <c r="AJ13">
        <f>SUMIF(RawDataTotal!$B:$B,$A13,RawDataTotal!AM:AM)</f>
        <v>0</v>
      </c>
      <c r="AK13">
        <f>SUMIF(RawDataTotal!$B:$B,$A13,RawDataTotal!AN:AN)</f>
        <v>0</v>
      </c>
      <c r="AL13">
        <f>SUMIF(RawDataTotal!$B:$B,$A13,RawDataTotal!AO:AO)</f>
        <v>1</v>
      </c>
      <c r="AM13">
        <f>SUMIF(RawDataTotal!$B:$B,$A13,RawDataTotal!AP:AP)</f>
        <v>1</v>
      </c>
      <c r="AN13">
        <f>SUMIF(RawDataTotal!$B:$B,$A13,RawDataTotal!AQ:AQ)</f>
        <v>3</v>
      </c>
      <c r="AO13">
        <f>SUMIF(RawDataTotal!$B:$B,$A13,RawDataTotal!AR:AR)</f>
        <v>4</v>
      </c>
      <c r="AP13">
        <f>SUMIF(RawDataTotal!$B:$B,$A13,RawDataTotal!AS:AS)</f>
        <v>4</v>
      </c>
      <c r="AQ13">
        <f>SUMIF(RawDataTotal!$B:$B,$A13,RawDataTotal!AT:AT)</f>
        <v>6</v>
      </c>
      <c r="AR13">
        <f>SUMIF(RawDataTotal!$B:$B,$A13,RawDataTotal!AU:AU)</f>
        <v>11</v>
      </c>
      <c r="AS13">
        <f>SUMIF(RawDataTotal!$B:$B,$A13,RawDataTotal!AV:AV)</f>
        <v>11</v>
      </c>
      <c r="AT13">
        <f>SUMIF(RawDataTotal!$B:$B,$A13,RawDataTotal!AW:AW)</f>
        <v>24</v>
      </c>
      <c r="AU13">
        <f>SUMIF(RawDataTotal!$B:$B,$A13,RawDataTotal!AX:AX)</f>
        <v>24</v>
      </c>
      <c r="AV13">
        <f>SUMIF(RawDataTotal!$B:$B,$A13,RawDataTotal!AY:AY)</f>
        <v>37</v>
      </c>
      <c r="AW13">
        <f>SUMIF(RawDataTotal!$B:$B,$A13,RawDataTotal!AZ:AZ)</f>
        <v>92</v>
      </c>
      <c r="AX13">
        <f>SUMIF(RawDataTotal!$B:$B,$A13,RawDataTotal!BA:BA)</f>
        <v>264</v>
      </c>
      <c r="AY13">
        <f>SUMIF(RawDataTotal!$B:$B,$A13,RawDataTotal!BB:BB)</f>
        <v>444</v>
      </c>
      <c r="AZ13">
        <f>SUMIF(RawDataTotal!$B:$B,$A13,RawDataTotal!BC:BC)</f>
        <v>617</v>
      </c>
      <c r="BA13">
        <f>SUMIF(RawDataTotal!$B:$B,$A13,RawDataTotal!BD:BD)</f>
        <v>804</v>
      </c>
      <c r="BB13">
        <f>SUMIF(RawDataTotal!$B:$B,$A13,RawDataTotal!BE:BE)</f>
        <v>836</v>
      </c>
      <c r="BC13">
        <f>SUMIF(RawDataTotal!$B:$B,$A13,RawDataTotal!BF:BF)</f>
        <v>875</v>
      </c>
      <c r="BD13">
        <f>SUMIF(RawDataTotal!$B:$B,$A13,RawDataTotal!BG:BG)</f>
        <v>932</v>
      </c>
      <c r="BE13">
        <f>SUMIF(RawDataTotal!$B:$B,$A13,RawDataTotal!BH:BH)</f>
        <v>1024</v>
      </c>
      <c r="BF13">
        <f>SUMIF(RawDataTotal!$B:$B,$A13,RawDataTotal!BI:BI)</f>
        <v>0</v>
      </c>
      <c r="BG13">
        <f>SUMIF(RawDataTotal!$B:$B,$A13,RawDataTotal!BJ:BJ)</f>
        <v>0</v>
      </c>
      <c r="BH13">
        <f>SUMIF(RawDataTotal!$B:$B,$A13,RawDataTotal!BK:BK)</f>
        <v>0</v>
      </c>
      <c r="BI13">
        <f>SUMIF(RawDataTotal!$B:$B,$A13,RawDataTotal!BL:BL)</f>
        <v>0</v>
      </c>
      <c r="BJ13">
        <f>SUMIF(RawDataTotal!$B:$B,$A13,RawDataTotal!BM:BM)</f>
        <v>0</v>
      </c>
      <c r="BK13">
        <f>SUMIF(RawDataTotal!$B:$B,$A13,RawDataTotal!BN:BN)</f>
        <v>0</v>
      </c>
      <c r="BL13">
        <f>SUMIF(RawDataTotal!$B:$B,$A13,RawDataTotal!BO:BO)</f>
        <v>0</v>
      </c>
      <c r="BM13">
        <f>SUMIF(RawDataTotal!$B:$B,$A13,RawDataTotal!BP:BP)</f>
        <v>0</v>
      </c>
      <c r="BN13">
        <f>SUMIF(RawDataTotal!$B:$B,$A13,RawDataTotal!BQ:BQ)</f>
        <v>0</v>
      </c>
      <c r="BO13">
        <f>SUMIF(RawDataTotal!$B:$B,$A13,RawDataTotal!BR:BR)</f>
        <v>0</v>
      </c>
      <c r="BP13">
        <f>SUMIF(RawDataTotal!$B:$B,$A13,RawDataTotal!BS:BS)</f>
        <v>0</v>
      </c>
      <c r="BQ13">
        <f>SUMIF(RawDataTotal!$B:$B,$A13,RawDataTotal!BT:BT)</f>
        <v>0</v>
      </c>
      <c r="BR13">
        <f>SUMIF(RawDataTotal!$B:$B,$A13,RawDataTotal!BU:BU)</f>
        <v>0</v>
      </c>
      <c r="BS13">
        <f>SUMIF(RawDataTotal!$B:$B,$A13,RawDataTotal!BV:BV)</f>
        <v>0</v>
      </c>
      <c r="BT13">
        <f>SUMIF(RawDataTotal!$B:$B,$A13,RawDataTotal!BW:BW)</f>
        <v>0</v>
      </c>
    </row>
    <row r="14" spans="1:72" ht="15" thickBot="1" x14ac:dyDescent="0.35">
      <c r="A14" s="3" t="s">
        <v>116</v>
      </c>
      <c r="B14">
        <f>SUMIF(RawDataTotal!$B:$B,$A14,RawDataTotal!E:E)</f>
        <v>0</v>
      </c>
      <c r="C14">
        <f>SUMIF(RawDataTotal!$B:$B,$A14,RawDataTotal!F:F)</f>
        <v>0</v>
      </c>
      <c r="D14">
        <f>SUMIF(RawDataTotal!$B:$B,$A14,RawDataTotal!G:G)</f>
        <v>0</v>
      </c>
      <c r="E14">
        <f>SUMIF(RawDataTotal!$B:$B,$A14,RawDataTotal!H:H)</f>
        <v>0</v>
      </c>
      <c r="F14">
        <f>SUMIF(RawDataTotal!$B:$B,$A14,RawDataTotal!I:I)</f>
        <v>0</v>
      </c>
      <c r="G14">
        <f>SUMIF(RawDataTotal!$B:$B,$A14,RawDataTotal!J:J)</f>
        <v>0</v>
      </c>
      <c r="H14">
        <f>SUMIF(RawDataTotal!$B:$B,$A14,RawDataTotal!K:K)</f>
        <v>0</v>
      </c>
      <c r="I14">
        <f>SUMIF(RawDataTotal!$B:$B,$A14,RawDataTotal!L:L)</f>
        <v>0</v>
      </c>
      <c r="J14">
        <f>SUMIF(RawDataTotal!$B:$B,$A14,RawDataTotal!M:M)</f>
        <v>0</v>
      </c>
      <c r="K14">
        <f>SUMIF(RawDataTotal!$B:$B,$A14,RawDataTotal!N:N)</f>
        <v>0</v>
      </c>
      <c r="L14">
        <f>SUMIF(RawDataTotal!$B:$B,$A14,RawDataTotal!O:O)</f>
        <v>0</v>
      </c>
      <c r="M14">
        <f>SUMIF(RawDataTotal!$B:$B,$A14,RawDataTotal!P:P)</f>
        <v>0</v>
      </c>
      <c r="N14">
        <f>SUMIF(RawDataTotal!$B:$B,$A14,RawDataTotal!Q:Q)</f>
        <v>0</v>
      </c>
      <c r="O14">
        <f>SUMIF(RawDataTotal!$B:$B,$A14,RawDataTotal!R:R)</f>
        <v>0</v>
      </c>
      <c r="P14">
        <f>SUMIF(RawDataTotal!$B:$B,$A14,RawDataTotal!S:S)</f>
        <v>0</v>
      </c>
      <c r="Q14">
        <f>SUMIF(RawDataTotal!$B:$B,$A14,RawDataTotal!T:T)</f>
        <v>0</v>
      </c>
      <c r="R14">
        <f>SUMIF(RawDataTotal!$B:$B,$A14,RawDataTotal!U:U)</f>
        <v>0</v>
      </c>
      <c r="S14">
        <f>SUMIF(RawDataTotal!$B:$B,$A14,RawDataTotal!V:V)</f>
        <v>0</v>
      </c>
      <c r="T14">
        <f>SUMIF(RawDataTotal!$B:$B,$A14,RawDataTotal!W:W)</f>
        <v>0</v>
      </c>
      <c r="U14">
        <f>SUMIF(RawDataTotal!$B:$B,$A14,RawDataTotal!X:X)</f>
        <v>0</v>
      </c>
      <c r="V14">
        <f>SUMIF(RawDataTotal!$B:$B,$A14,RawDataTotal!Y:Y)</f>
        <v>0</v>
      </c>
      <c r="W14">
        <f>SUMIF(RawDataTotal!$B:$B,$A14,RawDataTotal!Z:Z)</f>
        <v>0</v>
      </c>
      <c r="X14">
        <f>SUMIF(RawDataTotal!$B:$B,$A14,RawDataTotal!AA:AA)</f>
        <v>0</v>
      </c>
      <c r="Y14">
        <f>SUMIF(RawDataTotal!$B:$B,$A14,RawDataTotal!AB:AB)</f>
        <v>0</v>
      </c>
      <c r="Z14">
        <f>SUMIF(RawDataTotal!$B:$B,$A14,RawDataTotal!AC:AC)</f>
        <v>0</v>
      </c>
      <c r="AA14">
        <f>SUMIF(RawDataTotal!$B:$B,$A14,RawDataTotal!AD:AD)</f>
        <v>0</v>
      </c>
      <c r="AB14">
        <f>SUMIF(RawDataTotal!$B:$B,$A14,RawDataTotal!AE:AE)</f>
        <v>0</v>
      </c>
      <c r="AC14">
        <f>SUMIF(RawDataTotal!$B:$B,$A14,RawDataTotal!AF:AF)</f>
        <v>0</v>
      </c>
      <c r="AD14">
        <f>SUMIF(RawDataTotal!$B:$B,$A14,RawDataTotal!AG:AG)</f>
        <v>0</v>
      </c>
      <c r="AE14">
        <f>SUMIF(RawDataTotal!$B:$B,$A14,RawDataTotal!AH:AH)</f>
        <v>0</v>
      </c>
      <c r="AF14">
        <f>SUMIF(RawDataTotal!$B:$B,$A14,RawDataTotal!AI:AI)</f>
        <v>0</v>
      </c>
      <c r="AG14">
        <f>SUMIF(RawDataTotal!$B:$B,$A14,RawDataTotal!AJ:AJ)</f>
        <v>0</v>
      </c>
      <c r="AH14">
        <f>SUMIF(RawDataTotal!$B:$B,$A14,RawDataTotal!AK:AK)</f>
        <v>0</v>
      </c>
      <c r="AI14">
        <f>SUMIF(RawDataTotal!$B:$B,$A14,RawDataTotal!AL:AL)</f>
        <v>0</v>
      </c>
      <c r="AJ14">
        <f>SUMIF(RawDataTotal!$B:$B,$A14,RawDataTotal!AM:AM)</f>
        <v>0</v>
      </c>
      <c r="AK14">
        <f>SUMIF(RawDataTotal!$B:$B,$A14,RawDataTotal!AN:AN)</f>
        <v>0</v>
      </c>
      <c r="AL14">
        <f>SUMIF(RawDataTotal!$B:$B,$A14,RawDataTotal!AO:AO)</f>
        <v>1</v>
      </c>
      <c r="AM14">
        <f>SUMIF(RawDataTotal!$B:$B,$A14,RawDataTotal!AP:AP)</f>
        <v>1</v>
      </c>
      <c r="AN14">
        <f>SUMIF(RawDataTotal!$B:$B,$A14,RawDataTotal!AQ:AQ)</f>
        <v>6</v>
      </c>
      <c r="AO14">
        <f>SUMIF(RawDataTotal!$B:$B,$A14,RawDataTotal!AR:AR)</f>
        <v>10</v>
      </c>
      <c r="AP14">
        <f>SUMIF(RawDataTotal!$B:$B,$A14,RawDataTotal!AS:AS)</f>
        <v>18</v>
      </c>
      <c r="AQ14">
        <f>SUMIF(RawDataTotal!$B:$B,$A14,RawDataTotal!AT:AT)</f>
        <v>24</v>
      </c>
      <c r="AR14">
        <f>SUMIF(RawDataTotal!$B:$B,$A14,RawDataTotal!AU:AU)</f>
        <v>38</v>
      </c>
      <c r="AS14">
        <f>SUMIF(RawDataTotal!$B:$B,$A14,RawDataTotal!AV:AV)</f>
        <v>82</v>
      </c>
      <c r="AT14">
        <f>SUMIF(RawDataTotal!$B:$B,$A14,RawDataTotal!AW:AW)</f>
        <v>128</v>
      </c>
      <c r="AU14">
        <f>SUMIF(RawDataTotal!$B:$B,$A14,RawDataTotal!AX:AX)</f>
        <v>188</v>
      </c>
      <c r="AV14">
        <f>SUMIF(RawDataTotal!$B:$B,$A14,RawDataTotal!AY:AY)</f>
        <v>265</v>
      </c>
      <c r="AW14">
        <f>SUMIF(RawDataTotal!$B:$B,$A14,RawDataTotal!AZ:AZ)</f>
        <v>321</v>
      </c>
      <c r="AX14">
        <f>SUMIF(RawDataTotal!$B:$B,$A14,RawDataTotal!BA:BA)</f>
        <v>382</v>
      </c>
      <c r="AY14">
        <f>SUMIF(RawDataTotal!$B:$B,$A14,RawDataTotal!BB:BB)</f>
        <v>503</v>
      </c>
      <c r="AZ14">
        <f>SUMIF(RawDataTotal!$B:$B,$A14,RawDataTotal!BC:BC)</f>
        <v>503</v>
      </c>
      <c r="BA14">
        <f>SUMIF(RawDataTotal!$B:$B,$A14,RawDataTotal!BD:BD)</f>
        <v>804</v>
      </c>
      <c r="BB14">
        <f>SUMIF(RawDataTotal!$B:$B,$A14,RawDataTotal!BE:BE)</f>
        <v>960</v>
      </c>
      <c r="BC14">
        <f>SUMIF(RawDataTotal!$B:$B,$A14,RawDataTotal!BF:BF)</f>
        <v>1136</v>
      </c>
      <c r="BD14">
        <f>SUMIF(RawDataTotal!$B:$B,$A14,RawDataTotal!BG:BG)</f>
        <v>1414</v>
      </c>
      <c r="BE14">
        <f>SUMIF(RawDataTotal!$B:$B,$A14,RawDataTotal!BH:BH)</f>
        <v>1708</v>
      </c>
      <c r="BF14">
        <f>SUMIF(RawDataTotal!$B:$B,$A14,RawDataTotal!BI:BI)</f>
        <v>0</v>
      </c>
      <c r="BG14">
        <f>SUMIF(RawDataTotal!$B:$B,$A14,RawDataTotal!BJ:BJ)</f>
        <v>0</v>
      </c>
      <c r="BH14">
        <f>SUMIF(RawDataTotal!$B:$B,$A14,RawDataTotal!BK:BK)</f>
        <v>0</v>
      </c>
      <c r="BI14">
        <f>SUMIF(RawDataTotal!$B:$B,$A14,RawDataTotal!BL:BL)</f>
        <v>0</v>
      </c>
      <c r="BJ14">
        <f>SUMIF(RawDataTotal!$B:$B,$A14,RawDataTotal!BM:BM)</f>
        <v>0</v>
      </c>
      <c r="BK14">
        <f>SUMIF(RawDataTotal!$B:$B,$A14,RawDataTotal!BN:BN)</f>
        <v>0</v>
      </c>
      <c r="BL14">
        <f>SUMIF(RawDataTotal!$B:$B,$A14,RawDataTotal!BO:BO)</f>
        <v>0</v>
      </c>
      <c r="BM14">
        <f>SUMIF(RawDataTotal!$B:$B,$A14,RawDataTotal!BP:BP)</f>
        <v>0</v>
      </c>
      <c r="BN14">
        <f>SUMIF(RawDataTotal!$B:$B,$A14,RawDataTotal!BQ:BQ)</f>
        <v>0</v>
      </c>
      <c r="BO14">
        <f>SUMIF(RawDataTotal!$B:$B,$A14,RawDataTotal!BR:BR)</f>
        <v>0</v>
      </c>
      <c r="BP14">
        <f>SUMIF(RawDataTotal!$B:$B,$A14,RawDataTotal!BS:BS)</f>
        <v>0</v>
      </c>
      <c r="BQ14">
        <f>SUMIF(RawDataTotal!$B:$B,$A14,RawDataTotal!BT:BT)</f>
        <v>0</v>
      </c>
      <c r="BR14">
        <f>SUMIF(RawDataTotal!$B:$B,$A14,RawDataTotal!BU:BU)</f>
        <v>0</v>
      </c>
      <c r="BS14">
        <f>SUMIF(RawDataTotal!$B:$B,$A14,RawDataTotal!BV:BV)</f>
        <v>0</v>
      </c>
      <c r="BT14">
        <f>SUMIF(RawDataTotal!$B:$B,$A14,RawDataTotal!BW:BW)</f>
        <v>0</v>
      </c>
    </row>
    <row r="15" spans="1:72" ht="15" thickBot="1" x14ac:dyDescent="0.35">
      <c r="A15" s="3" t="s">
        <v>377</v>
      </c>
      <c r="B15">
        <f>SUMIF(RawDataTotal!$B:$B,$A15,RawDataTotal!E:E)</f>
        <v>0</v>
      </c>
      <c r="C15">
        <f>SUMIF(RawDataTotal!$B:$B,$A15,RawDataTotal!F:F)</f>
        <v>0</v>
      </c>
      <c r="D15">
        <f>SUMIF(RawDataTotal!$B:$B,$A15,RawDataTotal!G:G)</f>
        <v>0</v>
      </c>
      <c r="E15">
        <f>SUMIF(RawDataTotal!$B:$B,$A15,RawDataTotal!H:H)</f>
        <v>0</v>
      </c>
      <c r="F15">
        <f>SUMIF(RawDataTotal!$B:$B,$A15,RawDataTotal!I:I)</f>
        <v>0</v>
      </c>
      <c r="G15">
        <f>SUMIF(RawDataTotal!$B:$B,$A15,RawDataTotal!J:J)</f>
        <v>0</v>
      </c>
      <c r="H15">
        <f>SUMIF(RawDataTotal!$B:$B,$A15,RawDataTotal!K:K)</f>
        <v>0</v>
      </c>
      <c r="I15">
        <f>SUMIF(RawDataTotal!$B:$B,$A15,RawDataTotal!L:L)</f>
        <v>0</v>
      </c>
      <c r="J15">
        <f>SUMIF(RawDataTotal!$B:$B,$A15,RawDataTotal!M:M)</f>
        <v>0</v>
      </c>
      <c r="K15">
        <f>SUMIF(RawDataTotal!$B:$B,$A15,RawDataTotal!N:N)</f>
        <v>2</v>
      </c>
      <c r="L15">
        <f>SUMIF(RawDataTotal!$B:$B,$A15,RawDataTotal!O:O)</f>
        <v>2</v>
      </c>
      <c r="M15">
        <f>SUMIF(RawDataTotal!$B:$B,$A15,RawDataTotal!P:P)</f>
        <v>2</v>
      </c>
      <c r="N15">
        <f>SUMIF(RawDataTotal!$B:$B,$A15,RawDataTotal!Q:Q)</f>
        <v>2</v>
      </c>
      <c r="O15">
        <f>SUMIF(RawDataTotal!$B:$B,$A15,RawDataTotal!R:R)</f>
        <v>2</v>
      </c>
      <c r="P15">
        <f>SUMIF(RawDataTotal!$B:$B,$A15,RawDataTotal!S:S)</f>
        <v>2</v>
      </c>
      <c r="Q15">
        <f>SUMIF(RawDataTotal!$B:$B,$A15,RawDataTotal!T:T)</f>
        <v>2</v>
      </c>
      <c r="R15">
        <f>SUMIF(RawDataTotal!$B:$B,$A15,RawDataTotal!U:U)</f>
        <v>3</v>
      </c>
      <c r="S15">
        <f>SUMIF(RawDataTotal!$B:$B,$A15,RawDataTotal!V:V)</f>
        <v>3</v>
      </c>
      <c r="T15">
        <f>SUMIF(RawDataTotal!$B:$B,$A15,RawDataTotal!W:W)</f>
        <v>3</v>
      </c>
      <c r="U15">
        <f>SUMIF(RawDataTotal!$B:$B,$A15,RawDataTotal!X:X)</f>
        <v>8</v>
      </c>
      <c r="V15">
        <f>SUMIF(RawDataTotal!$B:$B,$A15,RawDataTotal!Y:Y)</f>
        <v>8</v>
      </c>
      <c r="W15">
        <f>SUMIF(RawDataTotal!$B:$B,$A15,RawDataTotal!Z:Z)</f>
        <v>9</v>
      </c>
      <c r="X15">
        <f>SUMIF(RawDataTotal!$B:$B,$A15,RawDataTotal!AA:AA)</f>
        <v>9</v>
      </c>
      <c r="Y15">
        <f>SUMIF(RawDataTotal!$B:$B,$A15,RawDataTotal!AB:AB)</f>
        <v>9</v>
      </c>
      <c r="Z15">
        <f>SUMIF(RawDataTotal!$B:$B,$A15,RawDataTotal!AC:AC)</f>
        <v>9</v>
      </c>
      <c r="AA15">
        <f>SUMIF(RawDataTotal!$B:$B,$A15,RawDataTotal!AD:AD)</f>
        <v>9</v>
      </c>
      <c r="AB15">
        <f>SUMIF(RawDataTotal!$B:$B,$A15,RawDataTotal!AE:AE)</f>
        <v>9</v>
      </c>
      <c r="AC15">
        <f>SUMIF(RawDataTotal!$B:$B,$A15,RawDataTotal!AF:AF)</f>
        <v>9</v>
      </c>
      <c r="AD15">
        <f>SUMIF(RawDataTotal!$B:$B,$A15,RawDataTotal!AG:AG)</f>
        <v>9</v>
      </c>
      <c r="AE15">
        <f>SUMIF(RawDataTotal!$B:$B,$A15,RawDataTotal!AH:AH)</f>
        <v>9</v>
      </c>
      <c r="AF15">
        <f>SUMIF(RawDataTotal!$B:$B,$A15,RawDataTotal!AI:AI)</f>
        <v>9</v>
      </c>
      <c r="AG15">
        <f>SUMIF(RawDataTotal!$B:$B,$A15,RawDataTotal!AJ:AJ)</f>
        <v>9</v>
      </c>
      <c r="AH15">
        <f>SUMIF(RawDataTotal!$B:$B,$A15,RawDataTotal!AK:AK)</f>
        <v>9</v>
      </c>
      <c r="AI15">
        <f>SUMIF(RawDataTotal!$B:$B,$A15,RawDataTotal!AL:AL)</f>
        <v>13</v>
      </c>
      <c r="AJ15">
        <f>SUMIF(RawDataTotal!$B:$B,$A15,RawDataTotal!AM:AM)</f>
        <v>13</v>
      </c>
      <c r="AK15">
        <f>SUMIF(RawDataTotal!$B:$B,$A15,RawDataTotal!AN:AN)</f>
        <v>13</v>
      </c>
      <c r="AL15">
        <f>SUMIF(RawDataTotal!$B:$B,$A15,RawDataTotal!AO:AO)</f>
        <v>15</v>
      </c>
      <c r="AM15">
        <f>SUMIF(RawDataTotal!$B:$B,$A15,RawDataTotal!AP:AP)</f>
        <v>20</v>
      </c>
      <c r="AN15">
        <f>SUMIF(RawDataTotal!$B:$B,$A15,RawDataTotal!AQ:AQ)</f>
        <v>23</v>
      </c>
      <c r="AO15">
        <f>SUMIF(RawDataTotal!$B:$B,$A15,RawDataTotal!AR:AR)</f>
        <v>36</v>
      </c>
      <c r="AP15">
        <f>SUMIF(RawDataTotal!$B:$B,$A15,RawDataTotal!AS:AS)</f>
        <v>40</v>
      </c>
      <c r="AQ15">
        <f>SUMIF(RawDataTotal!$B:$B,$A15,RawDataTotal!AT:AT)</f>
        <v>51</v>
      </c>
      <c r="AR15">
        <f>SUMIF(RawDataTotal!$B:$B,$A15,RawDataTotal!AU:AU)</f>
        <v>86</v>
      </c>
      <c r="AS15">
        <f>SUMIF(RawDataTotal!$B:$B,$A15,RawDataTotal!AV:AV)</f>
        <v>116</v>
      </c>
      <c r="AT15">
        <f>SUMIF(RawDataTotal!$B:$B,$A15,RawDataTotal!AW:AW)</f>
        <v>164</v>
      </c>
      <c r="AU15">
        <f>SUMIF(RawDataTotal!$B:$B,$A15,RawDataTotal!AX:AX)</f>
        <v>207</v>
      </c>
      <c r="AV15">
        <f>SUMIF(RawDataTotal!$B:$B,$A15,RawDataTotal!AY:AY)</f>
        <v>274</v>
      </c>
      <c r="AW15">
        <f>SUMIF(RawDataTotal!$B:$B,$A15,RawDataTotal!AZ:AZ)</f>
        <v>322</v>
      </c>
      <c r="AX15">
        <f>SUMIF(RawDataTotal!$B:$B,$A15,RawDataTotal!BA:BA)</f>
        <v>384</v>
      </c>
      <c r="AY15">
        <f>SUMIF(RawDataTotal!$B:$B,$A15,RawDataTotal!BB:BB)</f>
        <v>459</v>
      </c>
      <c r="AZ15">
        <v>590</v>
      </c>
      <c r="BA15">
        <f>SUMIF(RawDataTotal!$B:$B,$A15,RawDataTotal!BD:BD)</f>
        <v>803</v>
      </c>
      <c r="BB15">
        <f>SUMIF(RawDataTotal!$B:$B,$A15,RawDataTotal!BE:BE)</f>
        <v>1145</v>
      </c>
      <c r="BC15">
        <v>1355</v>
      </c>
      <c r="BD15">
        <f>SUMIF(RawDataTotal!$B:$B,$A15,RawDataTotal!BG:BG)</f>
        <v>1552</v>
      </c>
      <c r="BE15">
        <f>SUMIF(RawDataTotal!$B:$B,$A15,RawDataTotal!BH:BH)</f>
        <v>1960</v>
      </c>
      <c r="BF15">
        <f>SUMIF(RawDataTotal!$B:$B,$A15,RawDataTotal!BI:BI)</f>
        <v>2626</v>
      </c>
      <c r="BG15">
        <f>SUMIF(RawDataTotal!$B:$B,$A15,RawDataTotal!BJ:BJ)</f>
        <v>0</v>
      </c>
      <c r="BH15">
        <f>SUMIF(RawDataTotal!$B:$B,$A15,RawDataTotal!BK:BK)</f>
        <v>0</v>
      </c>
      <c r="BI15">
        <f>SUMIF(RawDataTotal!$B:$B,$A15,RawDataTotal!BL:BL)</f>
        <v>0</v>
      </c>
      <c r="BJ15">
        <f>SUMIF(RawDataTotal!$B:$B,$A15,RawDataTotal!BM:BM)</f>
        <v>0</v>
      </c>
      <c r="BK15">
        <f>SUMIF(RawDataTotal!$B:$B,$A15,RawDataTotal!BN:BN)</f>
        <v>0</v>
      </c>
      <c r="BL15">
        <f>SUMIF(RawDataTotal!$B:$B,$A15,RawDataTotal!BO:BO)</f>
        <v>0</v>
      </c>
      <c r="BM15">
        <f>SUMIF(RawDataTotal!$B:$B,$A15,RawDataTotal!BP:BP)</f>
        <v>0</v>
      </c>
      <c r="BN15">
        <f>SUMIF(RawDataTotal!$B:$B,$A15,RawDataTotal!BQ:BQ)</f>
        <v>0</v>
      </c>
      <c r="BO15">
        <f>SUMIF(RawDataTotal!$B:$B,$A15,RawDataTotal!BR:BR)</f>
        <v>0</v>
      </c>
      <c r="BP15">
        <f>SUMIF(RawDataTotal!$B:$B,$A15,RawDataTotal!BS:BS)</f>
        <v>0</v>
      </c>
      <c r="BQ15">
        <f>SUMIF(RawDataTotal!$B:$B,$A15,RawDataTotal!BT:BT)</f>
        <v>0</v>
      </c>
      <c r="BR15">
        <f>SUMIF(RawDataTotal!$B:$B,$A15,RawDataTotal!BU:BU)</f>
        <v>0</v>
      </c>
      <c r="BS15">
        <f>SUMIF(RawDataTotal!$B:$B,$A15,RawDataTotal!BV:BV)</f>
        <v>0</v>
      </c>
      <c r="BT15">
        <f>SUMIF(RawDataTotal!$B:$B,$A15,RawDataTotal!BW:BW)</f>
        <v>0</v>
      </c>
    </row>
    <row r="16" spans="1:72" ht="15" thickBot="1" x14ac:dyDescent="0.35">
      <c r="A16" s="4" t="s">
        <v>63</v>
      </c>
      <c r="B16">
        <f>SUMIF(RawDataTotal!$B:$B,$A16,RawDataTotal!E:E)</f>
        <v>2</v>
      </c>
      <c r="C16">
        <f>SUMIF(RawDataTotal!$B:$B,$A16,RawDataTotal!F:F)</f>
        <v>1</v>
      </c>
      <c r="D16">
        <f>SUMIF(RawDataTotal!$B:$B,$A16,RawDataTotal!G:G)</f>
        <v>2</v>
      </c>
      <c r="E16">
        <f>SUMIF(RawDataTotal!$B:$B,$A16,RawDataTotal!H:H)</f>
        <v>2</v>
      </c>
      <c r="F16">
        <f>SUMIF(RawDataTotal!$B:$B,$A16,RawDataTotal!I:I)</f>
        <v>4</v>
      </c>
      <c r="G16">
        <f>SUMIF(RawDataTotal!$B:$B,$A16,RawDataTotal!J:J)</f>
        <v>4</v>
      </c>
      <c r="H16">
        <f>SUMIF(RawDataTotal!$B:$B,$A16,RawDataTotal!K:K)</f>
        <v>7</v>
      </c>
      <c r="I16">
        <f>SUMIF(RawDataTotal!$B:$B,$A16,RawDataTotal!L:L)</f>
        <v>7</v>
      </c>
      <c r="J16">
        <f>SUMIF(RawDataTotal!$B:$B,$A16,RawDataTotal!M:M)</f>
        <v>11</v>
      </c>
      <c r="K16">
        <f>SUMIF(RawDataTotal!$B:$B,$A16,RawDataTotal!N:N)</f>
        <v>15</v>
      </c>
      <c r="L16">
        <f>SUMIF(RawDataTotal!$B:$B,$A16,RawDataTotal!O:O)</f>
        <v>20</v>
      </c>
      <c r="M16">
        <f>SUMIF(RawDataTotal!$B:$B,$A16,RawDataTotal!P:P)</f>
        <v>20</v>
      </c>
      <c r="N16">
        <f>SUMIF(RawDataTotal!$B:$B,$A16,RawDataTotal!Q:Q)</f>
        <v>20</v>
      </c>
      <c r="O16">
        <f>SUMIF(RawDataTotal!$B:$B,$A16,RawDataTotal!R:R)</f>
        <v>22</v>
      </c>
      <c r="P16">
        <f>SUMIF(RawDataTotal!$B:$B,$A16,RawDataTotal!S:S)</f>
        <v>22</v>
      </c>
      <c r="Q16">
        <f>SUMIF(RawDataTotal!$B:$B,$A16,RawDataTotal!T:T)</f>
        <v>45</v>
      </c>
      <c r="R16">
        <f>SUMIF(RawDataTotal!$B:$B,$A16,RawDataTotal!U:U)</f>
        <v>25</v>
      </c>
      <c r="S16">
        <f>SUMIF(RawDataTotal!$B:$B,$A16,RawDataTotal!V:V)</f>
        <v>25</v>
      </c>
      <c r="T16">
        <f>SUMIF(RawDataTotal!$B:$B,$A16,RawDataTotal!W:W)</f>
        <v>26</v>
      </c>
      <c r="U16">
        <f>SUMIF(RawDataTotal!$B:$B,$A16,RawDataTotal!X:X)</f>
        <v>26</v>
      </c>
      <c r="V16">
        <f>SUMIF(RawDataTotal!$B:$B,$A16,RawDataTotal!Y:Y)</f>
        <v>26</v>
      </c>
      <c r="W16">
        <f>SUMIF(RawDataTotal!$B:$B,$A16,RawDataTotal!Z:Z)</f>
        <v>28</v>
      </c>
      <c r="X16">
        <f>SUMIF(RawDataTotal!$B:$B,$A16,RawDataTotal!AA:AA)</f>
        <v>28</v>
      </c>
      <c r="Y16">
        <f>SUMIF(RawDataTotal!$B:$B,$A16,RawDataTotal!AB:AB)</f>
        <v>29</v>
      </c>
      <c r="Z16">
        <f>SUMIF(RawDataTotal!$B:$B,$A16,RawDataTotal!AC:AC)</f>
        <v>43</v>
      </c>
      <c r="AA16">
        <f>SUMIF(RawDataTotal!$B:$B,$A16,RawDataTotal!AD:AD)</f>
        <v>59</v>
      </c>
      <c r="AB16">
        <f>SUMIF(RawDataTotal!$B:$B,$A16,RawDataTotal!AE:AE)</f>
        <v>66</v>
      </c>
      <c r="AC16">
        <f>SUMIF(RawDataTotal!$B:$B,$A16,RawDataTotal!AF:AF)</f>
        <v>74</v>
      </c>
      <c r="AD16">
        <f>SUMIF(RawDataTotal!$B:$B,$A16,RawDataTotal!AG:AG)</f>
        <v>84</v>
      </c>
      <c r="AE16">
        <f>SUMIF(RawDataTotal!$B:$B,$A16,RawDataTotal!AH:AH)</f>
        <v>94</v>
      </c>
      <c r="AF16">
        <f>SUMIF(RawDataTotal!$B:$B,$A16,RawDataTotal!AI:AI)</f>
        <v>105</v>
      </c>
      <c r="AG16">
        <f>SUMIF(RawDataTotal!$B:$B,$A16,RawDataTotal!AJ:AJ)</f>
        <v>122</v>
      </c>
      <c r="AH16">
        <f>SUMIF(RawDataTotal!$B:$B,$A16,RawDataTotal!AK:AK)</f>
        <v>147</v>
      </c>
      <c r="AI16">
        <f>SUMIF(RawDataTotal!$B:$B,$A16,RawDataTotal!AL:AL)</f>
        <v>159</v>
      </c>
      <c r="AJ16">
        <f>SUMIF(RawDataTotal!$B:$B,$A16,RawDataTotal!AM:AM)</f>
        <v>170</v>
      </c>
      <c r="AK16">
        <f>SUMIF(RawDataTotal!$B:$B,$A16,RawDataTotal!AN:AN)</f>
        <v>189</v>
      </c>
      <c r="AL16">
        <f>SUMIF(RawDataTotal!$B:$B,$A16,RawDataTotal!AO:AO)</f>
        <v>214</v>
      </c>
      <c r="AM16">
        <f>SUMIF(RawDataTotal!$B:$B,$A16,RawDataTotal!AP:AP)</f>
        <v>228</v>
      </c>
      <c r="AN16">
        <f>SUMIF(RawDataTotal!$B:$B,$A16,RawDataTotal!AQ:AQ)</f>
        <v>241</v>
      </c>
      <c r="AO16">
        <f>SUMIF(RawDataTotal!$B:$B,$A16,RawDataTotal!AR:AR)</f>
        <v>256</v>
      </c>
      <c r="AP16">
        <f>SUMIF(RawDataTotal!$B:$B,$A16,RawDataTotal!AS:AS)</f>
        <v>274</v>
      </c>
      <c r="AQ16">
        <f>SUMIF(RawDataTotal!$B:$B,$A16,RawDataTotal!AT:AT)</f>
        <v>293</v>
      </c>
      <c r="AR16">
        <f>SUMIF(RawDataTotal!$B:$B,$A16,RawDataTotal!AU:AU)</f>
        <v>331</v>
      </c>
      <c r="AS16">
        <f>SUMIF(RawDataTotal!$B:$B,$A16,RawDataTotal!AV:AV)</f>
        <v>360</v>
      </c>
      <c r="AT16">
        <f>SUMIF(RawDataTotal!$B:$B,$A16,RawDataTotal!AW:AW)</f>
        <v>420</v>
      </c>
      <c r="AU16">
        <f>SUMIF(RawDataTotal!$B:$B,$A16,RawDataTotal!AX:AX)</f>
        <v>461</v>
      </c>
      <c r="AV16">
        <f>SUMIF(RawDataTotal!$B:$B,$A16,RawDataTotal!AY:AY)</f>
        <v>502</v>
      </c>
      <c r="AW16">
        <f>SUMIF(RawDataTotal!$B:$B,$A16,RawDataTotal!AZ:AZ)</f>
        <v>511</v>
      </c>
      <c r="AX16">
        <f>SUMIF(RawDataTotal!$B:$B,$A16,RawDataTotal!BA:BA)</f>
        <v>581</v>
      </c>
      <c r="AY16">
        <f>SUMIF(RawDataTotal!$B:$B,$A16,RawDataTotal!BB:BB)</f>
        <v>639</v>
      </c>
      <c r="AZ16">
        <f>SUMIF(RawDataTotal!$B:$B,$A16,RawDataTotal!BC:BC)</f>
        <v>639</v>
      </c>
      <c r="BA16">
        <f>SUMIF(RawDataTotal!$B:$B,$A16,RawDataTotal!BD:BD)</f>
        <v>701</v>
      </c>
      <c r="BB16">
        <f>SUMIF(RawDataTotal!$B:$B,$A16,RawDataTotal!BE:BE)</f>
        <v>773</v>
      </c>
      <c r="BC16">
        <f>SUMIF(RawDataTotal!$B:$B,$A16,RawDataTotal!BF:BF)</f>
        <v>839</v>
      </c>
      <c r="BD16">
        <f>SUMIF(RawDataTotal!$B:$B,$A16,RawDataTotal!BG:BG)</f>
        <v>825</v>
      </c>
      <c r="BE16">
        <f>SUMIF(RawDataTotal!$B:$B,$A16,RawDataTotal!BH:BH)</f>
        <v>878</v>
      </c>
      <c r="BF16">
        <f>SUMIF(RawDataTotal!$B:$B,$A16,RawDataTotal!BI:BI)</f>
        <v>0</v>
      </c>
      <c r="BG16">
        <f>SUMIF(RawDataTotal!$B:$B,$A16,RawDataTotal!BJ:BJ)</f>
        <v>0</v>
      </c>
      <c r="BH16">
        <f>SUMIF(RawDataTotal!$B:$B,$A16,RawDataTotal!BK:BK)</f>
        <v>0</v>
      </c>
      <c r="BI16">
        <f>SUMIF(RawDataTotal!$B:$B,$A16,RawDataTotal!BL:BL)</f>
        <v>0</v>
      </c>
      <c r="BJ16">
        <f>SUMIF(RawDataTotal!$B:$B,$A16,RawDataTotal!BM:BM)</f>
        <v>0</v>
      </c>
      <c r="BK16">
        <f>SUMIF(RawDataTotal!$B:$B,$A16,RawDataTotal!BN:BN)</f>
        <v>0</v>
      </c>
      <c r="BL16">
        <f>SUMIF(RawDataTotal!$B:$B,$A16,RawDataTotal!BO:BO)</f>
        <v>0</v>
      </c>
      <c r="BM16">
        <f>SUMIF(RawDataTotal!$B:$B,$A16,RawDataTotal!BP:BP)</f>
        <v>0</v>
      </c>
      <c r="BN16">
        <f>SUMIF(RawDataTotal!$B:$B,$A16,RawDataTotal!BQ:BQ)</f>
        <v>0</v>
      </c>
      <c r="BO16">
        <f>SUMIF(RawDataTotal!$B:$B,$A16,RawDataTotal!BR:BR)</f>
        <v>0</v>
      </c>
      <c r="BP16">
        <f>SUMIF(RawDataTotal!$B:$B,$A16,RawDataTotal!BS:BS)</f>
        <v>0</v>
      </c>
      <c r="BQ16">
        <f>SUMIF(RawDataTotal!$B:$B,$A16,RawDataTotal!BT:BT)</f>
        <v>0</v>
      </c>
      <c r="BR16">
        <f>SUMIF(RawDataTotal!$B:$B,$A16,RawDataTotal!BU:BU)</f>
        <v>0</v>
      </c>
      <c r="BS16">
        <f>SUMIF(RawDataTotal!$B:$B,$A16,RawDataTotal!BV:BV)</f>
        <v>0</v>
      </c>
      <c r="BT16">
        <f>SUMIF(RawDataTotal!$B:$B,$A16,RawDataTotal!BW:BW)</f>
        <v>0</v>
      </c>
    </row>
    <row r="17" spans="1:72" ht="15" thickBot="1" x14ac:dyDescent="0.35">
      <c r="A17" s="4" t="s">
        <v>368</v>
      </c>
      <c r="B17">
        <f>SUMIF(RawDataTotal!$B:$B,$A17,RawDataTotal!E:E)</f>
        <v>0</v>
      </c>
      <c r="C17">
        <f>SUMIF(RawDataTotal!$B:$B,$A17,RawDataTotal!F:F)</f>
        <v>0</v>
      </c>
      <c r="D17">
        <f>SUMIF(RawDataTotal!$B:$B,$A17,RawDataTotal!G:G)</f>
        <v>0</v>
      </c>
      <c r="E17">
        <f>SUMIF(RawDataTotal!$B:$B,$A17,RawDataTotal!H:H)</f>
        <v>0</v>
      </c>
      <c r="F17">
        <f>SUMIF(RawDataTotal!$B:$B,$A17,RawDataTotal!I:I)</f>
        <v>0</v>
      </c>
      <c r="G17">
        <f>SUMIF(RawDataTotal!$B:$B,$A17,RawDataTotal!J:J)</f>
        <v>0</v>
      </c>
      <c r="H17">
        <f>SUMIF(RawDataTotal!$B:$B,$A17,RawDataTotal!K:K)</f>
        <v>0</v>
      </c>
      <c r="I17">
        <f>SUMIF(RawDataTotal!$B:$B,$A17,RawDataTotal!L:L)</f>
        <v>0</v>
      </c>
      <c r="J17">
        <f>SUMIF(RawDataTotal!$B:$B,$A17,RawDataTotal!M:M)</f>
        <v>0</v>
      </c>
      <c r="K17">
        <f>SUMIF(RawDataTotal!$B:$B,$A17,RawDataTotal!N:N)</f>
        <v>0</v>
      </c>
      <c r="L17">
        <f>SUMIF(RawDataTotal!$B:$B,$A17,RawDataTotal!O:O)</f>
        <v>0</v>
      </c>
      <c r="M17">
        <f>SUMIF(RawDataTotal!$B:$B,$A17,RawDataTotal!P:P)</f>
        <v>0</v>
      </c>
      <c r="N17">
        <f>SUMIF(RawDataTotal!$B:$B,$A17,RawDataTotal!Q:Q)</f>
        <v>0</v>
      </c>
      <c r="O17">
        <f>SUMIF(RawDataTotal!$B:$B,$A17,RawDataTotal!R:R)</f>
        <v>0</v>
      </c>
      <c r="P17">
        <f>SUMIF(RawDataTotal!$B:$B,$A17,RawDataTotal!S:S)</f>
        <v>0</v>
      </c>
      <c r="Q17">
        <f>SUMIF(RawDataTotal!$B:$B,$A17,RawDataTotal!T:T)</f>
        <v>0</v>
      </c>
      <c r="R17">
        <f>SUMIF(RawDataTotal!$B:$B,$A17,RawDataTotal!U:U)</f>
        <v>61</v>
      </c>
      <c r="S17">
        <f>SUMIF(RawDataTotal!$B:$B,$A17,RawDataTotal!V:V)</f>
        <v>61</v>
      </c>
      <c r="T17">
        <f>SUMIF(RawDataTotal!$B:$B,$A17,RawDataTotal!W:W)</f>
        <v>64</v>
      </c>
      <c r="U17">
        <f>SUMIF(RawDataTotal!$B:$B,$A17,RawDataTotal!X:X)</f>
        <v>135</v>
      </c>
      <c r="V17">
        <f>SUMIF(RawDataTotal!$B:$B,$A17,RawDataTotal!Y:Y)</f>
        <v>135</v>
      </c>
      <c r="W17">
        <f>SUMIF(RawDataTotal!$B:$B,$A17,RawDataTotal!Z:Z)</f>
        <v>175</v>
      </c>
      <c r="X17">
        <f>SUMIF(RawDataTotal!$B:$B,$A17,RawDataTotal!AA:AA)</f>
        <v>175</v>
      </c>
      <c r="Y17">
        <f>SUMIF(RawDataTotal!$B:$B,$A17,RawDataTotal!AB:AB)</f>
        <v>218</v>
      </c>
      <c r="Z17">
        <f>SUMIF(RawDataTotal!$B:$B,$A17,RawDataTotal!AC:AC)</f>
        <v>285</v>
      </c>
      <c r="AA17">
        <f>SUMIF(RawDataTotal!$B:$B,$A17,RawDataTotal!AD:AD)</f>
        <v>355</v>
      </c>
      <c r="AB17">
        <f>SUMIF(RawDataTotal!$B:$B,$A17,RawDataTotal!AE:AE)</f>
        <v>454</v>
      </c>
      <c r="AC17">
        <f>SUMIF(RawDataTotal!$B:$B,$A17,RawDataTotal!AF:AF)</f>
        <v>542</v>
      </c>
      <c r="AD17">
        <f>SUMIF(RawDataTotal!$B:$B,$A17,RawDataTotal!AG:AG)</f>
        <v>621</v>
      </c>
      <c r="AE17">
        <f>SUMIF(RawDataTotal!$B:$B,$A17,RawDataTotal!AH:AH)</f>
        <v>634</v>
      </c>
      <c r="AF17">
        <f>SUMIF(RawDataTotal!$B:$B,$A17,RawDataTotal!AI:AI)</f>
        <v>634</v>
      </c>
      <c r="AG17">
        <f>SUMIF(RawDataTotal!$B:$B,$A17,RawDataTotal!AJ:AJ)</f>
        <v>634</v>
      </c>
      <c r="AH17">
        <f>SUMIF(RawDataTotal!$B:$B,$A17,RawDataTotal!AK:AK)</f>
        <v>691</v>
      </c>
      <c r="AI17">
        <f>SUMIF(RawDataTotal!$B:$B,$A17,RawDataTotal!AL:AL)</f>
        <v>691</v>
      </c>
      <c r="AJ17">
        <f>SUMIF(RawDataTotal!$B:$B,$A17,RawDataTotal!AM:AM)</f>
        <v>691</v>
      </c>
      <c r="AK17">
        <f>SUMIF(RawDataTotal!$B:$B,$A17,RawDataTotal!AN:AN)</f>
        <v>705</v>
      </c>
      <c r="AL17">
        <f>SUMIF(RawDataTotal!$B:$B,$A17,RawDataTotal!AO:AO)</f>
        <v>705</v>
      </c>
      <c r="AM17">
        <f>SUMIF(RawDataTotal!$B:$B,$A17,RawDataTotal!AP:AP)</f>
        <v>705</v>
      </c>
      <c r="AN17">
        <f>SUMIF(RawDataTotal!$B:$B,$A17,RawDataTotal!AQ:AQ)</f>
        <v>705</v>
      </c>
      <c r="AO17">
        <f>SUMIF(RawDataTotal!$B:$B,$A17,RawDataTotal!AR:AR)</f>
        <v>705</v>
      </c>
      <c r="AP17">
        <f>SUMIF(RawDataTotal!$B:$B,$A17,RawDataTotal!AS:AS)</f>
        <v>705</v>
      </c>
      <c r="AQ17">
        <f>SUMIF(RawDataTotal!$B:$B,$A17,RawDataTotal!AT:AT)</f>
        <v>706</v>
      </c>
      <c r="AR17">
        <f>SUMIF(RawDataTotal!$B:$B,$A17,RawDataTotal!AU:AU)</f>
        <v>706</v>
      </c>
      <c r="AS17">
        <f>SUMIF(RawDataTotal!$B:$B,$A17,RawDataTotal!AV:AV)</f>
        <v>706</v>
      </c>
      <c r="AT17">
        <f>SUMIF(RawDataTotal!$B:$B,$A17,RawDataTotal!AW:AW)</f>
        <v>696</v>
      </c>
      <c r="AU17">
        <f>SUMIF(RawDataTotal!$B:$B,$A17,RawDataTotal!AX:AX)</f>
        <v>696</v>
      </c>
      <c r="AV17">
        <f>SUMIF(RawDataTotal!$B:$B,$A17,RawDataTotal!AY:AY)</f>
        <v>696</v>
      </c>
      <c r="AW17">
        <f>SUMIF(RawDataTotal!$B:$B,$A17,RawDataTotal!AZ:AZ)</f>
        <v>696</v>
      </c>
      <c r="AX17">
        <f>SUMIF(RawDataTotal!$B:$B,$A17,RawDataTotal!BA:BA)</f>
        <v>696</v>
      </c>
      <c r="AY17">
        <f>SUMIF(RawDataTotal!$B:$B,$A17,RawDataTotal!BB:BB)</f>
        <v>696</v>
      </c>
      <c r="AZ17">
        <f>SUMIF(RawDataTotal!$B:$B,$A17,RawDataTotal!BC:BC)</f>
        <v>696</v>
      </c>
      <c r="BA17">
        <f>SUMIF(RawDataTotal!$B:$B,$A17,RawDataTotal!BD:BD)</f>
        <v>696</v>
      </c>
      <c r="BB17">
        <f>SUMIF(RawDataTotal!$B:$B,$A17,RawDataTotal!BE:BE)</f>
        <v>696</v>
      </c>
      <c r="BC17">
        <f>SUMIF(RawDataTotal!$B:$B,$A17,RawDataTotal!BF:BF)</f>
        <v>696</v>
      </c>
      <c r="BD17">
        <f>SUMIF(RawDataTotal!$B:$B,$A17,RawDataTotal!BG:BG)</f>
        <v>696</v>
      </c>
      <c r="BE17">
        <f>SUMIF(RawDataTotal!$B:$B,$A17,RawDataTotal!BH:BH)</f>
        <v>696</v>
      </c>
      <c r="BF17">
        <f>SUMIF(RawDataTotal!$B:$B,$A17,RawDataTotal!BI:BI)</f>
        <v>0</v>
      </c>
      <c r="BG17">
        <f>SUMIF(RawDataTotal!$B:$B,$A17,RawDataTotal!BJ:BJ)</f>
        <v>0</v>
      </c>
      <c r="BH17">
        <f>SUMIF(RawDataTotal!$B:$B,$A17,RawDataTotal!BK:BK)</f>
        <v>0</v>
      </c>
      <c r="BI17">
        <f>SUMIF(RawDataTotal!$B:$B,$A17,RawDataTotal!BL:BL)</f>
        <v>0</v>
      </c>
      <c r="BJ17">
        <f>SUMIF(RawDataTotal!$B:$B,$A17,RawDataTotal!BM:BM)</f>
        <v>0</v>
      </c>
      <c r="BK17">
        <f>SUMIF(RawDataTotal!$B:$B,$A17,RawDataTotal!BN:BN)</f>
        <v>0</v>
      </c>
      <c r="BL17">
        <f>SUMIF(RawDataTotal!$B:$B,$A17,RawDataTotal!BO:BO)</f>
        <v>0</v>
      </c>
      <c r="BM17">
        <f>SUMIF(RawDataTotal!$B:$B,$A17,RawDataTotal!BP:BP)</f>
        <v>0</v>
      </c>
      <c r="BN17">
        <f>SUMIF(RawDataTotal!$B:$B,$A17,RawDataTotal!BQ:BQ)</f>
        <v>0</v>
      </c>
      <c r="BO17">
        <f>SUMIF(RawDataTotal!$B:$B,$A17,RawDataTotal!BR:BR)</f>
        <v>0</v>
      </c>
      <c r="BP17">
        <f>SUMIF(RawDataTotal!$B:$B,$A17,RawDataTotal!BS:BS)</f>
        <v>0</v>
      </c>
      <c r="BQ17">
        <f>SUMIF(RawDataTotal!$B:$B,$A17,RawDataTotal!BT:BT)</f>
        <v>0</v>
      </c>
      <c r="BR17">
        <f>SUMIF(RawDataTotal!$B:$B,$A17,RawDataTotal!BU:BU)</f>
        <v>0</v>
      </c>
      <c r="BS17">
        <f>SUMIF(RawDataTotal!$B:$B,$A17,RawDataTotal!BV:BV)</f>
        <v>0</v>
      </c>
      <c r="BT17">
        <f>SUMIF(RawDataTotal!$B:$B,$A17,RawDataTotal!BW:BW)</f>
        <v>0</v>
      </c>
    </row>
    <row r="18" spans="1:72" ht="15" thickBot="1" x14ac:dyDescent="0.35">
      <c r="A18" s="3" t="s">
        <v>90</v>
      </c>
      <c r="B18">
        <f>SUMIF(RawDataTotal!$B:$B,$A18,RawDataTotal!E:E)</f>
        <v>0</v>
      </c>
      <c r="C18">
        <f>SUMIF(RawDataTotal!$B:$B,$A18,RawDataTotal!F:F)</f>
        <v>0</v>
      </c>
      <c r="D18">
        <f>SUMIF(RawDataTotal!$B:$B,$A18,RawDataTotal!G:G)</f>
        <v>0</v>
      </c>
      <c r="E18">
        <f>SUMIF(RawDataTotal!$B:$B,$A18,RawDataTotal!H:H)</f>
        <v>0</v>
      </c>
      <c r="F18">
        <f>SUMIF(RawDataTotal!$B:$B,$A18,RawDataTotal!I:I)</f>
        <v>0</v>
      </c>
      <c r="G18">
        <f>SUMIF(RawDataTotal!$B:$B,$A18,RawDataTotal!J:J)</f>
        <v>0</v>
      </c>
      <c r="H18">
        <f>SUMIF(RawDataTotal!$B:$B,$A18,RawDataTotal!K:K)</f>
        <v>0</v>
      </c>
      <c r="I18">
        <f>SUMIF(RawDataTotal!$B:$B,$A18,RawDataTotal!L:L)</f>
        <v>0</v>
      </c>
      <c r="J18">
        <f>SUMIF(RawDataTotal!$B:$B,$A18,RawDataTotal!M:M)</f>
        <v>0</v>
      </c>
      <c r="K18">
        <f>SUMIF(RawDataTotal!$B:$B,$A18,RawDataTotal!N:N)</f>
        <v>0</v>
      </c>
      <c r="L18">
        <f>SUMIF(RawDataTotal!$B:$B,$A18,RawDataTotal!O:O)</f>
        <v>0</v>
      </c>
      <c r="M18">
        <f>SUMIF(RawDataTotal!$B:$B,$A18,RawDataTotal!P:P)</f>
        <v>0</v>
      </c>
      <c r="N18">
        <f>SUMIF(RawDataTotal!$B:$B,$A18,RawDataTotal!Q:Q)</f>
        <v>0</v>
      </c>
      <c r="O18">
        <f>SUMIF(RawDataTotal!$B:$B,$A18,RawDataTotal!R:R)</f>
        <v>1</v>
      </c>
      <c r="P18">
        <f>SUMIF(RawDataTotal!$B:$B,$A18,RawDataTotal!S:S)</f>
        <v>1</v>
      </c>
      <c r="Q18">
        <f>SUMIF(RawDataTotal!$B:$B,$A18,RawDataTotal!T:T)</f>
        <v>1</v>
      </c>
      <c r="R18">
        <f>SUMIF(RawDataTotal!$B:$B,$A18,RawDataTotal!U:U)</f>
        <v>1</v>
      </c>
      <c r="S18">
        <f>SUMIF(RawDataTotal!$B:$B,$A18,RawDataTotal!V:V)</f>
        <v>1</v>
      </c>
      <c r="T18">
        <f>SUMIF(RawDataTotal!$B:$B,$A18,RawDataTotal!W:W)</f>
        <v>1</v>
      </c>
      <c r="U18">
        <f>SUMIF(RawDataTotal!$B:$B,$A18,RawDataTotal!X:X)</f>
        <v>1</v>
      </c>
      <c r="V18">
        <f>SUMIF(RawDataTotal!$B:$B,$A18,RawDataTotal!Y:Y)</f>
        <v>1</v>
      </c>
      <c r="W18">
        <f>SUMIF(RawDataTotal!$B:$B,$A18,RawDataTotal!Z:Z)</f>
        <v>1</v>
      </c>
      <c r="X18">
        <f>SUMIF(RawDataTotal!$B:$B,$A18,RawDataTotal!AA:AA)</f>
        <v>1</v>
      </c>
      <c r="Y18">
        <f>SUMIF(RawDataTotal!$B:$B,$A18,RawDataTotal!AB:AB)</f>
        <v>1</v>
      </c>
      <c r="Z18">
        <f>SUMIF(RawDataTotal!$B:$B,$A18,RawDataTotal!AC:AC)</f>
        <v>1</v>
      </c>
      <c r="AA18">
        <f>SUMIF(RawDataTotal!$B:$B,$A18,RawDataTotal!AD:AD)</f>
        <v>1</v>
      </c>
      <c r="AB18">
        <f>SUMIF(RawDataTotal!$B:$B,$A18,RawDataTotal!AE:AE)</f>
        <v>1</v>
      </c>
      <c r="AC18">
        <f>SUMIF(RawDataTotal!$B:$B,$A18,RawDataTotal!AF:AF)</f>
        <v>1</v>
      </c>
      <c r="AD18">
        <f>SUMIF(RawDataTotal!$B:$B,$A18,RawDataTotal!AG:AG)</f>
        <v>1</v>
      </c>
      <c r="AE18">
        <f>SUMIF(RawDataTotal!$B:$B,$A18,RawDataTotal!AH:AH)</f>
        <v>1</v>
      </c>
      <c r="AF18">
        <f>SUMIF(RawDataTotal!$B:$B,$A18,RawDataTotal!AI:AI)</f>
        <v>1</v>
      </c>
      <c r="AG18">
        <f>SUMIF(RawDataTotal!$B:$B,$A18,RawDataTotal!AJ:AJ)</f>
        <v>1</v>
      </c>
      <c r="AH18">
        <f>SUMIF(RawDataTotal!$B:$B,$A18,RawDataTotal!AK:AK)</f>
        <v>1</v>
      </c>
      <c r="AI18">
        <f>SUMIF(RawDataTotal!$B:$B,$A18,RawDataTotal!AL:AL)</f>
        <v>1</v>
      </c>
      <c r="AJ18">
        <f>SUMIF(RawDataTotal!$B:$B,$A18,RawDataTotal!AM:AM)</f>
        <v>1</v>
      </c>
      <c r="AK18">
        <f>SUMIF(RawDataTotal!$B:$B,$A18,RawDataTotal!AN:AN)</f>
        <v>1</v>
      </c>
      <c r="AL18">
        <f>SUMIF(RawDataTotal!$B:$B,$A18,RawDataTotal!AO:AO)</f>
        <v>1</v>
      </c>
      <c r="AM18">
        <f>SUMIF(RawDataTotal!$B:$B,$A18,RawDataTotal!AP:AP)</f>
        <v>1</v>
      </c>
      <c r="AN18">
        <f>SUMIF(RawDataTotal!$B:$B,$A18,RawDataTotal!AQ:AQ)</f>
        <v>1</v>
      </c>
      <c r="AO18">
        <f>SUMIF(RawDataTotal!$B:$B,$A18,RawDataTotal!AR:AR)</f>
        <v>2</v>
      </c>
      <c r="AP18">
        <f>SUMIF(RawDataTotal!$B:$B,$A18,RawDataTotal!AS:AS)</f>
        <v>8</v>
      </c>
      <c r="AQ18">
        <f>SUMIF(RawDataTotal!$B:$B,$A18,RawDataTotal!AT:AT)</f>
        <v>13</v>
      </c>
      <c r="AR18">
        <f>SUMIF(RawDataTotal!$B:$B,$A18,RawDataTotal!AU:AU)</f>
        <v>23</v>
      </c>
      <c r="AS18">
        <f>SUMIF(RawDataTotal!$B:$B,$A18,RawDataTotal!AV:AV)</f>
        <v>50</v>
      </c>
      <c r="AT18">
        <f>SUMIF(RawDataTotal!$B:$B,$A18,RawDataTotal!AW:AW)</f>
        <v>109</v>
      </c>
      <c r="AU18">
        <f>SUMIF(RawDataTotal!$B:$B,$A18,RawDataTotal!AX:AX)</f>
        <v>169</v>
      </c>
      <c r="AV18">
        <f>SUMIF(RawDataTotal!$B:$B,$A18,RawDataTotal!AY:AY)</f>
        <v>200</v>
      </c>
      <c r="AW18">
        <f>SUMIF(RawDataTotal!$B:$B,$A18,RawDataTotal!AZ:AZ)</f>
        <v>239</v>
      </c>
      <c r="AX18">
        <f>SUMIF(RawDataTotal!$B:$B,$A18,RawDataTotal!BA:BA)</f>
        <v>267</v>
      </c>
      <c r="AY18">
        <f>SUMIF(RawDataTotal!$B:$B,$A18,RawDataTotal!BB:BB)</f>
        <v>314</v>
      </c>
      <c r="AZ18">
        <f>SUMIF(RawDataTotal!$B:$B,$A18,RawDataTotal!BC:BC)</f>
        <v>314</v>
      </c>
      <c r="BA18">
        <f>SUMIF(RawDataTotal!$B:$B,$A18,RawDataTotal!BD:BD)</f>
        <v>559</v>
      </c>
      <c r="BB18">
        <f>SUMIF(RawDataTotal!$B:$B,$A18,RawDataTotal!BE:BE)</f>
        <v>689</v>
      </c>
      <c r="BC18">
        <f>SUMIF(RawDataTotal!$B:$B,$A18,RawDataTotal!BF:BF)</f>
        <v>886</v>
      </c>
      <c r="BD18">
        <f>SUMIF(RawDataTotal!$B:$B,$A18,RawDataTotal!BG:BG)</f>
        <v>1058</v>
      </c>
      <c r="BE18">
        <f>SUMIF(RawDataTotal!$B:$B,$A18,RawDataTotal!BH:BH)</f>
        <v>1243</v>
      </c>
      <c r="BF18">
        <f>SUMIF(RawDataTotal!$B:$B,$A18,RawDataTotal!BI:BI)</f>
        <v>0</v>
      </c>
      <c r="BG18">
        <f>SUMIF(RawDataTotal!$B:$B,$A18,RawDataTotal!BJ:BJ)</f>
        <v>0</v>
      </c>
      <c r="BH18">
        <f>SUMIF(RawDataTotal!$B:$B,$A18,RawDataTotal!BK:BK)</f>
        <v>0</v>
      </c>
      <c r="BI18">
        <f>SUMIF(RawDataTotal!$B:$B,$A18,RawDataTotal!BL:BL)</f>
        <v>0</v>
      </c>
      <c r="BJ18">
        <f>SUMIF(RawDataTotal!$B:$B,$A18,RawDataTotal!BM:BM)</f>
        <v>0</v>
      </c>
      <c r="BK18">
        <f>SUMIF(RawDataTotal!$B:$B,$A18,RawDataTotal!BN:BN)</f>
        <v>0</v>
      </c>
      <c r="BL18">
        <f>SUMIF(RawDataTotal!$B:$B,$A18,RawDataTotal!BO:BO)</f>
        <v>0</v>
      </c>
      <c r="BM18">
        <f>SUMIF(RawDataTotal!$B:$B,$A18,RawDataTotal!BP:BP)</f>
        <v>0</v>
      </c>
      <c r="BN18">
        <f>SUMIF(RawDataTotal!$B:$B,$A18,RawDataTotal!BQ:BQ)</f>
        <v>0</v>
      </c>
      <c r="BO18">
        <f>SUMIF(RawDataTotal!$B:$B,$A18,RawDataTotal!BR:BR)</f>
        <v>0</v>
      </c>
      <c r="BP18">
        <f>SUMIF(RawDataTotal!$B:$B,$A18,RawDataTotal!BS:BS)</f>
        <v>0</v>
      </c>
      <c r="BQ18">
        <f>SUMIF(RawDataTotal!$B:$B,$A18,RawDataTotal!BT:BT)</f>
        <v>0</v>
      </c>
      <c r="BR18">
        <f>SUMIF(RawDataTotal!$B:$B,$A18,RawDataTotal!BU:BU)</f>
        <v>0</v>
      </c>
      <c r="BS18">
        <f>SUMIF(RawDataTotal!$B:$B,$A18,RawDataTotal!BV:BV)</f>
        <v>0</v>
      </c>
      <c r="BT18">
        <f>SUMIF(RawDataTotal!$B:$B,$A18,RawDataTotal!BW:BW)</f>
        <v>0</v>
      </c>
    </row>
    <row r="19" spans="1:72" ht="15" thickBot="1" x14ac:dyDescent="0.35">
      <c r="A19" s="3" t="s">
        <v>105</v>
      </c>
      <c r="B19">
        <f>SUMIF(RawDataTotal!$B:$B,$A19,RawDataTotal!E:E)</f>
        <v>0</v>
      </c>
      <c r="C19">
        <f>SUMIF(RawDataTotal!$B:$B,$A19,RawDataTotal!F:F)</f>
        <v>0</v>
      </c>
      <c r="D19">
        <f>SUMIF(RawDataTotal!$B:$B,$A19,RawDataTotal!G:G)</f>
        <v>0</v>
      </c>
      <c r="E19">
        <f>SUMIF(RawDataTotal!$B:$B,$A19,RawDataTotal!H:H)</f>
        <v>0</v>
      </c>
      <c r="F19">
        <f>SUMIF(RawDataTotal!$B:$B,$A19,RawDataTotal!I:I)</f>
        <v>0</v>
      </c>
      <c r="G19">
        <f>SUMIF(RawDataTotal!$B:$B,$A19,RawDataTotal!J:J)</f>
        <v>0</v>
      </c>
      <c r="H19">
        <f>SUMIF(RawDataTotal!$B:$B,$A19,RawDataTotal!K:K)</f>
        <v>0</v>
      </c>
      <c r="I19">
        <f>SUMIF(RawDataTotal!$B:$B,$A19,RawDataTotal!L:L)</f>
        <v>0</v>
      </c>
      <c r="J19">
        <f>SUMIF(RawDataTotal!$B:$B,$A19,RawDataTotal!M:M)</f>
        <v>0</v>
      </c>
      <c r="K19">
        <f>SUMIF(RawDataTotal!$B:$B,$A19,RawDataTotal!N:N)</f>
        <v>0</v>
      </c>
      <c r="L19">
        <f>SUMIF(RawDataTotal!$B:$B,$A19,RawDataTotal!O:O)</f>
        <v>0</v>
      </c>
      <c r="M19">
        <f>SUMIF(RawDataTotal!$B:$B,$A19,RawDataTotal!P:P)</f>
        <v>0</v>
      </c>
      <c r="N19">
        <f>SUMIF(RawDataTotal!$B:$B,$A19,RawDataTotal!Q:Q)</f>
        <v>0</v>
      </c>
      <c r="O19">
        <f>SUMIF(RawDataTotal!$B:$B,$A19,RawDataTotal!R:R)</f>
        <v>0</v>
      </c>
      <c r="P19">
        <f>SUMIF(RawDataTotal!$B:$B,$A19,RawDataTotal!S:S)</f>
        <v>0</v>
      </c>
      <c r="Q19">
        <f>SUMIF(RawDataTotal!$B:$B,$A19,RawDataTotal!T:T)</f>
        <v>0</v>
      </c>
      <c r="R19">
        <f>SUMIF(RawDataTotal!$B:$B,$A19,RawDataTotal!U:U)</f>
        <v>0</v>
      </c>
      <c r="S19">
        <f>SUMIF(RawDataTotal!$B:$B,$A19,RawDataTotal!V:V)</f>
        <v>0</v>
      </c>
      <c r="T19">
        <f>SUMIF(RawDataTotal!$B:$B,$A19,RawDataTotal!W:W)</f>
        <v>0</v>
      </c>
      <c r="U19">
        <f>SUMIF(RawDataTotal!$B:$B,$A19,RawDataTotal!X:X)</f>
        <v>0</v>
      </c>
      <c r="V19">
        <f>SUMIF(RawDataTotal!$B:$B,$A19,RawDataTotal!Y:Y)</f>
        <v>0</v>
      </c>
      <c r="W19">
        <f>SUMIF(RawDataTotal!$B:$B,$A19,RawDataTotal!Z:Z)</f>
        <v>0</v>
      </c>
      <c r="X19">
        <f>SUMIF(RawDataTotal!$B:$B,$A19,RawDataTotal!AA:AA)</f>
        <v>0</v>
      </c>
      <c r="Y19">
        <f>SUMIF(RawDataTotal!$B:$B,$A19,RawDataTotal!AB:AB)</f>
        <v>0</v>
      </c>
      <c r="Z19">
        <f>SUMIF(RawDataTotal!$B:$B,$A19,RawDataTotal!AC:AC)</f>
        <v>0</v>
      </c>
      <c r="AA19">
        <f>SUMIF(RawDataTotal!$B:$B,$A19,RawDataTotal!AD:AD)</f>
        <v>0</v>
      </c>
      <c r="AB19">
        <f>SUMIF(RawDataTotal!$B:$B,$A19,RawDataTotal!AE:AE)</f>
        <v>0</v>
      </c>
      <c r="AC19">
        <f>SUMIF(RawDataTotal!$B:$B,$A19,RawDataTotal!AF:AF)</f>
        <v>0</v>
      </c>
      <c r="AD19">
        <f>SUMIF(RawDataTotal!$B:$B,$A19,RawDataTotal!AG:AG)</f>
        <v>0</v>
      </c>
      <c r="AE19">
        <f>SUMIF(RawDataTotal!$B:$B,$A19,RawDataTotal!AH:AH)</f>
        <v>0</v>
      </c>
      <c r="AF19">
        <f>SUMIF(RawDataTotal!$B:$B,$A19,RawDataTotal!AI:AI)</f>
        <v>0</v>
      </c>
      <c r="AG19">
        <f>SUMIF(RawDataTotal!$B:$B,$A19,RawDataTotal!AJ:AJ)</f>
        <v>0</v>
      </c>
      <c r="AH19">
        <f>SUMIF(RawDataTotal!$B:$B,$A19,RawDataTotal!AK:AK)</f>
        <v>0</v>
      </c>
      <c r="AI19">
        <f>SUMIF(RawDataTotal!$B:$B,$A19,RawDataTotal!AL:AL)</f>
        <v>0</v>
      </c>
      <c r="AJ19">
        <f>SUMIF(RawDataTotal!$B:$B,$A19,RawDataTotal!AM:AM)</f>
        <v>2</v>
      </c>
      <c r="AK19">
        <f>SUMIF(RawDataTotal!$B:$B,$A19,RawDataTotal!AN:AN)</f>
        <v>2</v>
      </c>
      <c r="AL19">
        <f>SUMIF(RawDataTotal!$B:$B,$A19,RawDataTotal!AO:AO)</f>
        <v>3</v>
      </c>
      <c r="AM19">
        <f>SUMIF(RawDataTotal!$B:$B,$A19,RawDataTotal!AP:AP)</f>
        <v>3</v>
      </c>
      <c r="AN19">
        <f>SUMIF(RawDataTotal!$B:$B,$A19,RawDataTotal!AQ:AQ)</f>
        <v>9</v>
      </c>
      <c r="AO19">
        <f>SUMIF(RawDataTotal!$B:$B,$A19,RawDataTotal!AR:AR)</f>
        <v>14</v>
      </c>
      <c r="AP19">
        <f>SUMIF(RawDataTotal!$B:$B,$A19,RawDataTotal!AS:AS)</f>
        <v>18</v>
      </c>
      <c r="AQ19">
        <f>SUMIF(RawDataTotal!$B:$B,$A19,RawDataTotal!AT:AT)</f>
        <v>21</v>
      </c>
      <c r="AR19">
        <f>SUMIF(RawDataTotal!$B:$B,$A19,RawDataTotal!AU:AU)</f>
        <v>29</v>
      </c>
      <c r="AS19">
        <f>SUMIF(RawDataTotal!$B:$B,$A19,RawDataTotal!AV:AV)</f>
        <v>41</v>
      </c>
      <c r="AT19">
        <f>SUMIF(RawDataTotal!$B:$B,$A19,RawDataTotal!AW:AW)</f>
        <v>55</v>
      </c>
      <c r="AU19">
        <f>SUMIF(RawDataTotal!$B:$B,$A19,RawDataTotal!AX:AX)</f>
        <v>79</v>
      </c>
      <c r="AV19">
        <f>SUMIF(RawDataTotal!$B:$B,$A19,RawDataTotal!AY:AY)</f>
        <v>104</v>
      </c>
      <c r="AW19">
        <f>SUMIF(RawDataTotal!$B:$B,$A19,RawDataTotal!AZ:AZ)</f>
        <v>131</v>
      </c>
      <c r="AX19">
        <f>SUMIF(RawDataTotal!$B:$B,$A19,RawDataTotal!BA:BA)</f>
        <v>182</v>
      </c>
      <c r="AY19">
        <f>SUMIF(RawDataTotal!$B:$B,$A19,RawDataTotal!BB:BB)</f>
        <v>246</v>
      </c>
      <c r="AZ19">
        <f>SUMIF(RawDataTotal!$B:$B,$A19,RawDataTotal!BC:BC)</f>
        <v>302</v>
      </c>
      <c r="BA19">
        <f>SUMIF(RawDataTotal!$B:$B,$A19,RawDataTotal!BD:BD)</f>
        <v>504</v>
      </c>
      <c r="BB19">
        <f>SUMIF(RawDataTotal!$B:$B,$A19,RawDataTotal!BE:BE)</f>
        <v>655</v>
      </c>
      <c r="BC19">
        <f>SUMIF(RawDataTotal!$B:$B,$A19,RawDataTotal!BF:BF)</f>
        <v>860</v>
      </c>
      <c r="BD19">
        <f>SUMIF(RawDataTotal!$B:$B,$A19,RawDataTotal!BG:BG)</f>
        <v>1018</v>
      </c>
      <c r="BE19">
        <f>SUMIF(RawDataTotal!$B:$B,$A19,RawDataTotal!BH:BH)</f>
        <v>1332</v>
      </c>
      <c r="BF19">
        <f>SUMIF(RawDataTotal!$B:$B,$A19,RawDataTotal!BI:BI)</f>
        <v>0</v>
      </c>
      <c r="BG19">
        <f>SUMIF(RawDataTotal!$B:$B,$A19,RawDataTotal!BJ:BJ)</f>
        <v>0</v>
      </c>
      <c r="BH19">
        <f>SUMIF(RawDataTotal!$B:$B,$A19,RawDataTotal!BK:BK)</f>
        <v>0</v>
      </c>
      <c r="BI19">
        <f>SUMIF(RawDataTotal!$B:$B,$A19,RawDataTotal!BL:BL)</f>
        <v>0</v>
      </c>
      <c r="BJ19">
        <f>SUMIF(RawDataTotal!$B:$B,$A19,RawDataTotal!BM:BM)</f>
        <v>0</v>
      </c>
      <c r="BK19">
        <f>SUMIF(RawDataTotal!$B:$B,$A19,RawDataTotal!BN:BN)</f>
        <v>0</v>
      </c>
      <c r="BL19">
        <f>SUMIF(RawDataTotal!$B:$B,$A19,RawDataTotal!BO:BO)</f>
        <v>0</v>
      </c>
      <c r="BM19">
        <f>SUMIF(RawDataTotal!$B:$B,$A19,RawDataTotal!BP:BP)</f>
        <v>0</v>
      </c>
      <c r="BN19">
        <f>SUMIF(RawDataTotal!$B:$B,$A19,RawDataTotal!BQ:BQ)</f>
        <v>0</v>
      </c>
      <c r="BO19">
        <f>SUMIF(RawDataTotal!$B:$B,$A19,RawDataTotal!BR:BR)</f>
        <v>0</v>
      </c>
      <c r="BP19">
        <f>SUMIF(RawDataTotal!$B:$B,$A19,RawDataTotal!BS:BS)</f>
        <v>0</v>
      </c>
      <c r="BQ19">
        <f>SUMIF(RawDataTotal!$B:$B,$A19,RawDataTotal!BT:BT)</f>
        <v>0</v>
      </c>
      <c r="BR19">
        <f>SUMIF(RawDataTotal!$B:$B,$A19,RawDataTotal!BU:BU)</f>
        <v>0</v>
      </c>
      <c r="BS19">
        <f>SUMIF(RawDataTotal!$B:$B,$A19,RawDataTotal!BV:BV)</f>
        <v>0</v>
      </c>
      <c r="BT19">
        <f>SUMIF(RawDataTotal!$B:$B,$A19,RawDataTotal!BW:BW)</f>
        <v>0</v>
      </c>
    </row>
    <row r="20" spans="1:72" ht="15" thickBot="1" x14ac:dyDescent="0.35">
      <c r="A20" s="3" t="s">
        <v>128</v>
      </c>
      <c r="B20">
        <f>SUMIF(RawDataTotal!$B:$B,$A20,RawDataTotal!E:E)</f>
        <v>0</v>
      </c>
      <c r="C20">
        <f>SUMIF(RawDataTotal!$B:$B,$A20,RawDataTotal!F:F)</f>
        <v>0</v>
      </c>
      <c r="D20">
        <f>SUMIF(RawDataTotal!$B:$B,$A20,RawDataTotal!G:G)</f>
        <v>0</v>
      </c>
      <c r="E20">
        <f>SUMIF(RawDataTotal!$B:$B,$A20,RawDataTotal!H:H)</f>
        <v>0</v>
      </c>
      <c r="F20">
        <f>SUMIF(RawDataTotal!$B:$B,$A20,RawDataTotal!I:I)</f>
        <v>0</v>
      </c>
      <c r="G20">
        <f>SUMIF(RawDataTotal!$B:$B,$A20,RawDataTotal!J:J)</f>
        <v>0</v>
      </c>
      <c r="H20">
        <f>SUMIF(RawDataTotal!$B:$B,$A20,RawDataTotal!K:K)</f>
        <v>0</v>
      </c>
      <c r="I20">
        <f>SUMIF(RawDataTotal!$B:$B,$A20,RawDataTotal!L:L)</f>
        <v>0</v>
      </c>
      <c r="J20">
        <f>SUMIF(RawDataTotal!$B:$B,$A20,RawDataTotal!M:M)</f>
        <v>0</v>
      </c>
      <c r="K20">
        <f>SUMIF(RawDataTotal!$B:$B,$A20,RawDataTotal!N:N)</f>
        <v>0</v>
      </c>
      <c r="L20">
        <f>SUMIF(RawDataTotal!$B:$B,$A20,RawDataTotal!O:O)</f>
        <v>0</v>
      </c>
      <c r="M20">
        <f>SUMIF(RawDataTotal!$B:$B,$A20,RawDataTotal!P:P)</f>
        <v>0</v>
      </c>
      <c r="N20">
        <f>SUMIF(RawDataTotal!$B:$B,$A20,RawDataTotal!Q:Q)</f>
        <v>0</v>
      </c>
      <c r="O20">
        <f>SUMIF(RawDataTotal!$B:$B,$A20,RawDataTotal!R:R)</f>
        <v>0</v>
      </c>
      <c r="P20">
        <f>SUMIF(RawDataTotal!$B:$B,$A20,RawDataTotal!S:S)</f>
        <v>0</v>
      </c>
      <c r="Q20">
        <f>SUMIF(RawDataTotal!$B:$B,$A20,RawDataTotal!T:T)</f>
        <v>0</v>
      </c>
      <c r="R20">
        <f>SUMIF(RawDataTotal!$B:$B,$A20,RawDataTotal!U:U)</f>
        <v>0</v>
      </c>
      <c r="S20">
        <f>SUMIF(RawDataTotal!$B:$B,$A20,RawDataTotal!V:V)</f>
        <v>0</v>
      </c>
      <c r="T20">
        <f>SUMIF(RawDataTotal!$B:$B,$A20,RawDataTotal!W:W)</f>
        <v>0</v>
      </c>
      <c r="U20">
        <f>SUMIF(RawDataTotal!$B:$B,$A20,RawDataTotal!X:X)</f>
        <v>0</v>
      </c>
      <c r="V20">
        <f>SUMIF(RawDataTotal!$B:$B,$A20,RawDataTotal!Y:Y)</f>
        <v>0</v>
      </c>
      <c r="W20">
        <f>SUMIF(RawDataTotal!$B:$B,$A20,RawDataTotal!Z:Z)</f>
        <v>0</v>
      </c>
      <c r="X20">
        <f>SUMIF(RawDataTotal!$B:$B,$A20,RawDataTotal!AA:AA)</f>
        <v>0</v>
      </c>
      <c r="Y20">
        <f>SUMIF(RawDataTotal!$B:$B,$A20,RawDataTotal!AB:AB)</f>
        <v>0</v>
      </c>
      <c r="Z20">
        <f>SUMIF(RawDataTotal!$B:$B,$A20,RawDataTotal!AC:AC)</f>
        <v>0</v>
      </c>
      <c r="AA20">
        <f>SUMIF(RawDataTotal!$B:$B,$A20,RawDataTotal!AD:AD)</f>
        <v>0</v>
      </c>
      <c r="AB20">
        <f>SUMIF(RawDataTotal!$B:$B,$A20,RawDataTotal!AE:AE)</f>
        <v>0</v>
      </c>
      <c r="AC20">
        <f>SUMIF(RawDataTotal!$B:$B,$A20,RawDataTotal!AF:AF)</f>
        <v>0</v>
      </c>
      <c r="AD20">
        <f>SUMIF(RawDataTotal!$B:$B,$A20,RawDataTotal!AG:AG)</f>
        <v>0</v>
      </c>
      <c r="AE20">
        <f>SUMIF(RawDataTotal!$B:$B,$A20,RawDataTotal!AH:AH)</f>
        <v>0</v>
      </c>
      <c r="AF20">
        <f>SUMIF(RawDataTotal!$B:$B,$A20,RawDataTotal!AI:AI)</f>
        <v>0</v>
      </c>
      <c r="AG20">
        <f>SUMIF(RawDataTotal!$B:$B,$A20,RawDataTotal!AJ:AJ)</f>
        <v>0</v>
      </c>
      <c r="AH20">
        <f>SUMIF(RawDataTotal!$B:$B,$A20,RawDataTotal!AK:AK)</f>
        <v>0</v>
      </c>
      <c r="AI20">
        <f>SUMIF(RawDataTotal!$B:$B,$A20,RawDataTotal!AL:AL)</f>
        <v>0</v>
      </c>
      <c r="AJ20">
        <f>SUMIF(RawDataTotal!$B:$B,$A20,RawDataTotal!AM:AM)</f>
        <v>0</v>
      </c>
      <c r="AK20">
        <f>SUMIF(RawDataTotal!$B:$B,$A20,RawDataTotal!AN:AN)</f>
        <v>0</v>
      </c>
      <c r="AL20">
        <f>SUMIF(RawDataTotal!$B:$B,$A20,RawDataTotal!AO:AO)</f>
        <v>0</v>
      </c>
      <c r="AM20">
        <f>SUMIF(RawDataTotal!$B:$B,$A20,RawDataTotal!AP:AP)</f>
        <v>0</v>
      </c>
      <c r="AN20">
        <f>SUMIF(RawDataTotal!$B:$B,$A20,RawDataTotal!AQ:AQ)</f>
        <v>1</v>
      </c>
      <c r="AO20">
        <f>SUMIF(RawDataTotal!$B:$B,$A20,RawDataTotal!AR:AR)</f>
        <v>3</v>
      </c>
      <c r="AP20">
        <f>SUMIF(RawDataTotal!$B:$B,$A20,RawDataTotal!AS:AS)</f>
        <v>3</v>
      </c>
      <c r="AQ20">
        <f>SUMIF(RawDataTotal!$B:$B,$A20,RawDataTotal!AT:AT)</f>
        <v>7</v>
      </c>
      <c r="AR20">
        <f>SUMIF(RawDataTotal!$B:$B,$A20,RawDataTotal!AU:AU)</f>
        <v>8</v>
      </c>
      <c r="AS20">
        <f>SUMIF(RawDataTotal!$B:$B,$A20,RawDataTotal!AV:AV)</f>
        <v>8</v>
      </c>
      <c r="AT20">
        <f>SUMIF(RawDataTotal!$B:$B,$A20,RawDataTotal!AW:AW)</f>
        <v>8</v>
      </c>
      <c r="AU20">
        <f>SUMIF(RawDataTotal!$B:$B,$A20,RawDataTotal!AX:AX)</f>
        <v>8</v>
      </c>
      <c r="AV20">
        <f>SUMIF(RawDataTotal!$B:$B,$A20,RawDataTotal!AY:AY)</f>
        <v>15</v>
      </c>
      <c r="AW20">
        <f>SUMIF(RawDataTotal!$B:$B,$A20,RawDataTotal!AZ:AZ)</f>
        <v>18</v>
      </c>
      <c r="AX20">
        <f>SUMIF(RawDataTotal!$B:$B,$A20,RawDataTotal!BA:BA)</f>
        <v>24</v>
      </c>
      <c r="AY20">
        <f>SUMIF(RawDataTotal!$B:$B,$A20,RawDataTotal!BB:BB)</f>
        <v>262</v>
      </c>
      <c r="AZ20">
        <f>SUMIF(RawDataTotal!$B:$B,$A20,RawDataTotal!BC:BC)</f>
        <v>262</v>
      </c>
      <c r="BA20">
        <f>SUMIF(RawDataTotal!$B:$B,$A20,RawDataTotal!BD:BD)</f>
        <v>320</v>
      </c>
      <c r="BB20">
        <f>SUMIF(RawDataTotal!$B:$B,$A20,RawDataTotal!BE:BE)</f>
        <v>337</v>
      </c>
      <c r="BC20">
        <f>SUMIF(RawDataTotal!$B:$B,$A20,RawDataTotal!BF:BF)</f>
        <v>401</v>
      </c>
      <c r="BD20">
        <f>SUMIF(RawDataTotal!$B:$B,$A20,RawDataTotal!BG:BG)</f>
        <v>439</v>
      </c>
      <c r="BE20">
        <f>SUMIF(RawDataTotal!$B:$B,$A20,RawDataTotal!BH:BH)</f>
        <v>439</v>
      </c>
      <c r="BF20">
        <f>SUMIF(RawDataTotal!$B:$B,$A20,RawDataTotal!BI:BI)</f>
        <v>0</v>
      </c>
      <c r="BG20">
        <f>SUMIF(RawDataTotal!$B:$B,$A20,RawDataTotal!BJ:BJ)</f>
        <v>0</v>
      </c>
      <c r="BH20">
        <f>SUMIF(RawDataTotal!$B:$B,$A20,RawDataTotal!BK:BK)</f>
        <v>0</v>
      </c>
      <c r="BI20">
        <f>SUMIF(RawDataTotal!$B:$B,$A20,RawDataTotal!BL:BL)</f>
        <v>0</v>
      </c>
      <c r="BJ20">
        <f>SUMIF(RawDataTotal!$B:$B,$A20,RawDataTotal!BM:BM)</f>
        <v>0</v>
      </c>
      <c r="BK20">
        <f>SUMIF(RawDataTotal!$B:$B,$A20,RawDataTotal!BN:BN)</f>
        <v>0</v>
      </c>
      <c r="BL20">
        <f>SUMIF(RawDataTotal!$B:$B,$A20,RawDataTotal!BO:BO)</f>
        <v>0</v>
      </c>
      <c r="BM20">
        <f>SUMIF(RawDataTotal!$B:$B,$A20,RawDataTotal!BP:BP)</f>
        <v>0</v>
      </c>
      <c r="BN20">
        <f>SUMIF(RawDataTotal!$B:$B,$A20,RawDataTotal!BQ:BQ)</f>
        <v>0</v>
      </c>
      <c r="BO20">
        <f>SUMIF(RawDataTotal!$B:$B,$A20,RawDataTotal!BR:BR)</f>
        <v>0</v>
      </c>
      <c r="BP20">
        <f>SUMIF(RawDataTotal!$B:$B,$A20,RawDataTotal!BS:BS)</f>
        <v>0</v>
      </c>
      <c r="BQ20">
        <f>SUMIF(RawDataTotal!$B:$B,$A20,RawDataTotal!BT:BT)</f>
        <v>0</v>
      </c>
      <c r="BR20">
        <f>SUMIF(RawDataTotal!$B:$B,$A20,RawDataTotal!BU:BU)</f>
        <v>0</v>
      </c>
      <c r="BS20">
        <f>SUMIF(RawDataTotal!$B:$B,$A20,RawDataTotal!BV:BV)</f>
        <v>0</v>
      </c>
      <c r="BT20">
        <f>SUMIF(RawDataTotal!$B:$B,$A20,RawDataTotal!BW:BW)</f>
        <v>0</v>
      </c>
    </row>
    <row r="21" spans="1:72" ht="15" thickBot="1" x14ac:dyDescent="0.35">
      <c r="A21" s="3" t="s">
        <v>75</v>
      </c>
      <c r="B21">
        <f>SUMIF(RawDataTotal!$B:$B,$A21,RawDataTotal!E:E)</f>
        <v>0</v>
      </c>
      <c r="C21">
        <f>SUMIF(RawDataTotal!$B:$B,$A21,RawDataTotal!F:F)</f>
        <v>0</v>
      </c>
      <c r="D21">
        <f>SUMIF(RawDataTotal!$B:$B,$A21,RawDataTotal!G:G)</f>
        <v>0</v>
      </c>
      <c r="E21">
        <f>SUMIF(RawDataTotal!$B:$B,$A21,RawDataTotal!H:H)</f>
        <v>0</v>
      </c>
      <c r="F21">
        <f>SUMIF(RawDataTotal!$B:$B,$A21,RawDataTotal!I:I)</f>
        <v>4</v>
      </c>
      <c r="G21">
        <f>SUMIF(RawDataTotal!$B:$B,$A21,RawDataTotal!J:J)</f>
        <v>5</v>
      </c>
      <c r="H21">
        <f>SUMIF(RawDataTotal!$B:$B,$A21,RawDataTotal!K:K)</f>
        <v>5</v>
      </c>
      <c r="I21">
        <f>SUMIF(RawDataTotal!$B:$B,$A21,RawDataTotal!L:L)</f>
        <v>6</v>
      </c>
      <c r="J21">
        <f>SUMIF(RawDataTotal!$B:$B,$A21,RawDataTotal!M:M)</f>
        <v>9</v>
      </c>
      <c r="K21">
        <f>SUMIF(RawDataTotal!$B:$B,$A21,RawDataTotal!N:N)</f>
        <v>9</v>
      </c>
      <c r="L21">
        <f>SUMIF(RawDataTotal!$B:$B,$A21,RawDataTotal!O:O)</f>
        <v>12</v>
      </c>
      <c r="M21">
        <f>SUMIF(RawDataTotal!$B:$B,$A21,RawDataTotal!P:P)</f>
        <v>12</v>
      </c>
      <c r="N21">
        <f>SUMIF(RawDataTotal!$B:$B,$A21,RawDataTotal!Q:Q)</f>
        <v>12</v>
      </c>
      <c r="O21">
        <f>SUMIF(RawDataTotal!$B:$B,$A21,RawDataTotal!R:R)</f>
        <v>13</v>
      </c>
      <c r="P21">
        <f>SUMIF(RawDataTotal!$B:$B,$A21,RawDataTotal!S:S)</f>
        <v>13</v>
      </c>
      <c r="Q21">
        <f>SUMIF(RawDataTotal!$B:$B,$A21,RawDataTotal!T:T)</f>
        <v>14</v>
      </c>
      <c r="R21">
        <f>SUMIF(RawDataTotal!$B:$B,$A21,RawDataTotal!U:U)</f>
        <v>15</v>
      </c>
      <c r="S21">
        <f>SUMIF(RawDataTotal!$B:$B,$A21,RawDataTotal!V:V)</f>
        <v>15</v>
      </c>
      <c r="T21">
        <f>SUMIF(RawDataTotal!$B:$B,$A21,RawDataTotal!W:W)</f>
        <v>15</v>
      </c>
      <c r="U21">
        <f>SUMIF(RawDataTotal!$B:$B,$A21,RawDataTotal!X:X)</f>
        <v>15</v>
      </c>
      <c r="V21">
        <f>SUMIF(RawDataTotal!$B:$B,$A21,RawDataTotal!Y:Y)</f>
        <v>15</v>
      </c>
      <c r="W21">
        <f>SUMIF(RawDataTotal!$B:$B,$A21,RawDataTotal!Z:Z)</f>
        <v>15</v>
      </c>
      <c r="X21">
        <f>SUMIF(RawDataTotal!$B:$B,$A21,RawDataTotal!AA:AA)</f>
        <v>15</v>
      </c>
      <c r="Y21">
        <f>SUMIF(RawDataTotal!$B:$B,$A21,RawDataTotal!AB:AB)</f>
        <v>15</v>
      </c>
      <c r="Z21">
        <f>SUMIF(RawDataTotal!$B:$B,$A21,RawDataTotal!AC:AC)</f>
        <v>15</v>
      </c>
      <c r="AA21">
        <f>SUMIF(RawDataTotal!$B:$B,$A21,RawDataTotal!AD:AD)</f>
        <v>15</v>
      </c>
      <c r="AB21">
        <f>SUMIF(RawDataTotal!$B:$B,$A21,RawDataTotal!AE:AE)</f>
        <v>15</v>
      </c>
      <c r="AC21">
        <f>SUMIF(RawDataTotal!$B:$B,$A21,RawDataTotal!AF:AF)</f>
        <v>15</v>
      </c>
      <c r="AD21">
        <f>SUMIF(RawDataTotal!$B:$B,$A21,RawDataTotal!AG:AG)</f>
        <v>15</v>
      </c>
      <c r="AE21">
        <f>SUMIF(RawDataTotal!$B:$B,$A21,RawDataTotal!AH:AH)</f>
        <v>15</v>
      </c>
      <c r="AF21">
        <f>SUMIF(RawDataTotal!$B:$B,$A21,RawDataTotal!AI:AI)</f>
        <v>19</v>
      </c>
      <c r="AG21">
        <f>SUMIF(RawDataTotal!$B:$B,$A21,RawDataTotal!AJ:AJ)</f>
        <v>22</v>
      </c>
      <c r="AH21">
        <f>SUMIF(RawDataTotal!$B:$B,$A21,RawDataTotal!AK:AK)</f>
        <v>22</v>
      </c>
      <c r="AI21">
        <f>SUMIF(RawDataTotal!$B:$B,$A21,RawDataTotal!AL:AL)</f>
        <v>22</v>
      </c>
      <c r="AJ21">
        <f>SUMIF(RawDataTotal!$B:$B,$A21,RawDataTotal!AM:AM)</f>
        <v>22</v>
      </c>
      <c r="AK21">
        <f>SUMIF(RawDataTotal!$B:$B,$A21,RawDataTotal!AN:AN)</f>
        <v>22</v>
      </c>
      <c r="AL21">
        <f>SUMIF(RawDataTotal!$B:$B,$A21,RawDataTotal!AO:AO)</f>
        <v>23</v>
      </c>
      <c r="AM21">
        <f>SUMIF(RawDataTotal!$B:$B,$A21,RawDataTotal!AP:AP)</f>
        <v>23</v>
      </c>
      <c r="AN21">
        <f>SUMIF(RawDataTotal!$B:$B,$A21,RawDataTotal!AQ:AQ)</f>
        <v>25</v>
      </c>
      <c r="AO21">
        <f>SUMIF(RawDataTotal!$B:$B,$A21,RawDataTotal!AR:AR)</f>
        <v>27</v>
      </c>
      <c r="AP21">
        <f>SUMIF(RawDataTotal!$B:$B,$A21,RawDataTotal!AS:AS)</f>
        <v>30</v>
      </c>
      <c r="AQ21">
        <f>SUMIF(RawDataTotal!$B:$B,$A21,RawDataTotal!AT:AT)</f>
        <v>39</v>
      </c>
      <c r="AR21">
        <f>SUMIF(RawDataTotal!$B:$B,$A21,RawDataTotal!AU:AU)</f>
        <v>52</v>
      </c>
      <c r="AS21">
        <f>SUMIF(RawDataTotal!$B:$B,$A21,RawDataTotal!AV:AV)</f>
        <v>55</v>
      </c>
      <c r="AT21">
        <f>SUMIF(RawDataTotal!$B:$B,$A21,RawDataTotal!AW:AW)</f>
        <v>60</v>
      </c>
      <c r="AU21">
        <f>SUMIF(RawDataTotal!$B:$B,$A21,RawDataTotal!AX:AX)</f>
        <v>63</v>
      </c>
      <c r="AV21">
        <f>SUMIF(RawDataTotal!$B:$B,$A21,RawDataTotal!AY:AY)</f>
        <v>76</v>
      </c>
      <c r="AW21">
        <f>SUMIF(RawDataTotal!$B:$B,$A21,RawDataTotal!AZ:AZ)</f>
        <v>91</v>
      </c>
      <c r="AX21">
        <f>SUMIF(RawDataTotal!$B:$B,$A21,RawDataTotal!BA:BA)</f>
        <v>107</v>
      </c>
      <c r="AY21">
        <f>SUMIF(RawDataTotal!$B:$B,$A21,RawDataTotal!BB:BB)</f>
        <v>128</v>
      </c>
      <c r="AZ21">
        <f>SUMIF(RawDataTotal!$B:$B,$A21,RawDataTotal!BC:BC)</f>
        <v>128</v>
      </c>
      <c r="BA21">
        <f>SUMIF(RawDataTotal!$B:$B,$A21,RawDataTotal!BD:BD)</f>
        <v>200</v>
      </c>
      <c r="BB21">
        <f>SUMIF(RawDataTotal!$B:$B,$A21,RawDataTotal!BE:BE)</f>
        <v>250</v>
      </c>
      <c r="BC21">
        <f>SUMIF(RawDataTotal!$B:$B,$A21,RawDataTotal!BF:BF)</f>
        <v>297</v>
      </c>
      <c r="BD21">
        <f>SUMIF(RawDataTotal!$B:$B,$A21,RawDataTotal!BG:BG)</f>
        <v>377</v>
      </c>
      <c r="BE21">
        <f>SUMIF(RawDataTotal!$B:$B,$A21,RawDataTotal!BH:BH)</f>
        <v>452</v>
      </c>
      <c r="BF21">
        <f>SUMIF(RawDataTotal!$B:$B,$A21,RawDataTotal!BI:BI)</f>
        <v>0</v>
      </c>
      <c r="BG21">
        <f>SUMIF(RawDataTotal!$B:$B,$A21,RawDataTotal!BJ:BJ)</f>
        <v>0</v>
      </c>
      <c r="BH21">
        <f>SUMIF(RawDataTotal!$B:$B,$A21,RawDataTotal!BK:BK)</f>
        <v>0</v>
      </c>
      <c r="BI21">
        <f>SUMIF(RawDataTotal!$B:$B,$A21,RawDataTotal!BL:BL)</f>
        <v>0</v>
      </c>
      <c r="BJ21">
        <f>SUMIF(RawDataTotal!$B:$B,$A21,RawDataTotal!BM:BM)</f>
        <v>0</v>
      </c>
      <c r="BK21">
        <f>SUMIF(RawDataTotal!$B:$B,$A21,RawDataTotal!BN:BN)</f>
        <v>0</v>
      </c>
      <c r="BL21">
        <f>SUMIF(RawDataTotal!$B:$B,$A21,RawDataTotal!BO:BO)</f>
        <v>0</v>
      </c>
      <c r="BM21">
        <f>SUMIF(RawDataTotal!$B:$B,$A21,RawDataTotal!BP:BP)</f>
        <v>0</v>
      </c>
      <c r="BN21">
        <f>SUMIF(RawDataTotal!$B:$B,$A21,RawDataTotal!BQ:BQ)</f>
        <v>0</v>
      </c>
      <c r="BO21">
        <f>SUMIF(RawDataTotal!$B:$B,$A21,RawDataTotal!BR:BR)</f>
        <v>0</v>
      </c>
      <c r="BP21">
        <f>SUMIF(RawDataTotal!$B:$B,$A21,RawDataTotal!BS:BS)</f>
        <v>0</v>
      </c>
      <c r="BQ21">
        <f>SUMIF(RawDataTotal!$B:$B,$A21,RawDataTotal!BT:BT)</f>
        <v>0</v>
      </c>
      <c r="BR21">
        <f>SUMIF(RawDataTotal!$B:$B,$A21,RawDataTotal!BU:BU)</f>
        <v>0</v>
      </c>
      <c r="BS21">
        <f>SUMIF(RawDataTotal!$B:$B,$A21,RawDataTotal!BV:BV)</f>
        <v>0</v>
      </c>
      <c r="BT21">
        <f>SUMIF(RawDataTotal!$B:$B,$A21,RawDataTotal!BW:BW)</f>
        <v>0</v>
      </c>
    </row>
    <row r="22" spans="1:72" ht="15" thickBot="1" x14ac:dyDescent="0.35">
      <c r="A22" s="3" t="s">
        <v>67</v>
      </c>
      <c r="B22">
        <f>SUMIF(RawDataTotal!$B:$B,$A22,RawDataTotal!E:E)</f>
        <v>0</v>
      </c>
      <c r="C22">
        <f>SUMIF(RawDataTotal!$B:$B,$A22,RawDataTotal!F:F)</f>
        <v>1</v>
      </c>
      <c r="D22">
        <f>SUMIF(RawDataTotal!$B:$B,$A22,RawDataTotal!G:G)</f>
        <v>3</v>
      </c>
      <c r="E22">
        <f>SUMIF(RawDataTotal!$B:$B,$A22,RawDataTotal!H:H)</f>
        <v>3</v>
      </c>
      <c r="F22">
        <f>SUMIF(RawDataTotal!$B:$B,$A22,RawDataTotal!I:I)</f>
        <v>4</v>
      </c>
      <c r="G22">
        <f>SUMIF(RawDataTotal!$B:$B,$A22,RawDataTotal!J:J)</f>
        <v>5</v>
      </c>
      <c r="H22">
        <f>SUMIF(RawDataTotal!$B:$B,$A22,RawDataTotal!K:K)</f>
        <v>7</v>
      </c>
      <c r="I22">
        <f>SUMIF(RawDataTotal!$B:$B,$A22,RawDataTotal!L:L)</f>
        <v>7</v>
      </c>
      <c r="J22">
        <f>SUMIF(RawDataTotal!$B:$B,$A22,RawDataTotal!M:M)</f>
        <v>10</v>
      </c>
      <c r="K22">
        <f>SUMIF(RawDataTotal!$B:$B,$A22,RawDataTotal!N:N)</f>
        <v>13</v>
      </c>
      <c r="L22">
        <f>SUMIF(RawDataTotal!$B:$B,$A22,RawDataTotal!O:O)</f>
        <v>16</v>
      </c>
      <c r="M22">
        <f>SUMIF(RawDataTotal!$B:$B,$A22,RawDataTotal!P:P)</f>
        <v>18</v>
      </c>
      <c r="N22">
        <f>SUMIF(RawDataTotal!$B:$B,$A22,RawDataTotal!Q:Q)</f>
        <v>18</v>
      </c>
      <c r="O22">
        <f>SUMIF(RawDataTotal!$B:$B,$A22,RawDataTotal!R:R)</f>
        <v>24</v>
      </c>
      <c r="P22">
        <f>SUMIF(RawDataTotal!$B:$B,$A22,RawDataTotal!S:S)</f>
        <v>28</v>
      </c>
      <c r="Q22">
        <f>SUMIF(RawDataTotal!$B:$B,$A22,RawDataTotal!T:T)</f>
        <v>28</v>
      </c>
      <c r="R22">
        <f>SUMIF(RawDataTotal!$B:$B,$A22,RawDataTotal!U:U)</f>
        <v>30</v>
      </c>
      <c r="S22">
        <f>SUMIF(RawDataTotal!$B:$B,$A22,RawDataTotal!V:V)</f>
        <v>33</v>
      </c>
      <c r="T22">
        <f>SUMIF(RawDataTotal!$B:$B,$A22,RawDataTotal!W:W)</f>
        <v>40</v>
      </c>
      <c r="U22">
        <f>SUMIF(RawDataTotal!$B:$B,$A22,RawDataTotal!X:X)</f>
        <v>45</v>
      </c>
      <c r="V22">
        <f>SUMIF(RawDataTotal!$B:$B,$A22,RawDataTotal!Y:Y)</f>
        <v>47</v>
      </c>
      <c r="W22">
        <f>SUMIF(RawDataTotal!$B:$B,$A22,RawDataTotal!Z:Z)</f>
        <v>50</v>
      </c>
      <c r="X22">
        <f>SUMIF(RawDataTotal!$B:$B,$A22,RawDataTotal!AA:AA)</f>
        <v>58</v>
      </c>
      <c r="Y22">
        <f>SUMIF(RawDataTotal!$B:$B,$A22,RawDataTotal!AB:AB)</f>
        <v>67</v>
      </c>
      <c r="Z22">
        <f>SUMIF(RawDataTotal!$B:$B,$A22,RawDataTotal!AC:AC)</f>
        <v>72</v>
      </c>
      <c r="AA22">
        <f>SUMIF(RawDataTotal!$B:$B,$A22,RawDataTotal!AD:AD)</f>
        <v>75</v>
      </c>
      <c r="AB22">
        <f>SUMIF(RawDataTotal!$B:$B,$A22,RawDataTotal!AE:AE)</f>
        <v>77</v>
      </c>
      <c r="AC22">
        <f>SUMIF(RawDataTotal!$B:$B,$A22,RawDataTotal!AF:AF)</f>
        <v>81</v>
      </c>
      <c r="AD22">
        <f>SUMIF(RawDataTotal!$B:$B,$A22,RawDataTotal!AG:AG)</f>
        <v>84</v>
      </c>
      <c r="AE22">
        <f>SUMIF(RawDataTotal!$B:$B,$A22,RawDataTotal!AH:AH)</f>
        <v>84</v>
      </c>
      <c r="AF22">
        <f>SUMIF(RawDataTotal!$B:$B,$A22,RawDataTotal!AI:AI)</f>
        <v>85</v>
      </c>
      <c r="AG22">
        <f>SUMIF(RawDataTotal!$B:$B,$A22,RawDataTotal!AJ:AJ)</f>
        <v>85</v>
      </c>
      <c r="AH22">
        <f>SUMIF(RawDataTotal!$B:$B,$A22,RawDataTotal!AK:AK)</f>
        <v>89</v>
      </c>
      <c r="AI22">
        <f>SUMIF(RawDataTotal!$B:$B,$A22,RawDataTotal!AL:AL)</f>
        <v>89</v>
      </c>
      <c r="AJ22">
        <f>SUMIF(RawDataTotal!$B:$B,$A22,RawDataTotal!AM:AM)</f>
        <v>91</v>
      </c>
      <c r="AK22">
        <f>SUMIF(RawDataTotal!$B:$B,$A22,RawDataTotal!AN:AN)</f>
        <v>93</v>
      </c>
      <c r="AL22">
        <f>SUMIF(RawDataTotal!$B:$B,$A22,RawDataTotal!AO:AO)</f>
        <v>93</v>
      </c>
      <c r="AM22">
        <f>SUMIF(RawDataTotal!$B:$B,$A22,RawDataTotal!AP:AP)</f>
        <v>93</v>
      </c>
      <c r="AN22">
        <f>SUMIF(RawDataTotal!$B:$B,$A22,RawDataTotal!AQ:AQ)</f>
        <v>102</v>
      </c>
      <c r="AO22">
        <f>SUMIF(RawDataTotal!$B:$B,$A22,RawDataTotal!AR:AR)</f>
        <v>106</v>
      </c>
      <c r="AP22">
        <f>SUMIF(RawDataTotal!$B:$B,$A22,RawDataTotal!AS:AS)</f>
        <v>108</v>
      </c>
      <c r="AQ22">
        <f>SUMIF(RawDataTotal!$B:$B,$A22,RawDataTotal!AT:AT)</f>
        <v>110</v>
      </c>
      <c r="AR22">
        <f>SUMIF(RawDataTotal!$B:$B,$A22,RawDataTotal!AU:AU)</f>
        <v>110</v>
      </c>
      <c r="AS22">
        <f>SUMIF(RawDataTotal!$B:$B,$A22,RawDataTotal!AV:AV)</f>
        <v>117</v>
      </c>
      <c r="AT22">
        <f>SUMIF(RawDataTotal!$B:$B,$A22,RawDataTotal!AW:AW)</f>
        <v>130</v>
      </c>
      <c r="AU22">
        <f>SUMIF(RawDataTotal!$B:$B,$A22,RawDataTotal!AX:AX)</f>
        <v>138</v>
      </c>
      <c r="AV22">
        <f>SUMIF(RawDataTotal!$B:$B,$A22,RawDataTotal!AY:AY)</f>
        <v>150</v>
      </c>
      <c r="AW22">
        <f>SUMIF(RawDataTotal!$B:$B,$A22,RawDataTotal!AZ:AZ)</f>
        <v>150</v>
      </c>
      <c r="AX22">
        <f>SUMIF(RawDataTotal!$B:$B,$A22,RawDataTotal!BA:BA)</f>
        <v>160</v>
      </c>
      <c r="AY22">
        <f>SUMIF(RawDataTotal!$B:$B,$A22,RawDataTotal!BB:BB)</f>
        <v>178</v>
      </c>
      <c r="AZ22">
        <f>SUMIF(RawDataTotal!$B:$B,$A22,RawDataTotal!BC:BC)</f>
        <v>178</v>
      </c>
      <c r="BA22">
        <f>SUMIF(RawDataTotal!$B:$B,$A22,RawDataTotal!BD:BD)</f>
        <v>200</v>
      </c>
      <c r="BB22">
        <f>SUMIF(RawDataTotal!$B:$B,$A22,RawDataTotal!BE:BE)</f>
        <v>212</v>
      </c>
      <c r="BC22">
        <f>SUMIF(RawDataTotal!$B:$B,$A22,RawDataTotal!BF:BF)</f>
        <v>226</v>
      </c>
      <c r="BD22">
        <f>SUMIF(RawDataTotal!$B:$B,$A22,RawDataTotal!BG:BG)</f>
        <v>243</v>
      </c>
      <c r="BE22">
        <f>SUMIF(RawDataTotal!$B:$B,$A22,RawDataTotal!BH:BH)</f>
        <v>266</v>
      </c>
      <c r="BF22">
        <f>SUMIF(RawDataTotal!$B:$B,$A22,RawDataTotal!BI:BI)</f>
        <v>0</v>
      </c>
      <c r="BG22">
        <f>SUMIF(RawDataTotal!$B:$B,$A22,RawDataTotal!BJ:BJ)</f>
        <v>0</v>
      </c>
      <c r="BH22">
        <f>SUMIF(RawDataTotal!$B:$B,$A22,RawDataTotal!BK:BK)</f>
        <v>0</v>
      </c>
      <c r="BI22">
        <f>SUMIF(RawDataTotal!$B:$B,$A22,RawDataTotal!BL:BL)</f>
        <v>0</v>
      </c>
      <c r="BJ22">
        <f>SUMIF(RawDataTotal!$B:$B,$A22,RawDataTotal!BM:BM)</f>
        <v>0</v>
      </c>
      <c r="BK22">
        <f>SUMIF(RawDataTotal!$B:$B,$A22,RawDataTotal!BN:BN)</f>
        <v>0</v>
      </c>
      <c r="BL22">
        <f>SUMIF(RawDataTotal!$B:$B,$A22,RawDataTotal!BO:BO)</f>
        <v>0</v>
      </c>
      <c r="BM22">
        <f>SUMIF(RawDataTotal!$B:$B,$A22,RawDataTotal!BP:BP)</f>
        <v>0</v>
      </c>
      <c r="BN22">
        <f>SUMIF(RawDataTotal!$B:$B,$A22,RawDataTotal!BQ:BQ)</f>
        <v>0</v>
      </c>
      <c r="BO22">
        <f>SUMIF(RawDataTotal!$B:$B,$A22,RawDataTotal!BR:BR)</f>
        <v>0</v>
      </c>
      <c r="BP22">
        <f>SUMIF(RawDataTotal!$B:$B,$A22,RawDataTotal!BS:BS)</f>
        <v>0</v>
      </c>
      <c r="BQ22">
        <f>SUMIF(RawDataTotal!$B:$B,$A22,RawDataTotal!BT:BT)</f>
        <v>0</v>
      </c>
      <c r="BR22">
        <f>SUMIF(RawDataTotal!$B:$B,$A22,RawDataTotal!BU:BU)</f>
        <v>0</v>
      </c>
      <c r="BS22">
        <f>SUMIF(RawDataTotal!$B:$B,$A22,RawDataTotal!BV:BV)</f>
        <v>0</v>
      </c>
      <c r="BT22">
        <f>SUMIF(RawDataTotal!$B:$B,$A22,RawDataTotal!BW:BW)</f>
        <v>0</v>
      </c>
    </row>
    <row r="23" spans="1:72" ht="15" thickBot="1" x14ac:dyDescent="0.35">
      <c r="A23" s="3" t="s">
        <v>70</v>
      </c>
      <c r="B23">
        <f>SUMIF(RawDataTotal!$B:$B,$A23,RawDataTotal!E:E)</f>
        <v>0</v>
      </c>
      <c r="C23">
        <f>SUMIF(RawDataTotal!$B:$B,$A23,RawDataTotal!F:F)</f>
        <v>0</v>
      </c>
      <c r="D23">
        <f>SUMIF(RawDataTotal!$B:$B,$A23,RawDataTotal!G:G)</f>
        <v>0</v>
      </c>
      <c r="E23">
        <f>SUMIF(RawDataTotal!$B:$B,$A23,RawDataTotal!H:H)</f>
        <v>3</v>
      </c>
      <c r="F23">
        <f>SUMIF(RawDataTotal!$B:$B,$A23,RawDataTotal!I:I)</f>
        <v>4</v>
      </c>
      <c r="G23">
        <f>SUMIF(RawDataTotal!$B:$B,$A23,RawDataTotal!J:J)</f>
        <v>4</v>
      </c>
      <c r="H23">
        <f>SUMIF(RawDataTotal!$B:$B,$A23,RawDataTotal!K:K)</f>
        <v>4</v>
      </c>
      <c r="I23">
        <f>SUMIF(RawDataTotal!$B:$B,$A23,RawDataTotal!L:L)</f>
        <v>7</v>
      </c>
      <c r="J23">
        <f>SUMIF(RawDataTotal!$B:$B,$A23,RawDataTotal!M:M)</f>
        <v>8</v>
      </c>
      <c r="K23">
        <f>SUMIF(RawDataTotal!$B:$B,$A23,RawDataTotal!N:N)</f>
        <v>8</v>
      </c>
      <c r="L23">
        <f>SUMIF(RawDataTotal!$B:$B,$A23,RawDataTotal!O:O)</f>
        <v>8</v>
      </c>
      <c r="M23">
        <f>SUMIF(RawDataTotal!$B:$B,$A23,RawDataTotal!P:P)</f>
        <v>8</v>
      </c>
      <c r="N23">
        <f>SUMIF(RawDataTotal!$B:$B,$A23,RawDataTotal!Q:Q)</f>
        <v>8</v>
      </c>
      <c r="O23">
        <f>SUMIF(RawDataTotal!$B:$B,$A23,RawDataTotal!R:R)</f>
        <v>10</v>
      </c>
      <c r="P23">
        <f>SUMIF(RawDataTotal!$B:$B,$A23,RawDataTotal!S:S)</f>
        <v>12</v>
      </c>
      <c r="Q23">
        <f>SUMIF(RawDataTotal!$B:$B,$A23,RawDataTotal!T:T)</f>
        <v>12</v>
      </c>
      <c r="R23">
        <f>SUMIF(RawDataTotal!$B:$B,$A23,RawDataTotal!U:U)</f>
        <v>12</v>
      </c>
      <c r="S23">
        <f>SUMIF(RawDataTotal!$B:$B,$A23,RawDataTotal!V:V)</f>
        <v>16</v>
      </c>
      <c r="T23">
        <f>SUMIF(RawDataTotal!$B:$B,$A23,RawDataTotal!W:W)</f>
        <v>16</v>
      </c>
      <c r="U23">
        <f>SUMIF(RawDataTotal!$B:$B,$A23,RawDataTotal!X:X)</f>
        <v>18</v>
      </c>
      <c r="V23">
        <f>SUMIF(RawDataTotal!$B:$B,$A23,RawDataTotal!Y:Y)</f>
        <v>18</v>
      </c>
      <c r="W23">
        <f>SUMIF(RawDataTotal!$B:$B,$A23,RawDataTotal!Z:Z)</f>
        <v>18</v>
      </c>
      <c r="X23">
        <f>SUMIF(RawDataTotal!$B:$B,$A23,RawDataTotal!AA:AA)</f>
        <v>19</v>
      </c>
      <c r="Y23">
        <f>SUMIF(RawDataTotal!$B:$B,$A23,RawDataTotal!AB:AB)</f>
        <v>19</v>
      </c>
      <c r="Z23">
        <f>SUMIF(RawDataTotal!$B:$B,$A23,RawDataTotal!AC:AC)</f>
        <v>22</v>
      </c>
      <c r="AA23">
        <f>SUMIF(RawDataTotal!$B:$B,$A23,RawDataTotal!AD:AD)</f>
        <v>22</v>
      </c>
      <c r="AB23">
        <f>SUMIF(RawDataTotal!$B:$B,$A23,RawDataTotal!AE:AE)</f>
        <v>22</v>
      </c>
      <c r="AC23">
        <f>SUMIF(RawDataTotal!$B:$B,$A23,RawDataTotal!AF:AF)</f>
        <v>22</v>
      </c>
      <c r="AD23">
        <f>SUMIF(RawDataTotal!$B:$B,$A23,RawDataTotal!AG:AG)</f>
        <v>22</v>
      </c>
      <c r="AE23">
        <f>SUMIF(RawDataTotal!$B:$B,$A23,RawDataTotal!AH:AH)</f>
        <v>22</v>
      </c>
      <c r="AF23">
        <f>SUMIF(RawDataTotal!$B:$B,$A23,RawDataTotal!AI:AI)</f>
        <v>22</v>
      </c>
      <c r="AG23">
        <f>SUMIF(RawDataTotal!$B:$B,$A23,RawDataTotal!AJ:AJ)</f>
        <v>22</v>
      </c>
      <c r="AH23">
        <f>SUMIF(RawDataTotal!$B:$B,$A23,RawDataTotal!AK:AK)</f>
        <v>22</v>
      </c>
      <c r="AI23">
        <f>SUMIF(RawDataTotal!$B:$B,$A23,RawDataTotal!AL:AL)</f>
        <v>22</v>
      </c>
      <c r="AJ23">
        <f>SUMIF(RawDataTotal!$B:$B,$A23,RawDataTotal!AM:AM)</f>
        <v>22</v>
      </c>
      <c r="AK23">
        <f>SUMIF(RawDataTotal!$B:$B,$A23,RawDataTotal!AN:AN)</f>
        <v>22</v>
      </c>
      <c r="AL23">
        <f>SUMIF(RawDataTotal!$B:$B,$A23,RawDataTotal!AO:AO)</f>
        <v>23</v>
      </c>
      <c r="AM23">
        <f>SUMIF(RawDataTotal!$B:$B,$A23,RawDataTotal!AP:AP)</f>
        <v>23</v>
      </c>
      <c r="AN23">
        <f>SUMIF(RawDataTotal!$B:$B,$A23,RawDataTotal!AQ:AQ)</f>
        <v>25</v>
      </c>
      <c r="AO23">
        <f>SUMIF(RawDataTotal!$B:$B,$A23,RawDataTotal!AR:AR)</f>
        <v>29</v>
      </c>
      <c r="AP23">
        <f>SUMIF(RawDataTotal!$B:$B,$A23,RawDataTotal!AS:AS)</f>
        <v>29</v>
      </c>
      <c r="AQ23">
        <f>SUMIF(RawDataTotal!$B:$B,$A23,RawDataTotal!AT:AT)</f>
        <v>36</v>
      </c>
      <c r="AR23">
        <f>SUMIF(RawDataTotal!$B:$B,$A23,RawDataTotal!AU:AU)</f>
        <v>50</v>
      </c>
      <c r="AS23">
        <f>SUMIF(RawDataTotal!$B:$B,$A23,RawDataTotal!AV:AV)</f>
        <v>50</v>
      </c>
      <c r="AT23">
        <f>SUMIF(RawDataTotal!$B:$B,$A23,RawDataTotal!AW:AW)</f>
        <v>83</v>
      </c>
      <c r="AU23">
        <f>SUMIF(RawDataTotal!$B:$B,$A23,RawDataTotal!AX:AX)</f>
        <v>93</v>
      </c>
      <c r="AV23">
        <f>SUMIF(RawDataTotal!$B:$B,$A23,RawDataTotal!AY:AY)</f>
        <v>99</v>
      </c>
      <c r="AW23">
        <f>SUMIF(RawDataTotal!$B:$B,$A23,RawDataTotal!AZ:AZ)</f>
        <v>117</v>
      </c>
      <c r="AX23">
        <f>SUMIF(RawDataTotal!$B:$B,$A23,RawDataTotal!BA:BA)</f>
        <v>129</v>
      </c>
      <c r="AY23">
        <f>SUMIF(RawDataTotal!$B:$B,$A23,RawDataTotal!BB:BB)</f>
        <v>149</v>
      </c>
      <c r="AZ23">
        <f>SUMIF(RawDataTotal!$B:$B,$A23,RawDataTotal!BC:BC)</f>
        <v>149</v>
      </c>
      <c r="BA23">
        <f>SUMIF(RawDataTotal!$B:$B,$A23,RawDataTotal!BD:BD)</f>
        <v>197</v>
      </c>
      <c r="BB23">
        <f>SUMIF(RawDataTotal!$B:$B,$A23,RawDataTotal!BE:BE)</f>
        <v>238</v>
      </c>
      <c r="BC23">
        <f>SUMIF(RawDataTotal!$B:$B,$A23,RawDataTotal!BF:BF)</f>
        <v>428</v>
      </c>
      <c r="BD23">
        <f>SUMIF(RawDataTotal!$B:$B,$A23,RawDataTotal!BG:BG)</f>
        <v>566</v>
      </c>
      <c r="BE23">
        <f>SUMIF(RawDataTotal!$B:$B,$A23,RawDataTotal!BH:BH)</f>
        <v>673</v>
      </c>
      <c r="BF23">
        <f>SUMIF(RawDataTotal!$B:$B,$A23,RawDataTotal!BI:BI)</f>
        <v>0</v>
      </c>
      <c r="BG23">
        <f>SUMIF(RawDataTotal!$B:$B,$A23,RawDataTotal!BJ:BJ)</f>
        <v>0</v>
      </c>
      <c r="BH23">
        <f>SUMIF(RawDataTotal!$B:$B,$A23,RawDataTotal!BK:BK)</f>
        <v>0</v>
      </c>
      <c r="BI23">
        <f>SUMIF(RawDataTotal!$B:$B,$A23,RawDataTotal!BL:BL)</f>
        <v>0</v>
      </c>
      <c r="BJ23">
        <f>SUMIF(RawDataTotal!$B:$B,$A23,RawDataTotal!BM:BM)</f>
        <v>0</v>
      </c>
      <c r="BK23">
        <f>SUMIF(RawDataTotal!$B:$B,$A23,RawDataTotal!BN:BN)</f>
        <v>0</v>
      </c>
      <c r="BL23">
        <f>SUMIF(RawDataTotal!$B:$B,$A23,RawDataTotal!BO:BO)</f>
        <v>0</v>
      </c>
      <c r="BM23">
        <f>SUMIF(RawDataTotal!$B:$B,$A23,RawDataTotal!BP:BP)</f>
        <v>0</v>
      </c>
      <c r="BN23">
        <f>SUMIF(RawDataTotal!$B:$B,$A23,RawDataTotal!BQ:BQ)</f>
        <v>0</v>
      </c>
      <c r="BO23">
        <f>SUMIF(RawDataTotal!$B:$B,$A23,RawDataTotal!BR:BR)</f>
        <v>0</v>
      </c>
      <c r="BP23">
        <f>SUMIF(RawDataTotal!$B:$B,$A23,RawDataTotal!BS:BS)</f>
        <v>0</v>
      </c>
      <c r="BQ23">
        <f>SUMIF(RawDataTotal!$B:$B,$A23,RawDataTotal!BT:BT)</f>
        <v>0</v>
      </c>
      <c r="BR23">
        <f>SUMIF(RawDataTotal!$B:$B,$A23,RawDataTotal!BU:BU)</f>
        <v>0</v>
      </c>
      <c r="BS23">
        <f>SUMIF(RawDataTotal!$B:$B,$A23,RawDataTotal!BV:BV)</f>
        <v>0</v>
      </c>
      <c r="BT23">
        <f>SUMIF(RawDataTotal!$B:$B,$A23,RawDataTotal!BW:BW)</f>
        <v>0</v>
      </c>
    </row>
    <row r="24" spans="1:72" ht="15" thickBot="1" x14ac:dyDescent="0.35">
      <c r="A24" s="4" t="s">
        <v>72</v>
      </c>
      <c r="B24">
        <f>SUMIF(RawDataTotal!$B:$B,$A24,RawDataTotal!E:E)</f>
        <v>0</v>
      </c>
      <c r="C24">
        <f>SUMIF(RawDataTotal!$B:$B,$A24,RawDataTotal!F:F)</f>
        <v>0</v>
      </c>
      <c r="D24">
        <f>SUMIF(RawDataTotal!$B:$B,$A24,RawDataTotal!G:G)</f>
        <v>0</v>
      </c>
      <c r="E24">
        <f>SUMIF(RawDataTotal!$B:$B,$A24,RawDataTotal!H:H)</f>
        <v>0</v>
      </c>
      <c r="F24">
        <f>SUMIF(RawDataTotal!$B:$B,$A24,RawDataTotal!I:I)</f>
        <v>1</v>
      </c>
      <c r="G24">
        <f>SUMIF(RawDataTotal!$B:$B,$A24,RawDataTotal!J:J)</f>
        <v>1</v>
      </c>
      <c r="H24">
        <f>SUMIF(RawDataTotal!$B:$B,$A24,RawDataTotal!K:K)</f>
        <v>2</v>
      </c>
      <c r="I24">
        <f>SUMIF(RawDataTotal!$B:$B,$A24,RawDataTotal!L:L)</f>
        <v>2</v>
      </c>
      <c r="J24">
        <f>SUMIF(RawDataTotal!$B:$B,$A24,RawDataTotal!M:M)</f>
        <v>2</v>
      </c>
      <c r="K24">
        <f>SUMIF(RawDataTotal!$B:$B,$A24,RawDataTotal!N:N)</f>
        <v>4</v>
      </c>
      <c r="L24">
        <f>SUMIF(RawDataTotal!$B:$B,$A24,RawDataTotal!O:O)</f>
        <v>4</v>
      </c>
      <c r="M24">
        <f>SUMIF(RawDataTotal!$B:$B,$A24,RawDataTotal!P:P)</f>
        <v>4</v>
      </c>
      <c r="N24">
        <f>SUMIF(RawDataTotal!$B:$B,$A24,RawDataTotal!Q:Q)</f>
        <v>4</v>
      </c>
      <c r="O24">
        <f>SUMIF(RawDataTotal!$B:$B,$A24,RawDataTotal!R:R)</f>
        <v>4</v>
      </c>
      <c r="P24">
        <f>SUMIF(RawDataTotal!$B:$B,$A24,RawDataTotal!S:S)</f>
        <v>5</v>
      </c>
      <c r="Q24">
        <f>SUMIF(RawDataTotal!$B:$B,$A24,RawDataTotal!T:T)</f>
        <v>5</v>
      </c>
      <c r="R24">
        <f>SUMIF(RawDataTotal!$B:$B,$A24,RawDataTotal!U:U)</f>
        <v>7</v>
      </c>
      <c r="S24">
        <f>SUMIF(RawDataTotal!$B:$B,$A24,RawDataTotal!V:V)</f>
        <v>7</v>
      </c>
      <c r="T24">
        <f>SUMIF(RawDataTotal!$B:$B,$A24,RawDataTotal!W:W)</f>
        <v>7</v>
      </c>
      <c r="U24">
        <f>SUMIF(RawDataTotal!$B:$B,$A24,RawDataTotal!X:X)</f>
        <v>7</v>
      </c>
      <c r="V24">
        <f>SUMIF(RawDataTotal!$B:$B,$A24,RawDataTotal!Y:Y)</f>
        <v>7</v>
      </c>
      <c r="W24">
        <f>SUMIF(RawDataTotal!$B:$B,$A24,RawDataTotal!Z:Z)</f>
        <v>7</v>
      </c>
      <c r="X24">
        <f>SUMIF(RawDataTotal!$B:$B,$A24,RawDataTotal!AA:AA)</f>
        <v>7</v>
      </c>
      <c r="Y24">
        <f>SUMIF(RawDataTotal!$B:$B,$A24,RawDataTotal!AB:AB)</f>
        <v>7</v>
      </c>
      <c r="Z24">
        <f>SUMIF(RawDataTotal!$B:$B,$A24,RawDataTotal!AC:AC)</f>
        <v>7</v>
      </c>
      <c r="AA24">
        <f>SUMIF(RawDataTotal!$B:$B,$A24,RawDataTotal!AD:AD)</f>
        <v>7</v>
      </c>
      <c r="AB24">
        <f>SUMIF(RawDataTotal!$B:$B,$A24,RawDataTotal!AE:AE)</f>
        <v>8</v>
      </c>
      <c r="AC24">
        <f>SUMIF(RawDataTotal!$B:$B,$A24,RawDataTotal!AF:AF)</f>
        <v>8</v>
      </c>
      <c r="AD24">
        <f>SUMIF(RawDataTotal!$B:$B,$A24,RawDataTotal!AG:AG)</f>
        <v>8</v>
      </c>
      <c r="AE24">
        <f>SUMIF(RawDataTotal!$B:$B,$A24,RawDataTotal!AH:AH)</f>
        <v>8</v>
      </c>
      <c r="AF24">
        <f>SUMIF(RawDataTotal!$B:$B,$A24,RawDataTotal!AI:AI)</f>
        <v>9</v>
      </c>
      <c r="AG24">
        <f>SUMIF(RawDataTotal!$B:$B,$A24,RawDataTotal!AJ:AJ)</f>
        <v>9</v>
      </c>
      <c r="AH24">
        <f>SUMIF(RawDataTotal!$B:$B,$A24,RawDataTotal!AK:AK)</f>
        <v>9</v>
      </c>
      <c r="AI24">
        <f>SUMIF(RawDataTotal!$B:$B,$A24,RawDataTotal!AL:AL)</f>
        <v>10</v>
      </c>
      <c r="AJ24">
        <f>SUMIF(RawDataTotal!$B:$B,$A24,RawDataTotal!AM:AM)</f>
        <v>11</v>
      </c>
      <c r="AK24">
        <f>SUMIF(RawDataTotal!$B:$B,$A24,RawDataTotal!AN:AN)</f>
        <v>11</v>
      </c>
      <c r="AL24">
        <f>SUMIF(RawDataTotal!$B:$B,$A24,RawDataTotal!AO:AO)</f>
        <v>13</v>
      </c>
      <c r="AM24">
        <f>SUMIF(RawDataTotal!$B:$B,$A24,RawDataTotal!AP:AP)</f>
        <v>14</v>
      </c>
      <c r="AN24">
        <f>SUMIF(RawDataTotal!$B:$B,$A24,RawDataTotal!AQ:AQ)</f>
        <v>20</v>
      </c>
      <c r="AO24">
        <f>SUMIF(RawDataTotal!$B:$B,$A24,RawDataTotal!AR:AR)</f>
        <v>24</v>
      </c>
      <c r="AP24">
        <f>SUMIF(RawDataTotal!$B:$B,$A24,RawDataTotal!AS:AS)</f>
        <v>27</v>
      </c>
      <c r="AQ24">
        <f>SUMIF(RawDataTotal!$B:$B,$A24,RawDataTotal!AT:AT)</f>
        <v>30</v>
      </c>
      <c r="AR24">
        <f>SUMIF(RawDataTotal!$B:$B,$A24,RawDataTotal!AU:AU)</f>
        <v>33</v>
      </c>
      <c r="AS24">
        <f>SUMIF(RawDataTotal!$B:$B,$A24,RawDataTotal!AV:AV)</f>
        <v>37</v>
      </c>
      <c r="AT24">
        <f>SUMIF(RawDataTotal!$B:$B,$A24,RawDataTotal!AW:AW)</f>
        <v>49</v>
      </c>
      <c r="AU24">
        <f>SUMIF(RawDataTotal!$B:$B,$A24,RawDataTotal!AX:AX)</f>
        <v>54</v>
      </c>
      <c r="AV24">
        <f>SUMIF(RawDataTotal!$B:$B,$A24,RawDataTotal!AY:AY)</f>
        <v>64</v>
      </c>
      <c r="AW24">
        <f>SUMIF(RawDataTotal!$B:$B,$A24,RawDataTotal!AZ:AZ)</f>
        <v>77</v>
      </c>
      <c r="AX24">
        <f>SUMIF(RawDataTotal!$B:$B,$A24,RawDataTotal!BA:BA)</f>
        <v>79</v>
      </c>
      <c r="AY24">
        <f>SUMIF(RawDataTotal!$B:$B,$A24,RawDataTotal!BB:BB)</f>
        <v>108</v>
      </c>
      <c r="AZ24">
        <f>SUMIF(RawDataTotal!$B:$B,$A24,RawDataTotal!BC:BC)</f>
        <v>117</v>
      </c>
      <c r="BA24">
        <f>SUMIF(RawDataTotal!$B:$B,$A24,RawDataTotal!BD:BD)</f>
        <v>193</v>
      </c>
      <c r="BB24">
        <f>SUMIF(RawDataTotal!$B:$B,$A24,RawDataTotal!BE:BE)</f>
        <v>198</v>
      </c>
      <c r="BC24">
        <f>SUMIF(RawDataTotal!$B:$B,$A24,RawDataTotal!BF:BF)</f>
        <v>252</v>
      </c>
      <c r="BD24">
        <f>SUMIF(RawDataTotal!$B:$B,$A24,RawDataTotal!BG:BG)</f>
        <v>415</v>
      </c>
      <c r="BE24">
        <f>SUMIF(RawDataTotal!$B:$B,$A24,RawDataTotal!BH:BH)</f>
        <v>478</v>
      </c>
      <c r="BF24">
        <f>SUMIF(RawDataTotal!$B:$B,$A24,RawDataTotal!BI:BI)</f>
        <v>0</v>
      </c>
      <c r="BG24">
        <f>SUMIF(RawDataTotal!$B:$B,$A24,RawDataTotal!BJ:BJ)</f>
        <v>0</v>
      </c>
      <c r="BH24">
        <f>SUMIF(RawDataTotal!$B:$B,$A24,RawDataTotal!BK:BK)</f>
        <v>0</v>
      </c>
      <c r="BI24">
        <f>SUMIF(RawDataTotal!$B:$B,$A24,RawDataTotal!BL:BL)</f>
        <v>0</v>
      </c>
      <c r="BJ24">
        <f>SUMIF(RawDataTotal!$B:$B,$A24,RawDataTotal!BM:BM)</f>
        <v>0</v>
      </c>
      <c r="BK24">
        <f>SUMIF(RawDataTotal!$B:$B,$A24,RawDataTotal!BN:BN)</f>
        <v>0</v>
      </c>
      <c r="BL24">
        <f>SUMIF(RawDataTotal!$B:$B,$A24,RawDataTotal!BO:BO)</f>
        <v>0</v>
      </c>
      <c r="BM24">
        <f>SUMIF(RawDataTotal!$B:$B,$A24,RawDataTotal!BP:BP)</f>
        <v>0</v>
      </c>
      <c r="BN24">
        <f>SUMIF(RawDataTotal!$B:$B,$A24,RawDataTotal!BQ:BQ)</f>
        <v>0</v>
      </c>
      <c r="BO24">
        <f>SUMIF(RawDataTotal!$B:$B,$A24,RawDataTotal!BR:BR)</f>
        <v>0</v>
      </c>
      <c r="BP24">
        <f>SUMIF(RawDataTotal!$B:$B,$A24,RawDataTotal!BS:BS)</f>
        <v>0</v>
      </c>
      <c r="BQ24">
        <f>SUMIF(RawDataTotal!$B:$B,$A24,RawDataTotal!BT:BT)</f>
        <v>0</v>
      </c>
      <c r="BR24">
        <f>SUMIF(RawDataTotal!$B:$B,$A24,RawDataTotal!BU:BU)</f>
        <v>0</v>
      </c>
      <c r="BS24">
        <f>SUMIF(RawDataTotal!$B:$B,$A24,RawDataTotal!BV:BV)</f>
        <v>0</v>
      </c>
      <c r="BT24">
        <f>SUMIF(RawDataTotal!$B:$B,$A24,RawDataTotal!BW:BW)</f>
        <v>0</v>
      </c>
    </row>
    <row r="25" spans="1:72" ht="15" thickBot="1" x14ac:dyDescent="0.35">
      <c r="A25" s="4" t="s">
        <v>110</v>
      </c>
      <c r="B25">
        <f>SUMIF(RawDataTotal!$B:$B,$A25,RawDataTotal!E:E)</f>
        <v>0</v>
      </c>
      <c r="C25">
        <f>SUMIF(RawDataTotal!$B:$B,$A25,RawDataTotal!F:F)</f>
        <v>0</v>
      </c>
      <c r="D25">
        <f>SUMIF(RawDataTotal!$B:$B,$A25,RawDataTotal!G:G)</f>
        <v>0</v>
      </c>
      <c r="E25">
        <f>SUMIF(RawDataTotal!$B:$B,$A25,RawDataTotal!H:H)</f>
        <v>0</v>
      </c>
      <c r="F25">
        <f>SUMIF(RawDataTotal!$B:$B,$A25,RawDataTotal!I:I)</f>
        <v>0</v>
      </c>
      <c r="G25">
        <f>SUMIF(RawDataTotal!$B:$B,$A25,RawDataTotal!J:J)</f>
        <v>0</v>
      </c>
      <c r="H25">
        <f>SUMIF(RawDataTotal!$B:$B,$A25,RawDataTotal!K:K)</f>
        <v>0</v>
      </c>
      <c r="I25">
        <f>SUMIF(RawDataTotal!$B:$B,$A25,RawDataTotal!L:L)</f>
        <v>0</v>
      </c>
      <c r="J25">
        <f>SUMIF(RawDataTotal!$B:$B,$A25,RawDataTotal!M:M)</f>
        <v>0</v>
      </c>
      <c r="K25">
        <f>SUMIF(RawDataTotal!$B:$B,$A25,RawDataTotal!N:N)</f>
        <v>0</v>
      </c>
      <c r="L25">
        <f>SUMIF(RawDataTotal!$B:$B,$A25,RawDataTotal!O:O)</f>
        <v>0</v>
      </c>
      <c r="M25">
        <f>SUMIF(RawDataTotal!$B:$B,$A25,RawDataTotal!P:P)</f>
        <v>0</v>
      </c>
      <c r="N25">
        <f>SUMIF(RawDataTotal!$B:$B,$A25,RawDataTotal!Q:Q)</f>
        <v>0</v>
      </c>
      <c r="O25">
        <f>SUMIF(RawDataTotal!$B:$B,$A25,RawDataTotal!R:R)</f>
        <v>0</v>
      </c>
      <c r="P25">
        <f>SUMIF(RawDataTotal!$B:$B,$A25,RawDataTotal!S:S)</f>
        <v>0</v>
      </c>
      <c r="Q25">
        <f>SUMIF(RawDataTotal!$B:$B,$A25,RawDataTotal!T:T)</f>
        <v>0</v>
      </c>
      <c r="R25">
        <f>SUMIF(RawDataTotal!$B:$B,$A25,RawDataTotal!U:U)</f>
        <v>0</v>
      </c>
      <c r="S25">
        <f>SUMIF(RawDataTotal!$B:$B,$A25,RawDataTotal!V:V)</f>
        <v>0</v>
      </c>
      <c r="T25">
        <f>SUMIF(RawDataTotal!$B:$B,$A25,RawDataTotal!W:W)</f>
        <v>0</v>
      </c>
      <c r="U25">
        <f>SUMIF(RawDataTotal!$B:$B,$A25,RawDataTotal!X:X)</f>
        <v>0</v>
      </c>
      <c r="V25">
        <f>SUMIF(RawDataTotal!$B:$B,$A25,RawDataTotal!Y:Y)</f>
        <v>0</v>
      </c>
      <c r="W25">
        <f>SUMIF(RawDataTotal!$B:$B,$A25,RawDataTotal!Z:Z)</f>
        <v>0</v>
      </c>
      <c r="X25">
        <f>SUMIF(RawDataTotal!$B:$B,$A25,RawDataTotal!AA:AA)</f>
        <v>0</v>
      </c>
      <c r="Y25">
        <f>SUMIF(RawDataTotal!$B:$B,$A25,RawDataTotal!AB:AB)</f>
        <v>0</v>
      </c>
      <c r="Z25">
        <f>SUMIF(RawDataTotal!$B:$B,$A25,RawDataTotal!AC:AC)</f>
        <v>0</v>
      </c>
      <c r="AA25">
        <f>SUMIF(RawDataTotal!$B:$B,$A25,RawDataTotal!AD:AD)</f>
        <v>0</v>
      </c>
      <c r="AB25">
        <f>SUMIF(RawDataTotal!$B:$B,$A25,RawDataTotal!AE:AE)</f>
        <v>0</v>
      </c>
      <c r="AC25">
        <f>SUMIF(RawDataTotal!$B:$B,$A25,RawDataTotal!AF:AF)</f>
        <v>0</v>
      </c>
      <c r="AD25">
        <f>SUMIF(RawDataTotal!$B:$B,$A25,RawDataTotal!AG:AG)</f>
        <v>0</v>
      </c>
      <c r="AE25">
        <f>SUMIF(RawDataTotal!$B:$B,$A25,RawDataTotal!AH:AH)</f>
        <v>0</v>
      </c>
      <c r="AF25">
        <f>SUMIF(RawDataTotal!$B:$B,$A25,RawDataTotal!AI:AI)</f>
        <v>0</v>
      </c>
      <c r="AG25">
        <f>SUMIF(RawDataTotal!$B:$B,$A25,RawDataTotal!AJ:AJ)</f>
        <v>0</v>
      </c>
      <c r="AH25">
        <f>SUMIF(RawDataTotal!$B:$B,$A25,RawDataTotal!AK:AK)</f>
        <v>0</v>
      </c>
      <c r="AI25">
        <f>SUMIF(RawDataTotal!$B:$B,$A25,RawDataTotal!AL:AL)</f>
        <v>0</v>
      </c>
      <c r="AJ25">
        <f>SUMIF(RawDataTotal!$B:$B,$A25,RawDataTotal!AM:AM)</f>
        <v>0</v>
      </c>
      <c r="AK25">
        <f>SUMIF(RawDataTotal!$B:$B,$A25,RawDataTotal!AN:AN)</f>
        <v>1</v>
      </c>
      <c r="AL25">
        <f>SUMIF(RawDataTotal!$B:$B,$A25,RawDataTotal!AO:AO)</f>
        <v>3</v>
      </c>
      <c r="AM25">
        <f>SUMIF(RawDataTotal!$B:$B,$A25,RawDataTotal!AP:AP)</f>
        <v>4</v>
      </c>
      <c r="AN25">
        <f>SUMIF(RawDataTotal!$B:$B,$A25,RawDataTotal!AQ:AQ)</f>
        <v>4</v>
      </c>
      <c r="AO25">
        <f>SUMIF(RawDataTotal!$B:$B,$A25,RawDataTotal!AR:AR)</f>
        <v>7</v>
      </c>
      <c r="AP25">
        <f>SUMIF(RawDataTotal!$B:$B,$A25,RawDataTotal!AS:AS)</f>
        <v>7</v>
      </c>
      <c r="AQ25">
        <f>SUMIF(RawDataTotal!$B:$B,$A25,RawDataTotal!AT:AT)</f>
        <v>7</v>
      </c>
      <c r="AR25">
        <f>SUMIF(RawDataTotal!$B:$B,$A25,RawDataTotal!AU:AU)</f>
        <v>9</v>
      </c>
      <c r="AS25">
        <f>SUMIF(RawDataTotal!$B:$B,$A25,RawDataTotal!AV:AV)</f>
        <v>31</v>
      </c>
      <c r="AT25">
        <f>SUMIF(RawDataTotal!$B:$B,$A25,RawDataTotal!AW:AW)</f>
        <v>45</v>
      </c>
      <c r="AU25">
        <f>SUMIF(RawDataTotal!$B:$B,$A25,RawDataTotal!AX:AX)</f>
        <v>46</v>
      </c>
      <c r="AV25">
        <f>SUMIF(RawDataTotal!$B:$B,$A25,RawDataTotal!AY:AY)</f>
        <v>73</v>
      </c>
      <c r="AW25">
        <f>SUMIF(RawDataTotal!$B:$B,$A25,RawDataTotal!AZ:AZ)</f>
        <v>73</v>
      </c>
      <c r="AX25">
        <f>SUMIF(RawDataTotal!$B:$B,$A25,RawDataTotal!BA:BA)</f>
        <v>89</v>
      </c>
      <c r="AY25">
        <f>SUMIF(RawDataTotal!$B:$B,$A25,RawDataTotal!BB:BB)</f>
        <v>99</v>
      </c>
      <c r="AZ25">
        <f>SUMIF(RawDataTotal!$B:$B,$A25,RawDataTotal!BC:BC)</f>
        <v>99</v>
      </c>
      <c r="BA25">
        <f>SUMIF(RawDataTotal!$B:$B,$A25,RawDataTotal!BD:BD)</f>
        <v>190</v>
      </c>
      <c r="BB25">
        <f>SUMIF(RawDataTotal!$B:$B,$A25,RawDataTotal!BE:BE)</f>
        <v>228</v>
      </c>
      <c r="BC25">
        <f>SUMIF(RawDataTotal!$B:$B,$A25,RawDataTotal!BF:BF)</f>
        <v>331</v>
      </c>
      <c r="BD25">
        <f>SUMIF(RawDataTotal!$B:$B,$A25,RawDataTotal!BG:BG)</f>
        <v>331</v>
      </c>
      <c r="BE25">
        <f>SUMIF(RawDataTotal!$B:$B,$A25,RawDataTotal!BH:BH)</f>
        <v>387</v>
      </c>
      <c r="BF25">
        <f>SUMIF(RawDataTotal!$B:$B,$A25,RawDataTotal!BI:BI)</f>
        <v>0</v>
      </c>
      <c r="BG25">
        <f>SUMIF(RawDataTotal!$B:$B,$A25,RawDataTotal!BJ:BJ)</f>
        <v>0</v>
      </c>
      <c r="BH25">
        <f>SUMIF(RawDataTotal!$B:$B,$A25,RawDataTotal!BK:BK)</f>
        <v>0</v>
      </c>
      <c r="BI25">
        <f>SUMIF(RawDataTotal!$B:$B,$A25,RawDataTotal!BL:BL)</f>
        <v>0</v>
      </c>
      <c r="BJ25">
        <f>SUMIF(RawDataTotal!$B:$B,$A25,RawDataTotal!BM:BM)</f>
        <v>0</v>
      </c>
      <c r="BK25">
        <f>SUMIF(RawDataTotal!$B:$B,$A25,RawDataTotal!BN:BN)</f>
        <v>0</v>
      </c>
      <c r="BL25">
        <f>SUMIF(RawDataTotal!$B:$B,$A25,RawDataTotal!BO:BO)</f>
        <v>0</v>
      </c>
      <c r="BM25">
        <f>SUMIF(RawDataTotal!$B:$B,$A25,RawDataTotal!BP:BP)</f>
        <v>0</v>
      </c>
      <c r="BN25">
        <f>SUMIF(RawDataTotal!$B:$B,$A25,RawDataTotal!BQ:BQ)</f>
        <v>0</v>
      </c>
      <c r="BO25">
        <f>SUMIF(RawDataTotal!$B:$B,$A25,RawDataTotal!BR:BR)</f>
        <v>0</v>
      </c>
      <c r="BP25">
        <f>SUMIF(RawDataTotal!$B:$B,$A25,RawDataTotal!BS:BS)</f>
        <v>0</v>
      </c>
      <c r="BQ25">
        <f>SUMIF(RawDataTotal!$B:$B,$A25,RawDataTotal!BT:BT)</f>
        <v>0</v>
      </c>
      <c r="BR25">
        <f>SUMIF(RawDataTotal!$B:$B,$A25,RawDataTotal!BU:BU)</f>
        <v>0</v>
      </c>
      <c r="BS25">
        <f>SUMIF(RawDataTotal!$B:$B,$A25,RawDataTotal!BV:BV)</f>
        <v>0</v>
      </c>
      <c r="BT25">
        <f>SUMIF(RawDataTotal!$B:$B,$A25,RawDataTotal!BW:BW)</f>
        <v>0</v>
      </c>
    </row>
    <row r="26" spans="1:72" ht="15" thickBot="1" x14ac:dyDescent="0.35">
      <c r="A26" s="4" t="s">
        <v>100</v>
      </c>
      <c r="B26">
        <f>SUMIF(RawDataTotal!$B:$B,$A26,RawDataTotal!E:E)</f>
        <v>0</v>
      </c>
      <c r="C26">
        <f>SUMIF(RawDataTotal!$B:$B,$A26,RawDataTotal!F:F)</f>
        <v>0</v>
      </c>
      <c r="D26">
        <f>SUMIF(RawDataTotal!$B:$B,$A26,RawDataTotal!G:G)</f>
        <v>0</v>
      </c>
      <c r="E26">
        <f>SUMIF(RawDataTotal!$B:$B,$A26,RawDataTotal!H:H)</f>
        <v>0</v>
      </c>
      <c r="F26">
        <f>SUMIF(RawDataTotal!$B:$B,$A26,RawDataTotal!I:I)</f>
        <v>0</v>
      </c>
      <c r="G26">
        <f>SUMIF(RawDataTotal!$B:$B,$A26,RawDataTotal!J:J)</f>
        <v>0</v>
      </c>
      <c r="H26">
        <f>SUMIF(RawDataTotal!$B:$B,$A26,RawDataTotal!K:K)</f>
        <v>0</v>
      </c>
      <c r="I26">
        <f>SUMIF(RawDataTotal!$B:$B,$A26,RawDataTotal!L:L)</f>
        <v>0</v>
      </c>
      <c r="J26">
        <f>SUMIF(RawDataTotal!$B:$B,$A26,RawDataTotal!M:M)</f>
        <v>0</v>
      </c>
      <c r="K26">
        <f>SUMIF(RawDataTotal!$B:$B,$A26,RawDataTotal!N:N)</f>
        <v>0</v>
      </c>
      <c r="L26">
        <f>SUMIF(RawDataTotal!$B:$B,$A26,RawDataTotal!O:O)</f>
        <v>0</v>
      </c>
      <c r="M26">
        <f>SUMIF(RawDataTotal!$B:$B,$A26,RawDataTotal!P:P)</f>
        <v>0</v>
      </c>
      <c r="N26">
        <f>SUMIF(RawDataTotal!$B:$B,$A26,RawDataTotal!Q:Q)</f>
        <v>0</v>
      </c>
      <c r="O26">
        <f>SUMIF(RawDataTotal!$B:$B,$A26,RawDataTotal!R:R)</f>
        <v>0</v>
      </c>
      <c r="P26">
        <f>SUMIF(RawDataTotal!$B:$B,$A26,RawDataTotal!S:S)</f>
        <v>0</v>
      </c>
      <c r="Q26">
        <f>SUMIF(RawDataTotal!$B:$B,$A26,RawDataTotal!T:T)</f>
        <v>0</v>
      </c>
      <c r="R26">
        <f>SUMIF(RawDataTotal!$B:$B,$A26,RawDataTotal!U:U)</f>
        <v>0</v>
      </c>
      <c r="S26">
        <f>SUMIF(RawDataTotal!$B:$B,$A26,RawDataTotal!V:V)</f>
        <v>0</v>
      </c>
      <c r="T26">
        <f>SUMIF(RawDataTotal!$B:$B,$A26,RawDataTotal!W:W)</f>
        <v>0</v>
      </c>
      <c r="U26">
        <f>SUMIF(RawDataTotal!$B:$B,$A26,RawDataTotal!X:X)</f>
        <v>0</v>
      </c>
      <c r="V26">
        <f>SUMIF(RawDataTotal!$B:$B,$A26,RawDataTotal!Y:Y)</f>
        <v>0</v>
      </c>
      <c r="W26">
        <f>SUMIF(RawDataTotal!$B:$B,$A26,RawDataTotal!Z:Z)</f>
        <v>0</v>
      </c>
      <c r="X26">
        <f>SUMIF(RawDataTotal!$B:$B,$A26,RawDataTotal!AA:AA)</f>
        <v>0</v>
      </c>
      <c r="Y26">
        <f>SUMIF(RawDataTotal!$B:$B,$A26,RawDataTotal!AB:AB)</f>
        <v>0</v>
      </c>
      <c r="Z26">
        <f>SUMIF(RawDataTotal!$B:$B,$A26,RawDataTotal!AC:AC)</f>
        <v>0</v>
      </c>
      <c r="AA26">
        <f>SUMIF(RawDataTotal!$B:$B,$A26,RawDataTotal!AD:AD)</f>
        <v>0</v>
      </c>
      <c r="AB26">
        <f>SUMIF(RawDataTotal!$B:$B,$A26,RawDataTotal!AE:AE)</f>
        <v>0</v>
      </c>
      <c r="AC26">
        <f>SUMIF(RawDataTotal!$B:$B,$A26,RawDataTotal!AF:AF)</f>
        <v>0</v>
      </c>
      <c r="AD26">
        <f>SUMIF(RawDataTotal!$B:$B,$A26,RawDataTotal!AG:AG)</f>
        <v>0</v>
      </c>
      <c r="AE26">
        <f>SUMIF(RawDataTotal!$B:$B,$A26,RawDataTotal!AH:AH)</f>
        <v>0</v>
      </c>
      <c r="AF26">
        <f>SUMIF(RawDataTotal!$B:$B,$A26,RawDataTotal!AI:AI)</f>
        <v>0</v>
      </c>
      <c r="AG26">
        <f>SUMIF(RawDataTotal!$B:$B,$A26,RawDataTotal!AJ:AJ)</f>
        <v>0</v>
      </c>
      <c r="AH26">
        <f>SUMIF(RawDataTotal!$B:$B,$A26,RawDataTotal!AK:AK)</f>
        <v>0</v>
      </c>
      <c r="AI26">
        <f>SUMIF(RawDataTotal!$B:$B,$A26,RawDataTotal!AL:AL)</f>
        <v>1</v>
      </c>
      <c r="AJ26">
        <f>SUMIF(RawDataTotal!$B:$B,$A26,RawDataTotal!AM:AM)</f>
        <v>23</v>
      </c>
      <c r="AK26">
        <f>SUMIF(RawDataTotal!$B:$B,$A26,RawDataTotal!AN:AN)</f>
        <v>33</v>
      </c>
      <c r="AL26">
        <f>SUMIF(RawDataTotal!$B:$B,$A26,RawDataTotal!AO:AO)</f>
        <v>33</v>
      </c>
      <c r="AM26">
        <f>SUMIF(RawDataTotal!$B:$B,$A26,RawDataTotal!AP:AP)</f>
        <v>36</v>
      </c>
      <c r="AN26">
        <f>SUMIF(RawDataTotal!$B:$B,$A26,RawDataTotal!AQ:AQ)</f>
        <v>41</v>
      </c>
      <c r="AO26">
        <f>SUMIF(RawDataTotal!$B:$B,$A26,RawDataTotal!AR:AR)</f>
        <v>47</v>
      </c>
      <c r="AP26">
        <f>SUMIF(RawDataTotal!$B:$B,$A26,RawDataTotal!AS:AS)</f>
        <v>49</v>
      </c>
      <c r="AQ26">
        <f>SUMIF(RawDataTotal!$B:$B,$A26,RawDataTotal!AT:AT)</f>
        <v>49</v>
      </c>
      <c r="AR26">
        <f>SUMIF(RawDataTotal!$B:$B,$A26,RawDataTotal!AU:AU)</f>
        <v>52</v>
      </c>
      <c r="AS26">
        <f>SUMIF(RawDataTotal!$B:$B,$A26,RawDataTotal!AV:AV)</f>
        <v>55</v>
      </c>
      <c r="AT26">
        <f>SUMIF(RawDataTotal!$B:$B,$A26,RawDataTotal!AW:AW)</f>
        <v>60</v>
      </c>
      <c r="AU26">
        <f>SUMIF(RawDataTotal!$B:$B,$A26,RawDataTotal!AX:AX)</f>
        <v>85</v>
      </c>
      <c r="AV26">
        <f>SUMIF(RawDataTotal!$B:$B,$A26,RawDataTotal!AY:AY)</f>
        <v>85</v>
      </c>
      <c r="AW26">
        <f>SUMIF(RawDataTotal!$B:$B,$A26,RawDataTotal!AZ:AZ)</f>
        <v>95</v>
      </c>
      <c r="AX26">
        <f>SUMIF(RawDataTotal!$B:$B,$A26,RawDataTotal!BA:BA)</f>
        <v>110</v>
      </c>
      <c r="AY26">
        <f>SUMIF(RawDataTotal!$B:$B,$A26,RawDataTotal!BB:BB)</f>
        <v>195</v>
      </c>
      <c r="AZ26">
        <f>SUMIF(RawDataTotal!$B:$B,$A26,RawDataTotal!BC:BC)</f>
        <v>195</v>
      </c>
      <c r="BA26">
        <f>SUMIF(RawDataTotal!$B:$B,$A26,RawDataTotal!BD:BD)</f>
        <v>189</v>
      </c>
      <c r="BB26">
        <f>SUMIF(RawDataTotal!$B:$B,$A26,RawDataTotal!BE:BE)</f>
        <v>210</v>
      </c>
      <c r="BC26">
        <f>SUMIF(RawDataTotal!$B:$B,$A26,RawDataTotal!BF:BF)</f>
        <v>214</v>
      </c>
      <c r="BD26">
        <f>SUMIF(RawDataTotal!$B:$B,$A26,RawDataTotal!BG:BG)</f>
        <v>214</v>
      </c>
      <c r="BE26">
        <f>SUMIF(RawDataTotal!$B:$B,$A26,RawDataTotal!BH:BH)</f>
        <v>228</v>
      </c>
      <c r="BF26">
        <f>SUMIF(RawDataTotal!$B:$B,$A26,RawDataTotal!BI:BI)</f>
        <v>0</v>
      </c>
      <c r="BG26">
        <f>SUMIF(RawDataTotal!$B:$B,$A26,RawDataTotal!BJ:BJ)</f>
        <v>0</v>
      </c>
      <c r="BH26">
        <f>SUMIF(RawDataTotal!$B:$B,$A26,RawDataTotal!BK:BK)</f>
        <v>0</v>
      </c>
      <c r="BI26">
        <f>SUMIF(RawDataTotal!$B:$B,$A26,RawDataTotal!BL:BL)</f>
        <v>0</v>
      </c>
      <c r="BJ26">
        <f>SUMIF(RawDataTotal!$B:$B,$A26,RawDataTotal!BM:BM)</f>
        <v>0</v>
      </c>
      <c r="BK26">
        <f>SUMIF(RawDataTotal!$B:$B,$A26,RawDataTotal!BN:BN)</f>
        <v>0</v>
      </c>
      <c r="BL26">
        <f>SUMIF(RawDataTotal!$B:$B,$A26,RawDataTotal!BO:BO)</f>
        <v>0</v>
      </c>
      <c r="BM26">
        <f>SUMIF(RawDataTotal!$B:$B,$A26,RawDataTotal!BP:BP)</f>
        <v>0</v>
      </c>
      <c r="BN26">
        <f>SUMIF(RawDataTotal!$B:$B,$A26,RawDataTotal!BQ:BQ)</f>
        <v>0</v>
      </c>
      <c r="BO26">
        <f>SUMIF(RawDataTotal!$B:$B,$A26,RawDataTotal!BR:BR)</f>
        <v>0</v>
      </c>
      <c r="BP26">
        <f>SUMIF(RawDataTotal!$B:$B,$A26,RawDataTotal!BS:BS)</f>
        <v>0</v>
      </c>
      <c r="BQ26">
        <f>SUMIF(RawDataTotal!$B:$B,$A26,RawDataTotal!BT:BT)</f>
        <v>0</v>
      </c>
      <c r="BR26">
        <f>SUMIF(RawDataTotal!$B:$B,$A26,RawDataTotal!BU:BU)</f>
        <v>0</v>
      </c>
      <c r="BS26">
        <f>SUMIF(RawDataTotal!$B:$B,$A26,RawDataTotal!BV:BV)</f>
        <v>0</v>
      </c>
      <c r="BT26">
        <f>SUMIF(RawDataTotal!$B:$B,$A26,RawDataTotal!BW:BW)</f>
        <v>0</v>
      </c>
    </row>
    <row r="27" spans="1:72" ht="15" thickBot="1" x14ac:dyDescent="0.35">
      <c r="A27" s="4" t="s">
        <v>106</v>
      </c>
      <c r="B27">
        <f>SUMIF(RawDataTotal!$B:$B,$A27,RawDataTotal!E:E)</f>
        <v>0</v>
      </c>
      <c r="C27">
        <f>SUMIF(RawDataTotal!$B:$B,$A27,RawDataTotal!F:F)</f>
        <v>0</v>
      </c>
      <c r="D27">
        <f>SUMIF(RawDataTotal!$B:$B,$A27,RawDataTotal!G:G)</f>
        <v>0</v>
      </c>
      <c r="E27">
        <f>SUMIF(RawDataTotal!$B:$B,$A27,RawDataTotal!H:H)</f>
        <v>0</v>
      </c>
      <c r="F27">
        <f>SUMIF(RawDataTotal!$B:$B,$A27,RawDataTotal!I:I)</f>
        <v>0</v>
      </c>
      <c r="G27">
        <f>SUMIF(RawDataTotal!$B:$B,$A27,RawDataTotal!J:J)</f>
        <v>0</v>
      </c>
      <c r="H27">
        <f>SUMIF(RawDataTotal!$B:$B,$A27,RawDataTotal!K:K)</f>
        <v>0</v>
      </c>
      <c r="I27">
        <f>SUMIF(RawDataTotal!$B:$B,$A27,RawDataTotal!L:L)</f>
        <v>0</v>
      </c>
      <c r="J27">
        <f>SUMIF(RawDataTotal!$B:$B,$A27,RawDataTotal!M:M)</f>
        <v>0</v>
      </c>
      <c r="K27">
        <f>SUMIF(RawDataTotal!$B:$B,$A27,RawDataTotal!N:N)</f>
        <v>0</v>
      </c>
      <c r="L27">
        <f>SUMIF(RawDataTotal!$B:$B,$A27,RawDataTotal!O:O)</f>
        <v>0</v>
      </c>
      <c r="M27">
        <f>SUMIF(RawDataTotal!$B:$B,$A27,RawDataTotal!P:P)</f>
        <v>0</v>
      </c>
      <c r="N27">
        <f>SUMIF(RawDataTotal!$B:$B,$A27,RawDataTotal!Q:Q)</f>
        <v>0</v>
      </c>
      <c r="O27">
        <f>SUMIF(RawDataTotal!$B:$B,$A27,RawDataTotal!R:R)</f>
        <v>0</v>
      </c>
      <c r="P27">
        <f>SUMIF(RawDataTotal!$B:$B,$A27,RawDataTotal!S:S)</f>
        <v>0</v>
      </c>
      <c r="Q27">
        <f>SUMIF(RawDataTotal!$B:$B,$A27,RawDataTotal!T:T)</f>
        <v>0</v>
      </c>
      <c r="R27">
        <f>SUMIF(RawDataTotal!$B:$B,$A27,RawDataTotal!U:U)</f>
        <v>0</v>
      </c>
      <c r="S27">
        <f>SUMIF(RawDataTotal!$B:$B,$A27,RawDataTotal!V:V)</f>
        <v>0</v>
      </c>
      <c r="T27">
        <f>SUMIF(RawDataTotal!$B:$B,$A27,RawDataTotal!W:W)</f>
        <v>0</v>
      </c>
      <c r="U27">
        <f>SUMIF(RawDataTotal!$B:$B,$A27,RawDataTotal!X:X)</f>
        <v>0</v>
      </c>
      <c r="V27">
        <f>SUMIF(RawDataTotal!$B:$B,$A27,RawDataTotal!Y:Y)</f>
        <v>0</v>
      </c>
      <c r="W27">
        <f>SUMIF(RawDataTotal!$B:$B,$A27,RawDataTotal!Z:Z)</f>
        <v>0</v>
      </c>
      <c r="X27">
        <f>SUMIF(RawDataTotal!$B:$B,$A27,RawDataTotal!AA:AA)</f>
        <v>0</v>
      </c>
      <c r="Y27">
        <f>SUMIF(RawDataTotal!$B:$B,$A27,RawDataTotal!AB:AB)</f>
        <v>0</v>
      </c>
      <c r="Z27">
        <f>SUMIF(RawDataTotal!$B:$B,$A27,RawDataTotal!AC:AC)</f>
        <v>0</v>
      </c>
      <c r="AA27">
        <f>SUMIF(RawDataTotal!$B:$B,$A27,RawDataTotal!AD:AD)</f>
        <v>0</v>
      </c>
      <c r="AB27">
        <f>SUMIF(RawDataTotal!$B:$B,$A27,RawDataTotal!AE:AE)</f>
        <v>0</v>
      </c>
      <c r="AC27">
        <f>SUMIF(RawDataTotal!$B:$B,$A27,RawDataTotal!AF:AF)</f>
        <v>0</v>
      </c>
      <c r="AD27">
        <f>SUMIF(RawDataTotal!$B:$B,$A27,RawDataTotal!AG:AG)</f>
        <v>0</v>
      </c>
      <c r="AE27">
        <f>SUMIF(RawDataTotal!$B:$B,$A27,RawDataTotal!AH:AH)</f>
        <v>0</v>
      </c>
      <c r="AF27">
        <f>SUMIF(RawDataTotal!$B:$B,$A27,RawDataTotal!AI:AI)</f>
        <v>1</v>
      </c>
      <c r="AG27">
        <f>SUMIF(RawDataTotal!$B:$B,$A27,RawDataTotal!AJ:AJ)</f>
        <v>1</v>
      </c>
      <c r="AH27">
        <f>SUMIF(RawDataTotal!$B:$B,$A27,RawDataTotal!AK:AK)</f>
        <v>1</v>
      </c>
      <c r="AI27">
        <f>SUMIF(RawDataTotal!$B:$B,$A27,RawDataTotal!AL:AL)</f>
        <v>1</v>
      </c>
      <c r="AJ27">
        <f>SUMIF(RawDataTotal!$B:$B,$A27,RawDataTotal!AM:AM)</f>
        <v>1</v>
      </c>
      <c r="AK27">
        <f>SUMIF(RawDataTotal!$B:$B,$A27,RawDataTotal!AN:AN)</f>
        <v>2</v>
      </c>
      <c r="AL27">
        <f>SUMIF(RawDataTotal!$B:$B,$A27,RawDataTotal!AO:AO)</f>
        <v>3</v>
      </c>
      <c r="AM27">
        <f>SUMIF(RawDataTotal!$B:$B,$A27,RawDataTotal!AP:AP)</f>
        <v>4</v>
      </c>
      <c r="AN27">
        <f>SUMIF(RawDataTotal!$B:$B,$A27,RawDataTotal!AQ:AQ)</f>
        <v>7</v>
      </c>
      <c r="AO27">
        <f>SUMIF(RawDataTotal!$B:$B,$A27,RawDataTotal!AR:AR)</f>
        <v>10</v>
      </c>
      <c r="AP27">
        <f>SUMIF(RawDataTotal!$B:$B,$A27,RawDataTotal!AS:AS)</f>
        <v>10</v>
      </c>
      <c r="AQ27">
        <f>SUMIF(RawDataTotal!$B:$B,$A27,RawDataTotal!AT:AT)</f>
        <v>12</v>
      </c>
      <c r="AR27">
        <f>SUMIF(RawDataTotal!$B:$B,$A27,RawDataTotal!AU:AU)</f>
        <v>15</v>
      </c>
      <c r="AS27">
        <f>SUMIF(RawDataTotal!$B:$B,$A27,RawDataTotal!AV:AV)</f>
        <v>20</v>
      </c>
      <c r="AT27">
        <f>SUMIF(RawDataTotal!$B:$B,$A27,RawDataTotal!AW:AW)</f>
        <v>37</v>
      </c>
      <c r="AU27">
        <f>SUMIF(RawDataTotal!$B:$B,$A27,RawDataTotal!AX:AX)</f>
        <v>43</v>
      </c>
      <c r="AV27">
        <f>SUMIF(RawDataTotal!$B:$B,$A27,RawDataTotal!AY:AY)</f>
        <v>61</v>
      </c>
      <c r="AW27">
        <f>SUMIF(RawDataTotal!$B:$B,$A27,RawDataTotal!AZ:AZ)</f>
        <v>61</v>
      </c>
      <c r="AX27">
        <f>SUMIF(RawDataTotal!$B:$B,$A27,RawDataTotal!BA:BA)</f>
        <v>83</v>
      </c>
      <c r="AY27">
        <f>SUMIF(RawDataTotal!$B:$B,$A27,RawDataTotal!BB:BB)</f>
        <v>109</v>
      </c>
      <c r="AZ27">
        <f>SUMIF(RawDataTotal!$B:$B,$A27,RawDataTotal!BC:BC)</f>
        <v>131</v>
      </c>
      <c r="BA27">
        <f>SUMIF(RawDataTotal!$B:$B,$A27,RawDataTotal!BD:BD)</f>
        <v>161</v>
      </c>
      <c r="BB27">
        <f>SUMIF(RawDataTotal!$B:$B,$A27,RawDataTotal!BE:BE)</f>
        <v>193</v>
      </c>
      <c r="BC27">
        <f>SUMIF(RawDataTotal!$B:$B,$A27,RawDataTotal!BF:BF)</f>
        <v>251</v>
      </c>
      <c r="BD27">
        <f>SUMIF(RawDataTotal!$B:$B,$A27,RawDataTotal!BG:BG)</f>
        <v>255</v>
      </c>
      <c r="BE27">
        <f>SUMIF(RawDataTotal!$B:$B,$A27,RawDataTotal!BH:BH)</f>
        <v>337</v>
      </c>
      <c r="BF27">
        <f>SUMIF(RawDataTotal!$B:$B,$A27,RawDataTotal!BI:BI)</f>
        <v>0</v>
      </c>
      <c r="BG27">
        <f>SUMIF(RawDataTotal!$B:$B,$A27,RawDataTotal!BJ:BJ)</f>
        <v>0</v>
      </c>
      <c r="BH27">
        <f>SUMIF(RawDataTotal!$B:$B,$A27,RawDataTotal!BK:BK)</f>
        <v>0</v>
      </c>
      <c r="BI27">
        <f>SUMIF(RawDataTotal!$B:$B,$A27,RawDataTotal!BL:BL)</f>
        <v>0</v>
      </c>
      <c r="BJ27">
        <f>SUMIF(RawDataTotal!$B:$B,$A27,RawDataTotal!BM:BM)</f>
        <v>0</v>
      </c>
      <c r="BK27">
        <f>SUMIF(RawDataTotal!$B:$B,$A27,RawDataTotal!BN:BN)</f>
        <v>0</v>
      </c>
      <c r="BL27">
        <f>SUMIF(RawDataTotal!$B:$B,$A27,RawDataTotal!BO:BO)</f>
        <v>0</v>
      </c>
      <c r="BM27">
        <f>SUMIF(RawDataTotal!$B:$B,$A27,RawDataTotal!BP:BP)</f>
        <v>0</v>
      </c>
      <c r="BN27">
        <f>SUMIF(RawDataTotal!$B:$B,$A27,RawDataTotal!BQ:BQ)</f>
        <v>0</v>
      </c>
      <c r="BO27">
        <f>SUMIF(RawDataTotal!$B:$B,$A27,RawDataTotal!BR:BR)</f>
        <v>0</v>
      </c>
      <c r="BP27">
        <f>SUMIF(RawDataTotal!$B:$B,$A27,RawDataTotal!BS:BS)</f>
        <v>0</v>
      </c>
      <c r="BQ27">
        <f>SUMIF(RawDataTotal!$B:$B,$A27,RawDataTotal!BT:BT)</f>
        <v>0</v>
      </c>
      <c r="BR27">
        <f>SUMIF(RawDataTotal!$B:$B,$A27,RawDataTotal!BU:BU)</f>
        <v>0</v>
      </c>
      <c r="BS27">
        <f>SUMIF(RawDataTotal!$B:$B,$A27,RawDataTotal!BV:BV)</f>
        <v>0</v>
      </c>
      <c r="BT27">
        <f>SUMIF(RawDataTotal!$B:$B,$A27,RawDataTotal!BW:BW)</f>
        <v>0</v>
      </c>
    </row>
    <row r="28" spans="1:72" ht="15" thickBot="1" x14ac:dyDescent="0.35">
      <c r="A28" s="3" t="s">
        <v>81</v>
      </c>
      <c r="B28">
        <f>SUMIF(RawDataTotal!$B:$B,$A28,RawDataTotal!E:E)</f>
        <v>0</v>
      </c>
      <c r="C28">
        <f>SUMIF(RawDataTotal!$B:$B,$A28,RawDataTotal!F:F)</f>
        <v>0</v>
      </c>
      <c r="D28">
        <f>SUMIF(RawDataTotal!$B:$B,$A28,RawDataTotal!G:G)</f>
        <v>0</v>
      </c>
      <c r="E28">
        <f>SUMIF(RawDataTotal!$B:$B,$A28,RawDataTotal!H:H)</f>
        <v>0</v>
      </c>
      <c r="F28">
        <f>SUMIF(RawDataTotal!$B:$B,$A28,RawDataTotal!I:I)</f>
        <v>0</v>
      </c>
      <c r="G28">
        <f>SUMIF(RawDataTotal!$B:$B,$A28,RawDataTotal!J:J)</f>
        <v>0</v>
      </c>
      <c r="H28">
        <f>SUMIF(RawDataTotal!$B:$B,$A28,RawDataTotal!K:K)</f>
        <v>0</v>
      </c>
      <c r="I28">
        <f>SUMIF(RawDataTotal!$B:$B,$A28,RawDataTotal!L:L)</f>
        <v>1</v>
      </c>
      <c r="J28">
        <f>SUMIF(RawDataTotal!$B:$B,$A28,RawDataTotal!M:M)</f>
        <v>1</v>
      </c>
      <c r="K28">
        <f>SUMIF(RawDataTotal!$B:$B,$A28,RawDataTotal!N:N)</f>
        <v>1</v>
      </c>
      <c r="L28">
        <f>SUMIF(RawDataTotal!$B:$B,$A28,RawDataTotal!O:O)</f>
        <v>1</v>
      </c>
      <c r="M28">
        <f>SUMIF(RawDataTotal!$B:$B,$A28,RawDataTotal!P:P)</f>
        <v>1</v>
      </c>
      <c r="N28">
        <f>SUMIF(RawDataTotal!$B:$B,$A28,RawDataTotal!Q:Q)</f>
        <v>1</v>
      </c>
      <c r="O28">
        <f>SUMIF(RawDataTotal!$B:$B,$A28,RawDataTotal!R:R)</f>
        <v>1</v>
      </c>
      <c r="P28">
        <f>SUMIF(RawDataTotal!$B:$B,$A28,RawDataTotal!S:S)</f>
        <v>1</v>
      </c>
      <c r="Q28">
        <f>SUMIF(RawDataTotal!$B:$B,$A28,RawDataTotal!T:T)</f>
        <v>1</v>
      </c>
      <c r="R28">
        <f>SUMIF(RawDataTotal!$B:$B,$A28,RawDataTotal!U:U)</f>
        <v>1</v>
      </c>
      <c r="S28">
        <f>SUMIF(RawDataTotal!$B:$B,$A28,RawDataTotal!V:V)</f>
        <v>1</v>
      </c>
      <c r="T28">
        <f>SUMIF(RawDataTotal!$B:$B,$A28,RawDataTotal!W:W)</f>
        <v>1</v>
      </c>
      <c r="U28">
        <f>SUMIF(RawDataTotal!$B:$B,$A28,RawDataTotal!X:X)</f>
        <v>1</v>
      </c>
      <c r="V28">
        <f>SUMIF(RawDataTotal!$B:$B,$A28,RawDataTotal!Y:Y)</f>
        <v>1</v>
      </c>
      <c r="W28">
        <f>SUMIF(RawDataTotal!$B:$B,$A28,RawDataTotal!Z:Z)</f>
        <v>1</v>
      </c>
      <c r="X28">
        <f>SUMIF(RawDataTotal!$B:$B,$A28,RawDataTotal!AA:AA)</f>
        <v>1</v>
      </c>
      <c r="Y28">
        <f>SUMIF(RawDataTotal!$B:$B,$A28,RawDataTotal!AB:AB)</f>
        <v>1</v>
      </c>
      <c r="Z28">
        <f>SUMIF(RawDataTotal!$B:$B,$A28,RawDataTotal!AC:AC)</f>
        <v>1</v>
      </c>
      <c r="AA28">
        <f>SUMIF(RawDataTotal!$B:$B,$A28,RawDataTotal!AD:AD)</f>
        <v>1</v>
      </c>
      <c r="AB28">
        <f>SUMIF(RawDataTotal!$B:$B,$A28,RawDataTotal!AE:AE)</f>
        <v>1</v>
      </c>
      <c r="AC28">
        <f>SUMIF(RawDataTotal!$B:$B,$A28,RawDataTotal!AF:AF)</f>
        <v>1</v>
      </c>
      <c r="AD28">
        <f>SUMIF(RawDataTotal!$B:$B,$A28,RawDataTotal!AG:AG)</f>
        <v>1</v>
      </c>
      <c r="AE28">
        <f>SUMIF(RawDataTotal!$B:$B,$A28,RawDataTotal!AH:AH)</f>
        <v>1</v>
      </c>
      <c r="AF28">
        <f>SUMIF(RawDataTotal!$B:$B,$A28,RawDataTotal!AI:AI)</f>
        <v>1</v>
      </c>
      <c r="AG28">
        <f>SUMIF(RawDataTotal!$B:$B,$A28,RawDataTotal!AJ:AJ)</f>
        <v>1</v>
      </c>
      <c r="AH28">
        <f>SUMIF(RawDataTotal!$B:$B,$A28,RawDataTotal!AK:AK)</f>
        <v>1</v>
      </c>
      <c r="AI28">
        <f>SUMIF(RawDataTotal!$B:$B,$A28,RawDataTotal!AL:AL)</f>
        <v>1</v>
      </c>
      <c r="AJ28">
        <f>SUMIF(RawDataTotal!$B:$B,$A28,RawDataTotal!AM:AM)</f>
        <v>1</v>
      </c>
      <c r="AK28">
        <f>SUMIF(RawDataTotal!$B:$B,$A28,RawDataTotal!AN:AN)</f>
        <v>2</v>
      </c>
      <c r="AL28">
        <f>SUMIF(RawDataTotal!$B:$B,$A28,RawDataTotal!AO:AO)</f>
        <v>2</v>
      </c>
      <c r="AM28">
        <f>SUMIF(RawDataTotal!$B:$B,$A28,RawDataTotal!AP:AP)</f>
        <v>2</v>
      </c>
      <c r="AN28">
        <f>SUMIF(RawDataTotal!$B:$B,$A28,RawDataTotal!AQ:AQ)</f>
        <v>3</v>
      </c>
      <c r="AO28">
        <f>SUMIF(RawDataTotal!$B:$B,$A28,RawDataTotal!AR:AR)</f>
        <v>6</v>
      </c>
      <c r="AP28">
        <f>SUMIF(RawDataTotal!$B:$B,$A28,RawDataTotal!AS:AS)</f>
        <v>6</v>
      </c>
      <c r="AQ28">
        <f>SUMIF(RawDataTotal!$B:$B,$A28,RawDataTotal!AT:AT)</f>
        <v>6</v>
      </c>
      <c r="AR28">
        <f>SUMIF(RawDataTotal!$B:$B,$A28,RawDataTotal!AU:AU)</f>
        <v>6</v>
      </c>
      <c r="AS28">
        <f>SUMIF(RawDataTotal!$B:$B,$A28,RawDataTotal!AV:AV)</f>
        <v>12</v>
      </c>
      <c r="AT28">
        <f>SUMIF(RawDataTotal!$B:$B,$A28,RawDataTotal!AW:AW)</f>
        <v>15</v>
      </c>
      <c r="AU28">
        <f>SUMIF(RawDataTotal!$B:$B,$A28,RawDataTotal!AX:AX)</f>
        <v>15</v>
      </c>
      <c r="AV28">
        <f>SUMIF(RawDataTotal!$B:$B,$A28,RawDataTotal!AY:AY)</f>
        <v>23</v>
      </c>
      <c r="AW28">
        <f>SUMIF(RawDataTotal!$B:$B,$A28,RawDataTotal!AZ:AZ)</f>
        <v>30</v>
      </c>
      <c r="AX28">
        <f>SUMIF(RawDataTotal!$B:$B,$A28,RawDataTotal!BA:BA)</f>
        <v>40</v>
      </c>
      <c r="AY28">
        <f>SUMIF(RawDataTotal!$B:$B,$A28,RawDataTotal!BB:BB)</f>
        <v>59</v>
      </c>
      <c r="AZ28">
        <f>SUMIF(RawDataTotal!$B:$B,$A28,RawDataTotal!BC:BC)</f>
        <v>59</v>
      </c>
      <c r="BA28">
        <f>SUMIF(RawDataTotal!$B:$B,$A28,RawDataTotal!BD:BD)</f>
        <v>155</v>
      </c>
      <c r="BB28">
        <f>SUMIF(RawDataTotal!$B:$B,$A28,RawDataTotal!BE:BE)</f>
        <v>225</v>
      </c>
      <c r="BC28">
        <f>SUMIF(RawDataTotal!$B:$B,$A28,RawDataTotal!BF:BF)</f>
        <v>244</v>
      </c>
      <c r="BD28">
        <f>SUMIF(RawDataTotal!$B:$B,$A28,RawDataTotal!BG:BG)</f>
        <v>277</v>
      </c>
      <c r="BE28">
        <f>SUMIF(RawDataTotal!$B:$B,$A28,RawDataTotal!BH:BH)</f>
        <v>321</v>
      </c>
      <c r="BF28">
        <f>SUMIF(RawDataTotal!$B:$B,$A28,RawDataTotal!BI:BI)</f>
        <v>0</v>
      </c>
      <c r="BG28">
        <f>SUMIF(RawDataTotal!$B:$B,$A28,RawDataTotal!BJ:BJ)</f>
        <v>0</v>
      </c>
      <c r="BH28">
        <f>SUMIF(RawDataTotal!$B:$B,$A28,RawDataTotal!BK:BK)</f>
        <v>0</v>
      </c>
      <c r="BI28">
        <f>SUMIF(RawDataTotal!$B:$B,$A28,RawDataTotal!BL:BL)</f>
        <v>0</v>
      </c>
      <c r="BJ28">
        <f>SUMIF(RawDataTotal!$B:$B,$A28,RawDataTotal!BM:BM)</f>
        <v>0</v>
      </c>
      <c r="BK28">
        <f>SUMIF(RawDataTotal!$B:$B,$A28,RawDataTotal!BN:BN)</f>
        <v>0</v>
      </c>
      <c r="BL28">
        <f>SUMIF(RawDataTotal!$B:$B,$A28,RawDataTotal!BO:BO)</f>
        <v>0</v>
      </c>
      <c r="BM28">
        <f>SUMIF(RawDataTotal!$B:$B,$A28,RawDataTotal!BP:BP)</f>
        <v>0</v>
      </c>
      <c r="BN28">
        <f>SUMIF(RawDataTotal!$B:$B,$A28,RawDataTotal!BQ:BQ)</f>
        <v>0</v>
      </c>
      <c r="BO28">
        <f>SUMIF(RawDataTotal!$B:$B,$A28,RawDataTotal!BR:BR)</f>
        <v>0</v>
      </c>
      <c r="BP28">
        <f>SUMIF(RawDataTotal!$B:$B,$A28,RawDataTotal!BS:BS)</f>
        <v>0</v>
      </c>
      <c r="BQ28">
        <f>SUMIF(RawDataTotal!$B:$B,$A28,RawDataTotal!BT:BT)</f>
        <v>0</v>
      </c>
      <c r="BR28">
        <f>SUMIF(RawDataTotal!$B:$B,$A28,RawDataTotal!BU:BU)</f>
        <v>0</v>
      </c>
      <c r="BS28">
        <f>SUMIF(RawDataTotal!$B:$B,$A28,RawDataTotal!BV:BV)</f>
        <v>0</v>
      </c>
      <c r="BT28">
        <f>SUMIF(RawDataTotal!$B:$B,$A28,RawDataTotal!BW:BW)</f>
        <v>0</v>
      </c>
    </row>
    <row r="29" spans="1:72" ht="15" thickBot="1" x14ac:dyDescent="0.35">
      <c r="A29" s="4" t="s">
        <v>108</v>
      </c>
      <c r="B29">
        <f>SUMIF(RawDataTotal!$B:$B,$A29,RawDataTotal!E:E)</f>
        <v>0</v>
      </c>
      <c r="C29">
        <f>SUMIF(RawDataTotal!$B:$B,$A29,RawDataTotal!F:F)</f>
        <v>0</v>
      </c>
      <c r="D29">
        <f>SUMIF(RawDataTotal!$B:$B,$A29,RawDataTotal!G:G)</f>
        <v>0</v>
      </c>
      <c r="E29">
        <f>SUMIF(RawDataTotal!$B:$B,$A29,RawDataTotal!H:H)</f>
        <v>0</v>
      </c>
      <c r="F29">
        <f>SUMIF(RawDataTotal!$B:$B,$A29,RawDataTotal!I:I)</f>
        <v>0</v>
      </c>
      <c r="G29">
        <f>SUMIF(RawDataTotal!$B:$B,$A29,RawDataTotal!J:J)</f>
        <v>0</v>
      </c>
      <c r="H29">
        <f>SUMIF(RawDataTotal!$B:$B,$A29,RawDataTotal!K:K)</f>
        <v>0</v>
      </c>
      <c r="I29">
        <f>SUMIF(RawDataTotal!$B:$B,$A29,RawDataTotal!L:L)</f>
        <v>0</v>
      </c>
      <c r="J29">
        <f>SUMIF(RawDataTotal!$B:$B,$A29,RawDataTotal!M:M)</f>
        <v>0</v>
      </c>
      <c r="K29">
        <f>SUMIF(RawDataTotal!$B:$B,$A29,RawDataTotal!N:N)</f>
        <v>0</v>
      </c>
      <c r="L29">
        <f>SUMIF(RawDataTotal!$B:$B,$A29,RawDataTotal!O:O)</f>
        <v>0</v>
      </c>
      <c r="M29">
        <f>SUMIF(RawDataTotal!$B:$B,$A29,RawDataTotal!P:P)</f>
        <v>0</v>
      </c>
      <c r="N29">
        <f>SUMIF(RawDataTotal!$B:$B,$A29,RawDataTotal!Q:Q)</f>
        <v>0</v>
      </c>
      <c r="O29">
        <f>SUMIF(RawDataTotal!$B:$B,$A29,RawDataTotal!R:R)</f>
        <v>0</v>
      </c>
      <c r="P29">
        <f>SUMIF(RawDataTotal!$B:$B,$A29,RawDataTotal!S:S)</f>
        <v>0</v>
      </c>
      <c r="Q29">
        <f>SUMIF(RawDataTotal!$B:$B,$A29,RawDataTotal!T:T)</f>
        <v>0</v>
      </c>
      <c r="R29">
        <f>SUMIF(RawDataTotal!$B:$B,$A29,RawDataTotal!U:U)</f>
        <v>0</v>
      </c>
      <c r="S29">
        <f>SUMIF(RawDataTotal!$B:$B,$A29,RawDataTotal!V:V)</f>
        <v>0</v>
      </c>
      <c r="T29">
        <f>SUMIF(RawDataTotal!$B:$B,$A29,RawDataTotal!W:W)</f>
        <v>0</v>
      </c>
      <c r="U29">
        <f>SUMIF(RawDataTotal!$B:$B,$A29,RawDataTotal!X:X)</f>
        <v>0</v>
      </c>
      <c r="V29">
        <f>SUMIF(RawDataTotal!$B:$B,$A29,RawDataTotal!Y:Y)</f>
        <v>0</v>
      </c>
      <c r="W29">
        <f>SUMIF(RawDataTotal!$B:$B,$A29,RawDataTotal!Z:Z)</f>
        <v>0</v>
      </c>
      <c r="X29">
        <f>SUMIF(RawDataTotal!$B:$B,$A29,RawDataTotal!AA:AA)</f>
        <v>0</v>
      </c>
      <c r="Y29">
        <f>SUMIF(RawDataTotal!$B:$B,$A29,RawDataTotal!AB:AB)</f>
        <v>0</v>
      </c>
      <c r="Z29">
        <f>SUMIF(RawDataTotal!$B:$B,$A29,RawDataTotal!AC:AC)</f>
        <v>0</v>
      </c>
      <c r="AA29">
        <f>SUMIF(RawDataTotal!$B:$B,$A29,RawDataTotal!AD:AD)</f>
        <v>0</v>
      </c>
      <c r="AB29">
        <f>SUMIF(RawDataTotal!$B:$B,$A29,RawDataTotal!AE:AE)</f>
        <v>0</v>
      </c>
      <c r="AC29">
        <f>SUMIF(RawDataTotal!$B:$B,$A29,RawDataTotal!AF:AF)</f>
        <v>0</v>
      </c>
      <c r="AD29">
        <f>SUMIF(RawDataTotal!$B:$B,$A29,RawDataTotal!AG:AG)</f>
        <v>0</v>
      </c>
      <c r="AE29">
        <f>SUMIF(RawDataTotal!$B:$B,$A29,RawDataTotal!AH:AH)</f>
        <v>0</v>
      </c>
      <c r="AF29">
        <f>SUMIF(RawDataTotal!$B:$B,$A29,RawDataTotal!AI:AI)</f>
        <v>0</v>
      </c>
      <c r="AG29">
        <f>SUMIF(RawDataTotal!$B:$B,$A29,RawDataTotal!AJ:AJ)</f>
        <v>0</v>
      </c>
      <c r="AH29">
        <f>SUMIF(RawDataTotal!$B:$B,$A29,RawDataTotal!AK:AK)</f>
        <v>0</v>
      </c>
      <c r="AI29">
        <f>SUMIF(RawDataTotal!$B:$B,$A29,RawDataTotal!AL:AL)</f>
        <v>0</v>
      </c>
      <c r="AJ29">
        <f>SUMIF(RawDataTotal!$B:$B,$A29,RawDataTotal!AM:AM)</f>
        <v>0</v>
      </c>
      <c r="AK29">
        <f>SUMIF(RawDataTotal!$B:$B,$A29,RawDataTotal!AN:AN)</f>
        <v>1</v>
      </c>
      <c r="AL29">
        <f>SUMIF(RawDataTotal!$B:$B,$A29,RawDataTotal!AO:AO)</f>
        <v>1</v>
      </c>
      <c r="AM29">
        <f>SUMIF(RawDataTotal!$B:$B,$A29,RawDataTotal!AP:AP)</f>
        <v>1</v>
      </c>
      <c r="AN29">
        <f>SUMIF(RawDataTotal!$B:$B,$A29,RawDataTotal!AQ:AQ)</f>
        <v>2</v>
      </c>
      <c r="AO29">
        <f>SUMIF(RawDataTotal!$B:$B,$A29,RawDataTotal!AR:AR)</f>
        <v>2</v>
      </c>
      <c r="AP29">
        <f>SUMIF(RawDataTotal!$B:$B,$A29,RawDataTotal!AS:AS)</f>
        <v>2</v>
      </c>
      <c r="AQ29">
        <f>SUMIF(RawDataTotal!$B:$B,$A29,RawDataTotal!AT:AT)</f>
        <v>2</v>
      </c>
      <c r="AR29">
        <f>SUMIF(RawDataTotal!$B:$B,$A29,RawDataTotal!AU:AU)</f>
        <v>4</v>
      </c>
      <c r="AS29">
        <f>SUMIF(RawDataTotal!$B:$B,$A29,RawDataTotal!AV:AV)</f>
        <v>4</v>
      </c>
      <c r="AT29">
        <f>SUMIF(RawDataTotal!$B:$B,$A29,RawDataTotal!AW:AW)</f>
        <v>13</v>
      </c>
      <c r="AU29">
        <f>SUMIF(RawDataTotal!$B:$B,$A29,RawDataTotal!AX:AX)</f>
        <v>13</v>
      </c>
      <c r="AV29">
        <f>SUMIF(RawDataTotal!$B:$B,$A29,RawDataTotal!AY:AY)</f>
        <v>20</v>
      </c>
      <c r="AW29">
        <f>SUMIF(RawDataTotal!$B:$B,$A29,RawDataTotal!AZ:AZ)</f>
        <v>25</v>
      </c>
      <c r="AX29">
        <f>SUMIF(RawDataTotal!$B:$B,$A29,RawDataTotal!BA:BA)</f>
        <v>31</v>
      </c>
      <c r="AY29">
        <f>SUMIF(RawDataTotal!$B:$B,$A29,RawDataTotal!BB:BB)</f>
        <v>38</v>
      </c>
      <c r="AZ29">
        <f>SUMIF(RawDataTotal!$B:$B,$A29,RawDataTotal!BC:BC)</f>
        <v>52</v>
      </c>
      <c r="BA29">
        <f>SUMIF(RawDataTotal!$B:$B,$A29,RawDataTotal!BD:BD)</f>
        <v>151</v>
      </c>
      <c r="BB29">
        <f>SUMIF(RawDataTotal!$B:$B,$A29,RawDataTotal!BE:BE)</f>
        <v>151</v>
      </c>
      <c r="BC29">
        <f>SUMIF(RawDataTotal!$B:$B,$A29,RawDataTotal!BF:BF)</f>
        <v>162</v>
      </c>
      <c r="BD29">
        <f>SUMIF(RawDataTotal!$B:$B,$A29,RawDataTotal!BG:BG)</f>
        <v>200</v>
      </c>
      <c r="BE29">
        <f>SUMIF(RawDataTotal!$B:$B,$A29,RawDataTotal!BH:BH)</f>
        <v>321</v>
      </c>
      <c r="BF29">
        <f>SUMIF(RawDataTotal!$B:$B,$A29,RawDataTotal!BI:BI)</f>
        <v>0</v>
      </c>
      <c r="BG29">
        <f>SUMIF(RawDataTotal!$B:$B,$A29,RawDataTotal!BJ:BJ)</f>
        <v>0</v>
      </c>
      <c r="BH29">
        <f>SUMIF(RawDataTotal!$B:$B,$A29,RawDataTotal!BK:BK)</f>
        <v>0</v>
      </c>
      <c r="BI29">
        <f>SUMIF(RawDataTotal!$B:$B,$A29,RawDataTotal!BL:BL)</f>
        <v>0</v>
      </c>
      <c r="BJ29">
        <f>SUMIF(RawDataTotal!$B:$B,$A29,RawDataTotal!BM:BM)</f>
        <v>0</v>
      </c>
      <c r="BK29">
        <f>SUMIF(RawDataTotal!$B:$B,$A29,RawDataTotal!BN:BN)</f>
        <v>0</v>
      </c>
      <c r="BL29">
        <f>SUMIF(RawDataTotal!$B:$B,$A29,RawDataTotal!BO:BO)</f>
        <v>0</v>
      </c>
      <c r="BM29">
        <f>SUMIF(RawDataTotal!$B:$B,$A29,RawDataTotal!BP:BP)</f>
        <v>0</v>
      </c>
      <c r="BN29">
        <f>SUMIF(RawDataTotal!$B:$B,$A29,RawDataTotal!BQ:BQ)</f>
        <v>0</v>
      </c>
      <c r="BO29">
        <f>SUMIF(RawDataTotal!$B:$B,$A29,RawDataTotal!BR:BR)</f>
        <v>0</v>
      </c>
      <c r="BP29">
        <f>SUMIF(RawDataTotal!$B:$B,$A29,RawDataTotal!BS:BS)</f>
        <v>0</v>
      </c>
      <c r="BQ29">
        <f>SUMIF(RawDataTotal!$B:$B,$A29,RawDataTotal!BT:BT)</f>
        <v>0</v>
      </c>
      <c r="BR29">
        <f>SUMIF(RawDataTotal!$B:$B,$A29,RawDataTotal!BU:BU)</f>
        <v>0</v>
      </c>
      <c r="BS29">
        <f>SUMIF(RawDataTotal!$B:$B,$A29,RawDataTotal!BV:BV)</f>
        <v>0</v>
      </c>
      <c r="BT29">
        <f>SUMIF(RawDataTotal!$B:$B,$A29,RawDataTotal!BW:BW)</f>
        <v>0</v>
      </c>
    </row>
    <row r="30" spans="1:72" ht="15" thickBot="1" x14ac:dyDescent="0.35">
      <c r="A30" s="3" t="s">
        <v>369</v>
      </c>
      <c r="B30">
        <f>SUMIF(RawDataTotal!$B:$B,$A30,RawDataTotal!E:E)</f>
        <v>0</v>
      </c>
      <c r="C30">
        <f>SUMIF(RawDataTotal!$B:$B,$A30,RawDataTotal!F:F)</f>
        <v>0</v>
      </c>
      <c r="D30">
        <f>SUMIF(RawDataTotal!$B:$B,$A30,RawDataTotal!G:G)</f>
        <v>0</v>
      </c>
      <c r="E30">
        <f>SUMIF(RawDataTotal!$B:$B,$A30,RawDataTotal!H:H)</f>
        <v>0</v>
      </c>
      <c r="F30">
        <f>SUMIF(RawDataTotal!$B:$B,$A30,RawDataTotal!I:I)</f>
        <v>0</v>
      </c>
      <c r="G30">
        <f>SUMIF(RawDataTotal!$B:$B,$A30,RawDataTotal!J:J)</f>
        <v>0</v>
      </c>
      <c r="H30">
        <f>SUMIF(RawDataTotal!$B:$B,$A30,RawDataTotal!K:K)</f>
        <v>0</v>
      </c>
      <c r="I30">
        <f>SUMIF(RawDataTotal!$B:$B,$A30,RawDataTotal!L:L)</f>
        <v>0</v>
      </c>
      <c r="J30">
        <f>SUMIF(RawDataTotal!$B:$B,$A30,RawDataTotal!M:M)</f>
        <v>0</v>
      </c>
      <c r="K30">
        <f>SUMIF(RawDataTotal!$B:$B,$A30,RawDataTotal!N:N)</f>
        <v>0</v>
      </c>
      <c r="L30">
        <f>SUMIF(RawDataTotal!$B:$B,$A30,RawDataTotal!O:O)</f>
        <v>0</v>
      </c>
      <c r="M30">
        <f>SUMIF(RawDataTotal!$B:$B,$A30,RawDataTotal!P:P)</f>
        <v>0</v>
      </c>
      <c r="N30">
        <f>SUMIF(RawDataTotal!$B:$B,$A30,RawDataTotal!Q:Q)</f>
        <v>0</v>
      </c>
      <c r="O30">
        <f>SUMIF(RawDataTotal!$B:$B,$A30,RawDataTotal!R:R)</f>
        <v>0</v>
      </c>
      <c r="P30">
        <f>SUMIF(RawDataTotal!$B:$B,$A30,RawDataTotal!S:S)</f>
        <v>0</v>
      </c>
      <c r="Q30">
        <f>SUMIF(RawDataTotal!$B:$B,$A30,RawDataTotal!T:T)</f>
        <v>0</v>
      </c>
      <c r="R30">
        <f>SUMIF(RawDataTotal!$B:$B,$A30,RawDataTotal!U:U)</f>
        <v>0</v>
      </c>
      <c r="S30">
        <f>SUMIF(RawDataTotal!$B:$B,$A30,RawDataTotal!V:V)</f>
        <v>0</v>
      </c>
      <c r="T30">
        <f>SUMIF(RawDataTotal!$B:$B,$A30,RawDataTotal!W:W)</f>
        <v>0</v>
      </c>
      <c r="U30">
        <f>SUMIF(RawDataTotal!$B:$B,$A30,RawDataTotal!X:X)</f>
        <v>0</v>
      </c>
      <c r="V30">
        <f>SUMIF(RawDataTotal!$B:$B,$A30,RawDataTotal!Y:Y)</f>
        <v>0</v>
      </c>
      <c r="W30">
        <f>SUMIF(RawDataTotal!$B:$B,$A30,RawDataTotal!Z:Z)</f>
        <v>0</v>
      </c>
      <c r="X30">
        <f>SUMIF(RawDataTotal!$B:$B,$A30,RawDataTotal!AA:AA)</f>
        <v>0</v>
      </c>
      <c r="Y30">
        <f>SUMIF(RawDataTotal!$B:$B,$A30,RawDataTotal!AB:AB)</f>
        <v>0</v>
      </c>
      <c r="Z30">
        <f>SUMIF(RawDataTotal!$B:$B,$A30,RawDataTotal!AC:AC)</f>
        <v>0</v>
      </c>
      <c r="AA30">
        <f>SUMIF(RawDataTotal!$B:$B,$A30,RawDataTotal!AD:AD)</f>
        <v>0</v>
      </c>
      <c r="AB30">
        <f>SUMIF(RawDataTotal!$B:$B,$A30,RawDataTotal!AE:AE)</f>
        <v>0</v>
      </c>
      <c r="AC30">
        <f>SUMIF(RawDataTotal!$B:$B,$A30,RawDataTotal!AF:AF)</f>
        <v>0</v>
      </c>
      <c r="AD30">
        <f>SUMIF(RawDataTotal!$B:$B,$A30,RawDataTotal!AG:AG)</f>
        <v>0</v>
      </c>
      <c r="AE30">
        <f>SUMIF(RawDataTotal!$B:$B,$A30,RawDataTotal!AH:AH)</f>
        <v>0</v>
      </c>
      <c r="AF30">
        <f>SUMIF(RawDataTotal!$B:$B,$A30,RawDataTotal!AI:AI)</f>
        <v>0</v>
      </c>
      <c r="AG30">
        <f>SUMIF(RawDataTotal!$B:$B,$A30,RawDataTotal!AJ:AJ)</f>
        <v>0</v>
      </c>
      <c r="AH30">
        <f>SUMIF(RawDataTotal!$B:$B,$A30,RawDataTotal!AK:AK)</f>
        <v>0</v>
      </c>
      <c r="AI30">
        <f>SUMIF(RawDataTotal!$B:$B,$A30,RawDataTotal!AL:AL)</f>
        <v>0</v>
      </c>
      <c r="AJ30">
        <f>SUMIF(RawDataTotal!$B:$B,$A30,RawDataTotal!AM:AM)</f>
        <v>0</v>
      </c>
      <c r="AK30">
        <f>SUMIF(RawDataTotal!$B:$B,$A30,RawDataTotal!AN:AN)</f>
        <v>0</v>
      </c>
      <c r="AL30">
        <f>SUMIF(RawDataTotal!$B:$B,$A30,RawDataTotal!AO:AO)</f>
        <v>0</v>
      </c>
      <c r="AM30">
        <f>SUMIF(RawDataTotal!$B:$B,$A30,RawDataTotal!AP:AP)</f>
        <v>0</v>
      </c>
      <c r="AN30">
        <f>SUMIF(RawDataTotal!$B:$B,$A30,RawDataTotal!AQ:AQ)</f>
        <v>0</v>
      </c>
      <c r="AO30">
        <f>SUMIF(RawDataTotal!$B:$B,$A30,RawDataTotal!AR:AR)</f>
        <v>3</v>
      </c>
      <c r="AP30">
        <f>SUMIF(RawDataTotal!$B:$B,$A30,RawDataTotal!AS:AS)</f>
        <v>3</v>
      </c>
      <c r="AQ30">
        <f>SUMIF(RawDataTotal!$B:$B,$A30,RawDataTotal!AT:AT)</f>
        <v>5</v>
      </c>
      <c r="AR30">
        <f>SUMIF(RawDataTotal!$B:$B,$A30,RawDataTotal!AU:AU)</f>
        <v>8</v>
      </c>
      <c r="AS30">
        <f>SUMIF(RawDataTotal!$B:$B,$A30,RawDataTotal!AV:AV)</f>
        <v>12</v>
      </c>
      <c r="AT30">
        <f>SUMIF(RawDataTotal!$B:$B,$A30,RawDataTotal!AW:AW)</f>
        <v>18</v>
      </c>
      <c r="AU30">
        <f>SUMIF(RawDataTotal!$B:$B,$A30,RawDataTotal!AX:AX)</f>
        <v>19</v>
      </c>
      <c r="AV30">
        <f>SUMIF(RawDataTotal!$B:$B,$A30,RawDataTotal!AY:AY)</f>
        <v>31</v>
      </c>
      <c r="AW30">
        <f>SUMIF(RawDataTotal!$B:$B,$A30,RawDataTotal!AZ:AZ)</f>
        <v>31</v>
      </c>
      <c r="AX30">
        <f>SUMIF(RawDataTotal!$B:$B,$A30,RawDataTotal!BA:BA)</f>
        <v>41</v>
      </c>
      <c r="AY30">
        <f>SUMIF(RawDataTotal!$B:$B,$A30,RawDataTotal!BB:BB)</f>
        <v>91</v>
      </c>
      <c r="AZ30">
        <f>SUMIF(RawDataTotal!$B:$B,$A30,RawDataTotal!BC:BC)</f>
        <v>94</v>
      </c>
      <c r="BA30">
        <f>SUMIF(RawDataTotal!$B:$B,$A30,RawDataTotal!BD:BD)</f>
        <v>141</v>
      </c>
      <c r="BB30">
        <f>SUMIF(RawDataTotal!$B:$B,$A30,RawDataTotal!BE:BE)</f>
        <v>189</v>
      </c>
      <c r="BC30">
        <f>SUMIF(RawDataTotal!$B:$B,$A30,RawDataTotal!BF:BF)</f>
        <v>253</v>
      </c>
      <c r="BD30">
        <f>SUMIF(RawDataTotal!$B:$B,$A30,RawDataTotal!BG:BG)</f>
        <v>298</v>
      </c>
      <c r="BE30">
        <f>SUMIF(RawDataTotal!$B:$B,$A30,RawDataTotal!BH:BH)</f>
        <v>396</v>
      </c>
      <c r="BF30">
        <f>SUMIF(RawDataTotal!$B:$B,$A30,RawDataTotal!BI:BI)</f>
        <v>0</v>
      </c>
      <c r="BG30">
        <f>SUMIF(RawDataTotal!$B:$B,$A30,RawDataTotal!BJ:BJ)</f>
        <v>0</v>
      </c>
      <c r="BH30">
        <f>SUMIF(RawDataTotal!$B:$B,$A30,RawDataTotal!BK:BK)</f>
        <v>0</v>
      </c>
      <c r="BI30">
        <f>SUMIF(RawDataTotal!$B:$B,$A30,RawDataTotal!BL:BL)</f>
        <v>0</v>
      </c>
      <c r="BJ30">
        <f>SUMIF(RawDataTotal!$B:$B,$A30,RawDataTotal!BM:BM)</f>
        <v>0</v>
      </c>
      <c r="BK30">
        <f>SUMIF(RawDataTotal!$B:$B,$A30,RawDataTotal!BN:BN)</f>
        <v>0</v>
      </c>
      <c r="BL30">
        <f>SUMIF(RawDataTotal!$B:$B,$A30,RawDataTotal!BO:BO)</f>
        <v>0</v>
      </c>
      <c r="BM30">
        <f>SUMIF(RawDataTotal!$B:$B,$A30,RawDataTotal!BP:BP)</f>
        <v>0</v>
      </c>
      <c r="BN30">
        <f>SUMIF(RawDataTotal!$B:$B,$A30,RawDataTotal!BQ:BQ)</f>
        <v>0</v>
      </c>
      <c r="BO30">
        <f>SUMIF(RawDataTotal!$B:$B,$A30,RawDataTotal!BR:BR)</f>
        <v>0</v>
      </c>
      <c r="BP30">
        <f>SUMIF(RawDataTotal!$B:$B,$A30,RawDataTotal!BS:BS)</f>
        <v>0</v>
      </c>
      <c r="BQ30">
        <f>SUMIF(RawDataTotal!$B:$B,$A30,RawDataTotal!BT:BT)</f>
        <v>0</v>
      </c>
      <c r="BR30">
        <f>SUMIF(RawDataTotal!$B:$B,$A30,RawDataTotal!BU:BU)</f>
        <v>0</v>
      </c>
      <c r="BS30">
        <f>SUMIF(RawDataTotal!$B:$B,$A30,RawDataTotal!BV:BV)</f>
        <v>0</v>
      </c>
      <c r="BT30">
        <f>SUMIF(RawDataTotal!$B:$B,$A30,RawDataTotal!BW:BW)</f>
        <v>0</v>
      </c>
    </row>
    <row r="31" spans="1:72" ht="15" thickBot="1" x14ac:dyDescent="0.35">
      <c r="A31" s="4" t="s">
        <v>168</v>
      </c>
      <c r="B31">
        <f>SUMIF(RawDataTotal!$B:$B,$A31,RawDataTotal!E:E)</f>
        <v>0</v>
      </c>
      <c r="C31">
        <f>SUMIF(RawDataTotal!$B:$B,$A31,RawDataTotal!F:F)</f>
        <v>0</v>
      </c>
      <c r="D31">
        <f>SUMIF(RawDataTotal!$B:$B,$A31,RawDataTotal!G:G)</f>
        <v>0</v>
      </c>
      <c r="E31">
        <f>SUMIF(RawDataTotal!$B:$B,$A31,RawDataTotal!H:H)</f>
        <v>0</v>
      </c>
      <c r="F31">
        <f>SUMIF(RawDataTotal!$B:$B,$A31,RawDataTotal!I:I)</f>
        <v>0</v>
      </c>
      <c r="G31">
        <f>SUMIF(RawDataTotal!$B:$B,$A31,RawDataTotal!J:J)</f>
        <v>0</v>
      </c>
      <c r="H31">
        <f>SUMIF(RawDataTotal!$B:$B,$A31,RawDataTotal!K:K)</f>
        <v>0</v>
      </c>
      <c r="I31">
        <f>SUMIF(RawDataTotal!$B:$B,$A31,RawDataTotal!L:L)</f>
        <v>0</v>
      </c>
      <c r="J31">
        <f>SUMIF(RawDataTotal!$B:$B,$A31,RawDataTotal!M:M)</f>
        <v>0</v>
      </c>
      <c r="K31">
        <f>SUMIF(RawDataTotal!$B:$B,$A31,RawDataTotal!N:N)</f>
        <v>0</v>
      </c>
      <c r="L31">
        <f>SUMIF(RawDataTotal!$B:$B,$A31,RawDataTotal!O:O)</f>
        <v>0</v>
      </c>
      <c r="M31">
        <f>SUMIF(RawDataTotal!$B:$B,$A31,RawDataTotal!P:P)</f>
        <v>0</v>
      </c>
      <c r="N31">
        <f>SUMIF(RawDataTotal!$B:$B,$A31,RawDataTotal!Q:Q)</f>
        <v>0</v>
      </c>
      <c r="O31">
        <f>SUMIF(RawDataTotal!$B:$B,$A31,RawDataTotal!R:R)</f>
        <v>0</v>
      </c>
      <c r="P31">
        <f>SUMIF(RawDataTotal!$B:$B,$A31,RawDataTotal!S:S)</f>
        <v>0</v>
      </c>
      <c r="Q31">
        <f>SUMIF(RawDataTotal!$B:$B,$A31,RawDataTotal!T:T)</f>
        <v>0</v>
      </c>
      <c r="R31">
        <f>SUMIF(RawDataTotal!$B:$B,$A31,RawDataTotal!U:U)</f>
        <v>0</v>
      </c>
      <c r="S31">
        <f>SUMIF(RawDataTotal!$B:$B,$A31,RawDataTotal!V:V)</f>
        <v>0</v>
      </c>
      <c r="T31">
        <f>SUMIF(RawDataTotal!$B:$B,$A31,RawDataTotal!W:W)</f>
        <v>0</v>
      </c>
      <c r="U31">
        <f>SUMIF(RawDataTotal!$B:$B,$A31,RawDataTotal!X:X)</f>
        <v>0</v>
      </c>
      <c r="V31">
        <f>SUMIF(RawDataTotal!$B:$B,$A31,RawDataTotal!Y:Y)</f>
        <v>0</v>
      </c>
      <c r="W31">
        <f>SUMIF(RawDataTotal!$B:$B,$A31,RawDataTotal!Z:Z)</f>
        <v>0</v>
      </c>
      <c r="X31">
        <f>SUMIF(RawDataTotal!$B:$B,$A31,RawDataTotal!AA:AA)</f>
        <v>0</v>
      </c>
      <c r="Y31">
        <f>SUMIF(RawDataTotal!$B:$B,$A31,RawDataTotal!AB:AB)</f>
        <v>0</v>
      </c>
      <c r="Z31">
        <f>SUMIF(RawDataTotal!$B:$B,$A31,RawDataTotal!AC:AC)</f>
        <v>0</v>
      </c>
      <c r="AA31">
        <f>SUMIF(RawDataTotal!$B:$B,$A31,RawDataTotal!AD:AD)</f>
        <v>0</v>
      </c>
      <c r="AB31">
        <f>SUMIF(RawDataTotal!$B:$B,$A31,RawDataTotal!AE:AE)</f>
        <v>0</v>
      </c>
      <c r="AC31">
        <f>SUMIF(RawDataTotal!$B:$B,$A31,RawDataTotal!AF:AF)</f>
        <v>0</v>
      </c>
      <c r="AD31">
        <f>SUMIF(RawDataTotal!$B:$B,$A31,RawDataTotal!AG:AG)</f>
        <v>0</v>
      </c>
      <c r="AE31">
        <f>SUMIF(RawDataTotal!$B:$B,$A31,RawDataTotal!AH:AH)</f>
        <v>0</v>
      </c>
      <c r="AF31">
        <f>SUMIF(RawDataTotal!$B:$B,$A31,RawDataTotal!AI:AI)</f>
        <v>0</v>
      </c>
      <c r="AG31">
        <f>SUMIF(RawDataTotal!$B:$B,$A31,RawDataTotal!AJ:AJ)</f>
        <v>0</v>
      </c>
      <c r="AH31">
        <f>SUMIF(RawDataTotal!$B:$B,$A31,RawDataTotal!AK:AK)</f>
        <v>0</v>
      </c>
      <c r="AI31">
        <f>SUMIF(RawDataTotal!$B:$B,$A31,RawDataTotal!AL:AL)</f>
        <v>0</v>
      </c>
      <c r="AJ31">
        <f>SUMIF(RawDataTotal!$B:$B,$A31,RawDataTotal!AM:AM)</f>
        <v>0</v>
      </c>
      <c r="AK31">
        <f>SUMIF(RawDataTotal!$B:$B,$A31,RawDataTotal!AN:AN)</f>
        <v>0</v>
      </c>
      <c r="AL31">
        <f>SUMIF(RawDataTotal!$B:$B,$A31,RawDataTotal!AO:AO)</f>
        <v>0</v>
      </c>
      <c r="AM31">
        <f>SUMIF(RawDataTotal!$B:$B,$A31,RawDataTotal!AP:AP)</f>
        <v>0</v>
      </c>
      <c r="AN31">
        <f>SUMIF(RawDataTotal!$B:$B,$A31,RawDataTotal!AQ:AQ)</f>
        <v>0</v>
      </c>
      <c r="AO31">
        <f>SUMIF(RawDataTotal!$B:$B,$A31,RawDataTotal!AR:AR)</f>
        <v>0</v>
      </c>
      <c r="AP31">
        <f>SUMIF(RawDataTotal!$B:$B,$A31,RawDataTotal!AS:AS)</f>
        <v>0</v>
      </c>
      <c r="AQ31">
        <f>SUMIF(RawDataTotal!$B:$B,$A31,RawDataTotal!AT:AT)</f>
        <v>0</v>
      </c>
      <c r="AR31">
        <f>SUMIF(RawDataTotal!$B:$B,$A31,RawDataTotal!AU:AU)</f>
        <v>0</v>
      </c>
      <c r="AS31">
        <f>SUMIF(RawDataTotal!$B:$B,$A31,RawDataTotal!AV:AV)</f>
        <v>2</v>
      </c>
      <c r="AT31">
        <f>SUMIF(RawDataTotal!$B:$B,$A31,RawDataTotal!AW:AW)</f>
        <v>7</v>
      </c>
      <c r="AU31">
        <f>SUMIF(RawDataTotal!$B:$B,$A31,RawDataTotal!AX:AX)</f>
        <v>7</v>
      </c>
      <c r="AV31">
        <f>SUMIF(RawDataTotal!$B:$B,$A31,RawDataTotal!AY:AY)</f>
        <v>16</v>
      </c>
      <c r="AW31">
        <f>SUMIF(RawDataTotal!$B:$B,$A31,RawDataTotal!AZ:AZ)</f>
        <v>16</v>
      </c>
      <c r="AX31">
        <f>SUMIF(RawDataTotal!$B:$B,$A31,RawDataTotal!BA:BA)</f>
        <v>31</v>
      </c>
      <c r="AY31">
        <f>SUMIF(RawDataTotal!$B:$B,$A31,RawDataTotal!BB:BB)</f>
        <v>57</v>
      </c>
      <c r="AZ31">
        <f>SUMIF(RawDataTotal!$B:$B,$A31,RawDataTotal!BC:BC)</f>
        <v>89</v>
      </c>
      <c r="BA31">
        <f>SUMIF(RawDataTotal!$B:$B,$A31,RawDataTotal!BD:BD)</f>
        <v>141</v>
      </c>
      <c r="BB31">
        <f>SUMIF(RawDataTotal!$B:$B,$A31,RawDataTotal!BE:BE)</f>
        <v>181</v>
      </c>
      <c r="BC31">
        <f>SUMIF(RawDataTotal!$B:$B,$A31,RawDataTotal!BF:BF)</f>
        <v>219</v>
      </c>
      <c r="BD31">
        <f>SUMIF(RawDataTotal!$B:$B,$A31,RawDataTotal!BG:BG)</f>
        <v>253</v>
      </c>
      <c r="BE31">
        <f>SUMIF(RawDataTotal!$B:$B,$A31,RawDataTotal!BH:BH)</f>
        <v>275</v>
      </c>
      <c r="BF31">
        <f>SUMIF(RawDataTotal!$B:$B,$A31,RawDataTotal!BI:BI)</f>
        <v>0</v>
      </c>
      <c r="BG31">
        <f>SUMIF(RawDataTotal!$B:$B,$A31,RawDataTotal!BJ:BJ)</f>
        <v>0</v>
      </c>
      <c r="BH31">
        <f>SUMIF(RawDataTotal!$B:$B,$A31,RawDataTotal!BK:BK)</f>
        <v>0</v>
      </c>
      <c r="BI31">
        <f>SUMIF(RawDataTotal!$B:$B,$A31,RawDataTotal!BL:BL)</f>
        <v>0</v>
      </c>
      <c r="BJ31">
        <f>SUMIF(RawDataTotal!$B:$B,$A31,RawDataTotal!BM:BM)</f>
        <v>0</v>
      </c>
      <c r="BK31">
        <f>SUMIF(RawDataTotal!$B:$B,$A31,RawDataTotal!BN:BN)</f>
        <v>0</v>
      </c>
      <c r="BL31">
        <f>SUMIF(RawDataTotal!$B:$B,$A31,RawDataTotal!BO:BO)</f>
        <v>0</v>
      </c>
      <c r="BM31">
        <f>SUMIF(RawDataTotal!$B:$B,$A31,RawDataTotal!BP:BP)</f>
        <v>0</v>
      </c>
      <c r="BN31">
        <f>SUMIF(RawDataTotal!$B:$B,$A31,RawDataTotal!BQ:BQ)</f>
        <v>0</v>
      </c>
      <c r="BO31">
        <f>SUMIF(RawDataTotal!$B:$B,$A31,RawDataTotal!BR:BR)</f>
        <v>0</v>
      </c>
      <c r="BP31">
        <f>SUMIF(RawDataTotal!$B:$B,$A31,RawDataTotal!BS:BS)</f>
        <v>0</v>
      </c>
      <c r="BQ31">
        <f>SUMIF(RawDataTotal!$B:$B,$A31,RawDataTotal!BT:BT)</f>
        <v>0</v>
      </c>
      <c r="BR31">
        <f>SUMIF(RawDataTotal!$B:$B,$A31,RawDataTotal!BU:BU)</f>
        <v>0</v>
      </c>
      <c r="BS31">
        <f>SUMIF(RawDataTotal!$B:$B,$A31,RawDataTotal!BV:BV)</f>
        <v>0</v>
      </c>
      <c r="BT31">
        <f>SUMIF(RawDataTotal!$B:$B,$A31,RawDataTotal!BW:BW)</f>
        <v>0</v>
      </c>
    </row>
    <row r="32" spans="1:72" ht="15" thickBot="1" x14ac:dyDescent="0.35">
      <c r="A32" s="4" t="s">
        <v>119</v>
      </c>
      <c r="B32">
        <f>SUMIF(RawDataTotal!$B:$B,$A32,RawDataTotal!E:E)</f>
        <v>0</v>
      </c>
      <c r="C32">
        <f>SUMIF(RawDataTotal!$B:$B,$A32,RawDataTotal!F:F)</f>
        <v>0</v>
      </c>
      <c r="D32">
        <f>SUMIF(RawDataTotal!$B:$B,$A32,RawDataTotal!G:G)</f>
        <v>0</v>
      </c>
      <c r="E32">
        <f>SUMIF(RawDataTotal!$B:$B,$A32,RawDataTotal!H:H)</f>
        <v>0</v>
      </c>
      <c r="F32">
        <f>SUMIF(RawDataTotal!$B:$B,$A32,RawDataTotal!I:I)</f>
        <v>0</v>
      </c>
      <c r="G32">
        <f>SUMIF(RawDataTotal!$B:$B,$A32,RawDataTotal!J:J)</f>
        <v>0</v>
      </c>
      <c r="H32">
        <f>SUMIF(RawDataTotal!$B:$B,$A32,RawDataTotal!K:K)</f>
        <v>0</v>
      </c>
      <c r="I32">
        <f>SUMIF(RawDataTotal!$B:$B,$A32,RawDataTotal!L:L)</f>
        <v>0</v>
      </c>
      <c r="J32">
        <f>SUMIF(RawDataTotal!$B:$B,$A32,RawDataTotal!M:M)</f>
        <v>0</v>
      </c>
      <c r="K32">
        <f>SUMIF(RawDataTotal!$B:$B,$A32,RawDataTotal!N:N)</f>
        <v>0</v>
      </c>
      <c r="L32">
        <f>SUMIF(RawDataTotal!$B:$B,$A32,RawDataTotal!O:O)</f>
        <v>0</v>
      </c>
      <c r="M32">
        <f>SUMIF(RawDataTotal!$B:$B,$A32,RawDataTotal!P:P)</f>
        <v>0</v>
      </c>
      <c r="N32">
        <f>SUMIF(RawDataTotal!$B:$B,$A32,RawDataTotal!Q:Q)</f>
        <v>0</v>
      </c>
      <c r="O32">
        <f>SUMIF(RawDataTotal!$B:$B,$A32,RawDataTotal!R:R)</f>
        <v>0</v>
      </c>
      <c r="P32">
        <f>SUMIF(RawDataTotal!$B:$B,$A32,RawDataTotal!S:S)</f>
        <v>0</v>
      </c>
      <c r="Q32">
        <f>SUMIF(RawDataTotal!$B:$B,$A32,RawDataTotal!T:T)</f>
        <v>0</v>
      </c>
      <c r="R32">
        <f>SUMIF(RawDataTotal!$B:$B,$A32,RawDataTotal!U:U)</f>
        <v>0</v>
      </c>
      <c r="S32">
        <f>SUMIF(RawDataTotal!$B:$B,$A32,RawDataTotal!V:V)</f>
        <v>0</v>
      </c>
      <c r="T32">
        <f>SUMIF(RawDataTotal!$B:$B,$A32,RawDataTotal!W:W)</f>
        <v>0</v>
      </c>
      <c r="U32">
        <f>SUMIF(RawDataTotal!$B:$B,$A32,RawDataTotal!X:X)</f>
        <v>0</v>
      </c>
      <c r="V32">
        <f>SUMIF(RawDataTotal!$B:$B,$A32,RawDataTotal!Y:Y)</f>
        <v>0</v>
      </c>
      <c r="W32">
        <f>SUMIF(RawDataTotal!$B:$B,$A32,RawDataTotal!Z:Z)</f>
        <v>0</v>
      </c>
      <c r="X32">
        <f>SUMIF(RawDataTotal!$B:$B,$A32,RawDataTotal!AA:AA)</f>
        <v>0</v>
      </c>
      <c r="Y32">
        <f>SUMIF(RawDataTotal!$B:$B,$A32,RawDataTotal!AB:AB)</f>
        <v>0</v>
      </c>
      <c r="Z32">
        <f>SUMIF(RawDataTotal!$B:$B,$A32,RawDataTotal!AC:AC)</f>
        <v>0</v>
      </c>
      <c r="AA32">
        <f>SUMIF(RawDataTotal!$B:$B,$A32,RawDataTotal!AD:AD)</f>
        <v>0</v>
      </c>
      <c r="AB32">
        <f>SUMIF(RawDataTotal!$B:$B,$A32,RawDataTotal!AE:AE)</f>
        <v>0</v>
      </c>
      <c r="AC32">
        <f>SUMIF(RawDataTotal!$B:$B,$A32,RawDataTotal!AF:AF)</f>
        <v>0</v>
      </c>
      <c r="AD32">
        <f>SUMIF(RawDataTotal!$B:$B,$A32,RawDataTotal!AG:AG)</f>
        <v>0</v>
      </c>
      <c r="AE32">
        <f>SUMIF(RawDataTotal!$B:$B,$A32,RawDataTotal!AH:AH)</f>
        <v>0</v>
      </c>
      <c r="AF32">
        <f>SUMIF(RawDataTotal!$B:$B,$A32,RawDataTotal!AI:AI)</f>
        <v>0</v>
      </c>
      <c r="AG32">
        <f>SUMIF(RawDataTotal!$B:$B,$A32,RawDataTotal!AJ:AJ)</f>
        <v>0</v>
      </c>
      <c r="AH32">
        <f>SUMIF(RawDataTotal!$B:$B,$A32,RawDataTotal!AK:AK)</f>
        <v>0</v>
      </c>
      <c r="AI32">
        <f>SUMIF(RawDataTotal!$B:$B,$A32,RawDataTotal!AL:AL)</f>
        <v>0</v>
      </c>
      <c r="AJ32">
        <f>SUMIF(RawDataTotal!$B:$B,$A32,RawDataTotal!AM:AM)</f>
        <v>0</v>
      </c>
      <c r="AK32">
        <f>SUMIF(RawDataTotal!$B:$B,$A32,RawDataTotal!AN:AN)</f>
        <v>0</v>
      </c>
      <c r="AL32">
        <f>SUMIF(RawDataTotal!$B:$B,$A32,RawDataTotal!AO:AO)</f>
        <v>0</v>
      </c>
      <c r="AM32">
        <f>SUMIF(RawDataTotal!$B:$B,$A32,RawDataTotal!AP:AP)</f>
        <v>1</v>
      </c>
      <c r="AN32">
        <f>SUMIF(RawDataTotal!$B:$B,$A32,RawDataTotal!AQ:AQ)</f>
        <v>1</v>
      </c>
      <c r="AO32">
        <f>SUMIF(RawDataTotal!$B:$B,$A32,RawDataTotal!AR:AR)</f>
        <v>3</v>
      </c>
      <c r="AP32">
        <f>SUMIF(RawDataTotal!$B:$B,$A32,RawDataTotal!AS:AS)</f>
        <v>6</v>
      </c>
      <c r="AQ32">
        <f>SUMIF(RawDataTotal!$B:$B,$A32,RawDataTotal!AT:AT)</f>
        <v>11</v>
      </c>
      <c r="AR32">
        <f>SUMIF(RawDataTotal!$B:$B,$A32,RawDataTotal!AU:AU)</f>
        <v>26</v>
      </c>
      <c r="AS32">
        <f>SUMIF(RawDataTotal!$B:$B,$A32,RawDataTotal!AV:AV)</f>
        <v>34</v>
      </c>
      <c r="AT32">
        <f>SUMIF(RawDataTotal!$B:$B,$A32,RawDataTotal!AW:AW)</f>
        <v>43</v>
      </c>
      <c r="AU32">
        <f>SUMIF(RawDataTotal!$B:$B,$A32,RawDataTotal!AX:AX)</f>
        <v>50</v>
      </c>
      <c r="AV32">
        <f>SUMIF(RawDataTotal!$B:$B,$A32,RawDataTotal!AY:AY)</f>
        <v>50</v>
      </c>
      <c r="AW32">
        <f>SUMIF(RawDataTotal!$B:$B,$A32,RawDataTotal!AZ:AZ)</f>
        <v>58</v>
      </c>
      <c r="AX32">
        <f>SUMIF(RawDataTotal!$B:$B,$A32,RawDataTotal!BA:BA)</f>
        <v>69</v>
      </c>
      <c r="AY32">
        <f>SUMIF(RawDataTotal!$B:$B,$A32,RawDataTotal!BB:BB)</f>
        <v>85</v>
      </c>
      <c r="AZ32">
        <f>SUMIF(RawDataTotal!$B:$B,$A32,RawDataTotal!BC:BC)</f>
        <v>103</v>
      </c>
      <c r="BA32">
        <f>SUMIF(RawDataTotal!$B:$B,$A32,RawDataTotal!BD:BD)</f>
        <v>134</v>
      </c>
      <c r="BB32">
        <f>SUMIF(RawDataTotal!$B:$B,$A32,RawDataTotal!BE:BE)</f>
        <v>156</v>
      </c>
      <c r="BC32">
        <f>SUMIF(RawDataTotal!$B:$B,$A32,RawDataTotal!BF:BF)</f>
        <v>171</v>
      </c>
      <c r="BD32">
        <f>SUMIF(RawDataTotal!$B:$B,$A32,RawDataTotal!BG:BG)</f>
        <v>180</v>
      </c>
      <c r="BE32">
        <f>SUMIF(RawDataTotal!$B:$B,$A32,RawDataTotal!BH:BH)</f>
        <v>220</v>
      </c>
      <c r="BF32">
        <f>SUMIF(RawDataTotal!$B:$B,$A32,RawDataTotal!BI:BI)</f>
        <v>0</v>
      </c>
      <c r="BG32">
        <f>SUMIF(RawDataTotal!$B:$B,$A32,RawDataTotal!BJ:BJ)</f>
        <v>0</v>
      </c>
      <c r="BH32">
        <f>SUMIF(RawDataTotal!$B:$B,$A32,RawDataTotal!BK:BK)</f>
        <v>0</v>
      </c>
      <c r="BI32">
        <f>SUMIF(RawDataTotal!$B:$B,$A32,RawDataTotal!BL:BL)</f>
        <v>0</v>
      </c>
      <c r="BJ32">
        <f>SUMIF(RawDataTotal!$B:$B,$A32,RawDataTotal!BM:BM)</f>
        <v>0</v>
      </c>
      <c r="BK32">
        <f>SUMIF(RawDataTotal!$B:$B,$A32,RawDataTotal!BN:BN)</f>
        <v>0</v>
      </c>
      <c r="BL32">
        <f>SUMIF(RawDataTotal!$B:$B,$A32,RawDataTotal!BO:BO)</f>
        <v>0</v>
      </c>
      <c r="BM32">
        <f>SUMIF(RawDataTotal!$B:$B,$A32,RawDataTotal!BP:BP)</f>
        <v>0</v>
      </c>
      <c r="BN32">
        <f>SUMIF(RawDataTotal!$B:$B,$A32,RawDataTotal!BQ:BQ)</f>
        <v>0</v>
      </c>
      <c r="BO32">
        <f>SUMIF(RawDataTotal!$B:$B,$A32,RawDataTotal!BR:BR)</f>
        <v>0</v>
      </c>
      <c r="BP32">
        <f>SUMIF(RawDataTotal!$B:$B,$A32,RawDataTotal!BS:BS)</f>
        <v>0</v>
      </c>
      <c r="BQ32">
        <f>SUMIF(RawDataTotal!$B:$B,$A32,RawDataTotal!BT:BT)</f>
        <v>0</v>
      </c>
      <c r="BR32">
        <f>SUMIF(RawDataTotal!$B:$B,$A32,RawDataTotal!BU:BU)</f>
        <v>0</v>
      </c>
      <c r="BS32">
        <f>SUMIF(RawDataTotal!$B:$B,$A32,RawDataTotal!BV:BV)</f>
        <v>0</v>
      </c>
      <c r="BT32">
        <f>SUMIF(RawDataTotal!$B:$B,$A32,RawDataTotal!BW:BW)</f>
        <v>0</v>
      </c>
    </row>
    <row r="33" spans="1:72" ht="15" thickBot="1" x14ac:dyDescent="0.35">
      <c r="A33" s="3" t="s">
        <v>135</v>
      </c>
      <c r="B33">
        <f>SUMIF(RawDataTotal!$B:$B,$A33,RawDataTotal!E:E)</f>
        <v>0</v>
      </c>
      <c r="C33">
        <f>SUMIF(RawDataTotal!$B:$B,$A33,RawDataTotal!F:F)</f>
        <v>0</v>
      </c>
      <c r="D33">
        <f>SUMIF(RawDataTotal!$B:$B,$A33,RawDataTotal!G:G)</f>
        <v>0</v>
      </c>
      <c r="E33">
        <f>SUMIF(RawDataTotal!$B:$B,$A33,RawDataTotal!H:H)</f>
        <v>0</v>
      </c>
      <c r="F33">
        <f>SUMIF(RawDataTotal!$B:$B,$A33,RawDataTotal!I:I)</f>
        <v>0</v>
      </c>
      <c r="G33">
        <f>SUMIF(RawDataTotal!$B:$B,$A33,RawDataTotal!J:J)</f>
        <v>0</v>
      </c>
      <c r="H33">
        <f>SUMIF(RawDataTotal!$B:$B,$A33,RawDataTotal!K:K)</f>
        <v>0</v>
      </c>
      <c r="I33">
        <f>SUMIF(RawDataTotal!$B:$B,$A33,RawDataTotal!L:L)</f>
        <v>0</v>
      </c>
      <c r="J33">
        <f>SUMIF(RawDataTotal!$B:$B,$A33,RawDataTotal!M:M)</f>
        <v>0</v>
      </c>
      <c r="K33">
        <f>SUMIF(RawDataTotal!$B:$B,$A33,RawDataTotal!N:N)</f>
        <v>0</v>
      </c>
      <c r="L33">
        <f>SUMIF(RawDataTotal!$B:$B,$A33,RawDataTotal!O:O)</f>
        <v>0</v>
      </c>
      <c r="M33">
        <f>SUMIF(RawDataTotal!$B:$B,$A33,RawDataTotal!P:P)</f>
        <v>0</v>
      </c>
      <c r="N33">
        <f>SUMIF(RawDataTotal!$B:$B,$A33,RawDataTotal!Q:Q)</f>
        <v>0</v>
      </c>
      <c r="O33">
        <f>SUMIF(RawDataTotal!$B:$B,$A33,RawDataTotal!R:R)</f>
        <v>0</v>
      </c>
      <c r="P33">
        <f>SUMIF(RawDataTotal!$B:$B,$A33,RawDataTotal!S:S)</f>
        <v>0</v>
      </c>
      <c r="Q33">
        <f>SUMIF(RawDataTotal!$B:$B,$A33,RawDataTotal!T:T)</f>
        <v>0</v>
      </c>
      <c r="R33">
        <f>SUMIF(RawDataTotal!$B:$B,$A33,RawDataTotal!U:U)</f>
        <v>0</v>
      </c>
      <c r="S33">
        <f>SUMIF(RawDataTotal!$B:$B,$A33,RawDataTotal!V:V)</f>
        <v>0</v>
      </c>
      <c r="T33">
        <f>SUMIF(RawDataTotal!$B:$B,$A33,RawDataTotal!W:W)</f>
        <v>0</v>
      </c>
      <c r="U33">
        <f>SUMIF(RawDataTotal!$B:$B,$A33,RawDataTotal!X:X)</f>
        <v>0</v>
      </c>
      <c r="V33">
        <f>SUMIF(RawDataTotal!$B:$B,$A33,RawDataTotal!Y:Y)</f>
        <v>0</v>
      </c>
      <c r="W33">
        <f>SUMIF(RawDataTotal!$B:$B,$A33,RawDataTotal!Z:Z)</f>
        <v>0</v>
      </c>
      <c r="X33">
        <f>SUMIF(RawDataTotal!$B:$B,$A33,RawDataTotal!AA:AA)</f>
        <v>0</v>
      </c>
      <c r="Y33">
        <f>SUMIF(RawDataTotal!$B:$B,$A33,RawDataTotal!AB:AB)</f>
        <v>0</v>
      </c>
      <c r="Z33">
        <f>SUMIF(RawDataTotal!$B:$B,$A33,RawDataTotal!AC:AC)</f>
        <v>0</v>
      </c>
      <c r="AA33">
        <f>SUMIF(RawDataTotal!$B:$B,$A33,RawDataTotal!AD:AD)</f>
        <v>0</v>
      </c>
      <c r="AB33">
        <f>SUMIF(RawDataTotal!$B:$B,$A33,RawDataTotal!AE:AE)</f>
        <v>0</v>
      </c>
      <c r="AC33">
        <f>SUMIF(RawDataTotal!$B:$B,$A33,RawDataTotal!AF:AF)</f>
        <v>0</v>
      </c>
      <c r="AD33">
        <f>SUMIF(RawDataTotal!$B:$B,$A33,RawDataTotal!AG:AG)</f>
        <v>0</v>
      </c>
      <c r="AE33">
        <f>SUMIF(RawDataTotal!$B:$B,$A33,RawDataTotal!AH:AH)</f>
        <v>0</v>
      </c>
      <c r="AF33">
        <f>SUMIF(RawDataTotal!$B:$B,$A33,RawDataTotal!AI:AI)</f>
        <v>0</v>
      </c>
      <c r="AG33">
        <f>SUMIF(RawDataTotal!$B:$B,$A33,RawDataTotal!AJ:AJ)</f>
        <v>0</v>
      </c>
      <c r="AH33">
        <f>SUMIF(RawDataTotal!$B:$B,$A33,RawDataTotal!AK:AK)</f>
        <v>0</v>
      </c>
      <c r="AI33">
        <f>SUMIF(RawDataTotal!$B:$B,$A33,RawDataTotal!AL:AL)</f>
        <v>0</v>
      </c>
      <c r="AJ33">
        <f>SUMIF(RawDataTotal!$B:$B,$A33,RawDataTotal!AM:AM)</f>
        <v>0</v>
      </c>
      <c r="AK33">
        <f>SUMIF(RawDataTotal!$B:$B,$A33,RawDataTotal!AN:AN)</f>
        <v>0</v>
      </c>
      <c r="AL33">
        <f>SUMIF(RawDataTotal!$B:$B,$A33,RawDataTotal!AO:AO)</f>
        <v>0</v>
      </c>
      <c r="AM33">
        <f>SUMIF(RawDataTotal!$B:$B,$A33,RawDataTotal!AP:AP)</f>
        <v>0</v>
      </c>
      <c r="AN33">
        <f>SUMIF(RawDataTotal!$B:$B,$A33,RawDataTotal!AQ:AQ)</f>
        <v>0</v>
      </c>
      <c r="AO33">
        <f>SUMIF(RawDataTotal!$B:$B,$A33,RawDataTotal!AR:AR)</f>
        <v>0</v>
      </c>
      <c r="AP33">
        <f>SUMIF(RawDataTotal!$B:$B,$A33,RawDataTotal!AS:AS)</f>
        <v>2</v>
      </c>
      <c r="AQ33">
        <f>SUMIF(RawDataTotal!$B:$B,$A33,RawDataTotal!AT:AT)</f>
        <v>2</v>
      </c>
      <c r="AR33">
        <f>SUMIF(RawDataTotal!$B:$B,$A33,RawDataTotal!AU:AU)</f>
        <v>5</v>
      </c>
      <c r="AS33">
        <f>SUMIF(RawDataTotal!$B:$B,$A33,RawDataTotal!AV:AV)</f>
        <v>8</v>
      </c>
      <c r="AT33">
        <f>SUMIF(RawDataTotal!$B:$B,$A33,RawDataTotal!AW:AW)</f>
        <v>13</v>
      </c>
      <c r="AU33">
        <f>SUMIF(RawDataTotal!$B:$B,$A33,RawDataTotal!AX:AX)</f>
        <v>20</v>
      </c>
      <c r="AV33">
        <f>SUMIF(RawDataTotal!$B:$B,$A33,RawDataTotal!AY:AY)</f>
        <v>30</v>
      </c>
      <c r="AW33">
        <f>SUMIF(RawDataTotal!$B:$B,$A33,RawDataTotal!AZ:AZ)</f>
        <v>30</v>
      </c>
      <c r="AX33">
        <f>SUMIF(RawDataTotal!$B:$B,$A33,RawDataTotal!BA:BA)</f>
        <v>41</v>
      </c>
      <c r="AY33">
        <f>SUMIF(RawDataTotal!$B:$B,$A33,RawDataTotal!BB:BB)</f>
        <v>59</v>
      </c>
      <c r="AZ33">
        <f>SUMIF(RawDataTotal!$B:$B,$A33,RawDataTotal!BC:BC)</f>
        <v>59</v>
      </c>
      <c r="BA33">
        <f>SUMIF(RawDataTotal!$B:$B,$A33,RawDataTotal!BD:BD)</f>
        <v>112</v>
      </c>
      <c r="BB33">
        <f>SUMIF(RawDataTotal!$B:$B,$A33,RawDataTotal!BE:BE)</f>
        <v>169</v>
      </c>
      <c r="BC33">
        <f>SUMIF(RawDataTotal!$B:$B,$A33,RawDataTotal!BF:BF)</f>
        <v>245</v>
      </c>
      <c r="BD33">
        <f>SUMIF(RawDataTotal!$B:$B,$A33,RawDataTotal!BG:BG)</f>
        <v>331</v>
      </c>
      <c r="BE33">
        <f>SUMIF(RawDataTotal!$B:$B,$A33,RawDataTotal!BH:BH)</f>
        <v>448</v>
      </c>
      <c r="BF33">
        <f>SUMIF(RawDataTotal!$B:$B,$A33,RawDataTotal!BI:BI)</f>
        <v>0</v>
      </c>
      <c r="BG33">
        <f>SUMIF(RawDataTotal!$B:$B,$A33,RawDataTotal!BJ:BJ)</f>
        <v>0</v>
      </c>
      <c r="BH33">
        <f>SUMIF(RawDataTotal!$B:$B,$A33,RawDataTotal!BK:BK)</f>
        <v>0</v>
      </c>
      <c r="BI33">
        <f>SUMIF(RawDataTotal!$B:$B,$A33,RawDataTotal!BL:BL)</f>
        <v>0</v>
      </c>
      <c r="BJ33">
        <f>SUMIF(RawDataTotal!$B:$B,$A33,RawDataTotal!BM:BM)</f>
        <v>0</v>
      </c>
      <c r="BK33">
        <f>SUMIF(RawDataTotal!$B:$B,$A33,RawDataTotal!BN:BN)</f>
        <v>0</v>
      </c>
      <c r="BL33">
        <f>SUMIF(RawDataTotal!$B:$B,$A33,RawDataTotal!BO:BO)</f>
        <v>0</v>
      </c>
      <c r="BM33">
        <f>SUMIF(RawDataTotal!$B:$B,$A33,RawDataTotal!BP:BP)</f>
        <v>0</v>
      </c>
      <c r="BN33">
        <f>SUMIF(RawDataTotal!$B:$B,$A33,RawDataTotal!BQ:BQ)</f>
        <v>0</v>
      </c>
      <c r="BO33">
        <f>SUMIF(RawDataTotal!$B:$B,$A33,RawDataTotal!BR:BR)</f>
        <v>0</v>
      </c>
      <c r="BP33">
        <f>SUMIF(RawDataTotal!$B:$B,$A33,RawDataTotal!BS:BS)</f>
        <v>0</v>
      </c>
      <c r="BQ33">
        <f>SUMIF(RawDataTotal!$B:$B,$A33,RawDataTotal!BT:BT)</f>
        <v>0</v>
      </c>
      <c r="BR33">
        <f>SUMIF(RawDataTotal!$B:$B,$A33,RawDataTotal!BU:BU)</f>
        <v>0</v>
      </c>
      <c r="BS33">
        <f>SUMIF(RawDataTotal!$B:$B,$A33,RawDataTotal!BV:BV)</f>
        <v>0</v>
      </c>
      <c r="BT33">
        <f>SUMIF(RawDataTotal!$B:$B,$A33,RawDataTotal!BW:BW)</f>
        <v>0</v>
      </c>
    </row>
    <row r="34" spans="1:72" ht="15" thickBot="1" x14ac:dyDescent="0.35">
      <c r="A34" s="3" t="s">
        <v>97</v>
      </c>
      <c r="B34">
        <f>SUMIF(RawDataTotal!$B:$B,$A34,RawDataTotal!E:E)</f>
        <v>0</v>
      </c>
      <c r="C34">
        <f>SUMIF(RawDataTotal!$B:$B,$A34,RawDataTotal!F:F)</f>
        <v>0</v>
      </c>
      <c r="D34">
        <f>SUMIF(RawDataTotal!$B:$B,$A34,RawDataTotal!G:G)</f>
        <v>0</v>
      </c>
      <c r="E34">
        <f>SUMIF(RawDataTotal!$B:$B,$A34,RawDataTotal!H:H)</f>
        <v>0</v>
      </c>
      <c r="F34">
        <f>SUMIF(RawDataTotal!$B:$B,$A34,RawDataTotal!I:I)</f>
        <v>0</v>
      </c>
      <c r="G34">
        <f>SUMIF(RawDataTotal!$B:$B,$A34,RawDataTotal!J:J)</f>
        <v>0</v>
      </c>
      <c r="H34">
        <f>SUMIF(RawDataTotal!$B:$B,$A34,RawDataTotal!K:K)</f>
        <v>0</v>
      </c>
      <c r="I34">
        <f>SUMIF(RawDataTotal!$B:$B,$A34,RawDataTotal!L:L)</f>
        <v>0</v>
      </c>
      <c r="J34">
        <f>SUMIF(RawDataTotal!$B:$B,$A34,RawDataTotal!M:M)</f>
        <v>0</v>
      </c>
      <c r="K34">
        <f>SUMIF(RawDataTotal!$B:$B,$A34,RawDataTotal!N:N)</f>
        <v>0</v>
      </c>
      <c r="L34">
        <f>SUMIF(RawDataTotal!$B:$B,$A34,RawDataTotal!O:O)</f>
        <v>0</v>
      </c>
      <c r="M34">
        <f>SUMIF(RawDataTotal!$B:$B,$A34,RawDataTotal!P:P)</f>
        <v>0</v>
      </c>
      <c r="N34">
        <f>SUMIF(RawDataTotal!$B:$B,$A34,RawDataTotal!Q:Q)</f>
        <v>0</v>
      </c>
      <c r="O34">
        <f>SUMIF(RawDataTotal!$B:$B,$A34,RawDataTotal!R:R)</f>
        <v>0</v>
      </c>
      <c r="P34">
        <f>SUMIF(RawDataTotal!$B:$B,$A34,RawDataTotal!S:S)</f>
        <v>0</v>
      </c>
      <c r="Q34">
        <f>SUMIF(RawDataTotal!$B:$B,$A34,RawDataTotal!T:T)</f>
        <v>0</v>
      </c>
      <c r="R34">
        <f>SUMIF(RawDataTotal!$B:$B,$A34,RawDataTotal!U:U)</f>
        <v>0</v>
      </c>
      <c r="S34">
        <f>SUMIF(RawDataTotal!$B:$B,$A34,RawDataTotal!V:V)</f>
        <v>0</v>
      </c>
      <c r="T34">
        <f>SUMIF(RawDataTotal!$B:$B,$A34,RawDataTotal!W:W)</f>
        <v>0</v>
      </c>
      <c r="U34">
        <f>SUMIF(RawDataTotal!$B:$B,$A34,RawDataTotal!X:X)</f>
        <v>0</v>
      </c>
      <c r="V34">
        <f>SUMIF(RawDataTotal!$B:$B,$A34,RawDataTotal!Y:Y)</f>
        <v>0</v>
      </c>
      <c r="W34">
        <f>SUMIF(RawDataTotal!$B:$B,$A34,RawDataTotal!Z:Z)</f>
        <v>0</v>
      </c>
      <c r="X34">
        <f>SUMIF(RawDataTotal!$B:$B,$A34,RawDataTotal!AA:AA)</f>
        <v>0</v>
      </c>
      <c r="Y34">
        <f>SUMIF(RawDataTotal!$B:$B,$A34,RawDataTotal!AB:AB)</f>
        <v>0</v>
      </c>
      <c r="Z34">
        <f>SUMIF(RawDataTotal!$B:$B,$A34,RawDataTotal!AC:AC)</f>
        <v>0</v>
      </c>
      <c r="AA34">
        <f>SUMIF(RawDataTotal!$B:$B,$A34,RawDataTotal!AD:AD)</f>
        <v>0</v>
      </c>
      <c r="AB34">
        <f>SUMIF(RawDataTotal!$B:$B,$A34,RawDataTotal!AE:AE)</f>
        <v>0</v>
      </c>
      <c r="AC34">
        <f>SUMIF(RawDataTotal!$B:$B,$A34,RawDataTotal!AF:AF)</f>
        <v>0</v>
      </c>
      <c r="AD34">
        <f>SUMIF(RawDataTotal!$B:$B,$A34,RawDataTotal!AG:AG)</f>
        <v>0</v>
      </c>
      <c r="AE34">
        <f>SUMIF(RawDataTotal!$B:$B,$A34,RawDataTotal!AH:AH)</f>
        <v>0</v>
      </c>
      <c r="AF34">
        <f>SUMIF(RawDataTotal!$B:$B,$A34,RawDataTotal!AI:AI)</f>
        <v>0</v>
      </c>
      <c r="AG34">
        <f>SUMIF(RawDataTotal!$B:$B,$A34,RawDataTotal!AJ:AJ)</f>
        <v>0</v>
      </c>
      <c r="AH34">
        <f>SUMIF(RawDataTotal!$B:$B,$A34,RawDataTotal!AK:AK)</f>
        <v>0</v>
      </c>
      <c r="AI34">
        <f>SUMIF(RawDataTotal!$B:$B,$A34,RawDataTotal!AL:AL)</f>
        <v>1</v>
      </c>
      <c r="AJ34">
        <f>SUMIF(RawDataTotal!$B:$B,$A34,RawDataTotal!AM:AM)</f>
        <v>1</v>
      </c>
      <c r="AK34">
        <f>SUMIF(RawDataTotal!$B:$B,$A34,RawDataTotal!AN:AN)</f>
        <v>5</v>
      </c>
      <c r="AL34">
        <f>SUMIF(RawDataTotal!$B:$B,$A34,RawDataTotal!AO:AO)</f>
        <v>7</v>
      </c>
      <c r="AM34">
        <f>SUMIF(RawDataTotal!$B:$B,$A34,RawDataTotal!AP:AP)</f>
        <v>7</v>
      </c>
      <c r="AN34">
        <f>SUMIF(RawDataTotal!$B:$B,$A34,RawDataTotal!AQ:AQ)</f>
        <v>13</v>
      </c>
      <c r="AO34">
        <f>SUMIF(RawDataTotal!$B:$B,$A34,RawDataTotal!AR:AR)</f>
        <v>19</v>
      </c>
      <c r="AP34">
        <f>SUMIF(RawDataTotal!$B:$B,$A34,RawDataTotal!AS:AS)</f>
        <v>26</v>
      </c>
      <c r="AQ34">
        <f>SUMIF(RawDataTotal!$B:$B,$A34,RawDataTotal!AT:AT)</f>
        <v>32</v>
      </c>
      <c r="AR34">
        <f>SUMIF(RawDataTotal!$B:$B,$A34,RawDataTotal!AU:AU)</f>
        <v>35</v>
      </c>
      <c r="AS34">
        <f>SUMIF(RawDataTotal!$B:$B,$A34,RawDataTotal!AV:AV)</f>
        <v>35</v>
      </c>
      <c r="AT34">
        <f>SUMIF(RawDataTotal!$B:$B,$A34,RawDataTotal!AW:AW)</f>
        <v>40</v>
      </c>
      <c r="AU34">
        <f>SUMIF(RawDataTotal!$B:$B,$A34,RawDataTotal!AX:AX)</f>
        <v>54</v>
      </c>
      <c r="AV34">
        <f>SUMIF(RawDataTotal!$B:$B,$A34,RawDataTotal!AY:AY)</f>
        <v>60</v>
      </c>
      <c r="AW34">
        <f>SUMIF(RawDataTotal!$B:$B,$A34,RawDataTotal!AZ:AZ)</f>
        <v>60</v>
      </c>
      <c r="AX34">
        <f>SUMIF(RawDataTotal!$B:$B,$A34,RawDataTotal!BA:BA)</f>
        <v>71</v>
      </c>
      <c r="AY34">
        <f>SUMIF(RawDataTotal!$B:$B,$A34,RawDataTotal!BB:BB)</f>
        <v>71</v>
      </c>
      <c r="AZ34">
        <f>SUMIF(RawDataTotal!$B:$B,$A34,RawDataTotal!BC:BC)</f>
        <v>71</v>
      </c>
      <c r="BA34">
        <f>SUMIF(RawDataTotal!$B:$B,$A34,RawDataTotal!BD:BD)</f>
        <v>101</v>
      </c>
      <c r="BB34">
        <f>SUMIF(RawDataTotal!$B:$B,$A34,RawDataTotal!BE:BE)</f>
        <v>110</v>
      </c>
      <c r="BC34">
        <f>SUMIF(RawDataTotal!$B:$B,$A34,RawDataTotal!BF:BF)</f>
        <v>116</v>
      </c>
      <c r="BD34">
        <f>SUMIF(RawDataTotal!$B:$B,$A34,RawDataTotal!BG:BG)</f>
        <v>124</v>
      </c>
      <c r="BE34">
        <f>SUMIF(RawDataTotal!$B:$B,$A34,RawDataTotal!BH:BH)</f>
        <v>154</v>
      </c>
      <c r="BF34">
        <f>SUMIF(RawDataTotal!$B:$B,$A34,RawDataTotal!BI:BI)</f>
        <v>0</v>
      </c>
      <c r="BG34">
        <f>SUMIF(RawDataTotal!$B:$B,$A34,RawDataTotal!BJ:BJ)</f>
        <v>0</v>
      </c>
      <c r="BH34">
        <f>SUMIF(RawDataTotal!$B:$B,$A34,RawDataTotal!BK:BK)</f>
        <v>0</v>
      </c>
      <c r="BI34">
        <f>SUMIF(RawDataTotal!$B:$B,$A34,RawDataTotal!BL:BL)</f>
        <v>0</v>
      </c>
      <c r="BJ34">
        <f>SUMIF(RawDataTotal!$B:$B,$A34,RawDataTotal!BM:BM)</f>
        <v>0</v>
      </c>
      <c r="BK34">
        <f>SUMIF(RawDataTotal!$B:$B,$A34,RawDataTotal!BN:BN)</f>
        <v>0</v>
      </c>
      <c r="BL34">
        <f>SUMIF(RawDataTotal!$B:$B,$A34,RawDataTotal!BO:BO)</f>
        <v>0</v>
      </c>
      <c r="BM34">
        <f>SUMIF(RawDataTotal!$B:$B,$A34,RawDataTotal!BP:BP)</f>
        <v>0</v>
      </c>
      <c r="BN34">
        <f>SUMIF(RawDataTotal!$B:$B,$A34,RawDataTotal!BQ:BQ)</f>
        <v>0</v>
      </c>
      <c r="BO34">
        <f>SUMIF(RawDataTotal!$B:$B,$A34,RawDataTotal!BR:BR)</f>
        <v>0</v>
      </c>
      <c r="BP34">
        <f>SUMIF(RawDataTotal!$B:$B,$A34,RawDataTotal!BS:BS)</f>
        <v>0</v>
      </c>
      <c r="BQ34">
        <f>SUMIF(RawDataTotal!$B:$B,$A34,RawDataTotal!BT:BT)</f>
        <v>0</v>
      </c>
      <c r="BR34">
        <f>SUMIF(RawDataTotal!$B:$B,$A34,RawDataTotal!BU:BU)</f>
        <v>0</v>
      </c>
      <c r="BS34">
        <f>SUMIF(RawDataTotal!$B:$B,$A34,RawDataTotal!BV:BV)</f>
        <v>0</v>
      </c>
      <c r="BT34">
        <f>SUMIF(RawDataTotal!$B:$B,$A34,RawDataTotal!BW:BW)</f>
        <v>0</v>
      </c>
    </row>
    <row r="35" spans="1:72" ht="15" thickBot="1" x14ac:dyDescent="0.35">
      <c r="A35" s="4" t="s">
        <v>125</v>
      </c>
      <c r="B35">
        <f>SUMIF(RawDataTotal!$B:$B,$A35,RawDataTotal!E:E)</f>
        <v>0</v>
      </c>
      <c r="C35">
        <f>SUMIF(RawDataTotal!$B:$B,$A35,RawDataTotal!F:F)</f>
        <v>0</v>
      </c>
      <c r="D35">
        <f>SUMIF(RawDataTotal!$B:$B,$A35,RawDataTotal!G:G)</f>
        <v>0</v>
      </c>
      <c r="E35">
        <f>SUMIF(RawDataTotal!$B:$B,$A35,RawDataTotal!H:H)</f>
        <v>0</v>
      </c>
      <c r="F35">
        <f>SUMIF(RawDataTotal!$B:$B,$A35,RawDataTotal!I:I)</f>
        <v>0</v>
      </c>
      <c r="G35">
        <f>SUMIF(RawDataTotal!$B:$B,$A35,RawDataTotal!J:J)</f>
        <v>0</v>
      </c>
      <c r="H35">
        <f>SUMIF(RawDataTotal!$B:$B,$A35,RawDataTotal!K:K)</f>
        <v>0</v>
      </c>
      <c r="I35">
        <f>SUMIF(RawDataTotal!$B:$B,$A35,RawDataTotal!L:L)</f>
        <v>0</v>
      </c>
      <c r="J35">
        <f>SUMIF(RawDataTotal!$B:$B,$A35,RawDataTotal!M:M)</f>
        <v>0</v>
      </c>
      <c r="K35">
        <f>SUMIF(RawDataTotal!$B:$B,$A35,RawDataTotal!N:N)</f>
        <v>0</v>
      </c>
      <c r="L35">
        <f>SUMIF(RawDataTotal!$B:$B,$A35,RawDataTotal!O:O)</f>
        <v>0</v>
      </c>
      <c r="M35">
        <f>SUMIF(RawDataTotal!$B:$B,$A35,RawDataTotal!P:P)</f>
        <v>0</v>
      </c>
      <c r="N35">
        <f>SUMIF(RawDataTotal!$B:$B,$A35,RawDataTotal!Q:Q)</f>
        <v>0</v>
      </c>
      <c r="O35">
        <f>SUMIF(RawDataTotal!$B:$B,$A35,RawDataTotal!R:R)</f>
        <v>0</v>
      </c>
      <c r="P35">
        <f>SUMIF(RawDataTotal!$B:$B,$A35,RawDataTotal!S:S)</f>
        <v>0</v>
      </c>
      <c r="Q35">
        <f>SUMIF(RawDataTotal!$B:$B,$A35,RawDataTotal!T:T)</f>
        <v>0</v>
      </c>
      <c r="R35">
        <f>SUMIF(RawDataTotal!$B:$B,$A35,RawDataTotal!U:U)</f>
        <v>0</v>
      </c>
      <c r="S35">
        <f>SUMIF(RawDataTotal!$B:$B,$A35,RawDataTotal!V:V)</f>
        <v>0</v>
      </c>
      <c r="T35">
        <f>SUMIF(RawDataTotal!$B:$B,$A35,RawDataTotal!W:W)</f>
        <v>0</v>
      </c>
      <c r="U35">
        <f>SUMIF(RawDataTotal!$B:$B,$A35,RawDataTotal!X:X)</f>
        <v>0</v>
      </c>
      <c r="V35">
        <f>SUMIF(RawDataTotal!$B:$B,$A35,RawDataTotal!Y:Y)</f>
        <v>0</v>
      </c>
      <c r="W35">
        <f>SUMIF(RawDataTotal!$B:$B,$A35,RawDataTotal!Z:Z)</f>
        <v>0</v>
      </c>
      <c r="X35">
        <f>SUMIF(RawDataTotal!$B:$B,$A35,RawDataTotal!AA:AA)</f>
        <v>0</v>
      </c>
      <c r="Y35">
        <f>SUMIF(RawDataTotal!$B:$B,$A35,RawDataTotal!AB:AB)</f>
        <v>0</v>
      </c>
      <c r="Z35">
        <f>SUMIF(RawDataTotal!$B:$B,$A35,RawDataTotal!AC:AC)</f>
        <v>0</v>
      </c>
      <c r="AA35">
        <f>SUMIF(RawDataTotal!$B:$B,$A35,RawDataTotal!AD:AD)</f>
        <v>0</v>
      </c>
      <c r="AB35">
        <f>SUMIF(RawDataTotal!$B:$B,$A35,RawDataTotal!AE:AE)</f>
        <v>0</v>
      </c>
      <c r="AC35">
        <f>SUMIF(RawDataTotal!$B:$B,$A35,RawDataTotal!AF:AF)</f>
        <v>0</v>
      </c>
      <c r="AD35">
        <f>SUMIF(RawDataTotal!$B:$B,$A35,RawDataTotal!AG:AG)</f>
        <v>0</v>
      </c>
      <c r="AE35">
        <f>SUMIF(RawDataTotal!$B:$B,$A35,RawDataTotal!AH:AH)</f>
        <v>0</v>
      </c>
      <c r="AF35">
        <f>SUMIF(RawDataTotal!$B:$B,$A35,RawDataTotal!AI:AI)</f>
        <v>0</v>
      </c>
      <c r="AG35">
        <f>SUMIF(RawDataTotal!$B:$B,$A35,RawDataTotal!AJ:AJ)</f>
        <v>0</v>
      </c>
      <c r="AH35">
        <f>SUMIF(RawDataTotal!$B:$B,$A35,RawDataTotal!AK:AK)</f>
        <v>0</v>
      </c>
      <c r="AI35">
        <f>SUMIF(RawDataTotal!$B:$B,$A35,RawDataTotal!AL:AL)</f>
        <v>0</v>
      </c>
      <c r="AJ35">
        <f>SUMIF(RawDataTotal!$B:$B,$A35,RawDataTotal!AM:AM)</f>
        <v>0</v>
      </c>
      <c r="AK35">
        <f>SUMIF(RawDataTotal!$B:$B,$A35,RawDataTotal!AN:AN)</f>
        <v>0</v>
      </c>
      <c r="AL35">
        <f>SUMIF(RawDataTotal!$B:$B,$A35,RawDataTotal!AO:AO)</f>
        <v>0</v>
      </c>
      <c r="AM35">
        <f>SUMIF(RawDataTotal!$B:$B,$A35,RawDataTotal!AP:AP)</f>
        <v>0</v>
      </c>
      <c r="AN35">
        <f>SUMIF(RawDataTotal!$B:$B,$A35,RawDataTotal!AQ:AQ)</f>
        <v>1</v>
      </c>
      <c r="AO35">
        <f>SUMIF(RawDataTotal!$B:$B,$A35,RawDataTotal!AR:AR)</f>
        <v>1</v>
      </c>
      <c r="AP35">
        <f>SUMIF(RawDataTotal!$B:$B,$A35,RawDataTotal!AS:AS)</f>
        <v>1</v>
      </c>
      <c r="AQ35">
        <f>SUMIF(RawDataTotal!$B:$B,$A35,RawDataTotal!AT:AT)</f>
        <v>2</v>
      </c>
      <c r="AR35">
        <f>SUMIF(RawDataTotal!$B:$B,$A35,RawDataTotal!AU:AU)</f>
        <v>6</v>
      </c>
      <c r="AS35">
        <f>SUMIF(RawDataTotal!$B:$B,$A35,RawDataTotal!AV:AV)</f>
        <v>6</v>
      </c>
      <c r="AT35">
        <f>SUMIF(RawDataTotal!$B:$B,$A35,RawDataTotal!AW:AW)</f>
        <v>18</v>
      </c>
      <c r="AU35">
        <f>SUMIF(RawDataTotal!$B:$B,$A35,RawDataTotal!AX:AX)</f>
        <v>18</v>
      </c>
      <c r="AV35">
        <f>SUMIF(RawDataTotal!$B:$B,$A35,RawDataTotal!AY:AY)</f>
        <v>19</v>
      </c>
      <c r="AW35">
        <f>SUMIF(RawDataTotal!$B:$B,$A35,RawDataTotal!AZ:AZ)</f>
        <v>21</v>
      </c>
      <c r="AX35">
        <f>SUMIF(RawDataTotal!$B:$B,$A35,RawDataTotal!BA:BA)</f>
        <v>34</v>
      </c>
      <c r="AY35">
        <f>SUMIF(RawDataTotal!$B:$B,$A35,RawDataTotal!BB:BB)</f>
        <v>43</v>
      </c>
      <c r="AZ35">
        <f>SUMIF(RawDataTotal!$B:$B,$A35,RawDataTotal!BC:BC)</f>
        <v>43</v>
      </c>
      <c r="BA35">
        <f>SUMIF(RawDataTotal!$B:$B,$A35,RawDataTotal!BD:BD)</f>
        <v>90</v>
      </c>
      <c r="BB35">
        <f>SUMIF(RawDataTotal!$B:$B,$A35,RawDataTotal!BE:BE)</f>
        <v>129</v>
      </c>
      <c r="BC35">
        <f>SUMIF(RawDataTotal!$B:$B,$A35,RawDataTotal!BF:BF)</f>
        <v>129</v>
      </c>
      <c r="BD35">
        <f>SUMIF(RawDataTotal!$B:$B,$A35,RawDataTotal!BG:BG)</f>
        <v>169</v>
      </c>
      <c r="BE35">
        <f>SUMIF(RawDataTotal!$B:$B,$A35,RawDataTotal!BH:BH)</f>
        <v>223</v>
      </c>
      <c r="BF35">
        <f>SUMIF(RawDataTotal!$B:$B,$A35,RawDataTotal!BI:BI)</f>
        <v>0</v>
      </c>
      <c r="BG35">
        <f>SUMIF(RawDataTotal!$B:$B,$A35,RawDataTotal!BJ:BJ)</f>
        <v>0</v>
      </c>
      <c r="BH35">
        <f>SUMIF(RawDataTotal!$B:$B,$A35,RawDataTotal!BK:BK)</f>
        <v>0</v>
      </c>
      <c r="BI35">
        <f>SUMIF(RawDataTotal!$B:$B,$A35,RawDataTotal!BL:BL)</f>
        <v>0</v>
      </c>
      <c r="BJ35">
        <f>SUMIF(RawDataTotal!$B:$B,$A35,RawDataTotal!BM:BM)</f>
        <v>0</v>
      </c>
      <c r="BK35">
        <f>SUMIF(RawDataTotal!$B:$B,$A35,RawDataTotal!BN:BN)</f>
        <v>0</v>
      </c>
      <c r="BL35">
        <f>SUMIF(RawDataTotal!$B:$B,$A35,RawDataTotal!BO:BO)</f>
        <v>0</v>
      </c>
      <c r="BM35">
        <f>SUMIF(RawDataTotal!$B:$B,$A35,RawDataTotal!BP:BP)</f>
        <v>0</v>
      </c>
      <c r="BN35">
        <f>SUMIF(RawDataTotal!$B:$B,$A35,RawDataTotal!BQ:BQ)</f>
        <v>0</v>
      </c>
      <c r="BO35">
        <f>SUMIF(RawDataTotal!$B:$B,$A35,RawDataTotal!BR:BR)</f>
        <v>0</v>
      </c>
      <c r="BP35">
        <f>SUMIF(RawDataTotal!$B:$B,$A35,RawDataTotal!BS:BS)</f>
        <v>0</v>
      </c>
      <c r="BQ35">
        <f>SUMIF(RawDataTotal!$B:$B,$A35,RawDataTotal!BT:BT)</f>
        <v>0</v>
      </c>
      <c r="BR35">
        <f>SUMIF(RawDataTotal!$B:$B,$A35,RawDataTotal!BU:BU)</f>
        <v>0</v>
      </c>
      <c r="BS35">
        <f>SUMIF(RawDataTotal!$B:$B,$A35,RawDataTotal!BV:BV)</f>
        <v>0</v>
      </c>
      <c r="BT35">
        <f>SUMIF(RawDataTotal!$B:$B,$A35,RawDataTotal!BW:BW)</f>
        <v>0</v>
      </c>
    </row>
    <row r="36" spans="1:72" ht="15" thickBot="1" x14ac:dyDescent="0.35">
      <c r="A36" s="3" t="s">
        <v>113</v>
      </c>
      <c r="B36">
        <f>SUMIF(RawDataTotal!$B:$B,$A36,RawDataTotal!E:E)</f>
        <v>0</v>
      </c>
      <c r="C36">
        <f>SUMIF(RawDataTotal!$B:$B,$A36,RawDataTotal!F:F)</f>
        <v>0</v>
      </c>
      <c r="D36">
        <f>SUMIF(RawDataTotal!$B:$B,$A36,RawDataTotal!G:G)</f>
        <v>0</v>
      </c>
      <c r="E36">
        <f>SUMIF(RawDataTotal!$B:$B,$A36,RawDataTotal!H:H)</f>
        <v>0</v>
      </c>
      <c r="F36">
        <f>SUMIF(RawDataTotal!$B:$B,$A36,RawDataTotal!I:I)</f>
        <v>0</v>
      </c>
      <c r="G36">
        <f>SUMIF(RawDataTotal!$B:$B,$A36,RawDataTotal!J:J)</f>
        <v>0</v>
      </c>
      <c r="H36">
        <f>SUMIF(RawDataTotal!$B:$B,$A36,RawDataTotal!K:K)</f>
        <v>0</v>
      </c>
      <c r="I36">
        <f>SUMIF(RawDataTotal!$B:$B,$A36,RawDataTotal!L:L)</f>
        <v>0</v>
      </c>
      <c r="J36">
        <f>SUMIF(RawDataTotal!$B:$B,$A36,RawDataTotal!M:M)</f>
        <v>0</v>
      </c>
      <c r="K36">
        <f>SUMIF(RawDataTotal!$B:$B,$A36,RawDataTotal!N:N)</f>
        <v>0</v>
      </c>
      <c r="L36">
        <f>SUMIF(RawDataTotal!$B:$B,$A36,RawDataTotal!O:O)</f>
        <v>0</v>
      </c>
      <c r="M36">
        <f>SUMIF(RawDataTotal!$B:$B,$A36,RawDataTotal!P:P)</f>
        <v>0</v>
      </c>
      <c r="N36">
        <f>SUMIF(RawDataTotal!$B:$B,$A36,RawDataTotal!Q:Q)</f>
        <v>0</v>
      </c>
      <c r="O36">
        <f>SUMIF(RawDataTotal!$B:$B,$A36,RawDataTotal!R:R)</f>
        <v>0</v>
      </c>
      <c r="P36">
        <f>SUMIF(RawDataTotal!$B:$B,$A36,RawDataTotal!S:S)</f>
        <v>0</v>
      </c>
      <c r="Q36">
        <f>SUMIF(RawDataTotal!$B:$B,$A36,RawDataTotal!T:T)</f>
        <v>0</v>
      </c>
      <c r="R36">
        <f>SUMIF(RawDataTotal!$B:$B,$A36,RawDataTotal!U:U)</f>
        <v>0</v>
      </c>
      <c r="S36">
        <f>SUMIF(RawDataTotal!$B:$B,$A36,RawDataTotal!V:V)</f>
        <v>0</v>
      </c>
      <c r="T36">
        <f>SUMIF(RawDataTotal!$B:$B,$A36,RawDataTotal!W:W)</f>
        <v>0</v>
      </c>
      <c r="U36">
        <f>SUMIF(RawDataTotal!$B:$B,$A36,RawDataTotal!X:X)</f>
        <v>0</v>
      </c>
      <c r="V36">
        <f>SUMIF(RawDataTotal!$B:$B,$A36,RawDataTotal!Y:Y)</f>
        <v>0</v>
      </c>
      <c r="W36">
        <f>SUMIF(RawDataTotal!$B:$B,$A36,RawDataTotal!Z:Z)</f>
        <v>0</v>
      </c>
      <c r="X36">
        <f>SUMIF(RawDataTotal!$B:$B,$A36,RawDataTotal!AA:AA)</f>
        <v>0</v>
      </c>
      <c r="Y36">
        <f>SUMIF(RawDataTotal!$B:$B,$A36,RawDataTotal!AB:AB)</f>
        <v>0</v>
      </c>
      <c r="Z36">
        <f>SUMIF(RawDataTotal!$B:$B,$A36,RawDataTotal!AC:AC)</f>
        <v>0</v>
      </c>
      <c r="AA36">
        <f>SUMIF(RawDataTotal!$B:$B,$A36,RawDataTotal!AD:AD)</f>
        <v>0</v>
      </c>
      <c r="AB36">
        <f>SUMIF(RawDataTotal!$B:$B,$A36,RawDataTotal!AE:AE)</f>
        <v>0</v>
      </c>
      <c r="AC36">
        <f>SUMIF(RawDataTotal!$B:$B,$A36,RawDataTotal!AF:AF)</f>
        <v>0</v>
      </c>
      <c r="AD36">
        <f>SUMIF(RawDataTotal!$B:$B,$A36,RawDataTotal!AG:AG)</f>
        <v>0</v>
      </c>
      <c r="AE36">
        <f>SUMIF(RawDataTotal!$B:$B,$A36,RawDataTotal!AH:AH)</f>
        <v>0</v>
      </c>
      <c r="AF36">
        <f>SUMIF(RawDataTotal!$B:$B,$A36,RawDataTotal!AI:AI)</f>
        <v>0</v>
      </c>
      <c r="AG36">
        <f>SUMIF(RawDataTotal!$B:$B,$A36,RawDataTotal!AJ:AJ)</f>
        <v>0</v>
      </c>
      <c r="AH36">
        <f>SUMIF(RawDataTotal!$B:$B,$A36,RawDataTotal!AK:AK)</f>
        <v>0</v>
      </c>
      <c r="AI36">
        <f>SUMIF(RawDataTotal!$B:$B,$A36,RawDataTotal!AL:AL)</f>
        <v>0</v>
      </c>
      <c r="AJ36">
        <f>SUMIF(RawDataTotal!$B:$B,$A36,RawDataTotal!AM:AM)</f>
        <v>0</v>
      </c>
      <c r="AK36">
        <f>SUMIF(RawDataTotal!$B:$B,$A36,RawDataTotal!AN:AN)</f>
        <v>1</v>
      </c>
      <c r="AL36">
        <f>SUMIF(RawDataTotal!$B:$B,$A36,RawDataTotal!AO:AO)</f>
        <v>1</v>
      </c>
      <c r="AM36">
        <f>SUMIF(RawDataTotal!$B:$B,$A36,RawDataTotal!AP:AP)</f>
        <v>3</v>
      </c>
      <c r="AN36">
        <f>SUMIF(RawDataTotal!$B:$B,$A36,RawDataTotal!AQ:AQ)</f>
        <v>3</v>
      </c>
      <c r="AO36">
        <f>SUMIF(RawDataTotal!$B:$B,$A36,RawDataTotal!AR:AR)</f>
        <v>3</v>
      </c>
      <c r="AP36">
        <f>SUMIF(RawDataTotal!$B:$B,$A36,RawDataTotal!AS:AS)</f>
        <v>3</v>
      </c>
      <c r="AQ36">
        <f>SUMIF(RawDataTotal!$B:$B,$A36,RawDataTotal!AT:AT)</f>
        <v>3</v>
      </c>
      <c r="AR36">
        <f>SUMIF(RawDataTotal!$B:$B,$A36,RawDataTotal!AU:AU)</f>
        <v>4</v>
      </c>
      <c r="AS36">
        <f>SUMIF(RawDataTotal!$B:$B,$A36,RawDataTotal!AV:AV)</f>
        <v>6</v>
      </c>
      <c r="AT36">
        <f>SUMIF(RawDataTotal!$B:$B,$A36,RawDataTotal!AW:AW)</f>
        <v>9</v>
      </c>
      <c r="AU36">
        <f>SUMIF(RawDataTotal!$B:$B,$A36,RawDataTotal!AX:AX)</f>
        <v>9</v>
      </c>
      <c r="AV36">
        <f>SUMIF(RawDataTotal!$B:$B,$A36,RawDataTotal!AY:AY)</f>
        <v>15</v>
      </c>
      <c r="AW36">
        <f>SUMIF(RawDataTotal!$B:$B,$A36,RawDataTotal!AZ:AZ)</f>
        <v>15</v>
      </c>
      <c r="AX36">
        <f>SUMIF(RawDataTotal!$B:$B,$A36,RawDataTotal!BA:BA)</f>
        <v>25</v>
      </c>
      <c r="AY36">
        <f>SUMIF(RawDataTotal!$B:$B,$A36,RawDataTotal!BB:BB)</f>
        <v>45</v>
      </c>
      <c r="AZ36">
        <f>SUMIF(RawDataTotal!$B:$B,$A36,RawDataTotal!BC:BC)</f>
        <v>49</v>
      </c>
      <c r="BA36">
        <f>SUMIF(RawDataTotal!$B:$B,$A36,RawDataTotal!BD:BD)</f>
        <v>89</v>
      </c>
      <c r="BB36">
        <f>SUMIF(RawDataTotal!$B:$B,$A36,RawDataTotal!BE:BE)</f>
        <v>123</v>
      </c>
      <c r="BC36">
        <f>SUMIF(RawDataTotal!$B:$B,$A36,RawDataTotal!BF:BF)</f>
        <v>131</v>
      </c>
      <c r="BD36">
        <f>SUMIF(RawDataTotal!$B:$B,$A36,RawDataTotal!BG:BG)</f>
        <v>158</v>
      </c>
      <c r="BE36">
        <f>SUMIF(RawDataTotal!$B:$B,$A36,RawDataTotal!BH:BH)</f>
        <v>184</v>
      </c>
      <c r="BF36">
        <f>SUMIF(RawDataTotal!$B:$B,$A36,RawDataTotal!BI:BI)</f>
        <v>0</v>
      </c>
      <c r="BG36">
        <f>SUMIF(RawDataTotal!$B:$B,$A36,RawDataTotal!BJ:BJ)</f>
        <v>0</v>
      </c>
      <c r="BH36">
        <f>SUMIF(RawDataTotal!$B:$B,$A36,RawDataTotal!BK:BK)</f>
        <v>0</v>
      </c>
      <c r="BI36">
        <f>SUMIF(RawDataTotal!$B:$B,$A36,RawDataTotal!BL:BL)</f>
        <v>0</v>
      </c>
      <c r="BJ36">
        <f>SUMIF(RawDataTotal!$B:$B,$A36,RawDataTotal!BM:BM)</f>
        <v>0</v>
      </c>
      <c r="BK36">
        <f>SUMIF(RawDataTotal!$B:$B,$A36,RawDataTotal!BN:BN)</f>
        <v>0</v>
      </c>
      <c r="BL36">
        <f>SUMIF(RawDataTotal!$B:$B,$A36,RawDataTotal!BO:BO)</f>
        <v>0</v>
      </c>
      <c r="BM36">
        <f>SUMIF(RawDataTotal!$B:$B,$A36,RawDataTotal!BP:BP)</f>
        <v>0</v>
      </c>
      <c r="BN36">
        <f>SUMIF(RawDataTotal!$B:$B,$A36,RawDataTotal!BQ:BQ)</f>
        <v>0</v>
      </c>
      <c r="BO36">
        <f>SUMIF(RawDataTotal!$B:$B,$A36,RawDataTotal!BR:BR)</f>
        <v>0</v>
      </c>
      <c r="BP36">
        <f>SUMIF(RawDataTotal!$B:$B,$A36,RawDataTotal!BS:BS)</f>
        <v>0</v>
      </c>
      <c r="BQ36">
        <f>SUMIF(RawDataTotal!$B:$B,$A36,RawDataTotal!BT:BT)</f>
        <v>0</v>
      </c>
      <c r="BR36">
        <f>SUMIF(RawDataTotal!$B:$B,$A36,RawDataTotal!BU:BU)</f>
        <v>0</v>
      </c>
      <c r="BS36">
        <f>SUMIF(RawDataTotal!$B:$B,$A36,RawDataTotal!BV:BV)</f>
        <v>0</v>
      </c>
      <c r="BT36">
        <f>SUMIF(RawDataTotal!$B:$B,$A36,RawDataTotal!BW:BW)</f>
        <v>0</v>
      </c>
    </row>
    <row r="37" spans="1:72" ht="15" thickBot="1" x14ac:dyDescent="0.35">
      <c r="A37" s="4" t="s">
        <v>140</v>
      </c>
      <c r="B37">
        <f>SUMIF(RawDataTotal!$B:$B,$A37,RawDataTotal!E:E)</f>
        <v>0</v>
      </c>
      <c r="C37">
        <f>SUMIF(RawDataTotal!$B:$B,$A37,RawDataTotal!F:F)</f>
        <v>0</v>
      </c>
      <c r="D37">
        <f>SUMIF(RawDataTotal!$B:$B,$A37,RawDataTotal!G:G)</f>
        <v>0</v>
      </c>
      <c r="E37">
        <f>SUMIF(RawDataTotal!$B:$B,$A37,RawDataTotal!H:H)</f>
        <v>0</v>
      </c>
      <c r="F37">
        <f>SUMIF(RawDataTotal!$B:$B,$A37,RawDataTotal!I:I)</f>
        <v>0</v>
      </c>
      <c r="G37">
        <f>SUMIF(RawDataTotal!$B:$B,$A37,RawDataTotal!J:J)</f>
        <v>0</v>
      </c>
      <c r="H37">
        <f>SUMIF(RawDataTotal!$B:$B,$A37,RawDataTotal!K:K)</f>
        <v>0</v>
      </c>
      <c r="I37">
        <f>SUMIF(RawDataTotal!$B:$B,$A37,RawDataTotal!L:L)</f>
        <v>0</v>
      </c>
      <c r="J37">
        <f>SUMIF(RawDataTotal!$B:$B,$A37,RawDataTotal!M:M)</f>
        <v>0</v>
      </c>
      <c r="K37">
        <f>SUMIF(RawDataTotal!$B:$B,$A37,RawDataTotal!N:N)</f>
        <v>0</v>
      </c>
      <c r="L37">
        <f>SUMIF(RawDataTotal!$B:$B,$A37,RawDataTotal!O:O)</f>
        <v>0</v>
      </c>
      <c r="M37">
        <f>SUMIF(RawDataTotal!$B:$B,$A37,RawDataTotal!P:P)</f>
        <v>0</v>
      </c>
      <c r="N37">
        <f>SUMIF(RawDataTotal!$B:$B,$A37,RawDataTotal!Q:Q)</f>
        <v>0</v>
      </c>
      <c r="O37">
        <f>SUMIF(RawDataTotal!$B:$B,$A37,RawDataTotal!R:R)</f>
        <v>0</v>
      </c>
      <c r="P37">
        <f>SUMIF(RawDataTotal!$B:$B,$A37,RawDataTotal!S:S)</f>
        <v>0</v>
      </c>
      <c r="Q37">
        <f>SUMIF(RawDataTotal!$B:$B,$A37,RawDataTotal!T:T)</f>
        <v>0</v>
      </c>
      <c r="R37">
        <f>SUMIF(RawDataTotal!$B:$B,$A37,RawDataTotal!U:U)</f>
        <v>0</v>
      </c>
      <c r="S37">
        <f>SUMIF(RawDataTotal!$B:$B,$A37,RawDataTotal!V:V)</f>
        <v>0</v>
      </c>
      <c r="T37">
        <f>SUMIF(RawDataTotal!$B:$B,$A37,RawDataTotal!W:W)</f>
        <v>0</v>
      </c>
      <c r="U37">
        <f>SUMIF(RawDataTotal!$B:$B,$A37,RawDataTotal!X:X)</f>
        <v>0</v>
      </c>
      <c r="V37">
        <f>SUMIF(RawDataTotal!$B:$B,$A37,RawDataTotal!Y:Y)</f>
        <v>0</v>
      </c>
      <c r="W37">
        <f>SUMIF(RawDataTotal!$B:$B,$A37,RawDataTotal!Z:Z)</f>
        <v>0</v>
      </c>
      <c r="X37">
        <f>SUMIF(RawDataTotal!$B:$B,$A37,RawDataTotal!AA:AA)</f>
        <v>0</v>
      </c>
      <c r="Y37">
        <f>SUMIF(RawDataTotal!$B:$B,$A37,RawDataTotal!AB:AB)</f>
        <v>0</v>
      </c>
      <c r="Z37">
        <f>SUMIF(RawDataTotal!$B:$B,$A37,RawDataTotal!AC:AC)</f>
        <v>0</v>
      </c>
      <c r="AA37">
        <f>SUMIF(RawDataTotal!$B:$B,$A37,RawDataTotal!AD:AD)</f>
        <v>0</v>
      </c>
      <c r="AB37">
        <f>SUMIF(RawDataTotal!$B:$B,$A37,RawDataTotal!AE:AE)</f>
        <v>0</v>
      </c>
      <c r="AC37">
        <f>SUMIF(RawDataTotal!$B:$B,$A37,RawDataTotal!AF:AF)</f>
        <v>0</v>
      </c>
      <c r="AD37">
        <f>SUMIF(RawDataTotal!$B:$B,$A37,RawDataTotal!AG:AG)</f>
        <v>0</v>
      </c>
      <c r="AE37">
        <f>SUMIF(RawDataTotal!$B:$B,$A37,RawDataTotal!AH:AH)</f>
        <v>0</v>
      </c>
      <c r="AF37">
        <f>SUMIF(RawDataTotal!$B:$B,$A37,RawDataTotal!AI:AI)</f>
        <v>0</v>
      </c>
      <c r="AG37">
        <f>SUMIF(RawDataTotal!$B:$B,$A37,RawDataTotal!AJ:AJ)</f>
        <v>0</v>
      </c>
      <c r="AH37">
        <f>SUMIF(RawDataTotal!$B:$B,$A37,RawDataTotal!AK:AK)</f>
        <v>0</v>
      </c>
      <c r="AI37">
        <f>SUMIF(RawDataTotal!$B:$B,$A37,RawDataTotal!AL:AL)</f>
        <v>0</v>
      </c>
      <c r="AJ37">
        <f>SUMIF(RawDataTotal!$B:$B,$A37,RawDataTotal!AM:AM)</f>
        <v>0</v>
      </c>
      <c r="AK37">
        <f>SUMIF(RawDataTotal!$B:$B,$A37,RawDataTotal!AN:AN)</f>
        <v>0</v>
      </c>
      <c r="AL37">
        <f>SUMIF(RawDataTotal!$B:$B,$A37,RawDataTotal!AO:AO)</f>
        <v>0</v>
      </c>
      <c r="AM37">
        <f>SUMIF(RawDataTotal!$B:$B,$A37,RawDataTotal!AP:AP)</f>
        <v>0</v>
      </c>
      <c r="AN37">
        <f>SUMIF(RawDataTotal!$B:$B,$A37,RawDataTotal!AQ:AQ)</f>
        <v>0</v>
      </c>
      <c r="AO37">
        <f>SUMIF(RawDataTotal!$B:$B,$A37,RawDataTotal!AR:AR)</f>
        <v>0</v>
      </c>
      <c r="AP37">
        <f>SUMIF(RawDataTotal!$B:$B,$A37,RawDataTotal!AS:AS)</f>
        <v>1</v>
      </c>
      <c r="AQ37">
        <f>SUMIF(RawDataTotal!$B:$B,$A37,RawDataTotal!AT:AT)</f>
        <v>1</v>
      </c>
      <c r="AR37">
        <f>SUMIF(RawDataTotal!$B:$B,$A37,RawDataTotal!AU:AU)</f>
        <v>1</v>
      </c>
      <c r="AS37">
        <f>SUMIF(RawDataTotal!$B:$B,$A37,RawDataTotal!AV:AV)</f>
        <v>5</v>
      </c>
      <c r="AT37">
        <f>SUMIF(RawDataTotal!$B:$B,$A37,RawDataTotal!AW:AW)</f>
        <v>5</v>
      </c>
      <c r="AU37">
        <f>SUMIF(RawDataTotal!$B:$B,$A37,RawDataTotal!AX:AX)</f>
        <v>5</v>
      </c>
      <c r="AV37">
        <f>SUMIF(RawDataTotal!$B:$B,$A37,RawDataTotal!AY:AY)</f>
        <v>11</v>
      </c>
      <c r="AW37">
        <f>SUMIF(RawDataTotal!$B:$B,$A37,RawDataTotal!AZ:AZ)</f>
        <v>15</v>
      </c>
      <c r="AX37">
        <f>SUMIF(RawDataTotal!$B:$B,$A37,RawDataTotal!BA:BA)</f>
        <v>20</v>
      </c>
      <c r="AY37">
        <f>SUMIF(RawDataTotal!$B:$B,$A37,RawDataTotal!BB:BB)</f>
        <v>21</v>
      </c>
      <c r="AZ37">
        <f>SUMIF(RawDataTotal!$B:$B,$A37,RawDataTotal!BC:BC)</f>
        <v>45</v>
      </c>
      <c r="BA37">
        <f>SUMIF(RawDataTotal!$B:$B,$A37,RawDataTotal!BD:BD)</f>
        <v>86</v>
      </c>
      <c r="BB37">
        <f>SUMIF(RawDataTotal!$B:$B,$A37,RawDataTotal!BE:BE)</f>
        <v>103</v>
      </c>
      <c r="BC37">
        <f>SUMIF(RawDataTotal!$B:$B,$A37,RawDataTotal!BF:BF)</f>
        <v>103</v>
      </c>
      <c r="BD37">
        <f>SUMIF(RawDataTotal!$B:$B,$A37,RawDataTotal!BG:BG)</f>
        <v>118</v>
      </c>
      <c r="BE37">
        <f>SUMIF(RawDataTotal!$B:$B,$A37,RawDataTotal!BH:BH)</f>
        <v>171</v>
      </c>
      <c r="BF37">
        <f>SUMIF(RawDataTotal!$B:$B,$A37,RawDataTotal!BI:BI)</f>
        <v>0</v>
      </c>
      <c r="BG37">
        <f>SUMIF(RawDataTotal!$B:$B,$A37,RawDataTotal!BJ:BJ)</f>
        <v>0</v>
      </c>
      <c r="BH37">
        <f>SUMIF(RawDataTotal!$B:$B,$A37,RawDataTotal!BK:BK)</f>
        <v>0</v>
      </c>
      <c r="BI37">
        <f>SUMIF(RawDataTotal!$B:$B,$A37,RawDataTotal!BL:BL)</f>
        <v>0</v>
      </c>
      <c r="BJ37">
        <f>SUMIF(RawDataTotal!$B:$B,$A37,RawDataTotal!BM:BM)</f>
        <v>0</v>
      </c>
      <c r="BK37">
        <f>SUMIF(RawDataTotal!$B:$B,$A37,RawDataTotal!BN:BN)</f>
        <v>0</v>
      </c>
      <c r="BL37">
        <f>SUMIF(RawDataTotal!$B:$B,$A37,RawDataTotal!BO:BO)</f>
        <v>0</v>
      </c>
      <c r="BM37">
        <f>SUMIF(RawDataTotal!$B:$B,$A37,RawDataTotal!BP:BP)</f>
        <v>0</v>
      </c>
      <c r="BN37">
        <f>SUMIF(RawDataTotal!$B:$B,$A37,RawDataTotal!BQ:BQ)</f>
        <v>0</v>
      </c>
      <c r="BO37">
        <f>SUMIF(RawDataTotal!$B:$B,$A37,RawDataTotal!BR:BR)</f>
        <v>0</v>
      </c>
      <c r="BP37">
        <f>SUMIF(RawDataTotal!$B:$B,$A37,RawDataTotal!BS:BS)</f>
        <v>0</v>
      </c>
      <c r="BQ37">
        <f>SUMIF(RawDataTotal!$B:$B,$A37,RawDataTotal!BT:BT)</f>
        <v>0</v>
      </c>
      <c r="BR37">
        <f>SUMIF(RawDataTotal!$B:$B,$A37,RawDataTotal!BU:BU)</f>
        <v>0</v>
      </c>
      <c r="BS37">
        <f>SUMIF(RawDataTotal!$B:$B,$A37,RawDataTotal!BV:BV)</f>
        <v>0</v>
      </c>
      <c r="BT37">
        <f>SUMIF(RawDataTotal!$B:$B,$A37,RawDataTotal!BW:BW)</f>
        <v>0</v>
      </c>
    </row>
    <row r="38" spans="1:72" ht="15" thickBot="1" x14ac:dyDescent="0.35">
      <c r="A38" s="4" t="s">
        <v>82</v>
      </c>
      <c r="B38">
        <f>SUMIF(RawDataTotal!$B:$B,$A38,RawDataTotal!E:E)</f>
        <v>0</v>
      </c>
      <c r="C38">
        <f>SUMIF(RawDataTotal!$B:$B,$A38,RawDataTotal!F:F)</f>
        <v>0</v>
      </c>
      <c r="D38">
        <f>SUMIF(RawDataTotal!$B:$B,$A38,RawDataTotal!G:G)</f>
        <v>0</v>
      </c>
      <c r="E38">
        <f>SUMIF(RawDataTotal!$B:$B,$A38,RawDataTotal!H:H)</f>
        <v>0</v>
      </c>
      <c r="F38">
        <f>SUMIF(RawDataTotal!$B:$B,$A38,RawDataTotal!I:I)</f>
        <v>0</v>
      </c>
      <c r="G38">
        <f>SUMIF(RawDataTotal!$B:$B,$A38,RawDataTotal!J:J)</f>
        <v>0</v>
      </c>
      <c r="H38">
        <f>SUMIF(RawDataTotal!$B:$B,$A38,RawDataTotal!K:K)</f>
        <v>0</v>
      </c>
      <c r="I38">
        <f>SUMIF(RawDataTotal!$B:$B,$A38,RawDataTotal!L:L)</f>
        <v>4</v>
      </c>
      <c r="J38">
        <f>SUMIF(RawDataTotal!$B:$B,$A38,RawDataTotal!M:M)</f>
        <v>4</v>
      </c>
      <c r="K38">
        <f>SUMIF(RawDataTotal!$B:$B,$A38,RawDataTotal!N:N)</f>
        <v>4</v>
      </c>
      <c r="L38">
        <f>SUMIF(RawDataTotal!$B:$B,$A38,RawDataTotal!O:O)</f>
        <v>4</v>
      </c>
      <c r="M38">
        <f>SUMIF(RawDataTotal!$B:$B,$A38,RawDataTotal!P:P)</f>
        <v>5</v>
      </c>
      <c r="N38">
        <f>SUMIF(RawDataTotal!$B:$B,$A38,RawDataTotal!Q:Q)</f>
        <v>5</v>
      </c>
      <c r="O38">
        <f>SUMIF(RawDataTotal!$B:$B,$A38,RawDataTotal!R:R)</f>
        <v>5</v>
      </c>
      <c r="P38">
        <f>SUMIF(RawDataTotal!$B:$B,$A38,RawDataTotal!S:S)</f>
        <v>5</v>
      </c>
      <c r="Q38">
        <f>SUMIF(RawDataTotal!$B:$B,$A38,RawDataTotal!T:T)</f>
        <v>5</v>
      </c>
      <c r="R38">
        <f>SUMIF(RawDataTotal!$B:$B,$A38,RawDataTotal!U:U)</f>
        <v>5</v>
      </c>
      <c r="S38">
        <f>SUMIF(RawDataTotal!$B:$B,$A38,RawDataTotal!V:V)</f>
        <v>7</v>
      </c>
      <c r="T38">
        <f>SUMIF(RawDataTotal!$B:$B,$A38,RawDataTotal!W:W)</f>
        <v>7</v>
      </c>
      <c r="U38">
        <f>SUMIF(RawDataTotal!$B:$B,$A38,RawDataTotal!X:X)</f>
        <v>8</v>
      </c>
      <c r="V38">
        <f>SUMIF(RawDataTotal!$B:$B,$A38,RawDataTotal!Y:Y)</f>
        <v>8</v>
      </c>
      <c r="W38">
        <f>SUMIF(RawDataTotal!$B:$B,$A38,RawDataTotal!Z:Z)</f>
        <v>8</v>
      </c>
      <c r="X38">
        <f>SUMIF(RawDataTotal!$B:$B,$A38,RawDataTotal!AA:AA)</f>
        <v>8</v>
      </c>
      <c r="Y38">
        <f>SUMIF(RawDataTotal!$B:$B,$A38,RawDataTotal!AB:AB)</f>
        <v>8</v>
      </c>
      <c r="Z38">
        <f>SUMIF(RawDataTotal!$B:$B,$A38,RawDataTotal!AC:AC)</f>
        <v>8</v>
      </c>
      <c r="AA38">
        <f>SUMIF(RawDataTotal!$B:$B,$A38,RawDataTotal!AD:AD)</f>
        <v>9</v>
      </c>
      <c r="AB38">
        <f>SUMIF(RawDataTotal!$B:$B,$A38,RawDataTotal!AE:AE)</f>
        <v>9</v>
      </c>
      <c r="AC38">
        <f>SUMIF(RawDataTotal!$B:$B,$A38,RawDataTotal!AF:AF)</f>
        <v>9</v>
      </c>
      <c r="AD38">
        <f>SUMIF(RawDataTotal!$B:$B,$A38,RawDataTotal!AG:AG)</f>
        <v>9</v>
      </c>
      <c r="AE38">
        <f>SUMIF(RawDataTotal!$B:$B,$A38,RawDataTotal!AH:AH)</f>
        <v>9</v>
      </c>
      <c r="AF38">
        <f>SUMIF(RawDataTotal!$B:$B,$A38,RawDataTotal!AI:AI)</f>
        <v>9</v>
      </c>
      <c r="AG38">
        <f>SUMIF(RawDataTotal!$B:$B,$A38,RawDataTotal!AJ:AJ)</f>
        <v>13</v>
      </c>
      <c r="AH38">
        <f>SUMIF(RawDataTotal!$B:$B,$A38,RawDataTotal!AK:AK)</f>
        <v>13</v>
      </c>
      <c r="AI38">
        <f>SUMIF(RawDataTotal!$B:$B,$A38,RawDataTotal!AL:AL)</f>
        <v>13</v>
      </c>
      <c r="AJ38">
        <f>SUMIF(RawDataTotal!$B:$B,$A38,RawDataTotal!AM:AM)</f>
        <v>13</v>
      </c>
      <c r="AK38">
        <f>SUMIF(RawDataTotal!$B:$B,$A38,RawDataTotal!AN:AN)</f>
        <v>13</v>
      </c>
      <c r="AL38">
        <f>SUMIF(RawDataTotal!$B:$B,$A38,RawDataTotal!AO:AO)</f>
        <v>13</v>
      </c>
      <c r="AM38">
        <f>SUMIF(RawDataTotal!$B:$B,$A38,RawDataTotal!AP:AP)</f>
        <v>19</v>
      </c>
      <c r="AN38">
        <f>SUMIF(RawDataTotal!$B:$B,$A38,RawDataTotal!AQ:AQ)</f>
        <v>21</v>
      </c>
      <c r="AO38">
        <f>SUMIF(RawDataTotal!$B:$B,$A38,RawDataTotal!AR:AR)</f>
        <v>21</v>
      </c>
      <c r="AP38">
        <f>SUMIF(RawDataTotal!$B:$B,$A38,RawDataTotal!AS:AS)</f>
        <v>21</v>
      </c>
      <c r="AQ38">
        <f>SUMIF(RawDataTotal!$B:$B,$A38,RawDataTotal!AT:AT)</f>
        <v>27</v>
      </c>
      <c r="AR38">
        <f>SUMIF(RawDataTotal!$B:$B,$A38,RawDataTotal!AU:AU)</f>
        <v>27</v>
      </c>
      <c r="AS38">
        <f>SUMIF(RawDataTotal!$B:$B,$A38,RawDataTotal!AV:AV)</f>
        <v>29</v>
      </c>
      <c r="AT38">
        <f>SUMIF(RawDataTotal!$B:$B,$A38,RawDataTotal!AW:AW)</f>
        <v>29</v>
      </c>
      <c r="AU38">
        <f>SUMIF(RawDataTotal!$B:$B,$A38,RawDataTotal!AX:AX)</f>
        <v>45</v>
      </c>
      <c r="AV38">
        <f>SUMIF(RawDataTotal!$B:$B,$A38,RawDataTotal!AY:AY)</f>
        <v>45</v>
      </c>
      <c r="AW38">
        <f>SUMIF(RawDataTotal!$B:$B,$A38,RawDataTotal!AZ:AZ)</f>
        <v>45</v>
      </c>
      <c r="AX38">
        <f>SUMIF(RawDataTotal!$B:$B,$A38,RawDataTotal!BA:BA)</f>
        <v>74</v>
      </c>
      <c r="AY38">
        <f>SUMIF(RawDataTotal!$B:$B,$A38,RawDataTotal!BB:BB)</f>
        <v>74</v>
      </c>
      <c r="AZ38">
        <f>SUMIF(RawDataTotal!$B:$B,$A38,RawDataTotal!BC:BC)</f>
        <v>85</v>
      </c>
      <c r="BA38">
        <f>SUMIF(RawDataTotal!$B:$B,$A38,RawDataTotal!BD:BD)</f>
        <v>85</v>
      </c>
      <c r="BB38">
        <f>SUMIF(RawDataTotal!$B:$B,$A38,RawDataTotal!BE:BE)</f>
        <v>85</v>
      </c>
      <c r="BC38">
        <f>SUMIF(RawDataTotal!$B:$B,$A38,RawDataTotal!BF:BF)</f>
        <v>98</v>
      </c>
      <c r="BD38">
        <f>SUMIF(RawDataTotal!$B:$B,$A38,RawDataTotal!BG:BG)</f>
        <v>98</v>
      </c>
      <c r="BE38">
        <f>SUMIF(RawDataTotal!$B:$B,$A38,RawDataTotal!BH:BH)</f>
        <v>98</v>
      </c>
      <c r="BF38">
        <f>SUMIF(RawDataTotal!$B:$B,$A38,RawDataTotal!BI:BI)</f>
        <v>0</v>
      </c>
      <c r="BG38">
        <f>SUMIF(RawDataTotal!$B:$B,$A38,RawDataTotal!BJ:BJ)</f>
        <v>0</v>
      </c>
      <c r="BH38">
        <f>SUMIF(RawDataTotal!$B:$B,$A38,RawDataTotal!BK:BK)</f>
        <v>0</v>
      </c>
      <c r="BI38">
        <f>SUMIF(RawDataTotal!$B:$B,$A38,RawDataTotal!BL:BL)</f>
        <v>0</v>
      </c>
      <c r="BJ38">
        <f>SUMIF(RawDataTotal!$B:$B,$A38,RawDataTotal!BM:BM)</f>
        <v>0</v>
      </c>
      <c r="BK38">
        <f>SUMIF(RawDataTotal!$B:$B,$A38,RawDataTotal!BN:BN)</f>
        <v>0</v>
      </c>
      <c r="BL38">
        <f>SUMIF(RawDataTotal!$B:$B,$A38,RawDataTotal!BO:BO)</f>
        <v>0</v>
      </c>
      <c r="BM38">
        <f>SUMIF(RawDataTotal!$B:$B,$A38,RawDataTotal!BP:BP)</f>
        <v>0</v>
      </c>
      <c r="BN38">
        <f>SUMIF(RawDataTotal!$B:$B,$A38,RawDataTotal!BQ:BQ)</f>
        <v>0</v>
      </c>
      <c r="BO38">
        <f>SUMIF(RawDataTotal!$B:$B,$A38,RawDataTotal!BR:BR)</f>
        <v>0</v>
      </c>
      <c r="BP38">
        <f>SUMIF(RawDataTotal!$B:$B,$A38,RawDataTotal!BS:BS)</f>
        <v>0</v>
      </c>
      <c r="BQ38">
        <f>SUMIF(RawDataTotal!$B:$B,$A38,RawDataTotal!BT:BT)</f>
        <v>0</v>
      </c>
      <c r="BR38">
        <f>SUMIF(RawDataTotal!$B:$B,$A38,RawDataTotal!BU:BU)</f>
        <v>0</v>
      </c>
      <c r="BS38">
        <f>SUMIF(RawDataTotal!$B:$B,$A38,RawDataTotal!BV:BV)</f>
        <v>0</v>
      </c>
      <c r="BT38">
        <f>SUMIF(RawDataTotal!$B:$B,$A38,RawDataTotal!BW:BW)</f>
        <v>0</v>
      </c>
    </row>
    <row r="39" spans="1:72" ht="15" thickBot="1" x14ac:dyDescent="0.35">
      <c r="A39" s="4" t="s">
        <v>84</v>
      </c>
      <c r="B39">
        <f>SUMIF(RawDataTotal!$B:$B,$A39,RawDataTotal!E:E)</f>
        <v>0</v>
      </c>
      <c r="C39">
        <f>SUMIF(RawDataTotal!$B:$B,$A39,RawDataTotal!F:F)</f>
        <v>0</v>
      </c>
      <c r="D39">
        <f>SUMIF(RawDataTotal!$B:$B,$A39,RawDataTotal!G:G)</f>
        <v>0</v>
      </c>
      <c r="E39">
        <f>SUMIF(RawDataTotal!$B:$B,$A39,RawDataTotal!H:H)</f>
        <v>0</v>
      </c>
      <c r="F39">
        <f>SUMIF(RawDataTotal!$B:$B,$A39,RawDataTotal!I:I)</f>
        <v>0</v>
      </c>
      <c r="G39">
        <f>SUMIF(RawDataTotal!$B:$B,$A39,RawDataTotal!J:J)</f>
        <v>0</v>
      </c>
      <c r="H39">
        <f>SUMIF(RawDataTotal!$B:$B,$A39,RawDataTotal!K:K)</f>
        <v>0</v>
      </c>
      <c r="I39">
        <f>SUMIF(RawDataTotal!$B:$B,$A39,RawDataTotal!L:L)</f>
        <v>0</v>
      </c>
      <c r="J39">
        <f>SUMIF(RawDataTotal!$B:$B,$A39,RawDataTotal!M:M)</f>
        <v>1</v>
      </c>
      <c r="K39">
        <f>SUMIF(RawDataTotal!$B:$B,$A39,RawDataTotal!N:N)</f>
        <v>1</v>
      </c>
      <c r="L39">
        <f>SUMIF(RawDataTotal!$B:$B,$A39,RawDataTotal!O:O)</f>
        <v>1</v>
      </c>
      <c r="M39">
        <f>SUMIF(RawDataTotal!$B:$B,$A39,RawDataTotal!P:P)</f>
        <v>2</v>
      </c>
      <c r="N39">
        <f>SUMIF(RawDataTotal!$B:$B,$A39,RawDataTotal!Q:Q)</f>
        <v>3</v>
      </c>
      <c r="O39">
        <f>SUMIF(RawDataTotal!$B:$B,$A39,RawDataTotal!R:R)</f>
        <v>3</v>
      </c>
      <c r="P39">
        <f>SUMIF(RawDataTotal!$B:$B,$A39,RawDataTotal!S:S)</f>
        <v>3</v>
      </c>
      <c r="Q39">
        <f>SUMIF(RawDataTotal!$B:$B,$A39,RawDataTotal!T:T)</f>
        <v>3</v>
      </c>
      <c r="R39">
        <f>SUMIF(RawDataTotal!$B:$B,$A39,RawDataTotal!U:U)</f>
        <v>3</v>
      </c>
      <c r="S39">
        <f>SUMIF(RawDataTotal!$B:$B,$A39,RawDataTotal!V:V)</f>
        <v>3</v>
      </c>
      <c r="T39">
        <f>SUMIF(RawDataTotal!$B:$B,$A39,RawDataTotal!W:W)</f>
        <v>3</v>
      </c>
      <c r="U39">
        <f>SUMIF(RawDataTotal!$B:$B,$A39,RawDataTotal!X:X)</f>
        <v>3</v>
      </c>
      <c r="V39">
        <f>SUMIF(RawDataTotal!$B:$B,$A39,RawDataTotal!Y:Y)</f>
        <v>3</v>
      </c>
      <c r="W39">
        <f>SUMIF(RawDataTotal!$B:$B,$A39,RawDataTotal!Z:Z)</f>
        <v>3</v>
      </c>
      <c r="X39">
        <f>SUMIF(RawDataTotal!$B:$B,$A39,RawDataTotal!AA:AA)</f>
        <v>3</v>
      </c>
      <c r="Y39">
        <f>SUMIF(RawDataTotal!$B:$B,$A39,RawDataTotal!AB:AB)</f>
        <v>3</v>
      </c>
      <c r="Z39">
        <f>SUMIF(RawDataTotal!$B:$B,$A39,RawDataTotal!AC:AC)</f>
        <v>3</v>
      </c>
      <c r="AA39">
        <f>SUMIF(RawDataTotal!$B:$B,$A39,RawDataTotal!AD:AD)</f>
        <v>3</v>
      </c>
      <c r="AB39">
        <f>SUMIF(RawDataTotal!$B:$B,$A39,RawDataTotal!AE:AE)</f>
        <v>3</v>
      </c>
      <c r="AC39">
        <f>SUMIF(RawDataTotal!$B:$B,$A39,RawDataTotal!AF:AF)</f>
        <v>3</v>
      </c>
      <c r="AD39">
        <f>SUMIF(RawDataTotal!$B:$B,$A39,RawDataTotal!AG:AG)</f>
        <v>3</v>
      </c>
      <c r="AE39">
        <f>SUMIF(RawDataTotal!$B:$B,$A39,RawDataTotal!AH:AH)</f>
        <v>3</v>
      </c>
      <c r="AF39">
        <f>SUMIF(RawDataTotal!$B:$B,$A39,RawDataTotal!AI:AI)</f>
        <v>3</v>
      </c>
      <c r="AG39">
        <f>SUMIF(RawDataTotal!$B:$B,$A39,RawDataTotal!AJ:AJ)</f>
        <v>3</v>
      </c>
      <c r="AH39">
        <f>SUMIF(RawDataTotal!$B:$B,$A39,RawDataTotal!AK:AK)</f>
        <v>3</v>
      </c>
      <c r="AI39">
        <f>SUMIF(RawDataTotal!$B:$B,$A39,RawDataTotal!AL:AL)</f>
        <v>3</v>
      </c>
      <c r="AJ39">
        <f>SUMIF(RawDataTotal!$B:$B,$A39,RawDataTotal!AM:AM)</f>
        <v>3</v>
      </c>
      <c r="AK39">
        <f>SUMIF(RawDataTotal!$B:$B,$A39,RawDataTotal!AN:AN)</f>
        <v>3</v>
      </c>
      <c r="AL39">
        <f>SUMIF(RawDataTotal!$B:$B,$A39,RawDataTotal!AO:AO)</f>
        <v>3</v>
      </c>
      <c r="AM39">
        <f>SUMIF(RawDataTotal!$B:$B,$A39,RawDataTotal!AP:AP)</f>
        <v>3</v>
      </c>
      <c r="AN39">
        <f>SUMIF(RawDataTotal!$B:$B,$A39,RawDataTotal!AQ:AQ)</f>
        <v>3</v>
      </c>
      <c r="AO39">
        <f>SUMIF(RawDataTotal!$B:$B,$A39,RawDataTotal!AR:AR)</f>
        <v>3</v>
      </c>
      <c r="AP39">
        <f>SUMIF(RawDataTotal!$B:$B,$A39,RawDataTotal!AS:AS)</f>
        <v>5</v>
      </c>
      <c r="AQ39">
        <f>SUMIF(RawDataTotal!$B:$B,$A39,RawDataTotal!AT:AT)</f>
        <v>5</v>
      </c>
      <c r="AR39">
        <f>SUMIF(RawDataTotal!$B:$B,$A39,RawDataTotal!AU:AU)</f>
        <v>28</v>
      </c>
      <c r="AS39">
        <f>SUMIF(RawDataTotal!$B:$B,$A39,RawDataTotal!AV:AV)</f>
        <v>30</v>
      </c>
      <c r="AT39">
        <f>SUMIF(RawDataTotal!$B:$B,$A39,RawDataTotal!AW:AW)</f>
        <v>31</v>
      </c>
      <c r="AU39">
        <f>SUMIF(RawDataTotal!$B:$B,$A39,RawDataTotal!AX:AX)</f>
        <v>34</v>
      </c>
      <c r="AV39">
        <f>SUMIF(RawDataTotal!$B:$B,$A39,RawDataTotal!AY:AY)</f>
        <v>39</v>
      </c>
      <c r="AW39">
        <f>SUMIF(RawDataTotal!$B:$B,$A39,RawDataTotal!AZ:AZ)</f>
        <v>43</v>
      </c>
      <c r="AX39">
        <f>SUMIF(RawDataTotal!$B:$B,$A39,RawDataTotal!BA:BA)</f>
        <v>56</v>
      </c>
      <c r="AY39">
        <f>SUMIF(RawDataTotal!$B:$B,$A39,RawDataTotal!BB:BB)</f>
        <v>62</v>
      </c>
      <c r="AZ39">
        <f>SUMIF(RawDataTotal!$B:$B,$A39,RawDataTotal!BC:BC)</f>
        <v>73</v>
      </c>
      <c r="BA39">
        <f>SUMIF(RawDataTotal!$B:$B,$A39,RawDataTotal!BD:BD)</f>
        <v>82</v>
      </c>
      <c r="BB39">
        <f>SUMIF(RawDataTotal!$B:$B,$A39,RawDataTotal!BE:BE)</f>
        <v>102</v>
      </c>
      <c r="BC39">
        <f>SUMIF(RawDataTotal!$B:$B,$A39,RawDataTotal!BF:BF)</f>
        <v>113</v>
      </c>
      <c r="BD39">
        <f>SUMIF(RawDataTotal!$B:$B,$A39,RawDataTotal!BG:BG)</f>
        <v>119</v>
      </c>
      <c r="BE39">
        <f>SUMIF(RawDataTotal!$B:$B,$A39,RawDataTotal!BH:BH)</f>
        <v>142</v>
      </c>
      <c r="BF39">
        <f>SUMIF(RawDataTotal!$B:$B,$A39,RawDataTotal!BI:BI)</f>
        <v>0</v>
      </c>
      <c r="BG39">
        <f>SUMIF(RawDataTotal!$B:$B,$A39,RawDataTotal!BJ:BJ)</f>
        <v>0</v>
      </c>
      <c r="BH39">
        <f>SUMIF(RawDataTotal!$B:$B,$A39,RawDataTotal!BK:BK)</f>
        <v>0</v>
      </c>
      <c r="BI39">
        <f>SUMIF(RawDataTotal!$B:$B,$A39,RawDataTotal!BL:BL)</f>
        <v>0</v>
      </c>
      <c r="BJ39">
        <f>SUMIF(RawDataTotal!$B:$B,$A39,RawDataTotal!BM:BM)</f>
        <v>0</v>
      </c>
      <c r="BK39">
        <f>SUMIF(RawDataTotal!$B:$B,$A39,RawDataTotal!BN:BN)</f>
        <v>0</v>
      </c>
      <c r="BL39">
        <f>SUMIF(RawDataTotal!$B:$B,$A39,RawDataTotal!BO:BO)</f>
        <v>0</v>
      </c>
      <c r="BM39">
        <f>SUMIF(RawDataTotal!$B:$B,$A39,RawDataTotal!BP:BP)</f>
        <v>0</v>
      </c>
      <c r="BN39">
        <f>SUMIF(RawDataTotal!$B:$B,$A39,RawDataTotal!BQ:BQ)</f>
        <v>0</v>
      </c>
      <c r="BO39">
        <f>SUMIF(RawDataTotal!$B:$B,$A39,RawDataTotal!BR:BR)</f>
        <v>0</v>
      </c>
      <c r="BP39">
        <f>SUMIF(RawDataTotal!$B:$B,$A39,RawDataTotal!BS:BS)</f>
        <v>0</v>
      </c>
      <c r="BQ39">
        <f>SUMIF(RawDataTotal!$B:$B,$A39,RawDataTotal!BT:BT)</f>
        <v>0</v>
      </c>
      <c r="BR39">
        <f>SUMIF(RawDataTotal!$B:$B,$A39,RawDataTotal!BU:BU)</f>
        <v>0</v>
      </c>
      <c r="BS39">
        <f>SUMIF(RawDataTotal!$B:$B,$A39,RawDataTotal!BV:BV)</f>
        <v>0</v>
      </c>
      <c r="BT39">
        <f>SUMIF(RawDataTotal!$B:$B,$A39,RawDataTotal!BW:BW)</f>
        <v>0</v>
      </c>
    </row>
    <row r="40" spans="1:72" ht="15" thickBot="1" x14ac:dyDescent="0.35">
      <c r="A40" s="4" t="s">
        <v>92</v>
      </c>
      <c r="B40">
        <f>SUMIF(RawDataTotal!$B:$B,$A40,RawDataTotal!E:E)</f>
        <v>0</v>
      </c>
      <c r="C40">
        <f>SUMIF(RawDataTotal!$B:$B,$A40,RawDataTotal!F:F)</f>
        <v>0</v>
      </c>
      <c r="D40">
        <f>SUMIF(RawDataTotal!$B:$B,$A40,RawDataTotal!G:G)</f>
        <v>0</v>
      </c>
      <c r="E40">
        <f>SUMIF(RawDataTotal!$B:$B,$A40,RawDataTotal!H:H)</f>
        <v>0</v>
      </c>
      <c r="F40">
        <f>SUMIF(RawDataTotal!$B:$B,$A40,RawDataTotal!I:I)</f>
        <v>0</v>
      </c>
      <c r="G40">
        <f>SUMIF(RawDataTotal!$B:$B,$A40,RawDataTotal!J:J)</f>
        <v>0</v>
      </c>
      <c r="H40">
        <f>SUMIF(RawDataTotal!$B:$B,$A40,RawDataTotal!K:K)</f>
        <v>0</v>
      </c>
      <c r="I40">
        <f>SUMIF(RawDataTotal!$B:$B,$A40,RawDataTotal!L:L)</f>
        <v>0</v>
      </c>
      <c r="J40">
        <f>SUMIF(RawDataTotal!$B:$B,$A40,RawDataTotal!M:M)</f>
        <v>0</v>
      </c>
      <c r="K40">
        <f>SUMIF(RawDataTotal!$B:$B,$A40,RawDataTotal!N:N)</f>
        <v>0</v>
      </c>
      <c r="L40">
        <f>SUMIF(RawDataTotal!$B:$B,$A40,RawDataTotal!O:O)</f>
        <v>0</v>
      </c>
      <c r="M40">
        <f>SUMIF(RawDataTotal!$B:$B,$A40,RawDataTotal!P:P)</f>
        <v>0</v>
      </c>
      <c r="N40">
        <f>SUMIF(RawDataTotal!$B:$B,$A40,RawDataTotal!Q:Q)</f>
        <v>0</v>
      </c>
      <c r="O40">
        <f>SUMIF(RawDataTotal!$B:$B,$A40,RawDataTotal!R:R)</f>
        <v>0</v>
      </c>
      <c r="P40">
        <f>SUMIF(RawDataTotal!$B:$B,$A40,RawDataTotal!S:S)</f>
        <v>0</v>
      </c>
      <c r="Q40">
        <f>SUMIF(RawDataTotal!$B:$B,$A40,RawDataTotal!T:T)</f>
        <v>0</v>
      </c>
      <c r="R40">
        <f>SUMIF(RawDataTotal!$B:$B,$A40,RawDataTotal!U:U)</f>
        <v>0</v>
      </c>
      <c r="S40">
        <f>SUMIF(RawDataTotal!$B:$B,$A40,RawDataTotal!V:V)</f>
        <v>0</v>
      </c>
      <c r="T40">
        <f>SUMIF(RawDataTotal!$B:$B,$A40,RawDataTotal!W:W)</f>
        <v>0</v>
      </c>
      <c r="U40">
        <f>SUMIF(RawDataTotal!$B:$B,$A40,RawDataTotal!X:X)</f>
        <v>0</v>
      </c>
      <c r="V40">
        <f>SUMIF(RawDataTotal!$B:$B,$A40,RawDataTotal!Y:Y)</f>
        <v>0</v>
      </c>
      <c r="W40">
        <f>SUMIF(RawDataTotal!$B:$B,$A40,RawDataTotal!Z:Z)</f>
        <v>0</v>
      </c>
      <c r="X40">
        <f>SUMIF(RawDataTotal!$B:$B,$A40,RawDataTotal!AA:AA)</f>
        <v>0</v>
      </c>
      <c r="Y40">
        <f>SUMIF(RawDataTotal!$B:$B,$A40,RawDataTotal!AB:AB)</f>
        <v>1</v>
      </c>
      <c r="Z40">
        <f>SUMIF(RawDataTotal!$B:$B,$A40,RawDataTotal!AC:AC)</f>
        <v>1</v>
      </c>
      <c r="AA40">
        <f>SUMIF(RawDataTotal!$B:$B,$A40,RawDataTotal!AD:AD)</f>
        <v>1</v>
      </c>
      <c r="AB40">
        <f>SUMIF(RawDataTotal!$B:$B,$A40,RawDataTotal!AE:AE)</f>
        <v>1</v>
      </c>
      <c r="AC40">
        <f>SUMIF(RawDataTotal!$B:$B,$A40,RawDataTotal!AF:AF)</f>
        <v>1</v>
      </c>
      <c r="AD40">
        <f>SUMIF(RawDataTotal!$B:$B,$A40,RawDataTotal!AG:AG)</f>
        <v>1</v>
      </c>
      <c r="AE40">
        <f>SUMIF(RawDataTotal!$B:$B,$A40,RawDataTotal!AH:AH)</f>
        <v>1</v>
      </c>
      <c r="AF40">
        <f>SUMIF(RawDataTotal!$B:$B,$A40,RawDataTotal!AI:AI)</f>
        <v>1</v>
      </c>
      <c r="AG40">
        <f>SUMIF(RawDataTotal!$B:$B,$A40,RawDataTotal!AJ:AJ)</f>
        <v>1</v>
      </c>
      <c r="AH40">
        <f>SUMIF(RawDataTotal!$B:$B,$A40,RawDataTotal!AK:AK)</f>
        <v>1</v>
      </c>
      <c r="AI40">
        <f>SUMIF(RawDataTotal!$B:$B,$A40,RawDataTotal!AL:AL)</f>
        <v>1</v>
      </c>
      <c r="AJ40">
        <f>SUMIF(RawDataTotal!$B:$B,$A40,RawDataTotal!AM:AM)</f>
        <v>1</v>
      </c>
      <c r="AK40">
        <f>SUMIF(RawDataTotal!$B:$B,$A40,RawDataTotal!AN:AN)</f>
        <v>1</v>
      </c>
      <c r="AL40">
        <f>SUMIF(RawDataTotal!$B:$B,$A40,RawDataTotal!AO:AO)</f>
        <v>1</v>
      </c>
      <c r="AM40">
        <f>SUMIF(RawDataTotal!$B:$B,$A40,RawDataTotal!AP:AP)</f>
        <v>1</v>
      </c>
      <c r="AN40">
        <f>SUMIF(RawDataTotal!$B:$B,$A40,RawDataTotal!AQ:AQ)</f>
        <v>1</v>
      </c>
      <c r="AO40">
        <f>SUMIF(RawDataTotal!$B:$B,$A40,RawDataTotal!AR:AR)</f>
        <v>2</v>
      </c>
      <c r="AP40">
        <f>SUMIF(RawDataTotal!$B:$B,$A40,RawDataTotal!AS:AS)</f>
        <v>2</v>
      </c>
      <c r="AQ40">
        <f>SUMIF(RawDataTotal!$B:$B,$A40,RawDataTotal!AT:AT)</f>
        <v>2</v>
      </c>
      <c r="AR40">
        <f>SUMIF(RawDataTotal!$B:$B,$A40,RawDataTotal!AU:AU)</f>
        <v>2</v>
      </c>
      <c r="AS40">
        <f>SUMIF(RawDataTotal!$B:$B,$A40,RawDataTotal!AV:AV)</f>
        <v>3</v>
      </c>
      <c r="AT40">
        <f>SUMIF(RawDataTotal!$B:$B,$A40,RawDataTotal!AW:AW)</f>
        <v>15</v>
      </c>
      <c r="AU40">
        <f>SUMIF(RawDataTotal!$B:$B,$A40,RawDataTotal!AX:AX)</f>
        <v>15</v>
      </c>
      <c r="AV40">
        <f>SUMIF(RawDataTotal!$B:$B,$A40,RawDataTotal!AY:AY)</f>
        <v>49</v>
      </c>
      <c r="AW40">
        <f>SUMIF(RawDataTotal!$B:$B,$A40,RawDataTotal!AZ:AZ)</f>
        <v>55</v>
      </c>
      <c r="AX40">
        <f>SUMIF(RawDataTotal!$B:$B,$A40,RawDataTotal!BA:BA)</f>
        <v>59</v>
      </c>
      <c r="AY40">
        <f>SUMIF(RawDataTotal!$B:$B,$A40,RawDataTotal!BB:BB)</f>
        <v>60</v>
      </c>
      <c r="AZ40">
        <f>SUMIF(RawDataTotal!$B:$B,$A40,RawDataTotal!BC:BC)</f>
        <v>67</v>
      </c>
      <c r="BA40">
        <f>SUMIF(RawDataTotal!$B:$B,$A40,RawDataTotal!BD:BD)</f>
        <v>80</v>
      </c>
      <c r="BB40">
        <f>SUMIF(RawDataTotal!$B:$B,$A40,RawDataTotal!BE:BE)</f>
        <v>109</v>
      </c>
      <c r="BC40">
        <f>SUMIF(RawDataTotal!$B:$B,$A40,RawDataTotal!BF:BF)</f>
        <v>110</v>
      </c>
      <c r="BD40">
        <f>SUMIF(RawDataTotal!$B:$B,$A40,RawDataTotal!BG:BG)</f>
        <v>150</v>
      </c>
      <c r="BE40">
        <f>SUMIF(RawDataTotal!$B:$B,$A40,RawDataTotal!BH:BH)</f>
        <v>196</v>
      </c>
      <c r="BF40">
        <f>SUMIF(RawDataTotal!$B:$B,$A40,RawDataTotal!BI:BI)</f>
        <v>0</v>
      </c>
      <c r="BG40">
        <f>SUMIF(RawDataTotal!$B:$B,$A40,RawDataTotal!BJ:BJ)</f>
        <v>0</v>
      </c>
      <c r="BH40">
        <f>SUMIF(RawDataTotal!$B:$B,$A40,RawDataTotal!BK:BK)</f>
        <v>0</v>
      </c>
      <c r="BI40">
        <f>SUMIF(RawDataTotal!$B:$B,$A40,RawDataTotal!BL:BL)</f>
        <v>0</v>
      </c>
      <c r="BJ40">
        <f>SUMIF(RawDataTotal!$B:$B,$A40,RawDataTotal!BM:BM)</f>
        <v>0</v>
      </c>
      <c r="BK40">
        <f>SUMIF(RawDataTotal!$B:$B,$A40,RawDataTotal!BN:BN)</f>
        <v>0</v>
      </c>
      <c r="BL40">
        <f>SUMIF(RawDataTotal!$B:$B,$A40,RawDataTotal!BO:BO)</f>
        <v>0</v>
      </c>
      <c r="BM40">
        <f>SUMIF(RawDataTotal!$B:$B,$A40,RawDataTotal!BP:BP)</f>
        <v>0</v>
      </c>
      <c r="BN40">
        <f>SUMIF(RawDataTotal!$B:$B,$A40,RawDataTotal!BQ:BQ)</f>
        <v>0</v>
      </c>
      <c r="BO40">
        <f>SUMIF(RawDataTotal!$B:$B,$A40,RawDataTotal!BR:BR)</f>
        <v>0</v>
      </c>
      <c r="BP40">
        <f>SUMIF(RawDataTotal!$B:$B,$A40,RawDataTotal!BS:BS)</f>
        <v>0</v>
      </c>
      <c r="BQ40">
        <f>SUMIF(RawDataTotal!$B:$B,$A40,RawDataTotal!BT:BT)</f>
        <v>0</v>
      </c>
      <c r="BR40">
        <f>SUMIF(RawDataTotal!$B:$B,$A40,RawDataTotal!BU:BU)</f>
        <v>0</v>
      </c>
      <c r="BS40">
        <f>SUMIF(RawDataTotal!$B:$B,$A40,RawDataTotal!BV:BV)</f>
        <v>0</v>
      </c>
      <c r="BT40">
        <f>SUMIF(RawDataTotal!$B:$B,$A40,RawDataTotal!BW:BW)</f>
        <v>0</v>
      </c>
    </row>
    <row r="41" spans="1:72" ht="15" thickBot="1" x14ac:dyDescent="0.35">
      <c r="A41" s="3" t="s">
        <v>101</v>
      </c>
      <c r="B41">
        <f>SUMIF(RawDataTotal!$B:$B,$A41,RawDataTotal!E:E)</f>
        <v>0</v>
      </c>
      <c r="C41">
        <f>SUMIF(RawDataTotal!$B:$B,$A41,RawDataTotal!F:F)</f>
        <v>0</v>
      </c>
      <c r="D41">
        <f>SUMIF(RawDataTotal!$B:$B,$A41,RawDataTotal!G:G)</f>
        <v>0</v>
      </c>
      <c r="E41">
        <f>SUMIF(RawDataTotal!$B:$B,$A41,RawDataTotal!H:H)</f>
        <v>0</v>
      </c>
      <c r="F41">
        <f>SUMIF(RawDataTotal!$B:$B,$A41,RawDataTotal!I:I)</f>
        <v>0</v>
      </c>
      <c r="G41">
        <f>SUMIF(RawDataTotal!$B:$B,$A41,RawDataTotal!J:J)</f>
        <v>0</v>
      </c>
      <c r="H41">
        <f>SUMIF(RawDataTotal!$B:$B,$A41,RawDataTotal!K:K)</f>
        <v>0</v>
      </c>
      <c r="I41">
        <f>SUMIF(RawDataTotal!$B:$B,$A41,RawDataTotal!L:L)</f>
        <v>0</v>
      </c>
      <c r="J41">
        <f>SUMIF(RawDataTotal!$B:$B,$A41,RawDataTotal!M:M)</f>
        <v>0</v>
      </c>
      <c r="K41">
        <f>SUMIF(RawDataTotal!$B:$B,$A41,RawDataTotal!N:N)</f>
        <v>0</v>
      </c>
      <c r="L41">
        <f>SUMIF(RawDataTotal!$B:$B,$A41,RawDataTotal!O:O)</f>
        <v>0</v>
      </c>
      <c r="M41">
        <f>SUMIF(RawDataTotal!$B:$B,$A41,RawDataTotal!P:P)</f>
        <v>0</v>
      </c>
      <c r="N41">
        <f>SUMIF(RawDataTotal!$B:$B,$A41,RawDataTotal!Q:Q)</f>
        <v>0</v>
      </c>
      <c r="O41">
        <f>SUMIF(RawDataTotal!$B:$B,$A41,RawDataTotal!R:R)</f>
        <v>0</v>
      </c>
      <c r="P41">
        <f>SUMIF(RawDataTotal!$B:$B,$A41,RawDataTotal!S:S)</f>
        <v>0</v>
      </c>
      <c r="Q41">
        <f>SUMIF(RawDataTotal!$B:$B,$A41,RawDataTotal!T:T)</f>
        <v>0</v>
      </c>
      <c r="R41">
        <f>SUMIF(RawDataTotal!$B:$B,$A41,RawDataTotal!U:U)</f>
        <v>0</v>
      </c>
      <c r="S41">
        <f>SUMIF(RawDataTotal!$B:$B,$A41,RawDataTotal!V:V)</f>
        <v>0</v>
      </c>
      <c r="T41">
        <f>SUMIF(RawDataTotal!$B:$B,$A41,RawDataTotal!W:W)</f>
        <v>0</v>
      </c>
      <c r="U41">
        <f>SUMIF(RawDataTotal!$B:$B,$A41,RawDataTotal!X:X)</f>
        <v>0</v>
      </c>
      <c r="V41">
        <f>SUMIF(RawDataTotal!$B:$B,$A41,RawDataTotal!Y:Y)</f>
        <v>0</v>
      </c>
      <c r="W41">
        <f>SUMIF(RawDataTotal!$B:$B,$A41,RawDataTotal!Z:Z)</f>
        <v>0</v>
      </c>
      <c r="X41">
        <f>SUMIF(RawDataTotal!$B:$B,$A41,RawDataTotal!AA:AA)</f>
        <v>0</v>
      </c>
      <c r="Y41">
        <f>SUMIF(RawDataTotal!$B:$B,$A41,RawDataTotal!AB:AB)</f>
        <v>0</v>
      </c>
      <c r="Z41">
        <f>SUMIF(RawDataTotal!$B:$B,$A41,RawDataTotal!AC:AC)</f>
        <v>0</v>
      </c>
      <c r="AA41">
        <f>SUMIF(RawDataTotal!$B:$B,$A41,RawDataTotal!AD:AD)</f>
        <v>0</v>
      </c>
      <c r="AB41">
        <f>SUMIF(RawDataTotal!$B:$B,$A41,RawDataTotal!AE:AE)</f>
        <v>0</v>
      </c>
      <c r="AC41">
        <f>SUMIF(RawDataTotal!$B:$B,$A41,RawDataTotal!AF:AF)</f>
        <v>0</v>
      </c>
      <c r="AD41">
        <f>SUMIF(RawDataTotal!$B:$B,$A41,RawDataTotal!AG:AG)</f>
        <v>0</v>
      </c>
      <c r="AE41">
        <f>SUMIF(RawDataTotal!$B:$B,$A41,RawDataTotal!AH:AH)</f>
        <v>0</v>
      </c>
      <c r="AF41">
        <f>SUMIF(RawDataTotal!$B:$B,$A41,RawDataTotal!AI:AI)</f>
        <v>0</v>
      </c>
      <c r="AG41">
        <f>SUMIF(RawDataTotal!$B:$B,$A41,RawDataTotal!AJ:AJ)</f>
        <v>0</v>
      </c>
      <c r="AH41">
        <f>SUMIF(RawDataTotal!$B:$B,$A41,RawDataTotal!AK:AK)</f>
        <v>0</v>
      </c>
      <c r="AI41">
        <f>SUMIF(RawDataTotal!$B:$B,$A41,RawDataTotal!AL:AL)</f>
        <v>1</v>
      </c>
      <c r="AJ41">
        <f>SUMIF(RawDataTotal!$B:$B,$A41,RawDataTotal!AM:AM)</f>
        <v>11</v>
      </c>
      <c r="AK41">
        <f>SUMIF(RawDataTotal!$B:$B,$A41,RawDataTotal!AN:AN)</f>
        <v>26</v>
      </c>
      <c r="AL41">
        <f>SUMIF(RawDataTotal!$B:$B,$A41,RawDataTotal!AO:AO)</f>
        <v>43</v>
      </c>
      <c r="AM41">
        <f>SUMIF(RawDataTotal!$B:$B,$A41,RawDataTotal!AP:AP)</f>
        <v>45</v>
      </c>
      <c r="AN41">
        <f>SUMIF(RawDataTotal!$B:$B,$A41,RawDataTotal!AQ:AQ)</f>
        <v>45</v>
      </c>
      <c r="AO41">
        <f>SUMIF(RawDataTotal!$B:$B,$A41,RawDataTotal!AR:AR)</f>
        <v>45</v>
      </c>
      <c r="AP41">
        <f>SUMIF(RawDataTotal!$B:$B,$A41,RawDataTotal!AS:AS)</f>
        <v>56</v>
      </c>
      <c r="AQ41">
        <f>SUMIF(RawDataTotal!$B:$B,$A41,RawDataTotal!AT:AT)</f>
        <v>56</v>
      </c>
      <c r="AR41">
        <f>SUMIF(RawDataTotal!$B:$B,$A41,RawDataTotal!AU:AU)</f>
        <v>56</v>
      </c>
      <c r="AS41">
        <f>SUMIF(RawDataTotal!$B:$B,$A41,RawDataTotal!AV:AV)</f>
        <v>58</v>
      </c>
      <c r="AT41">
        <f>SUMIF(RawDataTotal!$B:$B,$A41,RawDataTotal!AW:AW)</f>
        <v>58</v>
      </c>
      <c r="AU41">
        <f>SUMIF(RawDataTotal!$B:$B,$A41,RawDataTotal!AX:AX)</f>
        <v>61</v>
      </c>
      <c r="AV41">
        <f>SUMIF(RawDataTotal!$B:$B,$A41,RawDataTotal!AY:AY)</f>
        <v>64</v>
      </c>
      <c r="AW41">
        <f>SUMIF(RawDataTotal!$B:$B,$A41,RawDataTotal!AZ:AZ)</f>
        <v>64</v>
      </c>
      <c r="AX41">
        <f>SUMIF(RawDataTotal!$B:$B,$A41,RawDataTotal!BA:BA)</f>
        <v>69</v>
      </c>
      <c r="AY41">
        <f>SUMIF(RawDataTotal!$B:$B,$A41,RawDataTotal!BB:BB)</f>
        <v>72</v>
      </c>
      <c r="AZ41">
        <f>SUMIF(RawDataTotal!$B:$B,$A41,RawDataTotal!BC:BC)</f>
        <v>80</v>
      </c>
      <c r="BA41">
        <f>SUMIF(RawDataTotal!$B:$B,$A41,RawDataTotal!BD:BD)</f>
        <v>80</v>
      </c>
      <c r="BB41">
        <f>SUMIF(RawDataTotal!$B:$B,$A41,RawDataTotal!BE:BE)</f>
        <v>104</v>
      </c>
      <c r="BC41">
        <f>SUMIF(RawDataTotal!$B:$B,$A41,RawDataTotal!BF:BF)</f>
        <v>112</v>
      </c>
      <c r="BD41">
        <f>SUMIF(RawDataTotal!$B:$B,$A41,RawDataTotal!BG:BG)</f>
        <v>123</v>
      </c>
      <c r="BE41">
        <f>SUMIF(RawDataTotal!$B:$B,$A41,RawDataTotal!BH:BH)</f>
        <v>130</v>
      </c>
      <c r="BF41">
        <f>SUMIF(RawDataTotal!$B:$B,$A41,RawDataTotal!BI:BI)</f>
        <v>0</v>
      </c>
      <c r="BG41">
        <f>SUMIF(RawDataTotal!$B:$B,$A41,RawDataTotal!BJ:BJ)</f>
        <v>0</v>
      </c>
      <c r="BH41">
        <f>SUMIF(RawDataTotal!$B:$B,$A41,RawDataTotal!BK:BK)</f>
        <v>0</v>
      </c>
      <c r="BI41">
        <f>SUMIF(RawDataTotal!$B:$B,$A41,RawDataTotal!BL:BL)</f>
        <v>0</v>
      </c>
      <c r="BJ41">
        <f>SUMIF(RawDataTotal!$B:$B,$A41,RawDataTotal!BM:BM)</f>
        <v>0</v>
      </c>
      <c r="BK41">
        <f>SUMIF(RawDataTotal!$B:$B,$A41,RawDataTotal!BN:BN)</f>
        <v>0</v>
      </c>
      <c r="BL41">
        <f>SUMIF(RawDataTotal!$B:$B,$A41,RawDataTotal!BO:BO)</f>
        <v>0</v>
      </c>
      <c r="BM41">
        <f>SUMIF(RawDataTotal!$B:$B,$A41,RawDataTotal!BP:BP)</f>
        <v>0</v>
      </c>
      <c r="BN41">
        <f>SUMIF(RawDataTotal!$B:$B,$A41,RawDataTotal!BQ:BQ)</f>
        <v>0</v>
      </c>
      <c r="BO41">
        <f>SUMIF(RawDataTotal!$B:$B,$A41,RawDataTotal!BR:BR)</f>
        <v>0</v>
      </c>
      <c r="BP41">
        <f>SUMIF(RawDataTotal!$B:$B,$A41,RawDataTotal!BS:BS)</f>
        <v>0</v>
      </c>
      <c r="BQ41">
        <f>SUMIF(RawDataTotal!$B:$B,$A41,RawDataTotal!BT:BT)</f>
        <v>0</v>
      </c>
      <c r="BR41">
        <f>SUMIF(RawDataTotal!$B:$B,$A41,RawDataTotal!BU:BU)</f>
        <v>0</v>
      </c>
      <c r="BS41">
        <f>SUMIF(RawDataTotal!$B:$B,$A41,RawDataTotal!BV:BV)</f>
        <v>0</v>
      </c>
      <c r="BT41">
        <f>SUMIF(RawDataTotal!$B:$B,$A41,RawDataTotal!BW:BW)</f>
        <v>0</v>
      </c>
    </row>
    <row r="42" spans="1:72" ht="15" thickBot="1" x14ac:dyDescent="0.35">
      <c r="A42" s="4" t="s">
        <v>117</v>
      </c>
      <c r="B42">
        <f>SUMIF(RawDataTotal!$B:$B,$A42,RawDataTotal!E:E)</f>
        <v>0</v>
      </c>
      <c r="C42">
        <f>SUMIF(RawDataTotal!$B:$B,$A42,RawDataTotal!F:F)</f>
        <v>0</v>
      </c>
      <c r="D42">
        <f>SUMIF(RawDataTotal!$B:$B,$A42,RawDataTotal!G:G)</f>
        <v>0</v>
      </c>
      <c r="E42">
        <f>SUMIF(RawDataTotal!$B:$B,$A42,RawDataTotal!H:H)</f>
        <v>0</v>
      </c>
      <c r="F42">
        <f>SUMIF(RawDataTotal!$B:$B,$A42,RawDataTotal!I:I)</f>
        <v>0</v>
      </c>
      <c r="G42">
        <f>SUMIF(RawDataTotal!$B:$B,$A42,RawDataTotal!J:J)</f>
        <v>0</v>
      </c>
      <c r="H42">
        <f>SUMIF(RawDataTotal!$B:$B,$A42,RawDataTotal!K:K)</f>
        <v>0</v>
      </c>
      <c r="I42">
        <f>SUMIF(RawDataTotal!$B:$B,$A42,RawDataTotal!L:L)</f>
        <v>0</v>
      </c>
      <c r="J42">
        <f>SUMIF(RawDataTotal!$B:$B,$A42,RawDataTotal!M:M)</f>
        <v>0</v>
      </c>
      <c r="K42">
        <f>SUMIF(RawDataTotal!$B:$B,$A42,RawDataTotal!N:N)</f>
        <v>0</v>
      </c>
      <c r="L42">
        <f>SUMIF(RawDataTotal!$B:$B,$A42,RawDataTotal!O:O)</f>
        <v>0</v>
      </c>
      <c r="M42">
        <f>SUMIF(RawDataTotal!$B:$B,$A42,RawDataTotal!P:P)</f>
        <v>0</v>
      </c>
      <c r="N42">
        <f>SUMIF(RawDataTotal!$B:$B,$A42,RawDataTotal!Q:Q)</f>
        <v>0</v>
      </c>
      <c r="O42">
        <f>SUMIF(RawDataTotal!$B:$B,$A42,RawDataTotal!R:R)</f>
        <v>0</v>
      </c>
      <c r="P42">
        <f>SUMIF(RawDataTotal!$B:$B,$A42,RawDataTotal!S:S)</f>
        <v>0</v>
      </c>
      <c r="Q42">
        <f>SUMIF(RawDataTotal!$B:$B,$A42,RawDataTotal!T:T)</f>
        <v>0</v>
      </c>
      <c r="R42">
        <f>SUMIF(RawDataTotal!$B:$B,$A42,RawDataTotal!U:U)</f>
        <v>0</v>
      </c>
      <c r="S42">
        <f>SUMIF(RawDataTotal!$B:$B,$A42,RawDataTotal!V:V)</f>
        <v>0</v>
      </c>
      <c r="T42">
        <f>SUMIF(RawDataTotal!$B:$B,$A42,RawDataTotal!W:W)</f>
        <v>0</v>
      </c>
      <c r="U42">
        <f>SUMIF(RawDataTotal!$B:$B,$A42,RawDataTotal!X:X)</f>
        <v>0</v>
      </c>
      <c r="V42">
        <f>SUMIF(RawDataTotal!$B:$B,$A42,RawDataTotal!Y:Y)</f>
        <v>0</v>
      </c>
      <c r="W42">
        <f>SUMIF(RawDataTotal!$B:$B,$A42,RawDataTotal!Z:Z)</f>
        <v>0</v>
      </c>
      <c r="X42">
        <f>SUMIF(RawDataTotal!$B:$B,$A42,RawDataTotal!AA:AA)</f>
        <v>0</v>
      </c>
      <c r="Y42">
        <f>SUMIF(RawDataTotal!$B:$B,$A42,RawDataTotal!AB:AB)</f>
        <v>0</v>
      </c>
      <c r="Z42">
        <f>SUMIF(RawDataTotal!$B:$B,$A42,RawDataTotal!AC:AC)</f>
        <v>0</v>
      </c>
      <c r="AA42">
        <f>SUMIF(RawDataTotal!$B:$B,$A42,RawDataTotal!AD:AD)</f>
        <v>0</v>
      </c>
      <c r="AB42">
        <f>SUMIF(RawDataTotal!$B:$B,$A42,RawDataTotal!AE:AE)</f>
        <v>0</v>
      </c>
      <c r="AC42">
        <f>SUMIF(RawDataTotal!$B:$B,$A42,RawDataTotal!AF:AF)</f>
        <v>0</v>
      </c>
      <c r="AD42">
        <f>SUMIF(RawDataTotal!$B:$B,$A42,RawDataTotal!AG:AG)</f>
        <v>0</v>
      </c>
      <c r="AE42">
        <f>SUMIF(RawDataTotal!$B:$B,$A42,RawDataTotal!AH:AH)</f>
        <v>0</v>
      </c>
      <c r="AF42">
        <f>SUMIF(RawDataTotal!$B:$B,$A42,RawDataTotal!AI:AI)</f>
        <v>0</v>
      </c>
      <c r="AG42">
        <f>SUMIF(RawDataTotal!$B:$B,$A42,RawDataTotal!AJ:AJ)</f>
        <v>0</v>
      </c>
      <c r="AH42">
        <f>SUMIF(RawDataTotal!$B:$B,$A42,RawDataTotal!AK:AK)</f>
        <v>0</v>
      </c>
      <c r="AI42">
        <f>SUMIF(RawDataTotal!$B:$B,$A42,RawDataTotal!AL:AL)</f>
        <v>0</v>
      </c>
      <c r="AJ42">
        <f>SUMIF(RawDataTotal!$B:$B,$A42,RawDataTotal!AM:AM)</f>
        <v>0</v>
      </c>
      <c r="AK42">
        <f>SUMIF(RawDataTotal!$B:$B,$A42,RawDataTotal!AN:AN)</f>
        <v>0</v>
      </c>
      <c r="AL42">
        <f>SUMIF(RawDataTotal!$B:$B,$A42,RawDataTotal!AO:AO)</f>
        <v>1</v>
      </c>
      <c r="AM42">
        <f>SUMIF(RawDataTotal!$B:$B,$A42,RawDataTotal!AP:AP)</f>
        <v>1</v>
      </c>
      <c r="AN42">
        <f>SUMIF(RawDataTotal!$B:$B,$A42,RawDataTotal!AQ:AQ)</f>
        <v>1</v>
      </c>
      <c r="AO42">
        <f>SUMIF(RawDataTotal!$B:$B,$A42,RawDataTotal!AR:AR)</f>
        <v>1</v>
      </c>
      <c r="AP42">
        <f>SUMIF(RawDataTotal!$B:$B,$A42,RawDataTotal!AS:AS)</f>
        <v>8</v>
      </c>
      <c r="AQ42">
        <f>SUMIF(RawDataTotal!$B:$B,$A42,RawDataTotal!AT:AT)</f>
        <v>10</v>
      </c>
      <c r="AR42">
        <f>SUMIF(RawDataTotal!$B:$B,$A42,RawDataTotal!AU:AU)</f>
        <v>16</v>
      </c>
      <c r="AS42">
        <f>SUMIF(RawDataTotal!$B:$B,$A42,RawDataTotal!AV:AV)</f>
        <v>21</v>
      </c>
      <c r="AT42">
        <f>SUMIF(RawDataTotal!$B:$B,$A42,RawDataTotal!AW:AW)</f>
        <v>21</v>
      </c>
      <c r="AU42">
        <f>SUMIF(RawDataTotal!$B:$B,$A42,RawDataTotal!AX:AX)</f>
        <v>23</v>
      </c>
      <c r="AV42">
        <f>SUMIF(RawDataTotal!$B:$B,$A42,RawDataTotal!AY:AY)</f>
        <v>36</v>
      </c>
      <c r="AW42">
        <f>SUMIF(RawDataTotal!$B:$B,$A42,RawDataTotal!AZ:AZ)</f>
        <v>36</v>
      </c>
      <c r="AX42">
        <f>SUMIF(RawDataTotal!$B:$B,$A42,RawDataTotal!BA:BA)</f>
        <v>51</v>
      </c>
      <c r="AY42">
        <f>SUMIF(RawDataTotal!$B:$B,$A42,RawDataTotal!BB:BB)</f>
        <v>62</v>
      </c>
      <c r="AZ42">
        <f>SUMIF(RawDataTotal!$B:$B,$A42,RawDataTotal!BC:BC)</f>
        <v>69</v>
      </c>
      <c r="BA42">
        <f>SUMIF(RawDataTotal!$B:$B,$A42,RawDataTotal!BD:BD)</f>
        <v>80</v>
      </c>
      <c r="BB42">
        <f>SUMIF(RawDataTotal!$B:$B,$A42,RawDataTotal!BE:BE)</f>
        <v>80</v>
      </c>
      <c r="BC42">
        <f>SUMIF(RawDataTotal!$B:$B,$A42,RawDataTotal!BF:BF)</f>
        <v>101</v>
      </c>
      <c r="BD42">
        <f>SUMIF(RawDataTotal!$B:$B,$A42,RawDataTotal!BG:BG)</f>
        <v>109</v>
      </c>
      <c r="BE42">
        <f>SUMIF(RawDataTotal!$B:$B,$A42,RawDataTotal!BH:BH)</f>
        <v>109</v>
      </c>
      <c r="BF42">
        <f>SUMIF(RawDataTotal!$B:$B,$A42,RawDataTotal!BI:BI)</f>
        <v>0</v>
      </c>
      <c r="BG42">
        <f>SUMIF(RawDataTotal!$B:$B,$A42,RawDataTotal!BJ:BJ)</f>
        <v>0</v>
      </c>
      <c r="BH42">
        <f>SUMIF(RawDataTotal!$B:$B,$A42,RawDataTotal!BK:BK)</f>
        <v>0</v>
      </c>
      <c r="BI42">
        <f>SUMIF(RawDataTotal!$B:$B,$A42,RawDataTotal!BL:BL)</f>
        <v>0</v>
      </c>
      <c r="BJ42">
        <f>SUMIF(RawDataTotal!$B:$B,$A42,RawDataTotal!BM:BM)</f>
        <v>0</v>
      </c>
      <c r="BK42">
        <f>SUMIF(RawDataTotal!$B:$B,$A42,RawDataTotal!BN:BN)</f>
        <v>0</v>
      </c>
      <c r="BL42">
        <f>SUMIF(RawDataTotal!$B:$B,$A42,RawDataTotal!BO:BO)</f>
        <v>0</v>
      </c>
      <c r="BM42">
        <f>SUMIF(RawDataTotal!$B:$B,$A42,RawDataTotal!BP:BP)</f>
        <v>0</v>
      </c>
      <c r="BN42">
        <f>SUMIF(RawDataTotal!$B:$B,$A42,RawDataTotal!BQ:BQ)</f>
        <v>0</v>
      </c>
      <c r="BO42">
        <f>SUMIF(RawDataTotal!$B:$B,$A42,RawDataTotal!BR:BR)</f>
        <v>0</v>
      </c>
      <c r="BP42">
        <f>SUMIF(RawDataTotal!$B:$B,$A42,RawDataTotal!BS:BS)</f>
        <v>0</v>
      </c>
      <c r="BQ42">
        <f>SUMIF(RawDataTotal!$B:$B,$A42,RawDataTotal!BT:BT)</f>
        <v>0</v>
      </c>
      <c r="BR42">
        <f>SUMIF(RawDataTotal!$B:$B,$A42,RawDataTotal!BU:BU)</f>
        <v>0</v>
      </c>
      <c r="BS42">
        <f>SUMIF(RawDataTotal!$B:$B,$A42,RawDataTotal!BV:BV)</f>
        <v>0</v>
      </c>
      <c r="BT42">
        <f>SUMIF(RawDataTotal!$B:$B,$A42,RawDataTotal!BW:BW)</f>
        <v>0</v>
      </c>
    </row>
    <row r="43" spans="1:72" ht="15" thickBot="1" x14ac:dyDescent="0.35">
      <c r="A43" s="4" t="s">
        <v>115</v>
      </c>
      <c r="B43">
        <f>SUMIF(RawDataTotal!$B:$B,$A43,RawDataTotal!E:E)</f>
        <v>0</v>
      </c>
      <c r="C43">
        <f>SUMIF(RawDataTotal!$B:$B,$A43,RawDataTotal!F:F)</f>
        <v>0</v>
      </c>
      <c r="D43">
        <f>SUMIF(RawDataTotal!$B:$B,$A43,RawDataTotal!G:G)</f>
        <v>0</v>
      </c>
      <c r="E43">
        <f>SUMIF(RawDataTotal!$B:$B,$A43,RawDataTotal!H:H)</f>
        <v>0</v>
      </c>
      <c r="F43">
        <f>SUMIF(RawDataTotal!$B:$B,$A43,RawDataTotal!I:I)</f>
        <v>0</v>
      </c>
      <c r="G43">
        <f>SUMIF(RawDataTotal!$B:$B,$A43,RawDataTotal!J:J)</f>
        <v>0</v>
      </c>
      <c r="H43">
        <f>SUMIF(RawDataTotal!$B:$B,$A43,RawDataTotal!K:K)</f>
        <v>0</v>
      </c>
      <c r="I43">
        <f>SUMIF(RawDataTotal!$B:$B,$A43,RawDataTotal!L:L)</f>
        <v>0</v>
      </c>
      <c r="J43">
        <f>SUMIF(RawDataTotal!$B:$B,$A43,RawDataTotal!M:M)</f>
        <v>0</v>
      </c>
      <c r="K43">
        <f>SUMIF(RawDataTotal!$B:$B,$A43,RawDataTotal!N:N)</f>
        <v>0</v>
      </c>
      <c r="L43">
        <f>SUMIF(RawDataTotal!$B:$B,$A43,RawDataTotal!O:O)</f>
        <v>0</v>
      </c>
      <c r="M43">
        <f>SUMIF(RawDataTotal!$B:$B,$A43,RawDataTotal!P:P)</f>
        <v>0</v>
      </c>
      <c r="N43">
        <f>SUMIF(RawDataTotal!$B:$B,$A43,RawDataTotal!Q:Q)</f>
        <v>0</v>
      </c>
      <c r="O43">
        <f>SUMIF(RawDataTotal!$B:$B,$A43,RawDataTotal!R:R)</f>
        <v>0</v>
      </c>
      <c r="P43">
        <f>SUMIF(RawDataTotal!$B:$B,$A43,RawDataTotal!S:S)</f>
        <v>0</v>
      </c>
      <c r="Q43">
        <f>SUMIF(RawDataTotal!$B:$B,$A43,RawDataTotal!T:T)</f>
        <v>0</v>
      </c>
      <c r="R43">
        <f>SUMIF(RawDataTotal!$B:$B,$A43,RawDataTotal!U:U)</f>
        <v>0</v>
      </c>
      <c r="S43">
        <f>SUMIF(RawDataTotal!$B:$B,$A43,RawDataTotal!V:V)</f>
        <v>0</v>
      </c>
      <c r="T43">
        <f>SUMIF(RawDataTotal!$B:$B,$A43,RawDataTotal!W:W)</f>
        <v>0</v>
      </c>
      <c r="U43">
        <f>SUMIF(RawDataTotal!$B:$B,$A43,RawDataTotal!X:X)</f>
        <v>0</v>
      </c>
      <c r="V43">
        <f>SUMIF(RawDataTotal!$B:$B,$A43,RawDataTotal!Y:Y)</f>
        <v>0</v>
      </c>
      <c r="W43">
        <f>SUMIF(RawDataTotal!$B:$B,$A43,RawDataTotal!Z:Z)</f>
        <v>0</v>
      </c>
      <c r="X43">
        <f>SUMIF(RawDataTotal!$B:$B,$A43,RawDataTotal!AA:AA)</f>
        <v>0</v>
      </c>
      <c r="Y43">
        <f>SUMIF(RawDataTotal!$B:$B,$A43,RawDataTotal!AB:AB)</f>
        <v>0</v>
      </c>
      <c r="Z43">
        <f>SUMIF(RawDataTotal!$B:$B,$A43,RawDataTotal!AC:AC)</f>
        <v>0</v>
      </c>
      <c r="AA43">
        <f>SUMIF(RawDataTotal!$B:$B,$A43,RawDataTotal!AD:AD)</f>
        <v>0</v>
      </c>
      <c r="AB43">
        <f>SUMIF(RawDataTotal!$B:$B,$A43,RawDataTotal!AE:AE)</f>
        <v>0</v>
      </c>
      <c r="AC43">
        <f>SUMIF(RawDataTotal!$B:$B,$A43,RawDataTotal!AF:AF)</f>
        <v>0</v>
      </c>
      <c r="AD43">
        <f>SUMIF(RawDataTotal!$B:$B,$A43,RawDataTotal!AG:AG)</f>
        <v>0</v>
      </c>
      <c r="AE43">
        <f>SUMIF(RawDataTotal!$B:$B,$A43,RawDataTotal!AH:AH)</f>
        <v>0</v>
      </c>
      <c r="AF43">
        <f>SUMIF(RawDataTotal!$B:$B,$A43,RawDataTotal!AI:AI)</f>
        <v>0</v>
      </c>
      <c r="AG43">
        <f>SUMIF(RawDataTotal!$B:$B,$A43,RawDataTotal!AJ:AJ)</f>
        <v>0</v>
      </c>
      <c r="AH43">
        <f>SUMIF(RawDataTotal!$B:$B,$A43,RawDataTotal!AK:AK)</f>
        <v>0</v>
      </c>
      <c r="AI43">
        <f>SUMIF(RawDataTotal!$B:$B,$A43,RawDataTotal!AL:AL)</f>
        <v>0</v>
      </c>
      <c r="AJ43">
        <f>SUMIF(RawDataTotal!$B:$B,$A43,RawDataTotal!AM:AM)</f>
        <v>0</v>
      </c>
      <c r="AK43">
        <f>SUMIF(RawDataTotal!$B:$B,$A43,RawDataTotal!AN:AN)</f>
        <v>0</v>
      </c>
      <c r="AL43">
        <f>SUMIF(RawDataTotal!$B:$B,$A43,RawDataTotal!AO:AO)</f>
        <v>1</v>
      </c>
      <c r="AM43">
        <f>SUMIF(RawDataTotal!$B:$B,$A43,RawDataTotal!AP:AP)</f>
        <v>1</v>
      </c>
      <c r="AN43">
        <f>SUMIF(RawDataTotal!$B:$B,$A43,RawDataTotal!AQ:AQ)</f>
        <v>1</v>
      </c>
      <c r="AO43">
        <f>SUMIF(RawDataTotal!$B:$B,$A43,RawDataTotal!AR:AR)</f>
        <v>1</v>
      </c>
      <c r="AP43">
        <f>SUMIF(RawDataTotal!$B:$B,$A43,RawDataTotal!AS:AS)</f>
        <v>1</v>
      </c>
      <c r="AQ43">
        <f>SUMIF(RawDataTotal!$B:$B,$A43,RawDataTotal!AT:AT)</f>
        <v>2</v>
      </c>
      <c r="AR43">
        <f>SUMIF(RawDataTotal!$B:$B,$A43,RawDataTotal!AU:AU)</f>
        <v>2</v>
      </c>
      <c r="AS43">
        <f>SUMIF(RawDataTotal!$B:$B,$A43,RawDataTotal!AV:AV)</f>
        <v>3</v>
      </c>
      <c r="AT43">
        <f>SUMIF(RawDataTotal!$B:$B,$A43,RawDataTotal!AW:AW)</f>
        <v>10</v>
      </c>
      <c r="AU43">
        <f>SUMIF(RawDataTotal!$B:$B,$A43,RawDataTotal!AX:AX)</f>
        <v>10</v>
      </c>
      <c r="AV43">
        <f>SUMIF(RawDataTotal!$B:$B,$A43,RawDataTotal!AY:AY)</f>
        <v>10</v>
      </c>
      <c r="AW43">
        <f>SUMIF(RawDataTotal!$B:$B,$A43,RawDataTotal!AZ:AZ)</f>
        <v>10</v>
      </c>
      <c r="AX43">
        <f>SUMIF(RawDataTotal!$B:$B,$A43,RawDataTotal!BA:BA)</f>
        <v>12</v>
      </c>
      <c r="AY43">
        <f>SUMIF(RawDataTotal!$B:$B,$A43,RawDataTotal!BB:BB)</f>
        <v>16</v>
      </c>
      <c r="AZ43">
        <f>SUMIF(RawDataTotal!$B:$B,$A43,RawDataTotal!BC:BC)</f>
        <v>16</v>
      </c>
      <c r="BA43">
        <f>SUMIF(RawDataTotal!$B:$B,$A43,RawDataTotal!BD:BD)</f>
        <v>79</v>
      </c>
      <c r="BB43">
        <f>SUMIF(RawDataTotal!$B:$B,$A43,RawDataTotal!BE:BE)</f>
        <v>115</v>
      </c>
      <c r="BC43">
        <f>SUMIF(RawDataTotal!$B:$B,$A43,RawDataTotal!BF:BF)</f>
        <v>171</v>
      </c>
      <c r="BD43">
        <f>SUMIF(RawDataTotal!$B:$B,$A43,RawDataTotal!BG:BG)</f>
        <v>205</v>
      </c>
      <c r="BE43">
        <f>SUMIF(RawDataTotal!$B:$B,$A43,RawDataTotal!BH:BH)</f>
        <v>225</v>
      </c>
      <c r="BF43">
        <f>SUMIF(RawDataTotal!$B:$B,$A43,RawDataTotal!BI:BI)</f>
        <v>0</v>
      </c>
      <c r="BG43">
        <f>SUMIF(RawDataTotal!$B:$B,$A43,RawDataTotal!BJ:BJ)</f>
        <v>0</v>
      </c>
      <c r="BH43">
        <f>SUMIF(RawDataTotal!$B:$B,$A43,RawDataTotal!BK:BK)</f>
        <v>0</v>
      </c>
      <c r="BI43">
        <f>SUMIF(RawDataTotal!$B:$B,$A43,RawDataTotal!BL:BL)</f>
        <v>0</v>
      </c>
      <c r="BJ43">
        <f>SUMIF(RawDataTotal!$B:$B,$A43,RawDataTotal!BM:BM)</f>
        <v>0</v>
      </c>
      <c r="BK43">
        <f>SUMIF(RawDataTotal!$B:$B,$A43,RawDataTotal!BN:BN)</f>
        <v>0</v>
      </c>
      <c r="BL43">
        <f>SUMIF(RawDataTotal!$B:$B,$A43,RawDataTotal!BO:BO)</f>
        <v>0</v>
      </c>
      <c r="BM43">
        <f>SUMIF(RawDataTotal!$B:$B,$A43,RawDataTotal!BP:BP)</f>
        <v>0</v>
      </c>
      <c r="BN43">
        <f>SUMIF(RawDataTotal!$B:$B,$A43,RawDataTotal!BQ:BQ)</f>
        <v>0</v>
      </c>
      <c r="BO43">
        <f>SUMIF(RawDataTotal!$B:$B,$A43,RawDataTotal!BR:BR)</f>
        <v>0</v>
      </c>
      <c r="BP43">
        <f>SUMIF(RawDataTotal!$B:$B,$A43,RawDataTotal!BS:BS)</f>
        <v>0</v>
      </c>
      <c r="BQ43">
        <f>SUMIF(RawDataTotal!$B:$B,$A43,RawDataTotal!BT:BT)</f>
        <v>0</v>
      </c>
      <c r="BR43">
        <f>SUMIF(RawDataTotal!$B:$B,$A43,RawDataTotal!BU:BU)</f>
        <v>0</v>
      </c>
      <c r="BS43">
        <f>SUMIF(RawDataTotal!$B:$B,$A43,RawDataTotal!BV:BV)</f>
        <v>0</v>
      </c>
      <c r="BT43">
        <f>SUMIF(RawDataTotal!$B:$B,$A43,RawDataTotal!BW:BW)</f>
        <v>0</v>
      </c>
    </row>
    <row r="44" spans="1:72" ht="15" thickBot="1" x14ac:dyDescent="0.35">
      <c r="A44" s="4" t="s">
        <v>94</v>
      </c>
      <c r="B44">
        <f>SUMIF(RawDataTotal!$B:$B,$A44,RawDataTotal!E:E)</f>
        <v>0</v>
      </c>
      <c r="C44">
        <f>SUMIF(RawDataTotal!$B:$B,$A44,RawDataTotal!F:F)</f>
        <v>0</v>
      </c>
      <c r="D44">
        <f>SUMIF(RawDataTotal!$B:$B,$A44,RawDataTotal!G:G)</f>
        <v>0</v>
      </c>
      <c r="E44">
        <f>SUMIF(RawDataTotal!$B:$B,$A44,RawDataTotal!H:H)</f>
        <v>0</v>
      </c>
      <c r="F44">
        <f>SUMIF(RawDataTotal!$B:$B,$A44,RawDataTotal!I:I)</f>
        <v>0</v>
      </c>
      <c r="G44">
        <f>SUMIF(RawDataTotal!$B:$B,$A44,RawDataTotal!J:J)</f>
        <v>0</v>
      </c>
      <c r="H44">
        <f>SUMIF(RawDataTotal!$B:$B,$A44,RawDataTotal!K:K)</f>
        <v>0</v>
      </c>
      <c r="I44">
        <f>SUMIF(RawDataTotal!$B:$B,$A44,RawDataTotal!L:L)</f>
        <v>0</v>
      </c>
      <c r="J44">
        <f>SUMIF(RawDataTotal!$B:$B,$A44,RawDataTotal!M:M)</f>
        <v>0</v>
      </c>
      <c r="K44">
        <f>SUMIF(RawDataTotal!$B:$B,$A44,RawDataTotal!N:N)</f>
        <v>0</v>
      </c>
      <c r="L44">
        <f>SUMIF(RawDataTotal!$B:$B,$A44,RawDataTotal!O:O)</f>
        <v>0</v>
      </c>
      <c r="M44">
        <f>SUMIF(RawDataTotal!$B:$B,$A44,RawDataTotal!P:P)</f>
        <v>0</v>
      </c>
      <c r="N44">
        <f>SUMIF(RawDataTotal!$B:$B,$A44,RawDataTotal!Q:Q)</f>
        <v>0</v>
      </c>
      <c r="O44">
        <f>SUMIF(RawDataTotal!$B:$B,$A44,RawDataTotal!R:R)</f>
        <v>0</v>
      </c>
      <c r="P44">
        <f>SUMIF(RawDataTotal!$B:$B,$A44,RawDataTotal!S:S)</f>
        <v>0</v>
      </c>
      <c r="Q44">
        <f>SUMIF(RawDataTotal!$B:$B,$A44,RawDataTotal!T:T)</f>
        <v>0</v>
      </c>
      <c r="R44">
        <f>SUMIF(RawDataTotal!$B:$B,$A44,RawDataTotal!U:U)</f>
        <v>0</v>
      </c>
      <c r="S44">
        <f>SUMIF(RawDataTotal!$B:$B,$A44,RawDataTotal!V:V)</f>
        <v>0</v>
      </c>
      <c r="T44">
        <f>SUMIF(RawDataTotal!$B:$B,$A44,RawDataTotal!W:W)</f>
        <v>0</v>
      </c>
      <c r="U44">
        <f>SUMIF(RawDataTotal!$B:$B,$A44,RawDataTotal!X:X)</f>
        <v>0</v>
      </c>
      <c r="V44">
        <f>SUMIF(RawDataTotal!$B:$B,$A44,RawDataTotal!Y:Y)</f>
        <v>0</v>
      </c>
      <c r="W44">
        <f>SUMIF(RawDataTotal!$B:$B,$A44,RawDataTotal!Z:Z)</f>
        <v>0</v>
      </c>
      <c r="X44">
        <f>SUMIF(RawDataTotal!$B:$B,$A44,RawDataTotal!AA:AA)</f>
        <v>0</v>
      </c>
      <c r="Y44">
        <f>SUMIF(RawDataTotal!$B:$B,$A44,RawDataTotal!AB:AB)</f>
        <v>0</v>
      </c>
      <c r="Z44">
        <f>SUMIF(RawDataTotal!$B:$B,$A44,RawDataTotal!AC:AC)</f>
        <v>0</v>
      </c>
      <c r="AA44">
        <f>SUMIF(RawDataTotal!$B:$B,$A44,RawDataTotal!AD:AD)</f>
        <v>0</v>
      </c>
      <c r="AB44">
        <f>SUMIF(RawDataTotal!$B:$B,$A44,RawDataTotal!AE:AE)</f>
        <v>0</v>
      </c>
      <c r="AC44">
        <f>SUMIF(RawDataTotal!$B:$B,$A44,RawDataTotal!AF:AF)</f>
        <v>0</v>
      </c>
      <c r="AD44">
        <f>SUMIF(RawDataTotal!$B:$B,$A44,RawDataTotal!AG:AG)</f>
        <v>0</v>
      </c>
      <c r="AE44">
        <f>SUMIF(RawDataTotal!$B:$B,$A44,RawDataTotal!AH:AH)</f>
        <v>0</v>
      </c>
      <c r="AF44">
        <f>SUMIF(RawDataTotal!$B:$B,$A44,RawDataTotal!AI:AI)</f>
        <v>1</v>
      </c>
      <c r="AG44">
        <f>SUMIF(RawDataTotal!$B:$B,$A44,RawDataTotal!AJ:AJ)</f>
        <v>1</v>
      </c>
      <c r="AH44">
        <f>SUMIF(RawDataTotal!$B:$B,$A44,RawDataTotal!AK:AK)</f>
        <v>1</v>
      </c>
      <c r="AI44">
        <f>SUMIF(RawDataTotal!$B:$B,$A44,RawDataTotal!AL:AL)</f>
        <v>1</v>
      </c>
      <c r="AJ44">
        <f>SUMIF(RawDataTotal!$B:$B,$A44,RawDataTotal!AM:AM)</f>
        <v>1</v>
      </c>
      <c r="AK44">
        <f>SUMIF(RawDataTotal!$B:$B,$A44,RawDataTotal!AN:AN)</f>
        <v>2</v>
      </c>
      <c r="AL44">
        <f>SUMIF(RawDataTotal!$B:$B,$A44,RawDataTotal!AO:AO)</f>
        <v>2</v>
      </c>
      <c r="AM44">
        <f>SUMIF(RawDataTotal!$B:$B,$A44,RawDataTotal!AP:AP)</f>
        <v>2</v>
      </c>
      <c r="AN44">
        <f>SUMIF(RawDataTotal!$B:$B,$A44,RawDataTotal!AQ:AQ)</f>
        <v>4</v>
      </c>
      <c r="AO44">
        <f>SUMIF(RawDataTotal!$B:$B,$A44,RawDataTotal!AR:AR)</f>
        <v>10</v>
      </c>
      <c r="AP44">
        <f>SUMIF(RawDataTotal!$B:$B,$A44,RawDataTotal!AS:AS)</f>
        <v>13</v>
      </c>
      <c r="AQ44">
        <f>SUMIF(RawDataTotal!$B:$B,$A44,RawDataTotal!AT:AT)</f>
        <v>13</v>
      </c>
      <c r="AR44">
        <f>SUMIF(RawDataTotal!$B:$B,$A44,RawDataTotal!AU:AU)</f>
        <v>13</v>
      </c>
      <c r="AS44">
        <f>SUMIF(RawDataTotal!$B:$B,$A44,RawDataTotal!AV:AV)</f>
        <v>16</v>
      </c>
      <c r="AT44">
        <f>SUMIF(RawDataTotal!$B:$B,$A44,RawDataTotal!AW:AW)</f>
        <v>22</v>
      </c>
      <c r="AU44">
        <f>SUMIF(RawDataTotal!$B:$B,$A44,RawDataTotal!AX:AX)</f>
        <v>22</v>
      </c>
      <c r="AV44">
        <f>SUMIF(RawDataTotal!$B:$B,$A44,RawDataTotal!AY:AY)</f>
        <v>32</v>
      </c>
      <c r="AW44">
        <f>SUMIF(RawDataTotal!$B:$B,$A44,RawDataTotal!AZ:AZ)</f>
        <v>32</v>
      </c>
      <c r="AX44">
        <f>SUMIF(RawDataTotal!$B:$B,$A44,RawDataTotal!BA:BA)</f>
        <v>41</v>
      </c>
      <c r="AY44">
        <f>SUMIF(RawDataTotal!$B:$B,$A44,RawDataTotal!BB:BB)</f>
        <v>61</v>
      </c>
      <c r="AZ44">
        <f>SUMIF(RawDataTotal!$B:$B,$A44,RawDataTotal!BC:BC)</f>
        <v>61</v>
      </c>
      <c r="BA44">
        <f>SUMIF(RawDataTotal!$B:$B,$A44,RawDataTotal!BD:BD)</f>
        <v>77</v>
      </c>
      <c r="BB44">
        <f>SUMIF(RawDataTotal!$B:$B,$A44,RawDataTotal!BE:BE)</f>
        <v>93</v>
      </c>
      <c r="BC44">
        <f>SUMIF(RawDataTotal!$B:$B,$A44,RawDataTotal!BF:BF)</f>
        <v>110</v>
      </c>
      <c r="BD44">
        <f>SUMIF(RawDataTotal!$B:$B,$A44,RawDataTotal!BG:BG)</f>
        <v>99</v>
      </c>
      <c r="BE44">
        <f>SUMIF(RawDataTotal!$B:$B,$A44,RawDataTotal!BH:BH)</f>
        <v>120</v>
      </c>
      <c r="BF44">
        <f>SUMIF(RawDataTotal!$B:$B,$A44,RawDataTotal!BI:BI)</f>
        <v>0</v>
      </c>
      <c r="BG44">
        <f>SUMIF(RawDataTotal!$B:$B,$A44,RawDataTotal!BJ:BJ)</f>
        <v>0</v>
      </c>
      <c r="BH44">
        <f>SUMIF(RawDataTotal!$B:$B,$A44,RawDataTotal!BK:BK)</f>
        <v>0</v>
      </c>
      <c r="BI44">
        <f>SUMIF(RawDataTotal!$B:$B,$A44,RawDataTotal!BL:BL)</f>
        <v>0</v>
      </c>
      <c r="BJ44">
        <f>SUMIF(RawDataTotal!$B:$B,$A44,RawDataTotal!BM:BM)</f>
        <v>0</v>
      </c>
      <c r="BK44">
        <f>SUMIF(RawDataTotal!$B:$B,$A44,RawDataTotal!BN:BN)</f>
        <v>0</v>
      </c>
      <c r="BL44">
        <f>SUMIF(RawDataTotal!$B:$B,$A44,RawDataTotal!BO:BO)</f>
        <v>0</v>
      </c>
      <c r="BM44">
        <f>SUMIF(RawDataTotal!$B:$B,$A44,RawDataTotal!BP:BP)</f>
        <v>0</v>
      </c>
      <c r="BN44">
        <f>SUMIF(RawDataTotal!$B:$B,$A44,RawDataTotal!BQ:BQ)</f>
        <v>0</v>
      </c>
      <c r="BO44">
        <f>SUMIF(RawDataTotal!$B:$B,$A44,RawDataTotal!BR:BR)</f>
        <v>0</v>
      </c>
      <c r="BP44">
        <f>SUMIF(RawDataTotal!$B:$B,$A44,RawDataTotal!BS:BS)</f>
        <v>0</v>
      </c>
      <c r="BQ44">
        <f>SUMIF(RawDataTotal!$B:$B,$A44,RawDataTotal!BT:BT)</f>
        <v>0</v>
      </c>
      <c r="BR44">
        <f>SUMIF(RawDataTotal!$B:$B,$A44,RawDataTotal!BU:BU)</f>
        <v>0</v>
      </c>
      <c r="BS44">
        <f>SUMIF(RawDataTotal!$B:$B,$A44,RawDataTotal!BV:BV)</f>
        <v>0</v>
      </c>
      <c r="BT44">
        <f>SUMIF(RawDataTotal!$B:$B,$A44,RawDataTotal!BW:BW)</f>
        <v>0</v>
      </c>
    </row>
    <row r="45" spans="1:72" ht="15" thickBot="1" x14ac:dyDescent="0.35">
      <c r="A45" s="3" t="s">
        <v>62</v>
      </c>
      <c r="B45">
        <f>SUMIF(RawDataTotal!$B:$B,$A45,RawDataTotal!E:E)</f>
        <v>2</v>
      </c>
      <c r="C45">
        <f>SUMIF(RawDataTotal!$B:$B,$A45,RawDataTotal!F:F)</f>
        <v>3</v>
      </c>
      <c r="D45">
        <f>SUMIF(RawDataTotal!$B:$B,$A45,RawDataTotal!G:G)</f>
        <v>5</v>
      </c>
      <c r="E45">
        <f>SUMIF(RawDataTotal!$B:$B,$A45,RawDataTotal!H:H)</f>
        <v>7</v>
      </c>
      <c r="F45">
        <f>SUMIF(RawDataTotal!$B:$B,$A45,RawDataTotal!I:I)</f>
        <v>8</v>
      </c>
      <c r="G45">
        <f>SUMIF(RawDataTotal!$B:$B,$A45,RawDataTotal!J:J)</f>
        <v>8</v>
      </c>
      <c r="H45">
        <f>SUMIF(RawDataTotal!$B:$B,$A45,RawDataTotal!K:K)</f>
        <v>14</v>
      </c>
      <c r="I45">
        <f>SUMIF(RawDataTotal!$B:$B,$A45,RawDataTotal!L:L)</f>
        <v>14</v>
      </c>
      <c r="J45">
        <f>SUMIF(RawDataTotal!$B:$B,$A45,RawDataTotal!M:M)</f>
        <v>14</v>
      </c>
      <c r="K45">
        <f>SUMIF(RawDataTotal!$B:$B,$A45,RawDataTotal!N:N)</f>
        <v>19</v>
      </c>
      <c r="L45">
        <f>SUMIF(RawDataTotal!$B:$B,$A45,RawDataTotal!O:O)</f>
        <v>19</v>
      </c>
      <c r="M45">
        <f>SUMIF(RawDataTotal!$B:$B,$A45,RawDataTotal!P:P)</f>
        <v>19</v>
      </c>
      <c r="N45">
        <f>SUMIF(RawDataTotal!$B:$B,$A45,RawDataTotal!Q:Q)</f>
        <v>19</v>
      </c>
      <c r="O45">
        <f>SUMIF(RawDataTotal!$B:$B,$A45,RawDataTotal!R:R)</f>
        <v>25</v>
      </c>
      <c r="P45">
        <f>SUMIF(RawDataTotal!$B:$B,$A45,RawDataTotal!S:S)</f>
        <v>25</v>
      </c>
      <c r="Q45">
        <f>SUMIF(RawDataTotal!$B:$B,$A45,RawDataTotal!T:T)</f>
        <v>25</v>
      </c>
      <c r="R45">
        <f>SUMIF(RawDataTotal!$B:$B,$A45,RawDataTotal!U:U)</f>
        <v>25</v>
      </c>
      <c r="S45">
        <f>SUMIF(RawDataTotal!$B:$B,$A45,RawDataTotal!V:V)</f>
        <v>32</v>
      </c>
      <c r="T45">
        <f>SUMIF(RawDataTotal!$B:$B,$A45,RawDataTotal!W:W)</f>
        <v>32</v>
      </c>
      <c r="U45">
        <f>SUMIF(RawDataTotal!$B:$B,$A45,RawDataTotal!X:X)</f>
        <v>32</v>
      </c>
      <c r="V45">
        <f>SUMIF(RawDataTotal!$B:$B,$A45,RawDataTotal!Y:Y)</f>
        <v>33</v>
      </c>
      <c r="W45">
        <f>SUMIF(RawDataTotal!$B:$B,$A45,RawDataTotal!Z:Z)</f>
        <v>33</v>
      </c>
      <c r="X45">
        <f>SUMIF(RawDataTotal!$B:$B,$A45,RawDataTotal!AA:AA)</f>
        <v>33</v>
      </c>
      <c r="Y45">
        <f>SUMIF(RawDataTotal!$B:$B,$A45,RawDataTotal!AB:AB)</f>
        <v>33</v>
      </c>
      <c r="Z45">
        <f>SUMIF(RawDataTotal!$B:$B,$A45,RawDataTotal!AC:AC)</f>
        <v>33</v>
      </c>
      <c r="AA45">
        <f>SUMIF(RawDataTotal!$B:$B,$A45,RawDataTotal!AD:AD)</f>
        <v>34</v>
      </c>
      <c r="AB45">
        <f>SUMIF(RawDataTotal!$B:$B,$A45,RawDataTotal!AE:AE)</f>
        <v>35</v>
      </c>
      <c r="AC45">
        <f>SUMIF(RawDataTotal!$B:$B,$A45,RawDataTotal!AF:AF)</f>
        <v>35</v>
      </c>
      <c r="AD45">
        <f>SUMIF(RawDataTotal!$B:$B,$A45,RawDataTotal!AG:AG)</f>
        <v>35</v>
      </c>
      <c r="AE45">
        <f>SUMIF(RawDataTotal!$B:$B,$A45,RawDataTotal!AH:AH)</f>
        <v>35</v>
      </c>
      <c r="AF45">
        <f>SUMIF(RawDataTotal!$B:$B,$A45,RawDataTotal!AI:AI)</f>
        <v>35</v>
      </c>
      <c r="AG45">
        <f>SUMIF(RawDataTotal!$B:$B,$A45,RawDataTotal!AJ:AJ)</f>
        <v>35</v>
      </c>
      <c r="AH45">
        <f>SUMIF(RawDataTotal!$B:$B,$A45,RawDataTotal!AK:AK)</f>
        <v>35</v>
      </c>
      <c r="AI45">
        <f>SUMIF(RawDataTotal!$B:$B,$A45,RawDataTotal!AL:AL)</f>
        <v>35</v>
      </c>
      <c r="AJ45">
        <f>SUMIF(RawDataTotal!$B:$B,$A45,RawDataTotal!AM:AM)</f>
        <v>37</v>
      </c>
      <c r="AK45">
        <f>SUMIF(RawDataTotal!$B:$B,$A45,RawDataTotal!AN:AN)</f>
        <v>40</v>
      </c>
      <c r="AL45">
        <f>SUMIF(RawDataTotal!$B:$B,$A45,RawDataTotal!AO:AO)</f>
        <v>40</v>
      </c>
      <c r="AM45">
        <f>SUMIF(RawDataTotal!$B:$B,$A45,RawDataTotal!AP:AP)</f>
        <v>41</v>
      </c>
      <c r="AN45">
        <f>SUMIF(RawDataTotal!$B:$B,$A45,RawDataTotal!AQ:AQ)</f>
        <v>42</v>
      </c>
      <c r="AO45">
        <f>SUMIF(RawDataTotal!$B:$B,$A45,RawDataTotal!AR:AR)</f>
        <v>42</v>
      </c>
      <c r="AP45">
        <f>SUMIF(RawDataTotal!$B:$B,$A45,RawDataTotal!AS:AS)</f>
        <v>43</v>
      </c>
      <c r="AQ45">
        <f>SUMIF(RawDataTotal!$B:$B,$A45,RawDataTotal!AT:AT)</f>
        <v>43</v>
      </c>
      <c r="AR45">
        <f>SUMIF(RawDataTotal!$B:$B,$A45,RawDataTotal!AU:AU)</f>
        <v>43</v>
      </c>
      <c r="AS45">
        <f>SUMIF(RawDataTotal!$B:$B,$A45,RawDataTotal!AV:AV)</f>
        <v>47</v>
      </c>
      <c r="AT45">
        <f>SUMIF(RawDataTotal!$B:$B,$A45,RawDataTotal!AW:AW)</f>
        <v>48</v>
      </c>
      <c r="AU45">
        <f>SUMIF(RawDataTotal!$B:$B,$A45,RawDataTotal!AX:AX)</f>
        <v>50</v>
      </c>
      <c r="AV45">
        <f>SUMIF(RawDataTotal!$B:$B,$A45,RawDataTotal!AY:AY)</f>
        <v>50</v>
      </c>
      <c r="AW45">
        <f>SUMIF(RawDataTotal!$B:$B,$A45,RawDataTotal!AZ:AZ)</f>
        <v>50</v>
      </c>
      <c r="AX45">
        <f>SUMIF(RawDataTotal!$B:$B,$A45,RawDataTotal!BA:BA)</f>
        <v>53</v>
      </c>
      <c r="AY45">
        <f>SUMIF(RawDataTotal!$B:$B,$A45,RawDataTotal!BB:BB)</f>
        <v>59</v>
      </c>
      <c r="AZ45">
        <f>SUMIF(RawDataTotal!$B:$B,$A45,RawDataTotal!BC:BC)</f>
        <v>70</v>
      </c>
      <c r="BA45">
        <f>SUMIF(RawDataTotal!$B:$B,$A45,RawDataTotal!BD:BD)</f>
        <v>75</v>
      </c>
      <c r="BB45">
        <f>SUMIF(RawDataTotal!$B:$B,$A45,RawDataTotal!BE:BE)</f>
        <v>82</v>
      </c>
      <c r="BC45">
        <f>SUMIF(RawDataTotal!$B:$B,$A45,RawDataTotal!BF:BF)</f>
        <v>114</v>
      </c>
      <c r="BD45">
        <f>SUMIF(RawDataTotal!$B:$B,$A45,RawDataTotal!BG:BG)</f>
        <v>147</v>
      </c>
      <c r="BE45">
        <f>SUMIF(RawDataTotal!$B:$B,$A45,RawDataTotal!BH:BH)</f>
        <v>177</v>
      </c>
      <c r="BF45">
        <f>SUMIF(RawDataTotal!$B:$B,$A45,RawDataTotal!BI:BI)</f>
        <v>0</v>
      </c>
      <c r="BG45">
        <f>SUMIF(RawDataTotal!$B:$B,$A45,RawDataTotal!BJ:BJ)</f>
        <v>0</v>
      </c>
      <c r="BH45">
        <f>SUMIF(RawDataTotal!$B:$B,$A45,RawDataTotal!BK:BK)</f>
        <v>0</v>
      </c>
      <c r="BI45">
        <f>SUMIF(RawDataTotal!$B:$B,$A45,RawDataTotal!BL:BL)</f>
        <v>0</v>
      </c>
      <c r="BJ45">
        <f>SUMIF(RawDataTotal!$B:$B,$A45,RawDataTotal!BM:BM)</f>
        <v>0</v>
      </c>
      <c r="BK45">
        <f>SUMIF(RawDataTotal!$B:$B,$A45,RawDataTotal!BN:BN)</f>
        <v>0</v>
      </c>
      <c r="BL45">
        <f>SUMIF(RawDataTotal!$B:$B,$A45,RawDataTotal!BO:BO)</f>
        <v>0</v>
      </c>
      <c r="BM45">
        <f>SUMIF(RawDataTotal!$B:$B,$A45,RawDataTotal!BP:BP)</f>
        <v>0</v>
      </c>
      <c r="BN45">
        <f>SUMIF(RawDataTotal!$B:$B,$A45,RawDataTotal!BQ:BQ)</f>
        <v>0</v>
      </c>
      <c r="BO45">
        <f>SUMIF(RawDataTotal!$B:$B,$A45,RawDataTotal!BR:BR)</f>
        <v>0</v>
      </c>
      <c r="BP45">
        <f>SUMIF(RawDataTotal!$B:$B,$A45,RawDataTotal!BS:BS)</f>
        <v>0</v>
      </c>
      <c r="BQ45">
        <f>SUMIF(RawDataTotal!$B:$B,$A45,RawDataTotal!BT:BT)</f>
        <v>0</v>
      </c>
      <c r="BR45">
        <f>SUMIF(RawDataTotal!$B:$B,$A45,RawDataTotal!BU:BU)</f>
        <v>0</v>
      </c>
      <c r="BS45">
        <f>SUMIF(RawDataTotal!$B:$B,$A45,RawDataTotal!BV:BV)</f>
        <v>0</v>
      </c>
      <c r="BT45">
        <f>SUMIF(RawDataTotal!$B:$B,$A45,RawDataTotal!BW:BW)</f>
        <v>0</v>
      </c>
    </row>
    <row r="46" spans="1:72" ht="15" thickBot="1" x14ac:dyDescent="0.35">
      <c r="A46" s="4" t="s">
        <v>134</v>
      </c>
      <c r="B46">
        <f>SUMIF(RawDataTotal!$B:$B,$A46,RawDataTotal!E:E)</f>
        <v>0</v>
      </c>
      <c r="C46">
        <f>SUMIF(RawDataTotal!$B:$B,$A46,RawDataTotal!F:F)</f>
        <v>0</v>
      </c>
      <c r="D46">
        <f>SUMIF(RawDataTotal!$B:$B,$A46,RawDataTotal!G:G)</f>
        <v>0</v>
      </c>
      <c r="E46">
        <f>SUMIF(RawDataTotal!$B:$B,$A46,RawDataTotal!H:H)</f>
        <v>0</v>
      </c>
      <c r="F46">
        <f>SUMIF(RawDataTotal!$B:$B,$A46,RawDataTotal!I:I)</f>
        <v>0</v>
      </c>
      <c r="G46">
        <f>SUMIF(RawDataTotal!$B:$B,$A46,RawDataTotal!J:J)</f>
        <v>0</v>
      </c>
      <c r="H46">
        <f>SUMIF(RawDataTotal!$B:$B,$A46,RawDataTotal!K:K)</f>
        <v>0</v>
      </c>
      <c r="I46">
        <f>SUMIF(RawDataTotal!$B:$B,$A46,RawDataTotal!L:L)</f>
        <v>0</v>
      </c>
      <c r="J46">
        <f>SUMIF(RawDataTotal!$B:$B,$A46,RawDataTotal!M:M)</f>
        <v>0</v>
      </c>
      <c r="K46">
        <f>SUMIF(RawDataTotal!$B:$B,$A46,RawDataTotal!N:N)</f>
        <v>0</v>
      </c>
      <c r="L46">
        <f>SUMIF(RawDataTotal!$B:$B,$A46,RawDataTotal!O:O)</f>
        <v>0</v>
      </c>
      <c r="M46">
        <f>SUMIF(RawDataTotal!$B:$B,$A46,RawDataTotal!P:P)</f>
        <v>0</v>
      </c>
      <c r="N46">
        <f>SUMIF(RawDataTotal!$B:$B,$A46,RawDataTotal!Q:Q)</f>
        <v>0</v>
      </c>
      <c r="O46">
        <f>SUMIF(RawDataTotal!$B:$B,$A46,RawDataTotal!R:R)</f>
        <v>0</v>
      </c>
      <c r="P46">
        <f>SUMIF(RawDataTotal!$B:$B,$A46,RawDataTotal!S:S)</f>
        <v>0</v>
      </c>
      <c r="Q46">
        <f>SUMIF(RawDataTotal!$B:$B,$A46,RawDataTotal!T:T)</f>
        <v>0</v>
      </c>
      <c r="R46">
        <f>SUMIF(RawDataTotal!$B:$B,$A46,RawDataTotal!U:U)</f>
        <v>0</v>
      </c>
      <c r="S46">
        <f>SUMIF(RawDataTotal!$B:$B,$A46,RawDataTotal!V:V)</f>
        <v>0</v>
      </c>
      <c r="T46">
        <f>SUMIF(RawDataTotal!$B:$B,$A46,RawDataTotal!W:W)</f>
        <v>0</v>
      </c>
      <c r="U46">
        <f>SUMIF(RawDataTotal!$B:$B,$A46,RawDataTotal!X:X)</f>
        <v>0</v>
      </c>
      <c r="V46">
        <f>SUMIF(RawDataTotal!$B:$B,$A46,RawDataTotal!Y:Y)</f>
        <v>0</v>
      </c>
      <c r="W46">
        <f>SUMIF(RawDataTotal!$B:$B,$A46,RawDataTotal!Z:Z)</f>
        <v>0</v>
      </c>
      <c r="X46">
        <f>SUMIF(RawDataTotal!$B:$B,$A46,RawDataTotal!AA:AA)</f>
        <v>0</v>
      </c>
      <c r="Y46">
        <f>SUMIF(RawDataTotal!$B:$B,$A46,RawDataTotal!AB:AB)</f>
        <v>0</v>
      </c>
      <c r="Z46">
        <f>SUMIF(RawDataTotal!$B:$B,$A46,RawDataTotal!AC:AC)</f>
        <v>0</v>
      </c>
      <c r="AA46">
        <f>SUMIF(RawDataTotal!$B:$B,$A46,RawDataTotal!AD:AD)</f>
        <v>0</v>
      </c>
      <c r="AB46">
        <f>SUMIF(RawDataTotal!$B:$B,$A46,RawDataTotal!AE:AE)</f>
        <v>0</v>
      </c>
      <c r="AC46">
        <f>SUMIF(RawDataTotal!$B:$B,$A46,RawDataTotal!AF:AF)</f>
        <v>0</v>
      </c>
      <c r="AD46">
        <f>SUMIF(RawDataTotal!$B:$B,$A46,RawDataTotal!AG:AG)</f>
        <v>0</v>
      </c>
      <c r="AE46">
        <f>SUMIF(RawDataTotal!$B:$B,$A46,RawDataTotal!AH:AH)</f>
        <v>0</v>
      </c>
      <c r="AF46">
        <f>SUMIF(RawDataTotal!$B:$B,$A46,RawDataTotal!AI:AI)</f>
        <v>0</v>
      </c>
      <c r="AG46">
        <f>SUMIF(RawDataTotal!$B:$B,$A46,RawDataTotal!AJ:AJ)</f>
        <v>0</v>
      </c>
      <c r="AH46">
        <f>SUMIF(RawDataTotal!$B:$B,$A46,RawDataTotal!AK:AK)</f>
        <v>0</v>
      </c>
      <c r="AI46">
        <f>SUMIF(RawDataTotal!$B:$B,$A46,RawDataTotal!AL:AL)</f>
        <v>0</v>
      </c>
      <c r="AJ46">
        <f>SUMIF(RawDataTotal!$B:$B,$A46,RawDataTotal!AM:AM)</f>
        <v>0</v>
      </c>
      <c r="AK46">
        <f>SUMIF(RawDataTotal!$B:$B,$A46,RawDataTotal!AN:AN)</f>
        <v>0</v>
      </c>
      <c r="AL46">
        <f>SUMIF(RawDataTotal!$B:$B,$A46,RawDataTotal!AO:AO)</f>
        <v>0</v>
      </c>
      <c r="AM46">
        <f>SUMIF(RawDataTotal!$B:$B,$A46,RawDataTotal!AP:AP)</f>
        <v>0</v>
      </c>
      <c r="AN46">
        <f>SUMIF(RawDataTotal!$B:$B,$A46,RawDataTotal!AQ:AQ)</f>
        <v>0</v>
      </c>
      <c r="AO46">
        <f>SUMIF(RawDataTotal!$B:$B,$A46,RawDataTotal!AR:AR)</f>
        <v>0</v>
      </c>
      <c r="AP46">
        <f>SUMIF(RawDataTotal!$B:$B,$A46,RawDataTotal!AS:AS)</f>
        <v>2</v>
      </c>
      <c r="AQ46">
        <f>SUMIF(RawDataTotal!$B:$B,$A46,RawDataTotal!AT:AT)</f>
        <v>2</v>
      </c>
      <c r="AR46">
        <f>SUMIF(RawDataTotal!$B:$B,$A46,RawDataTotal!AU:AU)</f>
        <v>2</v>
      </c>
      <c r="AS46">
        <f>SUMIF(RawDataTotal!$B:$B,$A46,RawDataTotal!AV:AV)</f>
        <v>2</v>
      </c>
      <c r="AT46">
        <f>SUMIF(RawDataTotal!$B:$B,$A46,RawDataTotal!AW:AW)</f>
        <v>4</v>
      </c>
      <c r="AU46">
        <f>SUMIF(RawDataTotal!$B:$B,$A46,RawDataTotal!AX:AX)</f>
        <v>4</v>
      </c>
      <c r="AV46">
        <f>SUMIF(RawDataTotal!$B:$B,$A46,RawDataTotal!AY:AY)</f>
        <v>6</v>
      </c>
      <c r="AW46">
        <f>SUMIF(RawDataTotal!$B:$B,$A46,RawDataTotal!AZ:AZ)</f>
        <v>19</v>
      </c>
      <c r="AX46">
        <f>SUMIF(RawDataTotal!$B:$B,$A46,RawDataTotal!BA:BA)</f>
        <v>27</v>
      </c>
      <c r="AY46">
        <f>SUMIF(RawDataTotal!$B:$B,$A46,RawDataTotal!BB:BB)</f>
        <v>34</v>
      </c>
      <c r="AZ46">
        <f>SUMIF(RawDataTotal!$B:$B,$A46,RawDataTotal!BC:BC)</f>
        <v>34</v>
      </c>
      <c r="BA46">
        <f>SUMIF(RawDataTotal!$B:$B,$A46,RawDataTotal!BD:BD)</f>
        <v>69</v>
      </c>
      <c r="BB46">
        <f>SUMIF(RawDataTotal!$B:$B,$A46,RawDataTotal!BE:BE)</f>
        <v>96</v>
      </c>
      <c r="BC46">
        <f>SUMIF(RawDataTotal!$B:$B,$A46,RawDataTotal!BF:BF)</f>
        <v>117</v>
      </c>
      <c r="BD46">
        <f>SUMIF(RawDataTotal!$B:$B,$A46,RawDataTotal!BG:BG)</f>
        <v>134</v>
      </c>
      <c r="BE46">
        <f>SUMIF(RawDataTotal!$B:$B,$A46,RawDataTotal!BH:BH)</f>
        <v>172</v>
      </c>
      <c r="BF46">
        <f>SUMIF(RawDataTotal!$B:$B,$A46,RawDataTotal!BI:BI)</f>
        <v>0</v>
      </c>
      <c r="BG46">
        <f>SUMIF(RawDataTotal!$B:$B,$A46,RawDataTotal!BJ:BJ)</f>
        <v>0</v>
      </c>
      <c r="BH46">
        <f>SUMIF(RawDataTotal!$B:$B,$A46,RawDataTotal!BK:BK)</f>
        <v>0</v>
      </c>
      <c r="BI46">
        <f>SUMIF(RawDataTotal!$B:$B,$A46,RawDataTotal!BL:BL)</f>
        <v>0</v>
      </c>
      <c r="BJ46">
        <f>SUMIF(RawDataTotal!$B:$B,$A46,RawDataTotal!BM:BM)</f>
        <v>0</v>
      </c>
      <c r="BK46">
        <f>SUMIF(RawDataTotal!$B:$B,$A46,RawDataTotal!BN:BN)</f>
        <v>0</v>
      </c>
      <c r="BL46">
        <f>SUMIF(RawDataTotal!$B:$B,$A46,RawDataTotal!BO:BO)</f>
        <v>0</v>
      </c>
      <c r="BM46">
        <f>SUMIF(RawDataTotal!$B:$B,$A46,RawDataTotal!BP:BP)</f>
        <v>0</v>
      </c>
      <c r="BN46">
        <f>SUMIF(RawDataTotal!$B:$B,$A46,RawDataTotal!BQ:BQ)</f>
        <v>0</v>
      </c>
      <c r="BO46">
        <f>SUMIF(RawDataTotal!$B:$B,$A46,RawDataTotal!BR:BR)</f>
        <v>0</v>
      </c>
      <c r="BP46">
        <f>SUMIF(RawDataTotal!$B:$B,$A46,RawDataTotal!BS:BS)</f>
        <v>0</v>
      </c>
      <c r="BQ46">
        <f>SUMIF(RawDataTotal!$B:$B,$A46,RawDataTotal!BT:BT)</f>
        <v>0</v>
      </c>
      <c r="BR46">
        <f>SUMIF(RawDataTotal!$B:$B,$A46,RawDataTotal!BU:BU)</f>
        <v>0</v>
      </c>
      <c r="BS46">
        <f>SUMIF(RawDataTotal!$B:$B,$A46,RawDataTotal!BV:BV)</f>
        <v>0</v>
      </c>
      <c r="BT46">
        <f>SUMIF(RawDataTotal!$B:$B,$A46,RawDataTotal!BW:BW)</f>
        <v>0</v>
      </c>
    </row>
    <row r="47" spans="1:72" ht="15" thickBot="1" x14ac:dyDescent="0.35">
      <c r="A47" s="3" t="s">
        <v>164</v>
      </c>
      <c r="B47">
        <f>SUMIF(RawDataTotal!$B:$B,$A47,RawDataTotal!E:E)</f>
        <v>0</v>
      </c>
      <c r="C47">
        <f>SUMIF(RawDataTotal!$B:$B,$A47,RawDataTotal!F:F)</f>
        <v>0</v>
      </c>
      <c r="D47">
        <f>SUMIF(RawDataTotal!$B:$B,$A47,RawDataTotal!G:G)</f>
        <v>0</v>
      </c>
      <c r="E47">
        <f>SUMIF(RawDataTotal!$B:$B,$A47,RawDataTotal!H:H)</f>
        <v>0</v>
      </c>
      <c r="F47">
        <f>SUMIF(RawDataTotal!$B:$B,$A47,RawDataTotal!I:I)</f>
        <v>0</v>
      </c>
      <c r="G47">
        <f>SUMIF(RawDataTotal!$B:$B,$A47,RawDataTotal!J:J)</f>
        <v>0</v>
      </c>
      <c r="H47">
        <f>SUMIF(RawDataTotal!$B:$B,$A47,RawDataTotal!K:K)</f>
        <v>0</v>
      </c>
      <c r="I47">
        <f>SUMIF(RawDataTotal!$B:$B,$A47,RawDataTotal!L:L)</f>
        <v>0</v>
      </c>
      <c r="J47">
        <f>SUMIF(RawDataTotal!$B:$B,$A47,RawDataTotal!M:M)</f>
        <v>0</v>
      </c>
      <c r="K47">
        <f>SUMIF(RawDataTotal!$B:$B,$A47,RawDataTotal!N:N)</f>
        <v>0</v>
      </c>
      <c r="L47">
        <f>SUMIF(RawDataTotal!$B:$B,$A47,RawDataTotal!O:O)</f>
        <v>0</v>
      </c>
      <c r="M47">
        <f>SUMIF(RawDataTotal!$B:$B,$A47,RawDataTotal!P:P)</f>
        <v>0</v>
      </c>
      <c r="N47">
        <f>SUMIF(RawDataTotal!$B:$B,$A47,RawDataTotal!Q:Q)</f>
        <v>0</v>
      </c>
      <c r="O47">
        <f>SUMIF(RawDataTotal!$B:$B,$A47,RawDataTotal!R:R)</f>
        <v>0</v>
      </c>
      <c r="P47">
        <f>SUMIF(RawDataTotal!$B:$B,$A47,RawDataTotal!S:S)</f>
        <v>0</v>
      </c>
      <c r="Q47">
        <f>SUMIF(RawDataTotal!$B:$B,$A47,RawDataTotal!T:T)</f>
        <v>0</v>
      </c>
      <c r="R47">
        <f>SUMIF(RawDataTotal!$B:$B,$A47,RawDataTotal!U:U)</f>
        <v>0</v>
      </c>
      <c r="S47">
        <f>SUMIF(RawDataTotal!$B:$B,$A47,RawDataTotal!V:V)</f>
        <v>0</v>
      </c>
      <c r="T47">
        <f>SUMIF(RawDataTotal!$B:$B,$A47,RawDataTotal!W:W)</f>
        <v>0</v>
      </c>
      <c r="U47">
        <f>SUMIF(RawDataTotal!$B:$B,$A47,RawDataTotal!X:X)</f>
        <v>0</v>
      </c>
      <c r="V47">
        <f>SUMIF(RawDataTotal!$B:$B,$A47,RawDataTotal!Y:Y)</f>
        <v>0</v>
      </c>
      <c r="W47">
        <f>SUMIF(RawDataTotal!$B:$B,$A47,RawDataTotal!Z:Z)</f>
        <v>0</v>
      </c>
      <c r="X47">
        <f>SUMIF(RawDataTotal!$B:$B,$A47,RawDataTotal!AA:AA)</f>
        <v>0</v>
      </c>
      <c r="Y47">
        <f>SUMIF(RawDataTotal!$B:$B,$A47,RawDataTotal!AB:AB)</f>
        <v>0</v>
      </c>
      <c r="Z47">
        <f>SUMIF(RawDataTotal!$B:$B,$A47,RawDataTotal!AC:AC)</f>
        <v>0</v>
      </c>
      <c r="AA47">
        <f>SUMIF(RawDataTotal!$B:$B,$A47,RawDataTotal!AD:AD)</f>
        <v>0</v>
      </c>
      <c r="AB47">
        <f>SUMIF(RawDataTotal!$B:$B,$A47,RawDataTotal!AE:AE)</f>
        <v>0</v>
      </c>
      <c r="AC47">
        <f>SUMIF(RawDataTotal!$B:$B,$A47,RawDataTotal!AF:AF)</f>
        <v>0</v>
      </c>
      <c r="AD47">
        <f>SUMIF(RawDataTotal!$B:$B,$A47,RawDataTotal!AG:AG)</f>
        <v>0</v>
      </c>
      <c r="AE47">
        <f>SUMIF(RawDataTotal!$B:$B,$A47,RawDataTotal!AH:AH)</f>
        <v>0</v>
      </c>
      <c r="AF47">
        <f>SUMIF(RawDataTotal!$B:$B,$A47,RawDataTotal!AI:AI)</f>
        <v>0</v>
      </c>
      <c r="AG47">
        <f>SUMIF(RawDataTotal!$B:$B,$A47,RawDataTotal!AJ:AJ)</f>
        <v>0</v>
      </c>
      <c r="AH47">
        <f>SUMIF(RawDataTotal!$B:$B,$A47,RawDataTotal!AK:AK)</f>
        <v>0</v>
      </c>
      <c r="AI47">
        <f>SUMIF(RawDataTotal!$B:$B,$A47,RawDataTotal!AL:AL)</f>
        <v>0</v>
      </c>
      <c r="AJ47">
        <f>SUMIF(RawDataTotal!$B:$B,$A47,RawDataTotal!AM:AM)</f>
        <v>0</v>
      </c>
      <c r="AK47">
        <f>SUMIF(RawDataTotal!$B:$B,$A47,RawDataTotal!AN:AN)</f>
        <v>0</v>
      </c>
      <c r="AL47">
        <f>SUMIF(RawDataTotal!$B:$B,$A47,RawDataTotal!AO:AO)</f>
        <v>0</v>
      </c>
      <c r="AM47">
        <f>SUMIF(RawDataTotal!$B:$B,$A47,RawDataTotal!AP:AP)</f>
        <v>0</v>
      </c>
      <c r="AN47">
        <f>SUMIF(RawDataTotal!$B:$B,$A47,RawDataTotal!AQ:AQ)</f>
        <v>0</v>
      </c>
      <c r="AO47">
        <f>SUMIF(RawDataTotal!$B:$B,$A47,RawDataTotal!AR:AR)</f>
        <v>0</v>
      </c>
      <c r="AP47">
        <f>SUMIF(RawDataTotal!$B:$B,$A47,RawDataTotal!AS:AS)</f>
        <v>0</v>
      </c>
      <c r="AQ47">
        <f>SUMIF(RawDataTotal!$B:$B,$A47,RawDataTotal!AT:AT)</f>
        <v>0</v>
      </c>
      <c r="AR47">
        <f>SUMIF(RawDataTotal!$B:$B,$A47,RawDataTotal!AU:AU)</f>
        <v>1</v>
      </c>
      <c r="AS47">
        <f>SUMIF(RawDataTotal!$B:$B,$A47,RawDataTotal!AV:AV)</f>
        <v>1</v>
      </c>
      <c r="AT47">
        <f>SUMIF(RawDataTotal!$B:$B,$A47,RawDataTotal!AW:AW)</f>
        <v>5</v>
      </c>
      <c r="AU47">
        <f>SUMIF(RawDataTotal!$B:$B,$A47,RawDataTotal!AX:AX)</f>
        <v>5</v>
      </c>
      <c r="AV47">
        <f>SUMIF(RawDataTotal!$B:$B,$A47,RawDataTotal!AY:AY)</f>
        <v>11</v>
      </c>
      <c r="AW47">
        <f>SUMIF(RawDataTotal!$B:$B,$A47,RawDataTotal!AZ:AZ)</f>
        <v>16</v>
      </c>
      <c r="AX47">
        <f>SUMIF(RawDataTotal!$B:$B,$A47,RawDataTotal!BA:BA)</f>
        <v>22</v>
      </c>
      <c r="AY47">
        <f>SUMIF(RawDataTotal!$B:$B,$A47,RawDataTotal!BB:BB)</f>
        <v>31</v>
      </c>
      <c r="AZ47">
        <f>SUMIF(RawDataTotal!$B:$B,$A47,RawDataTotal!BC:BC)</f>
        <v>49</v>
      </c>
      <c r="BA47">
        <f>SUMIF(RawDataTotal!$B:$B,$A47,RawDataTotal!BD:BD)</f>
        <v>68</v>
      </c>
      <c r="BB47">
        <f>SUMIF(RawDataTotal!$B:$B,$A47,RawDataTotal!BE:BE)</f>
        <v>103</v>
      </c>
      <c r="BC47">
        <f>SUMIF(RawDataTotal!$B:$B,$A47,RawDataTotal!BF:BF)</f>
        <v>119</v>
      </c>
      <c r="BD47">
        <f>SUMIF(RawDataTotal!$B:$B,$A47,RawDataTotal!BG:BG)</f>
        <v>177</v>
      </c>
      <c r="BE47">
        <f>SUMIF(RawDataTotal!$B:$B,$A47,RawDataTotal!BH:BH)</f>
        <v>238</v>
      </c>
      <c r="BF47">
        <f>SUMIF(RawDataTotal!$B:$B,$A47,RawDataTotal!BI:BI)</f>
        <v>0</v>
      </c>
      <c r="BG47">
        <f>SUMIF(RawDataTotal!$B:$B,$A47,RawDataTotal!BJ:BJ)</f>
        <v>0</v>
      </c>
      <c r="BH47">
        <f>SUMIF(RawDataTotal!$B:$B,$A47,RawDataTotal!BK:BK)</f>
        <v>0</v>
      </c>
      <c r="BI47">
        <f>SUMIF(RawDataTotal!$B:$B,$A47,RawDataTotal!BL:BL)</f>
        <v>0</v>
      </c>
      <c r="BJ47">
        <f>SUMIF(RawDataTotal!$B:$B,$A47,RawDataTotal!BM:BM)</f>
        <v>0</v>
      </c>
      <c r="BK47">
        <f>SUMIF(RawDataTotal!$B:$B,$A47,RawDataTotal!BN:BN)</f>
        <v>0</v>
      </c>
      <c r="BL47">
        <f>SUMIF(RawDataTotal!$B:$B,$A47,RawDataTotal!BO:BO)</f>
        <v>0</v>
      </c>
      <c r="BM47">
        <f>SUMIF(RawDataTotal!$B:$B,$A47,RawDataTotal!BP:BP)</f>
        <v>0</v>
      </c>
      <c r="BN47">
        <f>SUMIF(RawDataTotal!$B:$B,$A47,RawDataTotal!BQ:BQ)</f>
        <v>0</v>
      </c>
      <c r="BO47">
        <f>SUMIF(RawDataTotal!$B:$B,$A47,RawDataTotal!BR:BR)</f>
        <v>0</v>
      </c>
      <c r="BP47">
        <f>SUMIF(RawDataTotal!$B:$B,$A47,RawDataTotal!BS:BS)</f>
        <v>0</v>
      </c>
      <c r="BQ47">
        <f>SUMIF(RawDataTotal!$B:$B,$A47,RawDataTotal!BT:BT)</f>
        <v>0</v>
      </c>
      <c r="BR47">
        <f>SUMIF(RawDataTotal!$B:$B,$A47,RawDataTotal!BU:BU)</f>
        <v>0</v>
      </c>
      <c r="BS47">
        <f>SUMIF(RawDataTotal!$B:$B,$A47,RawDataTotal!BV:BV)</f>
        <v>0</v>
      </c>
      <c r="BT47">
        <f>SUMIF(RawDataTotal!$B:$B,$A47,RawDataTotal!BW:BW)</f>
        <v>0</v>
      </c>
    </row>
    <row r="48" spans="1:72" ht="15" thickBot="1" x14ac:dyDescent="0.35">
      <c r="A48" s="3" t="s">
        <v>83</v>
      </c>
      <c r="B48">
        <f>SUMIF(RawDataTotal!$B:$B,$A48,RawDataTotal!E:E)</f>
        <v>0</v>
      </c>
      <c r="C48">
        <f>SUMIF(RawDataTotal!$B:$B,$A48,RawDataTotal!F:F)</f>
        <v>0</v>
      </c>
      <c r="D48">
        <f>SUMIF(RawDataTotal!$B:$B,$A48,RawDataTotal!G:G)</f>
        <v>0</v>
      </c>
      <c r="E48">
        <f>SUMIF(RawDataTotal!$B:$B,$A48,RawDataTotal!H:H)</f>
        <v>0</v>
      </c>
      <c r="F48">
        <f>SUMIF(RawDataTotal!$B:$B,$A48,RawDataTotal!I:I)</f>
        <v>0</v>
      </c>
      <c r="G48">
        <f>SUMIF(RawDataTotal!$B:$B,$A48,RawDataTotal!J:J)</f>
        <v>0</v>
      </c>
      <c r="H48">
        <f>SUMIF(RawDataTotal!$B:$B,$A48,RawDataTotal!K:K)</f>
        <v>0</v>
      </c>
      <c r="I48">
        <f>SUMIF(RawDataTotal!$B:$B,$A48,RawDataTotal!L:L)</f>
        <v>0</v>
      </c>
      <c r="J48">
        <f>SUMIF(RawDataTotal!$B:$B,$A48,RawDataTotal!M:M)</f>
        <v>1</v>
      </c>
      <c r="K48">
        <f>SUMIF(RawDataTotal!$B:$B,$A48,RawDataTotal!N:N)</f>
        <v>1</v>
      </c>
      <c r="L48">
        <f>SUMIF(RawDataTotal!$B:$B,$A48,RawDataTotal!O:O)</f>
        <v>1</v>
      </c>
      <c r="M48">
        <f>SUMIF(RawDataTotal!$B:$B,$A48,RawDataTotal!P:P)</f>
        <v>2</v>
      </c>
      <c r="N48">
        <f>SUMIF(RawDataTotal!$B:$B,$A48,RawDataTotal!Q:Q)</f>
        <v>2</v>
      </c>
      <c r="O48">
        <f>SUMIF(RawDataTotal!$B:$B,$A48,RawDataTotal!R:R)</f>
        <v>2</v>
      </c>
      <c r="P48">
        <f>SUMIF(RawDataTotal!$B:$B,$A48,RawDataTotal!S:S)</f>
        <v>2</v>
      </c>
      <c r="Q48">
        <f>SUMIF(RawDataTotal!$B:$B,$A48,RawDataTotal!T:T)</f>
        <v>2</v>
      </c>
      <c r="R48">
        <f>SUMIF(RawDataTotal!$B:$B,$A48,RawDataTotal!U:U)</f>
        <v>3</v>
      </c>
      <c r="S48">
        <f>SUMIF(RawDataTotal!$B:$B,$A48,RawDataTotal!V:V)</f>
        <v>3</v>
      </c>
      <c r="T48">
        <f>SUMIF(RawDataTotal!$B:$B,$A48,RawDataTotal!W:W)</f>
        <v>3</v>
      </c>
      <c r="U48">
        <f>SUMIF(RawDataTotal!$B:$B,$A48,RawDataTotal!X:X)</f>
        <v>3</v>
      </c>
      <c r="V48">
        <f>SUMIF(RawDataTotal!$B:$B,$A48,RawDataTotal!Y:Y)</f>
        <v>3</v>
      </c>
      <c r="W48">
        <f>SUMIF(RawDataTotal!$B:$B,$A48,RawDataTotal!Z:Z)</f>
        <v>3</v>
      </c>
      <c r="X48">
        <f>SUMIF(RawDataTotal!$B:$B,$A48,RawDataTotal!AA:AA)</f>
        <v>3</v>
      </c>
      <c r="Y48">
        <f>SUMIF(RawDataTotal!$B:$B,$A48,RawDataTotal!AB:AB)</f>
        <v>3</v>
      </c>
      <c r="Z48">
        <f>SUMIF(RawDataTotal!$B:$B,$A48,RawDataTotal!AC:AC)</f>
        <v>3</v>
      </c>
      <c r="AA48">
        <f>SUMIF(RawDataTotal!$B:$B,$A48,RawDataTotal!AD:AD)</f>
        <v>3</v>
      </c>
      <c r="AB48">
        <f>SUMIF(RawDataTotal!$B:$B,$A48,RawDataTotal!AE:AE)</f>
        <v>3</v>
      </c>
      <c r="AC48">
        <f>SUMIF(RawDataTotal!$B:$B,$A48,RawDataTotal!AF:AF)</f>
        <v>3</v>
      </c>
      <c r="AD48">
        <f>SUMIF(RawDataTotal!$B:$B,$A48,RawDataTotal!AG:AG)</f>
        <v>3</v>
      </c>
      <c r="AE48">
        <f>SUMIF(RawDataTotal!$B:$B,$A48,RawDataTotal!AH:AH)</f>
        <v>3</v>
      </c>
      <c r="AF48">
        <f>SUMIF(RawDataTotal!$B:$B,$A48,RawDataTotal!AI:AI)</f>
        <v>3</v>
      </c>
      <c r="AG48">
        <f>SUMIF(RawDataTotal!$B:$B,$A48,RawDataTotal!AJ:AJ)</f>
        <v>3</v>
      </c>
      <c r="AH48">
        <f>SUMIF(RawDataTotal!$B:$B,$A48,RawDataTotal!AK:AK)</f>
        <v>3</v>
      </c>
      <c r="AI48">
        <f>SUMIF(RawDataTotal!$B:$B,$A48,RawDataTotal!AL:AL)</f>
        <v>3</v>
      </c>
      <c r="AJ48">
        <f>SUMIF(RawDataTotal!$B:$B,$A48,RawDataTotal!AM:AM)</f>
        <v>3</v>
      </c>
      <c r="AK48">
        <f>SUMIF(RawDataTotal!$B:$B,$A48,RawDataTotal!AN:AN)</f>
        <v>3</v>
      </c>
      <c r="AL48">
        <f>SUMIF(RawDataTotal!$B:$B,$A48,RawDataTotal!AO:AO)</f>
        <v>3</v>
      </c>
      <c r="AM48">
        <f>SUMIF(RawDataTotal!$B:$B,$A48,RawDataTotal!AP:AP)</f>
        <v>3</v>
      </c>
      <c r="AN48">
        <f>SUMIF(RawDataTotal!$B:$B,$A48,RawDataTotal!AQ:AQ)</f>
        <v>3</v>
      </c>
      <c r="AO48">
        <f>SUMIF(RawDataTotal!$B:$B,$A48,RawDataTotal!AR:AR)</f>
        <v>3</v>
      </c>
      <c r="AP48">
        <f>SUMIF(RawDataTotal!$B:$B,$A48,RawDataTotal!AS:AS)</f>
        <v>3</v>
      </c>
      <c r="AQ48">
        <f>SUMIF(RawDataTotal!$B:$B,$A48,RawDataTotal!AT:AT)</f>
        <v>3</v>
      </c>
      <c r="AR48">
        <f>SUMIF(RawDataTotal!$B:$B,$A48,RawDataTotal!AU:AU)</f>
        <v>3</v>
      </c>
      <c r="AS48">
        <f>SUMIF(RawDataTotal!$B:$B,$A48,RawDataTotal!AV:AV)</f>
        <v>3</v>
      </c>
      <c r="AT48">
        <f>SUMIF(RawDataTotal!$B:$B,$A48,RawDataTotal!AW:AW)</f>
        <v>5</v>
      </c>
      <c r="AU48">
        <f>SUMIF(RawDataTotal!$B:$B,$A48,RawDataTotal!AX:AX)</f>
        <v>6</v>
      </c>
      <c r="AV48">
        <f>SUMIF(RawDataTotal!$B:$B,$A48,RawDataTotal!AY:AY)</f>
        <v>10</v>
      </c>
      <c r="AW48">
        <f>SUMIF(RawDataTotal!$B:$B,$A48,RawDataTotal!AZ:AZ)</f>
        <v>20</v>
      </c>
      <c r="AX48">
        <f>SUMIF(RawDataTotal!$B:$B,$A48,RawDataTotal!BA:BA)</f>
        <v>33</v>
      </c>
      <c r="AY48">
        <f>SUMIF(RawDataTotal!$B:$B,$A48,RawDataTotal!BB:BB)</f>
        <v>49</v>
      </c>
      <c r="AZ48">
        <f>SUMIF(RawDataTotal!$B:$B,$A48,RawDataTotal!BC:BC)</f>
        <v>52</v>
      </c>
      <c r="BA48">
        <f>SUMIF(RawDataTotal!$B:$B,$A48,RawDataTotal!BD:BD)</f>
        <v>64</v>
      </c>
      <c r="BB48">
        <f>SUMIF(RawDataTotal!$B:$B,$A48,RawDataTotal!BE:BE)</f>
        <v>111</v>
      </c>
      <c r="BC48">
        <f>SUMIF(RawDataTotal!$B:$B,$A48,RawDataTotal!BF:BF)</f>
        <v>140</v>
      </c>
      <c r="BD48">
        <f>SUMIF(RawDataTotal!$B:$B,$A48,RawDataTotal!BG:BG)</f>
        <v>142</v>
      </c>
      <c r="BE48">
        <f>SUMIF(RawDataTotal!$B:$B,$A48,RawDataTotal!BH:BH)</f>
        <v>187</v>
      </c>
      <c r="BF48">
        <f>SUMIF(RawDataTotal!$B:$B,$A48,RawDataTotal!BI:BI)</f>
        <v>0</v>
      </c>
      <c r="BG48">
        <f>SUMIF(RawDataTotal!$B:$B,$A48,RawDataTotal!BJ:BJ)</f>
        <v>0</v>
      </c>
      <c r="BH48">
        <f>SUMIF(RawDataTotal!$B:$B,$A48,RawDataTotal!BK:BK)</f>
        <v>0</v>
      </c>
      <c r="BI48">
        <f>SUMIF(RawDataTotal!$B:$B,$A48,RawDataTotal!BL:BL)</f>
        <v>0</v>
      </c>
      <c r="BJ48">
        <f>SUMIF(RawDataTotal!$B:$B,$A48,RawDataTotal!BM:BM)</f>
        <v>0</v>
      </c>
      <c r="BK48">
        <f>SUMIF(RawDataTotal!$B:$B,$A48,RawDataTotal!BN:BN)</f>
        <v>0</v>
      </c>
      <c r="BL48">
        <f>SUMIF(RawDataTotal!$B:$B,$A48,RawDataTotal!BO:BO)</f>
        <v>0</v>
      </c>
      <c r="BM48">
        <f>SUMIF(RawDataTotal!$B:$B,$A48,RawDataTotal!BP:BP)</f>
        <v>0</v>
      </c>
      <c r="BN48">
        <f>SUMIF(RawDataTotal!$B:$B,$A48,RawDataTotal!BQ:BQ)</f>
        <v>0</v>
      </c>
      <c r="BO48">
        <f>SUMIF(RawDataTotal!$B:$B,$A48,RawDataTotal!BR:BR)</f>
        <v>0</v>
      </c>
      <c r="BP48">
        <f>SUMIF(RawDataTotal!$B:$B,$A48,RawDataTotal!BS:BS)</f>
        <v>0</v>
      </c>
      <c r="BQ48">
        <f>SUMIF(RawDataTotal!$B:$B,$A48,RawDataTotal!BT:BT)</f>
        <v>0</v>
      </c>
      <c r="BR48">
        <f>SUMIF(RawDataTotal!$B:$B,$A48,RawDataTotal!BU:BU)</f>
        <v>0</v>
      </c>
      <c r="BS48">
        <f>SUMIF(RawDataTotal!$B:$B,$A48,RawDataTotal!BV:BV)</f>
        <v>0</v>
      </c>
      <c r="BT48">
        <f>SUMIF(RawDataTotal!$B:$B,$A48,RawDataTotal!BW:BW)</f>
        <v>0</v>
      </c>
    </row>
    <row r="49" spans="1:72" ht="15" thickBot="1" x14ac:dyDescent="0.35">
      <c r="A49" s="3" t="s">
        <v>370</v>
      </c>
      <c r="B49">
        <f>SUMIF(RawDataTotal!$B:$B,$A49,RawDataTotal!E:E)</f>
        <v>1</v>
      </c>
      <c r="C49">
        <f>SUMIF(RawDataTotal!$B:$B,$A49,RawDataTotal!F:F)</f>
        <v>1</v>
      </c>
      <c r="D49">
        <f>SUMIF(RawDataTotal!$B:$B,$A49,RawDataTotal!G:G)</f>
        <v>3</v>
      </c>
      <c r="E49">
        <f>SUMIF(RawDataTotal!$B:$B,$A49,RawDataTotal!H:H)</f>
        <v>3</v>
      </c>
      <c r="F49">
        <f>SUMIF(RawDataTotal!$B:$B,$A49,RawDataTotal!I:I)</f>
        <v>4</v>
      </c>
      <c r="G49">
        <f>SUMIF(RawDataTotal!$B:$B,$A49,RawDataTotal!J:J)</f>
        <v>5</v>
      </c>
      <c r="H49">
        <f>SUMIF(RawDataTotal!$B:$B,$A49,RawDataTotal!K:K)</f>
        <v>8</v>
      </c>
      <c r="I49">
        <f>SUMIF(RawDataTotal!$B:$B,$A49,RawDataTotal!L:L)</f>
        <v>8</v>
      </c>
      <c r="J49">
        <f>SUMIF(RawDataTotal!$B:$B,$A49,RawDataTotal!M:M)</f>
        <v>9</v>
      </c>
      <c r="K49">
        <f>SUMIF(RawDataTotal!$B:$B,$A49,RawDataTotal!N:N)</f>
        <v>10</v>
      </c>
      <c r="L49">
        <f>SUMIF(RawDataTotal!$B:$B,$A49,RawDataTotal!O:O)</f>
        <v>10</v>
      </c>
      <c r="M49">
        <f>SUMIF(RawDataTotal!$B:$B,$A49,RawDataTotal!P:P)</f>
        <v>10</v>
      </c>
      <c r="N49">
        <f>SUMIF(RawDataTotal!$B:$B,$A49,RawDataTotal!Q:Q)</f>
        <v>10</v>
      </c>
      <c r="O49">
        <f>SUMIF(RawDataTotal!$B:$B,$A49,RawDataTotal!R:R)</f>
        <v>11</v>
      </c>
      <c r="P49">
        <f>SUMIF(RawDataTotal!$B:$B,$A49,RawDataTotal!S:S)</f>
        <v>11</v>
      </c>
      <c r="Q49">
        <f>SUMIF(RawDataTotal!$B:$B,$A49,RawDataTotal!T:T)</f>
        <v>16</v>
      </c>
      <c r="R49">
        <f>SUMIF(RawDataTotal!$B:$B,$A49,RawDataTotal!U:U)</f>
        <v>16</v>
      </c>
      <c r="S49">
        <f>SUMIF(RawDataTotal!$B:$B,$A49,RawDataTotal!V:V)</f>
        <v>17</v>
      </c>
      <c r="T49">
        <f>SUMIF(RawDataTotal!$B:$B,$A49,RawDataTotal!W:W)</f>
        <v>18</v>
      </c>
      <c r="U49">
        <f>SUMIF(RawDataTotal!$B:$B,$A49,RawDataTotal!X:X)</f>
        <v>18</v>
      </c>
      <c r="V49">
        <f>SUMIF(RawDataTotal!$B:$B,$A49,RawDataTotal!Y:Y)</f>
        <v>18</v>
      </c>
      <c r="W49">
        <f>SUMIF(RawDataTotal!$B:$B,$A49,RawDataTotal!Z:Z)</f>
        <v>18</v>
      </c>
      <c r="X49">
        <f>SUMIF(RawDataTotal!$B:$B,$A49,RawDataTotal!AA:AA)</f>
        <v>18</v>
      </c>
      <c r="Y49">
        <f>SUMIF(RawDataTotal!$B:$B,$A49,RawDataTotal!AB:AB)</f>
        <v>18</v>
      </c>
      <c r="Z49">
        <f>SUMIF(RawDataTotal!$B:$B,$A49,RawDataTotal!AC:AC)</f>
        <v>18</v>
      </c>
      <c r="AA49">
        <f>SUMIF(RawDataTotal!$B:$B,$A49,RawDataTotal!AD:AD)</f>
        <v>20</v>
      </c>
      <c r="AB49">
        <f>SUMIF(RawDataTotal!$B:$B,$A49,RawDataTotal!AE:AE)</f>
        <v>22</v>
      </c>
      <c r="AC49">
        <f>SUMIF(RawDataTotal!$B:$B,$A49,RawDataTotal!AF:AF)</f>
        <v>22</v>
      </c>
      <c r="AD49">
        <f>SUMIF(RawDataTotal!$B:$B,$A49,RawDataTotal!AG:AG)</f>
        <v>23</v>
      </c>
      <c r="AE49">
        <f>SUMIF(RawDataTotal!$B:$B,$A49,RawDataTotal!AH:AH)</f>
        <v>24</v>
      </c>
      <c r="AF49">
        <f>SUMIF(RawDataTotal!$B:$B,$A49,RawDataTotal!AI:AI)</f>
        <v>26</v>
      </c>
      <c r="AG49">
        <f>SUMIF(RawDataTotal!$B:$B,$A49,RawDataTotal!AJ:AJ)</f>
        <v>26</v>
      </c>
      <c r="AH49">
        <f>SUMIF(RawDataTotal!$B:$B,$A49,RawDataTotal!AK:AK)</f>
        <v>28</v>
      </c>
      <c r="AI49">
        <f>SUMIF(RawDataTotal!$B:$B,$A49,RawDataTotal!AL:AL)</f>
        <v>30</v>
      </c>
      <c r="AJ49">
        <f>SUMIF(RawDataTotal!$B:$B,$A49,RawDataTotal!AM:AM)</f>
        <v>31</v>
      </c>
      <c r="AK49">
        <f>SUMIF(RawDataTotal!$B:$B,$A49,RawDataTotal!AN:AN)</f>
        <v>32</v>
      </c>
      <c r="AL49">
        <f>SUMIF(RawDataTotal!$B:$B,$A49,RawDataTotal!AO:AO)</f>
        <v>32</v>
      </c>
      <c r="AM49">
        <f>SUMIF(RawDataTotal!$B:$B,$A49,RawDataTotal!AP:AP)</f>
        <v>34</v>
      </c>
      <c r="AN49">
        <f>SUMIF(RawDataTotal!$B:$B,$A49,RawDataTotal!AQ:AQ)</f>
        <v>39</v>
      </c>
      <c r="AO49">
        <f>SUMIF(RawDataTotal!$B:$B,$A49,RawDataTotal!AR:AR)</f>
        <v>40</v>
      </c>
      <c r="AP49">
        <f>SUMIF(RawDataTotal!$B:$B,$A49,RawDataTotal!AS:AS)</f>
        <v>41</v>
      </c>
      <c r="AQ49">
        <f>SUMIF(RawDataTotal!$B:$B,$A49,RawDataTotal!AT:AT)</f>
        <v>42</v>
      </c>
      <c r="AR49">
        <f>SUMIF(RawDataTotal!$B:$B,$A49,RawDataTotal!AU:AU)</f>
        <v>42</v>
      </c>
      <c r="AS49">
        <f>SUMIF(RawDataTotal!$B:$B,$A49,RawDataTotal!AV:AV)</f>
        <v>44</v>
      </c>
      <c r="AT49">
        <f>SUMIF(RawDataTotal!$B:$B,$A49,RawDataTotal!AW:AW)</f>
        <v>45</v>
      </c>
      <c r="AU49">
        <f>SUMIF(RawDataTotal!$B:$B,$A49,RawDataTotal!AX:AX)</f>
        <v>45</v>
      </c>
      <c r="AV49">
        <f>SUMIF(RawDataTotal!$B:$B,$A49,RawDataTotal!AY:AY)</f>
        <v>45</v>
      </c>
      <c r="AW49">
        <f>SUMIF(RawDataTotal!$B:$B,$A49,RawDataTotal!AZ:AZ)</f>
        <v>45</v>
      </c>
      <c r="AX49">
        <f>SUMIF(RawDataTotal!$B:$B,$A49,RawDataTotal!BA:BA)</f>
        <v>47</v>
      </c>
      <c r="AY49">
        <f>SUMIF(RawDataTotal!$B:$B,$A49,RawDataTotal!BB:BB)</f>
        <v>48</v>
      </c>
      <c r="AZ49">
        <f>SUMIF(RawDataTotal!$B:$B,$A49,RawDataTotal!BC:BC)</f>
        <v>49</v>
      </c>
      <c r="BA49">
        <f>SUMIF(RawDataTotal!$B:$B,$A49,RawDataTotal!BD:BD)</f>
        <v>50</v>
      </c>
      <c r="BB49">
        <f>SUMIF(RawDataTotal!$B:$B,$A49,RawDataTotal!BE:BE)</f>
        <v>53</v>
      </c>
      <c r="BC49">
        <f>SUMIF(RawDataTotal!$B:$B,$A49,RawDataTotal!BF:BF)</f>
        <v>59</v>
      </c>
      <c r="BD49">
        <f>SUMIF(RawDataTotal!$B:$B,$A49,RawDataTotal!BG:BG)</f>
        <v>67</v>
      </c>
      <c r="BE49">
        <f>SUMIF(RawDataTotal!$B:$B,$A49,RawDataTotal!BH:BH)</f>
        <v>77</v>
      </c>
      <c r="BF49">
        <f>SUMIF(RawDataTotal!$B:$B,$A49,RawDataTotal!BI:BI)</f>
        <v>0</v>
      </c>
      <c r="BG49">
        <f>SUMIF(RawDataTotal!$B:$B,$A49,RawDataTotal!BJ:BJ)</f>
        <v>0</v>
      </c>
      <c r="BH49">
        <f>SUMIF(RawDataTotal!$B:$B,$A49,RawDataTotal!BK:BK)</f>
        <v>0</v>
      </c>
      <c r="BI49">
        <f>SUMIF(RawDataTotal!$B:$B,$A49,RawDataTotal!BL:BL)</f>
        <v>0</v>
      </c>
      <c r="BJ49">
        <f>SUMIF(RawDataTotal!$B:$B,$A49,RawDataTotal!BM:BM)</f>
        <v>0</v>
      </c>
      <c r="BK49">
        <f>SUMIF(RawDataTotal!$B:$B,$A49,RawDataTotal!BN:BN)</f>
        <v>0</v>
      </c>
      <c r="BL49">
        <f>SUMIF(RawDataTotal!$B:$B,$A49,RawDataTotal!BO:BO)</f>
        <v>0</v>
      </c>
      <c r="BM49">
        <f>SUMIF(RawDataTotal!$B:$B,$A49,RawDataTotal!BP:BP)</f>
        <v>0</v>
      </c>
      <c r="BN49">
        <f>SUMIF(RawDataTotal!$B:$B,$A49,RawDataTotal!BQ:BQ)</f>
        <v>0</v>
      </c>
      <c r="BO49">
        <f>SUMIF(RawDataTotal!$B:$B,$A49,RawDataTotal!BR:BR)</f>
        <v>0</v>
      </c>
      <c r="BP49">
        <f>SUMIF(RawDataTotal!$B:$B,$A49,RawDataTotal!BS:BS)</f>
        <v>0</v>
      </c>
      <c r="BQ49">
        <f>SUMIF(RawDataTotal!$B:$B,$A49,RawDataTotal!BT:BT)</f>
        <v>0</v>
      </c>
      <c r="BR49">
        <f>SUMIF(RawDataTotal!$B:$B,$A49,RawDataTotal!BU:BU)</f>
        <v>0</v>
      </c>
      <c r="BS49">
        <f>SUMIF(RawDataTotal!$B:$B,$A49,RawDataTotal!BV:BV)</f>
        <v>0</v>
      </c>
      <c r="BT49">
        <f>SUMIF(RawDataTotal!$B:$B,$A49,RawDataTotal!BW:BW)</f>
        <v>0</v>
      </c>
    </row>
    <row r="50" spans="1:72" ht="15" thickBot="1" x14ac:dyDescent="0.35">
      <c r="A50" s="4" t="s">
        <v>371</v>
      </c>
      <c r="B50">
        <f>SUMIF(RawDataTotal!$B:$B,$A50,RawDataTotal!E:E)</f>
        <v>0</v>
      </c>
      <c r="C50">
        <f>SUMIF(RawDataTotal!$B:$B,$A50,RawDataTotal!F:F)</f>
        <v>2</v>
      </c>
      <c r="D50">
        <f>SUMIF(RawDataTotal!$B:$B,$A50,RawDataTotal!G:G)</f>
        <v>2</v>
      </c>
      <c r="E50">
        <f>SUMIF(RawDataTotal!$B:$B,$A50,RawDataTotal!H:H)</f>
        <v>2</v>
      </c>
      <c r="F50">
        <f>SUMIF(RawDataTotal!$B:$B,$A50,RawDataTotal!I:I)</f>
        <v>2</v>
      </c>
      <c r="G50">
        <f>SUMIF(RawDataTotal!$B:$B,$A50,RawDataTotal!J:J)</f>
        <v>2</v>
      </c>
      <c r="H50">
        <f>SUMIF(RawDataTotal!$B:$B,$A50,RawDataTotal!K:K)</f>
        <v>2</v>
      </c>
      <c r="I50">
        <f>SUMIF(RawDataTotal!$B:$B,$A50,RawDataTotal!L:L)</f>
        <v>2</v>
      </c>
      <c r="J50">
        <f>SUMIF(RawDataTotal!$B:$B,$A50,RawDataTotal!M:M)</f>
        <v>2</v>
      </c>
      <c r="K50">
        <f>SUMIF(RawDataTotal!$B:$B,$A50,RawDataTotal!N:N)</f>
        <v>2</v>
      </c>
      <c r="L50">
        <f>SUMIF(RawDataTotal!$B:$B,$A50,RawDataTotal!O:O)</f>
        <v>6</v>
      </c>
      <c r="M50">
        <f>SUMIF(RawDataTotal!$B:$B,$A50,RawDataTotal!P:P)</f>
        <v>6</v>
      </c>
      <c r="N50">
        <f>SUMIF(RawDataTotal!$B:$B,$A50,RawDataTotal!Q:Q)</f>
        <v>8</v>
      </c>
      <c r="O50">
        <f>SUMIF(RawDataTotal!$B:$B,$A50,RawDataTotal!R:R)</f>
        <v>8</v>
      </c>
      <c r="P50">
        <f>SUMIF(RawDataTotal!$B:$B,$A50,RawDataTotal!S:S)</f>
        <v>8</v>
      </c>
      <c r="Q50">
        <f>SUMIF(RawDataTotal!$B:$B,$A50,RawDataTotal!T:T)</f>
        <v>10</v>
      </c>
      <c r="R50">
        <f>SUMIF(RawDataTotal!$B:$B,$A50,RawDataTotal!U:U)</f>
        <v>10</v>
      </c>
      <c r="S50">
        <f>SUMIF(RawDataTotal!$B:$B,$A50,RawDataTotal!V:V)</f>
        <v>13</v>
      </c>
      <c r="T50">
        <f>SUMIF(RawDataTotal!$B:$B,$A50,RawDataTotal!W:W)</f>
        <v>13</v>
      </c>
      <c r="U50">
        <f>SUMIF(RawDataTotal!$B:$B,$A50,RawDataTotal!X:X)</f>
        <v>14</v>
      </c>
      <c r="V50">
        <f>SUMIF(RawDataTotal!$B:$B,$A50,RawDataTotal!Y:Y)</f>
        <v>15</v>
      </c>
      <c r="W50">
        <f>SUMIF(RawDataTotal!$B:$B,$A50,RawDataTotal!Z:Z)</f>
        <v>15</v>
      </c>
      <c r="X50">
        <f>SUMIF(RawDataTotal!$B:$B,$A50,RawDataTotal!AA:AA)</f>
        <v>16</v>
      </c>
      <c r="Y50">
        <f>SUMIF(RawDataTotal!$B:$B,$A50,RawDataTotal!AB:AB)</f>
        <v>16</v>
      </c>
      <c r="Z50">
        <f>SUMIF(RawDataTotal!$B:$B,$A50,RawDataTotal!AC:AC)</f>
        <v>16</v>
      </c>
      <c r="AA50">
        <f>SUMIF(RawDataTotal!$B:$B,$A50,RawDataTotal!AD:AD)</f>
        <v>16</v>
      </c>
      <c r="AB50">
        <f>SUMIF(RawDataTotal!$B:$B,$A50,RawDataTotal!AE:AE)</f>
        <v>16</v>
      </c>
      <c r="AC50">
        <f>SUMIF(RawDataTotal!$B:$B,$A50,RawDataTotal!AF:AF)</f>
        <v>16</v>
      </c>
      <c r="AD50">
        <f>SUMIF(RawDataTotal!$B:$B,$A50,RawDataTotal!AG:AG)</f>
        <v>16</v>
      </c>
      <c r="AE50">
        <f>SUMIF(RawDataTotal!$B:$B,$A50,RawDataTotal!AH:AH)</f>
        <v>16</v>
      </c>
      <c r="AF50">
        <f>SUMIF(RawDataTotal!$B:$B,$A50,RawDataTotal!AI:AI)</f>
        <v>16</v>
      </c>
      <c r="AG50">
        <f>SUMIF(RawDataTotal!$B:$B,$A50,RawDataTotal!AJ:AJ)</f>
        <v>16</v>
      </c>
      <c r="AH50">
        <f>SUMIF(RawDataTotal!$B:$B,$A50,RawDataTotal!AK:AK)</f>
        <v>16</v>
      </c>
      <c r="AI50">
        <f>SUMIF(RawDataTotal!$B:$B,$A50,RawDataTotal!AL:AL)</f>
        <v>16</v>
      </c>
      <c r="AJ50">
        <f>SUMIF(RawDataTotal!$B:$B,$A50,RawDataTotal!AM:AM)</f>
        <v>16</v>
      </c>
      <c r="AK50">
        <f>SUMIF(RawDataTotal!$B:$B,$A50,RawDataTotal!AN:AN)</f>
        <v>16</v>
      </c>
      <c r="AL50">
        <f>SUMIF(RawDataTotal!$B:$B,$A50,RawDataTotal!AO:AO)</f>
        <v>16</v>
      </c>
      <c r="AM50">
        <f>SUMIF(RawDataTotal!$B:$B,$A50,RawDataTotal!AP:AP)</f>
        <v>16</v>
      </c>
      <c r="AN50">
        <f>SUMIF(RawDataTotal!$B:$B,$A50,RawDataTotal!AQ:AQ)</f>
        <v>16</v>
      </c>
      <c r="AO50">
        <f>SUMIF(RawDataTotal!$B:$B,$A50,RawDataTotal!AR:AR)</f>
        <v>16</v>
      </c>
      <c r="AP50">
        <f>SUMIF(RawDataTotal!$B:$B,$A50,RawDataTotal!AS:AS)</f>
        <v>16</v>
      </c>
      <c r="AQ50">
        <f>SUMIF(RawDataTotal!$B:$B,$A50,RawDataTotal!AT:AT)</f>
        <v>16</v>
      </c>
      <c r="AR50">
        <f>SUMIF(RawDataTotal!$B:$B,$A50,RawDataTotal!AU:AU)</f>
        <v>16</v>
      </c>
      <c r="AS50">
        <f>SUMIF(RawDataTotal!$B:$B,$A50,RawDataTotal!AV:AV)</f>
        <v>16</v>
      </c>
      <c r="AT50">
        <f>SUMIF(RawDataTotal!$B:$B,$A50,RawDataTotal!AW:AW)</f>
        <v>16</v>
      </c>
      <c r="AU50">
        <f>SUMIF(RawDataTotal!$B:$B,$A50,RawDataTotal!AX:AX)</f>
        <v>18</v>
      </c>
      <c r="AV50">
        <f>SUMIF(RawDataTotal!$B:$B,$A50,RawDataTotal!AY:AY)</f>
        <v>30</v>
      </c>
      <c r="AW50">
        <f>SUMIF(RawDataTotal!$B:$B,$A50,RawDataTotal!AZ:AZ)</f>
        <v>30</v>
      </c>
      <c r="AX50">
        <f>SUMIF(RawDataTotal!$B:$B,$A50,RawDataTotal!BA:BA)</f>
        <v>31</v>
      </c>
      <c r="AY50">
        <f>SUMIF(RawDataTotal!$B:$B,$A50,RawDataTotal!BB:BB)</f>
        <v>38</v>
      </c>
      <c r="AZ50">
        <f>SUMIF(RawDataTotal!$B:$B,$A50,RawDataTotal!BC:BC)</f>
        <v>39</v>
      </c>
      <c r="BA50">
        <f>SUMIF(RawDataTotal!$B:$B,$A50,RawDataTotal!BD:BD)</f>
        <v>47</v>
      </c>
      <c r="BB50">
        <f>SUMIF(RawDataTotal!$B:$B,$A50,RawDataTotal!BE:BE)</f>
        <v>53</v>
      </c>
      <c r="BC50">
        <f>SUMIF(RawDataTotal!$B:$B,$A50,RawDataTotal!BF:BF)</f>
        <v>56</v>
      </c>
      <c r="BD50">
        <f>SUMIF(RawDataTotal!$B:$B,$A50,RawDataTotal!BG:BG)</f>
        <v>61</v>
      </c>
      <c r="BE50">
        <f>SUMIF(RawDataTotal!$B:$B,$A50,RawDataTotal!BH:BH)</f>
        <v>66</v>
      </c>
      <c r="BF50">
        <f>SUMIF(RawDataTotal!$B:$B,$A50,RawDataTotal!BI:BI)</f>
        <v>0</v>
      </c>
      <c r="BG50">
        <f>SUMIF(RawDataTotal!$B:$B,$A50,RawDataTotal!BJ:BJ)</f>
        <v>0</v>
      </c>
      <c r="BH50">
        <f>SUMIF(RawDataTotal!$B:$B,$A50,RawDataTotal!BK:BK)</f>
        <v>0</v>
      </c>
      <c r="BI50">
        <f>SUMIF(RawDataTotal!$B:$B,$A50,RawDataTotal!BL:BL)</f>
        <v>0</v>
      </c>
      <c r="BJ50">
        <f>SUMIF(RawDataTotal!$B:$B,$A50,RawDataTotal!BM:BM)</f>
        <v>0</v>
      </c>
      <c r="BK50">
        <f>SUMIF(RawDataTotal!$B:$B,$A50,RawDataTotal!BN:BN)</f>
        <v>0</v>
      </c>
      <c r="BL50">
        <f>SUMIF(RawDataTotal!$B:$B,$A50,RawDataTotal!BO:BO)</f>
        <v>0</v>
      </c>
      <c r="BM50">
        <f>SUMIF(RawDataTotal!$B:$B,$A50,RawDataTotal!BP:BP)</f>
        <v>0</v>
      </c>
      <c r="BN50">
        <f>SUMIF(RawDataTotal!$B:$B,$A50,RawDataTotal!BQ:BQ)</f>
        <v>0</v>
      </c>
      <c r="BO50">
        <f>SUMIF(RawDataTotal!$B:$B,$A50,RawDataTotal!BR:BR)</f>
        <v>0</v>
      </c>
      <c r="BP50">
        <f>SUMIF(RawDataTotal!$B:$B,$A50,RawDataTotal!BS:BS)</f>
        <v>0</v>
      </c>
      <c r="BQ50">
        <f>SUMIF(RawDataTotal!$B:$B,$A50,RawDataTotal!BT:BT)</f>
        <v>0</v>
      </c>
      <c r="BR50">
        <f>SUMIF(RawDataTotal!$B:$B,$A50,RawDataTotal!BU:BU)</f>
        <v>0</v>
      </c>
      <c r="BS50">
        <f>SUMIF(RawDataTotal!$B:$B,$A50,RawDataTotal!BV:BV)</f>
        <v>0</v>
      </c>
      <c r="BT50">
        <f>SUMIF(RawDataTotal!$B:$B,$A50,RawDataTotal!BW:BW)</f>
        <v>0</v>
      </c>
    </row>
    <row r="51" spans="1:72" ht="15" thickBot="1" x14ac:dyDescent="0.35">
      <c r="A51" s="3" t="s">
        <v>372</v>
      </c>
      <c r="B51">
        <f>SUMIF(RawDataTotal!$B:$B,$A51,RawDataTotal!E:E)</f>
        <v>0</v>
      </c>
      <c r="C51">
        <f>SUMIF(RawDataTotal!$B:$B,$A51,RawDataTotal!F:F)</f>
        <v>0</v>
      </c>
      <c r="D51">
        <f>SUMIF(RawDataTotal!$B:$B,$A51,RawDataTotal!G:G)</f>
        <v>0</v>
      </c>
      <c r="E51">
        <f>SUMIF(RawDataTotal!$B:$B,$A51,RawDataTotal!H:H)</f>
        <v>0</v>
      </c>
      <c r="F51">
        <f>SUMIF(RawDataTotal!$B:$B,$A51,RawDataTotal!I:I)</f>
        <v>0</v>
      </c>
      <c r="G51">
        <f>SUMIF(RawDataTotal!$B:$B,$A51,RawDataTotal!J:J)</f>
        <v>0</v>
      </c>
      <c r="H51">
        <f>SUMIF(RawDataTotal!$B:$B,$A51,RawDataTotal!K:K)</f>
        <v>0</v>
      </c>
      <c r="I51">
        <f>SUMIF(RawDataTotal!$B:$B,$A51,RawDataTotal!L:L)</f>
        <v>0</v>
      </c>
      <c r="J51">
        <f>SUMIF(RawDataTotal!$B:$B,$A51,RawDataTotal!M:M)</f>
        <v>0</v>
      </c>
      <c r="K51">
        <f>SUMIF(RawDataTotal!$B:$B,$A51,RawDataTotal!N:N)</f>
        <v>2</v>
      </c>
      <c r="L51">
        <f>SUMIF(RawDataTotal!$B:$B,$A51,RawDataTotal!O:O)</f>
        <v>2</v>
      </c>
      <c r="M51">
        <f>SUMIF(RawDataTotal!$B:$B,$A51,RawDataTotal!P:P)</f>
        <v>2</v>
      </c>
      <c r="N51">
        <f>SUMIF(RawDataTotal!$B:$B,$A51,RawDataTotal!Q:Q)</f>
        <v>2</v>
      </c>
      <c r="O51">
        <f>SUMIF(RawDataTotal!$B:$B,$A51,RawDataTotal!R:R)</f>
        <v>2</v>
      </c>
      <c r="P51">
        <f>SUMIF(RawDataTotal!$B:$B,$A51,RawDataTotal!S:S)</f>
        <v>2</v>
      </c>
      <c r="Q51">
        <f>SUMIF(RawDataTotal!$B:$B,$A51,RawDataTotal!T:T)</f>
        <v>2</v>
      </c>
      <c r="R51">
        <f>SUMIF(RawDataTotal!$B:$B,$A51,RawDataTotal!U:U)</f>
        <v>2</v>
      </c>
      <c r="S51">
        <f>SUMIF(RawDataTotal!$B:$B,$A51,RawDataTotal!V:V)</f>
        <v>2</v>
      </c>
      <c r="T51">
        <f>SUMIF(RawDataTotal!$B:$B,$A51,RawDataTotal!W:W)</f>
        <v>2</v>
      </c>
      <c r="U51">
        <f>SUMIF(RawDataTotal!$B:$B,$A51,RawDataTotal!X:X)</f>
        <v>2</v>
      </c>
      <c r="V51">
        <f>SUMIF(RawDataTotal!$B:$B,$A51,RawDataTotal!Y:Y)</f>
        <v>2</v>
      </c>
      <c r="W51">
        <f>SUMIF(RawDataTotal!$B:$B,$A51,RawDataTotal!Z:Z)</f>
        <v>2</v>
      </c>
      <c r="X51">
        <f>SUMIF(RawDataTotal!$B:$B,$A51,RawDataTotal!AA:AA)</f>
        <v>2</v>
      </c>
      <c r="Y51">
        <f>SUMIF(RawDataTotal!$B:$B,$A51,RawDataTotal!AB:AB)</f>
        <v>2</v>
      </c>
      <c r="Z51">
        <f>SUMIF(RawDataTotal!$B:$B,$A51,RawDataTotal!AC:AC)</f>
        <v>2</v>
      </c>
      <c r="AA51">
        <f>SUMIF(RawDataTotal!$B:$B,$A51,RawDataTotal!AD:AD)</f>
        <v>2</v>
      </c>
      <c r="AB51">
        <f>SUMIF(RawDataTotal!$B:$B,$A51,RawDataTotal!AE:AE)</f>
        <v>2</v>
      </c>
      <c r="AC51">
        <f>SUMIF(RawDataTotal!$B:$B,$A51,RawDataTotal!AF:AF)</f>
        <v>2</v>
      </c>
      <c r="AD51">
        <f>SUMIF(RawDataTotal!$B:$B,$A51,RawDataTotal!AG:AG)</f>
        <v>2</v>
      </c>
      <c r="AE51">
        <f>SUMIF(RawDataTotal!$B:$B,$A51,RawDataTotal!AH:AH)</f>
        <v>2</v>
      </c>
      <c r="AF51">
        <f>SUMIF(RawDataTotal!$B:$B,$A51,RawDataTotal!AI:AI)</f>
        <v>2</v>
      </c>
      <c r="AG51">
        <f>SUMIF(RawDataTotal!$B:$B,$A51,RawDataTotal!AJ:AJ)</f>
        <v>2</v>
      </c>
      <c r="AH51">
        <f>SUMIF(RawDataTotal!$B:$B,$A51,RawDataTotal!AK:AK)</f>
        <v>2</v>
      </c>
      <c r="AI51">
        <f>SUMIF(RawDataTotal!$B:$B,$A51,RawDataTotal!AL:AL)</f>
        <v>2</v>
      </c>
      <c r="AJ51">
        <f>SUMIF(RawDataTotal!$B:$B,$A51,RawDataTotal!AM:AM)</f>
        <v>2</v>
      </c>
      <c r="AK51">
        <f>SUMIF(RawDataTotal!$B:$B,$A51,RawDataTotal!AN:AN)</f>
        <v>2</v>
      </c>
      <c r="AL51">
        <f>SUMIF(RawDataTotal!$B:$B,$A51,RawDataTotal!AO:AO)</f>
        <v>2</v>
      </c>
      <c r="AM51">
        <f>SUMIF(RawDataTotal!$B:$B,$A51,RawDataTotal!AP:AP)</f>
        <v>2</v>
      </c>
      <c r="AN51">
        <f>SUMIF(RawDataTotal!$B:$B,$A51,RawDataTotal!AQ:AQ)</f>
        <v>2</v>
      </c>
      <c r="AO51">
        <f>SUMIF(RawDataTotal!$B:$B,$A51,RawDataTotal!AR:AR)</f>
        <v>2</v>
      </c>
      <c r="AP51">
        <f>SUMIF(RawDataTotal!$B:$B,$A51,RawDataTotal!AS:AS)</f>
        <v>3</v>
      </c>
      <c r="AQ51">
        <f>SUMIF(RawDataTotal!$B:$B,$A51,RawDataTotal!AT:AT)</f>
        <v>3</v>
      </c>
      <c r="AR51">
        <f>SUMIF(RawDataTotal!$B:$B,$A51,RawDataTotal!AU:AU)</f>
        <v>3</v>
      </c>
      <c r="AS51">
        <f>SUMIF(RawDataTotal!$B:$B,$A51,RawDataTotal!AV:AV)</f>
        <v>4</v>
      </c>
      <c r="AT51">
        <f>SUMIF(RawDataTotal!$B:$B,$A51,RawDataTotal!AW:AW)</f>
        <v>13</v>
      </c>
      <c r="AU51">
        <f>SUMIF(RawDataTotal!$B:$B,$A51,RawDataTotal!AX:AX)</f>
        <v>13</v>
      </c>
      <c r="AV51">
        <f>SUMIF(RawDataTotal!$B:$B,$A51,RawDataTotal!AY:AY)</f>
        <v>17</v>
      </c>
      <c r="AW51">
        <f>SUMIF(RawDataTotal!$B:$B,$A51,RawDataTotal!AZ:AZ)</f>
        <v>17</v>
      </c>
      <c r="AX51">
        <f>SUMIF(RawDataTotal!$B:$B,$A51,RawDataTotal!BA:BA)</f>
        <v>20</v>
      </c>
      <c r="AY51">
        <f>SUMIF(RawDataTotal!$B:$B,$A51,RawDataTotal!BB:BB)</f>
        <v>20</v>
      </c>
      <c r="AZ51">
        <f>SUMIF(RawDataTotal!$B:$B,$A51,RawDataTotal!BC:BC)</f>
        <v>28</v>
      </c>
      <c r="BA51">
        <f>SUMIF(RawDataTotal!$B:$B,$A51,RawDataTotal!BD:BD)</f>
        <v>45</v>
      </c>
      <c r="BB51">
        <f>SUMIF(RawDataTotal!$B:$B,$A51,RawDataTotal!BE:BE)</f>
        <v>59</v>
      </c>
      <c r="BC51">
        <f>SUMIF(RawDataTotal!$B:$B,$A51,RawDataTotal!BF:BF)</f>
        <v>63</v>
      </c>
      <c r="BD51">
        <f>SUMIF(RawDataTotal!$B:$B,$A51,RawDataTotal!BG:BG)</f>
        <v>90</v>
      </c>
      <c r="BE51">
        <f>SUMIF(RawDataTotal!$B:$B,$A51,RawDataTotal!BH:BH)</f>
        <v>114</v>
      </c>
      <c r="BF51">
        <f>SUMIF(RawDataTotal!$B:$B,$A51,RawDataTotal!BI:BI)</f>
        <v>0</v>
      </c>
      <c r="BG51">
        <f>SUMIF(RawDataTotal!$B:$B,$A51,RawDataTotal!BJ:BJ)</f>
        <v>0</v>
      </c>
      <c r="BH51">
        <f>SUMIF(RawDataTotal!$B:$B,$A51,RawDataTotal!BK:BK)</f>
        <v>0</v>
      </c>
      <c r="BI51">
        <f>SUMIF(RawDataTotal!$B:$B,$A51,RawDataTotal!BL:BL)</f>
        <v>0</v>
      </c>
      <c r="BJ51">
        <f>SUMIF(RawDataTotal!$B:$B,$A51,RawDataTotal!BM:BM)</f>
        <v>0</v>
      </c>
      <c r="BK51">
        <f>SUMIF(RawDataTotal!$B:$B,$A51,RawDataTotal!BN:BN)</f>
        <v>0</v>
      </c>
      <c r="BL51">
        <f>SUMIF(RawDataTotal!$B:$B,$A51,RawDataTotal!BO:BO)</f>
        <v>0</v>
      </c>
      <c r="BM51">
        <f>SUMIF(RawDataTotal!$B:$B,$A51,RawDataTotal!BP:BP)</f>
        <v>0</v>
      </c>
      <c r="BN51">
        <f>SUMIF(RawDataTotal!$B:$B,$A51,RawDataTotal!BQ:BQ)</f>
        <v>0</v>
      </c>
      <c r="BO51">
        <f>SUMIF(RawDataTotal!$B:$B,$A51,RawDataTotal!BR:BR)</f>
        <v>0</v>
      </c>
      <c r="BP51">
        <f>SUMIF(RawDataTotal!$B:$B,$A51,RawDataTotal!BS:BS)</f>
        <v>0</v>
      </c>
      <c r="BQ51">
        <f>SUMIF(RawDataTotal!$B:$B,$A51,RawDataTotal!BT:BT)</f>
        <v>0</v>
      </c>
      <c r="BR51">
        <f>SUMIF(RawDataTotal!$B:$B,$A51,RawDataTotal!BU:BU)</f>
        <v>0</v>
      </c>
      <c r="BS51">
        <f>SUMIF(RawDataTotal!$B:$B,$A51,RawDataTotal!BV:BV)</f>
        <v>0</v>
      </c>
      <c r="BT51">
        <f>SUMIF(RawDataTotal!$B:$B,$A51,RawDataTotal!BW:BW)</f>
        <v>0</v>
      </c>
    </row>
    <row r="52" spans="1:72" ht="15" thickBot="1" x14ac:dyDescent="0.35">
      <c r="A52" s="3" t="s">
        <v>151</v>
      </c>
      <c r="B52">
        <f>SUMIF(RawDataTotal!$B:$B,$A52,RawDataTotal!E:E)</f>
        <v>0</v>
      </c>
      <c r="C52">
        <f>SUMIF(RawDataTotal!$B:$B,$A52,RawDataTotal!F:F)</f>
        <v>0</v>
      </c>
      <c r="D52">
        <f>SUMIF(RawDataTotal!$B:$B,$A52,RawDataTotal!G:G)</f>
        <v>0</v>
      </c>
      <c r="E52">
        <f>SUMIF(RawDataTotal!$B:$B,$A52,RawDataTotal!H:H)</f>
        <v>0</v>
      </c>
      <c r="F52">
        <f>SUMIF(RawDataTotal!$B:$B,$A52,RawDataTotal!I:I)</f>
        <v>0</v>
      </c>
      <c r="G52">
        <f>SUMIF(RawDataTotal!$B:$B,$A52,RawDataTotal!J:J)</f>
        <v>0</v>
      </c>
      <c r="H52">
        <f>SUMIF(RawDataTotal!$B:$B,$A52,RawDataTotal!K:K)</f>
        <v>0</v>
      </c>
      <c r="I52">
        <f>SUMIF(RawDataTotal!$B:$B,$A52,RawDataTotal!L:L)</f>
        <v>0</v>
      </c>
      <c r="J52">
        <f>SUMIF(RawDataTotal!$B:$B,$A52,RawDataTotal!M:M)</f>
        <v>0</v>
      </c>
      <c r="K52">
        <f>SUMIF(RawDataTotal!$B:$B,$A52,RawDataTotal!N:N)</f>
        <v>0</v>
      </c>
      <c r="L52">
        <f>SUMIF(RawDataTotal!$B:$B,$A52,RawDataTotal!O:O)</f>
        <v>0</v>
      </c>
      <c r="M52">
        <f>SUMIF(RawDataTotal!$B:$B,$A52,RawDataTotal!P:P)</f>
        <v>0</v>
      </c>
      <c r="N52">
        <f>SUMIF(RawDataTotal!$B:$B,$A52,RawDataTotal!Q:Q)</f>
        <v>0</v>
      </c>
      <c r="O52">
        <f>SUMIF(RawDataTotal!$B:$B,$A52,RawDataTotal!R:R)</f>
        <v>0</v>
      </c>
      <c r="P52">
        <f>SUMIF(RawDataTotal!$B:$B,$A52,RawDataTotal!S:S)</f>
        <v>0</v>
      </c>
      <c r="Q52">
        <f>SUMIF(RawDataTotal!$B:$B,$A52,RawDataTotal!T:T)</f>
        <v>0</v>
      </c>
      <c r="R52">
        <f>SUMIF(RawDataTotal!$B:$B,$A52,RawDataTotal!U:U)</f>
        <v>0</v>
      </c>
      <c r="S52">
        <f>SUMIF(RawDataTotal!$B:$B,$A52,RawDataTotal!V:V)</f>
        <v>0</v>
      </c>
      <c r="T52">
        <f>SUMIF(RawDataTotal!$B:$B,$A52,RawDataTotal!W:W)</f>
        <v>0</v>
      </c>
      <c r="U52">
        <f>SUMIF(RawDataTotal!$B:$B,$A52,RawDataTotal!X:X)</f>
        <v>0</v>
      </c>
      <c r="V52">
        <f>SUMIF(RawDataTotal!$B:$B,$A52,RawDataTotal!Y:Y)</f>
        <v>0</v>
      </c>
      <c r="W52">
        <f>SUMIF(RawDataTotal!$B:$B,$A52,RawDataTotal!Z:Z)</f>
        <v>0</v>
      </c>
      <c r="X52">
        <f>SUMIF(RawDataTotal!$B:$B,$A52,RawDataTotal!AA:AA)</f>
        <v>0</v>
      </c>
      <c r="Y52">
        <f>SUMIF(RawDataTotal!$B:$B,$A52,RawDataTotal!AB:AB)</f>
        <v>0</v>
      </c>
      <c r="Z52">
        <f>SUMIF(RawDataTotal!$B:$B,$A52,RawDataTotal!AC:AC)</f>
        <v>0</v>
      </c>
      <c r="AA52">
        <f>SUMIF(RawDataTotal!$B:$B,$A52,RawDataTotal!AD:AD)</f>
        <v>0</v>
      </c>
      <c r="AB52">
        <f>SUMIF(RawDataTotal!$B:$B,$A52,RawDataTotal!AE:AE)</f>
        <v>0</v>
      </c>
      <c r="AC52">
        <f>SUMIF(RawDataTotal!$B:$B,$A52,RawDataTotal!AF:AF)</f>
        <v>0</v>
      </c>
      <c r="AD52">
        <f>SUMIF(RawDataTotal!$B:$B,$A52,RawDataTotal!AG:AG)</f>
        <v>0</v>
      </c>
      <c r="AE52">
        <f>SUMIF(RawDataTotal!$B:$B,$A52,RawDataTotal!AH:AH)</f>
        <v>0</v>
      </c>
      <c r="AF52">
        <f>SUMIF(RawDataTotal!$B:$B,$A52,RawDataTotal!AI:AI)</f>
        <v>0</v>
      </c>
      <c r="AG52">
        <f>SUMIF(RawDataTotal!$B:$B,$A52,RawDataTotal!AJ:AJ)</f>
        <v>0</v>
      </c>
      <c r="AH52">
        <f>SUMIF(RawDataTotal!$B:$B,$A52,RawDataTotal!AK:AK)</f>
        <v>0</v>
      </c>
      <c r="AI52">
        <f>SUMIF(RawDataTotal!$B:$B,$A52,RawDataTotal!AL:AL)</f>
        <v>0</v>
      </c>
      <c r="AJ52">
        <f>SUMIF(RawDataTotal!$B:$B,$A52,RawDataTotal!AM:AM)</f>
        <v>0</v>
      </c>
      <c r="AK52">
        <f>SUMIF(RawDataTotal!$B:$B,$A52,RawDataTotal!AN:AN)</f>
        <v>0</v>
      </c>
      <c r="AL52">
        <f>SUMIF(RawDataTotal!$B:$B,$A52,RawDataTotal!AO:AO)</f>
        <v>0</v>
      </c>
      <c r="AM52">
        <f>SUMIF(RawDataTotal!$B:$B,$A52,RawDataTotal!AP:AP)</f>
        <v>0</v>
      </c>
      <c r="AN52">
        <f>SUMIF(RawDataTotal!$B:$B,$A52,RawDataTotal!AQ:AQ)</f>
        <v>0</v>
      </c>
      <c r="AO52">
        <f>SUMIF(RawDataTotal!$B:$B,$A52,RawDataTotal!AR:AR)</f>
        <v>0</v>
      </c>
      <c r="AP52">
        <f>SUMIF(RawDataTotal!$B:$B,$A52,RawDataTotal!AS:AS)</f>
        <v>0</v>
      </c>
      <c r="AQ52">
        <f>SUMIF(RawDataTotal!$B:$B,$A52,RawDataTotal!AT:AT)</f>
        <v>1</v>
      </c>
      <c r="AR52">
        <f>SUMIF(RawDataTotal!$B:$B,$A52,RawDataTotal!AU:AU)</f>
        <v>1</v>
      </c>
      <c r="AS52">
        <f>SUMIF(RawDataTotal!$B:$B,$A52,RawDataTotal!AV:AV)</f>
        <v>4</v>
      </c>
      <c r="AT52">
        <f>SUMIF(RawDataTotal!$B:$B,$A52,RawDataTotal!AW:AW)</f>
        <v>4</v>
      </c>
      <c r="AU52">
        <f>SUMIF(RawDataTotal!$B:$B,$A52,RawDataTotal!AX:AX)</f>
        <v>4</v>
      </c>
      <c r="AV52">
        <f>SUMIF(RawDataTotal!$B:$B,$A52,RawDataTotal!AY:AY)</f>
        <v>8</v>
      </c>
      <c r="AW52">
        <f>SUMIF(RawDataTotal!$B:$B,$A52,RawDataTotal!AZ:AZ)</f>
        <v>8</v>
      </c>
      <c r="AX52">
        <f>SUMIF(RawDataTotal!$B:$B,$A52,RawDataTotal!BA:BA)</f>
        <v>13</v>
      </c>
      <c r="AY52">
        <f>SUMIF(RawDataTotal!$B:$B,$A52,RawDataTotal!BB:BB)</f>
        <v>23</v>
      </c>
      <c r="AZ52">
        <f>SUMIF(RawDataTotal!$B:$B,$A52,RawDataTotal!BC:BC)</f>
        <v>23</v>
      </c>
      <c r="BA52">
        <f>SUMIF(RawDataTotal!$B:$B,$A52,RawDataTotal!BD:BD)</f>
        <v>43</v>
      </c>
      <c r="BB52">
        <f>SUMIF(RawDataTotal!$B:$B,$A52,RawDataTotal!BE:BE)</f>
        <v>61</v>
      </c>
      <c r="BC52">
        <f>SUMIF(RawDataTotal!$B:$B,$A52,RawDataTotal!BF:BF)</f>
        <v>74</v>
      </c>
      <c r="BD52">
        <f>SUMIF(RawDataTotal!$B:$B,$A52,RawDataTotal!BG:BG)</f>
        <v>155</v>
      </c>
      <c r="BE52">
        <f>SUMIF(RawDataTotal!$B:$B,$A52,RawDataTotal!BH:BH)</f>
        <v>201</v>
      </c>
      <c r="BF52">
        <f>SUMIF(RawDataTotal!$B:$B,$A52,RawDataTotal!BI:BI)</f>
        <v>0</v>
      </c>
      <c r="BG52">
        <f>SUMIF(RawDataTotal!$B:$B,$A52,RawDataTotal!BJ:BJ)</f>
        <v>0</v>
      </c>
      <c r="BH52">
        <f>SUMIF(RawDataTotal!$B:$B,$A52,RawDataTotal!BK:BK)</f>
        <v>0</v>
      </c>
      <c r="BI52">
        <f>SUMIF(RawDataTotal!$B:$B,$A52,RawDataTotal!BL:BL)</f>
        <v>0</v>
      </c>
      <c r="BJ52">
        <f>SUMIF(RawDataTotal!$B:$B,$A52,RawDataTotal!BM:BM)</f>
        <v>0</v>
      </c>
      <c r="BK52">
        <f>SUMIF(RawDataTotal!$B:$B,$A52,RawDataTotal!BN:BN)</f>
        <v>0</v>
      </c>
      <c r="BL52">
        <f>SUMIF(RawDataTotal!$B:$B,$A52,RawDataTotal!BO:BO)</f>
        <v>0</v>
      </c>
      <c r="BM52">
        <f>SUMIF(RawDataTotal!$B:$B,$A52,RawDataTotal!BP:BP)</f>
        <v>0</v>
      </c>
      <c r="BN52">
        <f>SUMIF(RawDataTotal!$B:$B,$A52,RawDataTotal!BQ:BQ)</f>
        <v>0</v>
      </c>
      <c r="BO52">
        <f>SUMIF(RawDataTotal!$B:$B,$A52,RawDataTotal!BR:BR)</f>
        <v>0</v>
      </c>
      <c r="BP52">
        <f>SUMIF(RawDataTotal!$B:$B,$A52,RawDataTotal!BS:BS)</f>
        <v>0</v>
      </c>
      <c r="BQ52">
        <f>SUMIF(RawDataTotal!$B:$B,$A52,RawDataTotal!BT:BT)</f>
        <v>0</v>
      </c>
      <c r="BR52">
        <f>SUMIF(RawDataTotal!$B:$B,$A52,RawDataTotal!BU:BU)</f>
        <v>0</v>
      </c>
      <c r="BS52">
        <f>SUMIF(RawDataTotal!$B:$B,$A52,RawDataTotal!BV:BV)</f>
        <v>0</v>
      </c>
      <c r="BT52">
        <f>SUMIF(RawDataTotal!$B:$B,$A52,RawDataTotal!BW:BW)</f>
        <v>0</v>
      </c>
    </row>
    <row r="53" spans="1:72" ht="15" thickBot="1" x14ac:dyDescent="0.35">
      <c r="A53" s="4" t="s">
        <v>260</v>
      </c>
      <c r="B53">
        <f>SUMIF(RawDataTotal!$B:$B,$A53,RawDataTotal!E:E)</f>
        <v>0</v>
      </c>
      <c r="C53">
        <f>SUMIF(RawDataTotal!$B:$B,$A53,RawDataTotal!F:F)</f>
        <v>0</v>
      </c>
      <c r="D53">
        <f>SUMIF(RawDataTotal!$B:$B,$A53,RawDataTotal!G:G)</f>
        <v>0</v>
      </c>
      <c r="E53">
        <f>SUMIF(RawDataTotal!$B:$B,$A53,RawDataTotal!H:H)</f>
        <v>0</v>
      </c>
      <c r="F53">
        <f>SUMIF(RawDataTotal!$B:$B,$A53,RawDataTotal!I:I)</f>
        <v>0</v>
      </c>
      <c r="G53">
        <f>SUMIF(RawDataTotal!$B:$B,$A53,RawDataTotal!J:J)</f>
        <v>0</v>
      </c>
      <c r="H53">
        <f>SUMIF(RawDataTotal!$B:$B,$A53,RawDataTotal!K:K)</f>
        <v>0</v>
      </c>
      <c r="I53">
        <f>SUMIF(RawDataTotal!$B:$B,$A53,RawDataTotal!L:L)</f>
        <v>0</v>
      </c>
      <c r="J53">
        <f>SUMIF(RawDataTotal!$B:$B,$A53,RawDataTotal!M:M)</f>
        <v>0</v>
      </c>
      <c r="K53">
        <f>SUMIF(RawDataTotal!$B:$B,$A53,RawDataTotal!N:N)</f>
        <v>0</v>
      </c>
      <c r="L53">
        <f>SUMIF(RawDataTotal!$B:$B,$A53,RawDataTotal!O:O)</f>
        <v>0</v>
      </c>
      <c r="M53">
        <f>SUMIF(RawDataTotal!$B:$B,$A53,RawDataTotal!P:P)</f>
        <v>0</v>
      </c>
      <c r="N53">
        <f>SUMIF(RawDataTotal!$B:$B,$A53,RawDataTotal!Q:Q)</f>
        <v>0</v>
      </c>
      <c r="O53">
        <f>SUMIF(RawDataTotal!$B:$B,$A53,RawDataTotal!R:R)</f>
        <v>0</v>
      </c>
      <c r="P53">
        <f>SUMIF(RawDataTotal!$B:$B,$A53,RawDataTotal!S:S)</f>
        <v>0</v>
      </c>
      <c r="Q53">
        <f>SUMIF(RawDataTotal!$B:$B,$A53,RawDataTotal!T:T)</f>
        <v>0</v>
      </c>
      <c r="R53">
        <f>SUMIF(RawDataTotal!$B:$B,$A53,RawDataTotal!U:U)</f>
        <v>0</v>
      </c>
      <c r="S53">
        <f>SUMIF(RawDataTotal!$B:$B,$A53,RawDataTotal!V:V)</f>
        <v>0</v>
      </c>
      <c r="T53">
        <f>SUMIF(RawDataTotal!$B:$B,$A53,RawDataTotal!W:W)</f>
        <v>0</v>
      </c>
      <c r="U53">
        <f>SUMIF(RawDataTotal!$B:$B,$A53,RawDataTotal!X:X)</f>
        <v>0</v>
      </c>
      <c r="V53">
        <f>SUMIF(RawDataTotal!$B:$B,$A53,RawDataTotal!Y:Y)</f>
        <v>0</v>
      </c>
      <c r="W53">
        <f>SUMIF(RawDataTotal!$B:$B,$A53,RawDataTotal!Z:Z)</f>
        <v>0</v>
      </c>
      <c r="X53">
        <f>SUMIF(RawDataTotal!$B:$B,$A53,RawDataTotal!AA:AA)</f>
        <v>0</v>
      </c>
      <c r="Y53">
        <f>SUMIF(RawDataTotal!$B:$B,$A53,RawDataTotal!AB:AB)</f>
        <v>0</v>
      </c>
      <c r="Z53">
        <f>SUMIF(RawDataTotal!$B:$B,$A53,RawDataTotal!AC:AC)</f>
        <v>0</v>
      </c>
      <c r="AA53">
        <f>SUMIF(RawDataTotal!$B:$B,$A53,RawDataTotal!AD:AD)</f>
        <v>0</v>
      </c>
      <c r="AB53">
        <f>SUMIF(RawDataTotal!$B:$B,$A53,RawDataTotal!AE:AE)</f>
        <v>0</v>
      </c>
      <c r="AC53">
        <f>SUMIF(RawDataTotal!$B:$B,$A53,RawDataTotal!AF:AF)</f>
        <v>0</v>
      </c>
      <c r="AD53">
        <f>SUMIF(RawDataTotal!$B:$B,$A53,RawDataTotal!AG:AG)</f>
        <v>0</v>
      </c>
      <c r="AE53">
        <f>SUMIF(RawDataTotal!$B:$B,$A53,RawDataTotal!AH:AH)</f>
        <v>0</v>
      </c>
      <c r="AF53">
        <f>SUMIF(RawDataTotal!$B:$B,$A53,RawDataTotal!AI:AI)</f>
        <v>0</v>
      </c>
      <c r="AG53">
        <f>SUMIF(RawDataTotal!$B:$B,$A53,RawDataTotal!AJ:AJ)</f>
        <v>0</v>
      </c>
      <c r="AH53">
        <f>SUMIF(RawDataTotal!$B:$B,$A53,RawDataTotal!AK:AK)</f>
        <v>0</v>
      </c>
      <c r="AI53">
        <f>SUMIF(RawDataTotal!$B:$B,$A53,RawDataTotal!AL:AL)</f>
        <v>0</v>
      </c>
      <c r="AJ53">
        <f>SUMIF(RawDataTotal!$B:$B,$A53,RawDataTotal!AM:AM)</f>
        <v>0</v>
      </c>
      <c r="AK53">
        <f>SUMIF(RawDataTotal!$B:$B,$A53,RawDataTotal!AN:AN)</f>
        <v>0</v>
      </c>
      <c r="AL53">
        <f>SUMIF(RawDataTotal!$B:$B,$A53,RawDataTotal!AO:AO)</f>
        <v>0</v>
      </c>
      <c r="AM53">
        <f>SUMIF(RawDataTotal!$B:$B,$A53,RawDataTotal!AP:AP)</f>
        <v>0</v>
      </c>
      <c r="AN53">
        <f>SUMIF(RawDataTotal!$B:$B,$A53,RawDataTotal!AQ:AQ)</f>
        <v>0</v>
      </c>
      <c r="AO53">
        <f>SUMIF(RawDataTotal!$B:$B,$A53,RawDataTotal!AR:AR)</f>
        <v>0</v>
      </c>
      <c r="AP53">
        <f>SUMIF(RawDataTotal!$B:$B,$A53,RawDataTotal!AS:AS)</f>
        <v>0</v>
      </c>
      <c r="AQ53">
        <f>SUMIF(RawDataTotal!$B:$B,$A53,RawDataTotal!AT:AT)</f>
        <v>0</v>
      </c>
      <c r="AR53">
        <f>SUMIF(RawDataTotal!$B:$B,$A53,RawDataTotal!AU:AU)</f>
        <v>0</v>
      </c>
      <c r="AS53">
        <f>SUMIF(RawDataTotal!$B:$B,$A53,RawDataTotal!AV:AV)</f>
        <v>0</v>
      </c>
      <c r="AT53">
        <f>SUMIF(RawDataTotal!$B:$B,$A53,RawDataTotal!AW:AW)</f>
        <v>0</v>
      </c>
      <c r="AU53">
        <f>SUMIF(RawDataTotal!$B:$B,$A53,RawDataTotal!AX:AX)</f>
        <v>0</v>
      </c>
      <c r="AV53">
        <f>SUMIF(RawDataTotal!$B:$B,$A53,RawDataTotal!AY:AY)</f>
        <v>0</v>
      </c>
      <c r="AW53">
        <f>SUMIF(RawDataTotal!$B:$B,$A53,RawDataTotal!AZ:AZ)</f>
        <v>1</v>
      </c>
      <c r="AX53">
        <f>SUMIF(RawDataTotal!$B:$B,$A53,RawDataTotal!BA:BA)</f>
        <v>1</v>
      </c>
      <c r="AY53">
        <f>SUMIF(RawDataTotal!$B:$B,$A53,RawDataTotal!BB:BB)</f>
        <v>11</v>
      </c>
      <c r="AZ53">
        <f>SUMIF(RawDataTotal!$B:$B,$A53,RawDataTotal!BC:BC)</f>
        <v>11</v>
      </c>
      <c r="BA53">
        <f>SUMIF(RawDataTotal!$B:$B,$A53,RawDataTotal!BD:BD)</f>
        <v>37</v>
      </c>
      <c r="BB53">
        <f>SUMIF(RawDataTotal!$B:$B,$A53,RawDataTotal!BE:BE)</f>
        <v>40</v>
      </c>
      <c r="BC53">
        <f>SUMIF(RawDataTotal!$B:$B,$A53,RawDataTotal!BF:BF)</f>
        <v>50</v>
      </c>
      <c r="BD53">
        <f>SUMIF(RawDataTotal!$B:$B,$A53,RawDataTotal!BG:BG)</f>
        <v>54</v>
      </c>
      <c r="BE53">
        <f>SUMIF(RawDataTotal!$B:$B,$A53,RawDataTotal!BH:BH)</f>
        <v>56</v>
      </c>
      <c r="BF53">
        <f>SUMIF(RawDataTotal!$B:$B,$A53,RawDataTotal!BI:BI)</f>
        <v>0</v>
      </c>
      <c r="BG53">
        <f>SUMIF(RawDataTotal!$B:$B,$A53,RawDataTotal!BJ:BJ)</f>
        <v>0</v>
      </c>
      <c r="BH53">
        <f>SUMIF(RawDataTotal!$B:$B,$A53,RawDataTotal!BK:BK)</f>
        <v>0</v>
      </c>
      <c r="BI53">
        <f>SUMIF(RawDataTotal!$B:$B,$A53,RawDataTotal!BL:BL)</f>
        <v>0</v>
      </c>
      <c r="BJ53">
        <f>SUMIF(RawDataTotal!$B:$B,$A53,RawDataTotal!BM:BM)</f>
        <v>0</v>
      </c>
      <c r="BK53">
        <f>SUMIF(RawDataTotal!$B:$B,$A53,RawDataTotal!BN:BN)</f>
        <v>0</v>
      </c>
      <c r="BL53">
        <f>SUMIF(RawDataTotal!$B:$B,$A53,RawDataTotal!BO:BO)</f>
        <v>0</v>
      </c>
      <c r="BM53">
        <f>SUMIF(RawDataTotal!$B:$B,$A53,RawDataTotal!BP:BP)</f>
        <v>0</v>
      </c>
      <c r="BN53">
        <f>SUMIF(RawDataTotal!$B:$B,$A53,RawDataTotal!BQ:BQ)</f>
        <v>0</v>
      </c>
      <c r="BO53">
        <f>SUMIF(RawDataTotal!$B:$B,$A53,RawDataTotal!BR:BR)</f>
        <v>0</v>
      </c>
      <c r="BP53">
        <f>SUMIF(RawDataTotal!$B:$B,$A53,RawDataTotal!BS:BS)</f>
        <v>0</v>
      </c>
      <c r="BQ53">
        <f>SUMIF(RawDataTotal!$B:$B,$A53,RawDataTotal!BT:BT)</f>
        <v>0</v>
      </c>
      <c r="BR53">
        <f>SUMIF(RawDataTotal!$B:$B,$A53,RawDataTotal!BU:BU)</f>
        <v>0</v>
      </c>
      <c r="BS53">
        <f>SUMIF(RawDataTotal!$B:$B,$A53,RawDataTotal!BV:BV)</f>
        <v>0</v>
      </c>
      <c r="BT53">
        <f>SUMIF(RawDataTotal!$B:$B,$A53,RawDataTotal!BW:BW)</f>
        <v>0</v>
      </c>
    </row>
    <row r="54" spans="1:72" ht="15" thickBot="1" x14ac:dyDescent="0.35">
      <c r="A54" s="3" t="s">
        <v>188</v>
      </c>
      <c r="B54">
        <f>SUMIF(RawDataTotal!$B:$B,$A54,RawDataTotal!E:E)</f>
        <v>0</v>
      </c>
      <c r="C54">
        <f>SUMIF(RawDataTotal!$B:$B,$A54,RawDataTotal!F:F)</f>
        <v>0</v>
      </c>
      <c r="D54">
        <f>SUMIF(RawDataTotal!$B:$B,$A54,RawDataTotal!G:G)</f>
        <v>0</v>
      </c>
      <c r="E54">
        <f>SUMIF(RawDataTotal!$B:$B,$A54,RawDataTotal!H:H)</f>
        <v>0</v>
      </c>
      <c r="F54">
        <f>SUMIF(RawDataTotal!$B:$B,$A54,RawDataTotal!I:I)</f>
        <v>0</v>
      </c>
      <c r="G54">
        <f>SUMIF(RawDataTotal!$B:$B,$A54,RawDataTotal!J:J)</f>
        <v>0</v>
      </c>
      <c r="H54">
        <f>SUMIF(RawDataTotal!$B:$B,$A54,RawDataTotal!K:K)</f>
        <v>0</v>
      </c>
      <c r="I54">
        <f>SUMIF(RawDataTotal!$B:$B,$A54,RawDataTotal!L:L)</f>
        <v>0</v>
      </c>
      <c r="J54">
        <f>SUMIF(RawDataTotal!$B:$B,$A54,RawDataTotal!M:M)</f>
        <v>0</v>
      </c>
      <c r="K54">
        <f>SUMIF(RawDataTotal!$B:$B,$A54,RawDataTotal!N:N)</f>
        <v>0</v>
      </c>
      <c r="L54">
        <f>SUMIF(RawDataTotal!$B:$B,$A54,RawDataTotal!O:O)</f>
        <v>0</v>
      </c>
      <c r="M54">
        <f>SUMIF(RawDataTotal!$B:$B,$A54,RawDataTotal!P:P)</f>
        <v>0</v>
      </c>
      <c r="N54">
        <f>SUMIF(RawDataTotal!$B:$B,$A54,RawDataTotal!Q:Q)</f>
        <v>0</v>
      </c>
      <c r="O54">
        <f>SUMIF(RawDataTotal!$B:$B,$A54,RawDataTotal!R:R)</f>
        <v>0</v>
      </c>
      <c r="P54">
        <f>SUMIF(RawDataTotal!$B:$B,$A54,RawDataTotal!S:S)</f>
        <v>0</v>
      </c>
      <c r="Q54">
        <f>SUMIF(RawDataTotal!$B:$B,$A54,RawDataTotal!T:T)</f>
        <v>0</v>
      </c>
      <c r="R54">
        <f>SUMIF(RawDataTotal!$B:$B,$A54,RawDataTotal!U:U)</f>
        <v>0</v>
      </c>
      <c r="S54">
        <f>SUMIF(RawDataTotal!$B:$B,$A54,RawDataTotal!V:V)</f>
        <v>0</v>
      </c>
      <c r="T54">
        <f>SUMIF(RawDataTotal!$B:$B,$A54,RawDataTotal!W:W)</f>
        <v>0</v>
      </c>
      <c r="U54">
        <f>SUMIF(RawDataTotal!$B:$B,$A54,RawDataTotal!X:X)</f>
        <v>0</v>
      </c>
      <c r="V54">
        <f>SUMIF(RawDataTotal!$B:$B,$A54,RawDataTotal!Y:Y)</f>
        <v>0</v>
      </c>
      <c r="W54">
        <f>SUMIF(RawDataTotal!$B:$B,$A54,RawDataTotal!Z:Z)</f>
        <v>0</v>
      </c>
      <c r="X54">
        <f>SUMIF(RawDataTotal!$B:$B,$A54,RawDataTotal!AA:AA)</f>
        <v>0</v>
      </c>
      <c r="Y54">
        <f>SUMIF(RawDataTotal!$B:$B,$A54,RawDataTotal!AB:AB)</f>
        <v>0</v>
      </c>
      <c r="Z54">
        <f>SUMIF(RawDataTotal!$B:$B,$A54,RawDataTotal!AC:AC)</f>
        <v>0</v>
      </c>
      <c r="AA54">
        <f>SUMIF(RawDataTotal!$B:$B,$A54,RawDataTotal!AD:AD)</f>
        <v>0</v>
      </c>
      <c r="AB54">
        <f>SUMIF(RawDataTotal!$B:$B,$A54,RawDataTotal!AE:AE)</f>
        <v>0</v>
      </c>
      <c r="AC54">
        <f>SUMIF(RawDataTotal!$B:$B,$A54,RawDataTotal!AF:AF)</f>
        <v>0</v>
      </c>
      <c r="AD54">
        <f>SUMIF(RawDataTotal!$B:$B,$A54,RawDataTotal!AG:AG)</f>
        <v>0</v>
      </c>
      <c r="AE54">
        <f>SUMIF(RawDataTotal!$B:$B,$A54,RawDataTotal!AH:AH)</f>
        <v>0</v>
      </c>
      <c r="AF54">
        <f>SUMIF(RawDataTotal!$B:$B,$A54,RawDataTotal!AI:AI)</f>
        <v>0</v>
      </c>
      <c r="AG54">
        <f>SUMIF(RawDataTotal!$B:$B,$A54,RawDataTotal!AJ:AJ)</f>
        <v>0</v>
      </c>
      <c r="AH54">
        <f>SUMIF(RawDataTotal!$B:$B,$A54,RawDataTotal!AK:AK)</f>
        <v>0</v>
      </c>
      <c r="AI54">
        <f>SUMIF(RawDataTotal!$B:$B,$A54,RawDataTotal!AL:AL)</f>
        <v>0</v>
      </c>
      <c r="AJ54">
        <f>SUMIF(RawDataTotal!$B:$B,$A54,RawDataTotal!AM:AM)</f>
        <v>0</v>
      </c>
      <c r="AK54">
        <f>SUMIF(RawDataTotal!$B:$B,$A54,RawDataTotal!AN:AN)</f>
        <v>0</v>
      </c>
      <c r="AL54">
        <f>SUMIF(RawDataTotal!$B:$B,$A54,RawDataTotal!AO:AO)</f>
        <v>0</v>
      </c>
      <c r="AM54">
        <f>SUMIF(RawDataTotal!$B:$B,$A54,RawDataTotal!AP:AP)</f>
        <v>0</v>
      </c>
      <c r="AN54">
        <f>SUMIF(RawDataTotal!$B:$B,$A54,RawDataTotal!AQ:AQ)</f>
        <v>0</v>
      </c>
      <c r="AO54">
        <f>SUMIF(RawDataTotal!$B:$B,$A54,RawDataTotal!AR:AR)</f>
        <v>0</v>
      </c>
      <c r="AP54">
        <f>SUMIF(RawDataTotal!$B:$B,$A54,RawDataTotal!AS:AS)</f>
        <v>0</v>
      </c>
      <c r="AQ54">
        <f>SUMIF(RawDataTotal!$B:$B,$A54,RawDataTotal!AT:AT)</f>
        <v>0</v>
      </c>
      <c r="AR54">
        <f>SUMIF(RawDataTotal!$B:$B,$A54,RawDataTotal!AU:AU)</f>
        <v>0</v>
      </c>
      <c r="AS54">
        <f>SUMIF(RawDataTotal!$B:$B,$A54,RawDataTotal!AV:AV)</f>
        <v>0</v>
      </c>
      <c r="AT54">
        <f>SUMIF(RawDataTotal!$B:$B,$A54,RawDataTotal!AW:AW)</f>
        <v>1</v>
      </c>
      <c r="AU54">
        <f>SUMIF(RawDataTotal!$B:$B,$A54,RawDataTotal!AX:AX)</f>
        <v>1</v>
      </c>
      <c r="AV54">
        <f>SUMIF(RawDataTotal!$B:$B,$A54,RawDataTotal!AY:AY)</f>
        <v>1</v>
      </c>
      <c r="AW54">
        <f>SUMIF(RawDataTotal!$B:$B,$A54,RawDataTotal!AZ:AZ)</f>
        <v>1</v>
      </c>
      <c r="AX54">
        <f>SUMIF(RawDataTotal!$B:$B,$A54,RawDataTotal!BA:BA)</f>
        <v>5</v>
      </c>
      <c r="AY54">
        <f>SUMIF(RawDataTotal!$B:$B,$A54,RawDataTotal!BB:BB)</f>
        <v>12</v>
      </c>
      <c r="AZ54">
        <f>SUMIF(RawDataTotal!$B:$B,$A54,RawDataTotal!BC:BC)</f>
        <v>19</v>
      </c>
      <c r="BA54">
        <f>SUMIF(RawDataTotal!$B:$B,$A54,RawDataTotal!BD:BD)</f>
        <v>35</v>
      </c>
      <c r="BB54">
        <f>SUMIF(RawDataTotal!$B:$B,$A54,RawDataTotal!BE:BE)</f>
        <v>46</v>
      </c>
      <c r="BC54">
        <f>SUMIF(RawDataTotal!$B:$B,$A54,RawDataTotal!BF:BF)</f>
        <v>48</v>
      </c>
      <c r="BD54">
        <f>SUMIF(RawDataTotal!$B:$B,$A54,RawDataTotal!BG:BG)</f>
        <v>55</v>
      </c>
      <c r="BE54">
        <f>SUMIF(RawDataTotal!$B:$B,$A54,RawDataTotal!BH:BH)</f>
        <v>65</v>
      </c>
      <c r="BF54">
        <f>SUMIF(RawDataTotal!$B:$B,$A54,RawDataTotal!BI:BI)</f>
        <v>0</v>
      </c>
      <c r="BG54">
        <f>SUMIF(RawDataTotal!$B:$B,$A54,RawDataTotal!BJ:BJ)</f>
        <v>0</v>
      </c>
      <c r="BH54">
        <f>SUMIF(RawDataTotal!$B:$B,$A54,RawDataTotal!BK:BK)</f>
        <v>0</v>
      </c>
      <c r="BI54">
        <f>SUMIF(RawDataTotal!$B:$B,$A54,RawDataTotal!BL:BL)</f>
        <v>0</v>
      </c>
      <c r="BJ54">
        <f>SUMIF(RawDataTotal!$B:$B,$A54,RawDataTotal!BM:BM)</f>
        <v>0</v>
      </c>
      <c r="BK54">
        <f>SUMIF(RawDataTotal!$B:$B,$A54,RawDataTotal!BN:BN)</f>
        <v>0</v>
      </c>
      <c r="BL54">
        <f>SUMIF(RawDataTotal!$B:$B,$A54,RawDataTotal!BO:BO)</f>
        <v>0</v>
      </c>
      <c r="BM54">
        <f>SUMIF(RawDataTotal!$B:$B,$A54,RawDataTotal!BP:BP)</f>
        <v>0</v>
      </c>
      <c r="BN54">
        <f>SUMIF(RawDataTotal!$B:$B,$A54,RawDataTotal!BQ:BQ)</f>
        <v>0</v>
      </c>
      <c r="BO54">
        <f>SUMIF(RawDataTotal!$B:$B,$A54,RawDataTotal!BR:BR)</f>
        <v>0</v>
      </c>
      <c r="BP54">
        <f>SUMIF(RawDataTotal!$B:$B,$A54,RawDataTotal!BS:BS)</f>
        <v>0</v>
      </c>
      <c r="BQ54">
        <f>SUMIF(RawDataTotal!$B:$B,$A54,RawDataTotal!BT:BT)</f>
        <v>0</v>
      </c>
      <c r="BR54">
        <f>SUMIF(RawDataTotal!$B:$B,$A54,RawDataTotal!BU:BU)</f>
        <v>0</v>
      </c>
      <c r="BS54">
        <f>SUMIF(RawDataTotal!$B:$B,$A54,RawDataTotal!BV:BV)</f>
        <v>0</v>
      </c>
      <c r="BT54">
        <f>SUMIF(RawDataTotal!$B:$B,$A54,RawDataTotal!BW:BW)</f>
        <v>0</v>
      </c>
    </row>
    <row r="55" spans="1:72" ht="15" thickBot="1" x14ac:dyDescent="0.35">
      <c r="A55" s="3" t="s">
        <v>126</v>
      </c>
      <c r="B55">
        <f>SUMIF(RawDataTotal!$B:$B,$A55,RawDataTotal!E:E)</f>
        <v>0</v>
      </c>
      <c r="C55">
        <f>SUMIF(RawDataTotal!$B:$B,$A55,RawDataTotal!F:F)</f>
        <v>0</v>
      </c>
      <c r="D55">
        <f>SUMIF(RawDataTotal!$B:$B,$A55,RawDataTotal!G:G)</f>
        <v>0</v>
      </c>
      <c r="E55">
        <f>SUMIF(RawDataTotal!$B:$B,$A55,RawDataTotal!H:H)</f>
        <v>0</v>
      </c>
      <c r="F55">
        <f>SUMIF(RawDataTotal!$B:$B,$A55,RawDataTotal!I:I)</f>
        <v>0</v>
      </c>
      <c r="G55">
        <f>SUMIF(RawDataTotal!$B:$B,$A55,RawDataTotal!J:J)</f>
        <v>0</v>
      </c>
      <c r="H55">
        <f>SUMIF(RawDataTotal!$B:$B,$A55,RawDataTotal!K:K)</f>
        <v>0</v>
      </c>
      <c r="I55">
        <f>SUMIF(RawDataTotal!$B:$B,$A55,RawDataTotal!L:L)</f>
        <v>0</v>
      </c>
      <c r="J55">
        <f>SUMIF(RawDataTotal!$B:$B,$A55,RawDataTotal!M:M)</f>
        <v>0</v>
      </c>
      <c r="K55">
        <f>SUMIF(RawDataTotal!$B:$B,$A55,RawDataTotal!N:N)</f>
        <v>0</v>
      </c>
      <c r="L55">
        <f>SUMIF(RawDataTotal!$B:$B,$A55,RawDataTotal!O:O)</f>
        <v>0</v>
      </c>
      <c r="M55">
        <f>SUMIF(RawDataTotal!$B:$B,$A55,RawDataTotal!P:P)</f>
        <v>0</v>
      </c>
      <c r="N55">
        <f>SUMIF(RawDataTotal!$B:$B,$A55,RawDataTotal!Q:Q)</f>
        <v>0</v>
      </c>
      <c r="O55">
        <f>SUMIF(RawDataTotal!$B:$B,$A55,RawDataTotal!R:R)</f>
        <v>0</v>
      </c>
      <c r="P55">
        <f>SUMIF(RawDataTotal!$B:$B,$A55,RawDataTotal!S:S)</f>
        <v>0</v>
      </c>
      <c r="Q55">
        <f>SUMIF(RawDataTotal!$B:$B,$A55,RawDataTotal!T:T)</f>
        <v>0</v>
      </c>
      <c r="R55">
        <f>SUMIF(RawDataTotal!$B:$B,$A55,RawDataTotal!U:U)</f>
        <v>0</v>
      </c>
      <c r="S55">
        <f>SUMIF(RawDataTotal!$B:$B,$A55,RawDataTotal!V:V)</f>
        <v>0</v>
      </c>
      <c r="T55">
        <f>SUMIF(RawDataTotal!$B:$B,$A55,RawDataTotal!W:W)</f>
        <v>0</v>
      </c>
      <c r="U55">
        <f>SUMIF(RawDataTotal!$B:$B,$A55,RawDataTotal!X:X)</f>
        <v>0</v>
      </c>
      <c r="V55">
        <f>SUMIF(RawDataTotal!$B:$B,$A55,RawDataTotal!Y:Y)</f>
        <v>0</v>
      </c>
      <c r="W55">
        <f>SUMIF(RawDataTotal!$B:$B,$A55,RawDataTotal!Z:Z)</f>
        <v>0</v>
      </c>
      <c r="X55">
        <f>SUMIF(RawDataTotal!$B:$B,$A55,RawDataTotal!AA:AA)</f>
        <v>0</v>
      </c>
      <c r="Y55">
        <f>SUMIF(RawDataTotal!$B:$B,$A55,RawDataTotal!AB:AB)</f>
        <v>0</v>
      </c>
      <c r="Z55">
        <f>SUMIF(RawDataTotal!$B:$B,$A55,RawDataTotal!AC:AC)</f>
        <v>0</v>
      </c>
      <c r="AA55">
        <f>SUMIF(RawDataTotal!$B:$B,$A55,RawDataTotal!AD:AD)</f>
        <v>0</v>
      </c>
      <c r="AB55">
        <f>SUMIF(RawDataTotal!$B:$B,$A55,RawDataTotal!AE:AE)</f>
        <v>0</v>
      </c>
      <c r="AC55">
        <f>SUMIF(RawDataTotal!$B:$B,$A55,RawDataTotal!AF:AF)</f>
        <v>0</v>
      </c>
      <c r="AD55">
        <f>SUMIF(RawDataTotal!$B:$B,$A55,RawDataTotal!AG:AG)</f>
        <v>0</v>
      </c>
      <c r="AE55">
        <f>SUMIF(RawDataTotal!$B:$B,$A55,RawDataTotal!AH:AH)</f>
        <v>0</v>
      </c>
      <c r="AF55">
        <f>SUMIF(RawDataTotal!$B:$B,$A55,RawDataTotal!AI:AI)</f>
        <v>0</v>
      </c>
      <c r="AG55">
        <f>SUMIF(RawDataTotal!$B:$B,$A55,RawDataTotal!AJ:AJ)</f>
        <v>0</v>
      </c>
      <c r="AH55">
        <f>SUMIF(RawDataTotal!$B:$B,$A55,RawDataTotal!AK:AK)</f>
        <v>0</v>
      </c>
      <c r="AI55">
        <f>SUMIF(RawDataTotal!$B:$B,$A55,RawDataTotal!AL:AL)</f>
        <v>0</v>
      </c>
      <c r="AJ55">
        <f>SUMIF(RawDataTotal!$B:$B,$A55,RawDataTotal!AM:AM)</f>
        <v>0</v>
      </c>
      <c r="AK55">
        <f>SUMIF(RawDataTotal!$B:$B,$A55,RawDataTotal!AN:AN)</f>
        <v>0</v>
      </c>
      <c r="AL55">
        <f>SUMIF(RawDataTotal!$B:$B,$A55,RawDataTotal!AO:AO)</f>
        <v>0</v>
      </c>
      <c r="AM55">
        <f>SUMIF(RawDataTotal!$B:$B,$A55,RawDataTotal!AP:AP)</f>
        <v>0</v>
      </c>
      <c r="AN55">
        <f>SUMIF(RawDataTotal!$B:$B,$A55,RawDataTotal!AQ:AQ)</f>
        <v>1</v>
      </c>
      <c r="AO55">
        <f>SUMIF(RawDataTotal!$B:$B,$A55,RawDataTotal!AR:AR)</f>
        <v>1</v>
      </c>
      <c r="AP55">
        <f>SUMIF(RawDataTotal!$B:$B,$A55,RawDataTotal!AS:AS)</f>
        <v>1</v>
      </c>
      <c r="AQ55">
        <f>SUMIF(RawDataTotal!$B:$B,$A55,RawDataTotal!AT:AT)</f>
        <v>1</v>
      </c>
      <c r="AR55">
        <f>SUMIF(RawDataTotal!$B:$B,$A55,RawDataTotal!AU:AU)</f>
        <v>1</v>
      </c>
      <c r="AS55">
        <f>SUMIF(RawDataTotal!$B:$B,$A55,RawDataTotal!AV:AV)</f>
        <v>1</v>
      </c>
      <c r="AT55">
        <f>SUMIF(RawDataTotal!$B:$B,$A55,RawDataTotal!AW:AW)</f>
        <v>2</v>
      </c>
      <c r="AU55">
        <f>SUMIF(RawDataTotal!$B:$B,$A55,RawDataTotal!AX:AX)</f>
        <v>2</v>
      </c>
      <c r="AV55">
        <f>SUMIF(RawDataTotal!$B:$B,$A55,RawDataTotal!AY:AY)</f>
        <v>3</v>
      </c>
      <c r="AW55">
        <f>SUMIF(RawDataTotal!$B:$B,$A55,RawDataTotal!AZ:AZ)</f>
        <v>3</v>
      </c>
      <c r="AX55">
        <f>SUMIF(RawDataTotal!$B:$B,$A55,RawDataTotal!BA:BA)</f>
        <v>5</v>
      </c>
      <c r="AY55">
        <f>SUMIF(RawDataTotal!$B:$B,$A55,RawDataTotal!BB:BB)</f>
        <v>7</v>
      </c>
      <c r="AZ55">
        <f>SUMIF(RawDataTotal!$B:$B,$A55,RawDataTotal!BC:BC)</f>
        <v>19</v>
      </c>
      <c r="BA55">
        <f>SUMIF(RawDataTotal!$B:$B,$A55,RawDataTotal!BD:BD)</f>
        <v>34</v>
      </c>
      <c r="BB55">
        <f>SUMIF(RawDataTotal!$B:$B,$A55,RawDataTotal!BE:BE)</f>
        <v>51</v>
      </c>
      <c r="BC55">
        <f>SUMIF(RawDataTotal!$B:$B,$A55,RawDataTotal!BF:BF)</f>
        <v>59</v>
      </c>
      <c r="BD55">
        <f>SUMIF(RawDataTotal!$B:$B,$A55,RawDataTotal!BG:BG)</f>
        <v>77</v>
      </c>
      <c r="BE55">
        <f>SUMIF(RawDataTotal!$B:$B,$A55,RawDataTotal!BH:BH)</f>
        <v>140</v>
      </c>
      <c r="BF55">
        <f>SUMIF(RawDataTotal!$B:$B,$A55,RawDataTotal!BI:BI)</f>
        <v>0</v>
      </c>
      <c r="BG55">
        <f>SUMIF(RawDataTotal!$B:$B,$A55,RawDataTotal!BJ:BJ)</f>
        <v>0</v>
      </c>
      <c r="BH55">
        <f>SUMIF(RawDataTotal!$B:$B,$A55,RawDataTotal!BK:BK)</f>
        <v>0</v>
      </c>
      <c r="BI55">
        <f>SUMIF(RawDataTotal!$B:$B,$A55,RawDataTotal!BL:BL)</f>
        <v>0</v>
      </c>
      <c r="BJ55">
        <f>SUMIF(RawDataTotal!$B:$B,$A55,RawDataTotal!BM:BM)</f>
        <v>0</v>
      </c>
      <c r="BK55">
        <f>SUMIF(RawDataTotal!$B:$B,$A55,RawDataTotal!BN:BN)</f>
        <v>0</v>
      </c>
      <c r="BL55">
        <f>SUMIF(RawDataTotal!$B:$B,$A55,RawDataTotal!BO:BO)</f>
        <v>0</v>
      </c>
      <c r="BM55">
        <f>SUMIF(RawDataTotal!$B:$B,$A55,RawDataTotal!BP:BP)</f>
        <v>0</v>
      </c>
      <c r="BN55">
        <f>SUMIF(RawDataTotal!$B:$B,$A55,RawDataTotal!BQ:BQ)</f>
        <v>0</v>
      </c>
      <c r="BO55">
        <f>SUMIF(RawDataTotal!$B:$B,$A55,RawDataTotal!BR:BR)</f>
        <v>0</v>
      </c>
      <c r="BP55">
        <f>SUMIF(RawDataTotal!$B:$B,$A55,RawDataTotal!BS:BS)</f>
        <v>0</v>
      </c>
      <c r="BQ55">
        <f>SUMIF(RawDataTotal!$B:$B,$A55,RawDataTotal!BT:BT)</f>
        <v>0</v>
      </c>
      <c r="BR55">
        <f>SUMIF(RawDataTotal!$B:$B,$A55,RawDataTotal!BU:BU)</f>
        <v>0</v>
      </c>
      <c r="BS55">
        <f>SUMIF(RawDataTotal!$B:$B,$A55,RawDataTotal!BV:BV)</f>
        <v>0</v>
      </c>
      <c r="BT55">
        <f>SUMIF(RawDataTotal!$B:$B,$A55,RawDataTotal!BW:BW)</f>
        <v>0</v>
      </c>
    </row>
    <row r="56" spans="1:72" ht="15" thickBot="1" x14ac:dyDescent="0.35">
      <c r="A56" s="4" t="s">
        <v>257</v>
      </c>
      <c r="B56">
        <f>SUMIF(RawDataTotal!$B:$B,$A56,RawDataTotal!E:E)</f>
        <v>0</v>
      </c>
      <c r="C56">
        <f>SUMIF(RawDataTotal!$B:$B,$A56,RawDataTotal!F:F)</f>
        <v>0</v>
      </c>
      <c r="D56">
        <f>SUMIF(RawDataTotal!$B:$B,$A56,RawDataTotal!G:G)</f>
        <v>0</v>
      </c>
      <c r="E56">
        <f>SUMIF(RawDataTotal!$B:$B,$A56,RawDataTotal!H:H)</f>
        <v>0</v>
      </c>
      <c r="F56">
        <f>SUMIF(RawDataTotal!$B:$B,$A56,RawDataTotal!I:I)</f>
        <v>0</v>
      </c>
      <c r="G56">
        <f>SUMIF(RawDataTotal!$B:$B,$A56,RawDataTotal!J:J)</f>
        <v>0</v>
      </c>
      <c r="H56">
        <f>SUMIF(RawDataTotal!$B:$B,$A56,RawDataTotal!K:K)</f>
        <v>0</v>
      </c>
      <c r="I56">
        <f>SUMIF(RawDataTotal!$B:$B,$A56,RawDataTotal!L:L)</f>
        <v>0</v>
      </c>
      <c r="J56">
        <f>SUMIF(RawDataTotal!$B:$B,$A56,RawDataTotal!M:M)</f>
        <v>0</v>
      </c>
      <c r="K56">
        <f>SUMIF(RawDataTotal!$B:$B,$A56,RawDataTotal!N:N)</f>
        <v>0</v>
      </c>
      <c r="L56">
        <f>SUMIF(RawDataTotal!$B:$B,$A56,RawDataTotal!O:O)</f>
        <v>0</v>
      </c>
      <c r="M56">
        <f>SUMIF(RawDataTotal!$B:$B,$A56,RawDataTotal!P:P)</f>
        <v>0</v>
      </c>
      <c r="N56">
        <f>SUMIF(RawDataTotal!$B:$B,$A56,RawDataTotal!Q:Q)</f>
        <v>0</v>
      </c>
      <c r="O56">
        <f>SUMIF(RawDataTotal!$B:$B,$A56,RawDataTotal!R:R)</f>
        <v>0</v>
      </c>
      <c r="P56">
        <f>SUMIF(RawDataTotal!$B:$B,$A56,RawDataTotal!S:S)</f>
        <v>0</v>
      </c>
      <c r="Q56">
        <f>SUMIF(RawDataTotal!$B:$B,$A56,RawDataTotal!T:T)</f>
        <v>0</v>
      </c>
      <c r="R56">
        <f>SUMIF(RawDataTotal!$B:$B,$A56,RawDataTotal!U:U)</f>
        <v>0</v>
      </c>
      <c r="S56">
        <f>SUMIF(RawDataTotal!$B:$B,$A56,RawDataTotal!V:V)</f>
        <v>0</v>
      </c>
      <c r="T56">
        <f>SUMIF(RawDataTotal!$B:$B,$A56,RawDataTotal!W:W)</f>
        <v>0</v>
      </c>
      <c r="U56">
        <f>SUMIF(RawDataTotal!$B:$B,$A56,RawDataTotal!X:X)</f>
        <v>0</v>
      </c>
      <c r="V56">
        <f>SUMIF(RawDataTotal!$B:$B,$A56,RawDataTotal!Y:Y)</f>
        <v>0</v>
      </c>
      <c r="W56">
        <f>SUMIF(RawDataTotal!$B:$B,$A56,RawDataTotal!Z:Z)</f>
        <v>0</v>
      </c>
      <c r="X56">
        <f>SUMIF(RawDataTotal!$B:$B,$A56,RawDataTotal!AA:AA)</f>
        <v>0</v>
      </c>
      <c r="Y56">
        <f>SUMIF(RawDataTotal!$B:$B,$A56,RawDataTotal!AB:AB)</f>
        <v>0</v>
      </c>
      <c r="Z56">
        <f>SUMIF(RawDataTotal!$B:$B,$A56,RawDataTotal!AC:AC)</f>
        <v>0</v>
      </c>
      <c r="AA56">
        <f>SUMIF(RawDataTotal!$B:$B,$A56,RawDataTotal!AD:AD)</f>
        <v>0</v>
      </c>
      <c r="AB56">
        <f>SUMIF(RawDataTotal!$B:$B,$A56,RawDataTotal!AE:AE)</f>
        <v>0</v>
      </c>
      <c r="AC56">
        <f>SUMIF(RawDataTotal!$B:$B,$A56,RawDataTotal!AF:AF)</f>
        <v>0</v>
      </c>
      <c r="AD56">
        <f>SUMIF(RawDataTotal!$B:$B,$A56,RawDataTotal!AG:AG)</f>
        <v>0</v>
      </c>
      <c r="AE56">
        <f>SUMIF(RawDataTotal!$B:$B,$A56,RawDataTotal!AH:AH)</f>
        <v>0</v>
      </c>
      <c r="AF56">
        <f>SUMIF(RawDataTotal!$B:$B,$A56,RawDataTotal!AI:AI)</f>
        <v>0</v>
      </c>
      <c r="AG56">
        <f>SUMIF(RawDataTotal!$B:$B,$A56,RawDataTotal!AJ:AJ)</f>
        <v>0</v>
      </c>
      <c r="AH56">
        <f>SUMIF(RawDataTotal!$B:$B,$A56,RawDataTotal!AK:AK)</f>
        <v>0</v>
      </c>
      <c r="AI56">
        <f>SUMIF(RawDataTotal!$B:$B,$A56,RawDataTotal!AL:AL)</f>
        <v>0</v>
      </c>
      <c r="AJ56">
        <f>SUMIF(RawDataTotal!$B:$B,$A56,RawDataTotal!AM:AM)</f>
        <v>0</v>
      </c>
      <c r="AK56">
        <f>SUMIF(RawDataTotal!$B:$B,$A56,RawDataTotal!AN:AN)</f>
        <v>0</v>
      </c>
      <c r="AL56">
        <f>SUMIF(RawDataTotal!$B:$B,$A56,RawDataTotal!AO:AO)</f>
        <v>0</v>
      </c>
      <c r="AM56">
        <f>SUMIF(RawDataTotal!$B:$B,$A56,RawDataTotal!AP:AP)</f>
        <v>0</v>
      </c>
      <c r="AN56">
        <f>SUMIF(RawDataTotal!$B:$B,$A56,RawDataTotal!AQ:AQ)</f>
        <v>0</v>
      </c>
      <c r="AO56">
        <f>SUMIF(RawDataTotal!$B:$B,$A56,RawDataTotal!AR:AR)</f>
        <v>0</v>
      </c>
      <c r="AP56">
        <f>SUMIF(RawDataTotal!$B:$B,$A56,RawDataTotal!AS:AS)</f>
        <v>0</v>
      </c>
      <c r="AQ56">
        <f>SUMIF(RawDataTotal!$B:$B,$A56,RawDataTotal!AT:AT)</f>
        <v>0</v>
      </c>
      <c r="AR56">
        <f>SUMIF(RawDataTotal!$B:$B,$A56,RawDataTotal!AU:AU)</f>
        <v>0</v>
      </c>
      <c r="AS56">
        <f>SUMIF(RawDataTotal!$B:$B,$A56,RawDataTotal!AV:AV)</f>
        <v>0</v>
      </c>
      <c r="AT56">
        <f>SUMIF(RawDataTotal!$B:$B,$A56,RawDataTotal!AW:AW)</f>
        <v>0</v>
      </c>
      <c r="AU56">
        <f>SUMIF(RawDataTotal!$B:$B,$A56,RawDataTotal!AX:AX)</f>
        <v>0</v>
      </c>
      <c r="AV56">
        <f>SUMIF(RawDataTotal!$B:$B,$A56,RawDataTotal!AY:AY)</f>
        <v>0</v>
      </c>
      <c r="AW56">
        <f>SUMIF(RawDataTotal!$B:$B,$A56,RawDataTotal!AZ:AZ)</f>
        <v>2</v>
      </c>
      <c r="AX56">
        <f>SUMIF(RawDataTotal!$B:$B,$A56,RawDataTotal!BA:BA)</f>
        <v>10</v>
      </c>
      <c r="AY56">
        <f>SUMIF(RawDataTotal!$B:$B,$A56,RawDataTotal!BB:BB)</f>
        <v>12</v>
      </c>
      <c r="AZ56">
        <f>SUMIF(RawDataTotal!$B:$B,$A56,RawDataTotal!BC:BC)</f>
        <v>23</v>
      </c>
      <c r="BA56">
        <f>SUMIF(RawDataTotal!$B:$B,$A56,RawDataTotal!BD:BD)</f>
        <v>33</v>
      </c>
      <c r="BB56">
        <f>SUMIF(RawDataTotal!$B:$B,$A56,RawDataTotal!BE:BE)</f>
        <v>38</v>
      </c>
      <c r="BC56">
        <f>SUMIF(RawDataTotal!$B:$B,$A56,RawDataTotal!BF:BF)</f>
        <v>42</v>
      </c>
      <c r="BD56">
        <f>SUMIF(RawDataTotal!$B:$B,$A56,RawDataTotal!BG:BG)</f>
        <v>51</v>
      </c>
      <c r="BE56">
        <f>SUMIF(RawDataTotal!$B:$B,$A56,RawDataTotal!BH:BH)</f>
        <v>55</v>
      </c>
      <c r="BF56">
        <f>SUMIF(RawDataTotal!$B:$B,$A56,RawDataTotal!BI:BI)</f>
        <v>0</v>
      </c>
      <c r="BG56">
        <f>SUMIF(RawDataTotal!$B:$B,$A56,RawDataTotal!BJ:BJ)</f>
        <v>0</v>
      </c>
      <c r="BH56">
        <f>SUMIF(RawDataTotal!$B:$B,$A56,RawDataTotal!BK:BK)</f>
        <v>0</v>
      </c>
      <c r="BI56">
        <f>SUMIF(RawDataTotal!$B:$B,$A56,RawDataTotal!BL:BL)</f>
        <v>0</v>
      </c>
      <c r="BJ56">
        <f>SUMIF(RawDataTotal!$B:$B,$A56,RawDataTotal!BM:BM)</f>
        <v>0</v>
      </c>
      <c r="BK56">
        <f>SUMIF(RawDataTotal!$B:$B,$A56,RawDataTotal!BN:BN)</f>
        <v>0</v>
      </c>
      <c r="BL56">
        <f>SUMIF(RawDataTotal!$B:$B,$A56,RawDataTotal!BO:BO)</f>
        <v>0</v>
      </c>
      <c r="BM56">
        <f>SUMIF(RawDataTotal!$B:$B,$A56,RawDataTotal!BP:BP)</f>
        <v>0</v>
      </c>
      <c r="BN56">
        <f>SUMIF(RawDataTotal!$B:$B,$A56,RawDataTotal!BQ:BQ)</f>
        <v>0</v>
      </c>
      <c r="BO56">
        <f>SUMIF(RawDataTotal!$B:$B,$A56,RawDataTotal!BR:BR)</f>
        <v>0</v>
      </c>
      <c r="BP56">
        <f>SUMIF(RawDataTotal!$B:$B,$A56,RawDataTotal!BS:BS)</f>
        <v>0</v>
      </c>
      <c r="BQ56">
        <f>SUMIF(RawDataTotal!$B:$B,$A56,RawDataTotal!BT:BT)</f>
        <v>0</v>
      </c>
      <c r="BR56">
        <f>SUMIF(RawDataTotal!$B:$B,$A56,RawDataTotal!BU:BU)</f>
        <v>0</v>
      </c>
      <c r="BS56">
        <f>SUMIF(RawDataTotal!$B:$B,$A56,RawDataTotal!BV:BV)</f>
        <v>0</v>
      </c>
      <c r="BT56">
        <f>SUMIF(RawDataTotal!$B:$B,$A56,RawDataTotal!BW:BW)</f>
        <v>0</v>
      </c>
    </row>
    <row r="57" spans="1:72" ht="15" thickBot="1" x14ac:dyDescent="0.35">
      <c r="A57" s="3" t="s">
        <v>103</v>
      </c>
      <c r="B57">
        <f>SUMIF(RawDataTotal!$B:$B,$A57,RawDataTotal!E:E)</f>
        <v>0</v>
      </c>
      <c r="C57">
        <f>SUMIF(RawDataTotal!$B:$B,$A57,RawDataTotal!F:F)</f>
        <v>0</v>
      </c>
      <c r="D57">
        <f>SUMIF(RawDataTotal!$B:$B,$A57,RawDataTotal!G:G)</f>
        <v>0</v>
      </c>
      <c r="E57">
        <f>SUMIF(RawDataTotal!$B:$B,$A57,RawDataTotal!H:H)</f>
        <v>0</v>
      </c>
      <c r="F57">
        <f>SUMIF(RawDataTotal!$B:$B,$A57,RawDataTotal!I:I)</f>
        <v>0</v>
      </c>
      <c r="G57">
        <f>SUMIF(RawDataTotal!$B:$B,$A57,RawDataTotal!J:J)</f>
        <v>0</v>
      </c>
      <c r="H57">
        <f>SUMIF(RawDataTotal!$B:$B,$A57,RawDataTotal!K:K)</f>
        <v>0</v>
      </c>
      <c r="I57">
        <f>SUMIF(RawDataTotal!$B:$B,$A57,RawDataTotal!L:L)</f>
        <v>0</v>
      </c>
      <c r="J57">
        <f>SUMIF(RawDataTotal!$B:$B,$A57,RawDataTotal!M:M)</f>
        <v>0</v>
      </c>
      <c r="K57">
        <f>SUMIF(RawDataTotal!$B:$B,$A57,RawDataTotal!N:N)</f>
        <v>0</v>
      </c>
      <c r="L57">
        <f>SUMIF(RawDataTotal!$B:$B,$A57,RawDataTotal!O:O)</f>
        <v>0</v>
      </c>
      <c r="M57">
        <f>SUMIF(RawDataTotal!$B:$B,$A57,RawDataTotal!P:P)</f>
        <v>0</v>
      </c>
      <c r="N57">
        <f>SUMIF(RawDataTotal!$B:$B,$A57,RawDataTotal!Q:Q)</f>
        <v>0</v>
      </c>
      <c r="O57">
        <f>SUMIF(RawDataTotal!$B:$B,$A57,RawDataTotal!R:R)</f>
        <v>0</v>
      </c>
      <c r="P57">
        <f>SUMIF(RawDataTotal!$B:$B,$A57,RawDataTotal!S:S)</f>
        <v>0</v>
      </c>
      <c r="Q57">
        <f>SUMIF(RawDataTotal!$B:$B,$A57,RawDataTotal!T:T)</f>
        <v>0</v>
      </c>
      <c r="R57">
        <f>SUMIF(RawDataTotal!$B:$B,$A57,RawDataTotal!U:U)</f>
        <v>0</v>
      </c>
      <c r="S57">
        <f>SUMIF(RawDataTotal!$B:$B,$A57,RawDataTotal!V:V)</f>
        <v>0</v>
      </c>
      <c r="T57">
        <f>SUMIF(RawDataTotal!$B:$B,$A57,RawDataTotal!W:W)</f>
        <v>0</v>
      </c>
      <c r="U57">
        <f>SUMIF(RawDataTotal!$B:$B,$A57,RawDataTotal!X:X)</f>
        <v>0</v>
      </c>
      <c r="V57">
        <f>SUMIF(RawDataTotal!$B:$B,$A57,RawDataTotal!Y:Y)</f>
        <v>0</v>
      </c>
      <c r="W57">
        <f>SUMIF(RawDataTotal!$B:$B,$A57,RawDataTotal!Z:Z)</f>
        <v>0</v>
      </c>
      <c r="X57">
        <f>SUMIF(RawDataTotal!$B:$B,$A57,RawDataTotal!AA:AA)</f>
        <v>0</v>
      </c>
      <c r="Y57">
        <f>SUMIF(RawDataTotal!$B:$B,$A57,RawDataTotal!AB:AB)</f>
        <v>0</v>
      </c>
      <c r="Z57">
        <f>SUMIF(RawDataTotal!$B:$B,$A57,RawDataTotal!AC:AC)</f>
        <v>0</v>
      </c>
      <c r="AA57">
        <f>SUMIF(RawDataTotal!$B:$B,$A57,RawDataTotal!AD:AD)</f>
        <v>0</v>
      </c>
      <c r="AB57">
        <f>SUMIF(RawDataTotal!$B:$B,$A57,RawDataTotal!AE:AE)</f>
        <v>0</v>
      </c>
      <c r="AC57">
        <f>SUMIF(RawDataTotal!$B:$B,$A57,RawDataTotal!AF:AF)</f>
        <v>0</v>
      </c>
      <c r="AD57">
        <f>SUMIF(RawDataTotal!$B:$B,$A57,RawDataTotal!AG:AG)</f>
        <v>0</v>
      </c>
      <c r="AE57">
        <f>SUMIF(RawDataTotal!$B:$B,$A57,RawDataTotal!AH:AH)</f>
        <v>0</v>
      </c>
      <c r="AF57">
        <f>SUMIF(RawDataTotal!$B:$B,$A57,RawDataTotal!AI:AI)</f>
        <v>0</v>
      </c>
      <c r="AG57">
        <f>SUMIF(RawDataTotal!$B:$B,$A57,RawDataTotal!AJ:AJ)</f>
        <v>0</v>
      </c>
      <c r="AH57">
        <f>SUMIF(RawDataTotal!$B:$B,$A57,RawDataTotal!AK:AK)</f>
        <v>0</v>
      </c>
      <c r="AI57">
        <f>SUMIF(RawDataTotal!$B:$B,$A57,RawDataTotal!AL:AL)</f>
        <v>0</v>
      </c>
      <c r="AJ57">
        <f>SUMIF(RawDataTotal!$B:$B,$A57,RawDataTotal!AM:AM)</f>
        <v>1</v>
      </c>
      <c r="AK57">
        <f>SUMIF(RawDataTotal!$B:$B,$A57,RawDataTotal!AN:AN)</f>
        <v>3</v>
      </c>
      <c r="AL57">
        <f>SUMIF(RawDataTotal!$B:$B,$A57,RawDataTotal!AO:AO)</f>
        <v>3</v>
      </c>
      <c r="AM57">
        <f>SUMIF(RawDataTotal!$B:$B,$A57,RawDataTotal!AP:AP)</f>
        <v>5</v>
      </c>
      <c r="AN57">
        <f>SUMIF(RawDataTotal!$B:$B,$A57,RawDataTotal!AQ:AQ)</f>
        <v>6</v>
      </c>
      <c r="AO57">
        <f>SUMIF(RawDataTotal!$B:$B,$A57,RawDataTotal!AR:AR)</f>
        <v>7</v>
      </c>
      <c r="AP57">
        <f>SUMIF(RawDataTotal!$B:$B,$A57,RawDataTotal!AS:AS)</f>
        <v>7</v>
      </c>
      <c r="AQ57">
        <f>SUMIF(RawDataTotal!$B:$B,$A57,RawDataTotal!AT:AT)</f>
        <v>9</v>
      </c>
      <c r="AR57">
        <f>SUMIF(RawDataTotal!$B:$B,$A57,RawDataTotal!AU:AU)</f>
        <v>10</v>
      </c>
      <c r="AS57">
        <f>SUMIF(RawDataTotal!$B:$B,$A57,RawDataTotal!AV:AV)</f>
        <v>10</v>
      </c>
      <c r="AT57">
        <f>SUMIF(RawDataTotal!$B:$B,$A57,RawDataTotal!AW:AW)</f>
        <v>11</v>
      </c>
      <c r="AU57">
        <f>SUMIF(RawDataTotal!$B:$B,$A57,RawDataTotal!AX:AX)</f>
        <v>12</v>
      </c>
      <c r="AV57">
        <f>SUMIF(RawDataTotal!$B:$B,$A57,RawDataTotal!AY:AY)</f>
        <v>12</v>
      </c>
      <c r="AW57">
        <f>SUMIF(RawDataTotal!$B:$B,$A57,RawDataTotal!AZ:AZ)</f>
        <v>12</v>
      </c>
      <c r="AX57">
        <f>SUMIF(RawDataTotal!$B:$B,$A57,RawDataTotal!BA:BA)</f>
        <v>14</v>
      </c>
      <c r="AY57">
        <f>SUMIF(RawDataTotal!$B:$B,$A57,RawDataTotal!BB:BB)</f>
        <v>19</v>
      </c>
      <c r="AZ57">
        <f>SUMIF(RawDataTotal!$B:$B,$A57,RawDataTotal!BC:BC)</f>
        <v>19</v>
      </c>
      <c r="BA57">
        <f>SUMIF(RawDataTotal!$B:$B,$A57,RawDataTotal!BD:BD)</f>
        <v>32</v>
      </c>
      <c r="BB57">
        <f>SUMIF(RawDataTotal!$B:$B,$A57,RawDataTotal!BE:BE)</f>
        <v>38</v>
      </c>
      <c r="BC57">
        <f>SUMIF(RawDataTotal!$B:$B,$A57,RawDataTotal!BF:BF)</f>
        <v>49</v>
      </c>
      <c r="BD57">
        <f>SUMIF(RawDataTotal!$B:$B,$A57,RawDataTotal!BG:BG)</f>
        <v>57</v>
      </c>
      <c r="BE57">
        <f>SUMIF(RawDataTotal!$B:$B,$A57,RawDataTotal!BH:BH)</f>
        <v>65</v>
      </c>
      <c r="BF57">
        <f>SUMIF(RawDataTotal!$B:$B,$A57,RawDataTotal!BI:BI)</f>
        <v>0</v>
      </c>
      <c r="BG57">
        <f>SUMIF(RawDataTotal!$B:$B,$A57,RawDataTotal!BJ:BJ)</f>
        <v>0</v>
      </c>
      <c r="BH57">
        <f>SUMIF(RawDataTotal!$B:$B,$A57,RawDataTotal!BK:BK)</f>
        <v>0</v>
      </c>
      <c r="BI57">
        <f>SUMIF(RawDataTotal!$B:$B,$A57,RawDataTotal!BL:BL)</f>
        <v>0</v>
      </c>
      <c r="BJ57">
        <f>SUMIF(RawDataTotal!$B:$B,$A57,RawDataTotal!BM:BM)</f>
        <v>0</v>
      </c>
      <c r="BK57">
        <f>SUMIF(RawDataTotal!$B:$B,$A57,RawDataTotal!BN:BN)</f>
        <v>0</v>
      </c>
      <c r="BL57">
        <f>SUMIF(RawDataTotal!$B:$B,$A57,RawDataTotal!BO:BO)</f>
        <v>0</v>
      </c>
      <c r="BM57">
        <f>SUMIF(RawDataTotal!$B:$B,$A57,RawDataTotal!BP:BP)</f>
        <v>0</v>
      </c>
      <c r="BN57">
        <f>SUMIF(RawDataTotal!$B:$B,$A57,RawDataTotal!BQ:BQ)</f>
        <v>0</v>
      </c>
      <c r="BO57">
        <f>SUMIF(RawDataTotal!$B:$B,$A57,RawDataTotal!BR:BR)</f>
        <v>0</v>
      </c>
      <c r="BP57">
        <f>SUMIF(RawDataTotal!$B:$B,$A57,RawDataTotal!BS:BS)</f>
        <v>0</v>
      </c>
      <c r="BQ57">
        <f>SUMIF(RawDataTotal!$B:$B,$A57,RawDataTotal!BT:BT)</f>
        <v>0</v>
      </c>
      <c r="BR57">
        <f>SUMIF(RawDataTotal!$B:$B,$A57,RawDataTotal!BU:BU)</f>
        <v>0</v>
      </c>
      <c r="BS57">
        <f>SUMIF(RawDataTotal!$B:$B,$A57,RawDataTotal!BV:BV)</f>
        <v>0</v>
      </c>
      <c r="BT57">
        <f>SUMIF(RawDataTotal!$B:$B,$A57,RawDataTotal!BW:BW)</f>
        <v>0</v>
      </c>
    </row>
    <row r="58" spans="1:72" ht="15" thickBot="1" x14ac:dyDescent="0.35">
      <c r="A58" s="4" t="s">
        <v>189</v>
      </c>
      <c r="B58">
        <f>SUMIF(RawDataTotal!$B:$B,$A58,RawDataTotal!E:E)</f>
        <v>0</v>
      </c>
      <c r="C58">
        <f>SUMIF(RawDataTotal!$B:$B,$A58,RawDataTotal!F:F)</f>
        <v>0</v>
      </c>
      <c r="D58">
        <f>SUMIF(RawDataTotal!$B:$B,$A58,RawDataTotal!G:G)</f>
        <v>0</v>
      </c>
      <c r="E58">
        <f>SUMIF(RawDataTotal!$B:$B,$A58,RawDataTotal!H:H)</f>
        <v>0</v>
      </c>
      <c r="F58">
        <f>SUMIF(RawDataTotal!$B:$B,$A58,RawDataTotal!I:I)</f>
        <v>0</v>
      </c>
      <c r="G58">
        <f>SUMIF(RawDataTotal!$B:$B,$A58,RawDataTotal!J:J)</f>
        <v>0</v>
      </c>
      <c r="H58">
        <f>SUMIF(RawDataTotal!$B:$B,$A58,RawDataTotal!K:K)</f>
        <v>0</v>
      </c>
      <c r="I58">
        <f>SUMIF(RawDataTotal!$B:$B,$A58,RawDataTotal!L:L)</f>
        <v>0</v>
      </c>
      <c r="J58">
        <f>SUMIF(RawDataTotal!$B:$B,$A58,RawDataTotal!M:M)</f>
        <v>0</v>
      </c>
      <c r="K58">
        <f>SUMIF(RawDataTotal!$B:$B,$A58,RawDataTotal!N:N)</f>
        <v>0</v>
      </c>
      <c r="L58">
        <f>SUMIF(RawDataTotal!$B:$B,$A58,RawDataTotal!O:O)</f>
        <v>0</v>
      </c>
      <c r="M58">
        <f>SUMIF(RawDataTotal!$B:$B,$A58,RawDataTotal!P:P)</f>
        <v>0</v>
      </c>
      <c r="N58">
        <f>SUMIF(RawDataTotal!$B:$B,$A58,RawDataTotal!Q:Q)</f>
        <v>0</v>
      </c>
      <c r="O58">
        <f>SUMIF(RawDataTotal!$B:$B,$A58,RawDataTotal!R:R)</f>
        <v>0</v>
      </c>
      <c r="P58">
        <f>SUMIF(RawDataTotal!$B:$B,$A58,RawDataTotal!S:S)</f>
        <v>0</v>
      </c>
      <c r="Q58">
        <f>SUMIF(RawDataTotal!$B:$B,$A58,RawDataTotal!T:T)</f>
        <v>0</v>
      </c>
      <c r="R58">
        <f>SUMIF(RawDataTotal!$B:$B,$A58,RawDataTotal!U:U)</f>
        <v>0</v>
      </c>
      <c r="S58">
        <f>SUMIF(RawDataTotal!$B:$B,$A58,RawDataTotal!V:V)</f>
        <v>0</v>
      </c>
      <c r="T58">
        <f>SUMIF(RawDataTotal!$B:$B,$A58,RawDataTotal!W:W)</f>
        <v>0</v>
      </c>
      <c r="U58">
        <f>SUMIF(RawDataTotal!$B:$B,$A58,RawDataTotal!X:X)</f>
        <v>0</v>
      </c>
      <c r="V58">
        <f>SUMIF(RawDataTotal!$B:$B,$A58,RawDataTotal!Y:Y)</f>
        <v>0</v>
      </c>
      <c r="W58">
        <f>SUMIF(RawDataTotal!$B:$B,$A58,RawDataTotal!Z:Z)</f>
        <v>0</v>
      </c>
      <c r="X58">
        <f>SUMIF(RawDataTotal!$B:$B,$A58,RawDataTotal!AA:AA)</f>
        <v>0</v>
      </c>
      <c r="Y58">
        <f>SUMIF(RawDataTotal!$B:$B,$A58,RawDataTotal!AB:AB)</f>
        <v>0</v>
      </c>
      <c r="Z58">
        <f>SUMIF(RawDataTotal!$B:$B,$A58,RawDataTotal!AC:AC)</f>
        <v>0</v>
      </c>
      <c r="AA58">
        <f>SUMIF(RawDataTotal!$B:$B,$A58,RawDataTotal!AD:AD)</f>
        <v>0</v>
      </c>
      <c r="AB58">
        <f>SUMIF(RawDataTotal!$B:$B,$A58,RawDataTotal!AE:AE)</f>
        <v>0</v>
      </c>
      <c r="AC58">
        <f>SUMIF(RawDataTotal!$B:$B,$A58,RawDataTotal!AF:AF)</f>
        <v>0</v>
      </c>
      <c r="AD58">
        <f>SUMIF(RawDataTotal!$B:$B,$A58,RawDataTotal!AG:AG)</f>
        <v>0</v>
      </c>
      <c r="AE58">
        <f>SUMIF(RawDataTotal!$B:$B,$A58,RawDataTotal!AH:AH)</f>
        <v>0</v>
      </c>
      <c r="AF58">
        <f>SUMIF(RawDataTotal!$B:$B,$A58,RawDataTotal!AI:AI)</f>
        <v>0</v>
      </c>
      <c r="AG58">
        <f>SUMIF(RawDataTotal!$B:$B,$A58,RawDataTotal!AJ:AJ)</f>
        <v>0</v>
      </c>
      <c r="AH58">
        <f>SUMIF(RawDataTotal!$B:$B,$A58,RawDataTotal!AK:AK)</f>
        <v>0</v>
      </c>
      <c r="AI58">
        <f>SUMIF(RawDataTotal!$B:$B,$A58,RawDataTotal!AL:AL)</f>
        <v>0</v>
      </c>
      <c r="AJ58">
        <f>SUMIF(RawDataTotal!$B:$B,$A58,RawDataTotal!AM:AM)</f>
        <v>0</v>
      </c>
      <c r="AK58">
        <f>SUMIF(RawDataTotal!$B:$B,$A58,RawDataTotal!AN:AN)</f>
        <v>0</v>
      </c>
      <c r="AL58">
        <f>SUMIF(RawDataTotal!$B:$B,$A58,RawDataTotal!AO:AO)</f>
        <v>0</v>
      </c>
      <c r="AM58">
        <f>SUMIF(RawDataTotal!$B:$B,$A58,RawDataTotal!AP:AP)</f>
        <v>0</v>
      </c>
      <c r="AN58">
        <f>SUMIF(RawDataTotal!$B:$B,$A58,RawDataTotal!AQ:AQ)</f>
        <v>0</v>
      </c>
      <c r="AO58">
        <f>SUMIF(RawDataTotal!$B:$B,$A58,RawDataTotal!AR:AR)</f>
        <v>0</v>
      </c>
      <c r="AP58">
        <f>SUMIF(RawDataTotal!$B:$B,$A58,RawDataTotal!AS:AS)</f>
        <v>0</v>
      </c>
      <c r="AQ58">
        <f>SUMIF(RawDataTotal!$B:$B,$A58,RawDataTotal!AT:AT)</f>
        <v>0</v>
      </c>
      <c r="AR58">
        <f>SUMIF(RawDataTotal!$B:$B,$A58,RawDataTotal!AU:AU)</f>
        <v>0</v>
      </c>
      <c r="AS58">
        <f>SUMIF(RawDataTotal!$B:$B,$A58,RawDataTotal!AV:AV)</f>
        <v>0</v>
      </c>
      <c r="AT58">
        <f>SUMIF(RawDataTotal!$B:$B,$A58,RawDataTotal!AW:AW)</f>
        <v>1</v>
      </c>
      <c r="AU58">
        <f>SUMIF(RawDataTotal!$B:$B,$A58,RawDataTotal!AX:AX)</f>
        <v>1</v>
      </c>
      <c r="AV58">
        <f>SUMIF(RawDataTotal!$B:$B,$A58,RawDataTotal!AY:AY)</f>
        <v>3</v>
      </c>
      <c r="AW58">
        <f>SUMIF(RawDataTotal!$B:$B,$A58,RawDataTotal!AZ:AZ)</f>
        <v>3</v>
      </c>
      <c r="AX58">
        <f>SUMIF(RawDataTotal!$B:$B,$A58,RawDataTotal!BA:BA)</f>
        <v>7</v>
      </c>
      <c r="AY58">
        <f>SUMIF(RawDataTotal!$B:$B,$A58,RawDataTotal!BB:BB)</f>
        <v>10</v>
      </c>
      <c r="AZ58">
        <f>SUMIF(RawDataTotal!$B:$B,$A58,RawDataTotal!BC:BC)</f>
        <v>16</v>
      </c>
      <c r="BA58">
        <f>SUMIF(RawDataTotal!$B:$B,$A58,RawDataTotal!BD:BD)</f>
        <v>32</v>
      </c>
      <c r="BB58">
        <f>SUMIF(RawDataTotal!$B:$B,$A58,RawDataTotal!BE:BE)</f>
        <v>44</v>
      </c>
      <c r="BC58">
        <f>SUMIF(RawDataTotal!$B:$B,$A58,RawDataTotal!BF:BF)</f>
        <v>54</v>
      </c>
      <c r="BD58">
        <f>SUMIF(RawDataTotal!$B:$B,$A58,RawDataTotal!BG:BG)</f>
        <v>63</v>
      </c>
      <c r="BE58">
        <f>SUMIF(RawDataTotal!$B:$B,$A58,RawDataTotal!BH:BH)</f>
        <v>72</v>
      </c>
      <c r="BF58">
        <f>SUMIF(RawDataTotal!$B:$B,$A58,RawDataTotal!BI:BI)</f>
        <v>0</v>
      </c>
      <c r="BG58">
        <f>SUMIF(RawDataTotal!$B:$B,$A58,RawDataTotal!BJ:BJ)</f>
        <v>0</v>
      </c>
      <c r="BH58">
        <f>SUMIF(RawDataTotal!$B:$B,$A58,RawDataTotal!BK:BK)</f>
        <v>0</v>
      </c>
      <c r="BI58">
        <f>SUMIF(RawDataTotal!$B:$B,$A58,RawDataTotal!BL:BL)</f>
        <v>0</v>
      </c>
      <c r="BJ58">
        <f>SUMIF(RawDataTotal!$B:$B,$A58,RawDataTotal!BM:BM)</f>
        <v>0</v>
      </c>
      <c r="BK58">
        <f>SUMIF(RawDataTotal!$B:$B,$A58,RawDataTotal!BN:BN)</f>
        <v>0</v>
      </c>
      <c r="BL58">
        <f>SUMIF(RawDataTotal!$B:$B,$A58,RawDataTotal!BO:BO)</f>
        <v>0</v>
      </c>
      <c r="BM58">
        <f>SUMIF(RawDataTotal!$B:$B,$A58,RawDataTotal!BP:BP)</f>
        <v>0</v>
      </c>
      <c r="BN58">
        <f>SUMIF(RawDataTotal!$B:$B,$A58,RawDataTotal!BQ:BQ)</f>
        <v>0</v>
      </c>
      <c r="BO58">
        <f>SUMIF(RawDataTotal!$B:$B,$A58,RawDataTotal!BR:BR)</f>
        <v>0</v>
      </c>
      <c r="BP58">
        <f>SUMIF(RawDataTotal!$B:$B,$A58,RawDataTotal!BS:BS)</f>
        <v>0</v>
      </c>
      <c r="BQ58">
        <f>SUMIF(RawDataTotal!$B:$B,$A58,RawDataTotal!BT:BT)</f>
        <v>0</v>
      </c>
      <c r="BR58">
        <f>SUMIF(RawDataTotal!$B:$B,$A58,RawDataTotal!BU:BU)</f>
        <v>0</v>
      </c>
      <c r="BS58">
        <f>SUMIF(RawDataTotal!$B:$B,$A58,RawDataTotal!BV:BV)</f>
        <v>0</v>
      </c>
      <c r="BT58">
        <f>SUMIF(RawDataTotal!$B:$B,$A58,RawDataTotal!BW:BW)</f>
        <v>0</v>
      </c>
    </row>
    <row r="59" spans="1:72" ht="15" thickBot="1" x14ac:dyDescent="0.35">
      <c r="A59" s="4" t="s">
        <v>150</v>
      </c>
      <c r="B59">
        <f>SUMIF(RawDataTotal!$B:$B,$A59,RawDataTotal!E:E)</f>
        <v>0</v>
      </c>
      <c r="C59">
        <f>SUMIF(RawDataTotal!$B:$B,$A59,RawDataTotal!F:F)</f>
        <v>0</v>
      </c>
      <c r="D59">
        <f>SUMIF(RawDataTotal!$B:$B,$A59,RawDataTotal!G:G)</f>
        <v>0</v>
      </c>
      <c r="E59">
        <f>SUMIF(RawDataTotal!$B:$B,$A59,RawDataTotal!H:H)</f>
        <v>0</v>
      </c>
      <c r="F59">
        <f>SUMIF(RawDataTotal!$B:$B,$A59,RawDataTotal!I:I)</f>
        <v>0</v>
      </c>
      <c r="G59">
        <f>SUMIF(RawDataTotal!$B:$B,$A59,RawDataTotal!J:J)</f>
        <v>0</v>
      </c>
      <c r="H59">
        <f>SUMIF(RawDataTotal!$B:$B,$A59,RawDataTotal!K:K)</f>
        <v>0</v>
      </c>
      <c r="I59">
        <f>SUMIF(RawDataTotal!$B:$B,$A59,RawDataTotal!L:L)</f>
        <v>0</v>
      </c>
      <c r="J59">
        <f>SUMIF(RawDataTotal!$B:$B,$A59,RawDataTotal!M:M)</f>
        <v>0</v>
      </c>
      <c r="K59">
        <f>SUMIF(RawDataTotal!$B:$B,$A59,RawDataTotal!N:N)</f>
        <v>0</v>
      </c>
      <c r="L59">
        <f>SUMIF(RawDataTotal!$B:$B,$A59,RawDataTotal!O:O)</f>
        <v>0</v>
      </c>
      <c r="M59">
        <f>SUMIF(RawDataTotal!$B:$B,$A59,RawDataTotal!P:P)</f>
        <v>0</v>
      </c>
      <c r="N59">
        <f>SUMIF(RawDataTotal!$B:$B,$A59,RawDataTotal!Q:Q)</f>
        <v>0</v>
      </c>
      <c r="O59">
        <f>SUMIF(RawDataTotal!$B:$B,$A59,RawDataTotal!R:R)</f>
        <v>0</v>
      </c>
      <c r="P59">
        <f>SUMIF(RawDataTotal!$B:$B,$A59,RawDataTotal!S:S)</f>
        <v>0</v>
      </c>
      <c r="Q59">
        <f>SUMIF(RawDataTotal!$B:$B,$A59,RawDataTotal!T:T)</f>
        <v>0</v>
      </c>
      <c r="R59">
        <f>SUMIF(RawDataTotal!$B:$B,$A59,RawDataTotal!U:U)</f>
        <v>0</v>
      </c>
      <c r="S59">
        <f>SUMIF(RawDataTotal!$B:$B,$A59,RawDataTotal!V:V)</f>
        <v>0</v>
      </c>
      <c r="T59">
        <f>SUMIF(RawDataTotal!$B:$B,$A59,RawDataTotal!W:W)</f>
        <v>0</v>
      </c>
      <c r="U59">
        <f>SUMIF(RawDataTotal!$B:$B,$A59,RawDataTotal!X:X)</f>
        <v>0</v>
      </c>
      <c r="V59">
        <f>SUMIF(RawDataTotal!$B:$B,$A59,RawDataTotal!Y:Y)</f>
        <v>0</v>
      </c>
      <c r="W59">
        <f>SUMIF(RawDataTotal!$B:$B,$A59,RawDataTotal!Z:Z)</f>
        <v>0</v>
      </c>
      <c r="X59">
        <f>SUMIF(RawDataTotal!$B:$B,$A59,RawDataTotal!AA:AA)</f>
        <v>0</v>
      </c>
      <c r="Y59">
        <f>SUMIF(RawDataTotal!$B:$B,$A59,RawDataTotal!AB:AB)</f>
        <v>0</v>
      </c>
      <c r="Z59">
        <f>SUMIF(RawDataTotal!$B:$B,$A59,RawDataTotal!AC:AC)</f>
        <v>0</v>
      </c>
      <c r="AA59">
        <f>SUMIF(RawDataTotal!$B:$B,$A59,RawDataTotal!AD:AD)</f>
        <v>0</v>
      </c>
      <c r="AB59">
        <f>SUMIF(RawDataTotal!$B:$B,$A59,RawDataTotal!AE:AE)</f>
        <v>0</v>
      </c>
      <c r="AC59">
        <f>SUMIF(RawDataTotal!$B:$B,$A59,RawDataTotal!AF:AF)</f>
        <v>0</v>
      </c>
      <c r="AD59">
        <f>SUMIF(RawDataTotal!$B:$B,$A59,RawDataTotal!AG:AG)</f>
        <v>0</v>
      </c>
      <c r="AE59">
        <f>SUMIF(RawDataTotal!$B:$B,$A59,RawDataTotal!AH:AH)</f>
        <v>0</v>
      </c>
      <c r="AF59">
        <f>SUMIF(RawDataTotal!$B:$B,$A59,RawDataTotal!AI:AI)</f>
        <v>0</v>
      </c>
      <c r="AG59">
        <f>SUMIF(RawDataTotal!$B:$B,$A59,RawDataTotal!AJ:AJ)</f>
        <v>0</v>
      </c>
      <c r="AH59">
        <f>SUMIF(RawDataTotal!$B:$B,$A59,RawDataTotal!AK:AK)</f>
        <v>0</v>
      </c>
      <c r="AI59">
        <f>SUMIF(RawDataTotal!$B:$B,$A59,RawDataTotal!AL:AL)</f>
        <v>0</v>
      </c>
      <c r="AJ59">
        <f>SUMIF(RawDataTotal!$B:$B,$A59,RawDataTotal!AM:AM)</f>
        <v>0</v>
      </c>
      <c r="AK59">
        <f>SUMIF(RawDataTotal!$B:$B,$A59,RawDataTotal!AN:AN)</f>
        <v>0</v>
      </c>
      <c r="AL59">
        <f>SUMIF(RawDataTotal!$B:$B,$A59,RawDataTotal!AO:AO)</f>
        <v>0</v>
      </c>
      <c r="AM59">
        <f>SUMIF(RawDataTotal!$B:$B,$A59,RawDataTotal!AP:AP)</f>
        <v>0</v>
      </c>
      <c r="AN59">
        <f>SUMIF(RawDataTotal!$B:$B,$A59,RawDataTotal!AQ:AQ)</f>
        <v>0</v>
      </c>
      <c r="AO59">
        <f>SUMIF(RawDataTotal!$B:$B,$A59,RawDataTotal!AR:AR)</f>
        <v>0</v>
      </c>
      <c r="AP59">
        <f>SUMIF(RawDataTotal!$B:$B,$A59,RawDataTotal!AS:AS)</f>
        <v>0</v>
      </c>
      <c r="AQ59">
        <f>SUMIF(RawDataTotal!$B:$B,$A59,RawDataTotal!AT:AT)</f>
        <v>1</v>
      </c>
      <c r="AR59">
        <f>SUMIF(RawDataTotal!$B:$B,$A59,RawDataTotal!AU:AU)</f>
        <v>1</v>
      </c>
      <c r="AS59">
        <f>SUMIF(RawDataTotal!$B:$B,$A59,RawDataTotal!AV:AV)</f>
        <v>1</v>
      </c>
      <c r="AT59">
        <f>SUMIF(RawDataTotal!$B:$B,$A59,RawDataTotal!AW:AW)</f>
        <v>2</v>
      </c>
      <c r="AU59">
        <f>SUMIF(RawDataTotal!$B:$B,$A59,RawDataTotal!AX:AX)</f>
        <v>8</v>
      </c>
      <c r="AV59">
        <f>SUMIF(RawDataTotal!$B:$B,$A59,RawDataTotal!AY:AY)</f>
        <v>12</v>
      </c>
      <c r="AW59">
        <f>SUMIF(RawDataTotal!$B:$B,$A59,RawDataTotal!AZ:AZ)</f>
        <v>12</v>
      </c>
      <c r="AX59">
        <f>SUMIF(RawDataTotal!$B:$B,$A59,RawDataTotal!BA:BA)</f>
        <v>17</v>
      </c>
      <c r="AY59">
        <f>SUMIF(RawDataTotal!$B:$B,$A59,RawDataTotal!BB:BB)</f>
        <v>19</v>
      </c>
      <c r="AZ59">
        <f>SUMIF(RawDataTotal!$B:$B,$A59,RawDataTotal!BC:BC)</f>
        <v>19</v>
      </c>
      <c r="BA59">
        <f>SUMIF(RawDataTotal!$B:$B,$A59,RawDataTotal!BD:BD)</f>
        <v>31</v>
      </c>
      <c r="BB59">
        <f>SUMIF(RawDataTotal!$B:$B,$A59,RawDataTotal!BE:BE)</f>
        <v>34</v>
      </c>
      <c r="BC59">
        <f>SUMIF(RawDataTotal!$B:$B,$A59,RawDataTotal!BF:BF)</f>
        <v>45</v>
      </c>
      <c r="BD59">
        <f>SUMIF(RawDataTotal!$B:$B,$A59,RawDataTotal!BG:BG)</f>
        <v>56</v>
      </c>
      <c r="BE59">
        <f>SUMIF(RawDataTotal!$B:$B,$A59,RawDataTotal!BH:BH)</f>
        <v>68</v>
      </c>
      <c r="BF59">
        <f>SUMIF(RawDataTotal!$B:$B,$A59,RawDataTotal!BI:BI)</f>
        <v>0</v>
      </c>
      <c r="BG59">
        <f>SUMIF(RawDataTotal!$B:$B,$A59,RawDataTotal!BJ:BJ)</f>
        <v>0</v>
      </c>
      <c r="BH59">
        <f>SUMIF(RawDataTotal!$B:$B,$A59,RawDataTotal!BK:BK)</f>
        <v>0</v>
      </c>
      <c r="BI59">
        <f>SUMIF(RawDataTotal!$B:$B,$A59,RawDataTotal!BL:BL)</f>
        <v>0</v>
      </c>
      <c r="BJ59">
        <f>SUMIF(RawDataTotal!$B:$B,$A59,RawDataTotal!BM:BM)</f>
        <v>0</v>
      </c>
      <c r="BK59">
        <f>SUMIF(RawDataTotal!$B:$B,$A59,RawDataTotal!BN:BN)</f>
        <v>0</v>
      </c>
      <c r="BL59">
        <f>SUMIF(RawDataTotal!$B:$B,$A59,RawDataTotal!BO:BO)</f>
        <v>0</v>
      </c>
      <c r="BM59">
        <f>SUMIF(RawDataTotal!$B:$B,$A59,RawDataTotal!BP:BP)</f>
        <v>0</v>
      </c>
      <c r="BN59">
        <f>SUMIF(RawDataTotal!$B:$B,$A59,RawDataTotal!BQ:BQ)</f>
        <v>0</v>
      </c>
      <c r="BO59">
        <f>SUMIF(RawDataTotal!$B:$B,$A59,RawDataTotal!BR:BR)</f>
        <v>0</v>
      </c>
      <c r="BP59">
        <f>SUMIF(RawDataTotal!$B:$B,$A59,RawDataTotal!BS:BS)</f>
        <v>0</v>
      </c>
      <c r="BQ59">
        <f>SUMIF(RawDataTotal!$B:$B,$A59,RawDataTotal!BT:BT)</f>
        <v>0</v>
      </c>
      <c r="BR59">
        <f>SUMIF(RawDataTotal!$B:$B,$A59,RawDataTotal!BU:BU)</f>
        <v>0</v>
      </c>
      <c r="BS59">
        <f>SUMIF(RawDataTotal!$B:$B,$A59,RawDataTotal!BV:BV)</f>
        <v>0</v>
      </c>
      <c r="BT59">
        <f>SUMIF(RawDataTotal!$B:$B,$A59,RawDataTotal!BW:BW)</f>
        <v>0</v>
      </c>
    </row>
    <row r="60" spans="1:72" ht="15" thickBot="1" x14ac:dyDescent="0.35">
      <c r="A60" s="3" t="s">
        <v>107</v>
      </c>
      <c r="B60">
        <f>SUMIF(RawDataTotal!$B:$B,$A60,RawDataTotal!E:E)</f>
        <v>0</v>
      </c>
      <c r="C60">
        <f>SUMIF(RawDataTotal!$B:$B,$A60,RawDataTotal!F:F)</f>
        <v>0</v>
      </c>
      <c r="D60">
        <f>SUMIF(RawDataTotal!$B:$B,$A60,RawDataTotal!G:G)</f>
        <v>0</v>
      </c>
      <c r="E60">
        <f>SUMIF(RawDataTotal!$B:$B,$A60,RawDataTotal!H:H)</f>
        <v>0</v>
      </c>
      <c r="F60">
        <f>SUMIF(RawDataTotal!$B:$B,$A60,RawDataTotal!I:I)</f>
        <v>0</v>
      </c>
      <c r="G60">
        <f>SUMIF(RawDataTotal!$B:$B,$A60,RawDataTotal!J:J)</f>
        <v>0</v>
      </c>
      <c r="H60">
        <f>SUMIF(RawDataTotal!$B:$B,$A60,RawDataTotal!K:K)</f>
        <v>0</v>
      </c>
      <c r="I60">
        <f>SUMIF(RawDataTotal!$B:$B,$A60,RawDataTotal!L:L)</f>
        <v>0</v>
      </c>
      <c r="J60">
        <f>SUMIF(RawDataTotal!$B:$B,$A60,RawDataTotal!M:M)</f>
        <v>0</v>
      </c>
      <c r="K60">
        <f>SUMIF(RawDataTotal!$B:$B,$A60,RawDataTotal!N:N)</f>
        <v>0</v>
      </c>
      <c r="L60">
        <f>SUMIF(RawDataTotal!$B:$B,$A60,RawDataTotal!O:O)</f>
        <v>0</v>
      </c>
      <c r="M60">
        <f>SUMIF(RawDataTotal!$B:$B,$A60,RawDataTotal!P:P)</f>
        <v>0</v>
      </c>
      <c r="N60">
        <f>SUMIF(RawDataTotal!$B:$B,$A60,RawDataTotal!Q:Q)</f>
        <v>0</v>
      </c>
      <c r="O60">
        <f>SUMIF(RawDataTotal!$B:$B,$A60,RawDataTotal!R:R)</f>
        <v>0</v>
      </c>
      <c r="P60">
        <f>SUMIF(RawDataTotal!$B:$B,$A60,RawDataTotal!S:S)</f>
        <v>0</v>
      </c>
      <c r="Q60">
        <f>SUMIF(RawDataTotal!$B:$B,$A60,RawDataTotal!T:T)</f>
        <v>0</v>
      </c>
      <c r="R60">
        <f>SUMIF(RawDataTotal!$B:$B,$A60,RawDataTotal!U:U)</f>
        <v>0</v>
      </c>
      <c r="S60">
        <f>SUMIF(RawDataTotal!$B:$B,$A60,RawDataTotal!V:V)</f>
        <v>0</v>
      </c>
      <c r="T60">
        <f>SUMIF(RawDataTotal!$B:$B,$A60,RawDataTotal!W:W)</f>
        <v>0</v>
      </c>
      <c r="U60">
        <f>SUMIF(RawDataTotal!$B:$B,$A60,RawDataTotal!X:X)</f>
        <v>0</v>
      </c>
      <c r="V60">
        <f>SUMIF(RawDataTotal!$B:$B,$A60,RawDataTotal!Y:Y)</f>
        <v>0</v>
      </c>
      <c r="W60">
        <f>SUMIF(RawDataTotal!$B:$B,$A60,RawDataTotal!Z:Z)</f>
        <v>0</v>
      </c>
      <c r="X60">
        <f>SUMIF(RawDataTotal!$B:$B,$A60,RawDataTotal!AA:AA)</f>
        <v>0</v>
      </c>
      <c r="Y60">
        <f>SUMIF(RawDataTotal!$B:$B,$A60,RawDataTotal!AB:AB)</f>
        <v>0</v>
      </c>
      <c r="Z60">
        <f>SUMIF(RawDataTotal!$B:$B,$A60,RawDataTotal!AC:AC)</f>
        <v>0</v>
      </c>
      <c r="AA60">
        <f>SUMIF(RawDataTotal!$B:$B,$A60,RawDataTotal!AD:AD)</f>
        <v>0</v>
      </c>
      <c r="AB60">
        <f>SUMIF(RawDataTotal!$B:$B,$A60,RawDataTotal!AE:AE)</f>
        <v>0</v>
      </c>
      <c r="AC60">
        <f>SUMIF(RawDataTotal!$B:$B,$A60,RawDataTotal!AF:AF)</f>
        <v>0</v>
      </c>
      <c r="AD60">
        <f>SUMIF(RawDataTotal!$B:$B,$A60,RawDataTotal!AG:AG)</f>
        <v>0</v>
      </c>
      <c r="AE60">
        <f>SUMIF(RawDataTotal!$B:$B,$A60,RawDataTotal!AH:AH)</f>
        <v>0</v>
      </c>
      <c r="AF60">
        <f>SUMIF(RawDataTotal!$B:$B,$A60,RawDataTotal!AI:AI)</f>
        <v>0</v>
      </c>
      <c r="AG60">
        <f>SUMIF(RawDataTotal!$B:$B,$A60,RawDataTotal!AJ:AJ)</f>
        <v>0</v>
      </c>
      <c r="AH60">
        <f>SUMIF(RawDataTotal!$B:$B,$A60,RawDataTotal!AK:AK)</f>
        <v>0</v>
      </c>
      <c r="AI60">
        <f>SUMIF(RawDataTotal!$B:$B,$A60,RawDataTotal!AL:AL)</f>
        <v>0</v>
      </c>
      <c r="AJ60">
        <f>SUMIF(RawDataTotal!$B:$B,$A60,RawDataTotal!AM:AM)</f>
        <v>0</v>
      </c>
      <c r="AK60">
        <f>SUMIF(RawDataTotal!$B:$B,$A60,RawDataTotal!AN:AN)</f>
        <v>2</v>
      </c>
      <c r="AL60">
        <f>SUMIF(RawDataTotal!$B:$B,$A60,RawDataTotal!AO:AO)</f>
        <v>2</v>
      </c>
      <c r="AM60">
        <f>SUMIF(RawDataTotal!$B:$B,$A60,RawDataTotal!AP:AP)</f>
        <v>2</v>
      </c>
      <c r="AN60">
        <f>SUMIF(RawDataTotal!$B:$B,$A60,RawDataTotal!AQ:AQ)</f>
        <v>4</v>
      </c>
      <c r="AO60">
        <f>SUMIF(RawDataTotal!$B:$B,$A60,RawDataTotal!AR:AR)</f>
        <v>4</v>
      </c>
      <c r="AP60">
        <f>SUMIF(RawDataTotal!$B:$B,$A60,RawDataTotal!AS:AS)</f>
        <v>4</v>
      </c>
      <c r="AQ60">
        <f>SUMIF(RawDataTotal!$B:$B,$A60,RawDataTotal!AT:AT)</f>
        <v>5</v>
      </c>
      <c r="AR60">
        <f>SUMIF(RawDataTotal!$B:$B,$A60,RawDataTotal!AU:AU)</f>
        <v>5</v>
      </c>
      <c r="AS60">
        <f>SUMIF(RawDataTotal!$B:$B,$A60,RawDataTotal!AV:AV)</f>
        <v>5</v>
      </c>
      <c r="AT60">
        <f>SUMIF(RawDataTotal!$B:$B,$A60,RawDataTotal!AW:AW)</f>
        <v>6</v>
      </c>
      <c r="AU60">
        <f>SUMIF(RawDataTotal!$B:$B,$A60,RawDataTotal!AX:AX)</f>
        <v>6</v>
      </c>
      <c r="AV60">
        <f>SUMIF(RawDataTotal!$B:$B,$A60,RawDataTotal!AY:AY)</f>
        <v>6</v>
      </c>
      <c r="AW60">
        <f>SUMIF(RawDataTotal!$B:$B,$A60,RawDataTotal!AZ:AZ)</f>
        <v>6</v>
      </c>
      <c r="AX60">
        <f>SUMIF(RawDataTotal!$B:$B,$A60,RawDataTotal!BA:BA)</f>
        <v>16</v>
      </c>
      <c r="AY60">
        <f>SUMIF(RawDataTotal!$B:$B,$A60,RawDataTotal!BB:BB)</f>
        <v>19</v>
      </c>
      <c r="AZ60">
        <f>SUMIF(RawDataTotal!$B:$B,$A60,RawDataTotal!BC:BC)</f>
        <v>20</v>
      </c>
      <c r="BA60">
        <f>SUMIF(RawDataTotal!$B:$B,$A60,RawDataTotal!BD:BD)</f>
        <v>28</v>
      </c>
      <c r="BB60">
        <f>SUMIF(RawDataTotal!$B:$B,$A60,RawDataTotal!BE:BE)</f>
        <v>31</v>
      </c>
      <c r="BC60">
        <f>SUMIF(RawDataTotal!$B:$B,$A60,RawDataTotal!BF:BF)</f>
        <v>53</v>
      </c>
      <c r="BD60">
        <f>SUMIF(RawDataTotal!$B:$B,$A60,RawDataTotal!BG:BG)</f>
        <v>136</v>
      </c>
      <c r="BE60">
        <f>SUMIF(RawDataTotal!$B:$B,$A60,RawDataTotal!BH:BH)</f>
        <v>236</v>
      </c>
      <c r="BF60">
        <f>SUMIF(RawDataTotal!$B:$B,$A60,RawDataTotal!BI:BI)</f>
        <v>0</v>
      </c>
      <c r="BG60">
        <f>SUMIF(RawDataTotal!$B:$B,$A60,RawDataTotal!BJ:BJ)</f>
        <v>0</v>
      </c>
      <c r="BH60">
        <f>SUMIF(RawDataTotal!$B:$B,$A60,RawDataTotal!BK:BK)</f>
        <v>0</v>
      </c>
      <c r="BI60">
        <f>SUMIF(RawDataTotal!$B:$B,$A60,RawDataTotal!BL:BL)</f>
        <v>0</v>
      </c>
      <c r="BJ60">
        <f>SUMIF(RawDataTotal!$B:$B,$A60,RawDataTotal!BM:BM)</f>
        <v>0</v>
      </c>
      <c r="BK60">
        <f>SUMIF(RawDataTotal!$B:$B,$A60,RawDataTotal!BN:BN)</f>
        <v>0</v>
      </c>
      <c r="BL60">
        <f>SUMIF(RawDataTotal!$B:$B,$A60,RawDataTotal!BO:BO)</f>
        <v>0</v>
      </c>
      <c r="BM60">
        <f>SUMIF(RawDataTotal!$B:$B,$A60,RawDataTotal!BP:BP)</f>
        <v>0</v>
      </c>
      <c r="BN60">
        <f>SUMIF(RawDataTotal!$B:$B,$A60,RawDataTotal!BQ:BQ)</f>
        <v>0</v>
      </c>
      <c r="BO60">
        <f>SUMIF(RawDataTotal!$B:$B,$A60,RawDataTotal!BR:BR)</f>
        <v>0</v>
      </c>
      <c r="BP60">
        <f>SUMIF(RawDataTotal!$B:$B,$A60,RawDataTotal!BS:BS)</f>
        <v>0</v>
      </c>
      <c r="BQ60">
        <f>SUMIF(RawDataTotal!$B:$B,$A60,RawDataTotal!BT:BT)</f>
        <v>0</v>
      </c>
      <c r="BR60">
        <f>SUMIF(RawDataTotal!$B:$B,$A60,RawDataTotal!BU:BU)</f>
        <v>0</v>
      </c>
      <c r="BS60">
        <f>SUMIF(RawDataTotal!$B:$B,$A60,RawDataTotal!BV:BV)</f>
        <v>0</v>
      </c>
      <c r="BT60">
        <f>SUMIF(RawDataTotal!$B:$B,$A60,RawDataTotal!BW:BW)</f>
        <v>0</v>
      </c>
    </row>
    <row r="61" spans="1:72" ht="15" thickBot="1" x14ac:dyDescent="0.35">
      <c r="A61" s="4" t="s">
        <v>187</v>
      </c>
      <c r="B61">
        <f>SUMIF(RawDataTotal!$B:$B,$A61,RawDataTotal!E:E)</f>
        <v>0</v>
      </c>
      <c r="C61">
        <f>SUMIF(RawDataTotal!$B:$B,$A61,RawDataTotal!F:F)</f>
        <v>0</v>
      </c>
      <c r="D61">
        <f>SUMIF(RawDataTotal!$B:$B,$A61,RawDataTotal!G:G)</f>
        <v>0</v>
      </c>
      <c r="E61">
        <f>SUMIF(RawDataTotal!$B:$B,$A61,RawDataTotal!H:H)</f>
        <v>0</v>
      </c>
      <c r="F61">
        <f>SUMIF(RawDataTotal!$B:$B,$A61,RawDataTotal!I:I)</f>
        <v>0</v>
      </c>
      <c r="G61">
        <f>SUMIF(RawDataTotal!$B:$B,$A61,RawDataTotal!J:J)</f>
        <v>0</v>
      </c>
      <c r="H61">
        <f>SUMIF(RawDataTotal!$B:$B,$A61,RawDataTotal!K:K)</f>
        <v>0</v>
      </c>
      <c r="I61">
        <f>SUMIF(RawDataTotal!$B:$B,$A61,RawDataTotal!L:L)</f>
        <v>0</v>
      </c>
      <c r="J61">
        <f>SUMIF(RawDataTotal!$B:$B,$A61,RawDataTotal!M:M)</f>
        <v>0</v>
      </c>
      <c r="K61">
        <f>SUMIF(RawDataTotal!$B:$B,$A61,RawDataTotal!N:N)</f>
        <v>0</v>
      </c>
      <c r="L61">
        <f>SUMIF(RawDataTotal!$B:$B,$A61,RawDataTotal!O:O)</f>
        <v>0</v>
      </c>
      <c r="M61">
        <f>SUMIF(RawDataTotal!$B:$B,$A61,RawDataTotal!P:P)</f>
        <v>0</v>
      </c>
      <c r="N61">
        <f>SUMIF(RawDataTotal!$B:$B,$A61,RawDataTotal!Q:Q)</f>
        <v>0</v>
      </c>
      <c r="O61">
        <f>SUMIF(RawDataTotal!$B:$B,$A61,RawDataTotal!R:R)</f>
        <v>0</v>
      </c>
      <c r="P61">
        <f>SUMIF(RawDataTotal!$B:$B,$A61,RawDataTotal!S:S)</f>
        <v>0</v>
      </c>
      <c r="Q61">
        <f>SUMIF(RawDataTotal!$B:$B,$A61,RawDataTotal!T:T)</f>
        <v>0</v>
      </c>
      <c r="R61">
        <f>SUMIF(RawDataTotal!$B:$B,$A61,RawDataTotal!U:U)</f>
        <v>0</v>
      </c>
      <c r="S61">
        <f>SUMIF(RawDataTotal!$B:$B,$A61,RawDataTotal!V:V)</f>
        <v>0</v>
      </c>
      <c r="T61">
        <f>SUMIF(RawDataTotal!$B:$B,$A61,RawDataTotal!W:W)</f>
        <v>0</v>
      </c>
      <c r="U61">
        <f>SUMIF(RawDataTotal!$B:$B,$A61,RawDataTotal!X:X)</f>
        <v>0</v>
      </c>
      <c r="V61">
        <f>SUMIF(RawDataTotal!$B:$B,$A61,RawDataTotal!Y:Y)</f>
        <v>0</v>
      </c>
      <c r="W61">
        <f>SUMIF(RawDataTotal!$B:$B,$A61,RawDataTotal!Z:Z)</f>
        <v>0</v>
      </c>
      <c r="X61">
        <f>SUMIF(RawDataTotal!$B:$B,$A61,RawDataTotal!AA:AA)</f>
        <v>0</v>
      </c>
      <c r="Y61">
        <f>SUMIF(RawDataTotal!$B:$B,$A61,RawDataTotal!AB:AB)</f>
        <v>0</v>
      </c>
      <c r="Z61">
        <f>SUMIF(RawDataTotal!$B:$B,$A61,RawDataTotal!AC:AC)</f>
        <v>0</v>
      </c>
      <c r="AA61">
        <f>SUMIF(RawDataTotal!$B:$B,$A61,RawDataTotal!AD:AD)</f>
        <v>0</v>
      </c>
      <c r="AB61">
        <f>SUMIF(RawDataTotal!$B:$B,$A61,RawDataTotal!AE:AE)</f>
        <v>0</v>
      </c>
      <c r="AC61">
        <f>SUMIF(RawDataTotal!$B:$B,$A61,RawDataTotal!AF:AF)</f>
        <v>0</v>
      </c>
      <c r="AD61">
        <f>SUMIF(RawDataTotal!$B:$B,$A61,RawDataTotal!AG:AG)</f>
        <v>0</v>
      </c>
      <c r="AE61">
        <f>SUMIF(RawDataTotal!$B:$B,$A61,RawDataTotal!AH:AH)</f>
        <v>0</v>
      </c>
      <c r="AF61">
        <f>SUMIF(RawDataTotal!$B:$B,$A61,RawDataTotal!AI:AI)</f>
        <v>0</v>
      </c>
      <c r="AG61">
        <f>SUMIF(RawDataTotal!$B:$B,$A61,RawDataTotal!AJ:AJ)</f>
        <v>0</v>
      </c>
      <c r="AH61">
        <f>SUMIF(RawDataTotal!$B:$B,$A61,RawDataTotal!AK:AK)</f>
        <v>0</v>
      </c>
      <c r="AI61">
        <f>SUMIF(RawDataTotal!$B:$B,$A61,RawDataTotal!AL:AL)</f>
        <v>0</v>
      </c>
      <c r="AJ61">
        <f>SUMIF(RawDataTotal!$B:$B,$A61,RawDataTotal!AM:AM)</f>
        <v>0</v>
      </c>
      <c r="AK61">
        <f>SUMIF(RawDataTotal!$B:$B,$A61,RawDataTotal!AN:AN)</f>
        <v>0</v>
      </c>
      <c r="AL61">
        <f>SUMIF(RawDataTotal!$B:$B,$A61,RawDataTotal!AO:AO)</f>
        <v>0</v>
      </c>
      <c r="AM61">
        <f>SUMIF(RawDataTotal!$B:$B,$A61,RawDataTotal!AP:AP)</f>
        <v>0</v>
      </c>
      <c r="AN61">
        <f>SUMIF(RawDataTotal!$B:$B,$A61,RawDataTotal!AQ:AQ)</f>
        <v>0</v>
      </c>
      <c r="AO61">
        <f>SUMIF(RawDataTotal!$B:$B,$A61,RawDataTotal!AR:AR)</f>
        <v>0</v>
      </c>
      <c r="AP61">
        <f>SUMIF(RawDataTotal!$B:$B,$A61,RawDataTotal!AS:AS)</f>
        <v>0</v>
      </c>
      <c r="AQ61">
        <f>SUMIF(RawDataTotal!$B:$B,$A61,RawDataTotal!AT:AT)</f>
        <v>0</v>
      </c>
      <c r="AR61">
        <f>SUMIF(RawDataTotal!$B:$B,$A61,RawDataTotal!AU:AU)</f>
        <v>0</v>
      </c>
      <c r="AS61">
        <f>SUMIF(RawDataTotal!$B:$B,$A61,RawDataTotal!AV:AV)</f>
        <v>0</v>
      </c>
      <c r="AT61">
        <f>SUMIF(RawDataTotal!$B:$B,$A61,RawDataTotal!AW:AW)</f>
        <v>1</v>
      </c>
      <c r="AU61">
        <f>SUMIF(RawDataTotal!$B:$B,$A61,RawDataTotal!AX:AX)</f>
        <v>1</v>
      </c>
      <c r="AV61">
        <f>SUMIF(RawDataTotal!$B:$B,$A61,RawDataTotal!AY:AY)</f>
        <v>6</v>
      </c>
      <c r="AW61">
        <f>SUMIF(RawDataTotal!$B:$B,$A61,RawDataTotal!AZ:AZ)</f>
        <v>7</v>
      </c>
      <c r="AX61">
        <f>SUMIF(RawDataTotal!$B:$B,$A61,RawDataTotal!BA:BA)</f>
        <v>11</v>
      </c>
      <c r="AY61">
        <f>SUMIF(RawDataTotal!$B:$B,$A61,RawDataTotal!BB:BB)</f>
        <v>11</v>
      </c>
      <c r="AZ61">
        <f>SUMIF(RawDataTotal!$B:$B,$A61,RawDataTotal!BC:BC)</f>
        <v>15</v>
      </c>
      <c r="BA61">
        <f>SUMIF(RawDataTotal!$B:$B,$A61,RawDataTotal!BD:BD)</f>
        <v>28</v>
      </c>
      <c r="BB61">
        <f>SUMIF(RawDataTotal!$B:$B,$A61,RawDataTotal!BE:BE)</f>
        <v>38</v>
      </c>
      <c r="BC61">
        <f>SUMIF(RawDataTotal!$B:$B,$A61,RawDataTotal!BF:BF)</f>
        <v>43</v>
      </c>
      <c r="BD61">
        <f>SUMIF(RawDataTotal!$B:$B,$A61,RawDataTotal!BG:BG)</f>
        <v>86</v>
      </c>
      <c r="BE61">
        <f>SUMIF(RawDataTotal!$B:$B,$A61,RawDataTotal!BH:BH)</f>
        <v>117</v>
      </c>
      <c r="BF61">
        <f>SUMIF(RawDataTotal!$B:$B,$A61,RawDataTotal!BI:BI)</f>
        <v>0</v>
      </c>
      <c r="BG61">
        <f>SUMIF(RawDataTotal!$B:$B,$A61,RawDataTotal!BJ:BJ)</f>
        <v>0</v>
      </c>
      <c r="BH61">
        <f>SUMIF(RawDataTotal!$B:$B,$A61,RawDataTotal!BK:BK)</f>
        <v>0</v>
      </c>
      <c r="BI61">
        <f>SUMIF(RawDataTotal!$B:$B,$A61,RawDataTotal!BL:BL)</f>
        <v>0</v>
      </c>
      <c r="BJ61">
        <f>SUMIF(RawDataTotal!$B:$B,$A61,RawDataTotal!BM:BM)</f>
        <v>0</v>
      </c>
      <c r="BK61">
        <f>SUMIF(RawDataTotal!$B:$B,$A61,RawDataTotal!BN:BN)</f>
        <v>0</v>
      </c>
      <c r="BL61">
        <f>SUMIF(RawDataTotal!$B:$B,$A61,RawDataTotal!BO:BO)</f>
        <v>0</v>
      </c>
      <c r="BM61">
        <f>SUMIF(RawDataTotal!$B:$B,$A61,RawDataTotal!BP:BP)</f>
        <v>0</v>
      </c>
      <c r="BN61">
        <f>SUMIF(RawDataTotal!$B:$B,$A61,RawDataTotal!BQ:BQ)</f>
        <v>0</v>
      </c>
      <c r="BO61">
        <f>SUMIF(RawDataTotal!$B:$B,$A61,RawDataTotal!BR:BR)</f>
        <v>0</v>
      </c>
      <c r="BP61">
        <f>SUMIF(RawDataTotal!$B:$B,$A61,RawDataTotal!BS:BS)</f>
        <v>0</v>
      </c>
      <c r="BQ61">
        <f>SUMIF(RawDataTotal!$B:$B,$A61,RawDataTotal!BT:BT)</f>
        <v>0</v>
      </c>
      <c r="BR61">
        <f>SUMIF(RawDataTotal!$B:$B,$A61,RawDataTotal!BU:BU)</f>
        <v>0</v>
      </c>
      <c r="BS61">
        <f>SUMIF(RawDataTotal!$B:$B,$A61,RawDataTotal!BV:BV)</f>
        <v>0</v>
      </c>
      <c r="BT61">
        <f>SUMIF(RawDataTotal!$B:$B,$A61,RawDataTotal!BW:BW)</f>
        <v>0</v>
      </c>
    </row>
    <row r="62" spans="1:72" ht="15" thickBot="1" x14ac:dyDescent="0.35">
      <c r="A62" s="3" t="s">
        <v>118</v>
      </c>
      <c r="B62">
        <f>SUMIF(RawDataTotal!$B:$B,$A62,RawDataTotal!E:E)</f>
        <v>0</v>
      </c>
      <c r="C62">
        <f>SUMIF(RawDataTotal!$B:$B,$A62,RawDataTotal!F:F)</f>
        <v>0</v>
      </c>
      <c r="D62">
        <f>SUMIF(RawDataTotal!$B:$B,$A62,RawDataTotal!G:G)</f>
        <v>0</v>
      </c>
      <c r="E62">
        <f>SUMIF(RawDataTotal!$B:$B,$A62,RawDataTotal!H:H)</f>
        <v>0</v>
      </c>
      <c r="F62">
        <f>SUMIF(RawDataTotal!$B:$B,$A62,RawDataTotal!I:I)</f>
        <v>0</v>
      </c>
      <c r="G62">
        <f>SUMIF(RawDataTotal!$B:$B,$A62,RawDataTotal!J:J)</f>
        <v>0</v>
      </c>
      <c r="H62">
        <f>SUMIF(RawDataTotal!$B:$B,$A62,RawDataTotal!K:K)</f>
        <v>0</v>
      </c>
      <c r="I62">
        <f>SUMIF(RawDataTotal!$B:$B,$A62,RawDataTotal!L:L)</f>
        <v>0</v>
      </c>
      <c r="J62">
        <f>SUMIF(RawDataTotal!$B:$B,$A62,RawDataTotal!M:M)</f>
        <v>0</v>
      </c>
      <c r="K62">
        <f>SUMIF(RawDataTotal!$B:$B,$A62,RawDataTotal!N:N)</f>
        <v>0</v>
      </c>
      <c r="L62">
        <f>SUMIF(RawDataTotal!$B:$B,$A62,RawDataTotal!O:O)</f>
        <v>0</v>
      </c>
      <c r="M62">
        <f>SUMIF(RawDataTotal!$B:$B,$A62,RawDataTotal!P:P)</f>
        <v>0</v>
      </c>
      <c r="N62">
        <f>SUMIF(RawDataTotal!$B:$B,$A62,RawDataTotal!Q:Q)</f>
        <v>0</v>
      </c>
      <c r="O62">
        <f>SUMIF(RawDataTotal!$B:$B,$A62,RawDataTotal!R:R)</f>
        <v>0</v>
      </c>
      <c r="P62">
        <f>SUMIF(RawDataTotal!$B:$B,$A62,RawDataTotal!S:S)</f>
        <v>0</v>
      </c>
      <c r="Q62">
        <f>SUMIF(RawDataTotal!$B:$B,$A62,RawDataTotal!T:T)</f>
        <v>0</v>
      </c>
      <c r="R62">
        <f>SUMIF(RawDataTotal!$B:$B,$A62,RawDataTotal!U:U)</f>
        <v>0</v>
      </c>
      <c r="S62">
        <f>SUMIF(RawDataTotal!$B:$B,$A62,RawDataTotal!V:V)</f>
        <v>0</v>
      </c>
      <c r="T62">
        <f>SUMIF(RawDataTotal!$B:$B,$A62,RawDataTotal!W:W)</f>
        <v>0</v>
      </c>
      <c r="U62">
        <f>SUMIF(RawDataTotal!$B:$B,$A62,RawDataTotal!X:X)</f>
        <v>0</v>
      </c>
      <c r="V62">
        <f>SUMIF(RawDataTotal!$B:$B,$A62,RawDataTotal!Y:Y)</f>
        <v>0</v>
      </c>
      <c r="W62">
        <f>SUMIF(RawDataTotal!$B:$B,$A62,RawDataTotal!Z:Z)</f>
        <v>0</v>
      </c>
      <c r="X62">
        <f>SUMIF(RawDataTotal!$B:$B,$A62,RawDataTotal!AA:AA)</f>
        <v>0</v>
      </c>
      <c r="Y62">
        <f>SUMIF(RawDataTotal!$B:$B,$A62,RawDataTotal!AB:AB)</f>
        <v>0</v>
      </c>
      <c r="Z62">
        <f>SUMIF(RawDataTotal!$B:$B,$A62,RawDataTotal!AC:AC)</f>
        <v>0</v>
      </c>
      <c r="AA62">
        <f>SUMIF(RawDataTotal!$B:$B,$A62,RawDataTotal!AD:AD)</f>
        <v>0</v>
      </c>
      <c r="AB62">
        <f>SUMIF(RawDataTotal!$B:$B,$A62,RawDataTotal!AE:AE)</f>
        <v>0</v>
      </c>
      <c r="AC62">
        <f>SUMIF(RawDataTotal!$B:$B,$A62,RawDataTotal!AF:AF)</f>
        <v>0</v>
      </c>
      <c r="AD62">
        <f>SUMIF(RawDataTotal!$B:$B,$A62,RawDataTotal!AG:AG)</f>
        <v>0</v>
      </c>
      <c r="AE62">
        <f>SUMIF(RawDataTotal!$B:$B,$A62,RawDataTotal!AH:AH)</f>
        <v>0</v>
      </c>
      <c r="AF62">
        <f>SUMIF(RawDataTotal!$B:$B,$A62,RawDataTotal!AI:AI)</f>
        <v>0</v>
      </c>
      <c r="AG62">
        <f>SUMIF(RawDataTotal!$B:$B,$A62,RawDataTotal!AJ:AJ)</f>
        <v>0</v>
      </c>
      <c r="AH62">
        <f>SUMIF(RawDataTotal!$B:$B,$A62,RawDataTotal!AK:AK)</f>
        <v>0</v>
      </c>
      <c r="AI62">
        <f>SUMIF(RawDataTotal!$B:$B,$A62,RawDataTotal!AL:AL)</f>
        <v>0</v>
      </c>
      <c r="AJ62">
        <f>SUMIF(RawDataTotal!$B:$B,$A62,RawDataTotal!AM:AM)</f>
        <v>0</v>
      </c>
      <c r="AK62">
        <f>SUMIF(RawDataTotal!$B:$B,$A62,RawDataTotal!AN:AN)</f>
        <v>0</v>
      </c>
      <c r="AL62">
        <f>SUMIF(RawDataTotal!$B:$B,$A62,RawDataTotal!AO:AO)</f>
        <v>0</v>
      </c>
      <c r="AM62">
        <f>SUMIF(RawDataTotal!$B:$B,$A62,RawDataTotal!AP:AP)</f>
        <v>1</v>
      </c>
      <c r="AN62">
        <f>SUMIF(RawDataTotal!$B:$B,$A62,RawDataTotal!AQ:AQ)</f>
        <v>1</v>
      </c>
      <c r="AO62">
        <f>SUMIF(RawDataTotal!$B:$B,$A62,RawDataTotal!AR:AR)</f>
        <v>1</v>
      </c>
      <c r="AP62">
        <f>SUMIF(RawDataTotal!$B:$B,$A62,RawDataTotal!AS:AS)</f>
        <v>1</v>
      </c>
      <c r="AQ62">
        <f>SUMIF(RawDataTotal!$B:$B,$A62,RawDataTotal!AT:AT)</f>
        <v>1</v>
      </c>
      <c r="AR62">
        <f>SUMIF(RawDataTotal!$B:$B,$A62,RawDataTotal!AU:AU)</f>
        <v>6</v>
      </c>
      <c r="AS62">
        <f>SUMIF(RawDataTotal!$B:$B,$A62,RawDataTotal!AV:AV)</f>
        <v>6</v>
      </c>
      <c r="AT62">
        <f>SUMIF(RawDataTotal!$B:$B,$A62,RawDataTotal!AW:AW)</f>
        <v>6</v>
      </c>
      <c r="AU62">
        <f>SUMIF(RawDataTotal!$B:$B,$A62,RawDataTotal!AX:AX)</f>
        <v>6</v>
      </c>
      <c r="AV62">
        <f>SUMIF(RawDataTotal!$B:$B,$A62,RawDataTotal!AY:AY)</f>
        <v>6</v>
      </c>
      <c r="AW62">
        <f>SUMIF(RawDataTotal!$B:$B,$A62,RawDataTotal!AZ:AZ)</f>
        <v>6</v>
      </c>
      <c r="AX62">
        <f>SUMIF(RawDataTotal!$B:$B,$A62,RawDataTotal!BA:BA)</f>
        <v>9</v>
      </c>
      <c r="AY62">
        <f>SUMIF(RawDataTotal!$B:$B,$A62,RawDataTotal!BB:BB)</f>
        <v>9</v>
      </c>
      <c r="AZ62">
        <f>SUMIF(RawDataTotal!$B:$B,$A62,RawDataTotal!BC:BC)</f>
        <v>12</v>
      </c>
      <c r="BA62">
        <f>SUMIF(RawDataTotal!$B:$B,$A62,RawDataTotal!BD:BD)</f>
        <v>27</v>
      </c>
      <c r="BB62">
        <f>SUMIF(RawDataTotal!$B:$B,$A62,RawDataTotal!BE:BE)</f>
        <v>27</v>
      </c>
      <c r="BC62">
        <f>SUMIF(RawDataTotal!$B:$B,$A62,RawDataTotal!BF:BF)</f>
        <v>27</v>
      </c>
      <c r="BD62">
        <f>SUMIF(RawDataTotal!$B:$B,$A62,RawDataTotal!BG:BG)</f>
        <v>36</v>
      </c>
      <c r="BE62">
        <f>SUMIF(RawDataTotal!$B:$B,$A62,RawDataTotal!BH:BH)</f>
        <v>36</v>
      </c>
      <c r="BF62">
        <f>SUMIF(RawDataTotal!$B:$B,$A62,RawDataTotal!BI:BI)</f>
        <v>0</v>
      </c>
      <c r="BG62">
        <f>SUMIF(RawDataTotal!$B:$B,$A62,RawDataTotal!BJ:BJ)</f>
        <v>0</v>
      </c>
      <c r="BH62">
        <f>SUMIF(RawDataTotal!$B:$B,$A62,RawDataTotal!BK:BK)</f>
        <v>0</v>
      </c>
      <c r="BI62">
        <f>SUMIF(RawDataTotal!$B:$B,$A62,RawDataTotal!BL:BL)</f>
        <v>0</v>
      </c>
      <c r="BJ62">
        <f>SUMIF(RawDataTotal!$B:$B,$A62,RawDataTotal!BM:BM)</f>
        <v>0</v>
      </c>
      <c r="BK62">
        <f>SUMIF(RawDataTotal!$B:$B,$A62,RawDataTotal!BN:BN)</f>
        <v>0</v>
      </c>
      <c r="BL62">
        <f>SUMIF(RawDataTotal!$B:$B,$A62,RawDataTotal!BO:BO)</f>
        <v>0</v>
      </c>
      <c r="BM62">
        <f>SUMIF(RawDataTotal!$B:$B,$A62,RawDataTotal!BP:BP)</f>
        <v>0</v>
      </c>
      <c r="BN62">
        <f>SUMIF(RawDataTotal!$B:$B,$A62,RawDataTotal!BQ:BQ)</f>
        <v>0</v>
      </c>
      <c r="BO62">
        <f>SUMIF(RawDataTotal!$B:$B,$A62,RawDataTotal!BR:BR)</f>
        <v>0</v>
      </c>
      <c r="BP62">
        <f>SUMIF(RawDataTotal!$B:$B,$A62,RawDataTotal!BS:BS)</f>
        <v>0</v>
      </c>
      <c r="BQ62">
        <f>SUMIF(RawDataTotal!$B:$B,$A62,RawDataTotal!BT:BT)</f>
        <v>0</v>
      </c>
      <c r="BR62">
        <f>SUMIF(RawDataTotal!$B:$B,$A62,RawDataTotal!BU:BU)</f>
        <v>0</v>
      </c>
      <c r="BS62">
        <f>SUMIF(RawDataTotal!$B:$B,$A62,RawDataTotal!BV:BV)</f>
        <v>0</v>
      </c>
      <c r="BT62">
        <f>SUMIF(RawDataTotal!$B:$B,$A62,RawDataTotal!BW:BW)</f>
        <v>0</v>
      </c>
    </row>
    <row r="63" spans="1:72" ht="15" thickBot="1" x14ac:dyDescent="0.35">
      <c r="A63" s="3" t="s">
        <v>310</v>
      </c>
      <c r="B63">
        <f>SUMIF(RawDataTotal!$B:$B,$A63,RawDataTotal!E:E)</f>
        <v>0</v>
      </c>
      <c r="C63">
        <f>SUMIF(RawDataTotal!$B:$B,$A63,RawDataTotal!F:F)</f>
        <v>0</v>
      </c>
      <c r="D63">
        <f>SUMIF(RawDataTotal!$B:$B,$A63,RawDataTotal!G:G)</f>
        <v>0</v>
      </c>
      <c r="E63">
        <f>SUMIF(RawDataTotal!$B:$B,$A63,RawDataTotal!H:H)</f>
        <v>0</v>
      </c>
      <c r="F63">
        <f>SUMIF(RawDataTotal!$B:$B,$A63,RawDataTotal!I:I)</f>
        <v>0</v>
      </c>
      <c r="G63">
        <f>SUMIF(RawDataTotal!$B:$B,$A63,RawDataTotal!J:J)</f>
        <v>0</v>
      </c>
      <c r="H63">
        <f>SUMIF(RawDataTotal!$B:$B,$A63,RawDataTotal!K:K)</f>
        <v>0</v>
      </c>
      <c r="I63">
        <f>SUMIF(RawDataTotal!$B:$B,$A63,RawDataTotal!L:L)</f>
        <v>0</v>
      </c>
      <c r="J63">
        <f>SUMIF(RawDataTotal!$B:$B,$A63,RawDataTotal!M:M)</f>
        <v>0</v>
      </c>
      <c r="K63">
        <f>SUMIF(RawDataTotal!$B:$B,$A63,RawDataTotal!N:N)</f>
        <v>0</v>
      </c>
      <c r="L63">
        <f>SUMIF(RawDataTotal!$B:$B,$A63,RawDataTotal!O:O)</f>
        <v>0</v>
      </c>
      <c r="M63">
        <f>SUMIF(RawDataTotal!$B:$B,$A63,RawDataTotal!P:P)</f>
        <v>0</v>
      </c>
      <c r="N63">
        <f>SUMIF(RawDataTotal!$B:$B,$A63,RawDataTotal!Q:Q)</f>
        <v>0</v>
      </c>
      <c r="O63">
        <f>SUMIF(RawDataTotal!$B:$B,$A63,RawDataTotal!R:R)</f>
        <v>0</v>
      </c>
      <c r="P63">
        <f>SUMIF(RawDataTotal!$B:$B,$A63,RawDataTotal!S:S)</f>
        <v>0</v>
      </c>
      <c r="Q63">
        <f>SUMIF(RawDataTotal!$B:$B,$A63,RawDataTotal!T:T)</f>
        <v>0</v>
      </c>
      <c r="R63">
        <f>SUMIF(RawDataTotal!$B:$B,$A63,RawDataTotal!U:U)</f>
        <v>0</v>
      </c>
      <c r="S63">
        <f>SUMIF(RawDataTotal!$B:$B,$A63,RawDataTotal!V:V)</f>
        <v>0</v>
      </c>
      <c r="T63">
        <f>SUMIF(RawDataTotal!$B:$B,$A63,RawDataTotal!W:W)</f>
        <v>0</v>
      </c>
      <c r="U63">
        <f>SUMIF(RawDataTotal!$B:$B,$A63,RawDataTotal!X:X)</f>
        <v>0</v>
      </c>
      <c r="V63">
        <f>SUMIF(RawDataTotal!$B:$B,$A63,RawDataTotal!Y:Y)</f>
        <v>0</v>
      </c>
      <c r="W63">
        <f>SUMIF(RawDataTotal!$B:$B,$A63,RawDataTotal!Z:Z)</f>
        <v>0</v>
      </c>
      <c r="X63">
        <f>SUMIF(RawDataTotal!$B:$B,$A63,RawDataTotal!AA:AA)</f>
        <v>0</v>
      </c>
      <c r="Y63">
        <f>SUMIF(RawDataTotal!$B:$B,$A63,RawDataTotal!AB:AB)</f>
        <v>0</v>
      </c>
      <c r="Z63">
        <f>SUMIF(RawDataTotal!$B:$B,$A63,RawDataTotal!AC:AC)</f>
        <v>0</v>
      </c>
      <c r="AA63">
        <f>SUMIF(RawDataTotal!$B:$B,$A63,RawDataTotal!AD:AD)</f>
        <v>0</v>
      </c>
      <c r="AB63">
        <f>SUMIF(RawDataTotal!$B:$B,$A63,RawDataTotal!AE:AE)</f>
        <v>0</v>
      </c>
      <c r="AC63">
        <f>SUMIF(RawDataTotal!$B:$B,$A63,RawDataTotal!AF:AF)</f>
        <v>0</v>
      </c>
      <c r="AD63">
        <f>SUMIF(RawDataTotal!$B:$B,$A63,RawDataTotal!AG:AG)</f>
        <v>0</v>
      </c>
      <c r="AE63">
        <f>SUMIF(RawDataTotal!$B:$B,$A63,RawDataTotal!AH:AH)</f>
        <v>0</v>
      </c>
      <c r="AF63">
        <f>SUMIF(RawDataTotal!$B:$B,$A63,RawDataTotal!AI:AI)</f>
        <v>0</v>
      </c>
      <c r="AG63">
        <f>SUMIF(RawDataTotal!$B:$B,$A63,RawDataTotal!AJ:AJ)</f>
        <v>0</v>
      </c>
      <c r="AH63">
        <f>SUMIF(RawDataTotal!$B:$B,$A63,RawDataTotal!AK:AK)</f>
        <v>0</v>
      </c>
      <c r="AI63">
        <f>SUMIF(RawDataTotal!$B:$B,$A63,RawDataTotal!AL:AL)</f>
        <v>0</v>
      </c>
      <c r="AJ63">
        <f>SUMIF(RawDataTotal!$B:$B,$A63,RawDataTotal!AM:AM)</f>
        <v>0</v>
      </c>
      <c r="AK63">
        <f>SUMIF(RawDataTotal!$B:$B,$A63,RawDataTotal!AN:AN)</f>
        <v>0</v>
      </c>
      <c r="AL63">
        <f>SUMIF(RawDataTotal!$B:$B,$A63,RawDataTotal!AO:AO)</f>
        <v>0</v>
      </c>
      <c r="AM63">
        <f>SUMIF(RawDataTotal!$B:$B,$A63,RawDataTotal!AP:AP)</f>
        <v>0</v>
      </c>
      <c r="AN63">
        <f>SUMIF(RawDataTotal!$B:$B,$A63,RawDataTotal!AQ:AQ)</f>
        <v>0</v>
      </c>
      <c r="AO63">
        <f>SUMIF(RawDataTotal!$B:$B,$A63,RawDataTotal!AR:AR)</f>
        <v>0</v>
      </c>
      <c r="AP63">
        <f>SUMIF(RawDataTotal!$B:$B,$A63,RawDataTotal!AS:AS)</f>
        <v>0</v>
      </c>
      <c r="AQ63">
        <f>SUMIF(RawDataTotal!$B:$B,$A63,RawDataTotal!AT:AT)</f>
        <v>0</v>
      </c>
      <c r="AR63">
        <f>SUMIF(RawDataTotal!$B:$B,$A63,RawDataTotal!AU:AU)</f>
        <v>0</v>
      </c>
      <c r="AS63">
        <f>SUMIF(RawDataTotal!$B:$B,$A63,RawDataTotal!AV:AV)</f>
        <v>0</v>
      </c>
      <c r="AT63">
        <f>SUMIF(RawDataTotal!$B:$B,$A63,RawDataTotal!AW:AW)</f>
        <v>0</v>
      </c>
      <c r="AU63">
        <f>SUMIF(RawDataTotal!$B:$B,$A63,RawDataTotal!AX:AX)</f>
        <v>0</v>
      </c>
      <c r="AV63">
        <f>SUMIF(RawDataTotal!$B:$B,$A63,RawDataTotal!AY:AY)</f>
        <v>0</v>
      </c>
      <c r="AW63">
        <f>SUMIF(RawDataTotal!$B:$B,$A63,RawDataTotal!AZ:AZ)</f>
        <v>0</v>
      </c>
      <c r="AX63">
        <f>SUMIF(RawDataTotal!$B:$B,$A63,RawDataTotal!BA:BA)</f>
        <v>1</v>
      </c>
      <c r="AY63">
        <f>SUMIF(RawDataTotal!$B:$B,$A63,RawDataTotal!BB:BB)</f>
        <v>8</v>
      </c>
      <c r="AZ63">
        <f>SUMIF(RawDataTotal!$B:$B,$A63,RawDataTotal!BC:BC)</f>
        <v>11</v>
      </c>
      <c r="BA63">
        <f>SUMIF(RawDataTotal!$B:$B,$A63,RawDataTotal!BD:BD)</f>
        <v>27</v>
      </c>
      <c r="BB63">
        <f>SUMIF(RawDataTotal!$B:$B,$A63,RawDataTotal!BE:BE)</f>
        <v>36</v>
      </c>
      <c r="BC63">
        <f>SUMIF(RawDataTotal!$B:$B,$A63,RawDataTotal!BF:BF)</f>
        <v>43</v>
      </c>
      <c r="BD63">
        <f>SUMIF(RawDataTotal!$B:$B,$A63,RawDataTotal!BG:BG)</f>
        <v>55</v>
      </c>
      <c r="BE63">
        <f>SUMIF(RawDataTotal!$B:$B,$A63,RawDataTotal!BH:BH)</f>
        <v>69</v>
      </c>
      <c r="BF63">
        <f>SUMIF(RawDataTotal!$B:$B,$A63,RawDataTotal!BI:BI)</f>
        <v>0</v>
      </c>
      <c r="BG63">
        <f>SUMIF(RawDataTotal!$B:$B,$A63,RawDataTotal!BJ:BJ)</f>
        <v>0</v>
      </c>
      <c r="BH63">
        <f>SUMIF(RawDataTotal!$B:$B,$A63,RawDataTotal!BK:BK)</f>
        <v>0</v>
      </c>
      <c r="BI63">
        <f>SUMIF(RawDataTotal!$B:$B,$A63,RawDataTotal!BL:BL)</f>
        <v>0</v>
      </c>
      <c r="BJ63">
        <f>SUMIF(RawDataTotal!$B:$B,$A63,RawDataTotal!BM:BM)</f>
        <v>0</v>
      </c>
      <c r="BK63">
        <f>SUMIF(RawDataTotal!$B:$B,$A63,RawDataTotal!BN:BN)</f>
        <v>0</v>
      </c>
      <c r="BL63">
        <f>SUMIF(RawDataTotal!$B:$B,$A63,RawDataTotal!BO:BO)</f>
        <v>0</v>
      </c>
      <c r="BM63">
        <f>SUMIF(RawDataTotal!$B:$B,$A63,RawDataTotal!BP:BP)</f>
        <v>0</v>
      </c>
      <c r="BN63">
        <f>SUMIF(RawDataTotal!$B:$B,$A63,RawDataTotal!BQ:BQ)</f>
        <v>0</v>
      </c>
      <c r="BO63">
        <f>SUMIF(RawDataTotal!$B:$B,$A63,RawDataTotal!BR:BR)</f>
        <v>0</v>
      </c>
      <c r="BP63">
        <f>SUMIF(RawDataTotal!$B:$B,$A63,RawDataTotal!BS:BS)</f>
        <v>0</v>
      </c>
      <c r="BQ63">
        <f>SUMIF(RawDataTotal!$B:$B,$A63,RawDataTotal!BT:BT)</f>
        <v>0</v>
      </c>
      <c r="BR63">
        <f>SUMIF(RawDataTotal!$B:$B,$A63,RawDataTotal!BU:BU)</f>
        <v>0</v>
      </c>
      <c r="BS63">
        <f>SUMIF(RawDataTotal!$B:$B,$A63,RawDataTotal!BV:BV)</f>
        <v>0</v>
      </c>
      <c r="BT63">
        <f>SUMIF(RawDataTotal!$B:$B,$A63,RawDataTotal!BW:BW)</f>
        <v>0</v>
      </c>
    </row>
    <row r="64" spans="1:72" ht="15" thickBot="1" x14ac:dyDescent="0.35">
      <c r="A64" s="4" t="s">
        <v>102</v>
      </c>
      <c r="B64">
        <f>SUMIF(RawDataTotal!$B:$B,$A64,RawDataTotal!E:E)</f>
        <v>0</v>
      </c>
      <c r="C64">
        <f>SUMIF(RawDataTotal!$B:$B,$A64,RawDataTotal!F:F)</f>
        <v>0</v>
      </c>
      <c r="D64">
        <f>SUMIF(RawDataTotal!$B:$B,$A64,RawDataTotal!G:G)</f>
        <v>0</v>
      </c>
      <c r="E64">
        <f>SUMIF(RawDataTotal!$B:$B,$A64,RawDataTotal!H:H)</f>
        <v>0</v>
      </c>
      <c r="F64">
        <f>SUMIF(RawDataTotal!$B:$B,$A64,RawDataTotal!I:I)</f>
        <v>0</v>
      </c>
      <c r="G64">
        <f>SUMIF(RawDataTotal!$B:$B,$A64,RawDataTotal!J:J)</f>
        <v>0</v>
      </c>
      <c r="H64">
        <f>SUMIF(RawDataTotal!$B:$B,$A64,RawDataTotal!K:K)</f>
        <v>0</v>
      </c>
      <c r="I64">
        <f>SUMIF(RawDataTotal!$B:$B,$A64,RawDataTotal!L:L)</f>
        <v>0</v>
      </c>
      <c r="J64">
        <f>SUMIF(RawDataTotal!$B:$B,$A64,RawDataTotal!M:M)</f>
        <v>0</v>
      </c>
      <c r="K64">
        <f>SUMIF(RawDataTotal!$B:$B,$A64,RawDataTotal!N:N)</f>
        <v>0</v>
      </c>
      <c r="L64">
        <f>SUMIF(RawDataTotal!$B:$B,$A64,RawDataTotal!O:O)</f>
        <v>0</v>
      </c>
      <c r="M64">
        <f>SUMIF(RawDataTotal!$B:$B,$A64,RawDataTotal!P:P)</f>
        <v>0</v>
      </c>
      <c r="N64">
        <f>SUMIF(RawDataTotal!$B:$B,$A64,RawDataTotal!Q:Q)</f>
        <v>0</v>
      </c>
      <c r="O64">
        <f>SUMIF(RawDataTotal!$B:$B,$A64,RawDataTotal!R:R)</f>
        <v>0</v>
      </c>
      <c r="P64">
        <f>SUMIF(RawDataTotal!$B:$B,$A64,RawDataTotal!S:S)</f>
        <v>0</v>
      </c>
      <c r="Q64">
        <f>SUMIF(RawDataTotal!$B:$B,$A64,RawDataTotal!T:T)</f>
        <v>0</v>
      </c>
      <c r="R64">
        <f>SUMIF(RawDataTotal!$B:$B,$A64,RawDataTotal!U:U)</f>
        <v>0</v>
      </c>
      <c r="S64">
        <f>SUMIF(RawDataTotal!$B:$B,$A64,RawDataTotal!V:V)</f>
        <v>0</v>
      </c>
      <c r="T64">
        <f>SUMIF(RawDataTotal!$B:$B,$A64,RawDataTotal!W:W)</f>
        <v>0</v>
      </c>
      <c r="U64">
        <f>SUMIF(RawDataTotal!$B:$B,$A64,RawDataTotal!X:X)</f>
        <v>0</v>
      </c>
      <c r="V64">
        <f>SUMIF(RawDataTotal!$B:$B,$A64,RawDataTotal!Y:Y)</f>
        <v>0</v>
      </c>
      <c r="W64">
        <f>SUMIF(RawDataTotal!$B:$B,$A64,RawDataTotal!Z:Z)</f>
        <v>0</v>
      </c>
      <c r="X64">
        <f>SUMIF(RawDataTotal!$B:$B,$A64,RawDataTotal!AA:AA)</f>
        <v>0</v>
      </c>
      <c r="Y64">
        <f>SUMIF(RawDataTotal!$B:$B,$A64,RawDataTotal!AB:AB)</f>
        <v>0</v>
      </c>
      <c r="Z64">
        <f>SUMIF(RawDataTotal!$B:$B,$A64,RawDataTotal!AC:AC)</f>
        <v>0</v>
      </c>
      <c r="AA64">
        <f>SUMIF(RawDataTotal!$B:$B,$A64,RawDataTotal!AD:AD)</f>
        <v>0</v>
      </c>
      <c r="AB64">
        <f>SUMIF(RawDataTotal!$B:$B,$A64,RawDataTotal!AE:AE)</f>
        <v>0</v>
      </c>
      <c r="AC64">
        <f>SUMIF(RawDataTotal!$B:$B,$A64,RawDataTotal!AF:AF)</f>
        <v>0</v>
      </c>
      <c r="AD64">
        <f>SUMIF(RawDataTotal!$B:$B,$A64,RawDataTotal!AG:AG)</f>
        <v>0</v>
      </c>
      <c r="AE64">
        <f>SUMIF(RawDataTotal!$B:$B,$A64,RawDataTotal!AH:AH)</f>
        <v>0</v>
      </c>
      <c r="AF64">
        <f>SUMIF(RawDataTotal!$B:$B,$A64,RawDataTotal!AI:AI)</f>
        <v>0</v>
      </c>
      <c r="AG64">
        <f>SUMIF(RawDataTotal!$B:$B,$A64,RawDataTotal!AJ:AJ)</f>
        <v>0</v>
      </c>
      <c r="AH64">
        <f>SUMIF(RawDataTotal!$B:$B,$A64,RawDataTotal!AK:AK)</f>
        <v>0</v>
      </c>
      <c r="AI64">
        <f>SUMIF(RawDataTotal!$B:$B,$A64,RawDataTotal!AL:AL)</f>
        <v>0</v>
      </c>
      <c r="AJ64">
        <f>SUMIF(RawDataTotal!$B:$B,$A64,RawDataTotal!AM:AM)</f>
        <v>1</v>
      </c>
      <c r="AK64">
        <f>SUMIF(RawDataTotal!$B:$B,$A64,RawDataTotal!AN:AN)</f>
        <v>1</v>
      </c>
      <c r="AL64">
        <f>SUMIF(RawDataTotal!$B:$B,$A64,RawDataTotal!AO:AO)</f>
        <v>1</v>
      </c>
      <c r="AM64">
        <f>SUMIF(RawDataTotal!$B:$B,$A64,RawDataTotal!AP:AP)</f>
        <v>1</v>
      </c>
      <c r="AN64">
        <f>SUMIF(RawDataTotal!$B:$B,$A64,RawDataTotal!AQ:AQ)</f>
        <v>1</v>
      </c>
      <c r="AO64">
        <f>SUMIF(RawDataTotal!$B:$B,$A64,RawDataTotal!AR:AR)</f>
        <v>1</v>
      </c>
      <c r="AP64">
        <f>SUMIF(RawDataTotal!$B:$B,$A64,RawDataTotal!AS:AS)</f>
        <v>3</v>
      </c>
      <c r="AQ64">
        <f>SUMIF(RawDataTotal!$B:$B,$A64,RawDataTotal!AT:AT)</f>
        <v>5</v>
      </c>
      <c r="AR64">
        <f>SUMIF(RawDataTotal!$B:$B,$A64,RawDataTotal!AU:AU)</f>
        <v>12</v>
      </c>
      <c r="AS64">
        <f>SUMIF(RawDataTotal!$B:$B,$A64,RawDataTotal!AV:AV)</f>
        <v>12</v>
      </c>
      <c r="AT64">
        <f>SUMIF(RawDataTotal!$B:$B,$A64,RawDataTotal!AW:AW)</f>
        <v>17</v>
      </c>
      <c r="AU64">
        <f>SUMIF(RawDataTotal!$B:$B,$A64,RawDataTotal!AX:AX)</f>
        <v>17</v>
      </c>
      <c r="AV64">
        <f>SUMIF(RawDataTotal!$B:$B,$A64,RawDataTotal!AY:AY)</f>
        <v>19</v>
      </c>
      <c r="AW64">
        <f>SUMIF(RawDataTotal!$B:$B,$A64,RawDataTotal!AZ:AZ)</f>
        <v>20</v>
      </c>
      <c r="AX64">
        <f>SUMIF(RawDataTotal!$B:$B,$A64,RawDataTotal!BA:BA)</f>
        <v>20</v>
      </c>
      <c r="AY64">
        <f>SUMIF(RawDataTotal!$B:$B,$A64,RawDataTotal!BB:BB)</f>
        <v>20</v>
      </c>
      <c r="AZ64">
        <f>SUMIF(RawDataTotal!$B:$B,$A64,RawDataTotal!BC:BC)</f>
        <v>24</v>
      </c>
      <c r="BA64">
        <f>SUMIF(RawDataTotal!$B:$B,$A64,RawDataTotal!BD:BD)</f>
        <v>26</v>
      </c>
      <c r="BB64">
        <f>SUMIF(RawDataTotal!$B:$B,$A64,RawDataTotal!BE:BE)</f>
        <v>37</v>
      </c>
      <c r="BC64">
        <f>SUMIF(RawDataTotal!$B:$B,$A64,RawDataTotal!BF:BF)</f>
        <v>48</v>
      </c>
      <c r="BD64">
        <f>SUMIF(RawDataTotal!$B:$B,$A64,RawDataTotal!BG:BG)</f>
        <v>54</v>
      </c>
      <c r="BE64">
        <f>SUMIF(RawDataTotal!$B:$B,$A64,RawDataTotal!BH:BH)</f>
        <v>60</v>
      </c>
      <c r="BF64">
        <f>SUMIF(RawDataTotal!$B:$B,$A64,RawDataTotal!BI:BI)</f>
        <v>0</v>
      </c>
      <c r="BG64">
        <f>SUMIF(RawDataTotal!$B:$B,$A64,RawDataTotal!BJ:BJ)</f>
        <v>0</v>
      </c>
      <c r="BH64">
        <f>SUMIF(RawDataTotal!$B:$B,$A64,RawDataTotal!BK:BK)</f>
        <v>0</v>
      </c>
      <c r="BI64">
        <f>SUMIF(RawDataTotal!$B:$B,$A64,RawDataTotal!BL:BL)</f>
        <v>0</v>
      </c>
      <c r="BJ64">
        <f>SUMIF(RawDataTotal!$B:$B,$A64,RawDataTotal!BM:BM)</f>
        <v>0</v>
      </c>
      <c r="BK64">
        <f>SUMIF(RawDataTotal!$B:$B,$A64,RawDataTotal!BN:BN)</f>
        <v>0</v>
      </c>
      <c r="BL64">
        <f>SUMIF(RawDataTotal!$B:$B,$A64,RawDataTotal!BO:BO)</f>
        <v>0</v>
      </c>
      <c r="BM64">
        <f>SUMIF(RawDataTotal!$B:$B,$A64,RawDataTotal!BP:BP)</f>
        <v>0</v>
      </c>
      <c r="BN64">
        <f>SUMIF(RawDataTotal!$B:$B,$A64,RawDataTotal!BQ:BQ)</f>
        <v>0</v>
      </c>
      <c r="BO64">
        <f>SUMIF(RawDataTotal!$B:$B,$A64,RawDataTotal!BR:BR)</f>
        <v>0</v>
      </c>
      <c r="BP64">
        <f>SUMIF(RawDataTotal!$B:$B,$A64,RawDataTotal!BS:BS)</f>
        <v>0</v>
      </c>
      <c r="BQ64">
        <f>SUMIF(RawDataTotal!$B:$B,$A64,RawDataTotal!BT:BT)</f>
        <v>0</v>
      </c>
      <c r="BR64">
        <f>SUMIF(RawDataTotal!$B:$B,$A64,RawDataTotal!BU:BU)</f>
        <v>0</v>
      </c>
      <c r="BS64">
        <f>SUMIF(RawDataTotal!$B:$B,$A64,RawDataTotal!BV:BV)</f>
        <v>0</v>
      </c>
      <c r="BT64">
        <f>SUMIF(RawDataTotal!$B:$B,$A64,RawDataTotal!BW:BW)</f>
        <v>0</v>
      </c>
    </row>
    <row r="65" spans="1:72" ht="15" thickBot="1" x14ac:dyDescent="0.35">
      <c r="A65" s="3" t="s">
        <v>109</v>
      </c>
      <c r="B65">
        <f>SUMIF(RawDataTotal!$B:$B,$A65,RawDataTotal!E:E)</f>
        <v>0</v>
      </c>
      <c r="C65">
        <f>SUMIF(RawDataTotal!$B:$B,$A65,RawDataTotal!F:F)</f>
        <v>0</v>
      </c>
      <c r="D65">
        <f>SUMIF(RawDataTotal!$B:$B,$A65,RawDataTotal!G:G)</f>
        <v>0</v>
      </c>
      <c r="E65">
        <f>SUMIF(RawDataTotal!$B:$B,$A65,RawDataTotal!H:H)</f>
        <v>0</v>
      </c>
      <c r="F65">
        <f>SUMIF(RawDataTotal!$B:$B,$A65,RawDataTotal!I:I)</f>
        <v>0</v>
      </c>
      <c r="G65">
        <f>SUMIF(RawDataTotal!$B:$B,$A65,RawDataTotal!J:J)</f>
        <v>0</v>
      </c>
      <c r="H65">
        <f>SUMIF(RawDataTotal!$B:$B,$A65,RawDataTotal!K:K)</f>
        <v>0</v>
      </c>
      <c r="I65">
        <f>SUMIF(RawDataTotal!$B:$B,$A65,RawDataTotal!L:L)</f>
        <v>0</v>
      </c>
      <c r="J65">
        <f>SUMIF(RawDataTotal!$B:$B,$A65,RawDataTotal!M:M)</f>
        <v>0</v>
      </c>
      <c r="K65">
        <f>SUMIF(RawDataTotal!$B:$B,$A65,RawDataTotal!N:N)</f>
        <v>0</v>
      </c>
      <c r="L65">
        <f>SUMIF(RawDataTotal!$B:$B,$A65,RawDataTotal!O:O)</f>
        <v>0</v>
      </c>
      <c r="M65">
        <f>SUMIF(RawDataTotal!$B:$B,$A65,RawDataTotal!P:P)</f>
        <v>0</v>
      </c>
      <c r="N65">
        <f>SUMIF(RawDataTotal!$B:$B,$A65,RawDataTotal!Q:Q)</f>
        <v>0</v>
      </c>
      <c r="O65">
        <f>SUMIF(RawDataTotal!$B:$B,$A65,RawDataTotal!R:R)</f>
        <v>0</v>
      </c>
      <c r="P65">
        <f>SUMIF(RawDataTotal!$B:$B,$A65,RawDataTotal!S:S)</f>
        <v>0</v>
      </c>
      <c r="Q65">
        <f>SUMIF(RawDataTotal!$B:$B,$A65,RawDataTotal!T:T)</f>
        <v>0</v>
      </c>
      <c r="R65">
        <f>SUMIF(RawDataTotal!$B:$B,$A65,RawDataTotal!U:U)</f>
        <v>0</v>
      </c>
      <c r="S65">
        <f>SUMIF(RawDataTotal!$B:$B,$A65,RawDataTotal!V:V)</f>
        <v>0</v>
      </c>
      <c r="T65">
        <f>SUMIF(RawDataTotal!$B:$B,$A65,RawDataTotal!W:W)</f>
        <v>0</v>
      </c>
      <c r="U65">
        <f>SUMIF(RawDataTotal!$B:$B,$A65,RawDataTotal!X:X)</f>
        <v>0</v>
      </c>
      <c r="V65">
        <f>SUMIF(RawDataTotal!$B:$B,$A65,RawDataTotal!Y:Y)</f>
        <v>0</v>
      </c>
      <c r="W65">
        <f>SUMIF(RawDataTotal!$B:$B,$A65,RawDataTotal!Z:Z)</f>
        <v>0</v>
      </c>
      <c r="X65">
        <f>SUMIF(RawDataTotal!$B:$B,$A65,RawDataTotal!AA:AA)</f>
        <v>0</v>
      </c>
      <c r="Y65">
        <f>SUMIF(RawDataTotal!$B:$B,$A65,RawDataTotal!AB:AB)</f>
        <v>0</v>
      </c>
      <c r="Z65">
        <f>SUMIF(RawDataTotal!$B:$B,$A65,RawDataTotal!AC:AC)</f>
        <v>0</v>
      </c>
      <c r="AA65">
        <f>SUMIF(RawDataTotal!$B:$B,$A65,RawDataTotal!AD:AD)</f>
        <v>0</v>
      </c>
      <c r="AB65">
        <f>SUMIF(RawDataTotal!$B:$B,$A65,RawDataTotal!AE:AE)</f>
        <v>0</v>
      </c>
      <c r="AC65">
        <f>SUMIF(RawDataTotal!$B:$B,$A65,RawDataTotal!AF:AF)</f>
        <v>0</v>
      </c>
      <c r="AD65">
        <f>SUMIF(RawDataTotal!$B:$B,$A65,RawDataTotal!AG:AG)</f>
        <v>0</v>
      </c>
      <c r="AE65">
        <f>SUMIF(RawDataTotal!$B:$B,$A65,RawDataTotal!AH:AH)</f>
        <v>0</v>
      </c>
      <c r="AF65">
        <f>SUMIF(RawDataTotal!$B:$B,$A65,RawDataTotal!AI:AI)</f>
        <v>0</v>
      </c>
      <c r="AG65">
        <f>SUMIF(RawDataTotal!$B:$B,$A65,RawDataTotal!AJ:AJ)</f>
        <v>0</v>
      </c>
      <c r="AH65">
        <f>SUMIF(RawDataTotal!$B:$B,$A65,RawDataTotal!AK:AK)</f>
        <v>0</v>
      </c>
      <c r="AI65">
        <f>SUMIF(RawDataTotal!$B:$B,$A65,RawDataTotal!AL:AL)</f>
        <v>0</v>
      </c>
      <c r="AJ65">
        <f>SUMIF(RawDataTotal!$B:$B,$A65,RawDataTotal!AM:AM)</f>
        <v>0</v>
      </c>
      <c r="AK65">
        <f>SUMIF(RawDataTotal!$B:$B,$A65,RawDataTotal!AN:AN)</f>
        <v>1</v>
      </c>
      <c r="AL65">
        <f>SUMIF(RawDataTotal!$B:$B,$A65,RawDataTotal!AO:AO)</f>
        <v>1</v>
      </c>
      <c r="AM65">
        <f>SUMIF(RawDataTotal!$B:$B,$A65,RawDataTotal!AP:AP)</f>
        <v>1</v>
      </c>
      <c r="AN65">
        <f>SUMIF(RawDataTotal!$B:$B,$A65,RawDataTotal!AQ:AQ)</f>
        <v>1</v>
      </c>
      <c r="AO65">
        <f>SUMIF(RawDataTotal!$B:$B,$A65,RawDataTotal!AR:AR)</f>
        <v>3</v>
      </c>
      <c r="AP65">
        <f>SUMIF(RawDataTotal!$B:$B,$A65,RawDataTotal!AS:AS)</f>
        <v>3</v>
      </c>
      <c r="AQ65">
        <f>SUMIF(RawDataTotal!$B:$B,$A65,RawDataTotal!AT:AT)</f>
        <v>3</v>
      </c>
      <c r="AR65">
        <f>SUMIF(RawDataTotal!$B:$B,$A65,RawDataTotal!AU:AU)</f>
        <v>3</v>
      </c>
      <c r="AS65">
        <f>SUMIF(RawDataTotal!$B:$B,$A65,RawDataTotal!AV:AV)</f>
        <v>4</v>
      </c>
      <c r="AT65">
        <f>SUMIF(RawDataTotal!$B:$B,$A65,RawDataTotal!AW:AW)</f>
        <v>4</v>
      </c>
      <c r="AU65">
        <f>SUMIF(RawDataTotal!$B:$B,$A65,RawDataTotal!AX:AX)</f>
        <v>4</v>
      </c>
      <c r="AV65">
        <f>SUMIF(RawDataTotal!$B:$B,$A65,RawDataTotal!AY:AY)</f>
        <v>13</v>
      </c>
      <c r="AW65">
        <f>SUMIF(RawDataTotal!$B:$B,$A65,RawDataTotal!AZ:AZ)</f>
        <v>15</v>
      </c>
      <c r="AX65">
        <f>SUMIF(RawDataTotal!$B:$B,$A65,RawDataTotal!BA:BA)</f>
        <v>15</v>
      </c>
      <c r="AY65">
        <f>SUMIF(RawDataTotal!$B:$B,$A65,RawDataTotal!BB:BB)</f>
        <v>24</v>
      </c>
      <c r="AZ65">
        <f>SUMIF(RawDataTotal!$B:$B,$A65,RawDataTotal!BC:BC)</f>
        <v>24</v>
      </c>
      <c r="BA65">
        <f>SUMIF(RawDataTotal!$B:$B,$A65,RawDataTotal!BD:BD)</f>
        <v>25</v>
      </c>
      <c r="BB65">
        <f>SUMIF(RawDataTotal!$B:$B,$A65,RawDataTotal!BE:BE)</f>
        <v>30</v>
      </c>
      <c r="BC65">
        <f>SUMIF(RawDataTotal!$B:$B,$A65,RawDataTotal!BF:BF)</f>
        <v>33</v>
      </c>
      <c r="BD65">
        <f>SUMIF(RawDataTotal!$B:$B,$A65,RawDataTotal!BG:BG)</f>
        <v>33</v>
      </c>
      <c r="BE65">
        <f>SUMIF(RawDataTotal!$B:$B,$A65,RawDataTotal!BH:BH)</f>
        <v>34</v>
      </c>
      <c r="BF65">
        <f>SUMIF(RawDataTotal!$B:$B,$A65,RawDataTotal!BI:BI)</f>
        <v>0</v>
      </c>
      <c r="BG65">
        <f>SUMIF(RawDataTotal!$B:$B,$A65,RawDataTotal!BJ:BJ)</f>
        <v>0</v>
      </c>
      <c r="BH65">
        <f>SUMIF(RawDataTotal!$B:$B,$A65,RawDataTotal!BK:BK)</f>
        <v>0</v>
      </c>
      <c r="BI65">
        <f>SUMIF(RawDataTotal!$B:$B,$A65,RawDataTotal!BL:BL)</f>
        <v>0</v>
      </c>
      <c r="BJ65">
        <f>SUMIF(RawDataTotal!$B:$B,$A65,RawDataTotal!BM:BM)</f>
        <v>0</v>
      </c>
      <c r="BK65">
        <f>SUMIF(RawDataTotal!$B:$B,$A65,RawDataTotal!BN:BN)</f>
        <v>0</v>
      </c>
      <c r="BL65">
        <f>SUMIF(RawDataTotal!$B:$B,$A65,RawDataTotal!BO:BO)</f>
        <v>0</v>
      </c>
      <c r="BM65">
        <f>SUMIF(RawDataTotal!$B:$B,$A65,RawDataTotal!BP:BP)</f>
        <v>0</v>
      </c>
      <c r="BN65">
        <f>SUMIF(RawDataTotal!$B:$B,$A65,RawDataTotal!BQ:BQ)</f>
        <v>0</v>
      </c>
      <c r="BO65">
        <f>SUMIF(RawDataTotal!$B:$B,$A65,RawDataTotal!BR:BR)</f>
        <v>0</v>
      </c>
      <c r="BP65">
        <f>SUMIF(RawDataTotal!$B:$B,$A65,RawDataTotal!BS:BS)</f>
        <v>0</v>
      </c>
      <c r="BQ65">
        <f>SUMIF(RawDataTotal!$B:$B,$A65,RawDataTotal!BT:BT)</f>
        <v>0</v>
      </c>
      <c r="BR65">
        <f>SUMIF(RawDataTotal!$B:$B,$A65,RawDataTotal!BU:BU)</f>
        <v>0</v>
      </c>
      <c r="BS65">
        <f>SUMIF(RawDataTotal!$B:$B,$A65,RawDataTotal!BV:BV)</f>
        <v>0</v>
      </c>
      <c r="BT65">
        <f>SUMIF(RawDataTotal!$B:$B,$A65,RawDataTotal!BW:BW)</f>
        <v>0</v>
      </c>
    </row>
    <row r="66" spans="1:72" ht="15" thickBot="1" x14ac:dyDescent="0.35">
      <c r="A66" s="3" t="s">
        <v>172</v>
      </c>
      <c r="B66">
        <f>SUMIF(RawDataTotal!$B:$B,$A66,RawDataTotal!E:E)</f>
        <v>0</v>
      </c>
      <c r="C66">
        <f>SUMIF(RawDataTotal!$B:$B,$A66,RawDataTotal!F:F)</f>
        <v>0</v>
      </c>
      <c r="D66">
        <f>SUMIF(RawDataTotal!$B:$B,$A66,RawDataTotal!G:G)</f>
        <v>0</v>
      </c>
      <c r="E66">
        <f>SUMIF(RawDataTotal!$B:$B,$A66,RawDataTotal!H:H)</f>
        <v>0</v>
      </c>
      <c r="F66">
        <f>SUMIF(RawDataTotal!$B:$B,$A66,RawDataTotal!I:I)</f>
        <v>0</v>
      </c>
      <c r="G66">
        <f>SUMIF(RawDataTotal!$B:$B,$A66,RawDataTotal!J:J)</f>
        <v>0</v>
      </c>
      <c r="H66">
        <f>SUMIF(RawDataTotal!$B:$B,$A66,RawDataTotal!K:K)</f>
        <v>0</v>
      </c>
      <c r="I66">
        <f>SUMIF(RawDataTotal!$B:$B,$A66,RawDataTotal!L:L)</f>
        <v>0</v>
      </c>
      <c r="J66">
        <f>SUMIF(RawDataTotal!$B:$B,$A66,RawDataTotal!M:M)</f>
        <v>0</v>
      </c>
      <c r="K66">
        <f>SUMIF(RawDataTotal!$B:$B,$A66,RawDataTotal!N:N)</f>
        <v>0</v>
      </c>
      <c r="L66">
        <f>SUMIF(RawDataTotal!$B:$B,$A66,RawDataTotal!O:O)</f>
        <v>0</v>
      </c>
      <c r="M66">
        <f>SUMIF(RawDataTotal!$B:$B,$A66,RawDataTotal!P:P)</f>
        <v>0</v>
      </c>
      <c r="N66">
        <f>SUMIF(RawDataTotal!$B:$B,$A66,RawDataTotal!Q:Q)</f>
        <v>0</v>
      </c>
      <c r="O66">
        <f>SUMIF(RawDataTotal!$B:$B,$A66,RawDataTotal!R:R)</f>
        <v>0</v>
      </c>
      <c r="P66">
        <f>SUMIF(RawDataTotal!$B:$B,$A66,RawDataTotal!S:S)</f>
        <v>0</v>
      </c>
      <c r="Q66">
        <f>SUMIF(RawDataTotal!$B:$B,$A66,RawDataTotal!T:T)</f>
        <v>0</v>
      </c>
      <c r="R66">
        <f>SUMIF(RawDataTotal!$B:$B,$A66,RawDataTotal!U:U)</f>
        <v>0</v>
      </c>
      <c r="S66">
        <f>SUMIF(RawDataTotal!$B:$B,$A66,RawDataTotal!V:V)</f>
        <v>0</v>
      </c>
      <c r="T66">
        <f>SUMIF(RawDataTotal!$B:$B,$A66,RawDataTotal!W:W)</f>
        <v>0</v>
      </c>
      <c r="U66">
        <f>SUMIF(RawDataTotal!$B:$B,$A66,RawDataTotal!X:X)</f>
        <v>0</v>
      </c>
      <c r="V66">
        <f>SUMIF(RawDataTotal!$B:$B,$A66,RawDataTotal!Y:Y)</f>
        <v>0</v>
      </c>
      <c r="W66">
        <f>SUMIF(RawDataTotal!$B:$B,$A66,RawDataTotal!Z:Z)</f>
        <v>0</v>
      </c>
      <c r="X66">
        <f>SUMIF(RawDataTotal!$B:$B,$A66,RawDataTotal!AA:AA)</f>
        <v>0</v>
      </c>
      <c r="Y66">
        <f>SUMIF(RawDataTotal!$B:$B,$A66,RawDataTotal!AB:AB)</f>
        <v>0</v>
      </c>
      <c r="Z66">
        <f>SUMIF(RawDataTotal!$B:$B,$A66,RawDataTotal!AC:AC)</f>
        <v>0</v>
      </c>
      <c r="AA66">
        <f>SUMIF(RawDataTotal!$B:$B,$A66,RawDataTotal!AD:AD)</f>
        <v>0</v>
      </c>
      <c r="AB66">
        <f>SUMIF(RawDataTotal!$B:$B,$A66,RawDataTotal!AE:AE)</f>
        <v>0</v>
      </c>
      <c r="AC66">
        <f>SUMIF(RawDataTotal!$B:$B,$A66,RawDataTotal!AF:AF)</f>
        <v>0</v>
      </c>
      <c r="AD66">
        <f>SUMIF(RawDataTotal!$B:$B,$A66,RawDataTotal!AG:AG)</f>
        <v>0</v>
      </c>
      <c r="AE66">
        <f>SUMIF(RawDataTotal!$B:$B,$A66,RawDataTotal!AH:AH)</f>
        <v>0</v>
      </c>
      <c r="AF66">
        <f>SUMIF(RawDataTotal!$B:$B,$A66,RawDataTotal!AI:AI)</f>
        <v>0</v>
      </c>
      <c r="AG66">
        <f>SUMIF(RawDataTotal!$B:$B,$A66,RawDataTotal!AJ:AJ)</f>
        <v>0</v>
      </c>
      <c r="AH66">
        <f>SUMIF(RawDataTotal!$B:$B,$A66,RawDataTotal!AK:AK)</f>
        <v>0</v>
      </c>
      <c r="AI66">
        <f>SUMIF(RawDataTotal!$B:$B,$A66,RawDataTotal!AL:AL)</f>
        <v>0</v>
      </c>
      <c r="AJ66">
        <f>SUMIF(RawDataTotal!$B:$B,$A66,RawDataTotal!AM:AM)</f>
        <v>0</v>
      </c>
      <c r="AK66">
        <f>SUMIF(RawDataTotal!$B:$B,$A66,RawDataTotal!AN:AN)</f>
        <v>0</v>
      </c>
      <c r="AL66">
        <f>SUMIF(RawDataTotal!$B:$B,$A66,RawDataTotal!AO:AO)</f>
        <v>0</v>
      </c>
      <c r="AM66">
        <f>SUMIF(RawDataTotal!$B:$B,$A66,RawDataTotal!AP:AP)</f>
        <v>0</v>
      </c>
      <c r="AN66">
        <f>SUMIF(RawDataTotal!$B:$B,$A66,RawDataTotal!AQ:AQ)</f>
        <v>0</v>
      </c>
      <c r="AO66">
        <f>SUMIF(RawDataTotal!$B:$B,$A66,RawDataTotal!AR:AR)</f>
        <v>0</v>
      </c>
      <c r="AP66">
        <f>SUMIF(RawDataTotal!$B:$B,$A66,RawDataTotal!AS:AS)</f>
        <v>0</v>
      </c>
      <c r="AQ66">
        <f>SUMIF(RawDataTotal!$B:$B,$A66,RawDataTotal!AT:AT)</f>
        <v>0</v>
      </c>
      <c r="AR66">
        <f>SUMIF(RawDataTotal!$B:$B,$A66,RawDataTotal!AU:AU)</f>
        <v>0</v>
      </c>
      <c r="AS66">
        <f>SUMIF(RawDataTotal!$B:$B,$A66,RawDataTotal!AV:AV)</f>
        <v>1</v>
      </c>
      <c r="AT66">
        <f>SUMIF(RawDataTotal!$B:$B,$A66,RawDataTotal!AW:AW)</f>
        <v>1</v>
      </c>
      <c r="AU66">
        <f>SUMIF(RawDataTotal!$B:$B,$A66,RawDataTotal!AX:AX)</f>
        <v>1</v>
      </c>
      <c r="AV66">
        <f>SUMIF(RawDataTotal!$B:$B,$A66,RawDataTotal!AY:AY)</f>
        <v>3</v>
      </c>
      <c r="AW66">
        <f>SUMIF(RawDataTotal!$B:$B,$A66,RawDataTotal!AZ:AZ)</f>
        <v>3</v>
      </c>
      <c r="AX66">
        <f>SUMIF(RawDataTotal!$B:$B,$A66,RawDataTotal!BA:BA)</f>
        <v>7</v>
      </c>
      <c r="AY66">
        <f>SUMIF(RawDataTotal!$B:$B,$A66,RawDataTotal!BB:BB)</f>
        <v>13</v>
      </c>
      <c r="AZ66">
        <f>SUMIF(RawDataTotal!$B:$B,$A66,RawDataTotal!BC:BC)</f>
        <v>17</v>
      </c>
      <c r="BA66">
        <f>SUMIF(RawDataTotal!$B:$B,$A66,RawDataTotal!BD:BD)</f>
        <v>24</v>
      </c>
      <c r="BB66">
        <f>SUMIF(RawDataTotal!$B:$B,$A66,RawDataTotal!BE:BE)</f>
        <v>38</v>
      </c>
      <c r="BC66">
        <f>SUMIF(RawDataTotal!$B:$B,$A66,RawDataTotal!BF:BF)</f>
        <v>51</v>
      </c>
      <c r="BD66">
        <f>SUMIF(RawDataTotal!$B:$B,$A66,RawDataTotal!BG:BG)</f>
        <v>62</v>
      </c>
      <c r="BE66">
        <f>SUMIF(RawDataTotal!$B:$B,$A66,RawDataTotal!BH:BH)</f>
        <v>62</v>
      </c>
      <c r="BF66">
        <f>SUMIF(RawDataTotal!$B:$B,$A66,RawDataTotal!BI:BI)</f>
        <v>0</v>
      </c>
      <c r="BG66">
        <f>SUMIF(RawDataTotal!$B:$B,$A66,RawDataTotal!BJ:BJ)</f>
        <v>0</v>
      </c>
      <c r="BH66">
        <f>SUMIF(RawDataTotal!$B:$B,$A66,RawDataTotal!BK:BK)</f>
        <v>0</v>
      </c>
      <c r="BI66">
        <f>SUMIF(RawDataTotal!$B:$B,$A66,RawDataTotal!BL:BL)</f>
        <v>0</v>
      </c>
      <c r="BJ66">
        <f>SUMIF(RawDataTotal!$B:$B,$A66,RawDataTotal!BM:BM)</f>
        <v>0</v>
      </c>
      <c r="BK66">
        <f>SUMIF(RawDataTotal!$B:$B,$A66,RawDataTotal!BN:BN)</f>
        <v>0</v>
      </c>
      <c r="BL66">
        <f>SUMIF(RawDataTotal!$B:$B,$A66,RawDataTotal!BO:BO)</f>
        <v>0</v>
      </c>
      <c r="BM66">
        <f>SUMIF(RawDataTotal!$B:$B,$A66,RawDataTotal!BP:BP)</f>
        <v>0</v>
      </c>
      <c r="BN66">
        <f>SUMIF(RawDataTotal!$B:$B,$A66,RawDataTotal!BQ:BQ)</f>
        <v>0</v>
      </c>
      <c r="BO66">
        <f>SUMIF(RawDataTotal!$B:$B,$A66,RawDataTotal!BR:BR)</f>
        <v>0</v>
      </c>
      <c r="BP66">
        <f>SUMIF(RawDataTotal!$B:$B,$A66,RawDataTotal!BS:BS)</f>
        <v>0</v>
      </c>
      <c r="BQ66">
        <f>SUMIF(RawDataTotal!$B:$B,$A66,RawDataTotal!BT:BT)</f>
        <v>0</v>
      </c>
      <c r="BR66">
        <f>SUMIF(RawDataTotal!$B:$B,$A66,RawDataTotal!BU:BU)</f>
        <v>0</v>
      </c>
      <c r="BS66">
        <f>SUMIF(RawDataTotal!$B:$B,$A66,RawDataTotal!BV:BV)</f>
        <v>0</v>
      </c>
      <c r="BT66">
        <f>SUMIF(RawDataTotal!$B:$B,$A66,RawDataTotal!BW:BW)</f>
        <v>0</v>
      </c>
    </row>
    <row r="67" spans="1:72" ht="15" thickBot="1" x14ac:dyDescent="0.35">
      <c r="A67" s="3" t="s">
        <v>226</v>
      </c>
      <c r="B67">
        <f>SUMIF(RawDataTotal!$B:$B,$A67,RawDataTotal!E:E)</f>
        <v>0</v>
      </c>
      <c r="C67">
        <f>SUMIF(RawDataTotal!$B:$B,$A67,RawDataTotal!F:F)</f>
        <v>0</v>
      </c>
      <c r="D67">
        <f>SUMIF(RawDataTotal!$B:$B,$A67,RawDataTotal!G:G)</f>
        <v>0</v>
      </c>
      <c r="E67">
        <f>SUMIF(RawDataTotal!$B:$B,$A67,RawDataTotal!H:H)</f>
        <v>0</v>
      </c>
      <c r="F67">
        <f>SUMIF(RawDataTotal!$B:$B,$A67,RawDataTotal!I:I)</f>
        <v>0</v>
      </c>
      <c r="G67">
        <f>SUMIF(RawDataTotal!$B:$B,$A67,RawDataTotal!J:J)</f>
        <v>0</v>
      </c>
      <c r="H67">
        <f>SUMIF(RawDataTotal!$B:$B,$A67,RawDataTotal!K:K)</f>
        <v>0</v>
      </c>
      <c r="I67">
        <f>SUMIF(RawDataTotal!$B:$B,$A67,RawDataTotal!L:L)</f>
        <v>0</v>
      </c>
      <c r="J67">
        <f>SUMIF(RawDataTotal!$B:$B,$A67,RawDataTotal!M:M)</f>
        <v>0</v>
      </c>
      <c r="K67">
        <f>SUMIF(RawDataTotal!$B:$B,$A67,RawDataTotal!N:N)</f>
        <v>0</v>
      </c>
      <c r="L67">
        <f>SUMIF(RawDataTotal!$B:$B,$A67,RawDataTotal!O:O)</f>
        <v>0</v>
      </c>
      <c r="M67">
        <f>SUMIF(RawDataTotal!$B:$B,$A67,RawDataTotal!P:P)</f>
        <v>0</v>
      </c>
      <c r="N67">
        <f>SUMIF(RawDataTotal!$B:$B,$A67,RawDataTotal!Q:Q)</f>
        <v>0</v>
      </c>
      <c r="O67">
        <f>SUMIF(RawDataTotal!$B:$B,$A67,RawDataTotal!R:R)</f>
        <v>0</v>
      </c>
      <c r="P67">
        <f>SUMIF(RawDataTotal!$B:$B,$A67,RawDataTotal!S:S)</f>
        <v>0</v>
      </c>
      <c r="Q67">
        <f>SUMIF(RawDataTotal!$B:$B,$A67,RawDataTotal!T:T)</f>
        <v>0</v>
      </c>
      <c r="R67">
        <f>SUMIF(RawDataTotal!$B:$B,$A67,RawDataTotal!U:U)</f>
        <v>0</v>
      </c>
      <c r="S67">
        <f>SUMIF(RawDataTotal!$B:$B,$A67,RawDataTotal!V:V)</f>
        <v>0</v>
      </c>
      <c r="T67">
        <f>SUMIF(RawDataTotal!$B:$B,$A67,RawDataTotal!W:W)</f>
        <v>0</v>
      </c>
      <c r="U67">
        <f>SUMIF(RawDataTotal!$B:$B,$A67,RawDataTotal!X:X)</f>
        <v>0</v>
      </c>
      <c r="V67">
        <f>SUMIF(RawDataTotal!$B:$B,$A67,RawDataTotal!Y:Y)</f>
        <v>0</v>
      </c>
      <c r="W67">
        <f>SUMIF(RawDataTotal!$B:$B,$A67,RawDataTotal!Z:Z)</f>
        <v>0</v>
      </c>
      <c r="X67">
        <f>SUMIF(RawDataTotal!$B:$B,$A67,RawDataTotal!AA:AA)</f>
        <v>0</v>
      </c>
      <c r="Y67">
        <f>SUMIF(RawDataTotal!$B:$B,$A67,RawDataTotal!AB:AB)</f>
        <v>0</v>
      </c>
      <c r="Z67">
        <f>SUMIF(RawDataTotal!$B:$B,$A67,RawDataTotal!AC:AC)</f>
        <v>0</v>
      </c>
      <c r="AA67">
        <f>SUMIF(RawDataTotal!$B:$B,$A67,RawDataTotal!AD:AD)</f>
        <v>0</v>
      </c>
      <c r="AB67">
        <f>SUMIF(RawDataTotal!$B:$B,$A67,RawDataTotal!AE:AE)</f>
        <v>0</v>
      </c>
      <c r="AC67">
        <f>SUMIF(RawDataTotal!$B:$B,$A67,RawDataTotal!AF:AF)</f>
        <v>0</v>
      </c>
      <c r="AD67">
        <f>SUMIF(RawDataTotal!$B:$B,$A67,RawDataTotal!AG:AG)</f>
        <v>0</v>
      </c>
      <c r="AE67">
        <f>SUMIF(RawDataTotal!$B:$B,$A67,RawDataTotal!AH:AH)</f>
        <v>0</v>
      </c>
      <c r="AF67">
        <f>SUMIF(RawDataTotal!$B:$B,$A67,RawDataTotal!AI:AI)</f>
        <v>0</v>
      </c>
      <c r="AG67">
        <f>SUMIF(RawDataTotal!$B:$B,$A67,RawDataTotal!AJ:AJ)</f>
        <v>0</v>
      </c>
      <c r="AH67">
        <f>SUMIF(RawDataTotal!$B:$B,$A67,RawDataTotal!AK:AK)</f>
        <v>0</v>
      </c>
      <c r="AI67">
        <f>SUMIF(RawDataTotal!$B:$B,$A67,RawDataTotal!AL:AL)</f>
        <v>0</v>
      </c>
      <c r="AJ67">
        <f>SUMIF(RawDataTotal!$B:$B,$A67,RawDataTotal!AM:AM)</f>
        <v>0</v>
      </c>
      <c r="AK67">
        <f>SUMIF(RawDataTotal!$B:$B,$A67,RawDataTotal!AN:AN)</f>
        <v>0</v>
      </c>
      <c r="AL67">
        <f>SUMIF(RawDataTotal!$B:$B,$A67,RawDataTotal!AO:AO)</f>
        <v>0</v>
      </c>
      <c r="AM67">
        <f>SUMIF(RawDataTotal!$B:$B,$A67,RawDataTotal!AP:AP)</f>
        <v>0</v>
      </c>
      <c r="AN67">
        <f>SUMIF(RawDataTotal!$B:$B,$A67,RawDataTotal!AQ:AQ)</f>
        <v>0</v>
      </c>
      <c r="AO67">
        <f>SUMIF(RawDataTotal!$B:$B,$A67,RawDataTotal!AR:AR)</f>
        <v>0</v>
      </c>
      <c r="AP67">
        <f>SUMIF(RawDataTotal!$B:$B,$A67,RawDataTotal!AS:AS)</f>
        <v>0</v>
      </c>
      <c r="AQ67">
        <f>SUMIF(RawDataTotal!$B:$B,$A67,RawDataTotal!AT:AT)</f>
        <v>0</v>
      </c>
      <c r="AR67">
        <f>SUMIF(RawDataTotal!$B:$B,$A67,RawDataTotal!AU:AU)</f>
        <v>0</v>
      </c>
      <c r="AS67">
        <f>SUMIF(RawDataTotal!$B:$B,$A67,RawDataTotal!AV:AV)</f>
        <v>0</v>
      </c>
      <c r="AT67">
        <f>SUMIF(RawDataTotal!$B:$B,$A67,RawDataTotal!AW:AW)</f>
        <v>0</v>
      </c>
      <c r="AU67">
        <f>SUMIF(RawDataTotal!$B:$B,$A67,RawDataTotal!AX:AX)</f>
        <v>0</v>
      </c>
      <c r="AV67">
        <f>SUMIF(RawDataTotal!$B:$B,$A67,RawDataTotal!AY:AY)</f>
        <v>4</v>
      </c>
      <c r="AW67">
        <f>SUMIF(RawDataTotal!$B:$B,$A67,RawDataTotal!AZ:AZ)</f>
        <v>4</v>
      </c>
      <c r="AX67">
        <f>SUMIF(RawDataTotal!$B:$B,$A67,RawDataTotal!BA:BA)</f>
        <v>4</v>
      </c>
      <c r="AY67">
        <f>SUMIF(RawDataTotal!$B:$B,$A67,RawDataTotal!BB:BB)</f>
        <v>7</v>
      </c>
      <c r="AZ67">
        <f>SUMIF(RawDataTotal!$B:$B,$A67,RawDataTotal!BC:BC)</f>
        <v>7</v>
      </c>
      <c r="BA67">
        <f>SUMIF(RawDataTotal!$B:$B,$A67,RawDataTotal!BD:BD)</f>
        <v>23</v>
      </c>
      <c r="BB67">
        <f>SUMIF(RawDataTotal!$B:$B,$A67,RawDataTotal!BE:BE)</f>
        <v>41</v>
      </c>
      <c r="BC67">
        <f>SUMIF(RawDataTotal!$B:$B,$A67,RawDataTotal!BF:BF)</f>
        <v>51</v>
      </c>
      <c r="BD67">
        <f>SUMIF(RawDataTotal!$B:$B,$A67,RawDataTotal!BG:BG)</f>
        <v>52</v>
      </c>
      <c r="BE67">
        <f>SUMIF(RawDataTotal!$B:$B,$A67,RawDataTotal!BH:BH)</f>
        <v>67</v>
      </c>
      <c r="BF67">
        <f>SUMIF(RawDataTotal!$B:$B,$A67,RawDataTotal!BI:BI)</f>
        <v>0</v>
      </c>
      <c r="BG67">
        <f>SUMIF(RawDataTotal!$B:$B,$A67,RawDataTotal!BJ:BJ)</f>
        <v>0</v>
      </c>
      <c r="BH67">
        <f>SUMIF(RawDataTotal!$B:$B,$A67,RawDataTotal!BK:BK)</f>
        <v>0</v>
      </c>
      <c r="BI67">
        <f>SUMIF(RawDataTotal!$B:$B,$A67,RawDataTotal!BL:BL)</f>
        <v>0</v>
      </c>
      <c r="BJ67">
        <f>SUMIF(RawDataTotal!$B:$B,$A67,RawDataTotal!BM:BM)</f>
        <v>0</v>
      </c>
      <c r="BK67">
        <f>SUMIF(RawDataTotal!$B:$B,$A67,RawDataTotal!BN:BN)</f>
        <v>0</v>
      </c>
      <c r="BL67">
        <f>SUMIF(RawDataTotal!$B:$B,$A67,RawDataTotal!BO:BO)</f>
        <v>0</v>
      </c>
      <c r="BM67">
        <f>SUMIF(RawDataTotal!$B:$B,$A67,RawDataTotal!BP:BP)</f>
        <v>0</v>
      </c>
      <c r="BN67">
        <f>SUMIF(RawDataTotal!$B:$B,$A67,RawDataTotal!BQ:BQ)</f>
        <v>0</v>
      </c>
      <c r="BO67">
        <f>SUMIF(RawDataTotal!$B:$B,$A67,RawDataTotal!BR:BR)</f>
        <v>0</v>
      </c>
      <c r="BP67">
        <f>SUMIF(RawDataTotal!$B:$B,$A67,RawDataTotal!BS:BS)</f>
        <v>0</v>
      </c>
      <c r="BQ67">
        <f>SUMIF(RawDataTotal!$B:$B,$A67,RawDataTotal!BT:BT)</f>
        <v>0</v>
      </c>
      <c r="BR67">
        <f>SUMIF(RawDataTotal!$B:$B,$A67,RawDataTotal!BU:BU)</f>
        <v>0</v>
      </c>
      <c r="BS67">
        <f>SUMIF(RawDataTotal!$B:$B,$A67,RawDataTotal!BV:BV)</f>
        <v>0</v>
      </c>
      <c r="BT67">
        <f>SUMIF(RawDataTotal!$B:$B,$A67,RawDataTotal!BW:BW)</f>
        <v>0</v>
      </c>
    </row>
    <row r="68" spans="1:72" ht="15" thickBot="1" x14ac:dyDescent="0.35">
      <c r="A68" s="3" t="s">
        <v>186</v>
      </c>
      <c r="B68">
        <f>SUMIF(RawDataTotal!$B:$B,$A68,RawDataTotal!E:E)</f>
        <v>0</v>
      </c>
      <c r="C68">
        <f>SUMIF(RawDataTotal!$B:$B,$A68,RawDataTotal!F:F)</f>
        <v>0</v>
      </c>
      <c r="D68">
        <f>SUMIF(RawDataTotal!$B:$B,$A68,RawDataTotal!G:G)</f>
        <v>0</v>
      </c>
      <c r="E68">
        <f>SUMIF(RawDataTotal!$B:$B,$A68,RawDataTotal!H:H)</f>
        <v>0</v>
      </c>
      <c r="F68">
        <f>SUMIF(RawDataTotal!$B:$B,$A68,RawDataTotal!I:I)</f>
        <v>0</v>
      </c>
      <c r="G68">
        <f>SUMIF(RawDataTotal!$B:$B,$A68,RawDataTotal!J:J)</f>
        <v>0</v>
      </c>
      <c r="H68">
        <f>SUMIF(RawDataTotal!$B:$B,$A68,RawDataTotal!K:K)</f>
        <v>0</v>
      </c>
      <c r="I68">
        <f>SUMIF(RawDataTotal!$B:$B,$A68,RawDataTotal!L:L)</f>
        <v>0</v>
      </c>
      <c r="J68">
        <f>SUMIF(RawDataTotal!$B:$B,$A68,RawDataTotal!M:M)</f>
        <v>0</v>
      </c>
      <c r="K68">
        <f>SUMIF(RawDataTotal!$B:$B,$A68,RawDataTotal!N:N)</f>
        <v>0</v>
      </c>
      <c r="L68">
        <f>SUMIF(RawDataTotal!$B:$B,$A68,RawDataTotal!O:O)</f>
        <v>0</v>
      </c>
      <c r="M68">
        <f>SUMIF(RawDataTotal!$B:$B,$A68,RawDataTotal!P:P)</f>
        <v>0</v>
      </c>
      <c r="N68">
        <f>SUMIF(RawDataTotal!$B:$B,$A68,RawDataTotal!Q:Q)</f>
        <v>0</v>
      </c>
      <c r="O68">
        <f>SUMIF(RawDataTotal!$B:$B,$A68,RawDataTotal!R:R)</f>
        <v>0</v>
      </c>
      <c r="P68">
        <f>SUMIF(RawDataTotal!$B:$B,$A68,RawDataTotal!S:S)</f>
        <v>0</v>
      </c>
      <c r="Q68">
        <f>SUMIF(RawDataTotal!$B:$B,$A68,RawDataTotal!T:T)</f>
        <v>0</v>
      </c>
      <c r="R68">
        <f>SUMIF(RawDataTotal!$B:$B,$A68,RawDataTotal!U:U)</f>
        <v>0</v>
      </c>
      <c r="S68">
        <f>SUMIF(RawDataTotal!$B:$B,$A68,RawDataTotal!V:V)</f>
        <v>0</v>
      </c>
      <c r="T68">
        <f>SUMIF(RawDataTotal!$B:$B,$A68,RawDataTotal!W:W)</f>
        <v>0</v>
      </c>
      <c r="U68">
        <f>SUMIF(RawDataTotal!$B:$B,$A68,RawDataTotal!X:X)</f>
        <v>0</v>
      </c>
      <c r="V68">
        <f>SUMIF(RawDataTotal!$B:$B,$A68,RawDataTotal!Y:Y)</f>
        <v>0</v>
      </c>
      <c r="W68">
        <f>SUMIF(RawDataTotal!$B:$B,$A68,RawDataTotal!Z:Z)</f>
        <v>0</v>
      </c>
      <c r="X68">
        <f>SUMIF(RawDataTotal!$B:$B,$A68,RawDataTotal!AA:AA)</f>
        <v>0</v>
      </c>
      <c r="Y68">
        <f>SUMIF(RawDataTotal!$B:$B,$A68,RawDataTotal!AB:AB)</f>
        <v>0</v>
      </c>
      <c r="Z68">
        <f>SUMIF(RawDataTotal!$B:$B,$A68,RawDataTotal!AC:AC)</f>
        <v>0</v>
      </c>
      <c r="AA68">
        <f>SUMIF(RawDataTotal!$B:$B,$A68,RawDataTotal!AD:AD)</f>
        <v>0</v>
      </c>
      <c r="AB68">
        <f>SUMIF(RawDataTotal!$B:$B,$A68,RawDataTotal!AE:AE)</f>
        <v>0</v>
      </c>
      <c r="AC68">
        <f>SUMIF(RawDataTotal!$B:$B,$A68,RawDataTotal!AF:AF)</f>
        <v>0</v>
      </c>
      <c r="AD68">
        <f>SUMIF(RawDataTotal!$B:$B,$A68,RawDataTotal!AG:AG)</f>
        <v>0</v>
      </c>
      <c r="AE68">
        <f>SUMIF(RawDataTotal!$B:$B,$A68,RawDataTotal!AH:AH)</f>
        <v>0</v>
      </c>
      <c r="AF68">
        <f>SUMIF(RawDataTotal!$B:$B,$A68,RawDataTotal!AI:AI)</f>
        <v>0</v>
      </c>
      <c r="AG68">
        <f>SUMIF(RawDataTotal!$B:$B,$A68,RawDataTotal!AJ:AJ)</f>
        <v>0</v>
      </c>
      <c r="AH68">
        <f>SUMIF(RawDataTotal!$B:$B,$A68,RawDataTotal!AK:AK)</f>
        <v>0</v>
      </c>
      <c r="AI68">
        <f>SUMIF(RawDataTotal!$B:$B,$A68,RawDataTotal!AL:AL)</f>
        <v>0</v>
      </c>
      <c r="AJ68">
        <f>SUMIF(RawDataTotal!$B:$B,$A68,RawDataTotal!AM:AM)</f>
        <v>0</v>
      </c>
      <c r="AK68">
        <f>SUMIF(RawDataTotal!$B:$B,$A68,RawDataTotal!AN:AN)</f>
        <v>0</v>
      </c>
      <c r="AL68">
        <f>SUMIF(RawDataTotal!$B:$B,$A68,RawDataTotal!AO:AO)</f>
        <v>0</v>
      </c>
      <c r="AM68">
        <f>SUMIF(RawDataTotal!$B:$B,$A68,RawDataTotal!AP:AP)</f>
        <v>0</v>
      </c>
      <c r="AN68">
        <f>SUMIF(RawDataTotal!$B:$B,$A68,RawDataTotal!AQ:AQ)</f>
        <v>0</v>
      </c>
      <c r="AO68">
        <f>SUMIF(RawDataTotal!$B:$B,$A68,RawDataTotal!AR:AR)</f>
        <v>0</v>
      </c>
      <c r="AP68">
        <f>SUMIF(RawDataTotal!$B:$B,$A68,RawDataTotal!AS:AS)</f>
        <v>0</v>
      </c>
      <c r="AQ68">
        <f>SUMIF(RawDataTotal!$B:$B,$A68,RawDataTotal!AT:AT)</f>
        <v>0</v>
      </c>
      <c r="AR68">
        <f>SUMIF(RawDataTotal!$B:$B,$A68,RawDataTotal!AU:AU)</f>
        <v>0</v>
      </c>
      <c r="AS68">
        <f>SUMIF(RawDataTotal!$B:$B,$A68,RawDataTotal!AV:AV)</f>
        <v>0</v>
      </c>
      <c r="AT68">
        <f>SUMIF(RawDataTotal!$B:$B,$A68,RawDataTotal!AW:AW)</f>
        <v>1</v>
      </c>
      <c r="AU68">
        <f>SUMIF(RawDataTotal!$B:$B,$A68,RawDataTotal!AX:AX)</f>
        <v>1</v>
      </c>
      <c r="AV68">
        <f>SUMIF(RawDataTotal!$B:$B,$A68,RawDataTotal!AY:AY)</f>
        <v>5</v>
      </c>
      <c r="AW68">
        <f>SUMIF(RawDataTotal!$B:$B,$A68,RawDataTotal!AZ:AZ)</f>
        <v>9</v>
      </c>
      <c r="AX68">
        <f>SUMIF(RawDataTotal!$B:$B,$A68,RawDataTotal!BA:BA)</f>
        <v>9</v>
      </c>
      <c r="AY68">
        <f>SUMIF(RawDataTotal!$B:$B,$A68,RawDataTotal!BB:BB)</f>
        <v>13</v>
      </c>
      <c r="AZ68">
        <f>SUMIF(RawDataTotal!$B:$B,$A68,RawDataTotal!BC:BC)</f>
        <v>22</v>
      </c>
      <c r="BA68">
        <f>SUMIF(RawDataTotal!$B:$B,$A68,RawDataTotal!BD:BD)</f>
        <v>23</v>
      </c>
      <c r="BB68">
        <f>SUMIF(RawDataTotal!$B:$B,$A68,RawDataTotal!BE:BE)</f>
        <v>26</v>
      </c>
      <c r="BC68">
        <f>SUMIF(RawDataTotal!$B:$B,$A68,RawDataTotal!BF:BF)</f>
        <v>27</v>
      </c>
      <c r="BD68">
        <f>SUMIF(RawDataTotal!$B:$B,$A68,RawDataTotal!BG:BG)</f>
        <v>35</v>
      </c>
      <c r="BE68">
        <f>SUMIF(RawDataTotal!$B:$B,$A68,RawDataTotal!BH:BH)</f>
        <v>41</v>
      </c>
      <c r="BF68">
        <f>SUMIF(RawDataTotal!$B:$B,$A68,RawDataTotal!BI:BI)</f>
        <v>0</v>
      </c>
      <c r="BG68">
        <f>SUMIF(RawDataTotal!$B:$B,$A68,RawDataTotal!BJ:BJ)</f>
        <v>0</v>
      </c>
      <c r="BH68">
        <f>SUMIF(RawDataTotal!$B:$B,$A68,RawDataTotal!BK:BK)</f>
        <v>0</v>
      </c>
      <c r="BI68">
        <f>SUMIF(RawDataTotal!$B:$B,$A68,RawDataTotal!BL:BL)</f>
        <v>0</v>
      </c>
      <c r="BJ68">
        <f>SUMIF(RawDataTotal!$B:$B,$A68,RawDataTotal!BM:BM)</f>
        <v>0</v>
      </c>
      <c r="BK68">
        <f>SUMIF(RawDataTotal!$B:$B,$A68,RawDataTotal!BN:BN)</f>
        <v>0</v>
      </c>
      <c r="BL68">
        <f>SUMIF(RawDataTotal!$B:$B,$A68,RawDataTotal!BO:BO)</f>
        <v>0</v>
      </c>
      <c r="BM68">
        <f>SUMIF(RawDataTotal!$B:$B,$A68,RawDataTotal!BP:BP)</f>
        <v>0</v>
      </c>
      <c r="BN68">
        <f>SUMIF(RawDataTotal!$B:$B,$A68,RawDataTotal!BQ:BQ)</f>
        <v>0</v>
      </c>
      <c r="BO68">
        <f>SUMIF(RawDataTotal!$B:$B,$A68,RawDataTotal!BR:BR)</f>
        <v>0</v>
      </c>
      <c r="BP68">
        <f>SUMIF(RawDataTotal!$B:$B,$A68,RawDataTotal!BS:BS)</f>
        <v>0</v>
      </c>
      <c r="BQ68">
        <f>SUMIF(RawDataTotal!$B:$B,$A68,RawDataTotal!BT:BT)</f>
        <v>0</v>
      </c>
      <c r="BR68">
        <f>SUMIF(RawDataTotal!$B:$B,$A68,RawDataTotal!BU:BU)</f>
        <v>0</v>
      </c>
      <c r="BS68">
        <f>SUMIF(RawDataTotal!$B:$B,$A68,RawDataTotal!BV:BV)</f>
        <v>0</v>
      </c>
      <c r="BT68">
        <f>SUMIF(RawDataTotal!$B:$B,$A68,RawDataTotal!BW:BW)</f>
        <v>0</v>
      </c>
    </row>
    <row r="69" spans="1:72" ht="15" thickBot="1" x14ac:dyDescent="0.35">
      <c r="A69" s="4" t="s">
        <v>159</v>
      </c>
      <c r="B69">
        <f>SUMIF(RawDataTotal!$B:$B,$A69,RawDataTotal!E:E)</f>
        <v>0</v>
      </c>
      <c r="C69">
        <f>SUMIF(RawDataTotal!$B:$B,$A69,RawDataTotal!F:F)</f>
        <v>0</v>
      </c>
      <c r="D69">
        <f>SUMIF(RawDataTotal!$B:$B,$A69,RawDataTotal!G:G)</f>
        <v>0</v>
      </c>
      <c r="E69">
        <f>SUMIF(RawDataTotal!$B:$B,$A69,RawDataTotal!H:H)</f>
        <v>0</v>
      </c>
      <c r="F69">
        <f>SUMIF(RawDataTotal!$B:$B,$A69,RawDataTotal!I:I)</f>
        <v>0</v>
      </c>
      <c r="G69">
        <f>SUMIF(RawDataTotal!$B:$B,$A69,RawDataTotal!J:J)</f>
        <v>0</v>
      </c>
      <c r="H69">
        <f>SUMIF(RawDataTotal!$B:$B,$A69,RawDataTotal!K:K)</f>
        <v>0</v>
      </c>
      <c r="I69">
        <f>SUMIF(RawDataTotal!$B:$B,$A69,RawDataTotal!L:L)</f>
        <v>0</v>
      </c>
      <c r="J69">
        <f>SUMIF(RawDataTotal!$B:$B,$A69,RawDataTotal!M:M)</f>
        <v>0</v>
      </c>
      <c r="K69">
        <f>SUMIF(RawDataTotal!$B:$B,$A69,RawDataTotal!N:N)</f>
        <v>0</v>
      </c>
      <c r="L69">
        <f>SUMIF(RawDataTotal!$B:$B,$A69,RawDataTotal!O:O)</f>
        <v>0</v>
      </c>
      <c r="M69">
        <f>SUMIF(RawDataTotal!$B:$B,$A69,RawDataTotal!P:P)</f>
        <v>0</v>
      </c>
      <c r="N69">
        <f>SUMIF(RawDataTotal!$B:$B,$A69,RawDataTotal!Q:Q)</f>
        <v>0</v>
      </c>
      <c r="O69">
        <f>SUMIF(RawDataTotal!$B:$B,$A69,RawDataTotal!R:R)</f>
        <v>0</v>
      </c>
      <c r="P69">
        <f>SUMIF(RawDataTotal!$B:$B,$A69,RawDataTotal!S:S)</f>
        <v>0</v>
      </c>
      <c r="Q69">
        <f>SUMIF(RawDataTotal!$B:$B,$A69,RawDataTotal!T:T)</f>
        <v>0</v>
      </c>
      <c r="R69">
        <f>SUMIF(RawDataTotal!$B:$B,$A69,RawDataTotal!U:U)</f>
        <v>0</v>
      </c>
      <c r="S69">
        <f>SUMIF(RawDataTotal!$B:$B,$A69,RawDataTotal!V:V)</f>
        <v>0</v>
      </c>
      <c r="T69">
        <f>SUMIF(RawDataTotal!$B:$B,$A69,RawDataTotal!W:W)</f>
        <v>0</v>
      </c>
      <c r="U69">
        <f>SUMIF(RawDataTotal!$B:$B,$A69,RawDataTotal!X:X)</f>
        <v>0</v>
      </c>
      <c r="V69">
        <f>SUMIF(RawDataTotal!$B:$B,$A69,RawDataTotal!Y:Y)</f>
        <v>0</v>
      </c>
      <c r="W69">
        <f>SUMIF(RawDataTotal!$B:$B,$A69,RawDataTotal!Z:Z)</f>
        <v>0</v>
      </c>
      <c r="X69">
        <f>SUMIF(RawDataTotal!$B:$B,$A69,RawDataTotal!AA:AA)</f>
        <v>0</v>
      </c>
      <c r="Y69">
        <f>SUMIF(RawDataTotal!$B:$B,$A69,RawDataTotal!AB:AB)</f>
        <v>0</v>
      </c>
      <c r="Z69">
        <f>SUMIF(RawDataTotal!$B:$B,$A69,RawDataTotal!AC:AC)</f>
        <v>0</v>
      </c>
      <c r="AA69">
        <f>SUMIF(RawDataTotal!$B:$B,$A69,RawDataTotal!AD:AD)</f>
        <v>0</v>
      </c>
      <c r="AB69">
        <f>SUMIF(RawDataTotal!$B:$B,$A69,RawDataTotal!AE:AE)</f>
        <v>0</v>
      </c>
      <c r="AC69">
        <f>SUMIF(RawDataTotal!$B:$B,$A69,RawDataTotal!AF:AF)</f>
        <v>0</v>
      </c>
      <c r="AD69">
        <f>SUMIF(RawDataTotal!$B:$B,$A69,RawDataTotal!AG:AG)</f>
        <v>0</v>
      </c>
      <c r="AE69">
        <f>SUMIF(RawDataTotal!$B:$B,$A69,RawDataTotal!AH:AH)</f>
        <v>0</v>
      </c>
      <c r="AF69">
        <f>SUMIF(RawDataTotal!$B:$B,$A69,RawDataTotal!AI:AI)</f>
        <v>0</v>
      </c>
      <c r="AG69">
        <f>SUMIF(RawDataTotal!$B:$B,$A69,RawDataTotal!AJ:AJ)</f>
        <v>0</v>
      </c>
      <c r="AH69">
        <f>SUMIF(RawDataTotal!$B:$B,$A69,RawDataTotal!AK:AK)</f>
        <v>0</v>
      </c>
      <c r="AI69">
        <f>SUMIF(RawDataTotal!$B:$B,$A69,RawDataTotal!AL:AL)</f>
        <v>0</v>
      </c>
      <c r="AJ69">
        <f>SUMIF(RawDataTotal!$B:$B,$A69,RawDataTotal!AM:AM)</f>
        <v>0</v>
      </c>
      <c r="AK69">
        <f>SUMIF(RawDataTotal!$B:$B,$A69,RawDataTotal!AN:AN)</f>
        <v>0</v>
      </c>
      <c r="AL69">
        <f>SUMIF(RawDataTotal!$B:$B,$A69,RawDataTotal!AO:AO)</f>
        <v>0</v>
      </c>
      <c r="AM69">
        <f>SUMIF(RawDataTotal!$B:$B,$A69,RawDataTotal!AP:AP)</f>
        <v>0</v>
      </c>
      <c r="AN69">
        <f>SUMIF(RawDataTotal!$B:$B,$A69,RawDataTotal!AQ:AQ)</f>
        <v>0</v>
      </c>
      <c r="AO69">
        <f>SUMIF(RawDataTotal!$B:$B,$A69,RawDataTotal!AR:AR)</f>
        <v>0</v>
      </c>
      <c r="AP69">
        <f>SUMIF(RawDataTotal!$B:$B,$A69,RawDataTotal!AS:AS)</f>
        <v>0</v>
      </c>
      <c r="AQ69">
        <f>SUMIF(RawDataTotal!$B:$B,$A69,RawDataTotal!AT:AT)</f>
        <v>0</v>
      </c>
      <c r="AR69">
        <f>SUMIF(RawDataTotal!$B:$B,$A69,RawDataTotal!AU:AU)</f>
        <v>2</v>
      </c>
      <c r="AS69">
        <f>SUMIF(RawDataTotal!$B:$B,$A69,RawDataTotal!AV:AV)</f>
        <v>2</v>
      </c>
      <c r="AT69">
        <f>SUMIF(RawDataTotal!$B:$B,$A69,RawDataTotal!AW:AW)</f>
        <v>2</v>
      </c>
      <c r="AU69">
        <f>SUMIF(RawDataTotal!$B:$B,$A69,RawDataTotal!AX:AX)</f>
        <v>4</v>
      </c>
      <c r="AV69">
        <f>SUMIF(RawDataTotal!$B:$B,$A69,RawDataTotal!AY:AY)</f>
        <v>7</v>
      </c>
      <c r="AW69">
        <f>SUMIF(RawDataTotal!$B:$B,$A69,RawDataTotal!AZ:AZ)</f>
        <v>9</v>
      </c>
      <c r="AX69">
        <f>SUMIF(RawDataTotal!$B:$B,$A69,RawDataTotal!BA:BA)</f>
        <v>9</v>
      </c>
      <c r="AY69">
        <f>SUMIF(RawDataTotal!$B:$B,$A69,RawDataTotal!BB:BB)</f>
        <v>13</v>
      </c>
      <c r="AZ69">
        <f>SUMIF(RawDataTotal!$B:$B,$A69,RawDataTotal!BC:BC)</f>
        <v>13</v>
      </c>
      <c r="BA69">
        <f>SUMIF(RawDataTotal!$B:$B,$A69,RawDataTotal!BD:BD)</f>
        <v>19</v>
      </c>
      <c r="BB69">
        <f>SUMIF(RawDataTotal!$B:$B,$A69,RawDataTotal!BE:BE)</f>
        <v>30</v>
      </c>
      <c r="BC69">
        <f>SUMIF(RawDataTotal!$B:$B,$A69,RawDataTotal!BF:BF)</f>
        <v>32</v>
      </c>
      <c r="BD69">
        <f>SUMIF(RawDataTotal!$B:$B,$A69,RawDataTotal!BG:BG)</f>
        <v>39</v>
      </c>
      <c r="BE69">
        <f>SUMIF(RawDataTotal!$B:$B,$A69,RawDataTotal!BH:BH)</f>
        <v>50</v>
      </c>
      <c r="BF69">
        <f>SUMIF(RawDataTotal!$B:$B,$A69,RawDataTotal!BI:BI)</f>
        <v>0</v>
      </c>
      <c r="BG69">
        <f>SUMIF(RawDataTotal!$B:$B,$A69,RawDataTotal!BJ:BJ)</f>
        <v>0</v>
      </c>
      <c r="BH69">
        <f>SUMIF(RawDataTotal!$B:$B,$A69,RawDataTotal!BK:BK)</f>
        <v>0</v>
      </c>
      <c r="BI69">
        <f>SUMIF(RawDataTotal!$B:$B,$A69,RawDataTotal!BL:BL)</f>
        <v>0</v>
      </c>
      <c r="BJ69">
        <f>SUMIF(RawDataTotal!$B:$B,$A69,RawDataTotal!BM:BM)</f>
        <v>0</v>
      </c>
      <c r="BK69">
        <f>SUMIF(RawDataTotal!$B:$B,$A69,RawDataTotal!BN:BN)</f>
        <v>0</v>
      </c>
      <c r="BL69">
        <f>SUMIF(RawDataTotal!$B:$B,$A69,RawDataTotal!BO:BO)</f>
        <v>0</v>
      </c>
      <c r="BM69">
        <f>SUMIF(RawDataTotal!$B:$B,$A69,RawDataTotal!BP:BP)</f>
        <v>0</v>
      </c>
      <c r="BN69">
        <f>SUMIF(RawDataTotal!$B:$B,$A69,RawDataTotal!BQ:BQ)</f>
        <v>0</v>
      </c>
      <c r="BO69">
        <f>SUMIF(RawDataTotal!$B:$B,$A69,RawDataTotal!BR:BR)</f>
        <v>0</v>
      </c>
      <c r="BP69">
        <f>SUMIF(RawDataTotal!$B:$B,$A69,RawDataTotal!BS:BS)</f>
        <v>0</v>
      </c>
      <c r="BQ69">
        <f>SUMIF(RawDataTotal!$B:$B,$A69,RawDataTotal!BT:BT)</f>
        <v>0</v>
      </c>
      <c r="BR69">
        <f>SUMIF(RawDataTotal!$B:$B,$A69,RawDataTotal!BU:BU)</f>
        <v>0</v>
      </c>
      <c r="BS69">
        <f>SUMIF(RawDataTotal!$B:$B,$A69,RawDataTotal!BV:BV)</f>
        <v>0</v>
      </c>
      <c r="BT69">
        <f>SUMIF(RawDataTotal!$B:$B,$A69,RawDataTotal!BW:BW)</f>
        <v>0</v>
      </c>
    </row>
    <row r="70" spans="1:72" ht="15" thickBot="1" x14ac:dyDescent="0.35">
      <c r="A70" s="4" t="s">
        <v>98</v>
      </c>
      <c r="B70">
        <f>SUMIF(RawDataTotal!$B:$B,$A70,RawDataTotal!E:E)</f>
        <v>0</v>
      </c>
      <c r="C70">
        <f>SUMIF(RawDataTotal!$B:$B,$A70,RawDataTotal!F:F)</f>
        <v>0</v>
      </c>
      <c r="D70">
        <f>SUMIF(RawDataTotal!$B:$B,$A70,RawDataTotal!G:G)</f>
        <v>0</v>
      </c>
      <c r="E70">
        <f>SUMIF(RawDataTotal!$B:$B,$A70,RawDataTotal!H:H)</f>
        <v>0</v>
      </c>
      <c r="F70">
        <f>SUMIF(RawDataTotal!$B:$B,$A70,RawDataTotal!I:I)</f>
        <v>0</v>
      </c>
      <c r="G70">
        <f>SUMIF(RawDataTotal!$B:$B,$A70,RawDataTotal!J:J)</f>
        <v>0</v>
      </c>
      <c r="H70">
        <f>SUMIF(RawDataTotal!$B:$B,$A70,RawDataTotal!K:K)</f>
        <v>0</v>
      </c>
      <c r="I70">
        <f>SUMIF(RawDataTotal!$B:$B,$A70,RawDataTotal!L:L)</f>
        <v>0</v>
      </c>
      <c r="J70">
        <f>SUMIF(RawDataTotal!$B:$B,$A70,RawDataTotal!M:M)</f>
        <v>0</v>
      </c>
      <c r="K70">
        <f>SUMIF(RawDataTotal!$B:$B,$A70,RawDataTotal!N:N)</f>
        <v>0</v>
      </c>
      <c r="L70">
        <f>SUMIF(RawDataTotal!$B:$B,$A70,RawDataTotal!O:O)</f>
        <v>0</v>
      </c>
      <c r="M70">
        <f>SUMIF(RawDataTotal!$B:$B,$A70,RawDataTotal!P:P)</f>
        <v>0</v>
      </c>
      <c r="N70">
        <f>SUMIF(RawDataTotal!$B:$B,$A70,RawDataTotal!Q:Q)</f>
        <v>0</v>
      </c>
      <c r="O70">
        <f>SUMIF(RawDataTotal!$B:$B,$A70,RawDataTotal!R:R)</f>
        <v>0</v>
      </c>
      <c r="P70">
        <f>SUMIF(RawDataTotal!$B:$B,$A70,RawDataTotal!S:S)</f>
        <v>0</v>
      </c>
      <c r="Q70">
        <f>SUMIF(RawDataTotal!$B:$B,$A70,RawDataTotal!T:T)</f>
        <v>0</v>
      </c>
      <c r="R70">
        <f>SUMIF(RawDataTotal!$B:$B,$A70,RawDataTotal!U:U)</f>
        <v>0</v>
      </c>
      <c r="S70">
        <f>SUMIF(RawDataTotal!$B:$B,$A70,RawDataTotal!V:V)</f>
        <v>0</v>
      </c>
      <c r="T70">
        <f>SUMIF(RawDataTotal!$B:$B,$A70,RawDataTotal!W:W)</f>
        <v>0</v>
      </c>
      <c r="U70">
        <f>SUMIF(RawDataTotal!$B:$B,$A70,RawDataTotal!X:X)</f>
        <v>0</v>
      </c>
      <c r="V70">
        <f>SUMIF(RawDataTotal!$B:$B,$A70,RawDataTotal!Y:Y)</f>
        <v>0</v>
      </c>
      <c r="W70">
        <f>SUMIF(RawDataTotal!$B:$B,$A70,RawDataTotal!Z:Z)</f>
        <v>0</v>
      </c>
      <c r="X70">
        <f>SUMIF(RawDataTotal!$B:$B,$A70,RawDataTotal!AA:AA)</f>
        <v>0</v>
      </c>
      <c r="Y70">
        <f>SUMIF(RawDataTotal!$B:$B,$A70,RawDataTotal!AB:AB)</f>
        <v>0</v>
      </c>
      <c r="Z70">
        <f>SUMIF(RawDataTotal!$B:$B,$A70,RawDataTotal!AC:AC)</f>
        <v>0</v>
      </c>
      <c r="AA70">
        <f>SUMIF(RawDataTotal!$B:$B,$A70,RawDataTotal!AD:AD)</f>
        <v>0</v>
      </c>
      <c r="AB70">
        <f>SUMIF(RawDataTotal!$B:$B,$A70,RawDataTotal!AE:AE)</f>
        <v>0</v>
      </c>
      <c r="AC70">
        <f>SUMIF(RawDataTotal!$B:$B,$A70,RawDataTotal!AF:AF)</f>
        <v>0</v>
      </c>
      <c r="AD70">
        <f>SUMIF(RawDataTotal!$B:$B,$A70,RawDataTotal!AG:AG)</f>
        <v>0</v>
      </c>
      <c r="AE70">
        <f>SUMIF(RawDataTotal!$B:$B,$A70,RawDataTotal!AH:AH)</f>
        <v>0</v>
      </c>
      <c r="AF70">
        <f>SUMIF(RawDataTotal!$B:$B,$A70,RawDataTotal!AI:AI)</f>
        <v>0</v>
      </c>
      <c r="AG70">
        <f>SUMIF(RawDataTotal!$B:$B,$A70,RawDataTotal!AJ:AJ)</f>
        <v>0</v>
      </c>
      <c r="AH70">
        <f>SUMIF(RawDataTotal!$B:$B,$A70,RawDataTotal!AK:AK)</f>
        <v>0</v>
      </c>
      <c r="AI70">
        <f>SUMIF(RawDataTotal!$B:$B,$A70,RawDataTotal!AL:AL)</f>
        <v>2</v>
      </c>
      <c r="AJ70">
        <f>SUMIF(RawDataTotal!$B:$B,$A70,RawDataTotal!AM:AM)</f>
        <v>2</v>
      </c>
      <c r="AK70">
        <f>SUMIF(RawDataTotal!$B:$B,$A70,RawDataTotal!AN:AN)</f>
        <v>4</v>
      </c>
      <c r="AL70">
        <f>SUMIF(RawDataTotal!$B:$B,$A70,RawDataTotal!AO:AO)</f>
        <v>4</v>
      </c>
      <c r="AM70">
        <f>SUMIF(RawDataTotal!$B:$B,$A70,RawDataTotal!AP:AP)</f>
        <v>4</v>
      </c>
      <c r="AN70">
        <f>SUMIF(RawDataTotal!$B:$B,$A70,RawDataTotal!AQ:AQ)</f>
        <v>6</v>
      </c>
      <c r="AO70">
        <f>SUMIF(RawDataTotal!$B:$B,$A70,RawDataTotal!AR:AR)</f>
        <v>6</v>
      </c>
      <c r="AP70">
        <f>SUMIF(RawDataTotal!$B:$B,$A70,RawDataTotal!AS:AS)</f>
        <v>6</v>
      </c>
      <c r="AQ70">
        <f>SUMIF(RawDataTotal!$B:$B,$A70,RawDataTotal!AT:AT)</f>
        <v>12</v>
      </c>
      <c r="AR70">
        <f>SUMIF(RawDataTotal!$B:$B,$A70,RawDataTotal!AU:AU)</f>
        <v>15</v>
      </c>
      <c r="AS70">
        <f>SUMIF(RawDataTotal!$B:$B,$A70,RawDataTotal!AV:AV)</f>
        <v>16</v>
      </c>
      <c r="AT70">
        <f>SUMIF(RawDataTotal!$B:$B,$A70,RawDataTotal!AW:AW)</f>
        <v>16</v>
      </c>
      <c r="AU70">
        <f>SUMIF(RawDataTotal!$B:$B,$A70,RawDataTotal!AX:AX)</f>
        <v>16</v>
      </c>
      <c r="AV70">
        <f>SUMIF(RawDataTotal!$B:$B,$A70,RawDataTotal!AY:AY)</f>
        <v>16</v>
      </c>
      <c r="AW70">
        <f>SUMIF(RawDataTotal!$B:$B,$A70,RawDataTotal!AZ:AZ)</f>
        <v>16</v>
      </c>
      <c r="AX70">
        <f>SUMIF(RawDataTotal!$B:$B,$A70,RawDataTotal!BA:BA)</f>
        <v>18</v>
      </c>
      <c r="AY70">
        <f>SUMIF(RawDataTotal!$B:$B,$A70,RawDataTotal!BB:BB)</f>
        <v>18</v>
      </c>
      <c r="AZ70">
        <f>SUMIF(RawDataTotal!$B:$B,$A70,RawDataTotal!BC:BC)</f>
        <v>18</v>
      </c>
      <c r="BA70">
        <f>SUMIF(RawDataTotal!$B:$B,$A70,RawDataTotal!BD:BD)</f>
        <v>19</v>
      </c>
      <c r="BB70">
        <f>SUMIF(RawDataTotal!$B:$B,$A70,RawDataTotal!BE:BE)</f>
        <v>19</v>
      </c>
      <c r="BC70">
        <f>SUMIF(RawDataTotal!$B:$B,$A70,RawDataTotal!BF:BF)</f>
        <v>22</v>
      </c>
      <c r="BD70">
        <f>SUMIF(RawDataTotal!$B:$B,$A70,RawDataTotal!BG:BG)</f>
        <v>22</v>
      </c>
      <c r="BE70">
        <f>SUMIF(RawDataTotal!$B:$B,$A70,RawDataTotal!BH:BH)</f>
        <v>24</v>
      </c>
      <c r="BF70">
        <f>SUMIF(RawDataTotal!$B:$B,$A70,RawDataTotal!BI:BI)</f>
        <v>0</v>
      </c>
      <c r="BG70">
        <f>SUMIF(RawDataTotal!$B:$B,$A70,RawDataTotal!BJ:BJ)</f>
        <v>0</v>
      </c>
      <c r="BH70">
        <f>SUMIF(RawDataTotal!$B:$B,$A70,RawDataTotal!BK:BK)</f>
        <v>0</v>
      </c>
      <c r="BI70">
        <f>SUMIF(RawDataTotal!$B:$B,$A70,RawDataTotal!BL:BL)</f>
        <v>0</v>
      </c>
      <c r="BJ70">
        <f>SUMIF(RawDataTotal!$B:$B,$A70,RawDataTotal!BM:BM)</f>
        <v>0</v>
      </c>
      <c r="BK70">
        <f>SUMIF(RawDataTotal!$B:$B,$A70,RawDataTotal!BN:BN)</f>
        <v>0</v>
      </c>
      <c r="BL70">
        <f>SUMIF(RawDataTotal!$B:$B,$A70,RawDataTotal!BO:BO)</f>
        <v>0</v>
      </c>
      <c r="BM70">
        <f>SUMIF(RawDataTotal!$B:$B,$A70,RawDataTotal!BP:BP)</f>
        <v>0</v>
      </c>
      <c r="BN70">
        <f>SUMIF(RawDataTotal!$B:$B,$A70,RawDataTotal!BQ:BQ)</f>
        <v>0</v>
      </c>
      <c r="BO70">
        <f>SUMIF(RawDataTotal!$B:$B,$A70,RawDataTotal!BR:BR)</f>
        <v>0</v>
      </c>
      <c r="BP70">
        <f>SUMIF(RawDataTotal!$B:$B,$A70,RawDataTotal!BS:BS)</f>
        <v>0</v>
      </c>
      <c r="BQ70">
        <f>SUMIF(RawDataTotal!$B:$B,$A70,RawDataTotal!BT:BT)</f>
        <v>0</v>
      </c>
      <c r="BR70">
        <f>SUMIF(RawDataTotal!$B:$B,$A70,RawDataTotal!BU:BU)</f>
        <v>0</v>
      </c>
      <c r="BS70">
        <f>SUMIF(RawDataTotal!$B:$B,$A70,RawDataTotal!BV:BV)</f>
        <v>0</v>
      </c>
      <c r="BT70">
        <f>SUMIF(RawDataTotal!$B:$B,$A70,RawDataTotal!BW:BW)</f>
        <v>0</v>
      </c>
    </row>
    <row r="71" spans="1:72" ht="15" thickBot="1" x14ac:dyDescent="0.35">
      <c r="A71" s="4" t="s">
        <v>130</v>
      </c>
      <c r="B71">
        <f>SUMIF(RawDataTotal!$B:$B,$A71,RawDataTotal!E:E)</f>
        <v>0</v>
      </c>
      <c r="C71">
        <f>SUMIF(RawDataTotal!$B:$B,$A71,RawDataTotal!F:F)</f>
        <v>0</v>
      </c>
      <c r="D71">
        <f>SUMIF(RawDataTotal!$B:$B,$A71,RawDataTotal!G:G)</f>
        <v>0</v>
      </c>
      <c r="E71">
        <f>SUMIF(RawDataTotal!$B:$B,$A71,RawDataTotal!H:H)</f>
        <v>0</v>
      </c>
      <c r="F71">
        <f>SUMIF(RawDataTotal!$B:$B,$A71,RawDataTotal!I:I)</f>
        <v>0</v>
      </c>
      <c r="G71">
        <f>SUMIF(RawDataTotal!$B:$B,$A71,RawDataTotal!J:J)</f>
        <v>0</v>
      </c>
      <c r="H71">
        <f>SUMIF(RawDataTotal!$B:$B,$A71,RawDataTotal!K:K)</f>
        <v>0</v>
      </c>
      <c r="I71">
        <f>SUMIF(RawDataTotal!$B:$B,$A71,RawDataTotal!L:L)</f>
        <v>0</v>
      </c>
      <c r="J71">
        <f>SUMIF(RawDataTotal!$B:$B,$A71,RawDataTotal!M:M)</f>
        <v>0</v>
      </c>
      <c r="K71">
        <f>SUMIF(RawDataTotal!$B:$B,$A71,RawDataTotal!N:N)</f>
        <v>0</v>
      </c>
      <c r="L71">
        <f>SUMIF(RawDataTotal!$B:$B,$A71,RawDataTotal!O:O)</f>
        <v>0</v>
      </c>
      <c r="M71">
        <f>SUMIF(RawDataTotal!$B:$B,$A71,RawDataTotal!P:P)</f>
        <v>0</v>
      </c>
      <c r="N71">
        <f>SUMIF(RawDataTotal!$B:$B,$A71,RawDataTotal!Q:Q)</f>
        <v>0</v>
      </c>
      <c r="O71">
        <f>SUMIF(RawDataTotal!$B:$B,$A71,RawDataTotal!R:R)</f>
        <v>0</v>
      </c>
      <c r="P71">
        <f>SUMIF(RawDataTotal!$B:$B,$A71,RawDataTotal!S:S)</f>
        <v>0</v>
      </c>
      <c r="Q71">
        <f>SUMIF(RawDataTotal!$B:$B,$A71,RawDataTotal!T:T)</f>
        <v>0</v>
      </c>
      <c r="R71">
        <f>SUMIF(RawDataTotal!$B:$B,$A71,RawDataTotal!U:U)</f>
        <v>0</v>
      </c>
      <c r="S71">
        <f>SUMIF(RawDataTotal!$B:$B,$A71,RawDataTotal!V:V)</f>
        <v>0</v>
      </c>
      <c r="T71">
        <f>SUMIF(RawDataTotal!$B:$B,$A71,RawDataTotal!W:W)</f>
        <v>0</v>
      </c>
      <c r="U71">
        <f>SUMIF(RawDataTotal!$B:$B,$A71,RawDataTotal!X:X)</f>
        <v>0</v>
      </c>
      <c r="V71">
        <f>SUMIF(RawDataTotal!$B:$B,$A71,RawDataTotal!Y:Y)</f>
        <v>0</v>
      </c>
      <c r="W71">
        <f>SUMIF(RawDataTotal!$B:$B,$A71,RawDataTotal!Z:Z)</f>
        <v>0</v>
      </c>
      <c r="X71">
        <f>SUMIF(RawDataTotal!$B:$B,$A71,RawDataTotal!AA:AA)</f>
        <v>0</v>
      </c>
      <c r="Y71">
        <f>SUMIF(RawDataTotal!$B:$B,$A71,RawDataTotal!AB:AB)</f>
        <v>0</v>
      </c>
      <c r="Z71">
        <f>SUMIF(RawDataTotal!$B:$B,$A71,RawDataTotal!AC:AC)</f>
        <v>0</v>
      </c>
      <c r="AA71">
        <f>SUMIF(RawDataTotal!$B:$B,$A71,RawDataTotal!AD:AD)</f>
        <v>0</v>
      </c>
      <c r="AB71">
        <f>SUMIF(RawDataTotal!$B:$B,$A71,RawDataTotal!AE:AE)</f>
        <v>0</v>
      </c>
      <c r="AC71">
        <f>SUMIF(RawDataTotal!$B:$B,$A71,RawDataTotal!AF:AF)</f>
        <v>0</v>
      </c>
      <c r="AD71">
        <f>SUMIF(RawDataTotal!$B:$B,$A71,RawDataTotal!AG:AG)</f>
        <v>0</v>
      </c>
      <c r="AE71">
        <f>SUMIF(RawDataTotal!$B:$B,$A71,RawDataTotal!AH:AH)</f>
        <v>0</v>
      </c>
      <c r="AF71">
        <f>SUMIF(RawDataTotal!$B:$B,$A71,RawDataTotal!AI:AI)</f>
        <v>0</v>
      </c>
      <c r="AG71">
        <f>SUMIF(RawDataTotal!$B:$B,$A71,RawDataTotal!AJ:AJ)</f>
        <v>0</v>
      </c>
      <c r="AH71">
        <f>SUMIF(RawDataTotal!$B:$B,$A71,RawDataTotal!AK:AK)</f>
        <v>0</v>
      </c>
      <c r="AI71">
        <f>SUMIF(RawDataTotal!$B:$B,$A71,RawDataTotal!AL:AL)</f>
        <v>0</v>
      </c>
      <c r="AJ71">
        <f>SUMIF(RawDataTotal!$B:$B,$A71,RawDataTotal!AM:AM)</f>
        <v>0</v>
      </c>
      <c r="AK71">
        <f>SUMIF(RawDataTotal!$B:$B,$A71,RawDataTotal!AN:AN)</f>
        <v>0</v>
      </c>
      <c r="AL71">
        <f>SUMIF(RawDataTotal!$B:$B,$A71,RawDataTotal!AO:AO)</f>
        <v>0</v>
      </c>
      <c r="AM71">
        <f>SUMIF(RawDataTotal!$B:$B,$A71,RawDataTotal!AP:AP)</f>
        <v>0</v>
      </c>
      <c r="AN71">
        <f>SUMIF(RawDataTotal!$B:$B,$A71,RawDataTotal!AQ:AQ)</f>
        <v>0</v>
      </c>
      <c r="AO71">
        <f>SUMIF(RawDataTotal!$B:$B,$A71,RawDataTotal!AR:AR)</f>
        <v>6</v>
      </c>
      <c r="AP71">
        <f>SUMIF(RawDataTotal!$B:$B,$A71,RawDataTotal!AS:AS)</f>
        <v>6</v>
      </c>
      <c r="AQ71">
        <f>SUMIF(RawDataTotal!$B:$B,$A71,RawDataTotal!AT:AT)</f>
        <v>7</v>
      </c>
      <c r="AR71">
        <f>SUMIF(RawDataTotal!$B:$B,$A71,RawDataTotal!AU:AU)</f>
        <v>10</v>
      </c>
      <c r="AS71">
        <f>SUMIF(RawDataTotal!$B:$B,$A71,RawDataTotal!AV:AV)</f>
        <v>13</v>
      </c>
      <c r="AT71">
        <f>SUMIF(RawDataTotal!$B:$B,$A71,RawDataTotal!AW:AW)</f>
        <v>13</v>
      </c>
      <c r="AU71">
        <f>SUMIF(RawDataTotal!$B:$B,$A71,RawDataTotal!AX:AX)</f>
        <v>13</v>
      </c>
      <c r="AV71">
        <f>SUMIF(RawDataTotal!$B:$B,$A71,RawDataTotal!AY:AY)</f>
        <v>14</v>
      </c>
      <c r="AW71">
        <f>SUMIF(RawDataTotal!$B:$B,$A71,RawDataTotal!AZ:AZ)</f>
        <v>15</v>
      </c>
      <c r="AX71">
        <f>SUMIF(RawDataTotal!$B:$B,$A71,RawDataTotal!BA:BA)</f>
        <v>15</v>
      </c>
      <c r="AY71">
        <f>SUMIF(RawDataTotal!$B:$B,$A71,RawDataTotal!BB:BB)</f>
        <v>17</v>
      </c>
      <c r="AZ71">
        <f>SUMIF(RawDataTotal!$B:$B,$A71,RawDataTotal!BC:BC)</f>
        <v>17</v>
      </c>
      <c r="BA71">
        <f>SUMIF(RawDataTotal!$B:$B,$A71,RawDataTotal!BD:BD)</f>
        <v>17</v>
      </c>
      <c r="BB71">
        <f>SUMIF(RawDataTotal!$B:$B,$A71,RawDataTotal!BE:BE)</f>
        <v>28</v>
      </c>
      <c r="BC71">
        <f>SUMIF(RawDataTotal!$B:$B,$A71,RawDataTotal!BF:BF)</f>
        <v>28</v>
      </c>
      <c r="BD71">
        <f>SUMIF(RawDataTotal!$B:$B,$A71,RawDataTotal!BG:BG)</f>
        <v>37</v>
      </c>
      <c r="BE71">
        <f>SUMIF(RawDataTotal!$B:$B,$A71,RawDataTotal!BH:BH)</f>
        <v>58</v>
      </c>
      <c r="BF71">
        <f>SUMIF(RawDataTotal!$B:$B,$A71,RawDataTotal!BI:BI)</f>
        <v>0</v>
      </c>
      <c r="BG71">
        <f>SUMIF(RawDataTotal!$B:$B,$A71,RawDataTotal!BJ:BJ)</f>
        <v>0</v>
      </c>
      <c r="BH71">
        <f>SUMIF(RawDataTotal!$B:$B,$A71,RawDataTotal!BK:BK)</f>
        <v>0</v>
      </c>
      <c r="BI71">
        <f>SUMIF(RawDataTotal!$B:$B,$A71,RawDataTotal!BL:BL)</f>
        <v>0</v>
      </c>
      <c r="BJ71">
        <f>SUMIF(RawDataTotal!$B:$B,$A71,RawDataTotal!BM:BM)</f>
        <v>0</v>
      </c>
      <c r="BK71">
        <f>SUMIF(RawDataTotal!$B:$B,$A71,RawDataTotal!BN:BN)</f>
        <v>0</v>
      </c>
      <c r="BL71">
        <f>SUMIF(RawDataTotal!$B:$B,$A71,RawDataTotal!BO:BO)</f>
        <v>0</v>
      </c>
      <c r="BM71">
        <f>SUMIF(RawDataTotal!$B:$B,$A71,RawDataTotal!BP:BP)</f>
        <v>0</v>
      </c>
      <c r="BN71">
        <f>SUMIF(RawDataTotal!$B:$B,$A71,RawDataTotal!BQ:BQ)</f>
        <v>0</v>
      </c>
      <c r="BO71">
        <f>SUMIF(RawDataTotal!$B:$B,$A71,RawDataTotal!BR:BR)</f>
        <v>0</v>
      </c>
      <c r="BP71">
        <f>SUMIF(RawDataTotal!$B:$B,$A71,RawDataTotal!BS:BS)</f>
        <v>0</v>
      </c>
      <c r="BQ71">
        <f>SUMIF(RawDataTotal!$B:$B,$A71,RawDataTotal!BT:BT)</f>
        <v>0</v>
      </c>
      <c r="BR71">
        <f>SUMIF(RawDataTotal!$B:$B,$A71,RawDataTotal!BU:BU)</f>
        <v>0</v>
      </c>
      <c r="BS71">
        <f>SUMIF(RawDataTotal!$B:$B,$A71,RawDataTotal!BV:BV)</f>
        <v>0</v>
      </c>
      <c r="BT71">
        <f>SUMIF(RawDataTotal!$B:$B,$A71,RawDataTotal!BW:BW)</f>
        <v>0</v>
      </c>
    </row>
    <row r="72" spans="1:72" ht="15" thickBot="1" x14ac:dyDescent="0.35">
      <c r="A72" s="4" t="s">
        <v>138</v>
      </c>
      <c r="B72">
        <f>SUMIF(RawDataTotal!$B:$B,$A72,RawDataTotal!E:E)</f>
        <v>0</v>
      </c>
      <c r="C72">
        <f>SUMIF(RawDataTotal!$B:$B,$A72,RawDataTotal!F:F)</f>
        <v>0</v>
      </c>
      <c r="D72">
        <f>SUMIF(RawDataTotal!$B:$B,$A72,RawDataTotal!G:G)</f>
        <v>0</v>
      </c>
      <c r="E72">
        <f>SUMIF(RawDataTotal!$B:$B,$A72,RawDataTotal!H:H)</f>
        <v>0</v>
      </c>
      <c r="F72">
        <f>SUMIF(RawDataTotal!$B:$B,$A72,RawDataTotal!I:I)</f>
        <v>0</v>
      </c>
      <c r="G72">
        <f>SUMIF(RawDataTotal!$B:$B,$A72,RawDataTotal!J:J)</f>
        <v>0</v>
      </c>
      <c r="H72">
        <f>SUMIF(RawDataTotal!$B:$B,$A72,RawDataTotal!K:K)</f>
        <v>0</v>
      </c>
      <c r="I72">
        <f>SUMIF(RawDataTotal!$B:$B,$A72,RawDataTotal!L:L)</f>
        <v>0</v>
      </c>
      <c r="J72">
        <f>SUMIF(RawDataTotal!$B:$B,$A72,RawDataTotal!M:M)</f>
        <v>0</v>
      </c>
      <c r="K72">
        <f>SUMIF(RawDataTotal!$B:$B,$A72,RawDataTotal!N:N)</f>
        <v>0</v>
      </c>
      <c r="L72">
        <f>SUMIF(RawDataTotal!$B:$B,$A72,RawDataTotal!O:O)</f>
        <v>0</v>
      </c>
      <c r="M72">
        <f>SUMIF(RawDataTotal!$B:$B,$A72,RawDataTotal!P:P)</f>
        <v>0</v>
      </c>
      <c r="N72">
        <f>SUMIF(RawDataTotal!$B:$B,$A72,RawDataTotal!Q:Q)</f>
        <v>0</v>
      </c>
      <c r="O72">
        <f>SUMIF(RawDataTotal!$B:$B,$A72,RawDataTotal!R:R)</f>
        <v>0</v>
      </c>
      <c r="P72">
        <f>SUMIF(RawDataTotal!$B:$B,$A72,RawDataTotal!S:S)</f>
        <v>0</v>
      </c>
      <c r="Q72">
        <f>SUMIF(RawDataTotal!$B:$B,$A72,RawDataTotal!T:T)</f>
        <v>0</v>
      </c>
      <c r="R72">
        <f>SUMIF(RawDataTotal!$B:$B,$A72,RawDataTotal!U:U)</f>
        <v>0</v>
      </c>
      <c r="S72">
        <f>SUMIF(RawDataTotal!$B:$B,$A72,RawDataTotal!V:V)</f>
        <v>0</v>
      </c>
      <c r="T72">
        <f>SUMIF(RawDataTotal!$B:$B,$A72,RawDataTotal!W:W)</f>
        <v>0</v>
      </c>
      <c r="U72">
        <f>SUMIF(RawDataTotal!$B:$B,$A72,RawDataTotal!X:X)</f>
        <v>0</v>
      </c>
      <c r="V72">
        <f>SUMIF(RawDataTotal!$B:$B,$A72,RawDataTotal!Y:Y)</f>
        <v>0</v>
      </c>
      <c r="W72">
        <f>SUMIF(RawDataTotal!$B:$B,$A72,RawDataTotal!Z:Z)</f>
        <v>0</v>
      </c>
      <c r="X72">
        <f>SUMIF(RawDataTotal!$B:$B,$A72,RawDataTotal!AA:AA)</f>
        <v>0</v>
      </c>
      <c r="Y72">
        <f>SUMIF(RawDataTotal!$B:$B,$A72,RawDataTotal!AB:AB)</f>
        <v>0</v>
      </c>
      <c r="Z72">
        <f>SUMIF(RawDataTotal!$B:$B,$A72,RawDataTotal!AC:AC)</f>
        <v>0</v>
      </c>
      <c r="AA72">
        <f>SUMIF(RawDataTotal!$B:$B,$A72,RawDataTotal!AD:AD)</f>
        <v>0</v>
      </c>
      <c r="AB72">
        <f>SUMIF(RawDataTotal!$B:$B,$A72,RawDataTotal!AE:AE)</f>
        <v>0</v>
      </c>
      <c r="AC72">
        <f>SUMIF(RawDataTotal!$B:$B,$A72,RawDataTotal!AF:AF)</f>
        <v>0</v>
      </c>
      <c r="AD72">
        <f>SUMIF(RawDataTotal!$B:$B,$A72,RawDataTotal!AG:AG)</f>
        <v>0</v>
      </c>
      <c r="AE72">
        <f>SUMIF(RawDataTotal!$B:$B,$A72,RawDataTotal!AH:AH)</f>
        <v>0</v>
      </c>
      <c r="AF72">
        <f>SUMIF(RawDataTotal!$B:$B,$A72,RawDataTotal!AI:AI)</f>
        <v>0</v>
      </c>
      <c r="AG72">
        <f>SUMIF(RawDataTotal!$B:$B,$A72,RawDataTotal!AJ:AJ)</f>
        <v>0</v>
      </c>
      <c r="AH72">
        <f>SUMIF(RawDataTotal!$B:$B,$A72,RawDataTotal!AK:AK)</f>
        <v>0</v>
      </c>
      <c r="AI72">
        <f>SUMIF(RawDataTotal!$B:$B,$A72,RawDataTotal!AL:AL)</f>
        <v>0</v>
      </c>
      <c r="AJ72">
        <f>SUMIF(RawDataTotal!$B:$B,$A72,RawDataTotal!AM:AM)</f>
        <v>0</v>
      </c>
      <c r="AK72">
        <f>SUMIF(RawDataTotal!$B:$B,$A72,RawDataTotal!AN:AN)</f>
        <v>0</v>
      </c>
      <c r="AL72">
        <f>SUMIF(RawDataTotal!$B:$B,$A72,RawDataTotal!AO:AO)</f>
        <v>0</v>
      </c>
      <c r="AM72">
        <f>SUMIF(RawDataTotal!$B:$B,$A72,RawDataTotal!AP:AP)</f>
        <v>0</v>
      </c>
      <c r="AN72">
        <f>SUMIF(RawDataTotal!$B:$B,$A72,RawDataTotal!AQ:AQ)</f>
        <v>0</v>
      </c>
      <c r="AO72">
        <f>SUMIF(RawDataTotal!$B:$B,$A72,RawDataTotal!AR:AR)</f>
        <v>0</v>
      </c>
      <c r="AP72">
        <f>SUMIF(RawDataTotal!$B:$B,$A72,RawDataTotal!AS:AS)</f>
        <v>1</v>
      </c>
      <c r="AQ72">
        <f>SUMIF(RawDataTotal!$B:$B,$A72,RawDataTotal!AT:AT)</f>
        <v>1</v>
      </c>
      <c r="AR72">
        <f>SUMIF(RawDataTotal!$B:$B,$A72,RawDataTotal!AU:AU)</f>
        <v>1</v>
      </c>
      <c r="AS72">
        <f>SUMIF(RawDataTotal!$B:$B,$A72,RawDataTotal!AV:AV)</f>
        <v>1</v>
      </c>
      <c r="AT72">
        <f>SUMIF(RawDataTotal!$B:$B,$A72,RawDataTotal!AW:AW)</f>
        <v>1</v>
      </c>
      <c r="AU72">
        <f>SUMIF(RawDataTotal!$B:$B,$A72,RawDataTotal!AX:AX)</f>
        <v>1</v>
      </c>
      <c r="AV72">
        <f>SUMIF(RawDataTotal!$B:$B,$A72,RawDataTotal!AY:AY)</f>
        <v>2</v>
      </c>
      <c r="AW72">
        <f>SUMIF(RawDataTotal!$B:$B,$A72,RawDataTotal!AZ:AZ)</f>
        <v>6</v>
      </c>
      <c r="AX72">
        <f>SUMIF(RawDataTotal!$B:$B,$A72,RawDataTotal!BA:BA)</f>
        <v>8</v>
      </c>
      <c r="AY72">
        <f>SUMIF(RawDataTotal!$B:$B,$A72,RawDataTotal!BB:BB)</f>
        <v>10</v>
      </c>
      <c r="AZ72">
        <f>SUMIF(RawDataTotal!$B:$B,$A72,RawDataTotal!BC:BC)</f>
        <v>10</v>
      </c>
      <c r="BA72">
        <f>SUMIF(RawDataTotal!$B:$B,$A72,RawDataTotal!BD:BD)</f>
        <v>17</v>
      </c>
      <c r="BB72">
        <f>SUMIF(RawDataTotal!$B:$B,$A72,RawDataTotal!BE:BE)</f>
        <v>26</v>
      </c>
      <c r="BC72">
        <f>SUMIF(RawDataTotal!$B:$B,$A72,RawDataTotal!BF:BF)</f>
        <v>30</v>
      </c>
      <c r="BD72">
        <f>SUMIF(RawDataTotal!$B:$B,$A72,RawDataTotal!BG:BG)</f>
        <v>34</v>
      </c>
      <c r="BE72">
        <f>SUMIF(RawDataTotal!$B:$B,$A72,RawDataTotal!BH:BH)</f>
        <v>49</v>
      </c>
      <c r="BF72">
        <f>SUMIF(RawDataTotal!$B:$B,$A72,RawDataTotal!BI:BI)</f>
        <v>0</v>
      </c>
      <c r="BG72">
        <f>SUMIF(RawDataTotal!$B:$B,$A72,RawDataTotal!BJ:BJ)</f>
        <v>0</v>
      </c>
      <c r="BH72">
        <f>SUMIF(RawDataTotal!$B:$B,$A72,RawDataTotal!BK:BK)</f>
        <v>0</v>
      </c>
      <c r="BI72">
        <f>SUMIF(RawDataTotal!$B:$B,$A72,RawDataTotal!BL:BL)</f>
        <v>0</v>
      </c>
      <c r="BJ72">
        <f>SUMIF(RawDataTotal!$B:$B,$A72,RawDataTotal!BM:BM)</f>
        <v>0</v>
      </c>
      <c r="BK72">
        <f>SUMIF(RawDataTotal!$B:$B,$A72,RawDataTotal!BN:BN)</f>
        <v>0</v>
      </c>
      <c r="BL72">
        <f>SUMIF(RawDataTotal!$B:$B,$A72,RawDataTotal!BO:BO)</f>
        <v>0</v>
      </c>
      <c r="BM72">
        <f>SUMIF(RawDataTotal!$B:$B,$A72,RawDataTotal!BP:BP)</f>
        <v>0</v>
      </c>
      <c r="BN72">
        <f>SUMIF(RawDataTotal!$B:$B,$A72,RawDataTotal!BQ:BQ)</f>
        <v>0</v>
      </c>
      <c r="BO72">
        <f>SUMIF(RawDataTotal!$B:$B,$A72,RawDataTotal!BR:BR)</f>
        <v>0</v>
      </c>
      <c r="BP72">
        <f>SUMIF(RawDataTotal!$B:$B,$A72,RawDataTotal!BS:BS)</f>
        <v>0</v>
      </c>
      <c r="BQ72">
        <f>SUMIF(RawDataTotal!$B:$B,$A72,RawDataTotal!BT:BT)</f>
        <v>0</v>
      </c>
      <c r="BR72">
        <f>SUMIF(RawDataTotal!$B:$B,$A72,RawDataTotal!BU:BU)</f>
        <v>0</v>
      </c>
      <c r="BS72">
        <f>SUMIF(RawDataTotal!$B:$B,$A72,RawDataTotal!BV:BV)</f>
        <v>0</v>
      </c>
      <c r="BT72">
        <f>SUMIF(RawDataTotal!$B:$B,$A72,RawDataTotal!BW:BW)</f>
        <v>0</v>
      </c>
    </row>
    <row r="73" spans="1:72" ht="15" thickBot="1" x14ac:dyDescent="0.35">
      <c r="A73" s="4" t="s">
        <v>165</v>
      </c>
      <c r="B73">
        <f>SUMIF(RawDataTotal!$B:$B,$A73,RawDataTotal!E:E)</f>
        <v>0</v>
      </c>
      <c r="C73">
        <f>SUMIF(RawDataTotal!$B:$B,$A73,RawDataTotal!F:F)</f>
        <v>0</v>
      </c>
      <c r="D73">
        <f>SUMIF(RawDataTotal!$B:$B,$A73,RawDataTotal!G:G)</f>
        <v>0</v>
      </c>
      <c r="E73">
        <f>SUMIF(RawDataTotal!$B:$B,$A73,RawDataTotal!H:H)</f>
        <v>0</v>
      </c>
      <c r="F73">
        <f>SUMIF(RawDataTotal!$B:$B,$A73,RawDataTotal!I:I)</f>
        <v>0</v>
      </c>
      <c r="G73">
        <f>SUMIF(RawDataTotal!$B:$B,$A73,RawDataTotal!J:J)</f>
        <v>0</v>
      </c>
      <c r="H73">
        <f>SUMIF(RawDataTotal!$B:$B,$A73,RawDataTotal!K:K)</f>
        <v>0</v>
      </c>
      <c r="I73">
        <f>SUMIF(RawDataTotal!$B:$B,$A73,RawDataTotal!L:L)</f>
        <v>0</v>
      </c>
      <c r="J73">
        <f>SUMIF(RawDataTotal!$B:$B,$A73,RawDataTotal!M:M)</f>
        <v>0</v>
      </c>
      <c r="K73">
        <f>SUMIF(RawDataTotal!$B:$B,$A73,RawDataTotal!N:N)</f>
        <v>0</v>
      </c>
      <c r="L73">
        <f>SUMIF(RawDataTotal!$B:$B,$A73,RawDataTotal!O:O)</f>
        <v>0</v>
      </c>
      <c r="M73">
        <f>SUMIF(RawDataTotal!$B:$B,$A73,RawDataTotal!P:P)</f>
        <v>0</v>
      </c>
      <c r="N73">
        <f>SUMIF(RawDataTotal!$B:$B,$A73,RawDataTotal!Q:Q)</f>
        <v>0</v>
      </c>
      <c r="O73">
        <f>SUMIF(RawDataTotal!$B:$B,$A73,RawDataTotal!R:R)</f>
        <v>0</v>
      </c>
      <c r="P73">
        <f>SUMIF(RawDataTotal!$B:$B,$A73,RawDataTotal!S:S)</f>
        <v>0</v>
      </c>
      <c r="Q73">
        <f>SUMIF(RawDataTotal!$B:$B,$A73,RawDataTotal!T:T)</f>
        <v>0</v>
      </c>
      <c r="R73">
        <f>SUMIF(RawDataTotal!$B:$B,$A73,RawDataTotal!U:U)</f>
        <v>0</v>
      </c>
      <c r="S73">
        <f>SUMIF(RawDataTotal!$B:$B,$A73,RawDataTotal!V:V)</f>
        <v>0</v>
      </c>
      <c r="T73">
        <f>SUMIF(RawDataTotal!$B:$B,$A73,RawDataTotal!W:W)</f>
        <v>0</v>
      </c>
      <c r="U73">
        <f>SUMIF(RawDataTotal!$B:$B,$A73,RawDataTotal!X:X)</f>
        <v>0</v>
      </c>
      <c r="V73">
        <f>SUMIF(RawDataTotal!$B:$B,$A73,RawDataTotal!Y:Y)</f>
        <v>0</v>
      </c>
      <c r="W73">
        <f>SUMIF(RawDataTotal!$B:$B,$A73,RawDataTotal!Z:Z)</f>
        <v>0</v>
      </c>
      <c r="X73">
        <f>SUMIF(RawDataTotal!$B:$B,$A73,RawDataTotal!AA:AA)</f>
        <v>0</v>
      </c>
      <c r="Y73">
        <f>SUMIF(RawDataTotal!$B:$B,$A73,RawDataTotal!AB:AB)</f>
        <v>0</v>
      </c>
      <c r="Z73">
        <f>SUMIF(RawDataTotal!$B:$B,$A73,RawDataTotal!AC:AC)</f>
        <v>0</v>
      </c>
      <c r="AA73">
        <f>SUMIF(RawDataTotal!$B:$B,$A73,RawDataTotal!AD:AD)</f>
        <v>0</v>
      </c>
      <c r="AB73">
        <f>SUMIF(RawDataTotal!$B:$B,$A73,RawDataTotal!AE:AE)</f>
        <v>0</v>
      </c>
      <c r="AC73">
        <f>SUMIF(RawDataTotal!$B:$B,$A73,RawDataTotal!AF:AF)</f>
        <v>0</v>
      </c>
      <c r="AD73">
        <f>SUMIF(RawDataTotal!$B:$B,$A73,RawDataTotal!AG:AG)</f>
        <v>0</v>
      </c>
      <c r="AE73">
        <f>SUMIF(RawDataTotal!$B:$B,$A73,RawDataTotal!AH:AH)</f>
        <v>0</v>
      </c>
      <c r="AF73">
        <f>SUMIF(RawDataTotal!$B:$B,$A73,RawDataTotal!AI:AI)</f>
        <v>0</v>
      </c>
      <c r="AG73">
        <f>SUMIF(RawDataTotal!$B:$B,$A73,RawDataTotal!AJ:AJ)</f>
        <v>0</v>
      </c>
      <c r="AH73">
        <f>SUMIF(RawDataTotal!$B:$B,$A73,RawDataTotal!AK:AK)</f>
        <v>0</v>
      </c>
      <c r="AI73">
        <f>SUMIF(RawDataTotal!$B:$B,$A73,RawDataTotal!AL:AL)</f>
        <v>0</v>
      </c>
      <c r="AJ73">
        <f>SUMIF(RawDataTotal!$B:$B,$A73,RawDataTotal!AM:AM)</f>
        <v>0</v>
      </c>
      <c r="AK73">
        <f>SUMIF(RawDataTotal!$B:$B,$A73,RawDataTotal!AN:AN)</f>
        <v>0</v>
      </c>
      <c r="AL73">
        <f>SUMIF(RawDataTotal!$B:$B,$A73,RawDataTotal!AO:AO)</f>
        <v>0</v>
      </c>
      <c r="AM73">
        <f>SUMIF(RawDataTotal!$B:$B,$A73,RawDataTotal!AP:AP)</f>
        <v>0</v>
      </c>
      <c r="AN73">
        <f>SUMIF(RawDataTotal!$B:$B,$A73,RawDataTotal!AQ:AQ)</f>
        <v>0</v>
      </c>
      <c r="AO73">
        <f>SUMIF(RawDataTotal!$B:$B,$A73,RawDataTotal!AR:AR)</f>
        <v>0</v>
      </c>
      <c r="AP73">
        <f>SUMIF(RawDataTotal!$B:$B,$A73,RawDataTotal!AS:AS)</f>
        <v>0</v>
      </c>
      <c r="AQ73">
        <f>SUMIF(RawDataTotal!$B:$B,$A73,RawDataTotal!AT:AT)</f>
        <v>0</v>
      </c>
      <c r="AR73">
        <f>SUMIF(RawDataTotal!$B:$B,$A73,RawDataTotal!AU:AU)</f>
        <v>1</v>
      </c>
      <c r="AS73">
        <f>SUMIF(RawDataTotal!$B:$B,$A73,RawDataTotal!AV:AV)</f>
        <v>1</v>
      </c>
      <c r="AT73">
        <f>SUMIF(RawDataTotal!$B:$B,$A73,RawDataTotal!AW:AW)</f>
        <v>1</v>
      </c>
      <c r="AU73">
        <f>SUMIF(RawDataTotal!$B:$B,$A73,RawDataTotal!AX:AX)</f>
        <v>1</v>
      </c>
      <c r="AV73">
        <f>SUMIF(RawDataTotal!$B:$B,$A73,RawDataTotal!AY:AY)</f>
        <v>2</v>
      </c>
      <c r="AW73">
        <f>SUMIF(RawDataTotal!$B:$B,$A73,RawDataTotal!AZ:AZ)</f>
        <v>2</v>
      </c>
      <c r="AX73">
        <f>SUMIF(RawDataTotal!$B:$B,$A73,RawDataTotal!BA:BA)</f>
        <v>5</v>
      </c>
      <c r="AY73">
        <f>SUMIF(RawDataTotal!$B:$B,$A73,RawDataTotal!BB:BB)</f>
        <v>7</v>
      </c>
      <c r="AZ73">
        <f>SUMIF(RawDataTotal!$B:$B,$A73,RawDataTotal!BC:BC)</f>
        <v>7</v>
      </c>
      <c r="BA73">
        <f>SUMIF(RawDataTotal!$B:$B,$A73,RawDataTotal!BD:BD)</f>
        <v>16</v>
      </c>
      <c r="BB73">
        <f>SUMIF(RawDataTotal!$B:$B,$A73,RawDataTotal!BE:BE)</f>
        <v>18</v>
      </c>
      <c r="BC73">
        <f>SUMIF(RawDataTotal!$B:$B,$A73,RawDataTotal!BF:BF)</f>
        <v>18</v>
      </c>
      <c r="BD73">
        <f>SUMIF(RawDataTotal!$B:$B,$A73,RawDataTotal!BG:BG)</f>
        <v>20</v>
      </c>
      <c r="BE73">
        <f>SUMIF(RawDataTotal!$B:$B,$A73,RawDataTotal!BH:BH)</f>
        <v>24</v>
      </c>
      <c r="BF73">
        <f>SUMIF(RawDataTotal!$B:$B,$A73,RawDataTotal!BI:BI)</f>
        <v>0</v>
      </c>
      <c r="BG73">
        <f>SUMIF(RawDataTotal!$B:$B,$A73,RawDataTotal!BJ:BJ)</f>
        <v>0</v>
      </c>
      <c r="BH73">
        <f>SUMIF(RawDataTotal!$B:$B,$A73,RawDataTotal!BK:BK)</f>
        <v>0</v>
      </c>
      <c r="BI73">
        <f>SUMIF(RawDataTotal!$B:$B,$A73,RawDataTotal!BL:BL)</f>
        <v>0</v>
      </c>
      <c r="BJ73">
        <f>SUMIF(RawDataTotal!$B:$B,$A73,RawDataTotal!BM:BM)</f>
        <v>0</v>
      </c>
      <c r="BK73">
        <f>SUMIF(RawDataTotal!$B:$B,$A73,RawDataTotal!BN:BN)</f>
        <v>0</v>
      </c>
      <c r="BL73">
        <f>SUMIF(RawDataTotal!$B:$B,$A73,RawDataTotal!BO:BO)</f>
        <v>0</v>
      </c>
      <c r="BM73">
        <f>SUMIF(RawDataTotal!$B:$B,$A73,RawDataTotal!BP:BP)</f>
        <v>0</v>
      </c>
      <c r="BN73">
        <f>SUMIF(RawDataTotal!$B:$B,$A73,RawDataTotal!BQ:BQ)</f>
        <v>0</v>
      </c>
      <c r="BO73">
        <f>SUMIF(RawDataTotal!$B:$B,$A73,RawDataTotal!BR:BR)</f>
        <v>0</v>
      </c>
      <c r="BP73">
        <f>SUMIF(RawDataTotal!$B:$B,$A73,RawDataTotal!BS:BS)</f>
        <v>0</v>
      </c>
      <c r="BQ73">
        <f>SUMIF(RawDataTotal!$B:$B,$A73,RawDataTotal!BT:BT)</f>
        <v>0</v>
      </c>
      <c r="BR73">
        <f>SUMIF(RawDataTotal!$B:$B,$A73,RawDataTotal!BU:BU)</f>
        <v>0</v>
      </c>
      <c r="BS73">
        <f>SUMIF(RawDataTotal!$B:$B,$A73,RawDataTotal!BV:BV)</f>
        <v>0</v>
      </c>
      <c r="BT73">
        <f>SUMIF(RawDataTotal!$B:$B,$A73,RawDataTotal!BW:BW)</f>
        <v>0</v>
      </c>
    </row>
    <row r="74" spans="1:72" ht="15" thickBot="1" x14ac:dyDescent="0.35">
      <c r="A74" s="3" t="s">
        <v>131</v>
      </c>
      <c r="B74">
        <f>SUMIF(RawDataTotal!$B:$B,$A74,RawDataTotal!E:E)</f>
        <v>0</v>
      </c>
      <c r="C74">
        <f>SUMIF(RawDataTotal!$B:$B,$A74,RawDataTotal!F:F)</f>
        <v>0</v>
      </c>
      <c r="D74">
        <f>SUMIF(RawDataTotal!$B:$B,$A74,RawDataTotal!G:G)</f>
        <v>0</v>
      </c>
      <c r="E74">
        <f>SUMIF(RawDataTotal!$B:$B,$A74,RawDataTotal!H:H)</f>
        <v>0</v>
      </c>
      <c r="F74">
        <f>SUMIF(RawDataTotal!$B:$B,$A74,RawDataTotal!I:I)</f>
        <v>0</v>
      </c>
      <c r="G74">
        <f>SUMIF(RawDataTotal!$B:$B,$A74,RawDataTotal!J:J)</f>
        <v>0</v>
      </c>
      <c r="H74">
        <f>SUMIF(RawDataTotal!$B:$B,$A74,RawDataTotal!K:K)</f>
        <v>0</v>
      </c>
      <c r="I74">
        <f>SUMIF(RawDataTotal!$B:$B,$A74,RawDataTotal!L:L)</f>
        <v>0</v>
      </c>
      <c r="J74">
        <f>SUMIF(RawDataTotal!$B:$B,$A74,RawDataTotal!M:M)</f>
        <v>0</v>
      </c>
      <c r="K74">
        <f>SUMIF(RawDataTotal!$B:$B,$A74,RawDataTotal!N:N)</f>
        <v>0</v>
      </c>
      <c r="L74">
        <f>SUMIF(RawDataTotal!$B:$B,$A74,RawDataTotal!O:O)</f>
        <v>0</v>
      </c>
      <c r="M74">
        <f>SUMIF(RawDataTotal!$B:$B,$A74,RawDataTotal!P:P)</f>
        <v>0</v>
      </c>
      <c r="N74">
        <f>SUMIF(RawDataTotal!$B:$B,$A74,RawDataTotal!Q:Q)</f>
        <v>0</v>
      </c>
      <c r="O74">
        <f>SUMIF(RawDataTotal!$B:$B,$A74,RawDataTotal!R:R)</f>
        <v>0</v>
      </c>
      <c r="P74">
        <f>SUMIF(RawDataTotal!$B:$B,$A74,RawDataTotal!S:S)</f>
        <v>0</v>
      </c>
      <c r="Q74">
        <f>SUMIF(RawDataTotal!$B:$B,$A74,RawDataTotal!T:T)</f>
        <v>0</v>
      </c>
      <c r="R74">
        <f>SUMIF(RawDataTotal!$B:$B,$A74,RawDataTotal!U:U)</f>
        <v>0</v>
      </c>
      <c r="S74">
        <f>SUMIF(RawDataTotal!$B:$B,$A74,RawDataTotal!V:V)</f>
        <v>0</v>
      </c>
      <c r="T74">
        <f>SUMIF(RawDataTotal!$B:$B,$A74,RawDataTotal!W:W)</f>
        <v>0</v>
      </c>
      <c r="U74">
        <f>SUMIF(RawDataTotal!$B:$B,$A74,RawDataTotal!X:X)</f>
        <v>0</v>
      </c>
      <c r="V74">
        <f>SUMIF(RawDataTotal!$B:$B,$A74,RawDataTotal!Y:Y)</f>
        <v>0</v>
      </c>
      <c r="W74">
        <f>SUMIF(RawDataTotal!$B:$B,$A74,RawDataTotal!Z:Z)</f>
        <v>0</v>
      </c>
      <c r="X74">
        <f>SUMIF(RawDataTotal!$B:$B,$A74,RawDataTotal!AA:AA)</f>
        <v>0</v>
      </c>
      <c r="Y74">
        <f>SUMIF(RawDataTotal!$B:$B,$A74,RawDataTotal!AB:AB)</f>
        <v>0</v>
      </c>
      <c r="Z74">
        <f>SUMIF(RawDataTotal!$B:$B,$A74,RawDataTotal!AC:AC)</f>
        <v>0</v>
      </c>
      <c r="AA74">
        <f>SUMIF(RawDataTotal!$B:$B,$A74,RawDataTotal!AD:AD)</f>
        <v>0</v>
      </c>
      <c r="AB74">
        <f>SUMIF(RawDataTotal!$B:$B,$A74,RawDataTotal!AE:AE)</f>
        <v>0</v>
      </c>
      <c r="AC74">
        <f>SUMIF(RawDataTotal!$B:$B,$A74,RawDataTotal!AF:AF)</f>
        <v>0</v>
      </c>
      <c r="AD74">
        <f>SUMIF(RawDataTotal!$B:$B,$A74,RawDataTotal!AG:AG)</f>
        <v>0</v>
      </c>
      <c r="AE74">
        <f>SUMIF(RawDataTotal!$B:$B,$A74,RawDataTotal!AH:AH)</f>
        <v>0</v>
      </c>
      <c r="AF74">
        <f>SUMIF(RawDataTotal!$B:$B,$A74,RawDataTotal!AI:AI)</f>
        <v>0</v>
      </c>
      <c r="AG74">
        <f>SUMIF(RawDataTotal!$B:$B,$A74,RawDataTotal!AJ:AJ)</f>
        <v>0</v>
      </c>
      <c r="AH74">
        <f>SUMIF(RawDataTotal!$B:$B,$A74,RawDataTotal!AK:AK)</f>
        <v>0</v>
      </c>
      <c r="AI74">
        <f>SUMIF(RawDataTotal!$B:$B,$A74,RawDataTotal!AL:AL)</f>
        <v>0</v>
      </c>
      <c r="AJ74">
        <f>SUMIF(RawDataTotal!$B:$B,$A74,RawDataTotal!AM:AM)</f>
        <v>0</v>
      </c>
      <c r="AK74">
        <f>SUMIF(RawDataTotal!$B:$B,$A74,RawDataTotal!AN:AN)</f>
        <v>0</v>
      </c>
      <c r="AL74">
        <f>SUMIF(RawDataTotal!$B:$B,$A74,RawDataTotal!AO:AO)</f>
        <v>0</v>
      </c>
      <c r="AM74">
        <f>SUMIF(RawDataTotal!$B:$B,$A74,RawDataTotal!AP:AP)</f>
        <v>0</v>
      </c>
      <c r="AN74">
        <f>SUMIF(RawDataTotal!$B:$B,$A74,RawDataTotal!AQ:AQ)</f>
        <v>0</v>
      </c>
      <c r="AO74">
        <f>SUMIF(RawDataTotal!$B:$B,$A74,RawDataTotal!AR:AR)</f>
        <v>3</v>
      </c>
      <c r="AP74">
        <f>SUMIF(RawDataTotal!$B:$B,$A74,RawDataTotal!AS:AS)</f>
        <v>3</v>
      </c>
      <c r="AQ74">
        <f>SUMIF(RawDataTotal!$B:$B,$A74,RawDataTotal!AT:AT)</f>
        <v>3</v>
      </c>
      <c r="AR74">
        <f>SUMIF(RawDataTotal!$B:$B,$A74,RawDataTotal!AU:AU)</f>
        <v>3</v>
      </c>
      <c r="AS74">
        <f>SUMIF(RawDataTotal!$B:$B,$A74,RawDataTotal!AV:AV)</f>
        <v>6</v>
      </c>
      <c r="AT74">
        <f>SUMIF(RawDataTotal!$B:$B,$A74,RawDataTotal!AW:AW)</f>
        <v>6</v>
      </c>
      <c r="AU74">
        <f>SUMIF(RawDataTotal!$B:$B,$A74,RawDataTotal!AX:AX)</f>
        <v>9</v>
      </c>
      <c r="AV74">
        <f>SUMIF(RawDataTotal!$B:$B,$A74,RawDataTotal!AY:AY)</f>
        <v>9</v>
      </c>
      <c r="AW74">
        <f>SUMIF(RawDataTotal!$B:$B,$A74,RawDataTotal!AZ:AZ)</f>
        <v>9</v>
      </c>
      <c r="AX74">
        <f>SUMIF(RawDataTotal!$B:$B,$A74,RawDataTotal!BA:BA)</f>
        <v>11</v>
      </c>
      <c r="AY74">
        <f>SUMIF(RawDataTotal!$B:$B,$A74,RawDataTotal!BB:BB)</f>
        <v>11</v>
      </c>
      <c r="AZ74">
        <f>SUMIF(RawDataTotal!$B:$B,$A74,RawDataTotal!BC:BC)</f>
        <v>11</v>
      </c>
      <c r="BA74">
        <f>SUMIF(RawDataTotal!$B:$B,$A74,RawDataTotal!BD:BD)</f>
        <v>15</v>
      </c>
      <c r="BB74">
        <f>SUMIF(RawDataTotal!$B:$B,$A74,RawDataTotal!BE:BE)</f>
        <v>15</v>
      </c>
      <c r="BC74">
        <f>SUMIF(RawDataTotal!$B:$B,$A74,RawDataTotal!BF:BF)</f>
        <v>23</v>
      </c>
      <c r="BD74">
        <f>SUMIF(RawDataTotal!$B:$B,$A74,RawDataTotal!BG:BG)</f>
        <v>15</v>
      </c>
      <c r="BE74">
        <f>SUMIF(RawDataTotal!$B:$B,$A74,RawDataTotal!BH:BH)</f>
        <v>28</v>
      </c>
      <c r="BF74">
        <f>SUMIF(RawDataTotal!$B:$B,$A74,RawDataTotal!BI:BI)</f>
        <v>0</v>
      </c>
      <c r="BG74">
        <f>SUMIF(RawDataTotal!$B:$B,$A74,RawDataTotal!BJ:BJ)</f>
        <v>0</v>
      </c>
      <c r="BH74">
        <f>SUMIF(RawDataTotal!$B:$B,$A74,RawDataTotal!BK:BK)</f>
        <v>0</v>
      </c>
      <c r="BI74">
        <f>SUMIF(RawDataTotal!$B:$B,$A74,RawDataTotal!BL:BL)</f>
        <v>0</v>
      </c>
      <c r="BJ74">
        <f>SUMIF(RawDataTotal!$B:$B,$A74,RawDataTotal!BM:BM)</f>
        <v>0</v>
      </c>
      <c r="BK74">
        <f>SUMIF(RawDataTotal!$B:$B,$A74,RawDataTotal!BN:BN)</f>
        <v>0</v>
      </c>
      <c r="BL74">
        <f>SUMIF(RawDataTotal!$B:$B,$A74,RawDataTotal!BO:BO)</f>
        <v>0</v>
      </c>
      <c r="BM74">
        <f>SUMIF(RawDataTotal!$B:$B,$A74,RawDataTotal!BP:BP)</f>
        <v>0</v>
      </c>
      <c r="BN74">
        <f>SUMIF(RawDataTotal!$B:$B,$A74,RawDataTotal!BQ:BQ)</f>
        <v>0</v>
      </c>
      <c r="BO74">
        <f>SUMIF(RawDataTotal!$B:$B,$A74,RawDataTotal!BR:BR)</f>
        <v>0</v>
      </c>
      <c r="BP74">
        <f>SUMIF(RawDataTotal!$B:$B,$A74,RawDataTotal!BS:BS)</f>
        <v>0</v>
      </c>
      <c r="BQ74">
        <f>SUMIF(RawDataTotal!$B:$B,$A74,RawDataTotal!BT:BT)</f>
        <v>0</v>
      </c>
      <c r="BR74">
        <f>SUMIF(RawDataTotal!$B:$B,$A74,RawDataTotal!BU:BU)</f>
        <v>0</v>
      </c>
      <c r="BS74">
        <f>SUMIF(RawDataTotal!$B:$B,$A74,RawDataTotal!BV:BV)</f>
        <v>0</v>
      </c>
      <c r="BT74">
        <f>SUMIF(RawDataTotal!$B:$B,$A74,RawDataTotal!BW:BW)</f>
        <v>0</v>
      </c>
    </row>
    <row r="75" spans="1:72" ht="15" thickBot="1" x14ac:dyDescent="0.35">
      <c r="A75" s="3" t="s">
        <v>258</v>
      </c>
      <c r="B75">
        <f>SUMIF(RawDataTotal!$B:$B,$A75,RawDataTotal!E:E)</f>
        <v>0</v>
      </c>
      <c r="C75">
        <f>SUMIF(RawDataTotal!$B:$B,$A75,RawDataTotal!F:F)</f>
        <v>0</v>
      </c>
      <c r="D75">
        <f>SUMIF(RawDataTotal!$B:$B,$A75,RawDataTotal!G:G)</f>
        <v>0</v>
      </c>
      <c r="E75">
        <f>SUMIF(RawDataTotal!$B:$B,$A75,RawDataTotal!H:H)</f>
        <v>0</v>
      </c>
      <c r="F75">
        <f>SUMIF(RawDataTotal!$B:$B,$A75,RawDataTotal!I:I)</f>
        <v>0</v>
      </c>
      <c r="G75">
        <f>SUMIF(RawDataTotal!$B:$B,$A75,RawDataTotal!J:J)</f>
        <v>0</v>
      </c>
      <c r="H75">
        <f>SUMIF(RawDataTotal!$B:$B,$A75,RawDataTotal!K:K)</f>
        <v>0</v>
      </c>
      <c r="I75">
        <f>SUMIF(RawDataTotal!$B:$B,$A75,RawDataTotal!L:L)</f>
        <v>0</v>
      </c>
      <c r="J75">
        <f>SUMIF(RawDataTotal!$B:$B,$A75,RawDataTotal!M:M)</f>
        <v>0</v>
      </c>
      <c r="K75">
        <f>SUMIF(RawDataTotal!$B:$B,$A75,RawDataTotal!N:N)</f>
        <v>0</v>
      </c>
      <c r="L75">
        <f>SUMIF(RawDataTotal!$B:$B,$A75,RawDataTotal!O:O)</f>
        <v>0</v>
      </c>
      <c r="M75">
        <f>SUMIF(RawDataTotal!$B:$B,$A75,RawDataTotal!P:P)</f>
        <v>0</v>
      </c>
      <c r="N75">
        <f>SUMIF(RawDataTotal!$B:$B,$A75,RawDataTotal!Q:Q)</f>
        <v>0</v>
      </c>
      <c r="O75">
        <f>SUMIF(RawDataTotal!$B:$B,$A75,RawDataTotal!R:R)</f>
        <v>0</v>
      </c>
      <c r="P75">
        <f>SUMIF(RawDataTotal!$B:$B,$A75,RawDataTotal!S:S)</f>
        <v>0</v>
      </c>
      <c r="Q75">
        <f>SUMIF(RawDataTotal!$B:$B,$A75,RawDataTotal!T:T)</f>
        <v>0</v>
      </c>
      <c r="R75">
        <f>SUMIF(RawDataTotal!$B:$B,$A75,RawDataTotal!U:U)</f>
        <v>0</v>
      </c>
      <c r="S75">
        <f>SUMIF(RawDataTotal!$B:$B,$A75,RawDataTotal!V:V)</f>
        <v>0</v>
      </c>
      <c r="T75">
        <f>SUMIF(RawDataTotal!$B:$B,$A75,RawDataTotal!W:W)</f>
        <v>0</v>
      </c>
      <c r="U75">
        <f>SUMIF(RawDataTotal!$B:$B,$A75,RawDataTotal!X:X)</f>
        <v>0</v>
      </c>
      <c r="V75">
        <f>SUMIF(RawDataTotal!$B:$B,$A75,RawDataTotal!Y:Y)</f>
        <v>0</v>
      </c>
      <c r="W75">
        <f>SUMIF(RawDataTotal!$B:$B,$A75,RawDataTotal!Z:Z)</f>
        <v>0</v>
      </c>
      <c r="X75">
        <f>SUMIF(RawDataTotal!$B:$B,$A75,RawDataTotal!AA:AA)</f>
        <v>0</v>
      </c>
      <c r="Y75">
        <f>SUMIF(RawDataTotal!$B:$B,$A75,RawDataTotal!AB:AB)</f>
        <v>0</v>
      </c>
      <c r="Z75">
        <f>SUMIF(RawDataTotal!$B:$B,$A75,RawDataTotal!AC:AC)</f>
        <v>0</v>
      </c>
      <c r="AA75">
        <f>SUMIF(RawDataTotal!$B:$B,$A75,RawDataTotal!AD:AD)</f>
        <v>0</v>
      </c>
      <c r="AB75">
        <f>SUMIF(RawDataTotal!$B:$B,$A75,RawDataTotal!AE:AE)</f>
        <v>0</v>
      </c>
      <c r="AC75">
        <f>SUMIF(RawDataTotal!$B:$B,$A75,RawDataTotal!AF:AF)</f>
        <v>0</v>
      </c>
      <c r="AD75">
        <f>SUMIF(RawDataTotal!$B:$B,$A75,RawDataTotal!AG:AG)</f>
        <v>0</v>
      </c>
      <c r="AE75">
        <f>SUMIF(RawDataTotal!$B:$B,$A75,RawDataTotal!AH:AH)</f>
        <v>0</v>
      </c>
      <c r="AF75">
        <f>SUMIF(RawDataTotal!$B:$B,$A75,RawDataTotal!AI:AI)</f>
        <v>0</v>
      </c>
      <c r="AG75">
        <f>SUMIF(RawDataTotal!$B:$B,$A75,RawDataTotal!AJ:AJ)</f>
        <v>0</v>
      </c>
      <c r="AH75">
        <f>SUMIF(RawDataTotal!$B:$B,$A75,RawDataTotal!AK:AK)</f>
        <v>0</v>
      </c>
      <c r="AI75">
        <f>SUMIF(RawDataTotal!$B:$B,$A75,RawDataTotal!AL:AL)</f>
        <v>0</v>
      </c>
      <c r="AJ75">
        <f>SUMIF(RawDataTotal!$B:$B,$A75,RawDataTotal!AM:AM)</f>
        <v>0</v>
      </c>
      <c r="AK75">
        <f>SUMIF(RawDataTotal!$B:$B,$A75,RawDataTotal!AN:AN)</f>
        <v>0</v>
      </c>
      <c r="AL75">
        <f>SUMIF(RawDataTotal!$B:$B,$A75,RawDataTotal!AO:AO)</f>
        <v>0</v>
      </c>
      <c r="AM75">
        <f>SUMIF(RawDataTotal!$B:$B,$A75,RawDataTotal!AP:AP)</f>
        <v>0</v>
      </c>
      <c r="AN75">
        <f>SUMIF(RawDataTotal!$B:$B,$A75,RawDataTotal!AQ:AQ)</f>
        <v>0</v>
      </c>
      <c r="AO75">
        <f>SUMIF(RawDataTotal!$B:$B,$A75,RawDataTotal!AR:AR)</f>
        <v>0</v>
      </c>
      <c r="AP75">
        <f>SUMIF(RawDataTotal!$B:$B,$A75,RawDataTotal!AS:AS)</f>
        <v>0</v>
      </c>
      <c r="AQ75">
        <f>SUMIF(RawDataTotal!$B:$B,$A75,RawDataTotal!AT:AT)</f>
        <v>0</v>
      </c>
      <c r="AR75">
        <f>SUMIF(RawDataTotal!$B:$B,$A75,RawDataTotal!AU:AU)</f>
        <v>0</v>
      </c>
      <c r="AS75">
        <f>SUMIF(RawDataTotal!$B:$B,$A75,RawDataTotal!AV:AV)</f>
        <v>0</v>
      </c>
      <c r="AT75">
        <f>SUMIF(RawDataTotal!$B:$B,$A75,RawDataTotal!AW:AW)</f>
        <v>0</v>
      </c>
      <c r="AU75">
        <f>SUMIF(RawDataTotal!$B:$B,$A75,RawDataTotal!AX:AX)</f>
        <v>0</v>
      </c>
      <c r="AV75">
        <f>SUMIF(RawDataTotal!$B:$B,$A75,RawDataTotal!AY:AY)</f>
        <v>0</v>
      </c>
      <c r="AW75">
        <f>SUMIF(RawDataTotal!$B:$B,$A75,RawDataTotal!AZ:AZ)</f>
        <v>2</v>
      </c>
      <c r="AX75">
        <f>SUMIF(RawDataTotal!$B:$B,$A75,RawDataTotal!BA:BA)</f>
        <v>3</v>
      </c>
      <c r="AY75">
        <f>SUMIF(RawDataTotal!$B:$B,$A75,RawDataTotal!BB:BB)</f>
        <v>6</v>
      </c>
      <c r="AZ75">
        <f>SUMIF(RawDataTotal!$B:$B,$A75,RawDataTotal!BC:BC)</f>
        <v>6</v>
      </c>
      <c r="BA75">
        <f>SUMIF(RawDataTotal!$B:$B,$A75,RawDataTotal!BD:BD)</f>
        <v>14</v>
      </c>
      <c r="BB75">
        <f>SUMIF(RawDataTotal!$B:$B,$A75,RawDataTotal!BE:BE)</f>
        <v>26</v>
      </c>
      <c r="BC75">
        <f>SUMIF(RawDataTotal!$B:$B,$A75,RawDataTotal!BF:BF)</f>
        <v>26</v>
      </c>
      <c r="BD75">
        <f>SUMIF(RawDataTotal!$B:$B,$A75,RawDataTotal!BG:BG)</f>
        <v>33</v>
      </c>
      <c r="BE75">
        <f>SUMIF(RawDataTotal!$B:$B,$A75,RawDataTotal!BH:BH)</f>
        <v>46</v>
      </c>
      <c r="BF75">
        <f>SUMIF(RawDataTotal!$B:$B,$A75,RawDataTotal!BI:BI)</f>
        <v>0</v>
      </c>
      <c r="BG75">
        <f>SUMIF(RawDataTotal!$B:$B,$A75,RawDataTotal!BJ:BJ)</f>
        <v>0</v>
      </c>
      <c r="BH75">
        <f>SUMIF(RawDataTotal!$B:$B,$A75,RawDataTotal!BK:BK)</f>
        <v>0</v>
      </c>
      <c r="BI75">
        <f>SUMIF(RawDataTotal!$B:$B,$A75,RawDataTotal!BL:BL)</f>
        <v>0</v>
      </c>
      <c r="BJ75">
        <f>SUMIF(RawDataTotal!$B:$B,$A75,RawDataTotal!BM:BM)</f>
        <v>0</v>
      </c>
      <c r="BK75">
        <f>SUMIF(RawDataTotal!$B:$B,$A75,RawDataTotal!BN:BN)</f>
        <v>0</v>
      </c>
      <c r="BL75">
        <f>SUMIF(RawDataTotal!$B:$B,$A75,RawDataTotal!BO:BO)</f>
        <v>0</v>
      </c>
      <c r="BM75">
        <f>SUMIF(RawDataTotal!$B:$B,$A75,RawDataTotal!BP:BP)</f>
        <v>0</v>
      </c>
      <c r="BN75">
        <f>SUMIF(RawDataTotal!$B:$B,$A75,RawDataTotal!BQ:BQ)</f>
        <v>0</v>
      </c>
      <c r="BO75">
        <f>SUMIF(RawDataTotal!$B:$B,$A75,RawDataTotal!BR:BR)</f>
        <v>0</v>
      </c>
      <c r="BP75">
        <f>SUMIF(RawDataTotal!$B:$B,$A75,RawDataTotal!BS:BS)</f>
        <v>0</v>
      </c>
      <c r="BQ75">
        <f>SUMIF(RawDataTotal!$B:$B,$A75,RawDataTotal!BT:BT)</f>
        <v>0</v>
      </c>
      <c r="BR75">
        <f>SUMIF(RawDataTotal!$B:$B,$A75,RawDataTotal!BU:BU)</f>
        <v>0</v>
      </c>
      <c r="BS75">
        <f>SUMIF(RawDataTotal!$B:$B,$A75,RawDataTotal!BV:BV)</f>
        <v>0</v>
      </c>
      <c r="BT75">
        <f>SUMIF(RawDataTotal!$B:$B,$A75,RawDataTotal!BW:BW)</f>
        <v>0</v>
      </c>
    </row>
    <row r="76" spans="1:72" ht="15" thickBot="1" x14ac:dyDescent="0.35">
      <c r="A76" s="3" t="s">
        <v>111</v>
      </c>
      <c r="B76">
        <f>SUMIF(RawDataTotal!$B:$B,$A76,RawDataTotal!E:E)</f>
        <v>0</v>
      </c>
      <c r="C76">
        <f>SUMIF(RawDataTotal!$B:$B,$A76,RawDataTotal!F:F)</f>
        <v>0</v>
      </c>
      <c r="D76">
        <f>SUMIF(RawDataTotal!$B:$B,$A76,RawDataTotal!G:G)</f>
        <v>0</v>
      </c>
      <c r="E76">
        <f>SUMIF(RawDataTotal!$B:$B,$A76,RawDataTotal!H:H)</f>
        <v>0</v>
      </c>
      <c r="F76">
        <f>SUMIF(RawDataTotal!$B:$B,$A76,RawDataTotal!I:I)</f>
        <v>0</v>
      </c>
      <c r="G76">
        <f>SUMIF(RawDataTotal!$B:$B,$A76,RawDataTotal!J:J)</f>
        <v>0</v>
      </c>
      <c r="H76">
        <f>SUMIF(RawDataTotal!$B:$B,$A76,RawDataTotal!K:K)</f>
        <v>0</v>
      </c>
      <c r="I76">
        <f>SUMIF(RawDataTotal!$B:$B,$A76,RawDataTotal!L:L)</f>
        <v>0</v>
      </c>
      <c r="J76">
        <f>SUMIF(RawDataTotal!$B:$B,$A76,RawDataTotal!M:M)</f>
        <v>0</v>
      </c>
      <c r="K76">
        <f>SUMIF(RawDataTotal!$B:$B,$A76,RawDataTotal!N:N)</f>
        <v>0</v>
      </c>
      <c r="L76">
        <f>SUMIF(RawDataTotal!$B:$B,$A76,RawDataTotal!O:O)</f>
        <v>0</v>
      </c>
      <c r="M76">
        <f>SUMIF(RawDataTotal!$B:$B,$A76,RawDataTotal!P:P)</f>
        <v>0</v>
      </c>
      <c r="N76">
        <f>SUMIF(RawDataTotal!$B:$B,$A76,RawDataTotal!Q:Q)</f>
        <v>0</v>
      </c>
      <c r="O76">
        <f>SUMIF(RawDataTotal!$B:$B,$A76,RawDataTotal!R:R)</f>
        <v>0</v>
      </c>
      <c r="P76">
        <f>SUMIF(RawDataTotal!$B:$B,$A76,RawDataTotal!S:S)</f>
        <v>0</v>
      </c>
      <c r="Q76">
        <f>SUMIF(RawDataTotal!$B:$B,$A76,RawDataTotal!T:T)</f>
        <v>0</v>
      </c>
      <c r="R76">
        <f>SUMIF(RawDataTotal!$B:$B,$A76,RawDataTotal!U:U)</f>
        <v>0</v>
      </c>
      <c r="S76">
        <f>SUMIF(RawDataTotal!$B:$B,$A76,RawDataTotal!V:V)</f>
        <v>0</v>
      </c>
      <c r="T76">
        <f>SUMIF(RawDataTotal!$B:$B,$A76,RawDataTotal!W:W)</f>
        <v>0</v>
      </c>
      <c r="U76">
        <f>SUMIF(RawDataTotal!$B:$B,$A76,RawDataTotal!X:X)</f>
        <v>0</v>
      </c>
      <c r="V76">
        <f>SUMIF(RawDataTotal!$B:$B,$A76,RawDataTotal!Y:Y)</f>
        <v>0</v>
      </c>
      <c r="W76">
        <f>SUMIF(RawDataTotal!$B:$B,$A76,RawDataTotal!Z:Z)</f>
        <v>0</v>
      </c>
      <c r="X76">
        <f>SUMIF(RawDataTotal!$B:$B,$A76,RawDataTotal!AA:AA)</f>
        <v>0</v>
      </c>
      <c r="Y76">
        <f>SUMIF(RawDataTotal!$B:$B,$A76,RawDataTotal!AB:AB)</f>
        <v>0</v>
      </c>
      <c r="Z76">
        <f>SUMIF(RawDataTotal!$B:$B,$A76,RawDataTotal!AC:AC)</f>
        <v>0</v>
      </c>
      <c r="AA76">
        <f>SUMIF(RawDataTotal!$B:$B,$A76,RawDataTotal!AD:AD)</f>
        <v>0</v>
      </c>
      <c r="AB76">
        <f>SUMIF(RawDataTotal!$B:$B,$A76,RawDataTotal!AE:AE)</f>
        <v>0</v>
      </c>
      <c r="AC76">
        <f>SUMIF(RawDataTotal!$B:$B,$A76,RawDataTotal!AF:AF)</f>
        <v>0</v>
      </c>
      <c r="AD76">
        <f>SUMIF(RawDataTotal!$B:$B,$A76,RawDataTotal!AG:AG)</f>
        <v>0</v>
      </c>
      <c r="AE76">
        <f>SUMIF(RawDataTotal!$B:$B,$A76,RawDataTotal!AH:AH)</f>
        <v>0</v>
      </c>
      <c r="AF76">
        <f>SUMIF(RawDataTotal!$B:$B,$A76,RawDataTotal!AI:AI)</f>
        <v>0</v>
      </c>
      <c r="AG76">
        <f>SUMIF(RawDataTotal!$B:$B,$A76,RawDataTotal!AJ:AJ)</f>
        <v>0</v>
      </c>
      <c r="AH76">
        <f>SUMIF(RawDataTotal!$B:$B,$A76,RawDataTotal!AK:AK)</f>
        <v>0</v>
      </c>
      <c r="AI76">
        <f>SUMIF(RawDataTotal!$B:$B,$A76,RawDataTotal!AL:AL)</f>
        <v>0</v>
      </c>
      <c r="AJ76">
        <f>SUMIF(RawDataTotal!$B:$B,$A76,RawDataTotal!AM:AM)</f>
        <v>0</v>
      </c>
      <c r="AK76">
        <f>SUMIF(RawDataTotal!$B:$B,$A76,RawDataTotal!AN:AN)</f>
        <v>1</v>
      </c>
      <c r="AL76">
        <f>SUMIF(RawDataTotal!$B:$B,$A76,RawDataTotal!AO:AO)</f>
        <v>1</v>
      </c>
      <c r="AM76">
        <f>SUMIF(RawDataTotal!$B:$B,$A76,RawDataTotal!AP:AP)</f>
        <v>1</v>
      </c>
      <c r="AN76">
        <f>SUMIF(RawDataTotal!$B:$B,$A76,RawDataTotal!AQ:AQ)</f>
        <v>1</v>
      </c>
      <c r="AO76">
        <f>SUMIF(RawDataTotal!$B:$B,$A76,RawDataTotal!AR:AR)</f>
        <v>1</v>
      </c>
      <c r="AP76">
        <f>SUMIF(RawDataTotal!$B:$B,$A76,RawDataTotal!AS:AS)</f>
        <v>1</v>
      </c>
      <c r="AQ76">
        <f>SUMIF(RawDataTotal!$B:$B,$A76,RawDataTotal!AT:AT)</f>
        <v>1</v>
      </c>
      <c r="AR76">
        <f>SUMIF(RawDataTotal!$B:$B,$A76,RawDataTotal!AU:AU)</f>
        <v>1</v>
      </c>
      <c r="AS76">
        <f>SUMIF(RawDataTotal!$B:$B,$A76,RawDataTotal!AV:AV)</f>
        <v>1</v>
      </c>
      <c r="AT76">
        <f>SUMIF(RawDataTotal!$B:$B,$A76,RawDataTotal!AW:AW)</f>
        <v>3</v>
      </c>
      <c r="AU76">
        <f>SUMIF(RawDataTotal!$B:$B,$A76,RawDataTotal!AX:AX)</f>
        <v>3</v>
      </c>
      <c r="AV76">
        <f>SUMIF(RawDataTotal!$B:$B,$A76,RawDataTotal!AY:AY)</f>
        <v>3</v>
      </c>
      <c r="AW76">
        <f>SUMIF(RawDataTotal!$B:$B,$A76,RawDataTotal!AZ:AZ)</f>
        <v>3</v>
      </c>
      <c r="AX76">
        <f>SUMIF(RawDataTotal!$B:$B,$A76,RawDataTotal!BA:BA)</f>
        <v>7</v>
      </c>
      <c r="AY76">
        <f>SUMIF(RawDataTotal!$B:$B,$A76,RawDataTotal!BB:BB)</f>
        <v>7</v>
      </c>
      <c r="AZ76">
        <f>SUMIF(RawDataTotal!$B:$B,$A76,RawDataTotal!BC:BC)</f>
        <v>7</v>
      </c>
      <c r="BA76">
        <f>SUMIF(RawDataTotal!$B:$B,$A76,RawDataTotal!BD:BD)</f>
        <v>14</v>
      </c>
      <c r="BB76">
        <f>SUMIF(RawDataTotal!$B:$B,$A76,RawDataTotal!BE:BE)</f>
        <v>14</v>
      </c>
      <c r="BC76">
        <f>SUMIF(RawDataTotal!$B:$B,$A76,RawDataTotal!BF:BF)</f>
        <v>14</v>
      </c>
      <c r="BD76">
        <f>SUMIF(RawDataTotal!$B:$B,$A76,RawDataTotal!BG:BG)</f>
        <v>18</v>
      </c>
      <c r="BE76">
        <f>SUMIF(RawDataTotal!$B:$B,$A76,RawDataTotal!BH:BH)</f>
        <v>26</v>
      </c>
      <c r="BF76">
        <f>SUMIF(RawDataTotal!$B:$B,$A76,RawDataTotal!BI:BI)</f>
        <v>0</v>
      </c>
      <c r="BG76">
        <f>SUMIF(RawDataTotal!$B:$B,$A76,RawDataTotal!BJ:BJ)</f>
        <v>0</v>
      </c>
      <c r="BH76">
        <f>SUMIF(RawDataTotal!$B:$B,$A76,RawDataTotal!BK:BK)</f>
        <v>0</v>
      </c>
      <c r="BI76">
        <f>SUMIF(RawDataTotal!$B:$B,$A76,RawDataTotal!BL:BL)</f>
        <v>0</v>
      </c>
      <c r="BJ76">
        <f>SUMIF(RawDataTotal!$B:$B,$A76,RawDataTotal!BM:BM)</f>
        <v>0</v>
      </c>
      <c r="BK76">
        <f>SUMIF(RawDataTotal!$B:$B,$A76,RawDataTotal!BN:BN)</f>
        <v>0</v>
      </c>
      <c r="BL76">
        <f>SUMIF(RawDataTotal!$B:$B,$A76,RawDataTotal!BO:BO)</f>
        <v>0</v>
      </c>
      <c r="BM76">
        <f>SUMIF(RawDataTotal!$B:$B,$A76,RawDataTotal!BP:BP)</f>
        <v>0</v>
      </c>
      <c r="BN76">
        <f>SUMIF(RawDataTotal!$B:$B,$A76,RawDataTotal!BQ:BQ)</f>
        <v>0</v>
      </c>
      <c r="BO76">
        <f>SUMIF(RawDataTotal!$B:$B,$A76,RawDataTotal!BR:BR)</f>
        <v>0</v>
      </c>
      <c r="BP76">
        <f>SUMIF(RawDataTotal!$B:$B,$A76,RawDataTotal!BS:BS)</f>
        <v>0</v>
      </c>
      <c r="BQ76">
        <f>SUMIF(RawDataTotal!$B:$B,$A76,RawDataTotal!BT:BT)</f>
        <v>0</v>
      </c>
      <c r="BR76">
        <f>SUMIF(RawDataTotal!$B:$B,$A76,RawDataTotal!BU:BU)</f>
        <v>0</v>
      </c>
      <c r="BS76">
        <f>SUMIF(RawDataTotal!$B:$B,$A76,RawDataTotal!BV:BV)</f>
        <v>0</v>
      </c>
      <c r="BT76">
        <f>SUMIF(RawDataTotal!$B:$B,$A76,RawDataTotal!BW:BW)</f>
        <v>0</v>
      </c>
    </row>
    <row r="77" spans="1:72" ht="15" thickBot="1" x14ac:dyDescent="0.35">
      <c r="A77" s="3" t="s">
        <v>167</v>
      </c>
      <c r="B77">
        <f>SUMIF(RawDataTotal!$B:$B,$A77,RawDataTotal!E:E)</f>
        <v>0</v>
      </c>
      <c r="C77">
        <f>SUMIF(RawDataTotal!$B:$B,$A77,RawDataTotal!F:F)</f>
        <v>0</v>
      </c>
      <c r="D77">
        <f>SUMIF(RawDataTotal!$B:$B,$A77,RawDataTotal!G:G)</f>
        <v>0</v>
      </c>
      <c r="E77">
        <f>SUMIF(RawDataTotal!$B:$B,$A77,RawDataTotal!H:H)</f>
        <v>0</v>
      </c>
      <c r="F77">
        <f>SUMIF(RawDataTotal!$B:$B,$A77,RawDataTotal!I:I)</f>
        <v>0</v>
      </c>
      <c r="G77">
        <f>SUMIF(RawDataTotal!$B:$B,$A77,RawDataTotal!J:J)</f>
        <v>0</v>
      </c>
      <c r="H77">
        <f>SUMIF(RawDataTotal!$B:$B,$A77,RawDataTotal!K:K)</f>
        <v>0</v>
      </c>
      <c r="I77">
        <f>SUMIF(RawDataTotal!$B:$B,$A77,RawDataTotal!L:L)</f>
        <v>0</v>
      </c>
      <c r="J77">
        <f>SUMIF(RawDataTotal!$B:$B,$A77,RawDataTotal!M:M)</f>
        <v>0</v>
      </c>
      <c r="K77">
        <f>SUMIF(RawDataTotal!$B:$B,$A77,RawDataTotal!N:N)</f>
        <v>0</v>
      </c>
      <c r="L77">
        <f>SUMIF(RawDataTotal!$B:$B,$A77,RawDataTotal!O:O)</f>
        <v>0</v>
      </c>
      <c r="M77">
        <f>SUMIF(RawDataTotal!$B:$B,$A77,RawDataTotal!P:P)</f>
        <v>0</v>
      </c>
      <c r="N77">
        <f>SUMIF(RawDataTotal!$B:$B,$A77,RawDataTotal!Q:Q)</f>
        <v>0</v>
      </c>
      <c r="O77">
        <f>SUMIF(RawDataTotal!$B:$B,$A77,RawDataTotal!R:R)</f>
        <v>0</v>
      </c>
      <c r="P77">
        <f>SUMIF(RawDataTotal!$B:$B,$A77,RawDataTotal!S:S)</f>
        <v>0</v>
      </c>
      <c r="Q77">
        <f>SUMIF(RawDataTotal!$B:$B,$A77,RawDataTotal!T:T)</f>
        <v>0</v>
      </c>
      <c r="R77">
        <f>SUMIF(RawDataTotal!$B:$B,$A77,RawDataTotal!U:U)</f>
        <v>0</v>
      </c>
      <c r="S77">
        <f>SUMIF(RawDataTotal!$B:$B,$A77,RawDataTotal!V:V)</f>
        <v>0</v>
      </c>
      <c r="T77">
        <f>SUMIF(RawDataTotal!$B:$B,$A77,RawDataTotal!W:W)</f>
        <v>0</v>
      </c>
      <c r="U77">
        <f>SUMIF(RawDataTotal!$B:$B,$A77,RawDataTotal!X:X)</f>
        <v>0</v>
      </c>
      <c r="V77">
        <f>SUMIF(RawDataTotal!$B:$B,$A77,RawDataTotal!Y:Y)</f>
        <v>0</v>
      </c>
      <c r="W77">
        <f>SUMIF(RawDataTotal!$B:$B,$A77,RawDataTotal!Z:Z)</f>
        <v>0</v>
      </c>
      <c r="X77">
        <f>SUMIF(RawDataTotal!$B:$B,$A77,RawDataTotal!AA:AA)</f>
        <v>0</v>
      </c>
      <c r="Y77">
        <f>SUMIF(RawDataTotal!$B:$B,$A77,RawDataTotal!AB:AB)</f>
        <v>0</v>
      </c>
      <c r="Z77">
        <f>SUMIF(RawDataTotal!$B:$B,$A77,RawDataTotal!AC:AC)</f>
        <v>0</v>
      </c>
      <c r="AA77">
        <f>SUMIF(RawDataTotal!$B:$B,$A77,RawDataTotal!AD:AD)</f>
        <v>0</v>
      </c>
      <c r="AB77">
        <f>SUMIF(RawDataTotal!$B:$B,$A77,RawDataTotal!AE:AE)</f>
        <v>0</v>
      </c>
      <c r="AC77">
        <f>SUMIF(RawDataTotal!$B:$B,$A77,RawDataTotal!AF:AF)</f>
        <v>0</v>
      </c>
      <c r="AD77">
        <f>SUMIF(RawDataTotal!$B:$B,$A77,RawDataTotal!AG:AG)</f>
        <v>0</v>
      </c>
      <c r="AE77">
        <f>SUMIF(RawDataTotal!$B:$B,$A77,RawDataTotal!AH:AH)</f>
        <v>0</v>
      </c>
      <c r="AF77">
        <f>SUMIF(RawDataTotal!$B:$B,$A77,RawDataTotal!AI:AI)</f>
        <v>0</v>
      </c>
      <c r="AG77">
        <f>SUMIF(RawDataTotal!$B:$B,$A77,RawDataTotal!AJ:AJ)</f>
        <v>0</v>
      </c>
      <c r="AH77">
        <f>SUMIF(RawDataTotal!$B:$B,$A77,RawDataTotal!AK:AK)</f>
        <v>0</v>
      </c>
      <c r="AI77">
        <f>SUMIF(RawDataTotal!$B:$B,$A77,RawDataTotal!AL:AL)</f>
        <v>0</v>
      </c>
      <c r="AJ77">
        <f>SUMIF(RawDataTotal!$B:$B,$A77,RawDataTotal!AM:AM)</f>
        <v>0</v>
      </c>
      <c r="AK77">
        <f>SUMIF(RawDataTotal!$B:$B,$A77,RawDataTotal!AN:AN)</f>
        <v>0</v>
      </c>
      <c r="AL77">
        <f>SUMIF(RawDataTotal!$B:$B,$A77,RawDataTotal!AO:AO)</f>
        <v>0</v>
      </c>
      <c r="AM77">
        <f>SUMIF(RawDataTotal!$B:$B,$A77,RawDataTotal!AP:AP)</f>
        <v>0</v>
      </c>
      <c r="AN77">
        <f>SUMIF(RawDataTotal!$B:$B,$A77,RawDataTotal!AQ:AQ)</f>
        <v>0</v>
      </c>
      <c r="AO77">
        <f>SUMIF(RawDataTotal!$B:$B,$A77,RawDataTotal!AR:AR)</f>
        <v>0</v>
      </c>
      <c r="AP77">
        <f>SUMIF(RawDataTotal!$B:$B,$A77,RawDataTotal!AS:AS)</f>
        <v>0</v>
      </c>
      <c r="AQ77">
        <f>SUMIF(RawDataTotal!$B:$B,$A77,RawDataTotal!AT:AT)</f>
        <v>0</v>
      </c>
      <c r="AR77">
        <f>SUMIF(RawDataTotal!$B:$B,$A77,RawDataTotal!AU:AU)</f>
        <v>0</v>
      </c>
      <c r="AS77">
        <f>SUMIF(RawDataTotal!$B:$B,$A77,RawDataTotal!AV:AV)</f>
        <v>2</v>
      </c>
      <c r="AT77">
        <f>SUMIF(RawDataTotal!$B:$B,$A77,RawDataTotal!AW:AW)</f>
        <v>2</v>
      </c>
      <c r="AU77">
        <f>SUMIF(RawDataTotal!$B:$B,$A77,RawDataTotal!AX:AX)</f>
        <v>3</v>
      </c>
      <c r="AV77">
        <f>SUMIF(RawDataTotal!$B:$B,$A77,RawDataTotal!AY:AY)</f>
        <v>3</v>
      </c>
      <c r="AW77">
        <f>SUMIF(RawDataTotal!$B:$B,$A77,RawDataTotal!AZ:AZ)</f>
        <v>3</v>
      </c>
      <c r="AX77">
        <f>SUMIF(RawDataTotal!$B:$B,$A77,RawDataTotal!BA:BA)</f>
        <v>5</v>
      </c>
      <c r="AY77">
        <f>SUMIF(RawDataTotal!$B:$B,$A77,RawDataTotal!BB:BB)</f>
        <v>7</v>
      </c>
      <c r="AZ77">
        <f>SUMIF(RawDataTotal!$B:$B,$A77,RawDataTotal!BC:BC)</f>
        <v>11</v>
      </c>
      <c r="BA77">
        <f>SUMIF(RawDataTotal!$B:$B,$A77,RawDataTotal!BD:BD)</f>
        <v>13</v>
      </c>
      <c r="BB77">
        <f>SUMIF(RawDataTotal!$B:$B,$A77,RawDataTotal!BE:BE)</f>
        <v>18</v>
      </c>
      <c r="BC77">
        <f>SUMIF(RawDataTotal!$B:$B,$A77,RawDataTotal!BF:BF)</f>
        <v>24</v>
      </c>
      <c r="BD77">
        <f>SUMIF(RawDataTotal!$B:$B,$A77,RawDataTotal!BG:BG)</f>
        <v>25</v>
      </c>
      <c r="BE77">
        <f>SUMIF(RawDataTotal!$B:$B,$A77,RawDataTotal!BH:BH)</f>
        <v>26</v>
      </c>
      <c r="BF77">
        <f>SUMIF(RawDataTotal!$B:$B,$A77,RawDataTotal!BI:BI)</f>
        <v>0</v>
      </c>
      <c r="BG77">
        <f>SUMIF(RawDataTotal!$B:$B,$A77,RawDataTotal!BJ:BJ)</f>
        <v>0</v>
      </c>
      <c r="BH77">
        <f>SUMIF(RawDataTotal!$B:$B,$A77,RawDataTotal!BK:BK)</f>
        <v>0</v>
      </c>
      <c r="BI77">
        <f>SUMIF(RawDataTotal!$B:$B,$A77,RawDataTotal!BL:BL)</f>
        <v>0</v>
      </c>
      <c r="BJ77">
        <f>SUMIF(RawDataTotal!$B:$B,$A77,RawDataTotal!BM:BM)</f>
        <v>0</v>
      </c>
      <c r="BK77">
        <f>SUMIF(RawDataTotal!$B:$B,$A77,RawDataTotal!BN:BN)</f>
        <v>0</v>
      </c>
      <c r="BL77">
        <f>SUMIF(RawDataTotal!$B:$B,$A77,RawDataTotal!BO:BO)</f>
        <v>0</v>
      </c>
      <c r="BM77">
        <f>SUMIF(RawDataTotal!$B:$B,$A77,RawDataTotal!BP:BP)</f>
        <v>0</v>
      </c>
      <c r="BN77">
        <f>SUMIF(RawDataTotal!$B:$B,$A77,RawDataTotal!BQ:BQ)</f>
        <v>0</v>
      </c>
      <c r="BO77">
        <f>SUMIF(RawDataTotal!$B:$B,$A77,RawDataTotal!BR:BR)</f>
        <v>0</v>
      </c>
      <c r="BP77">
        <f>SUMIF(RawDataTotal!$B:$B,$A77,RawDataTotal!BS:BS)</f>
        <v>0</v>
      </c>
      <c r="BQ77">
        <f>SUMIF(RawDataTotal!$B:$B,$A77,RawDataTotal!BT:BT)</f>
        <v>0</v>
      </c>
      <c r="BR77">
        <f>SUMIF(RawDataTotal!$B:$B,$A77,RawDataTotal!BU:BU)</f>
        <v>0</v>
      </c>
      <c r="BS77">
        <f>SUMIF(RawDataTotal!$B:$B,$A77,RawDataTotal!BV:BV)</f>
        <v>0</v>
      </c>
      <c r="BT77">
        <f>SUMIF(RawDataTotal!$B:$B,$A77,RawDataTotal!BW:BW)</f>
        <v>0</v>
      </c>
    </row>
    <row r="78" spans="1:72" ht="15" thickBot="1" x14ac:dyDescent="0.35">
      <c r="A78" s="4" t="s">
        <v>185</v>
      </c>
      <c r="B78">
        <f>SUMIF(RawDataTotal!$B:$B,$A78,RawDataTotal!E:E)</f>
        <v>0</v>
      </c>
      <c r="C78">
        <f>SUMIF(RawDataTotal!$B:$B,$A78,RawDataTotal!F:F)</f>
        <v>0</v>
      </c>
      <c r="D78">
        <f>SUMIF(RawDataTotal!$B:$B,$A78,RawDataTotal!G:G)</f>
        <v>0</v>
      </c>
      <c r="E78">
        <f>SUMIF(RawDataTotal!$B:$B,$A78,RawDataTotal!H:H)</f>
        <v>0</v>
      </c>
      <c r="F78">
        <f>SUMIF(RawDataTotal!$B:$B,$A78,RawDataTotal!I:I)</f>
        <v>0</v>
      </c>
      <c r="G78">
        <f>SUMIF(RawDataTotal!$B:$B,$A78,RawDataTotal!J:J)</f>
        <v>0</v>
      </c>
      <c r="H78">
        <f>SUMIF(RawDataTotal!$B:$B,$A78,RawDataTotal!K:K)</f>
        <v>0</v>
      </c>
      <c r="I78">
        <f>SUMIF(RawDataTotal!$B:$B,$A78,RawDataTotal!L:L)</f>
        <v>0</v>
      </c>
      <c r="J78">
        <f>SUMIF(RawDataTotal!$B:$B,$A78,RawDataTotal!M:M)</f>
        <v>0</v>
      </c>
      <c r="K78">
        <f>SUMIF(RawDataTotal!$B:$B,$A78,RawDataTotal!N:N)</f>
        <v>0</v>
      </c>
      <c r="L78">
        <f>SUMIF(RawDataTotal!$B:$B,$A78,RawDataTotal!O:O)</f>
        <v>0</v>
      </c>
      <c r="M78">
        <f>SUMIF(RawDataTotal!$B:$B,$A78,RawDataTotal!P:P)</f>
        <v>0</v>
      </c>
      <c r="N78">
        <f>SUMIF(RawDataTotal!$B:$B,$A78,RawDataTotal!Q:Q)</f>
        <v>0</v>
      </c>
      <c r="O78">
        <f>SUMIF(RawDataTotal!$B:$B,$A78,RawDataTotal!R:R)</f>
        <v>0</v>
      </c>
      <c r="P78">
        <f>SUMIF(RawDataTotal!$B:$B,$A78,RawDataTotal!S:S)</f>
        <v>0</v>
      </c>
      <c r="Q78">
        <f>SUMIF(RawDataTotal!$B:$B,$A78,RawDataTotal!T:T)</f>
        <v>0</v>
      </c>
      <c r="R78">
        <f>SUMIF(RawDataTotal!$B:$B,$A78,RawDataTotal!U:U)</f>
        <v>0</v>
      </c>
      <c r="S78">
        <f>SUMIF(RawDataTotal!$B:$B,$A78,RawDataTotal!V:V)</f>
        <v>0</v>
      </c>
      <c r="T78">
        <f>SUMIF(RawDataTotal!$B:$B,$A78,RawDataTotal!W:W)</f>
        <v>0</v>
      </c>
      <c r="U78">
        <f>SUMIF(RawDataTotal!$B:$B,$A78,RawDataTotal!X:X)</f>
        <v>0</v>
      </c>
      <c r="V78">
        <f>SUMIF(RawDataTotal!$B:$B,$A78,RawDataTotal!Y:Y)</f>
        <v>0</v>
      </c>
      <c r="W78">
        <f>SUMIF(RawDataTotal!$B:$B,$A78,RawDataTotal!Z:Z)</f>
        <v>0</v>
      </c>
      <c r="X78">
        <f>SUMIF(RawDataTotal!$B:$B,$A78,RawDataTotal!AA:AA)</f>
        <v>0</v>
      </c>
      <c r="Y78">
        <f>SUMIF(RawDataTotal!$B:$B,$A78,RawDataTotal!AB:AB)</f>
        <v>0</v>
      </c>
      <c r="Z78">
        <f>SUMIF(RawDataTotal!$B:$B,$A78,RawDataTotal!AC:AC)</f>
        <v>0</v>
      </c>
      <c r="AA78">
        <f>SUMIF(RawDataTotal!$B:$B,$A78,RawDataTotal!AD:AD)</f>
        <v>0</v>
      </c>
      <c r="AB78">
        <f>SUMIF(RawDataTotal!$B:$B,$A78,RawDataTotal!AE:AE)</f>
        <v>0</v>
      </c>
      <c r="AC78">
        <f>SUMIF(RawDataTotal!$B:$B,$A78,RawDataTotal!AF:AF)</f>
        <v>0</v>
      </c>
      <c r="AD78">
        <f>SUMIF(RawDataTotal!$B:$B,$A78,RawDataTotal!AG:AG)</f>
        <v>0</v>
      </c>
      <c r="AE78">
        <f>SUMIF(RawDataTotal!$B:$B,$A78,RawDataTotal!AH:AH)</f>
        <v>0</v>
      </c>
      <c r="AF78">
        <f>SUMIF(RawDataTotal!$B:$B,$A78,RawDataTotal!AI:AI)</f>
        <v>0</v>
      </c>
      <c r="AG78">
        <f>SUMIF(RawDataTotal!$B:$B,$A78,RawDataTotal!AJ:AJ)</f>
        <v>0</v>
      </c>
      <c r="AH78">
        <f>SUMIF(RawDataTotal!$B:$B,$A78,RawDataTotal!AK:AK)</f>
        <v>0</v>
      </c>
      <c r="AI78">
        <f>SUMIF(RawDataTotal!$B:$B,$A78,RawDataTotal!AL:AL)</f>
        <v>0</v>
      </c>
      <c r="AJ78">
        <f>SUMIF(RawDataTotal!$B:$B,$A78,RawDataTotal!AM:AM)</f>
        <v>0</v>
      </c>
      <c r="AK78">
        <f>SUMIF(RawDataTotal!$B:$B,$A78,RawDataTotal!AN:AN)</f>
        <v>0</v>
      </c>
      <c r="AL78">
        <f>SUMIF(RawDataTotal!$B:$B,$A78,RawDataTotal!AO:AO)</f>
        <v>0</v>
      </c>
      <c r="AM78">
        <f>SUMIF(RawDataTotal!$B:$B,$A78,RawDataTotal!AP:AP)</f>
        <v>0</v>
      </c>
      <c r="AN78">
        <f>SUMIF(RawDataTotal!$B:$B,$A78,RawDataTotal!AQ:AQ)</f>
        <v>0</v>
      </c>
      <c r="AO78">
        <f>SUMIF(RawDataTotal!$B:$B,$A78,RawDataTotal!AR:AR)</f>
        <v>0</v>
      </c>
      <c r="AP78">
        <f>SUMIF(RawDataTotal!$B:$B,$A78,RawDataTotal!AS:AS)</f>
        <v>0</v>
      </c>
      <c r="AQ78">
        <f>SUMIF(RawDataTotal!$B:$B,$A78,RawDataTotal!AT:AT)</f>
        <v>0</v>
      </c>
      <c r="AR78">
        <f>SUMIF(RawDataTotal!$B:$B,$A78,RawDataTotal!AU:AU)</f>
        <v>0</v>
      </c>
      <c r="AS78">
        <f>SUMIF(RawDataTotal!$B:$B,$A78,RawDataTotal!AV:AV)</f>
        <v>0</v>
      </c>
      <c r="AT78">
        <f>SUMIF(RawDataTotal!$B:$B,$A78,RawDataTotal!AW:AW)</f>
        <v>1</v>
      </c>
      <c r="AU78">
        <f>SUMIF(RawDataTotal!$B:$B,$A78,RawDataTotal!AX:AX)</f>
        <v>1</v>
      </c>
      <c r="AV78">
        <f>SUMIF(RawDataTotal!$B:$B,$A78,RawDataTotal!AY:AY)</f>
        <v>1</v>
      </c>
      <c r="AW78">
        <f>SUMIF(RawDataTotal!$B:$B,$A78,RawDataTotal!AZ:AZ)</f>
        <v>1</v>
      </c>
      <c r="AX78">
        <f>SUMIF(RawDataTotal!$B:$B,$A78,RawDataTotal!BA:BA)</f>
        <v>3</v>
      </c>
      <c r="AY78">
        <f>SUMIF(RawDataTotal!$B:$B,$A78,RawDataTotal!BB:BB)</f>
        <v>9</v>
      </c>
      <c r="AZ78">
        <f>SUMIF(RawDataTotal!$B:$B,$A78,RawDataTotal!BC:BC)</f>
        <v>9</v>
      </c>
      <c r="BA78">
        <f>SUMIF(RawDataTotal!$B:$B,$A78,RawDataTotal!BD:BD)</f>
        <v>13</v>
      </c>
      <c r="BB78">
        <f>SUMIF(RawDataTotal!$B:$B,$A78,RawDataTotal!BE:BE)</f>
        <v>22</v>
      </c>
      <c r="BC78">
        <f>SUMIF(RawDataTotal!$B:$B,$A78,RawDataTotal!BF:BF)</f>
        <v>34</v>
      </c>
      <c r="BD78">
        <f>SUMIF(RawDataTotal!$B:$B,$A78,RawDataTotal!BG:BG)</f>
        <v>54</v>
      </c>
      <c r="BE78">
        <f>SUMIF(RawDataTotal!$B:$B,$A78,RawDataTotal!BH:BH)</f>
        <v>65</v>
      </c>
      <c r="BF78">
        <f>SUMIF(RawDataTotal!$B:$B,$A78,RawDataTotal!BI:BI)</f>
        <v>0</v>
      </c>
      <c r="BG78">
        <f>SUMIF(RawDataTotal!$B:$B,$A78,RawDataTotal!BJ:BJ)</f>
        <v>0</v>
      </c>
      <c r="BH78">
        <f>SUMIF(RawDataTotal!$B:$B,$A78,RawDataTotal!BK:BK)</f>
        <v>0</v>
      </c>
      <c r="BI78">
        <f>SUMIF(RawDataTotal!$B:$B,$A78,RawDataTotal!BL:BL)</f>
        <v>0</v>
      </c>
      <c r="BJ78">
        <f>SUMIF(RawDataTotal!$B:$B,$A78,RawDataTotal!BM:BM)</f>
        <v>0</v>
      </c>
      <c r="BK78">
        <f>SUMIF(RawDataTotal!$B:$B,$A78,RawDataTotal!BN:BN)</f>
        <v>0</v>
      </c>
      <c r="BL78">
        <f>SUMIF(RawDataTotal!$B:$B,$A78,RawDataTotal!BO:BO)</f>
        <v>0</v>
      </c>
      <c r="BM78">
        <f>SUMIF(RawDataTotal!$B:$B,$A78,RawDataTotal!BP:BP)</f>
        <v>0</v>
      </c>
      <c r="BN78">
        <f>SUMIF(RawDataTotal!$B:$B,$A78,RawDataTotal!BQ:BQ)</f>
        <v>0</v>
      </c>
      <c r="BO78">
        <f>SUMIF(RawDataTotal!$B:$B,$A78,RawDataTotal!BR:BR)</f>
        <v>0</v>
      </c>
      <c r="BP78">
        <f>SUMIF(RawDataTotal!$B:$B,$A78,RawDataTotal!BS:BS)</f>
        <v>0</v>
      </c>
      <c r="BQ78">
        <f>SUMIF(RawDataTotal!$B:$B,$A78,RawDataTotal!BT:BT)</f>
        <v>0</v>
      </c>
      <c r="BR78">
        <f>SUMIF(RawDataTotal!$B:$B,$A78,RawDataTotal!BU:BU)</f>
        <v>0</v>
      </c>
      <c r="BS78">
        <f>SUMIF(RawDataTotal!$B:$B,$A78,RawDataTotal!BV:BV)</f>
        <v>0</v>
      </c>
      <c r="BT78">
        <f>SUMIF(RawDataTotal!$B:$B,$A78,RawDataTotal!BW:BW)</f>
        <v>0</v>
      </c>
    </row>
    <row r="79" spans="1:72" ht="15" thickBot="1" x14ac:dyDescent="0.35">
      <c r="A79" s="3" t="s">
        <v>204</v>
      </c>
      <c r="B79">
        <f>SUMIF(RawDataTotal!$B:$B,$A79,RawDataTotal!E:E)</f>
        <v>0</v>
      </c>
      <c r="C79">
        <f>SUMIF(RawDataTotal!$B:$B,$A79,RawDataTotal!F:F)</f>
        <v>0</v>
      </c>
      <c r="D79">
        <f>SUMIF(RawDataTotal!$B:$B,$A79,RawDataTotal!G:G)</f>
        <v>0</v>
      </c>
      <c r="E79">
        <f>SUMIF(RawDataTotal!$B:$B,$A79,RawDataTotal!H:H)</f>
        <v>0</v>
      </c>
      <c r="F79">
        <f>SUMIF(RawDataTotal!$B:$B,$A79,RawDataTotal!I:I)</f>
        <v>0</v>
      </c>
      <c r="G79">
        <f>SUMIF(RawDataTotal!$B:$B,$A79,RawDataTotal!J:J)</f>
        <v>0</v>
      </c>
      <c r="H79">
        <f>SUMIF(RawDataTotal!$B:$B,$A79,RawDataTotal!K:K)</f>
        <v>0</v>
      </c>
      <c r="I79">
        <f>SUMIF(RawDataTotal!$B:$B,$A79,RawDataTotal!L:L)</f>
        <v>0</v>
      </c>
      <c r="J79">
        <f>SUMIF(RawDataTotal!$B:$B,$A79,RawDataTotal!M:M)</f>
        <v>0</v>
      </c>
      <c r="K79">
        <f>SUMIF(RawDataTotal!$B:$B,$A79,RawDataTotal!N:N)</f>
        <v>0</v>
      </c>
      <c r="L79">
        <f>SUMIF(RawDataTotal!$B:$B,$A79,RawDataTotal!O:O)</f>
        <v>0</v>
      </c>
      <c r="M79">
        <f>SUMIF(RawDataTotal!$B:$B,$A79,RawDataTotal!P:P)</f>
        <v>0</v>
      </c>
      <c r="N79">
        <f>SUMIF(RawDataTotal!$B:$B,$A79,RawDataTotal!Q:Q)</f>
        <v>0</v>
      </c>
      <c r="O79">
        <f>SUMIF(RawDataTotal!$B:$B,$A79,RawDataTotal!R:R)</f>
        <v>0</v>
      </c>
      <c r="P79">
        <f>SUMIF(RawDataTotal!$B:$B,$A79,RawDataTotal!S:S)</f>
        <v>0</v>
      </c>
      <c r="Q79">
        <f>SUMIF(RawDataTotal!$B:$B,$A79,RawDataTotal!T:T)</f>
        <v>0</v>
      </c>
      <c r="R79">
        <f>SUMIF(RawDataTotal!$B:$B,$A79,RawDataTotal!U:U)</f>
        <v>0</v>
      </c>
      <c r="S79">
        <f>SUMIF(RawDataTotal!$B:$B,$A79,RawDataTotal!V:V)</f>
        <v>0</v>
      </c>
      <c r="T79">
        <f>SUMIF(RawDataTotal!$B:$B,$A79,RawDataTotal!W:W)</f>
        <v>0</v>
      </c>
      <c r="U79">
        <f>SUMIF(RawDataTotal!$B:$B,$A79,RawDataTotal!X:X)</f>
        <v>0</v>
      </c>
      <c r="V79">
        <f>SUMIF(RawDataTotal!$B:$B,$A79,RawDataTotal!Y:Y)</f>
        <v>0</v>
      </c>
      <c r="W79">
        <f>SUMIF(RawDataTotal!$B:$B,$A79,RawDataTotal!Z:Z)</f>
        <v>0</v>
      </c>
      <c r="X79">
        <f>SUMIF(RawDataTotal!$B:$B,$A79,RawDataTotal!AA:AA)</f>
        <v>0</v>
      </c>
      <c r="Y79">
        <f>SUMIF(RawDataTotal!$B:$B,$A79,RawDataTotal!AB:AB)</f>
        <v>0</v>
      </c>
      <c r="Z79">
        <f>SUMIF(RawDataTotal!$B:$B,$A79,RawDataTotal!AC:AC)</f>
        <v>0</v>
      </c>
      <c r="AA79">
        <f>SUMIF(RawDataTotal!$B:$B,$A79,RawDataTotal!AD:AD)</f>
        <v>0</v>
      </c>
      <c r="AB79">
        <f>SUMIF(RawDataTotal!$B:$B,$A79,RawDataTotal!AE:AE)</f>
        <v>0</v>
      </c>
      <c r="AC79">
        <f>SUMIF(RawDataTotal!$B:$B,$A79,RawDataTotal!AF:AF)</f>
        <v>0</v>
      </c>
      <c r="AD79">
        <f>SUMIF(RawDataTotal!$B:$B,$A79,RawDataTotal!AG:AG)</f>
        <v>0</v>
      </c>
      <c r="AE79">
        <f>SUMIF(RawDataTotal!$B:$B,$A79,RawDataTotal!AH:AH)</f>
        <v>0</v>
      </c>
      <c r="AF79">
        <f>SUMIF(RawDataTotal!$B:$B,$A79,RawDataTotal!AI:AI)</f>
        <v>0</v>
      </c>
      <c r="AG79">
        <f>SUMIF(RawDataTotal!$B:$B,$A79,RawDataTotal!AJ:AJ)</f>
        <v>0</v>
      </c>
      <c r="AH79">
        <f>SUMIF(RawDataTotal!$B:$B,$A79,RawDataTotal!AK:AK)</f>
        <v>0</v>
      </c>
      <c r="AI79">
        <f>SUMIF(RawDataTotal!$B:$B,$A79,RawDataTotal!AL:AL)</f>
        <v>0</v>
      </c>
      <c r="AJ79">
        <f>SUMIF(RawDataTotal!$B:$B,$A79,RawDataTotal!AM:AM)</f>
        <v>0</v>
      </c>
      <c r="AK79">
        <f>SUMIF(RawDataTotal!$B:$B,$A79,RawDataTotal!AN:AN)</f>
        <v>0</v>
      </c>
      <c r="AL79">
        <f>SUMIF(RawDataTotal!$B:$B,$A79,RawDataTotal!AO:AO)</f>
        <v>0</v>
      </c>
      <c r="AM79">
        <f>SUMIF(RawDataTotal!$B:$B,$A79,RawDataTotal!AP:AP)</f>
        <v>0</v>
      </c>
      <c r="AN79">
        <f>SUMIF(RawDataTotal!$B:$B,$A79,RawDataTotal!AQ:AQ)</f>
        <v>0</v>
      </c>
      <c r="AO79">
        <f>SUMIF(RawDataTotal!$B:$B,$A79,RawDataTotal!AR:AR)</f>
        <v>0</v>
      </c>
      <c r="AP79">
        <f>SUMIF(RawDataTotal!$B:$B,$A79,RawDataTotal!AS:AS)</f>
        <v>0</v>
      </c>
      <c r="AQ79">
        <f>SUMIF(RawDataTotal!$B:$B,$A79,RawDataTotal!AT:AT)</f>
        <v>0</v>
      </c>
      <c r="AR79">
        <f>SUMIF(RawDataTotal!$B:$B,$A79,RawDataTotal!AU:AU)</f>
        <v>0</v>
      </c>
      <c r="AS79">
        <f>SUMIF(RawDataTotal!$B:$B,$A79,RawDataTotal!AV:AV)</f>
        <v>0</v>
      </c>
      <c r="AT79">
        <f>SUMIF(RawDataTotal!$B:$B,$A79,RawDataTotal!AW:AW)</f>
        <v>0</v>
      </c>
      <c r="AU79">
        <f>SUMIF(RawDataTotal!$B:$B,$A79,RawDataTotal!AX:AX)</f>
        <v>3</v>
      </c>
      <c r="AV79">
        <f>SUMIF(RawDataTotal!$B:$B,$A79,RawDataTotal!AY:AY)</f>
        <v>3</v>
      </c>
      <c r="AW79">
        <f>SUMIF(RawDataTotal!$B:$B,$A79,RawDataTotal!AZ:AZ)</f>
        <v>3</v>
      </c>
      <c r="AX79">
        <f>SUMIF(RawDataTotal!$B:$B,$A79,RawDataTotal!BA:BA)</f>
        <v>5</v>
      </c>
      <c r="AY79">
        <f>SUMIF(RawDataTotal!$B:$B,$A79,RawDataTotal!BB:BB)</f>
        <v>6</v>
      </c>
      <c r="AZ79">
        <f>SUMIF(RawDataTotal!$B:$B,$A79,RawDataTotal!BC:BC)</f>
        <v>6</v>
      </c>
      <c r="BA79">
        <f>SUMIF(RawDataTotal!$B:$B,$A79,RawDataTotal!BD:BD)</f>
        <v>12</v>
      </c>
      <c r="BB79">
        <f>SUMIF(RawDataTotal!$B:$B,$A79,RawDataTotal!BE:BE)</f>
        <v>18</v>
      </c>
      <c r="BC79">
        <f>SUMIF(RawDataTotal!$B:$B,$A79,RawDataTotal!BF:BF)</f>
        <v>21</v>
      </c>
      <c r="BD79">
        <f>SUMIF(RawDataTotal!$B:$B,$A79,RawDataTotal!BG:BG)</f>
        <v>30</v>
      </c>
      <c r="BE79">
        <f>SUMIF(RawDataTotal!$B:$B,$A79,RawDataTotal!BH:BH)</f>
        <v>38</v>
      </c>
      <c r="BF79">
        <f>SUMIF(RawDataTotal!$B:$B,$A79,RawDataTotal!BI:BI)</f>
        <v>0</v>
      </c>
      <c r="BG79">
        <f>SUMIF(RawDataTotal!$B:$B,$A79,RawDataTotal!BJ:BJ)</f>
        <v>0</v>
      </c>
      <c r="BH79">
        <f>SUMIF(RawDataTotal!$B:$B,$A79,RawDataTotal!BK:BK)</f>
        <v>0</v>
      </c>
      <c r="BI79">
        <f>SUMIF(RawDataTotal!$B:$B,$A79,RawDataTotal!BL:BL)</f>
        <v>0</v>
      </c>
      <c r="BJ79">
        <f>SUMIF(RawDataTotal!$B:$B,$A79,RawDataTotal!BM:BM)</f>
        <v>0</v>
      </c>
      <c r="BK79">
        <f>SUMIF(RawDataTotal!$B:$B,$A79,RawDataTotal!BN:BN)</f>
        <v>0</v>
      </c>
      <c r="BL79">
        <f>SUMIF(RawDataTotal!$B:$B,$A79,RawDataTotal!BO:BO)</f>
        <v>0</v>
      </c>
      <c r="BM79">
        <f>SUMIF(RawDataTotal!$B:$B,$A79,RawDataTotal!BP:BP)</f>
        <v>0</v>
      </c>
      <c r="BN79">
        <f>SUMIF(RawDataTotal!$B:$B,$A79,RawDataTotal!BQ:BQ)</f>
        <v>0</v>
      </c>
      <c r="BO79">
        <f>SUMIF(RawDataTotal!$B:$B,$A79,RawDataTotal!BR:BR)</f>
        <v>0</v>
      </c>
      <c r="BP79">
        <f>SUMIF(RawDataTotal!$B:$B,$A79,RawDataTotal!BS:BS)</f>
        <v>0</v>
      </c>
      <c r="BQ79">
        <f>SUMIF(RawDataTotal!$B:$B,$A79,RawDataTotal!BT:BT)</f>
        <v>0</v>
      </c>
      <c r="BR79">
        <f>SUMIF(RawDataTotal!$B:$B,$A79,RawDataTotal!BU:BU)</f>
        <v>0</v>
      </c>
      <c r="BS79">
        <f>SUMIF(RawDataTotal!$B:$B,$A79,RawDataTotal!BV:BV)</f>
        <v>0</v>
      </c>
      <c r="BT79">
        <f>SUMIF(RawDataTotal!$B:$B,$A79,RawDataTotal!BW:BW)</f>
        <v>0</v>
      </c>
    </row>
    <row r="80" spans="1:72" ht="15" thickBot="1" x14ac:dyDescent="0.35">
      <c r="A80" s="4" t="s">
        <v>121</v>
      </c>
      <c r="B80">
        <f>SUMIF(RawDataTotal!$B:$B,$A80,RawDataTotal!E:E)</f>
        <v>0</v>
      </c>
      <c r="C80">
        <f>SUMIF(RawDataTotal!$B:$B,$A80,RawDataTotal!F:F)</f>
        <v>0</v>
      </c>
      <c r="D80">
        <f>SUMIF(RawDataTotal!$B:$B,$A80,RawDataTotal!G:G)</f>
        <v>0</v>
      </c>
      <c r="E80">
        <f>SUMIF(RawDataTotal!$B:$B,$A80,RawDataTotal!H:H)</f>
        <v>0</v>
      </c>
      <c r="F80">
        <f>SUMIF(RawDataTotal!$B:$B,$A80,RawDataTotal!I:I)</f>
        <v>0</v>
      </c>
      <c r="G80">
        <f>SUMIF(RawDataTotal!$B:$B,$A80,RawDataTotal!J:J)</f>
        <v>0</v>
      </c>
      <c r="H80">
        <f>SUMIF(RawDataTotal!$B:$B,$A80,RawDataTotal!K:K)</f>
        <v>0</v>
      </c>
      <c r="I80">
        <f>SUMIF(RawDataTotal!$B:$B,$A80,RawDataTotal!L:L)</f>
        <v>0</v>
      </c>
      <c r="J80">
        <f>SUMIF(RawDataTotal!$B:$B,$A80,RawDataTotal!M:M)</f>
        <v>0</v>
      </c>
      <c r="K80">
        <f>SUMIF(RawDataTotal!$B:$B,$A80,RawDataTotal!N:N)</f>
        <v>0</v>
      </c>
      <c r="L80">
        <f>SUMIF(RawDataTotal!$B:$B,$A80,RawDataTotal!O:O)</f>
        <v>0</v>
      </c>
      <c r="M80">
        <f>SUMIF(RawDataTotal!$B:$B,$A80,RawDataTotal!P:P)</f>
        <v>0</v>
      </c>
      <c r="N80">
        <f>SUMIF(RawDataTotal!$B:$B,$A80,RawDataTotal!Q:Q)</f>
        <v>0</v>
      </c>
      <c r="O80">
        <f>SUMIF(RawDataTotal!$B:$B,$A80,RawDataTotal!R:R)</f>
        <v>0</v>
      </c>
      <c r="P80">
        <f>SUMIF(RawDataTotal!$B:$B,$A80,RawDataTotal!S:S)</f>
        <v>0</v>
      </c>
      <c r="Q80">
        <f>SUMIF(RawDataTotal!$B:$B,$A80,RawDataTotal!T:T)</f>
        <v>0</v>
      </c>
      <c r="R80">
        <f>SUMIF(RawDataTotal!$B:$B,$A80,RawDataTotal!U:U)</f>
        <v>0</v>
      </c>
      <c r="S80">
        <f>SUMIF(RawDataTotal!$B:$B,$A80,RawDataTotal!V:V)</f>
        <v>0</v>
      </c>
      <c r="T80">
        <f>SUMIF(RawDataTotal!$B:$B,$A80,RawDataTotal!W:W)</f>
        <v>0</v>
      </c>
      <c r="U80">
        <f>SUMIF(RawDataTotal!$B:$B,$A80,RawDataTotal!X:X)</f>
        <v>0</v>
      </c>
      <c r="V80">
        <f>SUMIF(RawDataTotal!$B:$B,$A80,RawDataTotal!Y:Y)</f>
        <v>0</v>
      </c>
      <c r="W80">
        <f>SUMIF(RawDataTotal!$B:$B,$A80,RawDataTotal!Z:Z)</f>
        <v>0</v>
      </c>
      <c r="X80">
        <f>SUMIF(RawDataTotal!$B:$B,$A80,RawDataTotal!AA:AA)</f>
        <v>0</v>
      </c>
      <c r="Y80">
        <f>SUMIF(RawDataTotal!$B:$B,$A80,RawDataTotal!AB:AB)</f>
        <v>0</v>
      </c>
      <c r="Z80">
        <f>SUMIF(RawDataTotal!$B:$B,$A80,RawDataTotal!AC:AC)</f>
        <v>0</v>
      </c>
      <c r="AA80">
        <f>SUMIF(RawDataTotal!$B:$B,$A80,RawDataTotal!AD:AD)</f>
        <v>0</v>
      </c>
      <c r="AB80">
        <f>SUMIF(RawDataTotal!$B:$B,$A80,RawDataTotal!AE:AE)</f>
        <v>0</v>
      </c>
      <c r="AC80">
        <f>SUMIF(RawDataTotal!$B:$B,$A80,RawDataTotal!AF:AF)</f>
        <v>0</v>
      </c>
      <c r="AD80">
        <f>SUMIF(RawDataTotal!$B:$B,$A80,RawDataTotal!AG:AG)</f>
        <v>0</v>
      </c>
      <c r="AE80">
        <f>SUMIF(RawDataTotal!$B:$B,$A80,RawDataTotal!AH:AH)</f>
        <v>0</v>
      </c>
      <c r="AF80">
        <f>SUMIF(RawDataTotal!$B:$B,$A80,RawDataTotal!AI:AI)</f>
        <v>0</v>
      </c>
      <c r="AG80">
        <f>SUMIF(RawDataTotal!$B:$B,$A80,RawDataTotal!AJ:AJ)</f>
        <v>0</v>
      </c>
      <c r="AH80">
        <f>SUMIF(RawDataTotal!$B:$B,$A80,RawDataTotal!AK:AK)</f>
        <v>0</v>
      </c>
      <c r="AI80">
        <f>SUMIF(RawDataTotal!$B:$B,$A80,RawDataTotal!AL:AL)</f>
        <v>0</v>
      </c>
      <c r="AJ80">
        <f>SUMIF(RawDataTotal!$B:$B,$A80,RawDataTotal!AM:AM)</f>
        <v>0</v>
      </c>
      <c r="AK80">
        <f>SUMIF(RawDataTotal!$B:$B,$A80,RawDataTotal!AN:AN)</f>
        <v>0</v>
      </c>
      <c r="AL80">
        <f>SUMIF(RawDataTotal!$B:$B,$A80,RawDataTotal!AO:AO)</f>
        <v>0</v>
      </c>
      <c r="AM80">
        <f>SUMIF(RawDataTotal!$B:$B,$A80,RawDataTotal!AP:AP)</f>
        <v>1</v>
      </c>
      <c r="AN80">
        <f>SUMIF(RawDataTotal!$B:$B,$A80,RawDataTotal!AQ:AQ)</f>
        <v>4</v>
      </c>
      <c r="AO80">
        <f>SUMIF(RawDataTotal!$B:$B,$A80,RawDataTotal!AR:AR)</f>
        <v>5</v>
      </c>
      <c r="AP80">
        <f>SUMIF(RawDataTotal!$B:$B,$A80,RawDataTotal!AS:AS)</f>
        <v>5</v>
      </c>
      <c r="AQ80">
        <f>SUMIF(RawDataTotal!$B:$B,$A80,RawDataTotal!AT:AT)</f>
        <v>5</v>
      </c>
      <c r="AR80">
        <f>SUMIF(RawDataTotal!$B:$B,$A80,RawDataTotal!AU:AU)</f>
        <v>5</v>
      </c>
      <c r="AS80">
        <f>SUMIF(RawDataTotal!$B:$B,$A80,RawDataTotal!AV:AV)</f>
        <v>5</v>
      </c>
      <c r="AT80">
        <f>SUMIF(RawDataTotal!$B:$B,$A80,RawDataTotal!AW:AW)</f>
        <v>6</v>
      </c>
      <c r="AU80">
        <f>SUMIF(RawDataTotal!$B:$B,$A80,RawDataTotal!AX:AX)</f>
        <v>6</v>
      </c>
      <c r="AV80">
        <f>SUMIF(RawDataTotal!$B:$B,$A80,RawDataTotal!AY:AY)</f>
        <v>7</v>
      </c>
      <c r="AW80">
        <f>SUMIF(RawDataTotal!$B:$B,$A80,RawDataTotal!AZ:AZ)</f>
        <v>7</v>
      </c>
      <c r="AX80">
        <f>SUMIF(RawDataTotal!$B:$B,$A80,RawDataTotal!BA:BA)</f>
        <v>7</v>
      </c>
      <c r="AY80">
        <f>SUMIF(RawDataTotal!$B:$B,$A80,RawDataTotal!BB:BB)</f>
        <v>8</v>
      </c>
      <c r="AZ80">
        <f>SUMIF(RawDataTotal!$B:$B,$A80,RawDataTotal!BC:BC)</f>
        <v>12</v>
      </c>
      <c r="BA80">
        <f>SUMIF(RawDataTotal!$B:$B,$A80,RawDataTotal!BD:BD)</f>
        <v>12</v>
      </c>
      <c r="BB80">
        <f>SUMIF(RawDataTotal!$B:$B,$A80,RawDataTotal!BE:BE)</f>
        <v>26</v>
      </c>
      <c r="BC80">
        <f>SUMIF(RawDataTotal!$B:$B,$A80,RawDataTotal!BF:BF)</f>
        <v>41</v>
      </c>
      <c r="BD80">
        <f>SUMIF(RawDataTotal!$B:$B,$A80,RawDataTotal!BG:BG)</f>
        <v>53</v>
      </c>
      <c r="BE80">
        <f>SUMIF(RawDataTotal!$B:$B,$A80,RawDataTotal!BH:BH)</f>
        <v>82</v>
      </c>
      <c r="BF80">
        <f>SUMIF(RawDataTotal!$B:$B,$A80,RawDataTotal!BI:BI)</f>
        <v>0</v>
      </c>
      <c r="BG80">
        <f>SUMIF(RawDataTotal!$B:$B,$A80,RawDataTotal!BJ:BJ)</f>
        <v>0</v>
      </c>
      <c r="BH80">
        <f>SUMIF(RawDataTotal!$B:$B,$A80,RawDataTotal!BK:BK)</f>
        <v>0</v>
      </c>
      <c r="BI80">
        <f>SUMIF(RawDataTotal!$B:$B,$A80,RawDataTotal!BL:BL)</f>
        <v>0</v>
      </c>
      <c r="BJ80">
        <f>SUMIF(RawDataTotal!$B:$B,$A80,RawDataTotal!BM:BM)</f>
        <v>0</v>
      </c>
      <c r="BK80">
        <f>SUMIF(RawDataTotal!$B:$B,$A80,RawDataTotal!BN:BN)</f>
        <v>0</v>
      </c>
      <c r="BL80">
        <f>SUMIF(RawDataTotal!$B:$B,$A80,RawDataTotal!BO:BO)</f>
        <v>0</v>
      </c>
      <c r="BM80">
        <f>SUMIF(RawDataTotal!$B:$B,$A80,RawDataTotal!BP:BP)</f>
        <v>0</v>
      </c>
      <c r="BN80">
        <f>SUMIF(RawDataTotal!$B:$B,$A80,RawDataTotal!BQ:BQ)</f>
        <v>0</v>
      </c>
      <c r="BO80">
        <f>SUMIF(RawDataTotal!$B:$B,$A80,RawDataTotal!BR:BR)</f>
        <v>0</v>
      </c>
      <c r="BP80">
        <f>SUMIF(RawDataTotal!$B:$B,$A80,RawDataTotal!BS:BS)</f>
        <v>0</v>
      </c>
      <c r="BQ80">
        <f>SUMIF(RawDataTotal!$B:$B,$A80,RawDataTotal!BT:BT)</f>
        <v>0</v>
      </c>
      <c r="BR80">
        <f>SUMIF(RawDataTotal!$B:$B,$A80,RawDataTotal!BU:BU)</f>
        <v>0</v>
      </c>
      <c r="BS80">
        <f>SUMIF(RawDataTotal!$B:$B,$A80,RawDataTotal!BV:BV)</f>
        <v>0</v>
      </c>
      <c r="BT80">
        <f>SUMIF(RawDataTotal!$B:$B,$A80,RawDataTotal!BW:BW)</f>
        <v>0</v>
      </c>
    </row>
    <row r="81" spans="1:72" ht="15" thickBot="1" x14ac:dyDescent="0.35">
      <c r="A81" s="3" t="s">
        <v>141</v>
      </c>
      <c r="B81">
        <f>SUMIF(RawDataTotal!$B:$B,$A81,RawDataTotal!E:E)</f>
        <v>0</v>
      </c>
      <c r="C81">
        <f>SUMIF(RawDataTotal!$B:$B,$A81,RawDataTotal!F:F)</f>
        <v>0</v>
      </c>
      <c r="D81">
        <f>SUMIF(RawDataTotal!$B:$B,$A81,RawDataTotal!G:G)</f>
        <v>0</v>
      </c>
      <c r="E81">
        <f>SUMIF(RawDataTotal!$B:$B,$A81,RawDataTotal!H:H)</f>
        <v>0</v>
      </c>
      <c r="F81">
        <f>SUMIF(RawDataTotal!$B:$B,$A81,RawDataTotal!I:I)</f>
        <v>0</v>
      </c>
      <c r="G81">
        <f>SUMIF(RawDataTotal!$B:$B,$A81,RawDataTotal!J:J)</f>
        <v>0</v>
      </c>
      <c r="H81">
        <f>SUMIF(RawDataTotal!$B:$B,$A81,RawDataTotal!K:K)</f>
        <v>0</v>
      </c>
      <c r="I81">
        <f>SUMIF(RawDataTotal!$B:$B,$A81,RawDataTotal!L:L)</f>
        <v>0</v>
      </c>
      <c r="J81">
        <f>SUMIF(RawDataTotal!$B:$B,$A81,RawDataTotal!M:M)</f>
        <v>0</v>
      </c>
      <c r="K81">
        <f>SUMIF(RawDataTotal!$B:$B,$A81,RawDataTotal!N:N)</f>
        <v>0</v>
      </c>
      <c r="L81">
        <f>SUMIF(RawDataTotal!$B:$B,$A81,RawDataTotal!O:O)</f>
        <v>0</v>
      </c>
      <c r="M81">
        <f>SUMIF(RawDataTotal!$B:$B,$A81,RawDataTotal!P:P)</f>
        <v>0</v>
      </c>
      <c r="N81">
        <f>SUMIF(RawDataTotal!$B:$B,$A81,RawDataTotal!Q:Q)</f>
        <v>0</v>
      </c>
      <c r="O81">
        <f>SUMIF(RawDataTotal!$B:$B,$A81,RawDataTotal!R:R)</f>
        <v>0</v>
      </c>
      <c r="P81">
        <f>SUMIF(RawDataTotal!$B:$B,$A81,RawDataTotal!S:S)</f>
        <v>0</v>
      </c>
      <c r="Q81">
        <f>SUMIF(RawDataTotal!$B:$B,$A81,RawDataTotal!T:T)</f>
        <v>0</v>
      </c>
      <c r="R81">
        <f>SUMIF(RawDataTotal!$B:$B,$A81,RawDataTotal!U:U)</f>
        <v>0</v>
      </c>
      <c r="S81">
        <f>SUMIF(RawDataTotal!$B:$B,$A81,RawDataTotal!V:V)</f>
        <v>0</v>
      </c>
      <c r="T81">
        <f>SUMIF(RawDataTotal!$B:$B,$A81,RawDataTotal!W:W)</f>
        <v>0</v>
      </c>
      <c r="U81">
        <f>SUMIF(RawDataTotal!$B:$B,$A81,RawDataTotal!X:X)</f>
        <v>0</v>
      </c>
      <c r="V81">
        <f>SUMIF(RawDataTotal!$B:$B,$A81,RawDataTotal!Y:Y)</f>
        <v>0</v>
      </c>
      <c r="W81">
        <f>SUMIF(RawDataTotal!$B:$B,$A81,RawDataTotal!Z:Z)</f>
        <v>0</v>
      </c>
      <c r="X81">
        <f>SUMIF(RawDataTotal!$B:$B,$A81,RawDataTotal!AA:AA)</f>
        <v>0</v>
      </c>
      <c r="Y81">
        <f>SUMIF(RawDataTotal!$B:$B,$A81,RawDataTotal!AB:AB)</f>
        <v>0</v>
      </c>
      <c r="Z81">
        <f>SUMIF(RawDataTotal!$B:$B,$A81,RawDataTotal!AC:AC)</f>
        <v>0</v>
      </c>
      <c r="AA81">
        <f>SUMIF(RawDataTotal!$B:$B,$A81,RawDataTotal!AD:AD)</f>
        <v>0</v>
      </c>
      <c r="AB81">
        <f>SUMIF(RawDataTotal!$B:$B,$A81,RawDataTotal!AE:AE)</f>
        <v>0</v>
      </c>
      <c r="AC81">
        <f>SUMIF(RawDataTotal!$B:$B,$A81,RawDataTotal!AF:AF)</f>
        <v>0</v>
      </c>
      <c r="AD81">
        <f>SUMIF(RawDataTotal!$B:$B,$A81,RawDataTotal!AG:AG)</f>
        <v>0</v>
      </c>
      <c r="AE81">
        <f>SUMIF(RawDataTotal!$B:$B,$A81,RawDataTotal!AH:AH)</f>
        <v>0</v>
      </c>
      <c r="AF81">
        <f>SUMIF(RawDataTotal!$B:$B,$A81,RawDataTotal!AI:AI)</f>
        <v>0</v>
      </c>
      <c r="AG81">
        <f>SUMIF(RawDataTotal!$B:$B,$A81,RawDataTotal!AJ:AJ)</f>
        <v>0</v>
      </c>
      <c r="AH81">
        <f>SUMIF(RawDataTotal!$B:$B,$A81,RawDataTotal!AK:AK)</f>
        <v>0</v>
      </c>
      <c r="AI81">
        <f>SUMIF(RawDataTotal!$B:$B,$A81,RawDataTotal!AL:AL)</f>
        <v>0</v>
      </c>
      <c r="AJ81">
        <f>SUMIF(RawDataTotal!$B:$B,$A81,RawDataTotal!AM:AM)</f>
        <v>0</v>
      </c>
      <c r="AK81">
        <f>SUMIF(RawDataTotal!$B:$B,$A81,RawDataTotal!AN:AN)</f>
        <v>0</v>
      </c>
      <c r="AL81">
        <f>SUMIF(RawDataTotal!$B:$B,$A81,RawDataTotal!AO:AO)</f>
        <v>0</v>
      </c>
      <c r="AM81">
        <f>SUMIF(RawDataTotal!$B:$B,$A81,RawDataTotal!AP:AP)</f>
        <v>0</v>
      </c>
      <c r="AN81">
        <f>SUMIF(RawDataTotal!$B:$B,$A81,RawDataTotal!AQ:AQ)</f>
        <v>0</v>
      </c>
      <c r="AO81">
        <f>SUMIF(RawDataTotal!$B:$B,$A81,RawDataTotal!AR:AR)</f>
        <v>0</v>
      </c>
      <c r="AP81">
        <f>SUMIF(RawDataTotal!$B:$B,$A81,RawDataTotal!AS:AS)</f>
        <v>1</v>
      </c>
      <c r="AQ81">
        <f>SUMIF(RawDataTotal!$B:$B,$A81,RawDataTotal!AT:AT)</f>
        <v>2</v>
      </c>
      <c r="AR81">
        <f>SUMIF(RawDataTotal!$B:$B,$A81,RawDataTotal!AU:AU)</f>
        <v>4</v>
      </c>
      <c r="AS81">
        <f>SUMIF(RawDataTotal!$B:$B,$A81,RawDataTotal!AV:AV)</f>
        <v>4</v>
      </c>
      <c r="AT81">
        <f>SUMIF(RawDataTotal!$B:$B,$A81,RawDataTotal!AW:AW)</f>
        <v>4</v>
      </c>
      <c r="AU81">
        <f>SUMIF(RawDataTotal!$B:$B,$A81,RawDataTotal!AX:AX)</f>
        <v>4</v>
      </c>
      <c r="AV81">
        <f>SUMIF(RawDataTotal!$B:$B,$A81,RawDataTotal!AY:AY)</f>
        <v>4</v>
      </c>
      <c r="AW81">
        <f>SUMIF(RawDataTotal!$B:$B,$A81,RawDataTotal!AZ:AZ)</f>
        <v>4</v>
      </c>
      <c r="AX81">
        <f>SUMIF(RawDataTotal!$B:$B,$A81,RawDataTotal!BA:BA)</f>
        <v>4</v>
      </c>
      <c r="AY81">
        <f>SUMIF(RawDataTotal!$B:$B,$A81,RawDataTotal!BB:BB)</f>
        <v>4</v>
      </c>
      <c r="AZ81">
        <f>SUMIF(RawDataTotal!$B:$B,$A81,RawDataTotal!BC:BC)</f>
        <v>4</v>
      </c>
      <c r="BA81">
        <f>SUMIF(RawDataTotal!$B:$B,$A81,RawDataTotal!BD:BD)</f>
        <v>10</v>
      </c>
      <c r="BB81">
        <f>SUMIF(RawDataTotal!$B:$B,$A81,RawDataTotal!BE:BE)</f>
        <v>10</v>
      </c>
      <c r="BC81">
        <f>SUMIF(RawDataTotal!$B:$B,$A81,RawDataTotal!BF:BF)</f>
        <v>24</v>
      </c>
      <c r="BD81">
        <f>SUMIF(RawDataTotal!$B:$B,$A81,RawDataTotal!BG:BG)</f>
        <v>24</v>
      </c>
      <c r="BE81">
        <f>SUMIF(RawDataTotal!$B:$B,$A81,RawDataTotal!BH:BH)</f>
        <v>26</v>
      </c>
      <c r="BF81">
        <f>SUMIF(RawDataTotal!$B:$B,$A81,RawDataTotal!BI:BI)</f>
        <v>0</v>
      </c>
      <c r="BG81">
        <f>SUMIF(RawDataTotal!$B:$B,$A81,RawDataTotal!BJ:BJ)</f>
        <v>0</v>
      </c>
      <c r="BH81">
        <f>SUMIF(RawDataTotal!$B:$B,$A81,RawDataTotal!BK:BK)</f>
        <v>0</v>
      </c>
      <c r="BI81">
        <f>SUMIF(RawDataTotal!$B:$B,$A81,RawDataTotal!BL:BL)</f>
        <v>0</v>
      </c>
      <c r="BJ81">
        <f>SUMIF(RawDataTotal!$B:$B,$A81,RawDataTotal!BM:BM)</f>
        <v>0</v>
      </c>
      <c r="BK81">
        <f>SUMIF(RawDataTotal!$B:$B,$A81,RawDataTotal!BN:BN)</f>
        <v>0</v>
      </c>
      <c r="BL81">
        <f>SUMIF(RawDataTotal!$B:$B,$A81,RawDataTotal!BO:BO)</f>
        <v>0</v>
      </c>
      <c r="BM81">
        <f>SUMIF(RawDataTotal!$B:$B,$A81,RawDataTotal!BP:BP)</f>
        <v>0</v>
      </c>
      <c r="BN81">
        <f>SUMIF(RawDataTotal!$B:$B,$A81,RawDataTotal!BQ:BQ)</f>
        <v>0</v>
      </c>
      <c r="BO81">
        <f>SUMIF(RawDataTotal!$B:$B,$A81,RawDataTotal!BR:BR)</f>
        <v>0</v>
      </c>
      <c r="BP81">
        <f>SUMIF(RawDataTotal!$B:$B,$A81,RawDataTotal!BS:BS)</f>
        <v>0</v>
      </c>
      <c r="BQ81">
        <f>SUMIF(RawDataTotal!$B:$B,$A81,RawDataTotal!BT:BT)</f>
        <v>0</v>
      </c>
      <c r="BR81">
        <f>SUMIF(RawDataTotal!$B:$B,$A81,RawDataTotal!BU:BU)</f>
        <v>0</v>
      </c>
      <c r="BS81">
        <f>SUMIF(RawDataTotal!$B:$B,$A81,RawDataTotal!BV:BV)</f>
        <v>0</v>
      </c>
      <c r="BT81">
        <f>SUMIF(RawDataTotal!$B:$B,$A81,RawDataTotal!BW:BW)</f>
        <v>0</v>
      </c>
    </row>
    <row r="82" spans="1:72" ht="15" thickBot="1" x14ac:dyDescent="0.35">
      <c r="A82" s="4" t="s">
        <v>227</v>
      </c>
      <c r="B82">
        <f>SUMIF(RawDataTotal!$B:$B,$A82,RawDataTotal!E:E)</f>
        <v>0</v>
      </c>
      <c r="C82">
        <f>SUMIF(RawDataTotal!$B:$B,$A82,RawDataTotal!F:F)</f>
        <v>0</v>
      </c>
      <c r="D82">
        <f>SUMIF(RawDataTotal!$B:$B,$A82,RawDataTotal!G:G)</f>
        <v>0</v>
      </c>
      <c r="E82">
        <f>SUMIF(RawDataTotal!$B:$B,$A82,RawDataTotal!H:H)</f>
        <v>0</v>
      </c>
      <c r="F82">
        <f>SUMIF(RawDataTotal!$B:$B,$A82,RawDataTotal!I:I)</f>
        <v>0</v>
      </c>
      <c r="G82">
        <f>SUMIF(RawDataTotal!$B:$B,$A82,RawDataTotal!J:J)</f>
        <v>0</v>
      </c>
      <c r="H82">
        <f>SUMIF(RawDataTotal!$B:$B,$A82,RawDataTotal!K:K)</f>
        <v>0</v>
      </c>
      <c r="I82">
        <f>SUMIF(RawDataTotal!$B:$B,$A82,RawDataTotal!L:L)</f>
        <v>0</v>
      </c>
      <c r="J82">
        <f>SUMIF(RawDataTotal!$B:$B,$A82,RawDataTotal!M:M)</f>
        <v>0</v>
      </c>
      <c r="K82">
        <f>SUMIF(RawDataTotal!$B:$B,$A82,RawDataTotal!N:N)</f>
        <v>0</v>
      </c>
      <c r="L82">
        <f>SUMIF(RawDataTotal!$B:$B,$A82,RawDataTotal!O:O)</f>
        <v>0</v>
      </c>
      <c r="M82">
        <f>SUMIF(RawDataTotal!$B:$B,$A82,RawDataTotal!P:P)</f>
        <v>0</v>
      </c>
      <c r="N82">
        <f>SUMIF(RawDataTotal!$B:$B,$A82,RawDataTotal!Q:Q)</f>
        <v>0</v>
      </c>
      <c r="O82">
        <f>SUMIF(RawDataTotal!$B:$B,$A82,RawDataTotal!R:R)</f>
        <v>0</v>
      </c>
      <c r="P82">
        <f>SUMIF(RawDataTotal!$B:$B,$A82,RawDataTotal!S:S)</f>
        <v>0</v>
      </c>
      <c r="Q82">
        <f>SUMIF(RawDataTotal!$B:$B,$A82,RawDataTotal!T:T)</f>
        <v>0</v>
      </c>
      <c r="R82">
        <f>SUMIF(RawDataTotal!$B:$B,$A82,RawDataTotal!U:U)</f>
        <v>0</v>
      </c>
      <c r="S82">
        <f>SUMIF(RawDataTotal!$B:$B,$A82,RawDataTotal!V:V)</f>
        <v>0</v>
      </c>
      <c r="T82">
        <f>SUMIF(RawDataTotal!$B:$B,$A82,RawDataTotal!W:W)</f>
        <v>0</v>
      </c>
      <c r="U82">
        <f>SUMIF(RawDataTotal!$B:$B,$A82,RawDataTotal!X:X)</f>
        <v>0</v>
      </c>
      <c r="V82">
        <f>SUMIF(RawDataTotal!$B:$B,$A82,RawDataTotal!Y:Y)</f>
        <v>0</v>
      </c>
      <c r="W82">
        <f>SUMIF(RawDataTotal!$B:$B,$A82,RawDataTotal!Z:Z)</f>
        <v>0</v>
      </c>
      <c r="X82">
        <f>SUMIF(RawDataTotal!$B:$B,$A82,RawDataTotal!AA:AA)</f>
        <v>0</v>
      </c>
      <c r="Y82">
        <f>SUMIF(RawDataTotal!$B:$B,$A82,RawDataTotal!AB:AB)</f>
        <v>0</v>
      </c>
      <c r="Z82">
        <f>SUMIF(RawDataTotal!$B:$B,$A82,RawDataTotal!AC:AC)</f>
        <v>0</v>
      </c>
      <c r="AA82">
        <f>SUMIF(RawDataTotal!$B:$B,$A82,RawDataTotal!AD:AD)</f>
        <v>0</v>
      </c>
      <c r="AB82">
        <f>SUMIF(RawDataTotal!$B:$B,$A82,RawDataTotal!AE:AE)</f>
        <v>0</v>
      </c>
      <c r="AC82">
        <f>SUMIF(RawDataTotal!$B:$B,$A82,RawDataTotal!AF:AF)</f>
        <v>0</v>
      </c>
      <c r="AD82">
        <f>SUMIF(RawDataTotal!$B:$B,$A82,RawDataTotal!AG:AG)</f>
        <v>0</v>
      </c>
      <c r="AE82">
        <f>SUMIF(RawDataTotal!$B:$B,$A82,RawDataTotal!AH:AH)</f>
        <v>0</v>
      </c>
      <c r="AF82">
        <f>SUMIF(RawDataTotal!$B:$B,$A82,RawDataTotal!AI:AI)</f>
        <v>0</v>
      </c>
      <c r="AG82">
        <f>SUMIF(RawDataTotal!$B:$B,$A82,RawDataTotal!AJ:AJ)</f>
        <v>0</v>
      </c>
      <c r="AH82">
        <f>SUMIF(RawDataTotal!$B:$B,$A82,RawDataTotal!AK:AK)</f>
        <v>0</v>
      </c>
      <c r="AI82">
        <f>SUMIF(RawDataTotal!$B:$B,$A82,RawDataTotal!AL:AL)</f>
        <v>0</v>
      </c>
      <c r="AJ82">
        <f>SUMIF(RawDataTotal!$B:$B,$A82,RawDataTotal!AM:AM)</f>
        <v>0</v>
      </c>
      <c r="AK82">
        <f>SUMIF(RawDataTotal!$B:$B,$A82,RawDataTotal!AN:AN)</f>
        <v>0</v>
      </c>
      <c r="AL82">
        <f>SUMIF(RawDataTotal!$B:$B,$A82,RawDataTotal!AO:AO)</f>
        <v>0</v>
      </c>
      <c r="AM82">
        <f>SUMIF(RawDataTotal!$B:$B,$A82,RawDataTotal!AP:AP)</f>
        <v>0</v>
      </c>
      <c r="AN82">
        <f>SUMIF(RawDataTotal!$B:$B,$A82,RawDataTotal!AQ:AQ)</f>
        <v>0</v>
      </c>
      <c r="AO82">
        <f>SUMIF(RawDataTotal!$B:$B,$A82,RawDataTotal!AR:AR)</f>
        <v>0</v>
      </c>
      <c r="AP82">
        <f>SUMIF(RawDataTotal!$B:$B,$A82,RawDataTotal!AS:AS)</f>
        <v>0</v>
      </c>
      <c r="AQ82">
        <f>SUMIF(RawDataTotal!$B:$B,$A82,RawDataTotal!AT:AT)</f>
        <v>0</v>
      </c>
      <c r="AR82">
        <f>SUMIF(RawDataTotal!$B:$B,$A82,RawDataTotal!AU:AU)</f>
        <v>0</v>
      </c>
      <c r="AS82">
        <f>SUMIF(RawDataTotal!$B:$B,$A82,RawDataTotal!AV:AV)</f>
        <v>0</v>
      </c>
      <c r="AT82">
        <f>SUMIF(RawDataTotal!$B:$B,$A82,RawDataTotal!AW:AW)</f>
        <v>0</v>
      </c>
      <c r="AU82">
        <f>SUMIF(RawDataTotal!$B:$B,$A82,RawDataTotal!AX:AX)</f>
        <v>0</v>
      </c>
      <c r="AV82">
        <f>SUMIF(RawDataTotal!$B:$B,$A82,RawDataTotal!AY:AY)</f>
        <v>4</v>
      </c>
      <c r="AW82">
        <f>SUMIF(RawDataTotal!$B:$B,$A82,RawDataTotal!AZ:AZ)</f>
        <v>4</v>
      </c>
      <c r="AX82">
        <f>SUMIF(RawDataTotal!$B:$B,$A82,RawDataTotal!BA:BA)</f>
        <v>6</v>
      </c>
      <c r="AY82">
        <f>SUMIF(RawDataTotal!$B:$B,$A82,RawDataTotal!BB:BB)</f>
        <v>8</v>
      </c>
      <c r="AZ82">
        <f>SUMIF(RawDataTotal!$B:$B,$A82,RawDataTotal!BC:BC)</f>
        <v>8</v>
      </c>
      <c r="BA82">
        <f>SUMIF(RawDataTotal!$B:$B,$A82,RawDataTotal!BD:BD)</f>
        <v>9</v>
      </c>
      <c r="BB82">
        <f>SUMIF(RawDataTotal!$B:$B,$A82,RawDataTotal!BE:BE)</f>
        <v>10</v>
      </c>
      <c r="BC82">
        <f>SUMIF(RawDataTotal!$B:$B,$A82,RawDataTotal!BF:BF)</f>
        <v>13</v>
      </c>
      <c r="BD82">
        <f>SUMIF(RawDataTotal!$B:$B,$A82,RawDataTotal!BG:BG)</f>
        <v>13</v>
      </c>
      <c r="BE82">
        <f>SUMIF(RawDataTotal!$B:$B,$A82,RawDataTotal!BH:BH)</f>
        <v>13</v>
      </c>
      <c r="BF82">
        <f>SUMIF(RawDataTotal!$B:$B,$A82,RawDataTotal!BI:BI)</f>
        <v>0</v>
      </c>
      <c r="BG82">
        <f>SUMIF(RawDataTotal!$B:$B,$A82,RawDataTotal!BJ:BJ)</f>
        <v>0</v>
      </c>
      <c r="BH82">
        <f>SUMIF(RawDataTotal!$B:$B,$A82,RawDataTotal!BK:BK)</f>
        <v>0</v>
      </c>
      <c r="BI82">
        <f>SUMIF(RawDataTotal!$B:$B,$A82,RawDataTotal!BL:BL)</f>
        <v>0</v>
      </c>
      <c r="BJ82">
        <f>SUMIF(RawDataTotal!$B:$B,$A82,RawDataTotal!BM:BM)</f>
        <v>0</v>
      </c>
      <c r="BK82">
        <f>SUMIF(RawDataTotal!$B:$B,$A82,RawDataTotal!BN:BN)</f>
        <v>0</v>
      </c>
      <c r="BL82">
        <f>SUMIF(RawDataTotal!$B:$B,$A82,RawDataTotal!BO:BO)</f>
        <v>0</v>
      </c>
      <c r="BM82">
        <f>SUMIF(RawDataTotal!$B:$B,$A82,RawDataTotal!BP:BP)</f>
        <v>0</v>
      </c>
      <c r="BN82">
        <f>SUMIF(RawDataTotal!$B:$B,$A82,RawDataTotal!BQ:BQ)</f>
        <v>0</v>
      </c>
      <c r="BO82">
        <f>SUMIF(RawDataTotal!$B:$B,$A82,RawDataTotal!BR:BR)</f>
        <v>0</v>
      </c>
      <c r="BP82">
        <f>SUMIF(RawDataTotal!$B:$B,$A82,RawDataTotal!BS:BS)</f>
        <v>0</v>
      </c>
      <c r="BQ82">
        <f>SUMIF(RawDataTotal!$B:$B,$A82,RawDataTotal!BT:BT)</f>
        <v>0</v>
      </c>
      <c r="BR82">
        <f>SUMIF(RawDataTotal!$B:$B,$A82,RawDataTotal!BU:BU)</f>
        <v>0</v>
      </c>
      <c r="BS82">
        <f>SUMIF(RawDataTotal!$B:$B,$A82,RawDataTotal!BV:BV)</f>
        <v>0</v>
      </c>
      <c r="BT82">
        <f>SUMIF(RawDataTotal!$B:$B,$A82,RawDataTotal!BW:BW)</f>
        <v>0</v>
      </c>
    </row>
    <row r="83" spans="1:72" ht="15" thickBot="1" x14ac:dyDescent="0.35">
      <c r="A83" s="4" t="s">
        <v>132</v>
      </c>
      <c r="B83">
        <f>SUMIF(RawDataTotal!$B:$B,$A83,RawDataTotal!E:E)</f>
        <v>0</v>
      </c>
      <c r="C83">
        <f>SUMIF(RawDataTotal!$B:$B,$A83,RawDataTotal!F:F)</f>
        <v>0</v>
      </c>
      <c r="D83">
        <f>SUMIF(RawDataTotal!$B:$B,$A83,RawDataTotal!G:G)</f>
        <v>0</v>
      </c>
      <c r="E83">
        <f>SUMIF(RawDataTotal!$B:$B,$A83,RawDataTotal!H:H)</f>
        <v>0</v>
      </c>
      <c r="F83">
        <f>SUMIF(RawDataTotal!$B:$B,$A83,RawDataTotal!I:I)</f>
        <v>0</v>
      </c>
      <c r="G83">
        <f>SUMIF(RawDataTotal!$B:$B,$A83,RawDataTotal!J:J)</f>
        <v>0</v>
      </c>
      <c r="H83">
        <f>SUMIF(RawDataTotal!$B:$B,$A83,RawDataTotal!K:K)</f>
        <v>0</v>
      </c>
      <c r="I83">
        <f>SUMIF(RawDataTotal!$B:$B,$A83,RawDataTotal!L:L)</f>
        <v>0</v>
      </c>
      <c r="J83">
        <f>SUMIF(RawDataTotal!$B:$B,$A83,RawDataTotal!M:M)</f>
        <v>0</v>
      </c>
      <c r="K83">
        <f>SUMIF(RawDataTotal!$B:$B,$A83,RawDataTotal!N:N)</f>
        <v>0</v>
      </c>
      <c r="L83">
        <f>SUMIF(RawDataTotal!$B:$B,$A83,RawDataTotal!O:O)</f>
        <v>0</v>
      </c>
      <c r="M83">
        <f>SUMIF(RawDataTotal!$B:$B,$A83,RawDataTotal!P:P)</f>
        <v>0</v>
      </c>
      <c r="N83">
        <f>SUMIF(RawDataTotal!$B:$B,$A83,RawDataTotal!Q:Q)</f>
        <v>0</v>
      </c>
      <c r="O83">
        <f>SUMIF(RawDataTotal!$B:$B,$A83,RawDataTotal!R:R)</f>
        <v>0</v>
      </c>
      <c r="P83">
        <f>SUMIF(RawDataTotal!$B:$B,$A83,RawDataTotal!S:S)</f>
        <v>0</v>
      </c>
      <c r="Q83">
        <f>SUMIF(RawDataTotal!$B:$B,$A83,RawDataTotal!T:T)</f>
        <v>0</v>
      </c>
      <c r="R83">
        <f>SUMIF(RawDataTotal!$B:$B,$A83,RawDataTotal!U:U)</f>
        <v>0</v>
      </c>
      <c r="S83">
        <f>SUMIF(RawDataTotal!$B:$B,$A83,RawDataTotal!V:V)</f>
        <v>0</v>
      </c>
      <c r="T83">
        <f>SUMIF(RawDataTotal!$B:$B,$A83,RawDataTotal!W:W)</f>
        <v>0</v>
      </c>
      <c r="U83">
        <f>SUMIF(RawDataTotal!$B:$B,$A83,RawDataTotal!X:X)</f>
        <v>0</v>
      </c>
      <c r="V83">
        <f>SUMIF(RawDataTotal!$B:$B,$A83,RawDataTotal!Y:Y)</f>
        <v>0</v>
      </c>
      <c r="W83">
        <f>SUMIF(RawDataTotal!$B:$B,$A83,RawDataTotal!Z:Z)</f>
        <v>0</v>
      </c>
      <c r="X83">
        <f>SUMIF(RawDataTotal!$B:$B,$A83,RawDataTotal!AA:AA)</f>
        <v>0</v>
      </c>
      <c r="Y83">
        <f>SUMIF(RawDataTotal!$B:$B,$A83,RawDataTotal!AB:AB)</f>
        <v>0</v>
      </c>
      <c r="Z83">
        <f>SUMIF(RawDataTotal!$B:$B,$A83,RawDataTotal!AC:AC)</f>
        <v>0</v>
      </c>
      <c r="AA83">
        <f>SUMIF(RawDataTotal!$B:$B,$A83,RawDataTotal!AD:AD)</f>
        <v>0</v>
      </c>
      <c r="AB83">
        <f>SUMIF(RawDataTotal!$B:$B,$A83,RawDataTotal!AE:AE)</f>
        <v>0</v>
      </c>
      <c r="AC83">
        <f>SUMIF(RawDataTotal!$B:$B,$A83,RawDataTotal!AF:AF)</f>
        <v>0</v>
      </c>
      <c r="AD83">
        <f>SUMIF(RawDataTotal!$B:$B,$A83,RawDataTotal!AG:AG)</f>
        <v>0</v>
      </c>
      <c r="AE83">
        <f>SUMIF(RawDataTotal!$B:$B,$A83,RawDataTotal!AH:AH)</f>
        <v>0</v>
      </c>
      <c r="AF83">
        <f>SUMIF(RawDataTotal!$B:$B,$A83,RawDataTotal!AI:AI)</f>
        <v>0</v>
      </c>
      <c r="AG83">
        <f>SUMIF(RawDataTotal!$B:$B,$A83,RawDataTotal!AJ:AJ)</f>
        <v>0</v>
      </c>
      <c r="AH83">
        <f>SUMIF(RawDataTotal!$B:$B,$A83,RawDataTotal!AK:AK)</f>
        <v>0</v>
      </c>
      <c r="AI83">
        <f>SUMIF(RawDataTotal!$B:$B,$A83,RawDataTotal!AL:AL)</f>
        <v>0</v>
      </c>
      <c r="AJ83">
        <f>SUMIF(RawDataTotal!$B:$B,$A83,RawDataTotal!AM:AM)</f>
        <v>0</v>
      </c>
      <c r="AK83">
        <f>SUMIF(RawDataTotal!$B:$B,$A83,RawDataTotal!AN:AN)</f>
        <v>0</v>
      </c>
      <c r="AL83">
        <f>SUMIF(RawDataTotal!$B:$B,$A83,RawDataTotal!AO:AO)</f>
        <v>0</v>
      </c>
      <c r="AM83">
        <f>SUMIF(RawDataTotal!$B:$B,$A83,RawDataTotal!AP:AP)</f>
        <v>0</v>
      </c>
      <c r="AN83">
        <f>SUMIF(RawDataTotal!$B:$B,$A83,RawDataTotal!AQ:AQ)</f>
        <v>0</v>
      </c>
      <c r="AO83">
        <f>SUMIF(RawDataTotal!$B:$B,$A83,RawDataTotal!AR:AR)</f>
        <v>1</v>
      </c>
      <c r="AP83">
        <f>SUMIF(RawDataTotal!$B:$B,$A83,RawDataTotal!AS:AS)</f>
        <v>1</v>
      </c>
      <c r="AQ83">
        <f>SUMIF(RawDataTotal!$B:$B,$A83,RawDataTotal!AT:AT)</f>
        <v>1</v>
      </c>
      <c r="AR83">
        <f>SUMIF(RawDataTotal!$B:$B,$A83,RawDataTotal!AU:AU)</f>
        <v>1</v>
      </c>
      <c r="AS83">
        <f>SUMIF(RawDataTotal!$B:$B,$A83,RawDataTotal!AV:AV)</f>
        <v>1</v>
      </c>
      <c r="AT83">
        <f>SUMIF(RawDataTotal!$B:$B,$A83,RawDataTotal!AW:AW)</f>
        <v>1</v>
      </c>
      <c r="AU83">
        <f>SUMIF(RawDataTotal!$B:$B,$A83,RawDataTotal!AX:AX)</f>
        <v>1</v>
      </c>
      <c r="AV83">
        <f>SUMIF(RawDataTotal!$B:$B,$A83,RawDataTotal!AY:AY)</f>
        <v>1</v>
      </c>
      <c r="AW83">
        <f>SUMIF(RawDataTotal!$B:$B,$A83,RawDataTotal!AZ:AZ)</f>
        <v>1</v>
      </c>
      <c r="AX83">
        <f>SUMIF(RawDataTotal!$B:$B,$A83,RawDataTotal!BA:BA)</f>
        <v>1</v>
      </c>
      <c r="AY83">
        <f>SUMIF(RawDataTotal!$B:$B,$A83,RawDataTotal!BB:BB)</f>
        <v>1</v>
      </c>
      <c r="AZ83">
        <f>SUMIF(RawDataTotal!$B:$B,$A83,RawDataTotal!BC:BC)</f>
        <v>4</v>
      </c>
      <c r="BA83">
        <f>SUMIF(RawDataTotal!$B:$B,$A83,RawDataTotal!BD:BD)</f>
        <v>8</v>
      </c>
      <c r="BB83">
        <f>SUMIF(RawDataTotal!$B:$B,$A83,RawDataTotal!BE:BE)</f>
        <v>18</v>
      </c>
      <c r="BC83">
        <f>SUMIF(RawDataTotal!$B:$B,$A83,RawDataTotal!BF:BF)</f>
        <v>26</v>
      </c>
      <c r="BD83">
        <f>SUMIF(RawDataTotal!$B:$B,$A83,RawDataTotal!BG:BG)</f>
        <v>52</v>
      </c>
      <c r="BE83">
        <f>SUMIF(RawDataTotal!$B:$B,$A83,RawDataTotal!BH:BH)</f>
        <v>78</v>
      </c>
      <c r="BF83">
        <f>SUMIF(RawDataTotal!$B:$B,$A83,RawDataTotal!BI:BI)</f>
        <v>0</v>
      </c>
      <c r="BG83">
        <f>SUMIF(RawDataTotal!$B:$B,$A83,RawDataTotal!BJ:BJ)</f>
        <v>0</v>
      </c>
      <c r="BH83">
        <f>SUMIF(RawDataTotal!$B:$B,$A83,RawDataTotal!BK:BK)</f>
        <v>0</v>
      </c>
      <c r="BI83">
        <f>SUMIF(RawDataTotal!$B:$B,$A83,RawDataTotal!BL:BL)</f>
        <v>0</v>
      </c>
      <c r="BJ83">
        <f>SUMIF(RawDataTotal!$B:$B,$A83,RawDataTotal!BM:BM)</f>
        <v>0</v>
      </c>
      <c r="BK83">
        <f>SUMIF(RawDataTotal!$B:$B,$A83,RawDataTotal!BN:BN)</f>
        <v>0</v>
      </c>
      <c r="BL83">
        <f>SUMIF(RawDataTotal!$B:$B,$A83,RawDataTotal!BO:BO)</f>
        <v>0</v>
      </c>
      <c r="BM83">
        <f>SUMIF(RawDataTotal!$B:$B,$A83,RawDataTotal!BP:BP)</f>
        <v>0</v>
      </c>
      <c r="BN83">
        <f>SUMIF(RawDataTotal!$B:$B,$A83,RawDataTotal!BQ:BQ)</f>
        <v>0</v>
      </c>
      <c r="BO83">
        <f>SUMIF(RawDataTotal!$B:$B,$A83,RawDataTotal!BR:BR)</f>
        <v>0</v>
      </c>
      <c r="BP83">
        <f>SUMIF(RawDataTotal!$B:$B,$A83,RawDataTotal!BS:BS)</f>
        <v>0</v>
      </c>
      <c r="BQ83">
        <f>SUMIF(RawDataTotal!$B:$B,$A83,RawDataTotal!BT:BT)</f>
        <v>0</v>
      </c>
      <c r="BR83">
        <f>SUMIF(RawDataTotal!$B:$B,$A83,RawDataTotal!BU:BU)</f>
        <v>0</v>
      </c>
      <c r="BS83">
        <f>SUMIF(RawDataTotal!$B:$B,$A83,RawDataTotal!BV:BV)</f>
        <v>0</v>
      </c>
      <c r="BT83">
        <f>SUMIF(RawDataTotal!$B:$B,$A83,RawDataTotal!BW:BW)</f>
        <v>0</v>
      </c>
    </row>
    <row r="84" spans="1:72" ht="15" thickBot="1" x14ac:dyDescent="0.35">
      <c r="A84" s="3" t="s">
        <v>381</v>
      </c>
      <c r="B84">
        <f>SUMIF(RawDataTotal!$B:$B,$A84,RawDataTotal!E:E)</f>
        <v>0</v>
      </c>
      <c r="C84">
        <f>SUMIF(RawDataTotal!$B:$B,$A84,RawDataTotal!F:F)</f>
        <v>0</v>
      </c>
      <c r="D84">
        <f>SUMIF(RawDataTotal!$B:$B,$A84,RawDataTotal!G:G)</f>
        <v>0</v>
      </c>
      <c r="E84">
        <f>SUMIF(RawDataTotal!$B:$B,$A84,RawDataTotal!H:H)</f>
        <v>0</v>
      </c>
      <c r="F84">
        <f>SUMIF(RawDataTotal!$B:$B,$A84,RawDataTotal!I:I)</f>
        <v>0</v>
      </c>
      <c r="G84">
        <f>SUMIF(RawDataTotal!$B:$B,$A84,RawDataTotal!J:J)</f>
        <v>0</v>
      </c>
      <c r="H84">
        <f>SUMIF(RawDataTotal!$B:$B,$A84,RawDataTotal!K:K)</f>
        <v>0</v>
      </c>
      <c r="I84">
        <f>SUMIF(RawDataTotal!$B:$B,$A84,RawDataTotal!L:L)</f>
        <v>0</v>
      </c>
      <c r="J84">
        <f>SUMIF(RawDataTotal!$B:$B,$A84,RawDataTotal!M:M)</f>
        <v>0</v>
      </c>
      <c r="K84">
        <f>SUMIF(RawDataTotal!$B:$B,$A84,RawDataTotal!N:N)</f>
        <v>0</v>
      </c>
      <c r="L84">
        <f>SUMIF(RawDataTotal!$B:$B,$A84,RawDataTotal!O:O)</f>
        <v>0</v>
      </c>
      <c r="M84">
        <f>SUMIF(RawDataTotal!$B:$B,$A84,RawDataTotal!P:P)</f>
        <v>0</v>
      </c>
      <c r="N84">
        <f>SUMIF(RawDataTotal!$B:$B,$A84,RawDataTotal!Q:Q)</f>
        <v>0</v>
      </c>
      <c r="O84">
        <f>SUMIF(RawDataTotal!$B:$B,$A84,RawDataTotal!R:R)</f>
        <v>0</v>
      </c>
      <c r="P84">
        <f>SUMIF(RawDataTotal!$B:$B,$A84,RawDataTotal!S:S)</f>
        <v>0</v>
      </c>
      <c r="Q84">
        <f>SUMIF(RawDataTotal!$B:$B,$A84,RawDataTotal!T:T)</f>
        <v>0</v>
      </c>
      <c r="R84">
        <f>SUMIF(RawDataTotal!$B:$B,$A84,RawDataTotal!U:U)</f>
        <v>0</v>
      </c>
      <c r="S84">
        <f>SUMIF(RawDataTotal!$B:$B,$A84,RawDataTotal!V:V)</f>
        <v>0</v>
      </c>
      <c r="T84">
        <f>SUMIF(RawDataTotal!$B:$B,$A84,RawDataTotal!W:W)</f>
        <v>0</v>
      </c>
      <c r="U84">
        <f>SUMIF(RawDataTotal!$B:$B,$A84,RawDataTotal!X:X)</f>
        <v>0</v>
      </c>
      <c r="V84">
        <f>SUMIF(RawDataTotal!$B:$B,$A84,RawDataTotal!Y:Y)</f>
        <v>0</v>
      </c>
      <c r="W84">
        <f>SUMIF(RawDataTotal!$B:$B,$A84,RawDataTotal!Z:Z)</f>
        <v>0</v>
      </c>
      <c r="X84">
        <f>SUMIF(RawDataTotal!$B:$B,$A84,RawDataTotal!AA:AA)</f>
        <v>0</v>
      </c>
      <c r="Y84">
        <f>SUMIF(RawDataTotal!$B:$B,$A84,RawDataTotal!AB:AB)</f>
        <v>0</v>
      </c>
      <c r="Z84">
        <f>SUMIF(RawDataTotal!$B:$B,$A84,RawDataTotal!AC:AC)</f>
        <v>0</v>
      </c>
      <c r="AA84">
        <f>SUMIF(RawDataTotal!$B:$B,$A84,RawDataTotal!AD:AD)</f>
        <v>0</v>
      </c>
      <c r="AB84">
        <f>SUMIF(RawDataTotal!$B:$B,$A84,RawDataTotal!AE:AE)</f>
        <v>0</v>
      </c>
      <c r="AC84">
        <f>SUMIF(RawDataTotal!$B:$B,$A84,RawDataTotal!AF:AF)</f>
        <v>0</v>
      </c>
      <c r="AD84">
        <f>SUMIF(RawDataTotal!$B:$B,$A84,RawDataTotal!AG:AG)</f>
        <v>0</v>
      </c>
      <c r="AE84">
        <f>SUMIF(RawDataTotal!$B:$B,$A84,RawDataTotal!AH:AH)</f>
        <v>0</v>
      </c>
      <c r="AF84">
        <f>SUMIF(RawDataTotal!$B:$B,$A84,RawDataTotal!AI:AI)</f>
        <v>0</v>
      </c>
      <c r="AG84">
        <f>SUMIF(RawDataTotal!$B:$B,$A84,RawDataTotal!AJ:AJ)</f>
        <v>0</v>
      </c>
      <c r="AH84">
        <f>SUMIF(RawDataTotal!$B:$B,$A84,RawDataTotal!AK:AK)</f>
        <v>0</v>
      </c>
      <c r="AI84">
        <f>SUMIF(RawDataTotal!$B:$B,$A84,RawDataTotal!AL:AL)</f>
        <v>0</v>
      </c>
      <c r="AJ84">
        <f>SUMIF(RawDataTotal!$B:$B,$A84,RawDataTotal!AM:AM)</f>
        <v>0</v>
      </c>
      <c r="AK84">
        <f>SUMIF(RawDataTotal!$B:$B,$A84,RawDataTotal!AN:AN)</f>
        <v>0</v>
      </c>
      <c r="AL84">
        <f>SUMIF(RawDataTotal!$B:$B,$A84,RawDataTotal!AO:AO)</f>
        <v>0</v>
      </c>
      <c r="AM84">
        <f>SUMIF(RawDataTotal!$B:$B,$A84,RawDataTotal!AP:AP)</f>
        <v>0</v>
      </c>
      <c r="AN84">
        <f>SUMIF(RawDataTotal!$B:$B,$A84,RawDataTotal!AQ:AQ)</f>
        <v>0</v>
      </c>
      <c r="AO84">
        <f>SUMIF(RawDataTotal!$B:$B,$A84,RawDataTotal!AR:AR)</f>
        <v>0</v>
      </c>
      <c r="AP84">
        <f>SUMIF(RawDataTotal!$B:$B,$A84,RawDataTotal!AS:AS)</f>
        <v>0</v>
      </c>
      <c r="AQ84">
        <f>SUMIF(RawDataTotal!$B:$B,$A84,RawDataTotal!AT:AT)</f>
        <v>0</v>
      </c>
      <c r="AR84">
        <f>SUMIF(RawDataTotal!$B:$B,$A84,RawDataTotal!AU:AU)</f>
        <v>0</v>
      </c>
      <c r="AS84">
        <f>SUMIF(RawDataTotal!$B:$B,$A84,RawDataTotal!AV:AV)</f>
        <v>0</v>
      </c>
      <c r="AT84">
        <f>SUMIF(RawDataTotal!$B:$B,$A84,RawDataTotal!AW:AW)</f>
        <v>0</v>
      </c>
      <c r="AU84">
        <f>SUMIF(RawDataTotal!$B:$B,$A84,RawDataTotal!AX:AX)</f>
        <v>0</v>
      </c>
      <c r="AV84">
        <f>SUMIF(RawDataTotal!$B:$B,$A84,RawDataTotal!AY:AY)</f>
        <v>0</v>
      </c>
      <c r="AW84">
        <f>SUMIF(RawDataTotal!$B:$B,$A84,RawDataTotal!AZ:AZ)</f>
        <v>0</v>
      </c>
      <c r="AX84">
        <f>SUMIF(RawDataTotal!$B:$B,$A84,RawDataTotal!BA:BA)</f>
        <v>0</v>
      </c>
      <c r="AY84">
        <f>SUMIF(RawDataTotal!$B:$B,$A84,RawDataTotal!BB:BB)</f>
        <v>1</v>
      </c>
      <c r="AZ84">
        <f>SUMIF(RawDataTotal!$B:$B,$A84,RawDataTotal!BC:BC)</f>
        <v>2</v>
      </c>
      <c r="BA84">
        <f>SUMIF(RawDataTotal!$B:$B,$A84,RawDataTotal!BD:BD)</f>
        <v>8</v>
      </c>
      <c r="BB84">
        <f>SUMIF(RawDataTotal!$B:$B,$A84,RawDataTotal!BE:BE)</f>
        <v>8</v>
      </c>
      <c r="BC84">
        <f>SUMIF(RawDataTotal!$B:$B,$A84,RawDataTotal!BF:BF)</f>
        <v>10</v>
      </c>
      <c r="BD84">
        <f>SUMIF(RawDataTotal!$B:$B,$A84,RawDataTotal!BG:BG)</f>
        <v>10</v>
      </c>
      <c r="BE84">
        <f>SUMIF(RawDataTotal!$B:$B,$A84,RawDataTotal!BH:BH)</f>
        <v>12</v>
      </c>
      <c r="BF84">
        <f>SUMIF(RawDataTotal!$B:$B,$A84,RawDataTotal!BI:BI)</f>
        <v>0</v>
      </c>
      <c r="BG84">
        <f>SUMIF(RawDataTotal!$B:$B,$A84,RawDataTotal!BJ:BJ)</f>
        <v>0</v>
      </c>
      <c r="BH84">
        <f>SUMIF(RawDataTotal!$B:$B,$A84,RawDataTotal!BK:BK)</f>
        <v>0</v>
      </c>
      <c r="BI84">
        <f>SUMIF(RawDataTotal!$B:$B,$A84,RawDataTotal!BL:BL)</f>
        <v>0</v>
      </c>
      <c r="BJ84">
        <f>SUMIF(RawDataTotal!$B:$B,$A84,RawDataTotal!BM:BM)</f>
        <v>0</v>
      </c>
      <c r="BK84">
        <f>SUMIF(RawDataTotal!$B:$B,$A84,RawDataTotal!BN:BN)</f>
        <v>0</v>
      </c>
      <c r="BL84">
        <f>SUMIF(RawDataTotal!$B:$B,$A84,RawDataTotal!BO:BO)</f>
        <v>0</v>
      </c>
      <c r="BM84">
        <f>SUMIF(RawDataTotal!$B:$B,$A84,RawDataTotal!BP:BP)</f>
        <v>0</v>
      </c>
      <c r="BN84">
        <f>SUMIF(RawDataTotal!$B:$B,$A84,RawDataTotal!BQ:BQ)</f>
        <v>0</v>
      </c>
      <c r="BO84">
        <f>SUMIF(RawDataTotal!$B:$B,$A84,RawDataTotal!BR:BR)</f>
        <v>0</v>
      </c>
      <c r="BP84">
        <f>SUMIF(RawDataTotal!$B:$B,$A84,RawDataTotal!BS:BS)</f>
        <v>0</v>
      </c>
      <c r="BQ84">
        <f>SUMIF(RawDataTotal!$B:$B,$A84,RawDataTotal!BT:BT)</f>
        <v>0</v>
      </c>
      <c r="BR84">
        <f>SUMIF(RawDataTotal!$B:$B,$A84,RawDataTotal!BU:BU)</f>
        <v>0</v>
      </c>
      <c r="BS84">
        <f>SUMIF(RawDataTotal!$B:$B,$A84,RawDataTotal!BV:BV)</f>
        <v>0</v>
      </c>
      <c r="BT84">
        <f>SUMIF(RawDataTotal!$B:$B,$A84,RawDataTotal!BW:BW)</f>
        <v>0</v>
      </c>
    </row>
    <row r="85" spans="1:72" ht="15" thickBot="1" x14ac:dyDescent="0.35">
      <c r="A85" s="3" t="s">
        <v>99</v>
      </c>
      <c r="B85">
        <f>SUMIF(RawDataTotal!$B:$B,$A85,RawDataTotal!E:E)</f>
        <v>0</v>
      </c>
      <c r="C85">
        <f>SUMIF(RawDataTotal!$B:$B,$A85,RawDataTotal!F:F)</f>
        <v>0</v>
      </c>
      <c r="D85">
        <f>SUMIF(RawDataTotal!$B:$B,$A85,RawDataTotal!G:G)</f>
        <v>0</v>
      </c>
      <c r="E85">
        <f>SUMIF(RawDataTotal!$B:$B,$A85,RawDataTotal!H:H)</f>
        <v>0</v>
      </c>
      <c r="F85">
        <f>SUMIF(RawDataTotal!$B:$B,$A85,RawDataTotal!I:I)</f>
        <v>0</v>
      </c>
      <c r="G85">
        <f>SUMIF(RawDataTotal!$B:$B,$A85,RawDataTotal!J:J)</f>
        <v>0</v>
      </c>
      <c r="H85">
        <f>SUMIF(RawDataTotal!$B:$B,$A85,RawDataTotal!K:K)</f>
        <v>0</v>
      </c>
      <c r="I85">
        <f>SUMIF(RawDataTotal!$B:$B,$A85,RawDataTotal!L:L)</f>
        <v>0</v>
      </c>
      <c r="J85">
        <f>SUMIF(RawDataTotal!$B:$B,$A85,RawDataTotal!M:M)</f>
        <v>0</v>
      </c>
      <c r="K85">
        <f>SUMIF(RawDataTotal!$B:$B,$A85,RawDataTotal!N:N)</f>
        <v>0</v>
      </c>
      <c r="L85">
        <f>SUMIF(RawDataTotal!$B:$B,$A85,RawDataTotal!O:O)</f>
        <v>0</v>
      </c>
      <c r="M85">
        <f>SUMIF(RawDataTotal!$B:$B,$A85,RawDataTotal!P:P)</f>
        <v>0</v>
      </c>
      <c r="N85">
        <f>SUMIF(RawDataTotal!$B:$B,$A85,RawDataTotal!Q:Q)</f>
        <v>0</v>
      </c>
      <c r="O85">
        <f>SUMIF(RawDataTotal!$B:$B,$A85,RawDataTotal!R:R)</f>
        <v>0</v>
      </c>
      <c r="P85">
        <f>SUMIF(RawDataTotal!$B:$B,$A85,RawDataTotal!S:S)</f>
        <v>0</v>
      </c>
      <c r="Q85">
        <f>SUMIF(RawDataTotal!$B:$B,$A85,RawDataTotal!T:T)</f>
        <v>0</v>
      </c>
      <c r="R85">
        <f>SUMIF(RawDataTotal!$B:$B,$A85,RawDataTotal!U:U)</f>
        <v>0</v>
      </c>
      <c r="S85">
        <f>SUMIF(RawDataTotal!$B:$B,$A85,RawDataTotal!V:V)</f>
        <v>0</v>
      </c>
      <c r="T85">
        <f>SUMIF(RawDataTotal!$B:$B,$A85,RawDataTotal!W:W)</f>
        <v>0</v>
      </c>
      <c r="U85">
        <f>SUMIF(RawDataTotal!$B:$B,$A85,RawDataTotal!X:X)</f>
        <v>0</v>
      </c>
      <c r="V85">
        <f>SUMIF(RawDataTotal!$B:$B,$A85,RawDataTotal!Y:Y)</f>
        <v>0</v>
      </c>
      <c r="W85">
        <f>SUMIF(RawDataTotal!$B:$B,$A85,RawDataTotal!Z:Z)</f>
        <v>0</v>
      </c>
      <c r="X85">
        <f>SUMIF(RawDataTotal!$B:$B,$A85,RawDataTotal!AA:AA)</f>
        <v>0</v>
      </c>
      <c r="Y85">
        <f>SUMIF(RawDataTotal!$B:$B,$A85,RawDataTotal!AB:AB)</f>
        <v>0</v>
      </c>
      <c r="Z85">
        <f>SUMIF(RawDataTotal!$B:$B,$A85,RawDataTotal!AC:AC)</f>
        <v>0</v>
      </c>
      <c r="AA85">
        <f>SUMIF(RawDataTotal!$B:$B,$A85,RawDataTotal!AD:AD)</f>
        <v>0</v>
      </c>
      <c r="AB85">
        <f>SUMIF(RawDataTotal!$B:$B,$A85,RawDataTotal!AE:AE)</f>
        <v>0</v>
      </c>
      <c r="AC85">
        <f>SUMIF(RawDataTotal!$B:$B,$A85,RawDataTotal!AF:AF)</f>
        <v>0</v>
      </c>
      <c r="AD85">
        <f>SUMIF(RawDataTotal!$B:$B,$A85,RawDataTotal!AG:AG)</f>
        <v>0</v>
      </c>
      <c r="AE85">
        <f>SUMIF(RawDataTotal!$B:$B,$A85,RawDataTotal!AH:AH)</f>
        <v>0</v>
      </c>
      <c r="AF85">
        <f>SUMIF(RawDataTotal!$B:$B,$A85,RawDataTotal!AI:AI)</f>
        <v>0</v>
      </c>
      <c r="AG85">
        <f>SUMIF(RawDataTotal!$B:$B,$A85,RawDataTotal!AJ:AJ)</f>
        <v>0</v>
      </c>
      <c r="AH85">
        <f>SUMIF(RawDataTotal!$B:$B,$A85,RawDataTotal!AK:AK)</f>
        <v>0</v>
      </c>
      <c r="AI85">
        <f>SUMIF(RawDataTotal!$B:$B,$A85,RawDataTotal!AL:AL)</f>
        <v>1</v>
      </c>
      <c r="AJ85">
        <f>SUMIF(RawDataTotal!$B:$B,$A85,RawDataTotal!AM:AM)</f>
        <v>1</v>
      </c>
      <c r="AK85">
        <f>SUMIF(RawDataTotal!$B:$B,$A85,RawDataTotal!AN:AN)</f>
        <v>1</v>
      </c>
      <c r="AL85">
        <f>SUMIF(RawDataTotal!$B:$B,$A85,RawDataTotal!AO:AO)</f>
        <v>1</v>
      </c>
      <c r="AM85">
        <f>SUMIF(RawDataTotal!$B:$B,$A85,RawDataTotal!AP:AP)</f>
        <v>1</v>
      </c>
      <c r="AN85">
        <f>SUMIF(RawDataTotal!$B:$B,$A85,RawDataTotal!AQ:AQ)</f>
        <v>1</v>
      </c>
      <c r="AO85">
        <f>SUMIF(RawDataTotal!$B:$B,$A85,RawDataTotal!AR:AR)</f>
        <v>1</v>
      </c>
      <c r="AP85">
        <f>SUMIF(RawDataTotal!$B:$B,$A85,RawDataTotal!AS:AS)</f>
        <v>1</v>
      </c>
      <c r="AQ85">
        <f>SUMIF(RawDataTotal!$B:$B,$A85,RawDataTotal!AT:AT)</f>
        <v>1</v>
      </c>
      <c r="AR85">
        <f>SUMIF(RawDataTotal!$B:$B,$A85,RawDataTotal!AU:AU)</f>
        <v>1</v>
      </c>
      <c r="AS85">
        <f>SUMIF(RawDataTotal!$B:$B,$A85,RawDataTotal!AV:AV)</f>
        <v>1</v>
      </c>
      <c r="AT85">
        <f>SUMIF(RawDataTotal!$B:$B,$A85,RawDataTotal!AW:AW)</f>
        <v>1</v>
      </c>
      <c r="AU85">
        <f>SUMIF(RawDataTotal!$B:$B,$A85,RawDataTotal!AX:AX)</f>
        <v>1</v>
      </c>
      <c r="AV85">
        <f>SUMIF(RawDataTotal!$B:$B,$A85,RawDataTotal!AY:AY)</f>
        <v>4</v>
      </c>
      <c r="AW85">
        <f>SUMIF(RawDataTotal!$B:$B,$A85,RawDataTotal!AZ:AZ)</f>
        <v>4</v>
      </c>
      <c r="AX85">
        <f>SUMIF(RawDataTotal!$B:$B,$A85,RawDataTotal!BA:BA)</f>
        <v>5</v>
      </c>
      <c r="AY85">
        <f>SUMIF(RawDataTotal!$B:$B,$A85,RawDataTotal!BB:BB)</f>
        <v>7</v>
      </c>
      <c r="AZ85">
        <f>SUMIF(RawDataTotal!$B:$B,$A85,RawDataTotal!BC:BC)</f>
        <v>7</v>
      </c>
      <c r="BA85">
        <f>SUMIF(RawDataTotal!$B:$B,$A85,RawDataTotal!BD:BD)</f>
        <v>7</v>
      </c>
      <c r="BB85">
        <f>SUMIF(RawDataTotal!$B:$B,$A85,RawDataTotal!BE:BE)</f>
        <v>11</v>
      </c>
      <c r="BC85">
        <f>SUMIF(RawDataTotal!$B:$B,$A85,RawDataTotal!BF:BF)</f>
        <v>16</v>
      </c>
      <c r="BD85">
        <f>SUMIF(RawDataTotal!$B:$B,$A85,RawDataTotal!BG:BG)</f>
        <v>21</v>
      </c>
      <c r="BE85">
        <f>SUMIF(RawDataTotal!$B:$B,$A85,RawDataTotal!BH:BH)</f>
        <v>22</v>
      </c>
      <c r="BF85">
        <f>SUMIF(RawDataTotal!$B:$B,$A85,RawDataTotal!BI:BI)</f>
        <v>0</v>
      </c>
      <c r="BG85">
        <f>SUMIF(RawDataTotal!$B:$B,$A85,RawDataTotal!BJ:BJ)</f>
        <v>0</v>
      </c>
      <c r="BH85">
        <f>SUMIF(RawDataTotal!$B:$B,$A85,RawDataTotal!BK:BK)</f>
        <v>0</v>
      </c>
      <c r="BI85">
        <f>SUMIF(RawDataTotal!$B:$B,$A85,RawDataTotal!BL:BL)</f>
        <v>0</v>
      </c>
      <c r="BJ85">
        <f>SUMIF(RawDataTotal!$B:$B,$A85,RawDataTotal!BM:BM)</f>
        <v>0</v>
      </c>
      <c r="BK85">
        <f>SUMIF(RawDataTotal!$B:$B,$A85,RawDataTotal!BN:BN)</f>
        <v>0</v>
      </c>
      <c r="BL85">
        <f>SUMIF(RawDataTotal!$B:$B,$A85,RawDataTotal!BO:BO)</f>
        <v>0</v>
      </c>
      <c r="BM85">
        <f>SUMIF(RawDataTotal!$B:$B,$A85,RawDataTotal!BP:BP)</f>
        <v>0</v>
      </c>
      <c r="BN85">
        <f>SUMIF(RawDataTotal!$B:$B,$A85,RawDataTotal!BQ:BQ)</f>
        <v>0</v>
      </c>
      <c r="BO85">
        <f>SUMIF(RawDataTotal!$B:$B,$A85,RawDataTotal!BR:BR)</f>
        <v>0</v>
      </c>
      <c r="BP85">
        <f>SUMIF(RawDataTotal!$B:$B,$A85,RawDataTotal!BS:BS)</f>
        <v>0</v>
      </c>
      <c r="BQ85">
        <f>SUMIF(RawDataTotal!$B:$B,$A85,RawDataTotal!BT:BT)</f>
        <v>0</v>
      </c>
      <c r="BR85">
        <f>SUMIF(RawDataTotal!$B:$B,$A85,RawDataTotal!BU:BU)</f>
        <v>0</v>
      </c>
      <c r="BS85">
        <f>SUMIF(RawDataTotal!$B:$B,$A85,RawDataTotal!BV:BV)</f>
        <v>0</v>
      </c>
      <c r="BT85">
        <f>SUMIF(RawDataTotal!$B:$B,$A85,RawDataTotal!BW:BW)</f>
        <v>0</v>
      </c>
    </row>
    <row r="86" spans="1:72" ht="15" thickBot="1" x14ac:dyDescent="0.35">
      <c r="A86" s="3" t="s">
        <v>139</v>
      </c>
      <c r="B86">
        <f>SUMIF(RawDataTotal!$B:$B,$A86,RawDataTotal!E:E)</f>
        <v>0</v>
      </c>
      <c r="C86">
        <f>SUMIF(RawDataTotal!$B:$B,$A86,RawDataTotal!F:F)</f>
        <v>0</v>
      </c>
      <c r="D86">
        <f>SUMIF(RawDataTotal!$B:$B,$A86,RawDataTotal!G:G)</f>
        <v>0</v>
      </c>
      <c r="E86">
        <f>SUMIF(RawDataTotal!$B:$B,$A86,RawDataTotal!H:H)</f>
        <v>0</v>
      </c>
      <c r="F86">
        <f>SUMIF(RawDataTotal!$B:$B,$A86,RawDataTotal!I:I)</f>
        <v>0</v>
      </c>
      <c r="G86">
        <f>SUMIF(RawDataTotal!$B:$B,$A86,RawDataTotal!J:J)</f>
        <v>0</v>
      </c>
      <c r="H86">
        <f>SUMIF(RawDataTotal!$B:$B,$A86,RawDataTotal!K:K)</f>
        <v>0</v>
      </c>
      <c r="I86">
        <f>SUMIF(RawDataTotal!$B:$B,$A86,RawDataTotal!L:L)</f>
        <v>0</v>
      </c>
      <c r="J86">
        <f>SUMIF(RawDataTotal!$B:$B,$A86,RawDataTotal!M:M)</f>
        <v>0</v>
      </c>
      <c r="K86">
        <f>SUMIF(RawDataTotal!$B:$B,$A86,RawDataTotal!N:N)</f>
        <v>0</v>
      </c>
      <c r="L86">
        <f>SUMIF(RawDataTotal!$B:$B,$A86,RawDataTotal!O:O)</f>
        <v>0</v>
      </c>
      <c r="M86">
        <f>SUMIF(RawDataTotal!$B:$B,$A86,RawDataTotal!P:P)</f>
        <v>0</v>
      </c>
      <c r="N86">
        <f>SUMIF(RawDataTotal!$B:$B,$A86,RawDataTotal!Q:Q)</f>
        <v>0</v>
      </c>
      <c r="O86">
        <f>SUMIF(RawDataTotal!$B:$B,$A86,RawDataTotal!R:R)</f>
        <v>0</v>
      </c>
      <c r="P86">
        <f>SUMIF(RawDataTotal!$B:$B,$A86,RawDataTotal!S:S)</f>
        <v>0</v>
      </c>
      <c r="Q86">
        <f>SUMIF(RawDataTotal!$B:$B,$A86,RawDataTotal!T:T)</f>
        <v>0</v>
      </c>
      <c r="R86">
        <f>SUMIF(RawDataTotal!$B:$B,$A86,RawDataTotal!U:U)</f>
        <v>0</v>
      </c>
      <c r="S86">
        <f>SUMIF(RawDataTotal!$B:$B,$A86,RawDataTotal!V:V)</f>
        <v>0</v>
      </c>
      <c r="T86">
        <f>SUMIF(RawDataTotal!$B:$B,$A86,RawDataTotal!W:W)</f>
        <v>0</v>
      </c>
      <c r="U86">
        <f>SUMIF(RawDataTotal!$B:$B,$A86,RawDataTotal!X:X)</f>
        <v>0</v>
      </c>
      <c r="V86">
        <f>SUMIF(RawDataTotal!$B:$B,$A86,RawDataTotal!Y:Y)</f>
        <v>0</v>
      </c>
      <c r="W86">
        <f>SUMIF(RawDataTotal!$B:$B,$A86,RawDataTotal!Z:Z)</f>
        <v>0</v>
      </c>
      <c r="X86">
        <f>SUMIF(RawDataTotal!$B:$B,$A86,RawDataTotal!AA:AA)</f>
        <v>0</v>
      </c>
      <c r="Y86">
        <f>SUMIF(RawDataTotal!$B:$B,$A86,RawDataTotal!AB:AB)</f>
        <v>0</v>
      </c>
      <c r="Z86">
        <f>SUMIF(RawDataTotal!$B:$B,$A86,RawDataTotal!AC:AC)</f>
        <v>0</v>
      </c>
      <c r="AA86">
        <f>SUMIF(RawDataTotal!$B:$B,$A86,RawDataTotal!AD:AD)</f>
        <v>0</v>
      </c>
      <c r="AB86">
        <f>SUMIF(RawDataTotal!$B:$B,$A86,RawDataTotal!AE:AE)</f>
        <v>0</v>
      </c>
      <c r="AC86">
        <f>SUMIF(RawDataTotal!$B:$B,$A86,RawDataTotal!AF:AF)</f>
        <v>0</v>
      </c>
      <c r="AD86">
        <f>SUMIF(RawDataTotal!$B:$B,$A86,RawDataTotal!AG:AG)</f>
        <v>0</v>
      </c>
      <c r="AE86">
        <f>SUMIF(RawDataTotal!$B:$B,$A86,RawDataTotal!AH:AH)</f>
        <v>0</v>
      </c>
      <c r="AF86">
        <f>SUMIF(RawDataTotal!$B:$B,$A86,RawDataTotal!AI:AI)</f>
        <v>0</v>
      </c>
      <c r="AG86">
        <f>SUMIF(RawDataTotal!$B:$B,$A86,RawDataTotal!AJ:AJ)</f>
        <v>0</v>
      </c>
      <c r="AH86">
        <f>SUMIF(RawDataTotal!$B:$B,$A86,RawDataTotal!AK:AK)</f>
        <v>0</v>
      </c>
      <c r="AI86">
        <f>SUMIF(RawDataTotal!$B:$B,$A86,RawDataTotal!AL:AL)</f>
        <v>0</v>
      </c>
      <c r="AJ86">
        <f>SUMIF(RawDataTotal!$B:$B,$A86,RawDataTotal!AM:AM)</f>
        <v>0</v>
      </c>
      <c r="AK86">
        <f>SUMIF(RawDataTotal!$B:$B,$A86,RawDataTotal!AN:AN)</f>
        <v>0</v>
      </c>
      <c r="AL86">
        <f>SUMIF(RawDataTotal!$B:$B,$A86,RawDataTotal!AO:AO)</f>
        <v>0</v>
      </c>
      <c r="AM86">
        <f>SUMIF(RawDataTotal!$B:$B,$A86,RawDataTotal!AP:AP)</f>
        <v>0</v>
      </c>
      <c r="AN86">
        <f>SUMIF(RawDataTotal!$B:$B,$A86,RawDataTotal!AQ:AQ)</f>
        <v>0</v>
      </c>
      <c r="AO86">
        <f>SUMIF(RawDataTotal!$B:$B,$A86,RawDataTotal!AR:AR)</f>
        <v>0</v>
      </c>
      <c r="AP86">
        <f>SUMIF(RawDataTotal!$B:$B,$A86,RawDataTotal!AS:AS)</f>
        <v>1</v>
      </c>
      <c r="AQ86">
        <f>SUMIF(RawDataTotal!$B:$B,$A86,RawDataTotal!AT:AT)</f>
        <v>1</v>
      </c>
      <c r="AR86">
        <f>SUMIF(RawDataTotal!$B:$B,$A86,RawDataTotal!AU:AU)</f>
        <v>1</v>
      </c>
      <c r="AS86">
        <f>SUMIF(RawDataTotal!$B:$B,$A86,RawDataTotal!AV:AV)</f>
        <v>2</v>
      </c>
      <c r="AT86">
        <f>SUMIF(RawDataTotal!$B:$B,$A86,RawDataTotal!AW:AW)</f>
        <v>2</v>
      </c>
      <c r="AU86">
        <f>SUMIF(RawDataTotal!$B:$B,$A86,RawDataTotal!AX:AX)</f>
        <v>2</v>
      </c>
      <c r="AV86">
        <f>SUMIF(RawDataTotal!$B:$B,$A86,RawDataTotal!AY:AY)</f>
        <v>2</v>
      </c>
      <c r="AW86">
        <f>SUMIF(RawDataTotal!$B:$B,$A86,RawDataTotal!AZ:AZ)</f>
        <v>2</v>
      </c>
      <c r="AX86">
        <f>SUMIF(RawDataTotal!$B:$B,$A86,RawDataTotal!BA:BA)</f>
        <v>3</v>
      </c>
      <c r="AY86">
        <f>SUMIF(RawDataTotal!$B:$B,$A86,RawDataTotal!BB:BB)</f>
        <v>5</v>
      </c>
      <c r="AZ86">
        <f>SUMIF(RawDataTotal!$B:$B,$A86,RawDataTotal!BC:BC)</f>
        <v>6</v>
      </c>
      <c r="BA86">
        <f>SUMIF(RawDataTotal!$B:$B,$A86,RawDataTotal!BD:BD)</f>
        <v>7</v>
      </c>
      <c r="BB86">
        <f>SUMIF(RawDataTotal!$B:$B,$A86,RawDataTotal!BE:BE)</f>
        <v>17</v>
      </c>
      <c r="BC86">
        <f>SUMIF(RawDataTotal!$B:$B,$A86,RawDataTotal!BF:BF)</f>
        <v>28</v>
      </c>
      <c r="BD86">
        <f>SUMIF(RawDataTotal!$B:$B,$A86,RawDataTotal!BG:BG)</f>
        <v>29</v>
      </c>
      <c r="BE86">
        <f>SUMIF(RawDataTotal!$B:$B,$A86,RawDataTotal!BH:BH)</f>
        <v>38</v>
      </c>
      <c r="BF86">
        <f>SUMIF(RawDataTotal!$B:$B,$A86,RawDataTotal!BI:BI)</f>
        <v>0</v>
      </c>
      <c r="BG86">
        <f>SUMIF(RawDataTotal!$B:$B,$A86,RawDataTotal!BJ:BJ)</f>
        <v>0</v>
      </c>
      <c r="BH86">
        <f>SUMIF(RawDataTotal!$B:$B,$A86,RawDataTotal!BK:BK)</f>
        <v>0</v>
      </c>
      <c r="BI86">
        <f>SUMIF(RawDataTotal!$B:$B,$A86,RawDataTotal!BL:BL)</f>
        <v>0</v>
      </c>
      <c r="BJ86">
        <f>SUMIF(RawDataTotal!$B:$B,$A86,RawDataTotal!BM:BM)</f>
        <v>0</v>
      </c>
      <c r="BK86">
        <f>SUMIF(RawDataTotal!$B:$B,$A86,RawDataTotal!BN:BN)</f>
        <v>0</v>
      </c>
      <c r="BL86">
        <f>SUMIF(RawDataTotal!$B:$B,$A86,RawDataTotal!BO:BO)</f>
        <v>0</v>
      </c>
      <c r="BM86">
        <f>SUMIF(RawDataTotal!$B:$B,$A86,RawDataTotal!BP:BP)</f>
        <v>0</v>
      </c>
      <c r="BN86">
        <f>SUMIF(RawDataTotal!$B:$B,$A86,RawDataTotal!BQ:BQ)</f>
        <v>0</v>
      </c>
      <c r="BO86">
        <f>SUMIF(RawDataTotal!$B:$B,$A86,RawDataTotal!BR:BR)</f>
        <v>0</v>
      </c>
      <c r="BP86">
        <f>SUMIF(RawDataTotal!$B:$B,$A86,RawDataTotal!BS:BS)</f>
        <v>0</v>
      </c>
      <c r="BQ86">
        <f>SUMIF(RawDataTotal!$B:$B,$A86,RawDataTotal!BT:BT)</f>
        <v>0</v>
      </c>
      <c r="BR86">
        <f>SUMIF(RawDataTotal!$B:$B,$A86,RawDataTotal!BU:BU)</f>
        <v>0</v>
      </c>
      <c r="BS86">
        <f>SUMIF(RawDataTotal!$B:$B,$A86,RawDataTotal!BV:BV)</f>
        <v>0</v>
      </c>
      <c r="BT86">
        <f>SUMIF(RawDataTotal!$B:$B,$A86,RawDataTotal!BW:BW)</f>
        <v>0</v>
      </c>
    </row>
    <row r="87" spans="1:72" ht="15" thickBot="1" x14ac:dyDescent="0.35">
      <c r="A87" s="3" t="s">
        <v>120</v>
      </c>
      <c r="B87">
        <f>SUMIF(RawDataTotal!$B:$B,$A87,RawDataTotal!E:E)</f>
        <v>0</v>
      </c>
      <c r="C87">
        <f>SUMIF(RawDataTotal!$B:$B,$A87,RawDataTotal!F:F)</f>
        <v>0</v>
      </c>
      <c r="D87">
        <f>SUMIF(RawDataTotal!$B:$B,$A87,RawDataTotal!G:G)</f>
        <v>0</v>
      </c>
      <c r="E87">
        <f>SUMIF(RawDataTotal!$B:$B,$A87,RawDataTotal!H:H)</f>
        <v>0</v>
      </c>
      <c r="F87">
        <f>SUMIF(RawDataTotal!$B:$B,$A87,RawDataTotal!I:I)</f>
        <v>0</v>
      </c>
      <c r="G87">
        <f>SUMIF(RawDataTotal!$B:$B,$A87,RawDataTotal!J:J)</f>
        <v>0</v>
      </c>
      <c r="H87">
        <f>SUMIF(RawDataTotal!$B:$B,$A87,RawDataTotal!K:K)</f>
        <v>0</v>
      </c>
      <c r="I87">
        <f>SUMIF(RawDataTotal!$B:$B,$A87,RawDataTotal!L:L)</f>
        <v>0</v>
      </c>
      <c r="J87">
        <f>SUMIF(RawDataTotal!$B:$B,$A87,RawDataTotal!M:M)</f>
        <v>0</v>
      </c>
      <c r="K87">
        <f>SUMIF(RawDataTotal!$B:$B,$A87,RawDataTotal!N:N)</f>
        <v>0</v>
      </c>
      <c r="L87">
        <f>SUMIF(RawDataTotal!$B:$B,$A87,RawDataTotal!O:O)</f>
        <v>0</v>
      </c>
      <c r="M87">
        <f>SUMIF(RawDataTotal!$B:$B,$A87,RawDataTotal!P:P)</f>
        <v>0</v>
      </c>
      <c r="N87">
        <f>SUMIF(RawDataTotal!$B:$B,$A87,RawDataTotal!Q:Q)</f>
        <v>0</v>
      </c>
      <c r="O87">
        <f>SUMIF(RawDataTotal!$B:$B,$A87,RawDataTotal!R:R)</f>
        <v>0</v>
      </c>
      <c r="P87">
        <f>SUMIF(RawDataTotal!$B:$B,$A87,RawDataTotal!S:S)</f>
        <v>0</v>
      </c>
      <c r="Q87">
        <f>SUMIF(RawDataTotal!$B:$B,$A87,RawDataTotal!T:T)</f>
        <v>0</v>
      </c>
      <c r="R87">
        <f>SUMIF(RawDataTotal!$B:$B,$A87,RawDataTotal!U:U)</f>
        <v>0</v>
      </c>
      <c r="S87">
        <f>SUMIF(RawDataTotal!$B:$B,$A87,RawDataTotal!V:V)</f>
        <v>0</v>
      </c>
      <c r="T87">
        <f>SUMIF(RawDataTotal!$B:$B,$A87,RawDataTotal!W:W)</f>
        <v>0</v>
      </c>
      <c r="U87">
        <f>SUMIF(RawDataTotal!$B:$B,$A87,RawDataTotal!X:X)</f>
        <v>0</v>
      </c>
      <c r="V87">
        <f>SUMIF(RawDataTotal!$B:$B,$A87,RawDataTotal!Y:Y)</f>
        <v>0</v>
      </c>
      <c r="W87">
        <f>SUMIF(RawDataTotal!$B:$B,$A87,RawDataTotal!Z:Z)</f>
        <v>0</v>
      </c>
      <c r="X87">
        <f>SUMIF(RawDataTotal!$B:$B,$A87,RawDataTotal!AA:AA)</f>
        <v>0</v>
      </c>
      <c r="Y87">
        <f>SUMIF(RawDataTotal!$B:$B,$A87,RawDataTotal!AB:AB)</f>
        <v>0</v>
      </c>
      <c r="Z87">
        <f>SUMIF(RawDataTotal!$B:$B,$A87,RawDataTotal!AC:AC)</f>
        <v>0</v>
      </c>
      <c r="AA87">
        <f>SUMIF(RawDataTotal!$B:$B,$A87,RawDataTotal!AD:AD)</f>
        <v>0</v>
      </c>
      <c r="AB87">
        <f>SUMIF(RawDataTotal!$B:$B,$A87,RawDataTotal!AE:AE)</f>
        <v>0</v>
      </c>
      <c r="AC87">
        <f>SUMIF(RawDataTotal!$B:$B,$A87,RawDataTotal!AF:AF)</f>
        <v>0</v>
      </c>
      <c r="AD87">
        <f>SUMIF(RawDataTotal!$B:$B,$A87,RawDataTotal!AG:AG)</f>
        <v>0</v>
      </c>
      <c r="AE87">
        <f>SUMIF(RawDataTotal!$B:$B,$A87,RawDataTotal!AH:AH)</f>
        <v>0</v>
      </c>
      <c r="AF87">
        <f>SUMIF(RawDataTotal!$B:$B,$A87,RawDataTotal!AI:AI)</f>
        <v>0</v>
      </c>
      <c r="AG87">
        <f>SUMIF(RawDataTotal!$B:$B,$A87,RawDataTotal!AJ:AJ)</f>
        <v>0</v>
      </c>
      <c r="AH87">
        <f>SUMIF(RawDataTotal!$B:$B,$A87,RawDataTotal!AK:AK)</f>
        <v>0</v>
      </c>
      <c r="AI87">
        <f>SUMIF(RawDataTotal!$B:$B,$A87,RawDataTotal!AL:AL)</f>
        <v>0</v>
      </c>
      <c r="AJ87">
        <f>SUMIF(RawDataTotal!$B:$B,$A87,RawDataTotal!AM:AM)</f>
        <v>0</v>
      </c>
      <c r="AK87">
        <f>SUMIF(RawDataTotal!$B:$B,$A87,RawDataTotal!AN:AN)</f>
        <v>0</v>
      </c>
      <c r="AL87">
        <f>SUMIF(RawDataTotal!$B:$B,$A87,RawDataTotal!AO:AO)</f>
        <v>0</v>
      </c>
      <c r="AM87">
        <f>SUMIF(RawDataTotal!$B:$B,$A87,RawDataTotal!AP:AP)</f>
        <v>1</v>
      </c>
      <c r="AN87">
        <f>SUMIF(RawDataTotal!$B:$B,$A87,RawDataTotal!AQ:AQ)</f>
        <v>1</v>
      </c>
      <c r="AO87">
        <f>SUMIF(RawDataTotal!$B:$B,$A87,RawDataTotal!AR:AR)</f>
        <v>1</v>
      </c>
      <c r="AP87">
        <f>SUMIF(RawDataTotal!$B:$B,$A87,RawDataTotal!AS:AS)</f>
        <v>1</v>
      </c>
      <c r="AQ87">
        <f>SUMIF(RawDataTotal!$B:$B,$A87,RawDataTotal!AT:AT)</f>
        <v>1</v>
      </c>
      <c r="AR87">
        <f>SUMIF(RawDataTotal!$B:$B,$A87,RawDataTotal!AU:AU)</f>
        <v>1</v>
      </c>
      <c r="AS87">
        <f>SUMIF(RawDataTotal!$B:$B,$A87,RawDataTotal!AV:AV)</f>
        <v>1</v>
      </c>
      <c r="AT87">
        <f>SUMIF(RawDataTotal!$B:$B,$A87,RawDataTotal!AW:AW)</f>
        <v>1</v>
      </c>
      <c r="AU87">
        <f>SUMIF(RawDataTotal!$B:$B,$A87,RawDataTotal!AX:AX)</f>
        <v>1</v>
      </c>
      <c r="AV87">
        <f>SUMIF(RawDataTotal!$B:$B,$A87,RawDataTotal!AY:AY)</f>
        <v>1</v>
      </c>
      <c r="AW87">
        <f>SUMIF(RawDataTotal!$B:$B,$A87,RawDataTotal!AZ:AZ)</f>
        <v>1</v>
      </c>
      <c r="AX87">
        <f>SUMIF(RawDataTotal!$B:$B,$A87,RawDataTotal!BA:BA)</f>
        <v>1</v>
      </c>
      <c r="AY87">
        <f>SUMIF(RawDataTotal!$B:$B,$A87,RawDataTotal!BB:BB)</f>
        <v>3</v>
      </c>
      <c r="AZ87">
        <f>SUMIF(RawDataTotal!$B:$B,$A87,RawDataTotal!BC:BC)</f>
        <v>3</v>
      </c>
      <c r="BA87">
        <f>SUMIF(RawDataTotal!$B:$B,$A87,RawDataTotal!BD:BD)</f>
        <v>6</v>
      </c>
      <c r="BB87">
        <f>SUMIF(RawDataTotal!$B:$B,$A87,RawDataTotal!BE:BE)</f>
        <v>8</v>
      </c>
      <c r="BC87">
        <f>SUMIF(RawDataTotal!$B:$B,$A87,RawDataTotal!BF:BF)</f>
        <v>12</v>
      </c>
      <c r="BD87">
        <f>SUMIF(RawDataTotal!$B:$B,$A87,RawDataTotal!BG:BG)</f>
        <v>17</v>
      </c>
      <c r="BE87">
        <f>SUMIF(RawDataTotal!$B:$B,$A87,RawDataTotal!BH:BH)</f>
        <v>25</v>
      </c>
      <c r="BF87">
        <f>SUMIF(RawDataTotal!$B:$B,$A87,RawDataTotal!BI:BI)</f>
        <v>0</v>
      </c>
      <c r="BG87">
        <f>SUMIF(RawDataTotal!$B:$B,$A87,RawDataTotal!BJ:BJ)</f>
        <v>0</v>
      </c>
      <c r="BH87">
        <f>SUMIF(RawDataTotal!$B:$B,$A87,RawDataTotal!BK:BK)</f>
        <v>0</v>
      </c>
      <c r="BI87">
        <f>SUMIF(RawDataTotal!$B:$B,$A87,RawDataTotal!BL:BL)</f>
        <v>0</v>
      </c>
      <c r="BJ87">
        <f>SUMIF(RawDataTotal!$B:$B,$A87,RawDataTotal!BM:BM)</f>
        <v>0</v>
      </c>
      <c r="BK87">
        <f>SUMIF(RawDataTotal!$B:$B,$A87,RawDataTotal!BN:BN)</f>
        <v>0</v>
      </c>
      <c r="BL87">
        <f>SUMIF(RawDataTotal!$B:$B,$A87,RawDataTotal!BO:BO)</f>
        <v>0</v>
      </c>
      <c r="BM87">
        <f>SUMIF(RawDataTotal!$B:$B,$A87,RawDataTotal!BP:BP)</f>
        <v>0</v>
      </c>
      <c r="BN87">
        <f>SUMIF(RawDataTotal!$B:$B,$A87,RawDataTotal!BQ:BQ)</f>
        <v>0</v>
      </c>
      <c r="BO87">
        <f>SUMIF(RawDataTotal!$B:$B,$A87,RawDataTotal!BR:BR)</f>
        <v>0</v>
      </c>
      <c r="BP87">
        <f>SUMIF(RawDataTotal!$B:$B,$A87,RawDataTotal!BS:BS)</f>
        <v>0</v>
      </c>
      <c r="BQ87">
        <f>SUMIF(RawDataTotal!$B:$B,$A87,RawDataTotal!BT:BT)</f>
        <v>0</v>
      </c>
      <c r="BR87">
        <f>SUMIF(RawDataTotal!$B:$B,$A87,RawDataTotal!BU:BU)</f>
        <v>0</v>
      </c>
      <c r="BS87">
        <f>SUMIF(RawDataTotal!$B:$B,$A87,RawDataTotal!BV:BV)</f>
        <v>0</v>
      </c>
      <c r="BT87">
        <f>SUMIF(RawDataTotal!$B:$B,$A87,RawDataTotal!BW:BW)</f>
        <v>0</v>
      </c>
    </row>
    <row r="88" spans="1:72" ht="15" thickBot="1" x14ac:dyDescent="0.35">
      <c r="A88" s="4" t="s">
        <v>373</v>
      </c>
      <c r="B88">
        <f>SUMIF(RawDataTotal!$B:$B,$A88,RawDataTotal!E:E)</f>
        <v>0</v>
      </c>
      <c r="C88">
        <f>SUMIF(RawDataTotal!$B:$B,$A88,RawDataTotal!F:F)</f>
        <v>0</v>
      </c>
      <c r="D88">
        <f>SUMIF(RawDataTotal!$B:$B,$A88,RawDataTotal!G:G)</f>
        <v>0</v>
      </c>
      <c r="E88">
        <f>SUMIF(RawDataTotal!$B:$B,$A88,RawDataTotal!H:H)</f>
        <v>0</v>
      </c>
      <c r="F88">
        <f>SUMIF(RawDataTotal!$B:$B,$A88,RawDataTotal!I:I)</f>
        <v>0</v>
      </c>
      <c r="G88">
        <f>SUMIF(RawDataTotal!$B:$B,$A88,RawDataTotal!J:J)</f>
        <v>0</v>
      </c>
      <c r="H88">
        <f>SUMIF(RawDataTotal!$B:$B,$A88,RawDataTotal!K:K)</f>
        <v>0</v>
      </c>
      <c r="I88">
        <f>SUMIF(RawDataTotal!$B:$B,$A88,RawDataTotal!L:L)</f>
        <v>0</v>
      </c>
      <c r="J88">
        <f>SUMIF(RawDataTotal!$B:$B,$A88,RawDataTotal!M:M)</f>
        <v>0</v>
      </c>
      <c r="K88">
        <f>SUMIF(RawDataTotal!$B:$B,$A88,RawDataTotal!N:N)</f>
        <v>0</v>
      </c>
      <c r="L88">
        <f>SUMIF(RawDataTotal!$B:$B,$A88,RawDataTotal!O:O)</f>
        <v>0</v>
      </c>
      <c r="M88">
        <f>SUMIF(RawDataTotal!$B:$B,$A88,RawDataTotal!P:P)</f>
        <v>0</v>
      </c>
      <c r="N88">
        <f>SUMIF(RawDataTotal!$B:$B,$A88,RawDataTotal!Q:Q)</f>
        <v>0</v>
      </c>
      <c r="O88">
        <f>SUMIF(RawDataTotal!$B:$B,$A88,RawDataTotal!R:R)</f>
        <v>0</v>
      </c>
      <c r="P88">
        <f>SUMIF(RawDataTotal!$B:$B,$A88,RawDataTotal!S:S)</f>
        <v>0</v>
      </c>
      <c r="Q88">
        <f>SUMIF(RawDataTotal!$B:$B,$A88,RawDataTotal!T:T)</f>
        <v>0</v>
      </c>
      <c r="R88">
        <f>SUMIF(RawDataTotal!$B:$B,$A88,RawDataTotal!U:U)</f>
        <v>0</v>
      </c>
      <c r="S88">
        <f>SUMIF(RawDataTotal!$B:$B,$A88,RawDataTotal!V:V)</f>
        <v>0</v>
      </c>
      <c r="T88">
        <f>SUMIF(RawDataTotal!$B:$B,$A88,RawDataTotal!W:W)</f>
        <v>0</v>
      </c>
      <c r="U88">
        <f>SUMIF(RawDataTotal!$B:$B,$A88,RawDataTotal!X:X)</f>
        <v>0</v>
      </c>
      <c r="V88">
        <f>SUMIF(RawDataTotal!$B:$B,$A88,RawDataTotal!Y:Y)</f>
        <v>0</v>
      </c>
      <c r="W88">
        <f>SUMIF(RawDataTotal!$B:$B,$A88,RawDataTotal!Z:Z)</f>
        <v>0</v>
      </c>
      <c r="X88">
        <f>SUMIF(RawDataTotal!$B:$B,$A88,RawDataTotal!AA:AA)</f>
        <v>0</v>
      </c>
      <c r="Y88">
        <f>SUMIF(RawDataTotal!$B:$B,$A88,RawDataTotal!AB:AB)</f>
        <v>0</v>
      </c>
      <c r="Z88">
        <f>SUMIF(RawDataTotal!$B:$B,$A88,RawDataTotal!AC:AC)</f>
        <v>0</v>
      </c>
      <c r="AA88">
        <f>SUMIF(RawDataTotal!$B:$B,$A88,RawDataTotal!AD:AD)</f>
        <v>0</v>
      </c>
      <c r="AB88">
        <f>SUMIF(RawDataTotal!$B:$B,$A88,RawDataTotal!AE:AE)</f>
        <v>0</v>
      </c>
      <c r="AC88">
        <f>SUMIF(RawDataTotal!$B:$B,$A88,RawDataTotal!AF:AF)</f>
        <v>0</v>
      </c>
      <c r="AD88">
        <f>SUMIF(RawDataTotal!$B:$B,$A88,RawDataTotal!AG:AG)</f>
        <v>0</v>
      </c>
      <c r="AE88">
        <f>SUMIF(RawDataTotal!$B:$B,$A88,RawDataTotal!AH:AH)</f>
        <v>0</v>
      </c>
      <c r="AF88">
        <f>SUMIF(RawDataTotal!$B:$B,$A88,RawDataTotal!AI:AI)</f>
        <v>0</v>
      </c>
      <c r="AG88">
        <f>SUMIF(RawDataTotal!$B:$B,$A88,RawDataTotal!AJ:AJ)</f>
        <v>0</v>
      </c>
      <c r="AH88">
        <f>SUMIF(RawDataTotal!$B:$B,$A88,RawDataTotal!AK:AK)</f>
        <v>0</v>
      </c>
      <c r="AI88">
        <f>SUMIF(RawDataTotal!$B:$B,$A88,RawDataTotal!AL:AL)</f>
        <v>0</v>
      </c>
      <c r="AJ88">
        <f>SUMIF(RawDataTotal!$B:$B,$A88,RawDataTotal!AM:AM)</f>
        <v>0</v>
      </c>
      <c r="AK88">
        <f>SUMIF(RawDataTotal!$B:$B,$A88,RawDataTotal!AN:AN)</f>
        <v>0</v>
      </c>
      <c r="AL88">
        <f>SUMIF(RawDataTotal!$B:$B,$A88,RawDataTotal!AO:AO)</f>
        <v>0</v>
      </c>
      <c r="AM88">
        <f>SUMIF(RawDataTotal!$B:$B,$A88,RawDataTotal!AP:AP)</f>
        <v>0</v>
      </c>
      <c r="AN88">
        <f>SUMIF(RawDataTotal!$B:$B,$A88,RawDataTotal!AQ:AQ)</f>
        <v>0</v>
      </c>
      <c r="AO88">
        <f>SUMIF(RawDataTotal!$B:$B,$A88,RawDataTotal!AR:AR)</f>
        <v>0</v>
      </c>
      <c r="AP88">
        <f>SUMIF(RawDataTotal!$B:$B,$A88,RawDataTotal!AS:AS)</f>
        <v>0</v>
      </c>
      <c r="AQ88">
        <f>SUMIF(RawDataTotal!$B:$B,$A88,RawDataTotal!AT:AT)</f>
        <v>0</v>
      </c>
      <c r="AR88">
        <f>SUMIF(RawDataTotal!$B:$B,$A88,RawDataTotal!AU:AU)</f>
        <v>0</v>
      </c>
      <c r="AS88">
        <f>SUMIF(RawDataTotal!$B:$B,$A88,RawDataTotal!AV:AV)</f>
        <v>0</v>
      </c>
      <c r="AT88">
        <f>SUMIF(RawDataTotal!$B:$B,$A88,RawDataTotal!AW:AW)</f>
        <v>0</v>
      </c>
      <c r="AU88">
        <f>SUMIF(RawDataTotal!$B:$B,$A88,RawDataTotal!AX:AX)</f>
        <v>0</v>
      </c>
      <c r="AV88">
        <f>SUMIF(RawDataTotal!$B:$B,$A88,RawDataTotal!AY:AY)</f>
        <v>1</v>
      </c>
      <c r="AW88">
        <f>SUMIF(RawDataTotal!$B:$B,$A88,RawDataTotal!AZ:AZ)</f>
        <v>1</v>
      </c>
      <c r="AX88">
        <f>SUMIF(RawDataTotal!$B:$B,$A88,RawDataTotal!BA:BA)</f>
        <v>3</v>
      </c>
      <c r="AY88">
        <f>SUMIF(RawDataTotal!$B:$B,$A88,RawDataTotal!BB:BB)</f>
        <v>3</v>
      </c>
      <c r="AZ88">
        <f>SUMIF(RawDataTotal!$B:$B,$A88,RawDataTotal!BC:BC)</f>
        <v>3</v>
      </c>
      <c r="BA88">
        <f>SUMIF(RawDataTotal!$B:$B,$A88,RawDataTotal!BD:BD)</f>
        <v>6</v>
      </c>
      <c r="BB88">
        <f>SUMIF(RawDataTotal!$B:$B,$A88,RawDataTotal!BE:BE)</f>
        <v>12</v>
      </c>
      <c r="BC88">
        <f>SUMIF(RawDataTotal!$B:$B,$A88,RawDataTotal!BF:BF)</f>
        <v>23</v>
      </c>
      <c r="BD88">
        <f>SUMIF(RawDataTotal!$B:$B,$A88,RawDataTotal!BG:BG)</f>
        <v>23</v>
      </c>
      <c r="BE88">
        <f>SUMIF(RawDataTotal!$B:$B,$A88,RawDataTotal!BH:BH)</f>
        <v>30</v>
      </c>
      <c r="BF88">
        <f>SUMIF(RawDataTotal!$B:$B,$A88,RawDataTotal!BI:BI)</f>
        <v>0</v>
      </c>
      <c r="BG88">
        <f>SUMIF(RawDataTotal!$B:$B,$A88,RawDataTotal!BJ:BJ)</f>
        <v>0</v>
      </c>
      <c r="BH88">
        <f>SUMIF(RawDataTotal!$B:$B,$A88,RawDataTotal!BK:BK)</f>
        <v>0</v>
      </c>
      <c r="BI88">
        <f>SUMIF(RawDataTotal!$B:$B,$A88,RawDataTotal!BL:BL)</f>
        <v>0</v>
      </c>
      <c r="BJ88">
        <f>SUMIF(RawDataTotal!$B:$B,$A88,RawDataTotal!BM:BM)</f>
        <v>0</v>
      </c>
      <c r="BK88">
        <f>SUMIF(RawDataTotal!$B:$B,$A88,RawDataTotal!BN:BN)</f>
        <v>0</v>
      </c>
      <c r="BL88">
        <f>SUMIF(RawDataTotal!$B:$B,$A88,RawDataTotal!BO:BO)</f>
        <v>0</v>
      </c>
      <c r="BM88">
        <f>SUMIF(RawDataTotal!$B:$B,$A88,RawDataTotal!BP:BP)</f>
        <v>0</v>
      </c>
      <c r="BN88">
        <f>SUMIF(RawDataTotal!$B:$B,$A88,RawDataTotal!BQ:BQ)</f>
        <v>0</v>
      </c>
      <c r="BO88">
        <f>SUMIF(RawDataTotal!$B:$B,$A88,RawDataTotal!BR:BR)</f>
        <v>0</v>
      </c>
      <c r="BP88">
        <f>SUMIF(RawDataTotal!$B:$B,$A88,RawDataTotal!BS:BS)</f>
        <v>0</v>
      </c>
      <c r="BQ88">
        <f>SUMIF(RawDataTotal!$B:$B,$A88,RawDataTotal!BT:BT)</f>
        <v>0</v>
      </c>
      <c r="BR88">
        <f>SUMIF(RawDataTotal!$B:$B,$A88,RawDataTotal!BU:BU)</f>
        <v>0</v>
      </c>
      <c r="BS88">
        <f>SUMIF(RawDataTotal!$B:$B,$A88,RawDataTotal!BV:BV)</f>
        <v>0</v>
      </c>
      <c r="BT88">
        <f>SUMIF(RawDataTotal!$B:$B,$A88,RawDataTotal!BW:BW)</f>
        <v>0</v>
      </c>
    </row>
    <row r="89" spans="1:72" ht="15" thickBot="1" x14ac:dyDescent="0.35">
      <c r="A89" s="4" t="s">
        <v>233</v>
      </c>
      <c r="B89">
        <f>SUMIF(RawDataTotal!$B:$B,$A89,RawDataTotal!E:E)</f>
        <v>0</v>
      </c>
      <c r="C89">
        <f>SUMIF(RawDataTotal!$B:$B,$A89,RawDataTotal!F:F)</f>
        <v>0</v>
      </c>
      <c r="D89">
        <f>SUMIF(RawDataTotal!$B:$B,$A89,RawDataTotal!G:G)</f>
        <v>0</v>
      </c>
      <c r="E89">
        <f>SUMIF(RawDataTotal!$B:$B,$A89,RawDataTotal!H:H)</f>
        <v>0</v>
      </c>
      <c r="F89">
        <f>SUMIF(RawDataTotal!$B:$B,$A89,RawDataTotal!I:I)</f>
        <v>0</v>
      </c>
      <c r="G89">
        <f>SUMIF(RawDataTotal!$B:$B,$A89,RawDataTotal!J:J)</f>
        <v>0</v>
      </c>
      <c r="H89">
        <f>SUMIF(RawDataTotal!$B:$B,$A89,RawDataTotal!K:K)</f>
        <v>0</v>
      </c>
      <c r="I89">
        <f>SUMIF(RawDataTotal!$B:$B,$A89,RawDataTotal!L:L)</f>
        <v>0</v>
      </c>
      <c r="J89">
        <f>SUMIF(RawDataTotal!$B:$B,$A89,RawDataTotal!M:M)</f>
        <v>0</v>
      </c>
      <c r="K89">
        <f>SUMIF(RawDataTotal!$B:$B,$A89,RawDataTotal!N:N)</f>
        <v>0</v>
      </c>
      <c r="L89">
        <f>SUMIF(RawDataTotal!$B:$B,$A89,RawDataTotal!O:O)</f>
        <v>0</v>
      </c>
      <c r="M89">
        <f>SUMIF(RawDataTotal!$B:$B,$A89,RawDataTotal!P:P)</f>
        <v>0</v>
      </c>
      <c r="N89">
        <f>SUMIF(RawDataTotal!$B:$B,$A89,RawDataTotal!Q:Q)</f>
        <v>0</v>
      </c>
      <c r="O89">
        <f>SUMIF(RawDataTotal!$B:$B,$A89,RawDataTotal!R:R)</f>
        <v>0</v>
      </c>
      <c r="P89">
        <f>SUMIF(RawDataTotal!$B:$B,$A89,RawDataTotal!S:S)</f>
        <v>0</v>
      </c>
      <c r="Q89">
        <f>SUMIF(RawDataTotal!$B:$B,$A89,RawDataTotal!T:T)</f>
        <v>0</v>
      </c>
      <c r="R89">
        <f>SUMIF(RawDataTotal!$B:$B,$A89,RawDataTotal!U:U)</f>
        <v>0</v>
      </c>
      <c r="S89">
        <f>SUMIF(RawDataTotal!$B:$B,$A89,RawDataTotal!V:V)</f>
        <v>0</v>
      </c>
      <c r="T89">
        <f>SUMIF(RawDataTotal!$B:$B,$A89,RawDataTotal!W:W)</f>
        <v>0</v>
      </c>
      <c r="U89">
        <f>SUMIF(RawDataTotal!$B:$B,$A89,RawDataTotal!X:X)</f>
        <v>0</v>
      </c>
      <c r="V89">
        <f>SUMIF(RawDataTotal!$B:$B,$A89,RawDataTotal!Y:Y)</f>
        <v>0</v>
      </c>
      <c r="W89">
        <f>SUMIF(RawDataTotal!$B:$B,$A89,RawDataTotal!Z:Z)</f>
        <v>0</v>
      </c>
      <c r="X89">
        <f>SUMIF(RawDataTotal!$B:$B,$A89,RawDataTotal!AA:AA)</f>
        <v>0</v>
      </c>
      <c r="Y89">
        <f>SUMIF(RawDataTotal!$B:$B,$A89,RawDataTotal!AB:AB)</f>
        <v>0</v>
      </c>
      <c r="Z89">
        <f>SUMIF(RawDataTotal!$B:$B,$A89,RawDataTotal!AC:AC)</f>
        <v>0</v>
      </c>
      <c r="AA89">
        <f>SUMIF(RawDataTotal!$B:$B,$A89,RawDataTotal!AD:AD)</f>
        <v>0</v>
      </c>
      <c r="AB89">
        <f>SUMIF(RawDataTotal!$B:$B,$A89,RawDataTotal!AE:AE)</f>
        <v>0</v>
      </c>
      <c r="AC89">
        <f>SUMIF(RawDataTotal!$B:$B,$A89,RawDataTotal!AF:AF)</f>
        <v>0</v>
      </c>
      <c r="AD89">
        <f>SUMIF(RawDataTotal!$B:$B,$A89,RawDataTotal!AG:AG)</f>
        <v>0</v>
      </c>
      <c r="AE89">
        <f>SUMIF(RawDataTotal!$B:$B,$A89,RawDataTotal!AH:AH)</f>
        <v>0</v>
      </c>
      <c r="AF89">
        <f>SUMIF(RawDataTotal!$B:$B,$A89,RawDataTotal!AI:AI)</f>
        <v>0</v>
      </c>
      <c r="AG89">
        <f>SUMIF(RawDataTotal!$B:$B,$A89,RawDataTotal!AJ:AJ)</f>
        <v>0</v>
      </c>
      <c r="AH89">
        <f>SUMIF(RawDataTotal!$B:$B,$A89,RawDataTotal!AK:AK)</f>
        <v>0</v>
      </c>
      <c r="AI89">
        <f>SUMIF(RawDataTotal!$B:$B,$A89,RawDataTotal!AL:AL)</f>
        <v>0</v>
      </c>
      <c r="AJ89">
        <f>SUMIF(RawDataTotal!$B:$B,$A89,RawDataTotal!AM:AM)</f>
        <v>0</v>
      </c>
      <c r="AK89">
        <f>SUMIF(RawDataTotal!$B:$B,$A89,RawDataTotal!AN:AN)</f>
        <v>0</v>
      </c>
      <c r="AL89">
        <f>SUMIF(RawDataTotal!$B:$B,$A89,RawDataTotal!AO:AO)</f>
        <v>0</v>
      </c>
      <c r="AM89">
        <f>SUMIF(RawDataTotal!$B:$B,$A89,RawDataTotal!AP:AP)</f>
        <v>0</v>
      </c>
      <c r="AN89">
        <f>SUMIF(RawDataTotal!$B:$B,$A89,RawDataTotal!AQ:AQ)</f>
        <v>0</v>
      </c>
      <c r="AO89">
        <f>SUMIF(RawDataTotal!$B:$B,$A89,RawDataTotal!AR:AR)</f>
        <v>0</v>
      </c>
      <c r="AP89">
        <f>SUMIF(RawDataTotal!$B:$B,$A89,RawDataTotal!AS:AS)</f>
        <v>0</v>
      </c>
      <c r="AQ89">
        <f>SUMIF(RawDataTotal!$B:$B,$A89,RawDataTotal!AT:AT)</f>
        <v>0</v>
      </c>
      <c r="AR89">
        <f>SUMIF(RawDataTotal!$B:$B,$A89,RawDataTotal!AU:AU)</f>
        <v>0</v>
      </c>
      <c r="AS89">
        <f>SUMIF(RawDataTotal!$B:$B,$A89,RawDataTotal!AV:AV)</f>
        <v>0</v>
      </c>
      <c r="AT89">
        <f>SUMIF(RawDataTotal!$B:$B,$A89,RawDataTotal!AW:AW)</f>
        <v>0</v>
      </c>
      <c r="AU89">
        <f>SUMIF(RawDataTotal!$B:$B,$A89,RawDataTotal!AX:AX)</f>
        <v>0</v>
      </c>
      <c r="AV89">
        <f>SUMIF(RawDataTotal!$B:$B,$A89,RawDataTotal!AY:AY)</f>
        <v>1</v>
      </c>
      <c r="AW89">
        <f>SUMIF(RawDataTotal!$B:$B,$A89,RawDataTotal!AZ:AZ)</f>
        <v>1</v>
      </c>
      <c r="AX89">
        <f>SUMIF(RawDataTotal!$B:$B,$A89,RawDataTotal!BA:BA)</f>
        <v>1</v>
      </c>
      <c r="AY89">
        <f>SUMIF(RawDataTotal!$B:$B,$A89,RawDataTotal!BB:BB)</f>
        <v>5</v>
      </c>
      <c r="AZ89">
        <f>SUMIF(RawDataTotal!$B:$B,$A89,RawDataTotal!BC:BC)</f>
        <v>5</v>
      </c>
      <c r="BA89">
        <f>SUMIF(RawDataTotal!$B:$B,$A89,RawDataTotal!BD:BD)</f>
        <v>6</v>
      </c>
      <c r="BB89">
        <f>SUMIF(RawDataTotal!$B:$B,$A89,RawDataTotal!BE:BE)</f>
        <v>6</v>
      </c>
      <c r="BC89">
        <f>SUMIF(RawDataTotal!$B:$B,$A89,RawDataTotal!BF:BF)</f>
        <v>6</v>
      </c>
      <c r="BD89">
        <f>SUMIF(RawDataTotal!$B:$B,$A89,RawDataTotal!BG:BG)</f>
        <v>8</v>
      </c>
      <c r="BE89">
        <f>SUMIF(RawDataTotal!$B:$B,$A89,RawDataTotal!BH:BH)</f>
        <v>9</v>
      </c>
      <c r="BF89">
        <f>SUMIF(RawDataTotal!$B:$B,$A89,RawDataTotal!BI:BI)</f>
        <v>0</v>
      </c>
      <c r="BG89">
        <f>SUMIF(RawDataTotal!$B:$B,$A89,RawDataTotal!BJ:BJ)</f>
        <v>0</v>
      </c>
      <c r="BH89">
        <f>SUMIF(RawDataTotal!$B:$B,$A89,RawDataTotal!BK:BK)</f>
        <v>0</v>
      </c>
      <c r="BI89">
        <f>SUMIF(RawDataTotal!$B:$B,$A89,RawDataTotal!BL:BL)</f>
        <v>0</v>
      </c>
      <c r="BJ89">
        <f>SUMIF(RawDataTotal!$B:$B,$A89,RawDataTotal!BM:BM)</f>
        <v>0</v>
      </c>
      <c r="BK89">
        <f>SUMIF(RawDataTotal!$B:$B,$A89,RawDataTotal!BN:BN)</f>
        <v>0</v>
      </c>
      <c r="BL89">
        <f>SUMIF(RawDataTotal!$B:$B,$A89,RawDataTotal!BO:BO)</f>
        <v>0</v>
      </c>
      <c r="BM89">
        <f>SUMIF(RawDataTotal!$B:$B,$A89,RawDataTotal!BP:BP)</f>
        <v>0</v>
      </c>
      <c r="BN89">
        <f>SUMIF(RawDataTotal!$B:$B,$A89,RawDataTotal!BQ:BQ)</f>
        <v>0</v>
      </c>
      <c r="BO89">
        <f>SUMIF(RawDataTotal!$B:$B,$A89,RawDataTotal!BR:BR)</f>
        <v>0</v>
      </c>
      <c r="BP89">
        <f>SUMIF(RawDataTotal!$B:$B,$A89,RawDataTotal!BS:BS)</f>
        <v>0</v>
      </c>
      <c r="BQ89">
        <f>SUMIF(RawDataTotal!$B:$B,$A89,RawDataTotal!BT:BT)</f>
        <v>0</v>
      </c>
      <c r="BR89">
        <f>SUMIF(RawDataTotal!$B:$B,$A89,RawDataTotal!BU:BU)</f>
        <v>0</v>
      </c>
      <c r="BS89">
        <f>SUMIF(RawDataTotal!$B:$B,$A89,RawDataTotal!BV:BV)</f>
        <v>0</v>
      </c>
      <c r="BT89">
        <f>SUMIF(RawDataTotal!$B:$B,$A89,RawDataTotal!BW:BW)</f>
        <v>0</v>
      </c>
    </row>
    <row r="90" spans="1:72" ht="15" thickBot="1" x14ac:dyDescent="0.35">
      <c r="A90" s="3" t="s">
        <v>79</v>
      </c>
      <c r="B90">
        <f>SUMIF(RawDataTotal!$B:$B,$A90,RawDataTotal!E:E)</f>
        <v>0</v>
      </c>
      <c r="C90">
        <f>SUMIF(RawDataTotal!$B:$B,$A90,RawDataTotal!F:F)</f>
        <v>0</v>
      </c>
      <c r="D90">
        <f>SUMIF(RawDataTotal!$B:$B,$A90,RawDataTotal!G:G)</f>
        <v>0</v>
      </c>
      <c r="E90">
        <f>SUMIF(RawDataTotal!$B:$B,$A90,RawDataTotal!H:H)</f>
        <v>0</v>
      </c>
      <c r="F90">
        <f>SUMIF(RawDataTotal!$B:$B,$A90,RawDataTotal!I:I)</f>
        <v>0</v>
      </c>
      <c r="G90">
        <f>SUMIF(RawDataTotal!$B:$B,$A90,RawDataTotal!J:J)</f>
        <v>1</v>
      </c>
      <c r="H90">
        <f>SUMIF(RawDataTotal!$B:$B,$A90,RawDataTotal!K:K)</f>
        <v>1</v>
      </c>
      <c r="I90">
        <f>SUMIF(RawDataTotal!$B:$B,$A90,RawDataTotal!L:L)</f>
        <v>1</v>
      </c>
      <c r="J90">
        <f>SUMIF(RawDataTotal!$B:$B,$A90,RawDataTotal!M:M)</f>
        <v>1</v>
      </c>
      <c r="K90">
        <f>SUMIF(RawDataTotal!$B:$B,$A90,RawDataTotal!N:N)</f>
        <v>1</v>
      </c>
      <c r="L90">
        <f>SUMIF(RawDataTotal!$B:$B,$A90,RawDataTotal!O:O)</f>
        <v>1</v>
      </c>
      <c r="M90">
        <f>SUMIF(RawDataTotal!$B:$B,$A90,RawDataTotal!P:P)</f>
        <v>1</v>
      </c>
      <c r="N90">
        <f>SUMIF(RawDataTotal!$B:$B,$A90,RawDataTotal!Q:Q)</f>
        <v>1</v>
      </c>
      <c r="O90">
        <f>SUMIF(RawDataTotal!$B:$B,$A90,RawDataTotal!R:R)</f>
        <v>1</v>
      </c>
      <c r="P90">
        <f>SUMIF(RawDataTotal!$B:$B,$A90,RawDataTotal!S:S)</f>
        <v>1</v>
      </c>
      <c r="Q90">
        <f>SUMIF(RawDataTotal!$B:$B,$A90,RawDataTotal!T:T)</f>
        <v>1</v>
      </c>
      <c r="R90">
        <f>SUMIF(RawDataTotal!$B:$B,$A90,RawDataTotal!U:U)</f>
        <v>1</v>
      </c>
      <c r="S90">
        <f>SUMIF(RawDataTotal!$B:$B,$A90,RawDataTotal!V:V)</f>
        <v>1</v>
      </c>
      <c r="T90">
        <f>SUMIF(RawDataTotal!$B:$B,$A90,RawDataTotal!W:W)</f>
        <v>1</v>
      </c>
      <c r="U90">
        <f>SUMIF(RawDataTotal!$B:$B,$A90,RawDataTotal!X:X)</f>
        <v>1</v>
      </c>
      <c r="V90">
        <f>SUMIF(RawDataTotal!$B:$B,$A90,RawDataTotal!Y:Y)</f>
        <v>1</v>
      </c>
      <c r="W90">
        <f>SUMIF(RawDataTotal!$B:$B,$A90,RawDataTotal!Z:Z)</f>
        <v>1</v>
      </c>
      <c r="X90">
        <f>SUMIF(RawDataTotal!$B:$B,$A90,RawDataTotal!AA:AA)</f>
        <v>1</v>
      </c>
      <c r="Y90">
        <f>SUMIF(RawDataTotal!$B:$B,$A90,RawDataTotal!AB:AB)</f>
        <v>1</v>
      </c>
      <c r="Z90">
        <f>SUMIF(RawDataTotal!$B:$B,$A90,RawDataTotal!AC:AC)</f>
        <v>1</v>
      </c>
      <c r="AA90">
        <f>SUMIF(RawDataTotal!$B:$B,$A90,RawDataTotal!AD:AD)</f>
        <v>1</v>
      </c>
      <c r="AB90">
        <f>SUMIF(RawDataTotal!$B:$B,$A90,RawDataTotal!AE:AE)</f>
        <v>1</v>
      </c>
      <c r="AC90">
        <f>SUMIF(RawDataTotal!$B:$B,$A90,RawDataTotal!AF:AF)</f>
        <v>1</v>
      </c>
      <c r="AD90">
        <f>SUMIF(RawDataTotal!$B:$B,$A90,RawDataTotal!AG:AG)</f>
        <v>1</v>
      </c>
      <c r="AE90">
        <f>SUMIF(RawDataTotal!$B:$B,$A90,RawDataTotal!AH:AH)</f>
        <v>1</v>
      </c>
      <c r="AF90">
        <f>SUMIF(RawDataTotal!$B:$B,$A90,RawDataTotal!AI:AI)</f>
        <v>1</v>
      </c>
      <c r="AG90">
        <f>SUMIF(RawDataTotal!$B:$B,$A90,RawDataTotal!AJ:AJ)</f>
        <v>1</v>
      </c>
      <c r="AH90">
        <f>SUMIF(RawDataTotal!$B:$B,$A90,RawDataTotal!AK:AK)</f>
        <v>1</v>
      </c>
      <c r="AI90">
        <f>SUMIF(RawDataTotal!$B:$B,$A90,RawDataTotal!AL:AL)</f>
        <v>1</v>
      </c>
      <c r="AJ90">
        <f>SUMIF(RawDataTotal!$B:$B,$A90,RawDataTotal!AM:AM)</f>
        <v>1</v>
      </c>
      <c r="AK90">
        <f>SUMIF(RawDataTotal!$B:$B,$A90,RawDataTotal!AN:AN)</f>
        <v>1</v>
      </c>
      <c r="AL90">
        <f>SUMIF(RawDataTotal!$B:$B,$A90,RawDataTotal!AO:AO)</f>
        <v>1</v>
      </c>
      <c r="AM90">
        <f>SUMIF(RawDataTotal!$B:$B,$A90,RawDataTotal!AP:AP)</f>
        <v>1</v>
      </c>
      <c r="AN90">
        <f>SUMIF(RawDataTotal!$B:$B,$A90,RawDataTotal!AQ:AQ)</f>
        <v>1</v>
      </c>
      <c r="AO90">
        <f>SUMIF(RawDataTotal!$B:$B,$A90,RawDataTotal!AR:AR)</f>
        <v>1</v>
      </c>
      <c r="AP90">
        <f>SUMIF(RawDataTotal!$B:$B,$A90,RawDataTotal!AS:AS)</f>
        <v>1</v>
      </c>
      <c r="AQ90">
        <f>SUMIF(RawDataTotal!$B:$B,$A90,RawDataTotal!AT:AT)</f>
        <v>1</v>
      </c>
      <c r="AR90">
        <f>SUMIF(RawDataTotal!$B:$B,$A90,RawDataTotal!AU:AU)</f>
        <v>1</v>
      </c>
      <c r="AS90">
        <f>SUMIF(RawDataTotal!$B:$B,$A90,RawDataTotal!AV:AV)</f>
        <v>1</v>
      </c>
      <c r="AT90">
        <f>SUMIF(RawDataTotal!$B:$B,$A90,RawDataTotal!AW:AW)</f>
        <v>1</v>
      </c>
      <c r="AU90">
        <f>SUMIF(RawDataTotal!$B:$B,$A90,RawDataTotal!AX:AX)</f>
        <v>1</v>
      </c>
      <c r="AV90">
        <f>SUMIF(RawDataTotal!$B:$B,$A90,RawDataTotal!AY:AY)</f>
        <v>1</v>
      </c>
      <c r="AW90">
        <f>SUMIF(RawDataTotal!$B:$B,$A90,RawDataTotal!AZ:AZ)</f>
        <v>1</v>
      </c>
      <c r="AX90">
        <f>SUMIF(RawDataTotal!$B:$B,$A90,RawDataTotal!BA:BA)</f>
        <v>1</v>
      </c>
      <c r="AY90">
        <f>SUMIF(RawDataTotal!$B:$B,$A90,RawDataTotal!BB:BB)</f>
        <v>2</v>
      </c>
      <c r="AZ90">
        <f>SUMIF(RawDataTotal!$B:$B,$A90,RawDataTotal!BC:BC)</f>
        <v>2</v>
      </c>
      <c r="BA90">
        <f>SUMIF(RawDataTotal!$B:$B,$A90,RawDataTotal!BD:BD)</f>
        <v>6</v>
      </c>
      <c r="BB90">
        <f>SUMIF(RawDataTotal!$B:$B,$A90,RawDataTotal!BE:BE)</f>
        <v>10</v>
      </c>
      <c r="BC90">
        <f>SUMIF(RawDataTotal!$B:$B,$A90,RawDataTotal!BF:BF)</f>
        <v>18</v>
      </c>
      <c r="BD90">
        <f>SUMIF(RawDataTotal!$B:$B,$A90,RawDataTotal!BG:BG)</f>
        <v>28</v>
      </c>
      <c r="BE90">
        <f>SUMIF(RawDataTotal!$B:$B,$A90,RawDataTotal!BH:BH)</f>
        <v>44</v>
      </c>
      <c r="BF90">
        <f>SUMIF(RawDataTotal!$B:$B,$A90,RawDataTotal!BI:BI)</f>
        <v>0</v>
      </c>
      <c r="BG90">
        <f>SUMIF(RawDataTotal!$B:$B,$A90,RawDataTotal!BJ:BJ)</f>
        <v>0</v>
      </c>
      <c r="BH90">
        <f>SUMIF(RawDataTotal!$B:$B,$A90,RawDataTotal!BK:BK)</f>
        <v>0</v>
      </c>
      <c r="BI90">
        <f>SUMIF(RawDataTotal!$B:$B,$A90,RawDataTotal!BL:BL)</f>
        <v>0</v>
      </c>
      <c r="BJ90">
        <f>SUMIF(RawDataTotal!$B:$B,$A90,RawDataTotal!BM:BM)</f>
        <v>0</v>
      </c>
      <c r="BK90">
        <f>SUMIF(RawDataTotal!$B:$B,$A90,RawDataTotal!BN:BN)</f>
        <v>0</v>
      </c>
      <c r="BL90">
        <f>SUMIF(RawDataTotal!$B:$B,$A90,RawDataTotal!BO:BO)</f>
        <v>0</v>
      </c>
      <c r="BM90">
        <f>SUMIF(RawDataTotal!$B:$B,$A90,RawDataTotal!BP:BP)</f>
        <v>0</v>
      </c>
      <c r="BN90">
        <f>SUMIF(RawDataTotal!$B:$B,$A90,RawDataTotal!BQ:BQ)</f>
        <v>0</v>
      </c>
      <c r="BO90">
        <f>SUMIF(RawDataTotal!$B:$B,$A90,RawDataTotal!BR:BR)</f>
        <v>0</v>
      </c>
      <c r="BP90">
        <f>SUMIF(RawDataTotal!$B:$B,$A90,RawDataTotal!BS:BS)</f>
        <v>0</v>
      </c>
      <c r="BQ90">
        <f>SUMIF(RawDataTotal!$B:$B,$A90,RawDataTotal!BT:BT)</f>
        <v>0</v>
      </c>
      <c r="BR90">
        <f>SUMIF(RawDataTotal!$B:$B,$A90,RawDataTotal!BU:BU)</f>
        <v>0</v>
      </c>
      <c r="BS90">
        <f>SUMIF(RawDataTotal!$B:$B,$A90,RawDataTotal!BV:BV)</f>
        <v>0</v>
      </c>
      <c r="BT90">
        <f>SUMIF(RawDataTotal!$B:$B,$A90,RawDataTotal!BW:BW)</f>
        <v>0</v>
      </c>
    </row>
    <row r="91" spans="1:72" ht="15" thickBot="1" x14ac:dyDescent="0.35">
      <c r="A91" s="4" t="s">
        <v>78</v>
      </c>
      <c r="B91">
        <f>SUMIF(RawDataTotal!$B:$B,$A91,RawDataTotal!E:E)</f>
        <v>0</v>
      </c>
      <c r="C91">
        <f>SUMIF(RawDataTotal!$B:$B,$A91,RawDataTotal!F:F)</f>
        <v>0</v>
      </c>
      <c r="D91">
        <f>SUMIF(RawDataTotal!$B:$B,$A91,RawDataTotal!G:G)</f>
        <v>0</v>
      </c>
      <c r="E91">
        <f>SUMIF(RawDataTotal!$B:$B,$A91,RawDataTotal!H:H)</f>
        <v>0</v>
      </c>
      <c r="F91">
        <f>SUMIF(RawDataTotal!$B:$B,$A91,RawDataTotal!I:I)</f>
        <v>0</v>
      </c>
      <c r="G91">
        <f>SUMIF(RawDataTotal!$B:$B,$A91,RawDataTotal!J:J)</f>
        <v>1</v>
      </c>
      <c r="H91">
        <f>SUMIF(RawDataTotal!$B:$B,$A91,RawDataTotal!K:K)</f>
        <v>1</v>
      </c>
      <c r="I91">
        <f>SUMIF(RawDataTotal!$B:$B,$A91,RawDataTotal!L:L)</f>
        <v>1</v>
      </c>
      <c r="J91">
        <f>SUMIF(RawDataTotal!$B:$B,$A91,RawDataTotal!M:M)</f>
        <v>1</v>
      </c>
      <c r="K91">
        <f>SUMIF(RawDataTotal!$B:$B,$A91,RawDataTotal!N:N)</f>
        <v>1</v>
      </c>
      <c r="L91">
        <f>SUMIF(RawDataTotal!$B:$B,$A91,RawDataTotal!O:O)</f>
        <v>1</v>
      </c>
      <c r="M91">
        <f>SUMIF(RawDataTotal!$B:$B,$A91,RawDataTotal!P:P)</f>
        <v>1</v>
      </c>
      <c r="N91">
        <f>SUMIF(RawDataTotal!$B:$B,$A91,RawDataTotal!Q:Q)</f>
        <v>1</v>
      </c>
      <c r="O91">
        <f>SUMIF(RawDataTotal!$B:$B,$A91,RawDataTotal!R:R)</f>
        <v>1</v>
      </c>
      <c r="P91">
        <f>SUMIF(RawDataTotal!$B:$B,$A91,RawDataTotal!S:S)</f>
        <v>1</v>
      </c>
      <c r="Q91">
        <f>SUMIF(RawDataTotal!$B:$B,$A91,RawDataTotal!T:T)</f>
        <v>1</v>
      </c>
      <c r="R91">
        <f>SUMIF(RawDataTotal!$B:$B,$A91,RawDataTotal!U:U)</f>
        <v>1</v>
      </c>
      <c r="S91">
        <f>SUMIF(RawDataTotal!$B:$B,$A91,RawDataTotal!V:V)</f>
        <v>1</v>
      </c>
      <c r="T91">
        <f>SUMIF(RawDataTotal!$B:$B,$A91,RawDataTotal!W:W)</f>
        <v>1</v>
      </c>
      <c r="U91">
        <f>SUMIF(RawDataTotal!$B:$B,$A91,RawDataTotal!X:X)</f>
        <v>1</v>
      </c>
      <c r="V91">
        <f>SUMIF(RawDataTotal!$B:$B,$A91,RawDataTotal!Y:Y)</f>
        <v>1</v>
      </c>
      <c r="W91">
        <f>SUMIF(RawDataTotal!$B:$B,$A91,RawDataTotal!Z:Z)</f>
        <v>1</v>
      </c>
      <c r="X91">
        <f>SUMIF(RawDataTotal!$B:$B,$A91,RawDataTotal!AA:AA)</f>
        <v>1</v>
      </c>
      <c r="Y91">
        <f>SUMIF(RawDataTotal!$B:$B,$A91,RawDataTotal!AB:AB)</f>
        <v>1</v>
      </c>
      <c r="Z91">
        <f>SUMIF(RawDataTotal!$B:$B,$A91,RawDataTotal!AC:AC)</f>
        <v>1</v>
      </c>
      <c r="AA91">
        <f>SUMIF(RawDataTotal!$B:$B,$A91,RawDataTotal!AD:AD)</f>
        <v>1</v>
      </c>
      <c r="AB91">
        <f>SUMIF(RawDataTotal!$B:$B,$A91,RawDataTotal!AE:AE)</f>
        <v>1</v>
      </c>
      <c r="AC91">
        <f>SUMIF(RawDataTotal!$B:$B,$A91,RawDataTotal!AF:AF)</f>
        <v>1</v>
      </c>
      <c r="AD91">
        <f>SUMIF(RawDataTotal!$B:$B,$A91,RawDataTotal!AG:AG)</f>
        <v>1</v>
      </c>
      <c r="AE91">
        <f>SUMIF(RawDataTotal!$B:$B,$A91,RawDataTotal!AH:AH)</f>
        <v>1</v>
      </c>
      <c r="AF91">
        <f>SUMIF(RawDataTotal!$B:$B,$A91,RawDataTotal!AI:AI)</f>
        <v>1</v>
      </c>
      <c r="AG91">
        <f>SUMIF(RawDataTotal!$B:$B,$A91,RawDataTotal!AJ:AJ)</f>
        <v>1</v>
      </c>
      <c r="AH91">
        <f>SUMIF(RawDataTotal!$B:$B,$A91,RawDataTotal!AK:AK)</f>
        <v>1</v>
      </c>
      <c r="AI91">
        <f>SUMIF(RawDataTotal!$B:$B,$A91,RawDataTotal!AL:AL)</f>
        <v>1</v>
      </c>
      <c r="AJ91">
        <f>SUMIF(RawDataTotal!$B:$B,$A91,RawDataTotal!AM:AM)</f>
        <v>1</v>
      </c>
      <c r="AK91">
        <f>SUMIF(RawDataTotal!$B:$B,$A91,RawDataTotal!AN:AN)</f>
        <v>1</v>
      </c>
      <c r="AL91">
        <f>SUMIF(RawDataTotal!$B:$B,$A91,RawDataTotal!AO:AO)</f>
        <v>1</v>
      </c>
      <c r="AM91">
        <f>SUMIF(RawDataTotal!$B:$B,$A91,RawDataTotal!AP:AP)</f>
        <v>1</v>
      </c>
      <c r="AN91">
        <f>SUMIF(RawDataTotal!$B:$B,$A91,RawDataTotal!AQ:AQ)</f>
        <v>1</v>
      </c>
      <c r="AO91">
        <f>SUMIF(RawDataTotal!$B:$B,$A91,RawDataTotal!AR:AR)</f>
        <v>1</v>
      </c>
      <c r="AP91">
        <f>SUMIF(RawDataTotal!$B:$B,$A91,RawDataTotal!AS:AS)</f>
        <v>1</v>
      </c>
      <c r="AQ91">
        <f>SUMIF(RawDataTotal!$B:$B,$A91,RawDataTotal!AT:AT)</f>
        <v>1</v>
      </c>
      <c r="AR91">
        <f>SUMIF(RawDataTotal!$B:$B,$A91,RawDataTotal!AU:AU)</f>
        <v>1</v>
      </c>
      <c r="AS91">
        <f>SUMIF(RawDataTotal!$B:$B,$A91,RawDataTotal!AV:AV)</f>
        <v>1</v>
      </c>
      <c r="AT91">
        <f>SUMIF(RawDataTotal!$B:$B,$A91,RawDataTotal!AW:AW)</f>
        <v>1</v>
      </c>
      <c r="AU91">
        <f>SUMIF(RawDataTotal!$B:$B,$A91,RawDataTotal!AX:AX)</f>
        <v>1</v>
      </c>
      <c r="AV91">
        <f>SUMIF(RawDataTotal!$B:$B,$A91,RawDataTotal!AY:AY)</f>
        <v>2</v>
      </c>
      <c r="AW91">
        <f>SUMIF(RawDataTotal!$B:$B,$A91,RawDataTotal!AZ:AZ)</f>
        <v>2</v>
      </c>
      <c r="AX91">
        <f>SUMIF(RawDataTotal!$B:$B,$A91,RawDataTotal!BA:BA)</f>
        <v>2</v>
      </c>
      <c r="AY91">
        <f>SUMIF(RawDataTotal!$B:$B,$A91,RawDataTotal!BB:BB)</f>
        <v>3</v>
      </c>
      <c r="AZ91">
        <f>SUMIF(RawDataTotal!$B:$B,$A91,RawDataTotal!BC:BC)</f>
        <v>3</v>
      </c>
      <c r="BA91">
        <f>SUMIF(RawDataTotal!$B:$B,$A91,RawDataTotal!BD:BD)</f>
        <v>5</v>
      </c>
      <c r="BB91">
        <f>SUMIF(RawDataTotal!$B:$B,$A91,RawDataTotal!BE:BE)</f>
        <v>7</v>
      </c>
      <c r="BC91">
        <f>SUMIF(RawDataTotal!$B:$B,$A91,RawDataTotal!BF:BF)</f>
        <v>7</v>
      </c>
      <c r="BD91">
        <f>SUMIF(RawDataTotal!$B:$B,$A91,RawDataTotal!BG:BG)</f>
        <v>7</v>
      </c>
      <c r="BE91">
        <f>SUMIF(RawDataTotal!$B:$B,$A91,RawDataTotal!BH:BH)</f>
        <v>33</v>
      </c>
      <c r="BF91">
        <f>SUMIF(RawDataTotal!$B:$B,$A91,RawDataTotal!BI:BI)</f>
        <v>0</v>
      </c>
      <c r="BG91">
        <f>SUMIF(RawDataTotal!$B:$B,$A91,RawDataTotal!BJ:BJ)</f>
        <v>0</v>
      </c>
      <c r="BH91">
        <f>SUMIF(RawDataTotal!$B:$B,$A91,RawDataTotal!BK:BK)</f>
        <v>0</v>
      </c>
      <c r="BI91">
        <f>SUMIF(RawDataTotal!$B:$B,$A91,RawDataTotal!BL:BL)</f>
        <v>0</v>
      </c>
      <c r="BJ91">
        <f>SUMIF(RawDataTotal!$B:$B,$A91,RawDataTotal!BM:BM)</f>
        <v>0</v>
      </c>
      <c r="BK91">
        <f>SUMIF(RawDataTotal!$B:$B,$A91,RawDataTotal!BN:BN)</f>
        <v>0</v>
      </c>
      <c r="BL91">
        <f>SUMIF(RawDataTotal!$B:$B,$A91,RawDataTotal!BO:BO)</f>
        <v>0</v>
      </c>
      <c r="BM91">
        <f>SUMIF(RawDataTotal!$B:$B,$A91,RawDataTotal!BP:BP)</f>
        <v>0</v>
      </c>
      <c r="BN91">
        <f>SUMIF(RawDataTotal!$B:$B,$A91,RawDataTotal!BQ:BQ)</f>
        <v>0</v>
      </c>
      <c r="BO91">
        <f>SUMIF(RawDataTotal!$B:$B,$A91,RawDataTotal!BR:BR)</f>
        <v>0</v>
      </c>
      <c r="BP91">
        <f>SUMIF(RawDataTotal!$B:$B,$A91,RawDataTotal!BS:BS)</f>
        <v>0</v>
      </c>
      <c r="BQ91">
        <f>SUMIF(RawDataTotal!$B:$B,$A91,RawDataTotal!BT:BT)</f>
        <v>0</v>
      </c>
      <c r="BR91">
        <f>SUMIF(RawDataTotal!$B:$B,$A91,RawDataTotal!BU:BU)</f>
        <v>0</v>
      </c>
      <c r="BS91">
        <f>SUMIF(RawDataTotal!$B:$B,$A91,RawDataTotal!BV:BV)</f>
        <v>0</v>
      </c>
      <c r="BT91">
        <f>SUMIF(RawDataTotal!$B:$B,$A91,RawDataTotal!BW:BW)</f>
        <v>0</v>
      </c>
    </row>
    <row r="92" spans="1:72" ht="15" thickBot="1" x14ac:dyDescent="0.35">
      <c r="A92" s="3" t="s">
        <v>133</v>
      </c>
      <c r="B92">
        <f>SUMIF(RawDataTotal!$B:$B,$A92,RawDataTotal!E:E)</f>
        <v>0</v>
      </c>
      <c r="C92">
        <f>SUMIF(RawDataTotal!$B:$B,$A92,RawDataTotal!F:F)</f>
        <v>0</v>
      </c>
      <c r="D92">
        <f>SUMIF(RawDataTotal!$B:$B,$A92,RawDataTotal!G:G)</f>
        <v>0</v>
      </c>
      <c r="E92">
        <f>SUMIF(RawDataTotal!$B:$B,$A92,RawDataTotal!H:H)</f>
        <v>0</v>
      </c>
      <c r="F92">
        <f>SUMIF(RawDataTotal!$B:$B,$A92,RawDataTotal!I:I)</f>
        <v>0</v>
      </c>
      <c r="G92">
        <f>SUMIF(RawDataTotal!$B:$B,$A92,RawDataTotal!J:J)</f>
        <v>0</v>
      </c>
      <c r="H92">
        <f>SUMIF(RawDataTotal!$B:$B,$A92,RawDataTotal!K:K)</f>
        <v>0</v>
      </c>
      <c r="I92">
        <f>SUMIF(RawDataTotal!$B:$B,$A92,RawDataTotal!L:L)</f>
        <v>0</v>
      </c>
      <c r="J92">
        <f>SUMIF(RawDataTotal!$B:$B,$A92,RawDataTotal!M:M)</f>
        <v>0</v>
      </c>
      <c r="K92">
        <f>SUMIF(RawDataTotal!$B:$B,$A92,RawDataTotal!N:N)</f>
        <v>0</v>
      </c>
      <c r="L92">
        <f>SUMIF(RawDataTotal!$B:$B,$A92,RawDataTotal!O:O)</f>
        <v>0</v>
      </c>
      <c r="M92">
        <f>SUMIF(RawDataTotal!$B:$B,$A92,RawDataTotal!P:P)</f>
        <v>0</v>
      </c>
      <c r="N92">
        <f>SUMIF(RawDataTotal!$B:$B,$A92,RawDataTotal!Q:Q)</f>
        <v>0</v>
      </c>
      <c r="O92">
        <f>SUMIF(RawDataTotal!$B:$B,$A92,RawDataTotal!R:R)</f>
        <v>0</v>
      </c>
      <c r="P92">
        <f>SUMIF(RawDataTotal!$B:$B,$A92,RawDataTotal!S:S)</f>
        <v>0</v>
      </c>
      <c r="Q92">
        <f>SUMIF(RawDataTotal!$B:$B,$A92,RawDataTotal!T:T)</f>
        <v>0</v>
      </c>
      <c r="R92">
        <f>SUMIF(RawDataTotal!$B:$B,$A92,RawDataTotal!U:U)</f>
        <v>0</v>
      </c>
      <c r="S92">
        <f>SUMIF(RawDataTotal!$B:$B,$A92,RawDataTotal!V:V)</f>
        <v>0</v>
      </c>
      <c r="T92">
        <f>SUMIF(RawDataTotal!$B:$B,$A92,RawDataTotal!W:W)</f>
        <v>0</v>
      </c>
      <c r="U92">
        <f>SUMIF(RawDataTotal!$B:$B,$A92,RawDataTotal!X:X)</f>
        <v>0</v>
      </c>
      <c r="V92">
        <f>SUMIF(RawDataTotal!$B:$B,$A92,RawDataTotal!Y:Y)</f>
        <v>0</v>
      </c>
      <c r="W92">
        <f>SUMIF(RawDataTotal!$B:$B,$A92,RawDataTotal!Z:Z)</f>
        <v>0</v>
      </c>
      <c r="X92">
        <f>SUMIF(RawDataTotal!$B:$B,$A92,RawDataTotal!AA:AA)</f>
        <v>0</v>
      </c>
      <c r="Y92">
        <f>SUMIF(RawDataTotal!$B:$B,$A92,RawDataTotal!AB:AB)</f>
        <v>0</v>
      </c>
      <c r="Z92">
        <f>SUMIF(RawDataTotal!$B:$B,$A92,RawDataTotal!AC:AC)</f>
        <v>0</v>
      </c>
      <c r="AA92">
        <f>SUMIF(RawDataTotal!$B:$B,$A92,RawDataTotal!AD:AD)</f>
        <v>0</v>
      </c>
      <c r="AB92">
        <f>SUMIF(RawDataTotal!$B:$B,$A92,RawDataTotal!AE:AE)</f>
        <v>0</v>
      </c>
      <c r="AC92">
        <f>SUMIF(RawDataTotal!$B:$B,$A92,RawDataTotal!AF:AF)</f>
        <v>0</v>
      </c>
      <c r="AD92">
        <f>SUMIF(RawDataTotal!$B:$B,$A92,RawDataTotal!AG:AG)</f>
        <v>0</v>
      </c>
      <c r="AE92">
        <f>SUMIF(RawDataTotal!$B:$B,$A92,RawDataTotal!AH:AH)</f>
        <v>0</v>
      </c>
      <c r="AF92">
        <f>SUMIF(RawDataTotal!$B:$B,$A92,RawDataTotal!AI:AI)</f>
        <v>0</v>
      </c>
      <c r="AG92">
        <f>SUMIF(RawDataTotal!$B:$B,$A92,RawDataTotal!AJ:AJ)</f>
        <v>0</v>
      </c>
      <c r="AH92">
        <f>SUMIF(RawDataTotal!$B:$B,$A92,RawDataTotal!AK:AK)</f>
        <v>0</v>
      </c>
      <c r="AI92">
        <f>SUMIF(RawDataTotal!$B:$B,$A92,RawDataTotal!AL:AL)</f>
        <v>0</v>
      </c>
      <c r="AJ92">
        <f>SUMIF(RawDataTotal!$B:$B,$A92,RawDataTotal!AM:AM)</f>
        <v>0</v>
      </c>
      <c r="AK92">
        <f>SUMIF(RawDataTotal!$B:$B,$A92,RawDataTotal!AN:AN)</f>
        <v>0</v>
      </c>
      <c r="AL92">
        <f>SUMIF(RawDataTotal!$B:$B,$A92,RawDataTotal!AO:AO)</f>
        <v>0</v>
      </c>
      <c r="AM92">
        <f>SUMIF(RawDataTotal!$B:$B,$A92,RawDataTotal!AP:AP)</f>
        <v>0</v>
      </c>
      <c r="AN92">
        <f>SUMIF(RawDataTotal!$B:$B,$A92,RawDataTotal!AQ:AQ)</f>
        <v>0</v>
      </c>
      <c r="AO92">
        <f>SUMIF(RawDataTotal!$B:$B,$A92,RawDataTotal!AR:AR)</f>
        <v>1</v>
      </c>
      <c r="AP92">
        <f>SUMIF(RawDataTotal!$B:$B,$A92,RawDataTotal!AS:AS)</f>
        <v>1</v>
      </c>
      <c r="AQ92">
        <f>SUMIF(RawDataTotal!$B:$B,$A92,RawDataTotal!AT:AT)</f>
        <v>1</v>
      </c>
      <c r="AR92">
        <f>SUMIF(RawDataTotal!$B:$B,$A92,RawDataTotal!AU:AU)</f>
        <v>1</v>
      </c>
      <c r="AS92">
        <f>SUMIF(RawDataTotal!$B:$B,$A92,RawDataTotal!AV:AV)</f>
        <v>1</v>
      </c>
      <c r="AT92">
        <f>SUMIF(RawDataTotal!$B:$B,$A92,RawDataTotal!AW:AW)</f>
        <v>2</v>
      </c>
      <c r="AU92">
        <f>SUMIF(RawDataTotal!$B:$B,$A92,RawDataTotal!AX:AX)</f>
        <v>2</v>
      </c>
      <c r="AV92">
        <f>SUMIF(RawDataTotal!$B:$B,$A92,RawDataTotal!AY:AY)</f>
        <v>5</v>
      </c>
      <c r="AW92">
        <f>SUMIF(RawDataTotal!$B:$B,$A92,RawDataTotal!AZ:AZ)</f>
        <v>5</v>
      </c>
      <c r="AX92">
        <f>SUMIF(RawDataTotal!$B:$B,$A92,RawDataTotal!BA:BA)</f>
        <v>5</v>
      </c>
      <c r="AY92">
        <f>SUMIF(RawDataTotal!$B:$B,$A92,RawDataTotal!BB:BB)</f>
        <v>5</v>
      </c>
      <c r="AZ92">
        <f>SUMIF(RawDataTotal!$B:$B,$A92,RawDataTotal!BC:BC)</f>
        <v>5</v>
      </c>
      <c r="BA92">
        <f>SUMIF(RawDataTotal!$B:$B,$A92,RawDataTotal!BD:BD)</f>
        <v>5</v>
      </c>
      <c r="BB92">
        <f>SUMIF(RawDataTotal!$B:$B,$A92,RawDataTotal!BE:BE)</f>
        <v>11</v>
      </c>
      <c r="BC92">
        <f>SUMIF(RawDataTotal!$B:$B,$A92,RawDataTotal!BF:BF)</f>
        <v>11</v>
      </c>
      <c r="BD92">
        <f>SUMIF(RawDataTotal!$B:$B,$A92,RawDataTotal!BG:BG)</f>
        <v>11</v>
      </c>
      <c r="BE92">
        <f>SUMIF(RawDataTotal!$B:$B,$A92,RawDataTotal!BH:BH)</f>
        <v>21</v>
      </c>
      <c r="BF92">
        <f>SUMIF(RawDataTotal!$B:$B,$A92,RawDataTotal!BI:BI)</f>
        <v>0</v>
      </c>
      <c r="BG92">
        <f>SUMIF(RawDataTotal!$B:$B,$A92,RawDataTotal!BJ:BJ)</f>
        <v>0</v>
      </c>
      <c r="BH92">
        <f>SUMIF(RawDataTotal!$B:$B,$A92,RawDataTotal!BK:BK)</f>
        <v>0</v>
      </c>
      <c r="BI92">
        <f>SUMIF(RawDataTotal!$B:$B,$A92,RawDataTotal!BL:BL)</f>
        <v>0</v>
      </c>
      <c r="BJ92">
        <f>SUMIF(RawDataTotal!$B:$B,$A92,RawDataTotal!BM:BM)</f>
        <v>0</v>
      </c>
      <c r="BK92">
        <f>SUMIF(RawDataTotal!$B:$B,$A92,RawDataTotal!BN:BN)</f>
        <v>0</v>
      </c>
      <c r="BL92">
        <f>SUMIF(RawDataTotal!$B:$B,$A92,RawDataTotal!BO:BO)</f>
        <v>0</v>
      </c>
      <c r="BM92">
        <f>SUMIF(RawDataTotal!$B:$B,$A92,RawDataTotal!BP:BP)</f>
        <v>0</v>
      </c>
      <c r="BN92">
        <f>SUMIF(RawDataTotal!$B:$B,$A92,RawDataTotal!BQ:BQ)</f>
        <v>0</v>
      </c>
      <c r="BO92">
        <f>SUMIF(RawDataTotal!$B:$B,$A92,RawDataTotal!BR:BR)</f>
        <v>0</v>
      </c>
      <c r="BP92">
        <f>SUMIF(RawDataTotal!$B:$B,$A92,RawDataTotal!BS:BS)</f>
        <v>0</v>
      </c>
      <c r="BQ92">
        <f>SUMIF(RawDataTotal!$B:$B,$A92,RawDataTotal!BT:BT)</f>
        <v>0</v>
      </c>
      <c r="BR92">
        <f>SUMIF(RawDataTotal!$B:$B,$A92,RawDataTotal!BU:BU)</f>
        <v>0</v>
      </c>
      <c r="BS92">
        <f>SUMIF(RawDataTotal!$B:$B,$A92,RawDataTotal!BV:BV)</f>
        <v>0</v>
      </c>
      <c r="BT92">
        <f>SUMIF(RawDataTotal!$B:$B,$A92,RawDataTotal!BW:BW)</f>
        <v>0</v>
      </c>
    </row>
    <row r="93" spans="1:72" ht="15" thickBot="1" x14ac:dyDescent="0.35">
      <c r="A93" s="4" t="s">
        <v>203</v>
      </c>
      <c r="B93">
        <f>SUMIF(RawDataTotal!$B:$B,$A93,RawDataTotal!E:E)</f>
        <v>0</v>
      </c>
      <c r="C93">
        <f>SUMIF(RawDataTotal!$B:$B,$A93,RawDataTotal!F:F)</f>
        <v>0</v>
      </c>
      <c r="D93">
        <f>SUMIF(RawDataTotal!$B:$B,$A93,RawDataTotal!G:G)</f>
        <v>0</v>
      </c>
      <c r="E93">
        <f>SUMIF(RawDataTotal!$B:$B,$A93,RawDataTotal!H:H)</f>
        <v>0</v>
      </c>
      <c r="F93">
        <f>SUMIF(RawDataTotal!$B:$B,$A93,RawDataTotal!I:I)</f>
        <v>0</v>
      </c>
      <c r="G93">
        <f>SUMIF(RawDataTotal!$B:$B,$A93,RawDataTotal!J:J)</f>
        <v>0</v>
      </c>
      <c r="H93">
        <f>SUMIF(RawDataTotal!$B:$B,$A93,RawDataTotal!K:K)</f>
        <v>0</v>
      </c>
      <c r="I93">
        <f>SUMIF(RawDataTotal!$B:$B,$A93,RawDataTotal!L:L)</f>
        <v>0</v>
      </c>
      <c r="J93">
        <f>SUMIF(RawDataTotal!$B:$B,$A93,RawDataTotal!M:M)</f>
        <v>0</v>
      </c>
      <c r="K93">
        <f>SUMIF(RawDataTotal!$B:$B,$A93,RawDataTotal!N:N)</f>
        <v>0</v>
      </c>
      <c r="L93">
        <f>SUMIF(RawDataTotal!$B:$B,$A93,RawDataTotal!O:O)</f>
        <v>0</v>
      </c>
      <c r="M93">
        <f>SUMIF(RawDataTotal!$B:$B,$A93,RawDataTotal!P:P)</f>
        <v>0</v>
      </c>
      <c r="N93">
        <f>SUMIF(RawDataTotal!$B:$B,$A93,RawDataTotal!Q:Q)</f>
        <v>0</v>
      </c>
      <c r="O93">
        <f>SUMIF(RawDataTotal!$B:$B,$A93,RawDataTotal!R:R)</f>
        <v>0</v>
      </c>
      <c r="P93">
        <f>SUMIF(RawDataTotal!$B:$B,$A93,RawDataTotal!S:S)</f>
        <v>0</v>
      </c>
      <c r="Q93">
        <f>SUMIF(RawDataTotal!$B:$B,$A93,RawDataTotal!T:T)</f>
        <v>0</v>
      </c>
      <c r="R93">
        <f>SUMIF(RawDataTotal!$B:$B,$A93,RawDataTotal!U:U)</f>
        <v>0</v>
      </c>
      <c r="S93">
        <f>SUMIF(RawDataTotal!$B:$B,$A93,RawDataTotal!V:V)</f>
        <v>0</v>
      </c>
      <c r="T93">
        <f>SUMIF(RawDataTotal!$B:$B,$A93,RawDataTotal!W:W)</f>
        <v>0</v>
      </c>
      <c r="U93">
        <f>SUMIF(RawDataTotal!$B:$B,$A93,RawDataTotal!X:X)</f>
        <v>0</v>
      </c>
      <c r="V93">
        <f>SUMIF(RawDataTotal!$B:$B,$A93,RawDataTotal!Y:Y)</f>
        <v>0</v>
      </c>
      <c r="W93">
        <f>SUMIF(RawDataTotal!$B:$B,$A93,RawDataTotal!Z:Z)</f>
        <v>0</v>
      </c>
      <c r="X93">
        <f>SUMIF(RawDataTotal!$B:$B,$A93,RawDataTotal!AA:AA)</f>
        <v>0</v>
      </c>
      <c r="Y93">
        <f>SUMIF(RawDataTotal!$B:$B,$A93,RawDataTotal!AB:AB)</f>
        <v>0</v>
      </c>
      <c r="Z93">
        <f>SUMIF(RawDataTotal!$B:$B,$A93,RawDataTotal!AC:AC)</f>
        <v>0</v>
      </c>
      <c r="AA93">
        <f>SUMIF(RawDataTotal!$B:$B,$A93,RawDataTotal!AD:AD)</f>
        <v>0</v>
      </c>
      <c r="AB93">
        <f>SUMIF(RawDataTotal!$B:$B,$A93,RawDataTotal!AE:AE)</f>
        <v>0</v>
      </c>
      <c r="AC93">
        <f>SUMIF(RawDataTotal!$B:$B,$A93,RawDataTotal!AF:AF)</f>
        <v>0</v>
      </c>
      <c r="AD93">
        <f>SUMIF(RawDataTotal!$B:$B,$A93,RawDataTotal!AG:AG)</f>
        <v>0</v>
      </c>
      <c r="AE93">
        <f>SUMIF(RawDataTotal!$B:$B,$A93,RawDataTotal!AH:AH)</f>
        <v>0</v>
      </c>
      <c r="AF93">
        <f>SUMIF(RawDataTotal!$B:$B,$A93,RawDataTotal!AI:AI)</f>
        <v>0</v>
      </c>
      <c r="AG93">
        <f>SUMIF(RawDataTotal!$B:$B,$A93,RawDataTotal!AJ:AJ)</f>
        <v>0</v>
      </c>
      <c r="AH93">
        <f>SUMIF(RawDataTotal!$B:$B,$A93,RawDataTotal!AK:AK)</f>
        <v>0</v>
      </c>
      <c r="AI93">
        <f>SUMIF(RawDataTotal!$B:$B,$A93,RawDataTotal!AL:AL)</f>
        <v>0</v>
      </c>
      <c r="AJ93">
        <f>SUMIF(RawDataTotal!$B:$B,$A93,RawDataTotal!AM:AM)</f>
        <v>0</v>
      </c>
      <c r="AK93">
        <f>SUMIF(RawDataTotal!$B:$B,$A93,RawDataTotal!AN:AN)</f>
        <v>0</v>
      </c>
      <c r="AL93">
        <f>SUMIF(RawDataTotal!$B:$B,$A93,RawDataTotal!AO:AO)</f>
        <v>0</v>
      </c>
      <c r="AM93">
        <f>SUMIF(RawDataTotal!$B:$B,$A93,RawDataTotal!AP:AP)</f>
        <v>0</v>
      </c>
      <c r="AN93">
        <f>SUMIF(RawDataTotal!$B:$B,$A93,RawDataTotal!AQ:AQ)</f>
        <v>0</v>
      </c>
      <c r="AO93">
        <f>SUMIF(RawDataTotal!$B:$B,$A93,RawDataTotal!AR:AR)</f>
        <v>0</v>
      </c>
      <c r="AP93">
        <f>SUMIF(RawDataTotal!$B:$B,$A93,RawDataTotal!AS:AS)</f>
        <v>0</v>
      </c>
      <c r="AQ93">
        <f>SUMIF(RawDataTotal!$B:$B,$A93,RawDataTotal!AT:AT)</f>
        <v>0</v>
      </c>
      <c r="AR93">
        <f>SUMIF(RawDataTotal!$B:$B,$A93,RawDataTotal!AU:AU)</f>
        <v>0</v>
      </c>
      <c r="AS93">
        <f>SUMIF(RawDataTotal!$B:$B,$A93,RawDataTotal!AV:AV)</f>
        <v>0</v>
      </c>
      <c r="AT93">
        <f>SUMIF(RawDataTotal!$B:$B,$A93,RawDataTotal!AW:AW)</f>
        <v>0</v>
      </c>
      <c r="AU93">
        <f>SUMIF(RawDataTotal!$B:$B,$A93,RawDataTotal!AX:AX)</f>
        <v>0</v>
      </c>
      <c r="AV93">
        <f>SUMIF(RawDataTotal!$B:$B,$A93,RawDataTotal!AY:AY)</f>
        <v>0</v>
      </c>
      <c r="AW93">
        <f>SUMIF(RawDataTotal!$B:$B,$A93,RawDataTotal!AZ:AZ)</f>
        <v>0</v>
      </c>
      <c r="AX93">
        <f>SUMIF(RawDataTotal!$B:$B,$A93,RawDataTotal!BA:BA)</f>
        <v>0</v>
      </c>
      <c r="AY93">
        <f>SUMIF(RawDataTotal!$B:$B,$A93,RawDataTotal!BB:BB)</f>
        <v>0</v>
      </c>
      <c r="AZ93">
        <f>SUMIF(RawDataTotal!$B:$B,$A93,RawDataTotal!BC:BC)</f>
        <v>0</v>
      </c>
      <c r="BA93">
        <f>SUMIF(RawDataTotal!$B:$B,$A93,RawDataTotal!BD:BD)</f>
        <v>0</v>
      </c>
      <c r="BB93">
        <f>SUMIF(RawDataTotal!$B:$B,$A93,RawDataTotal!BE:BE)</f>
        <v>0</v>
      </c>
      <c r="BC93">
        <f>SUMIF(RawDataTotal!$B:$B,$A93,RawDataTotal!BF:BF)</f>
        <v>0</v>
      </c>
      <c r="BD93">
        <f>SUMIF(RawDataTotal!$B:$B,$A93,RawDataTotal!BG:BG)</f>
        <v>0</v>
      </c>
      <c r="BE93">
        <f>SUMIF(RawDataTotal!$B:$B,$A93,RawDataTotal!BH:BH)</f>
        <v>0</v>
      </c>
      <c r="BF93">
        <f>SUMIF(RawDataTotal!$B:$B,$A93,RawDataTotal!BI:BI)</f>
        <v>0</v>
      </c>
      <c r="BG93">
        <f>SUMIF(RawDataTotal!$B:$B,$A93,RawDataTotal!BJ:BJ)</f>
        <v>0</v>
      </c>
      <c r="BH93">
        <f>SUMIF(RawDataTotal!$B:$B,$A93,RawDataTotal!BK:BK)</f>
        <v>0</v>
      </c>
      <c r="BI93">
        <f>SUMIF(RawDataTotal!$B:$B,$A93,RawDataTotal!BL:BL)</f>
        <v>0</v>
      </c>
      <c r="BJ93">
        <f>SUMIF(RawDataTotal!$B:$B,$A93,RawDataTotal!BM:BM)</f>
        <v>0</v>
      </c>
      <c r="BK93">
        <f>SUMIF(RawDataTotal!$B:$B,$A93,RawDataTotal!BN:BN)</f>
        <v>0</v>
      </c>
      <c r="BL93">
        <f>SUMIF(RawDataTotal!$B:$B,$A93,RawDataTotal!BO:BO)</f>
        <v>0</v>
      </c>
      <c r="BM93">
        <f>SUMIF(RawDataTotal!$B:$B,$A93,RawDataTotal!BP:BP)</f>
        <v>0</v>
      </c>
      <c r="BN93">
        <f>SUMIF(RawDataTotal!$B:$B,$A93,RawDataTotal!BQ:BQ)</f>
        <v>0</v>
      </c>
      <c r="BO93">
        <f>SUMIF(RawDataTotal!$B:$B,$A93,RawDataTotal!BR:BR)</f>
        <v>0</v>
      </c>
      <c r="BP93">
        <f>SUMIF(RawDataTotal!$B:$B,$A93,RawDataTotal!BS:BS)</f>
        <v>0</v>
      </c>
      <c r="BQ93">
        <f>SUMIF(RawDataTotal!$B:$B,$A93,RawDataTotal!BT:BT)</f>
        <v>0</v>
      </c>
      <c r="BR93">
        <f>SUMIF(RawDataTotal!$B:$B,$A93,RawDataTotal!BU:BU)</f>
        <v>0</v>
      </c>
      <c r="BS93">
        <f>SUMIF(RawDataTotal!$B:$B,$A93,RawDataTotal!BV:BV)</f>
        <v>0</v>
      </c>
      <c r="BT93">
        <f>SUMIF(RawDataTotal!$B:$B,$A93,RawDataTotal!BW:BW)</f>
        <v>0</v>
      </c>
    </row>
    <row r="94" spans="1:72" ht="15" thickBot="1" x14ac:dyDescent="0.35">
      <c r="A94" s="3" t="s">
        <v>122</v>
      </c>
      <c r="B94">
        <f>SUMIF(RawDataTotal!$B:$B,$A94,RawDataTotal!E:E)</f>
        <v>0</v>
      </c>
      <c r="C94">
        <f>SUMIF(RawDataTotal!$B:$B,$A94,RawDataTotal!F:F)</f>
        <v>0</v>
      </c>
      <c r="D94">
        <f>SUMIF(RawDataTotal!$B:$B,$A94,RawDataTotal!G:G)</f>
        <v>0</v>
      </c>
      <c r="E94">
        <f>SUMIF(RawDataTotal!$B:$B,$A94,RawDataTotal!H:H)</f>
        <v>0</v>
      </c>
      <c r="F94">
        <f>SUMIF(RawDataTotal!$B:$B,$A94,RawDataTotal!I:I)</f>
        <v>0</v>
      </c>
      <c r="G94">
        <f>SUMIF(RawDataTotal!$B:$B,$A94,RawDataTotal!J:J)</f>
        <v>0</v>
      </c>
      <c r="H94">
        <f>SUMIF(RawDataTotal!$B:$B,$A94,RawDataTotal!K:K)</f>
        <v>0</v>
      </c>
      <c r="I94">
        <f>SUMIF(RawDataTotal!$B:$B,$A94,RawDataTotal!L:L)</f>
        <v>0</v>
      </c>
      <c r="J94">
        <f>SUMIF(RawDataTotal!$B:$B,$A94,RawDataTotal!M:M)</f>
        <v>0</v>
      </c>
      <c r="K94">
        <f>SUMIF(RawDataTotal!$B:$B,$A94,RawDataTotal!N:N)</f>
        <v>0</v>
      </c>
      <c r="L94">
        <f>SUMIF(RawDataTotal!$B:$B,$A94,RawDataTotal!O:O)</f>
        <v>0</v>
      </c>
      <c r="M94">
        <f>SUMIF(RawDataTotal!$B:$B,$A94,RawDataTotal!P:P)</f>
        <v>0</v>
      </c>
      <c r="N94">
        <f>SUMIF(RawDataTotal!$B:$B,$A94,RawDataTotal!Q:Q)</f>
        <v>0</v>
      </c>
      <c r="O94">
        <f>SUMIF(RawDataTotal!$B:$B,$A94,RawDataTotal!R:R)</f>
        <v>0</v>
      </c>
      <c r="P94">
        <f>SUMIF(RawDataTotal!$B:$B,$A94,RawDataTotal!S:S)</f>
        <v>0</v>
      </c>
      <c r="Q94">
        <f>SUMIF(RawDataTotal!$B:$B,$A94,RawDataTotal!T:T)</f>
        <v>0</v>
      </c>
      <c r="R94">
        <f>SUMIF(RawDataTotal!$B:$B,$A94,RawDataTotal!U:U)</f>
        <v>0</v>
      </c>
      <c r="S94">
        <f>SUMIF(RawDataTotal!$B:$B,$A94,RawDataTotal!V:V)</f>
        <v>0</v>
      </c>
      <c r="T94">
        <f>SUMIF(RawDataTotal!$B:$B,$A94,RawDataTotal!W:W)</f>
        <v>0</v>
      </c>
      <c r="U94">
        <f>SUMIF(RawDataTotal!$B:$B,$A94,RawDataTotal!X:X)</f>
        <v>0</v>
      </c>
      <c r="V94">
        <f>SUMIF(RawDataTotal!$B:$B,$A94,RawDataTotal!Y:Y)</f>
        <v>0</v>
      </c>
      <c r="W94">
        <f>SUMIF(RawDataTotal!$B:$B,$A94,RawDataTotal!Z:Z)</f>
        <v>0</v>
      </c>
      <c r="X94">
        <f>SUMIF(RawDataTotal!$B:$B,$A94,RawDataTotal!AA:AA)</f>
        <v>0</v>
      </c>
      <c r="Y94">
        <f>SUMIF(RawDataTotal!$B:$B,$A94,RawDataTotal!AB:AB)</f>
        <v>0</v>
      </c>
      <c r="Z94">
        <f>SUMIF(RawDataTotal!$B:$B,$A94,RawDataTotal!AC:AC)</f>
        <v>0</v>
      </c>
      <c r="AA94">
        <f>SUMIF(RawDataTotal!$B:$B,$A94,RawDataTotal!AD:AD)</f>
        <v>0</v>
      </c>
      <c r="AB94">
        <f>SUMIF(RawDataTotal!$B:$B,$A94,RawDataTotal!AE:AE)</f>
        <v>0</v>
      </c>
      <c r="AC94">
        <f>SUMIF(RawDataTotal!$B:$B,$A94,RawDataTotal!AF:AF)</f>
        <v>0</v>
      </c>
      <c r="AD94">
        <f>SUMIF(RawDataTotal!$B:$B,$A94,RawDataTotal!AG:AG)</f>
        <v>0</v>
      </c>
      <c r="AE94">
        <f>SUMIF(RawDataTotal!$B:$B,$A94,RawDataTotal!AH:AH)</f>
        <v>0</v>
      </c>
      <c r="AF94">
        <f>SUMIF(RawDataTotal!$B:$B,$A94,RawDataTotal!AI:AI)</f>
        <v>0</v>
      </c>
      <c r="AG94">
        <f>SUMIF(RawDataTotal!$B:$B,$A94,RawDataTotal!AJ:AJ)</f>
        <v>0</v>
      </c>
      <c r="AH94">
        <f>SUMIF(RawDataTotal!$B:$B,$A94,RawDataTotal!AK:AK)</f>
        <v>0</v>
      </c>
      <c r="AI94">
        <f>SUMIF(RawDataTotal!$B:$B,$A94,RawDataTotal!AL:AL)</f>
        <v>0</v>
      </c>
      <c r="AJ94">
        <f>SUMIF(RawDataTotal!$B:$B,$A94,RawDataTotal!AM:AM)</f>
        <v>0</v>
      </c>
      <c r="AK94">
        <f>SUMIF(RawDataTotal!$B:$B,$A94,RawDataTotal!AN:AN)</f>
        <v>0</v>
      </c>
      <c r="AL94">
        <f>SUMIF(RawDataTotal!$B:$B,$A94,RawDataTotal!AO:AO)</f>
        <v>0</v>
      </c>
      <c r="AM94">
        <f>SUMIF(RawDataTotal!$B:$B,$A94,RawDataTotal!AP:AP)</f>
        <v>1</v>
      </c>
      <c r="AN94">
        <f>SUMIF(RawDataTotal!$B:$B,$A94,RawDataTotal!AQ:AQ)</f>
        <v>1</v>
      </c>
      <c r="AO94">
        <f>SUMIF(RawDataTotal!$B:$B,$A94,RawDataTotal!AR:AR)</f>
        <v>1</v>
      </c>
      <c r="AP94">
        <f>SUMIF(RawDataTotal!$B:$B,$A94,RawDataTotal!AS:AS)</f>
        <v>1</v>
      </c>
      <c r="AQ94">
        <f>SUMIF(RawDataTotal!$B:$B,$A94,RawDataTotal!AT:AT)</f>
        <v>1</v>
      </c>
      <c r="AR94">
        <f>SUMIF(RawDataTotal!$B:$B,$A94,RawDataTotal!AU:AU)</f>
        <v>3</v>
      </c>
      <c r="AS94">
        <f>SUMIF(RawDataTotal!$B:$B,$A94,RawDataTotal!AV:AV)</f>
        <v>3</v>
      </c>
      <c r="AT94">
        <f>SUMIF(RawDataTotal!$B:$B,$A94,RawDataTotal!AW:AW)</f>
        <v>4</v>
      </c>
      <c r="AU94">
        <f>SUMIF(RawDataTotal!$B:$B,$A94,RawDataTotal!AX:AX)</f>
        <v>5</v>
      </c>
      <c r="AV94">
        <f>SUMIF(RawDataTotal!$B:$B,$A94,RawDataTotal!AY:AY)</f>
        <v>5</v>
      </c>
      <c r="AW94">
        <f>SUMIF(RawDataTotal!$B:$B,$A94,RawDataTotal!AZ:AZ)</f>
        <v>5</v>
      </c>
      <c r="AX94">
        <f>SUMIF(RawDataTotal!$B:$B,$A94,RawDataTotal!BA:BA)</f>
        <v>5</v>
      </c>
      <c r="AY94">
        <f>SUMIF(RawDataTotal!$B:$B,$A94,RawDataTotal!BB:BB)</f>
        <v>5</v>
      </c>
      <c r="AZ94">
        <f>SUMIF(RawDataTotal!$B:$B,$A94,RawDataTotal!BC:BC)</f>
        <v>5</v>
      </c>
      <c r="BA94">
        <f>SUMIF(RawDataTotal!$B:$B,$A94,RawDataTotal!BD:BD)</f>
        <v>5</v>
      </c>
      <c r="BB94">
        <f>SUMIF(RawDataTotal!$B:$B,$A94,RawDataTotal!BE:BE)</f>
        <v>6</v>
      </c>
      <c r="BC94">
        <f>SUMIF(RawDataTotal!$B:$B,$A94,RawDataTotal!BF:BF)</f>
        <v>8</v>
      </c>
      <c r="BD94">
        <f>SUMIF(RawDataTotal!$B:$B,$A94,RawDataTotal!BG:BG)</f>
        <v>8</v>
      </c>
      <c r="BE94">
        <f>SUMIF(RawDataTotal!$B:$B,$A94,RawDataTotal!BH:BH)</f>
        <v>12</v>
      </c>
      <c r="BF94">
        <f>SUMIF(RawDataTotal!$B:$B,$A94,RawDataTotal!BI:BI)</f>
        <v>0</v>
      </c>
      <c r="BG94">
        <f>SUMIF(RawDataTotal!$B:$B,$A94,RawDataTotal!BJ:BJ)</f>
        <v>0</v>
      </c>
      <c r="BH94">
        <f>SUMIF(RawDataTotal!$B:$B,$A94,RawDataTotal!BK:BK)</f>
        <v>0</v>
      </c>
      <c r="BI94">
        <f>SUMIF(RawDataTotal!$B:$B,$A94,RawDataTotal!BL:BL)</f>
        <v>0</v>
      </c>
      <c r="BJ94">
        <f>SUMIF(RawDataTotal!$B:$B,$A94,RawDataTotal!BM:BM)</f>
        <v>0</v>
      </c>
      <c r="BK94">
        <f>SUMIF(RawDataTotal!$B:$B,$A94,RawDataTotal!BN:BN)</f>
        <v>0</v>
      </c>
      <c r="BL94">
        <f>SUMIF(RawDataTotal!$B:$B,$A94,RawDataTotal!BO:BO)</f>
        <v>0</v>
      </c>
      <c r="BM94">
        <f>SUMIF(RawDataTotal!$B:$B,$A94,RawDataTotal!BP:BP)</f>
        <v>0</v>
      </c>
      <c r="BN94">
        <f>SUMIF(RawDataTotal!$B:$B,$A94,RawDataTotal!BQ:BQ)</f>
        <v>0</v>
      </c>
      <c r="BO94">
        <f>SUMIF(RawDataTotal!$B:$B,$A94,RawDataTotal!BR:BR)</f>
        <v>0</v>
      </c>
      <c r="BP94">
        <f>SUMIF(RawDataTotal!$B:$B,$A94,RawDataTotal!BS:BS)</f>
        <v>0</v>
      </c>
      <c r="BQ94">
        <f>SUMIF(RawDataTotal!$B:$B,$A94,RawDataTotal!BT:BT)</f>
        <v>0</v>
      </c>
      <c r="BR94">
        <f>SUMIF(RawDataTotal!$B:$B,$A94,RawDataTotal!BU:BU)</f>
        <v>0</v>
      </c>
      <c r="BS94">
        <f>SUMIF(RawDataTotal!$B:$B,$A94,RawDataTotal!BV:BV)</f>
        <v>0</v>
      </c>
      <c r="BT94">
        <f>SUMIF(RawDataTotal!$B:$B,$A94,RawDataTotal!BW:BW)</f>
        <v>0</v>
      </c>
    </row>
    <row r="95" spans="1:72" ht="15" thickBot="1" x14ac:dyDescent="0.35">
      <c r="A95" s="4" t="s">
        <v>382</v>
      </c>
      <c r="B95">
        <f>SUMIF(RawDataTotal!$B:$B,$A95,RawDataTotal!E:E)</f>
        <v>0</v>
      </c>
      <c r="C95">
        <f>SUMIF(RawDataTotal!$B:$B,$A95,RawDataTotal!F:F)</f>
        <v>0</v>
      </c>
      <c r="D95">
        <f>SUMIF(RawDataTotal!$B:$B,$A95,RawDataTotal!G:G)</f>
        <v>0</v>
      </c>
      <c r="E95">
        <f>SUMIF(RawDataTotal!$B:$B,$A95,RawDataTotal!H:H)</f>
        <v>0</v>
      </c>
      <c r="F95">
        <f>SUMIF(RawDataTotal!$B:$B,$A95,RawDataTotal!I:I)</f>
        <v>0</v>
      </c>
      <c r="G95">
        <f>SUMIF(RawDataTotal!$B:$B,$A95,RawDataTotal!J:J)</f>
        <v>0</v>
      </c>
      <c r="H95">
        <f>SUMIF(RawDataTotal!$B:$B,$A95,RawDataTotal!K:K)</f>
        <v>0</v>
      </c>
      <c r="I95">
        <f>SUMIF(RawDataTotal!$B:$B,$A95,RawDataTotal!L:L)</f>
        <v>0</v>
      </c>
      <c r="J95">
        <f>SUMIF(RawDataTotal!$B:$B,$A95,RawDataTotal!M:M)</f>
        <v>0</v>
      </c>
      <c r="K95">
        <f>SUMIF(RawDataTotal!$B:$B,$A95,RawDataTotal!N:N)</f>
        <v>0</v>
      </c>
      <c r="L95">
        <f>SUMIF(RawDataTotal!$B:$B,$A95,RawDataTotal!O:O)</f>
        <v>0</v>
      </c>
      <c r="M95">
        <f>SUMIF(RawDataTotal!$B:$B,$A95,RawDataTotal!P:P)</f>
        <v>0</v>
      </c>
      <c r="N95">
        <f>SUMIF(RawDataTotal!$B:$B,$A95,RawDataTotal!Q:Q)</f>
        <v>0</v>
      </c>
      <c r="O95">
        <f>SUMIF(RawDataTotal!$B:$B,$A95,RawDataTotal!R:R)</f>
        <v>0</v>
      </c>
      <c r="P95">
        <f>SUMIF(RawDataTotal!$B:$B,$A95,RawDataTotal!S:S)</f>
        <v>0</v>
      </c>
      <c r="Q95">
        <f>SUMIF(RawDataTotal!$B:$B,$A95,RawDataTotal!T:T)</f>
        <v>0</v>
      </c>
      <c r="R95">
        <f>SUMIF(RawDataTotal!$B:$B,$A95,RawDataTotal!U:U)</f>
        <v>0</v>
      </c>
      <c r="S95">
        <f>SUMIF(RawDataTotal!$B:$B,$A95,RawDataTotal!V:V)</f>
        <v>0</v>
      </c>
      <c r="T95">
        <f>SUMIF(RawDataTotal!$B:$B,$A95,RawDataTotal!W:W)</f>
        <v>0</v>
      </c>
      <c r="U95">
        <f>SUMIF(RawDataTotal!$B:$B,$A95,RawDataTotal!X:X)</f>
        <v>0</v>
      </c>
      <c r="V95">
        <f>SUMIF(RawDataTotal!$B:$B,$A95,RawDataTotal!Y:Y)</f>
        <v>0</v>
      </c>
      <c r="W95">
        <f>SUMIF(RawDataTotal!$B:$B,$A95,RawDataTotal!Z:Z)</f>
        <v>0</v>
      </c>
      <c r="X95">
        <f>SUMIF(RawDataTotal!$B:$B,$A95,RawDataTotal!AA:AA)</f>
        <v>0</v>
      </c>
      <c r="Y95">
        <f>SUMIF(RawDataTotal!$B:$B,$A95,RawDataTotal!AB:AB)</f>
        <v>0</v>
      </c>
      <c r="Z95">
        <f>SUMIF(RawDataTotal!$B:$B,$A95,RawDataTotal!AC:AC)</f>
        <v>0</v>
      </c>
      <c r="AA95">
        <f>SUMIF(RawDataTotal!$B:$B,$A95,RawDataTotal!AD:AD)</f>
        <v>0</v>
      </c>
      <c r="AB95">
        <f>SUMIF(RawDataTotal!$B:$B,$A95,RawDataTotal!AE:AE)</f>
        <v>0</v>
      </c>
      <c r="AC95">
        <f>SUMIF(RawDataTotal!$B:$B,$A95,RawDataTotal!AF:AF)</f>
        <v>0</v>
      </c>
      <c r="AD95">
        <f>SUMIF(RawDataTotal!$B:$B,$A95,RawDataTotal!AG:AG)</f>
        <v>0</v>
      </c>
      <c r="AE95">
        <f>SUMIF(RawDataTotal!$B:$B,$A95,RawDataTotal!AH:AH)</f>
        <v>0</v>
      </c>
      <c r="AF95">
        <f>SUMIF(RawDataTotal!$B:$B,$A95,RawDataTotal!AI:AI)</f>
        <v>0</v>
      </c>
      <c r="AG95">
        <f>SUMIF(RawDataTotal!$B:$B,$A95,RawDataTotal!AJ:AJ)</f>
        <v>0</v>
      </c>
      <c r="AH95">
        <f>SUMIF(RawDataTotal!$B:$B,$A95,RawDataTotal!AK:AK)</f>
        <v>0</v>
      </c>
      <c r="AI95">
        <f>SUMIF(RawDataTotal!$B:$B,$A95,RawDataTotal!AL:AL)</f>
        <v>0</v>
      </c>
      <c r="AJ95">
        <f>SUMIF(RawDataTotal!$B:$B,$A95,RawDataTotal!AM:AM)</f>
        <v>0</v>
      </c>
      <c r="AK95">
        <f>SUMIF(RawDataTotal!$B:$B,$A95,RawDataTotal!AN:AN)</f>
        <v>0</v>
      </c>
      <c r="AL95">
        <f>SUMIF(RawDataTotal!$B:$B,$A95,RawDataTotal!AO:AO)</f>
        <v>0</v>
      </c>
      <c r="AM95">
        <f>SUMIF(RawDataTotal!$B:$B,$A95,RawDataTotal!AP:AP)</f>
        <v>0</v>
      </c>
      <c r="AN95">
        <f>SUMIF(RawDataTotal!$B:$B,$A95,RawDataTotal!AQ:AQ)</f>
        <v>0</v>
      </c>
      <c r="AO95">
        <f>SUMIF(RawDataTotal!$B:$B,$A95,RawDataTotal!AR:AR)</f>
        <v>0</v>
      </c>
      <c r="AP95">
        <f>SUMIF(RawDataTotal!$B:$B,$A95,RawDataTotal!AS:AS)</f>
        <v>0</v>
      </c>
      <c r="AQ95">
        <f>SUMIF(RawDataTotal!$B:$B,$A95,RawDataTotal!AT:AT)</f>
        <v>0</v>
      </c>
      <c r="AR95">
        <f>SUMIF(RawDataTotal!$B:$B,$A95,RawDataTotal!AU:AU)</f>
        <v>0</v>
      </c>
      <c r="AS95">
        <f>SUMIF(RawDataTotal!$B:$B,$A95,RawDataTotal!AV:AV)</f>
        <v>0</v>
      </c>
      <c r="AT95">
        <f>SUMIF(RawDataTotal!$B:$B,$A95,RawDataTotal!AW:AW)</f>
        <v>0</v>
      </c>
      <c r="AU95">
        <f>SUMIF(RawDataTotal!$B:$B,$A95,RawDataTotal!AX:AX)</f>
        <v>0</v>
      </c>
      <c r="AV95">
        <f>SUMIF(RawDataTotal!$B:$B,$A95,RawDataTotal!AY:AY)</f>
        <v>0</v>
      </c>
      <c r="AW95">
        <f>SUMIF(RawDataTotal!$B:$B,$A95,RawDataTotal!AZ:AZ)</f>
        <v>0</v>
      </c>
      <c r="AX95">
        <f>SUMIF(RawDataTotal!$B:$B,$A95,RawDataTotal!BA:BA)</f>
        <v>0</v>
      </c>
      <c r="AY95">
        <f>SUMIF(RawDataTotal!$B:$B,$A95,RawDataTotal!BB:BB)</f>
        <v>0</v>
      </c>
      <c r="AZ95">
        <f>SUMIF(RawDataTotal!$B:$B,$A95,RawDataTotal!BC:BC)</f>
        <v>0</v>
      </c>
      <c r="BA95">
        <f>SUMIF(RawDataTotal!$B:$B,$A95,RawDataTotal!BD:BD)</f>
        <v>0</v>
      </c>
      <c r="BB95">
        <f>SUMIF(RawDataTotal!$B:$B,$A95,RawDataTotal!BE:BE)</f>
        <v>0</v>
      </c>
      <c r="BC95">
        <f>SUMIF(RawDataTotal!$B:$B,$A95,RawDataTotal!BF:BF)</f>
        <v>0</v>
      </c>
      <c r="BD95">
        <f>SUMIF(RawDataTotal!$B:$B,$A95,RawDataTotal!BG:BG)</f>
        <v>0</v>
      </c>
      <c r="BE95">
        <f>SUMIF(RawDataTotal!$B:$B,$A95,RawDataTotal!BH:BH)</f>
        <v>0</v>
      </c>
      <c r="BF95">
        <f>SUMIF(RawDataTotal!$B:$B,$A95,RawDataTotal!BI:BI)</f>
        <v>0</v>
      </c>
      <c r="BG95">
        <f>SUMIF(RawDataTotal!$B:$B,$A95,RawDataTotal!BJ:BJ)</f>
        <v>0</v>
      </c>
      <c r="BH95">
        <f>SUMIF(RawDataTotal!$B:$B,$A95,RawDataTotal!BK:BK)</f>
        <v>0</v>
      </c>
      <c r="BI95">
        <f>SUMIF(RawDataTotal!$B:$B,$A95,RawDataTotal!BL:BL)</f>
        <v>0</v>
      </c>
      <c r="BJ95">
        <f>SUMIF(RawDataTotal!$B:$B,$A95,RawDataTotal!BM:BM)</f>
        <v>0</v>
      </c>
      <c r="BK95">
        <f>SUMIF(RawDataTotal!$B:$B,$A95,RawDataTotal!BN:BN)</f>
        <v>0</v>
      </c>
      <c r="BL95">
        <f>SUMIF(RawDataTotal!$B:$B,$A95,RawDataTotal!BO:BO)</f>
        <v>0</v>
      </c>
      <c r="BM95">
        <f>SUMIF(RawDataTotal!$B:$B,$A95,RawDataTotal!BP:BP)</f>
        <v>0</v>
      </c>
      <c r="BN95">
        <f>SUMIF(RawDataTotal!$B:$B,$A95,RawDataTotal!BQ:BQ)</f>
        <v>0</v>
      </c>
      <c r="BO95">
        <f>SUMIF(RawDataTotal!$B:$B,$A95,RawDataTotal!BR:BR)</f>
        <v>0</v>
      </c>
      <c r="BP95">
        <f>SUMIF(RawDataTotal!$B:$B,$A95,RawDataTotal!BS:BS)</f>
        <v>0</v>
      </c>
      <c r="BQ95">
        <f>SUMIF(RawDataTotal!$B:$B,$A95,RawDataTotal!BT:BT)</f>
        <v>0</v>
      </c>
      <c r="BR95">
        <f>SUMIF(RawDataTotal!$B:$B,$A95,RawDataTotal!BU:BU)</f>
        <v>0</v>
      </c>
      <c r="BS95">
        <f>SUMIF(RawDataTotal!$B:$B,$A95,RawDataTotal!BV:BV)</f>
        <v>0</v>
      </c>
      <c r="BT95">
        <f>SUMIF(RawDataTotal!$B:$B,$A95,RawDataTotal!BW:BW)</f>
        <v>0</v>
      </c>
    </row>
    <row r="96" spans="1:72" ht="15" thickBot="1" x14ac:dyDescent="0.35">
      <c r="A96" s="3" t="s">
        <v>383</v>
      </c>
      <c r="B96">
        <f>SUMIF(RawDataTotal!$B:$B,$A96,RawDataTotal!E:E)</f>
        <v>0</v>
      </c>
      <c r="C96">
        <f>SUMIF(RawDataTotal!$B:$B,$A96,RawDataTotal!F:F)</f>
        <v>0</v>
      </c>
      <c r="D96">
        <f>SUMIF(RawDataTotal!$B:$B,$A96,RawDataTotal!G:G)</f>
        <v>0</v>
      </c>
      <c r="E96">
        <f>SUMIF(RawDataTotal!$B:$B,$A96,RawDataTotal!H:H)</f>
        <v>0</v>
      </c>
      <c r="F96">
        <f>SUMIF(RawDataTotal!$B:$B,$A96,RawDataTotal!I:I)</f>
        <v>0</v>
      </c>
      <c r="G96">
        <f>SUMIF(RawDataTotal!$B:$B,$A96,RawDataTotal!J:J)</f>
        <v>0</v>
      </c>
      <c r="H96">
        <f>SUMIF(RawDataTotal!$B:$B,$A96,RawDataTotal!K:K)</f>
        <v>0</v>
      </c>
      <c r="I96">
        <f>SUMIF(RawDataTotal!$B:$B,$A96,RawDataTotal!L:L)</f>
        <v>0</v>
      </c>
      <c r="J96">
        <f>SUMIF(RawDataTotal!$B:$B,$A96,RawDataTotal!M:M)</f>
        <v>0</v>
      </c>
      <c r="K96">
        <f>SUMIF(RawDataTotal!$B:$B,$A96,RawDataTotal!N:N)</f>
        <v>0</v>
      </c>
      <c r="L96">
        <f>SUMIF(RawDataTotal!$B:$B,$A96,RawDataTotal!O:O)</f>
        <v>0</v>
      </c>
      <c r="M96">
        <f>SUMIF(RawDataTotal!$B:$B,$A96,RawDataTotal!P:P)</f>
        <v>0</v>
      </c>
      <c r="N96">
        <f>SUMIF(RawDataTotal!$B:$B,$A96,RawDataTotal!Q:Q)</f>
        <v>0</v>
      </c>
      <c r="O96">
        <f>SUMIF(RawDataTotal!$B:$B,$A96,RawDataTotal!R:R)</f>
        <v>0</v>
      </c>
      <c r="P96">
        <f>SUMIF(RawDataTotal!$B:$B,$A96,RawDataTotal!S:S)</f>
        <v>0</v>
      </c>
      <c r="Q96">
        <f>SUMIF(RawDataTotal!$B:$B,$A96,RawDataTotal!T:T)</f>
        <v>0</v>
      </c>
      <c r="R96">
        <f>SUMIF(RawDataTotal!$B:$B,$A96,RawDataTotal!U:U)</f>
        <v>0</v>
      </c>
      <c r="S96">
        <f>SUMIF(RawDataTotal!$B:$B,$A96,RawDataTotal!V:V)</f>
        <v>0</v>
      </c>
      <c r="T96">
        <f>SUMIF(RawDataTotal!$B:$B,$A96,RawDataTotal!W:W)</f>
        <v>0</v>
      </c>
      <c r="U96">
        <f>SUMIF(RawDataTotal!$B:$B,$A96,RawDataTotal!X:X)</f>
        <v>0</v>
      </c>
      <c r="V96">
        <f>SUMIF(RawDataTotal!$B:$B,$A96,RawDataTotal!Y:Y)</f>
        <v>0</v>
      </c>
      <c r="W96">
        <f>SUMIF(RawDataTotal!$B:$B,$A96,RawDataTotal!Z:Z)</f>
        <v>0</v>
      </c>
      <c r="X96">
        <f>SUMIF(RawDataTotal!$B:$B,$A96,RawDataTotal!AA:AA)</f>
        <v>0</v>
      </c>
      <c r="Y96">
        <f>SUMIF(RawDataTotal!$B:$B,$A96,RawDataTotal!AB:AB)</f>
        <v>0</v>
      </c>
      <c r="Z96">
        <f>SUMIF(RawDataTotal!$B:$B,$A96,RawDataTotal!AC:AC)</f>
        <v>0</v>
      </c>
      <c r="AA96">
        <f>SUMIF(RawDataTotal!$B:$B,$A96,RawDataTotal!AD:AD)</f>
        <v>0</v>
      </c>
      <c r="AB96">
        <f>SUMIF(RawDataTotal!$B:$B,$A96,RawDataTotal!AE:AE)</f>
        <v>0</v>
      </c>
      <c r="AC96">
        <f>SUMIF(RawDataTotal!$B:$B,$A96,RawDataTotal!AF:AF)</f>
        <v>0</v>
      </c>
      <c r="AD96">
        <f>SUMIF(RawDataTotal!$B:$B,$A96,RawDataTotal!AG:AG)</f>
        <v>0</v>
      </c>
      <c r="AE96">
        <f>SUMIF(RawDataTotal!$B:$B,$A96,RawDataTotal!AH:AH)</f>
        <v>0</v>
      </c>
      <c r="AF96">
        <f>SUMIF(RawDataTotal!$B:$B,$A96,RawDataTotal!AI:AI)</f>
        <v>0</v>
      </c>
      <c r="AG96">
        <f>SUMIF(RawDataTotal!$B:$B,$A96,RawDataTotal!AJ:AJ)</f>
        <v>0</v>
      </c>
      <c r="AH96">
        <f>SUMIF(RawDataTotal!$B:$B,$A96,RawDataTotal!AK:AK)</f>
        <v>0</v>
      </c>
      <c r="AI96">
        <f>SUMIF(RawDataTotal!$B:$B,$A96,RawDataTotal!AL:AL)</f>
        <v>0</v>
      </c>
      <c r="AJ96">
        <f>SUMIF(RawDataTotal!$B:$B,$A96,RawDataTotal!AM:AM)</f>
        <v>0</v>
      </c>
      <c r="AK96">
        <f>SUMIF(RawDataTotal!$B:$B,$A96,RawDataTotal!AN:AN)</f>
        <v>0</v>
      </c>
      <c r="AL96">
        <f>SUMIF(RawDataTotal!$B:$B,$A96,RawDataTotal!AO:AO)</f>
        <v>0</v>
      </c>
      <c r="AM96">
        <f>SUMIF(RawDataTotal!$B:$B,$A96,RawDataTotal!AP:AP)</f>
        <v>0</v>
      </c>
      <c r="AN96">
        <f>SUMIF(RawDataTotal!$B:$B,$A96,RawDataTotal!AQ:AQ)</f>
        <v>0</v>
      </c>
      <c r="AO96">
        <f>SUMIF(RawDataTotal!$B:$B,$A96,RawDataTotal!AR:AR)</f>
        <v>0</v>
      </c>
      <c r="AP96">
        <f>SUMIF(RawDataTotal!$B:$B,$A96,RawDataTotal!AS:AS)</f>
        <v>0</v>
      </c>
      <c r="AQ96">
        <f>SUMIF(RawDataTotal!$B:$B,$A96,RawDataTotal!AT:AT)</f>
        <v>0</v>
      </c>
      <c r="AR96">
        <f>SUMIF(RawDataTotal!$B:$B,$A96,RawDataTotal!AU:AU)</f>
        <v>0</v>
      </c>
      <c r="AS96">
        <f>SUMIF(RawDataTotal!$B:$B,$A96,RawDataTotal!AV:AV)</f>
        <v>0</v>
      </c>
      <c r="AT96">
        <f>SUMIF(RawDataTotal!$B:$B,$A96,RawDataTotal!AW:AW)</f>
        <v>0</v>
      </c>
      <c r="AU96">
        <f>SUMIF(RawDataTotal!$B:$B,$A96,RawDataTotal!AX:AX)</f>
        <v>0</v>
      </c>
      <c r="AV96">
        <f>SUMIF(RawDataTotal!$B:$B,$A96,RawDataTotal!AY:AY)</f>
        <v>0</v>
      </c>
      <c r="AW96">
        <f>SUMIF(RawDataTotal!$B:$B,$A96,RawDataTotal!AZ:AZ)</f>
        <v>0</v>
      </c>
      <c r="AX96">
        <f>SUMIF(RawDataTotal!$B:$B,$A96,RawDataTotal!BA:BA)</f>
        <v>0</v>
      </c>
      <c r="AY96">
        <f>SUMIF(RawDataTotal!$B:$B,$A96,RawDataTotal!BB:BB)</f>
        <v>1</v>
      </c>
      <c r="AZ96">
        <f>SUMIF(RawDataTotal!$B:$B,$A96,RawDataTotal!BC:BC)</f>
        <v>1</v>
      </c>
      <c r="BA96">
        <f>SUMIF(RawDataTotal!$B:$B,$A96,RawDataTotal!BD:BD)</f>
        <v>5</v>
      </c>
      <c r="BB96">
        <f>SUMIF(RawDataTotal!$B:$B,$A96,RawDataTotal!BE:BE)</f>
        <v>5</v>
      </c>
      <c r="BC96">
        <f>SUMIF(RawDataTotal!$B:$B,$A96,RawDataTotal!BF:BF)</f>
        <v>6</v>
      </c>
      <c r="BD96">
        <f>SUMIF(RawDataTotal!$B:$B,$A96,RawDataTotal!BG:BG)</f>
        <v>18</v>
      </c>
      <c r="BE96">
        <f>SUMIF(RawDataTotal!$B:$B,$A96,RawDataTotal!BH:BH)</f>
        <v>47</v>
      </c>
      <c r="BF96">
        <f>SUMIF(RawDataTotal!$B:$B,$A96,RawDataTotal!BI:BI)</f>
        <v>0</v>
      </c>
      <c r="BG96">
        <f>SUMIF(RawDataTotal!$B:$B,$A96,RawDataTotal!BJ:BJ)</f>
        <v>0</v>
      </c>
      <c r="BH96">
        <f>SUMIF(RawDataTotal!$B:$B,$A96,RawDataTotal!BK:BK)</f>
        <v>0</v>
      </c>
      <c r="BI96">
        <f>SUMIF(RawDataTotal!$B:$B,$A96,RawDataTotal!BL:BL)</f>
        <v>0</v>
      </c>
      <c r="BJ96">
        <f>SUMIF(RawDataTotal!$B:$B,$A96,RawDataTotal!BM:BM)</f>
        <v>0</v>
      </c>
      <c r="BK96">
        <f>SUMIF(RawDataTotal!$B:$B,$A96,RawDataTotal!BN:BN)</f>
        <v>0</v>
      </c>
      <c r="BL96">
        <f>SUMIF(RawDataTotal!$B:$B,$A96,RawDataTotal!BO:BO)</f>
        <v>0</v>
      </c>
      <c r="BM96">
        <f>SUMIF(RawDataTotal!$B:$B,$A96,RawDataTotal!BP:BP)</f>
        <v>0</v>
      </c>
      <c r="BN96">
        <f>SUMIF(RawDataTotal!$B:$B,$A96,RawDataTotal!BQ:BQ)</f>
        <v>0</v>
      </c>
      <c r="BO96">
        <f>SUMIF(RawDataTotal!$B:$B,$A96,RawDataTotal!BR:BR)</f>
        <v>0</v>
      </c>
      <c r="BP96">
        <f>SUMIF(RawDataTotal!$B:$B,$A96,RawDataTotal!BS:BS)</f>
        <v>0</v>
      </c>
      <c r="BQ96">
        <f>SUMIF(RawDataTotal!$B:$B,$A96,RawDataTotal!BT:BT)</f>
        <v>0</v>
      </c>
      <c r="BR96">
        <f>SUMIF(RawDataTotal!$B:$B,$A96,RawDataTotal!BU:BU)</f>
        <v>0</v>
      </c>
      <c r="BS96">
        <f>SUMIF(RawDataTotal!$B:$B,$A96,RawDataTotal!BV:BV)</f>
        <v>0</v>
      </c>
      <c r="BT96">
        <f>SUMIF(RawDataTotal!$B:$B,$A96,RawDataTotal!BW:BW)</f>
        <v>0</v>
      </c>
    </row>
    <row r="97" spans="1:72" ht="15" thickBot="1" x14ac:dyDescent="0.35">
      <c r="A97" s="4" t="s">
        <v>438</v>
      </c>
      <c r="B97">
        <f>SUMIF(RawDataTotal!$B:$B,$A97,RawDataTotal!E:E)</f>
        <v>0</v>
      </c>
      <c r="C97">
        <f>SUMIF(RawDataTotal!$B:$B,$A97,RawDataTotal!F:F)</f>
        <v>0</v>
      </c>
      <c r="D97">
        <f>SUMIF(RawDataTotal!$B:$B,$A97,RawDataTotal!G:G)</f>
        <v>0</v>
      </c>
      <c r="E97">
        <f>SUMIF(RawDataTotal!$B:$B,$A97,RawDataTotal!H:H)</f>
        <v>0</v>
      </c>
      <c r="F97">
        <f>SUMIF(RawDataTotal!$B:$B,$A97,RawDataTotal!I:I)</f>
        <v>0</v>
      </c>
      <c r="G97">
        <f>SUMIF(RawDataTotal!$B:$B,$A97,RawDataTotal!J:J)</f>
        <v>0</v>
      </c>
      <c r="H97">
        <f>SUMIF(RawDataTotal!$B:$B,$A97,RawDataTotal!K:K)</f>
        <v>0</v>
      </c>
      <c r="I97">
        <f>SUMIF(RawDataTotal!$B:$B,$A97,RawDataTotal!L:L)</f>
        <v>0</v>
      </c>
      <c r="J97">
        <f>SUMIF(RawDataTotal!$B:$B,$A97,RawDataTotal!M:M)</f>
        <v>0</v>
      </c>
      <c r="K97">
        <f>SUMIF(RawDataTotal!$B:$B,$A97,RawDataTotal!N:N)</f>
        <v>0</v>
      </c>
      <c r="L97">
        <f>SUMIF(RawDataTotal!$B:$B,$A97,RawDataTotal!O:O)</f>
        <v>0</v>
      </c>
      <c r="M97">
        <f>SUMIF(RawDataTotal!$B:$B,$A97,RawDataTotal!P:P)</f>
        <v>0</v>
      </c>
      <c r="N97">
        <f>SUMIF(RawDataTotal!$B:$B,$A97,RawDataTotal!Q:Q)</f>
        <v>0</v>
      </c>
      <c r="O97">
        <f>SUMIF(RawDataTotal!$B:$B,$A97,RawDataTotal!R:R)</f>
        <v>0</v>
      </c>
      <c r="P97">
        <f>SUMIF(RawDataTotal!$B:$B,$A97,RawDataTotal!S:S)</f>
        <v>0</v>
      </c>
      <c r="Q97">
        <f>SUMIF(RawDataTotal!$B:$B,$A97,RawDataTotal!T:T)</f>
        <v>0</v>
      </c>
      <c r="R97">
        <f>SUMIF(RawDataTotal!$B:$B,$A97,RawDataTotal!U:U)</f>
        <v>0</v>
      </c>
      <c r="S97">
        <f>SUMIF(RawDataTotal!$B:$B,$A97,RawDataTotal!V:V)</f>
        <v>0</v>
      </c>
      <c r="T97">
        <f>SUMIF(RawDataTotal!$B:$B,$A97,RawDataTotal!W:W)</f>
        <v>0</v>
      </c>
      <c r="U97">
        <f>SUMIF(RawDataTotal!$B:$B,$A97,RawDataTotal!X:X)</f>
        <v>0</v>
      </c>
      <c r="V97">
        <f>SUMIF(RawDataTotal!$B:$B,$A97,RawDataTotal!Y:Y)</f>
        <v>0</v>
      </c>
      <c r="W97">
        <f>SUMIF(RawDataTotal!$B:$B,$A97,RawDataTotal!Z:Z)</f>
        <v>0</v>
      </c>
      <c r="X97">
        <f>SUMIF(RawDataTotal!$B:$B,$A97,RawDataTotal!AA:AA)</f>
        <v>0</v>
      </c>
      <c r="Y97">
        <f>SUMIF(RawDataTotal!$B:$B,$A97,RawDataTotal!AB:AB)</f>
        <v>0</v>
      </c>
      <c r="Z97">
        <f>SUMIF(RawDataTotal!$B:$B,$A97,RawDataTotal!AC:AC)</f>
        <v>0</v>
      </c>
      <c r="AA97">
        <f>SUMIF(RawDataTotal!$B:$B,$A97,RawDataTotal!AD:AD)</f>
        <v>0</v>
      </c>
      <c r="AB97">
        <f>SUMIF(RawDataTotal!$B:$B,$A97,RawDataTotal!AE:AE)</f>
        <v>0</v>
      </c>
      <c r="AC97">
        <f>SUMIF(RawDataTotal!$B:$B,$A97,RawDataTotal!AF:AF)</f>
        <v>0</v>
      </c>
      <c r="AD97">
        <f>SUMIF(RawDataTotal!$B:$B,$A97,RawDataTotal!AG:AG)</f>
        <v>0</v>
      </c>
      <c r="AE97">
        <f>SUMIF(RawDataTotal!$B:$B,$A97,RawDataTotal!AH:AH)</f>
        <v>0</v>
      </c>
      <c r="AF97">
        <f>SUMIF(RawDataTotal!$B:$B,$A97,RawDataTotal!AI:AI)</f>
        <v>0</v>
      </c>
      <c r="AG97">
        <f>SUMIF(RawDataTotal!$B:$B,$A97,RawDataTotal!AJ:AJ)</f>
        <v>0</v>
      </c>
      <c r="AH97">
        <f>SUMIF(RawDataTotal!$B:$B,$A97,RawDataTotal!AK:AK)</f>
        <v>0</v>
      </c>
      <c r="AI97">
        <f>SUMIF(RawDataTotal!$B:$B,$A97,RawDataTotal!AL:AL)</f>
        <v>0</v>
      </c>
      <c r="AJ97">
        <f>SUMIF(RawDataTotal!$B:$B,$A97,RawDataTotal!AM:AM)</f>
        <v>0</v>
      </c>
      <c r="AK97">
        <f>SUMIF(RawDataTotal!$B:$B,$A97,RawDataTotal!AN:AN)</f>
        <v>0</v>
      </c>
      <c r="AL97">
        <f>SUMIF(RawDataTotal!$B:$B,$A97,RawDataTotal!AO:AO)</f>
        <v>0</v>
      </c>
      <c r="AM97">
        <f>SUMIF(RawDataTotal!$B:$B,$A97,RawDataTotal!AP:AP)</f>
        <v>0</v>
      </c>
      <c r="AN97">
        <f>SUMIF(RawDataTotal!$B:$B,$A97,RawDataTotal!AQ:AQ)</f>
        <v>0</v>
      </c>
      <c r="AO97">
        <f>SUMIF(RawDataTotal!$B:$B,$A97,RawDataTotal!AR:AR)</f>
        <v>0</v>
      </c>
      <c r="AP97">
        <f>SUMIF(RawDataTotal!$B:$B,$A97,RawDataTotal!AS:AS)</f>
        <v>0</v>
      </c>
      <c r="AQ97">
        <f>SUMIF(RawDataTotal!$B:$B,$A97,RawDataTotal!AT:AT)</f>
        <v>0</v>
      </c>
      <c r="AR97">
        <f>SUMIF(RawDataTotal!$B:$B,$A97,RawDataTotal!AU:AU)</f>
        <v>0</v>
      </c>
      <c r="AS97">
        <f>SUMIF(RawDataTotal!$B:$B,$A97,RawDataTotal!AV:AV)</f>
        <v>0</v>
      </c>
      <c r="AT97">
        <f>SUMIF(RawDataTotal!$B:$B,$A97,RawDataTotal!AW:AW)</f>
        <v>0</v>
      </c>
      <c r="AU97">
        <f>SUMIF(RawDataTotal!$B:$B,$A97,RawDataTotal!AX:AX)</f>
        <v>0</v>
      </c>
      <c r="AV97">
        <f>SUMIF(RawDataTotal!$B:$B,$A97,RawDataTotal!AY:AY)</f>
        <v>0</v>
      </c>
      <c r="AW97">
        <f>SUMIF(RawDataTotal!$B:$B,$A97,RawDataTotal!AZ:AZ)</f>
        <v>0</v>
      </c>
      <c r="AX97">
        <f>SUMIF(RawDataTotal!$B:$B,$A97,RawDataTotal!BA:BA)</f>
        <v>0</v>
      </c>
      <c r="AY97">
        <f>SUMIF(RawDataTotal!$B:$B,$A97,RawDataTotal!BB:BB)</f>
        <v>0</v>
      </c>
      <c r="AZ97">
        <f>SUMIF(RawDataTotal!$B:$B,$A97,RawDataTotal!BC:BC)</f>
        <v>3</v>
      </c>
      <c r="BA97">
        <f>SUMIF(RawDataTotal!$B:$B,$A97,RawDataTotal!BD:BD)</f>
        <v>4</v>
      </c>
      <c r="BB97">
        <f>SUMIF(RawDataTotal!$B:$B,$A97,RawDataTotal!BE:BE)</f>
        <v>4</v>
      </c>
      <c r="BC97">
        <f>SUMIF(RawDataTotal!$B:$B,$A97,RawDataTotal!BF:BF)</f>
        <v>4</v>
      </c>
      <c r="BD97">
        <f>SUMIF(RawDataTotal!$B:$B,$A97,RawDataTotal!BG:BG)</f>
        <v>4</v>
      </c>
      <c r="BE97">
        <f>SUMIF(RawDataTotal!$B:$B,$A97,RawDataTotal!BH:BH)</f>
        <v>5</v>
      </c>
      <c r="BF97">
        <f>SUMIF(RawDataTotal!$B:$B,$A97,RawDataTotal!BI:BI)</f>
        <v>0</v>
      </c>
      <c r="BG97">
        <f>SUMIF(RawDataTotal!$B:$B,$A97,RawDataTotal!BJ:BJ)</f>
        <v>0</v>
      </c>
      <c r="BH97">
        <f>SUMIF(RawDataTotal!$B:$B,$A97,RawDataTotal!BK:BK)</f>
        <v>0</v>
      </c>
      <c r="BI97">
        <f>SUMIF(RawDataTotal!$B:$B,$A97,RawDataTotal!BL:BL)</f>
        <v>0</v>
      </c>
      <c r="BJ97">
        <f>SUMIF(RawDataTotal!$B:$B,$A97,RawDataTotal!BM:BM)</f>
        <v>0</v>
      </c>
      <c r="BK97">
        <f>SUMIF(RawDataTotal!$B:$B,$A97,RawDataTotal!BN:BN)</f>
        <v>0</v>
      </c>
      <c r="BL97">
        <f>SUMIF(RawDataTotal!$B:$B,$A97,RawDataTotal!BO:BO)</f>
        <v>0</v>
      </c>
      <c r="BM97">
        <f>SUMIF(RawDataTotal!$B:$B,$A97,RawDataTotal!BP:BP)</f>
        <v>0</v>
      </c>
      <c r="BN97">
        <f>SUMIF(RawDataTotal!$B:$B,$A97,RawDataTotal!BQ:BQ)</f>
        <v>0</v>
      </c>
      <c r="BO97">
        <f>SUMIF(RawDataTotal!$B:$B,$A97,RawDataTotal!BR:BR)</f>
        <v>0</v>
      </c>
      <c r="BP97">
        <f>SUMIF(RawDataTotal!$B:$B,$A97,RawDataTotal!BS:BS)</f>
        <v>0</v>
      </c>
      <c r="BQ97">
        <f>SUMIF(RawDataTotal!$B:$B,$A97,RawDataTotal!BT:BT)</f>
        <v>0</v>
      </c>
      <c r="BR97">
        <f>SUMIF(RawDataTotal!$B:$B,$A97,RawDataTotal!BU:BU)</f>
        <v>0</v>
      </c>
      <c r="BS97">
        <f>SUMIF(RawDataTotal!$B:$B,$A97,RawDataTotal!BV:BV)</f>
        <v>0</v>
      </c>
      <c r="BT97">
        <f>SUMIF(RawDataTotal!$B:$B,$A97,RawDataTotal!BW:BW)</f>
        <v>0</v>
      </c>
    </row>
    <row r="98" spans="1:72" ht="15" thickBot="1" x14ac:dyDescent="0.35">
      <c r="A98" s="4" t="s">
        <v>441</v>
      </c>
      <c r="B98">
        <f>SUMIF(RawDataTotal!$B:$B,$A98,RawDataTotal!E:E)</f>
        <v>0</v>
      </c>
      <c r="C98">
        <f>SUMIF(RawDataTotal!$B:$B,$A98,RawDataTotal!F:F)</f>
        <v>0</v>
      </c>
      <c r="D98">
        <f>SUMIF(RawDataTotal!$B:$B,$A98,RawDataTotal!G:G)</f>
        <v>0</v>
      </c>
      <c r="E98">
        <f>SUMIF(RawDataTotal!$B:$B,$A98,RawDataTotal!H:H)</f>
        <v>0</v>
      </c>
      <c r="F98">
        <f>SUMIF(RawDataTotal!$B:$B,$A98,RawDataTotal!I:I)</f>
        <v>0</v>
      </c>
      <c r="G98">
        <f>SUMIF(RawDataTotal!$B:$B,$A98,RawDataTotal!J:J)</f>
        <v>0</v>
      </c>
      <c r="H98">
        <f>SUMIF(RawDataTotal!$B:$B,$A98,RawDataTotal!K:K)</f>
        <v>0</v>
      </c>
      <c r="I98">
        <f>SUMIF(RawDataTotal!$B:$B,$A98,RawDataTotal!L:L)</f>
        <v>0</v>
      </c>
      <c r="J98">
        <f>SUMIF(RawDataTotal!$B:$B,$A98,RawDataTotal!M:M)</f>
        <v>0</v>
      </c>
      <c r="K98">
        <f>SUMIF(RawDataTotal!$B:$B,$A98,RawDataTotal!N:N)</f>
        <v>0</v>
      </c>
      <c r="L98">
        <f>SUMIF(RawDataTotal!$B:$B,$A98,RawDataTotal!O:O)</f>
        <v>0</v>
      </c>
      <c r="M98">
        <f>SUMIF(RawDataTotal!$B:$B,$A98,RawDataTotal!P:P)</f>
        <v>0</v>
      </c>
      <c r="N98">
        <f>SUMIF(RawDataTotal!$B:$B,$A98,RawDataTotal!Q:Q)</f>
        <v>0</v>
      </c>
      <c r="O98">
        <f>SUMIF(RawDataTotal!$B:$B,$A98,RawDataTotal!R:R)</f>
        <v>0</v>
      </c>
      <c r="P98">
        <f>SUMIF(RawDataTotal!$B:$B,$A98,RawDataTotal!S:S)</f>
        <v>0</v>
      </c>
      <c r="Q98">
        <f>SUMIF(RawDataTotal!$B:$B,$A98,RawDataTotal!T:T)</f>
        <v>0</v>
      </c>
      <c r="R98">
        <f>SUMIF(RawDataTotal!$B:$B,$A98,RawDataTotal!U:U)</f>
        <v>0</v>
      </c>
      <c r="S98">
        <f>SUMIF(RawDataTotal!$B:$B,$A98,RawDataTotal!V:V)</f>
        <v>0</v>
      </c>
      <c r="T98">
        <f>SUMIF(RawDataTotal!$B:$B,$A98,RawDataTotal!W:W)</f>
        <v>0</v>
      </c>
      <c r="U98">
        <f>SUMIF(RawDataTotal!$B:$B,$A98,RawDataTotal!X:X)</f>
        <v>0</v>
      </c>
      <c r="V98">
        <f>SUMIF(RawDataTotal!$B:$B,$A98,RawDataTotal!Y:Y)</f>
        <v>0</v>
      </c>
      <c r="W98">
        <f>SUMIF(RawDataTotal!$B:$B,$A98,RawDataTotal!Z:Z)</f>
        <v>0</v>
      </c>
      <c r="X98">
        <f>SUMIF(RawDataTotal!$B:$B,$A98,RawDataTotal!AA:AA)</f>
        <v>0</v>
      </c>
      <c r="Y98">
        <f>SUMIF(RawDataTotal!$B:$B,$A98,RawDataTotal!AB:AB)</f>
        <v>0</v>
      </c>
      <c r="Z98">
        <f>SUMIF(RawDataTotal!$B:$B,$A98,RawDataTotal!AC:AC)</f>
        <v>0</v>
      </c>
      <c r="AA98">
        <f>SUMIF(RawDataTotal!$B:$B,$A98,RawDataTotal!AD:AD)</f>
        <v>0</v>
      </c>
      <c r="AB98">
        <f>SUMIF(RawDataTotal!$B:$B,$A98,RawDataTotal!AE:AE)</f>
        <v>0</v>
      </c>
      <c r="AC98">
        <f>SUMIF(RawDataTotal!$B:$B,$A98,RawDataTotal!AF:AF)</f>
        <v>0</v>
      </c>
      <c r="AD98">
        <f>SUMIF(RawDataTotal!$B:$B,$A98,RawDataTotal!AG:AG)</f>
        <v>0</v>
      </c>
      <c r="AE98">
        <f>SUMIF(RawDataTotal!$B:$B,$A98,RawDataTotal!AH:AH)</f>
        <v>0</v>
      </c>
      <c r="AF98">
        <f>SUMIF(RawDataTotal!$B:$B,$A98,RawDataTotal!AI:AI)</f>
        <v>0</v>
      </c>
      <c r="AG98">
        <f>SUMIF(RawDataTotal!$B:$B,$A98,RawDataTotal!AJ:AJ)</f>
        <v>0</v>
      </c>
      <c r="AH98">
        <f>SUMIF(RawDataTotal!$B:$B,$A98,RawDataTotal!AK:AK)</f>
        <v>0</v>
      </c>
      <c r="AI98">
        <f>SUMIF(RawDataTotal!$B:$B,$A98,RawDataTotal!AL:AL)</f>
        <v>0</v>
      </c>
      <c r="AJ98">
        <f>SUMIF(RawDataTotal!$B:$B,$A98,RawDataTotal!AM:AM)</f>
        <v>0</v>
      </c>
      <c r="AK98">
        <f>SUMIF(RawDataTotal!$B:$B,$A98,RawDataTotal!AN:AN)</f>
        <v>0</v>
      </c>
      <c r="AL98">
        <f>SUMIF(RawDataTotal!$B:$B,$A98,RawDataTotal!AO:AO)</f>
        <v>0</v>
      </c>
      <c r="AM98">
        <f>SUMIF(RawDataTotal!$B:$B,$A98,RawDataTotal!AP:AP)</f>
        <v>0</v>
      </c>
      <c r="AN98">
        <f>SUMIF(RawDataTotal!$B:$B,$A98,RawDataTotal!AQ:AQ)</f>
        <v>0</v>
      </c>
      <c r="AO98">
        <f>SUMIF(RawDataTotal!$B:$B,$A98,RawDataTotal!AR:AR)</f>
        <v>0</v>
      </c>
      <c r="AP98">
        <f>SUMIF(RawDataTotal!$B:$B,$A98,RawDataTotal!AS:AS)</f>
        <v>0</v>
      </c>
      <c r="AQ98">
        <f>SUMIF(RawDataTotal!$B:$B,$A98,RawDataTotal!AT:AT)</f>
        <v>0</v>
      </c>
      <c r="AR98">
        <f>SUMIF(RawDataTotal!$B:$B,$A98,RawDataTotal!AU:AU)</f>
        <v>0</v>
      </c>
      <c r="AS98">
        <f>SUMIF(RawDataTotal!$B:$B,$A98,RawDataTotal!AV:AV)</f>
        <v>0</v>
      </c>
      <c r="AT98">
        <f>SUMIF(RawDataTotal!$B:$B,$A98,RawDataTotal!AW:AW)</f>
        <v>0</v>
      </c>
      <c r="AU98">
        <f>SUMIF(RawDataTotal!$B:$B,$A98,RawDataTotal!AX:AX)</f>
        <v>0</v>
      </c>
      <c r="AV98">
        <f>SUMIF(RawDataTotal!$B:$B,$A98,RawDataTotal!AY:AY)</f>
        <v>0</v>
      </c>
      <c r="AW98">
        <f>SUMIF(RawDataTotal!$B:$B,$A98,RawDataTotal!AZ:AZ)</f>
        <v>0</v>
      </c>
      <c r="AX98">
        <f>SUMIF(RawDataTotal!$B:$B,$A98,RawDataTotal!BA:BA)</f>
        <v>0</v>
      </c>
      <c r="AY98">
        <f>SUMIF(RawDataTotal!$B:$B,$A98,RawDataTotal!BB:BB)</f>
        <v>0</v>
      </c>
      <c r="AZ98">
        <f>SUMIF(RawDataTotal!$B:$B,$A98,RawDataTotal!BC:BC)</f>
        <v>0</v>
      </c>
      <c r="BA98">
        <f>SUMIF(RawDataTotal!$B:$B,$A98,RawDataTotal!BD:BD)</f>
        <v>4</v>
      </c>
      <c r="BB98">
        <f>SUMIF(RawDataTotal!$B:$B,$A98,RawDataTotal!BE:BE)</f>
        <v>6</v>
      </c>
      <c r="BC98">
        <f>SUMIF(RawDataTotal!$B:$B,$A98,RawDataTotal!BF:BF)</f>
        <v>9</v>
      </c>
      <c r="BD98">
        <f>SUMIF(RawDataTotal!$B:$B,$A98,RawDataTotal!BG:BG)</f>
        <v>10</v>
      </c>
      <c r="BE98">
        <f>SUMIF(RawDataTotal!$B:$B,$A98,RawDataTotal!BH:BH)</f>
        <v>33</v>
      </c>
      <c r="BF98">
        <f>SUMIF(RawDataTotal!$B:$B,$A98,RawDataTotal!BI:BI)</f>
        <v>0</v>
      </c>
      <c r="BG98">
        <f>SUMIF(RawDataTotal!$B:$B,$A98,RawDataTotal!BJ:BJ)</f>
        <v>0</v>
      </c>
      <c r="BH98">
        <f>SUMIF(RawDataTotal!$B:$B,$A98,RawDataTotal!BK:BK)</f>
        <v>0</v>
      </c>
      <c r="BI98">
        <f>SUMIF(RawDataTotal!$B:$B,$A98,RawDataTotal!BL:BL)</f>
        <v>0</v>
      </c>
      <c r="BJ98">
        <f>SUMIF(RawDataTotal!$B:$B,$A98,RawDataTotal!BM:BM)</f>
        <v>0</v>
      </c>
      <c r="BK98">
        <f>SUMIF(RawDataTotal!$B:$B,$A98,RawDataTotal!BN:BN)</f>
        <v>0</v>
      </c>
      <c r="BL98">
        <f>SUMIF(RawDataTotal!$B:$B,$A98,RawDataTotal!BO:BO)</f>
        <v>0</v>
      </c>
      <c r="BM98">
        <f>SUMIF(RawDataTotal!$B:$B,$A98,RawDataTotal!BP:BP)</f>
        <v>0</v>
      </c>
      <c r="BN98">
        <f>SUMIF(RawDataTotal!$B:$B,$A98,RawDataTotal!BQ:BQ)</f>
        <v>0</v>
      </c>
      <c r="BO98">
        <f>SUMIF(RawDataTotal!$B:$B,$A98,RawDataTotal!BR:BR)</f>
        <v>0</v>
      </c>
      <c r="BP98">
        <f>SUMIF(RawDataTotal!$B:$B,$A98,RawDataTotal!BS:BS)</f>
        <v>0</v>
      </c>
      <c r="BQ98">
        <f>SUMIF(RawDataTotal!$B:$B,$A98,RawDataTotal!BT:BT)</f>
        <v>0</v>
      </c>
      <c r="BR98">
        <f>SUMIF(RawDataTotal!$B:$B,$A98,RawDataTotal!BU:BU)</f>
        <v>0</v>
      </c>
      <c r="BS98">
        <f>SUMIF(RawDataTotal!$B:$B,$A98,RawDataTotal!BV:BV)</f>
        <v>0</v>
      </c>
      <c r="BT98">
        <f>SUMIF(RawDataTotal!$B:$B,$A98,RawDataTotal!BW:BW)</f>
        <v>0</v>
      </c>
    </row>
    <row r="99" spans="1:72" ht="15" thickBot="1" x14ac:dyDescent="0.35">
      <c r="A99" s="3" t="s">
        <v>229</v>
      </c>
      <c r="B99">
        <f>SUMIF(RawDataTotal!$B:$B,$A99,RawDataTotal!E:E)</f>
        <v>0</v>
      </c>
      <c r="C99">
        <f>SUMIF(RawDataTotal!$B:$B,$A99,RawDataTotal!F:F)</f>
        <v>0</v>
      </c>
      <c r="D99">
        <f>SUMIF(RawDataTotal!$B:$B,$A99,RawDataTotal!G:G)</f>
        <v>0</v>
      </c>
      <c r="E99">
        <f>SUMIF(RawDataTotal!$B:$B,$A99,RawDataTotal!H:H)</f>
        <v>0</v>
      </c>
      <c r="F99">
        <f>SUMIF(RawDataTotal!$B:$B,$A99,RawDataTotal!I:I)</f>
        <v>0</v>
      </c>
      <c r="G99">
        <f>SUMIF(RawDataTotal!$B:$B,$A99,RawDataTotal!J:J)</f>
        <v>0</v>
      </c>
      <c r="H99">
        <f>SUMIF(RawDataTotal!$B:$B,$A99,RawDataTotal!K:K)</f>
        <v>0</v>
      </c>
      <c r="I99">
        <f>SUMIF(RawDataTotal!$B:$B,$A99,RawDataTotal!L:L)</f>
        <v>0</v>
      </c>
      <c r="J99">
        <f>SUMIF(RawDataTotal!$B:$B,$A99,RawDataTotal!M:M)</f>
        <v>0</v>
      </c>
      <c r="K99">
        <f>SUMIF(RawDataTotal!$B:$B,$A99,RawDataTotal!N:N)</f>
        <v>0</v>
      </c>
      <c r="L99">
        <f>SUMIF(RawDataTotal!$B:$B,$A99,RawDataTotal!O:O)</f>
        <v>0</v>
      </c>
      <c r="M99">
        <f>SUMIF(RawDataTotal!$B:$B,$A99,RawDataTotal!P:P)</f>
        <v>0</v>
      </c>
      <c r="N99">
        <f>SUMIF(RawDataTotal!$B:$B,$A99,RawDataTotal!Q:Q)</f>
        <v>0</v>
      </c>
      <c r="O99">
        <f>SUMIF(RawDataTotal!$B:$B,$A99,RawDataTotal!R:R)</f>
        <v>0</v>
      </c>
      <c r="P99">
        <f>SUMIF(RawDataTotal!$B:$B,$A99,RawDataTotal!S:S)</f>
        <v>0</v>
      </c>
      <c r="Q99">
        <f>SUMIF(RawDataTotal!$B:$B,$A99,RawDataTotal!T:T)</f>
        <v>0</v>
      </c>
      <c r="R99">
        <f>SUMIF(RawDataTotal!$B:$B,$A99,RawDataTotal!U:U)</f>
        <v>0</v>
      </c>
      <c r="S99">
        <f>SUMIF(RawDataTotal!$B:$B,$A99,RawDataTotal!V:V)</f>
        <v>0</v>
      </c>
      <c r="T99">
        <f>SUMIF(RawDataTotal!$B:$B,$A99,RawDataTotal!W:W)</f>
        <v>0</v>
      </c>
      <c r="U99">
        <f>SUMIF(RawDataTotal!$B:$B,$A99,RawDataTotal!X:X)</f>
        <v>0</v>
      </c>
      <c r="V99">
        <f>SUMIF(RawDataTotal!$B:$B,$A99,RawDataTotal!Y:Y)</f>
        <v>0</v>
      </c>
      <c r="W99">
        <f>SUMIF(RawDataTotal!$B:$B,$A99,RawDataTotal!Z:Z)</f>
        <v>0</v>
      </c>
      <c r="X99">
        <f>SUMIF(RawDataTotal!$B:$B,$A99,RawDataTotal!AA:AA)</f>
        <v>0</v>
      </c>
      <c r="Y99">
        <f>SUMIF(RawDataTotal!$B:$B,$A99,RawDataTotal!AB:AB)</f>
        <v>0</v>
      </c>
      <c r="Z99">
        <f>SUMIF(RawDataTotal!$B:$B,$A99,RawDataTotal!AC:AC)</f>
        <v>0</v>
      </c>
      <c r="AA99">
        <f>SUMIF(RawDataTotal!$B:$B,$A99,RawDataTotal!AD:AD)</f>
        <v>0</v>
      </c>
      <c r="AB99">
        <f>SUMIF(RawDataTotal!$B:$B,$A99,RawDataTotal!AE:AE)</f>
        <v>0</v>
      </c>
      <c r="AC99">
        <f>SUMIF(RawDataTotal!$B:$B,$A99,RawDataTotal!AF:AF)</f>
        <v>0</v>
      </c>
      <c r="AD99">
        <f>SUMIF(RawDataTotal!$B:$B,$A99,RawDataTotal!AG:AG)</f>
        <v>0</v>
      </c>
      <c r="AE99">
        <f>SUMIF(RawDataTotal!$B:$B,$A99,RawDataTotal!AH:AH)</f>
        <v>0</v>
      </c>
      <c r="AF99">
        <f>SUMIF(RawDataTotal!$B:$B,$A99,RawDataTotal!AI:AI)</f>
        <v>0</v>
      </c>
      <c r="AG99">
        <f>SUMIF(RawDataTotal!$B:$B,$A99,RawDataTotal!AJ:AJ)</f>
        <v>0</v>
      </c>
      <c r="AH99">
        <f>SUMIF(RawDataTotal!$B:$B,$A99,RawDataTotal!AK:AK)</f>
        <v>0</v>
      </c>
      <c r="AI99">
        <f>SUMIF(RawDataTotal!$B:$B,$A99,RawDataTotal!AL:AL)</f>
        <v>0</v>
      </c>
      <c r="AJ99">
        <f>SUMIF(RawDataTotal!$B:$B,$A99,RawDataTotal!AM:AM)</f>
        <v>0</v>
      </c>
      <c r="AK99">
        <f>SUMIF(RawDataTotal!$B:$B,$A99,RawDataTotal!AN:AN)</f>
        <v>0</v>
      </c>
      <c r="AL99">
        <f>SUMIF(RawDataTotal!$B:$B,$A99,RawDataTotal!AO:AO)</f>
        <v>0</v>
      </c>
      <c r="AM99">
        <f>SUMIF(RawDataTotal!$B:$B,$A99,RawDataTotal!AP:AP)</f>
        <v>0</v>
      </c>
      <c r="AN99">
        <f>SUMIF(RawDataTotal!$B:$B,$A99,RawDataTotal!AQ:AQ)</f>
        <v>0</v>
      </c>
      <c r="AO99">
        <f>SUMIF(RawDataTotal!$B:$B,$A99,RawDataTotal!AR:AR)</f>
        <v>0</v>
      </c>
      <c r="AP99">
        <f>SUMIF(RawDataTotal!$B:$B,$A99,RawDataTotal!AS:AS)</f>
        <v>0</v>
      </c>
      <c r="AQ99">
        <f>SUMIF(RawDataTotal!$B:$B,$A99,RawDataTotal!AT:AT)</f>
        <v>0</v>
      </c>
      <c r="AR99">
        <f>SUMIF(RawDataTotal!$B:$B,$A99,RawDataTotal!AU:AU)</f>
        <v>0</v>
      </c>
      <c r="AS99">
        <f>SUMIF(RawDataTotal!$B:$B,$A99,RawDataTotal!AV:AV)</f>
        <v>0</v>
      </c>
      <c r="AT99">
        <f>SUMIF(RawDataTotal!$B:$B,$A99,RawDataTotal!AW:AW)</f>
        <v>0</v>
      </c>
      <c r="AU99">
        <f>SUMIF(RawDataTotal!$B:$B,$A99,RawDataTotal!AX:AX)</f>
        <v>0</v>
      </c>
      <c r="AV99">
        <f>SUMIF(RawDataTotal!$B:$B,$A99,RawDataTotal!AY:AY)</f>
        <v>3</v>
      </c>
      <c r="AW99">
        <f>SUMIF(RawDataTotal!$B:$B,$A99,RawDataTotal!AZ:AZ)</f>
        <v>3</v>
      </c>
      <c r="AX99">
        <f>SUMIF(RawDataTotal!$B:$B,$A99,RawDataTotal!BA:BA)</f>
        <v>3</v>
      </c>
      <c r="AY99">
        <f>SUMIF(RawDataTotal!$B:$B,$A99,RawDataTotal!BB:BB)</f>
        <v>3</v>
      </c>
      <c r="AZ99">
        <f>SUMIF(RawDataTotal!$B:$B,$A99,RawDataTotal!BC:BC)</f>
        <v>3</v>
      </c>
      <c r="BA99">
        <f>SUMIF(RawDataTotal!$B:$B,$A99,RawDataTotal!BD:BD)</f>
        <v>3</v>
      </c>
      <c r="BB99">
        <f>SUMIF(RawDataTotal!$B:$B,$A99,RawDataTotal!BE:BE)</f>
        <v>3</v>
      </c>
      <c r="BC99">
        <f>SUMIF(RawDataTotal!$B:$B,$A99,RawDataTotal!BF:BF)</f>
        <v>5</v>
      </c>
      <c r="BD99">
        <f>SUMIF(RawDataTotal!$B:$B,$A99,RawDataTotal!BG:BG)</f>
        <v>8</v>
      </c>
      <c r="BE99">
        <f>SUMIF(RawDataTotal!$B:$B,$A99,RawDataTotal!BH:BH)</f>
        <v>10</v>
      </c>
      <c r="BF99">
        <f>SUMIF(RawDataTotal!$B:$B,$A99,RawDataTotal!BI:BI)</f>
        <v>0</v>
      </c>
      <c r="BG99">
        <f>SUMIF(RawDataTotal!$B:$B,$A99,RawDataTotal!BJ:BJ)</f>
        <v>0</v>
      </c>
      <c r="BH99">
        <f>SUMIF(RawDataTotal!$B:$B,$A99,RawDataTotal!BK:BK)</f>
        <v>0</v>
      </c>
      <c r="BI99">
        <f>SUMIF(RawDataTotal!$B:$B,$A99,RawDataTotal!BL:BL)</f>
        <v>0</v>
      </c>
      <c r="BJ99">
        <f>SUMIF(RawDataTotal!$B:$B,$A99,RawDataTotal!BM:BM)</f>
        <v>0</v>
      </c>
      <c r="BK99">
        <f>SUMIF(RawDataTotal!$B:$B,$A99,RawDataTotal!BN:BN)</f>
        <v>0</v>
      </c>
      <c r="BL99">
        <f>SUMIF(RawDataTotal!$B:$B,$A99,RawDataTotal!BO:BO)</f>
        <v>0</v>
      </c>
      <c r="BM99">
        <f>SUMIF(RawDataTotal!$B:$B,$A99,RawDataTotal!BP:BP)</f>
        <v>0</v>
      </c>
      <c r="BN99">
        <f>SUMIF(RawDataTotal!$B:$B,$A99,RawDataTotal!BQ:BQ)</f>
        <v>0</v>
      </c>
      <c r="BO99">
        <f>SUMIF(RawDataTotal!$B:$B,$A99,RawDataTotal!BR:BR)</f>
        <v>0</v>
      </c>
      <c r="BP99">
        <f>SUMIF(RawDataTotal!$B:$B,$A99,RawDataTotal!BS:BS)</f>
        <v>0</v>
      </c>
      <c r="BQ99">
        <f>SUMIF(RawDataTotal!$B:$B,$A99,RawDataTotal!BT:BT)</f>
        <v>0</v>
      </c>
      <c r="BR99">
        <f>SUMIF(RawDataTotal!$B:$B,$A99,RawDataTotal!BU:BU)</f>
        <v>0</v>
      </c>
      <c r="BS99">
        <f>SUMIF(RawDataTotal!$B:$B,$A99,RawDataTotal!BV:BV)</f>
        <v>0</v>
      </c>
      <c r="BT99">
        <f>SUMIF(RawDataTotal!$B:$B,$A99,RawDataTotal!BW:BW)</f>
        <v>0</v>
      </c>
    </row>
    <row r="100" spans="1:72" ht="15" thickBot="1" x14ac:dyDescent="0.35">
      <c r="A100" s="3" t="s">
        <v>374</v>
      </c>
      <c r="B100">
        <f>SUMIF(RawDataTotal!$B:$B,$A100,RawDataTotal!E:E)</f>
        <v>0</v>
      </c>
      <c r="C100">
        <f>SUMIF(RawDataTotal!$B:$B,$A100,RawDataTotal!F:F)</f>
        <v>0</v>
      </c>
      <c r="D100">
        <f>SUMIF(RawDataTotal!$B:$B,$A100,RawDataTotal!G:G)</f>
        <v>0</v>
      </c>
      <c r="E100">
        <f>SUMIF(RawDataTotal!$B:$B,$A100,RawDataTotal!H:H)</f>
        <v>0</v>
      </c>
      <c r="F100">
        <f>SUMIF(RawDataTotal!$B:$B,$A100,RawDataTotal!I:I)</f>
        <v>0</v>
      </c>
      <c r="G100">
        <f>SUMIF(RawDataTotal!$B:$B,$A100,RawDataTotal!J:J)</f>
        <v>0</v>
      </c>
      <c r="H100">
        <f>SUMIF(RawDataTotal!$B:$B,$A100,RawDataTotal!K:K)</f>
        <v>0</v>
      </c>
      <c r="I100">
        <f>SUMIF(RawDataTotal!$B:$B,$A100,RawDataTotal!L:L)</f>
        <v>0</v>
      </c>
      <c r="J100">
        <f>SUMIF(RawDataTotal!$B:$B,$A100,RawDataTotal!M:M)</f>
        <v>0</v>
      </c>
      <c r="K100">
        <f>SUMIF(RawDataTotal!$B:$B,$A100,RawDataTotal!N:N)</f>
        <v>0</v>
      </c>
      <c r="L100">
        <f>SUMIF(RawDataTotal!$B:$B,$A100,RawDataTotal!O:O)</f>
        <v>0</v>
      </c>
      <c r="M100">
        <f>SUMIF(RawDataTotal!$B:$B,$A100,RawDataTotal!P:P)</f>
        <v>0</v>
      </c>
      <c r="N100">
        <f>SUMIF(RawDataTotal!$B:$B,$A100,RawDataTotal!Q:Q)</f>
        <v>0</v>
      </c>
      <c r="O100">
        <f>SUMIF(RawDataTotal!$B:$B,$A100,RawDataTotal!R:R)</f>
        <v>0</v>
      </c>
      <c r="P100">
        <f>SUMIF(RawDataTotal!$B:$B,$A100,RawDataTotal!S:S)</f>
        <v>0</v>
      </c>
      <c r="Q100">
        <f>SUMIF(RawDataTotal!$B:$B,$A100,RawDataTotal!T:T)</f>
        <v>0</v>
      </c>
      <c r="R100">
        <f>SUMIF(RawDataTotal!$B:$B,$A100,RawDataTotal!U:U)</f>
        <v>0</v>
      </c>
      <c r="S100">
        <f>SUMIF(RawDataTotal!$B:$B,$A100,RawDataTotal!V:V)</f>
        <v>0</v>
      </c>
      <c r="T100">
        <f>SUMIF(RawDataTotal!$B:$B,$A100,RawDataTotal!W:W)</f>
        <v>0</v>
      </c>
      <c r="U100">
        <f>SUMIF(RawDataTotal!$B:$B,$A100,RawDataTotal!X:X)</f>
        <v>0</v>
      </c>
      <c r="V100">
        <f>SUMIF(RawDataTotal!$B:$B,$A100,RawDataTotal!Y:Y)</f>
        <v>0</v>
      </c>
      <c r="W100">
        <f>SUMIF(RawDataTotal!$B:$B,$A100,RawDataTotal!Z:Z)</f>
        <v>0</v>
      </c>
      <c r="X100">
        <f>SUMIF(RawDataTotal!$B:$B,$A100,RawDataTotal!AA:AA)</f>
        <v>0</v>
      </c>
      <c r="Y100">
        <f>SUMIF(RawDataTotal!$B:$B,$A100,RawDataTotal!AB:AB)</f>
        <v>0</v>
      </c>
      <c r="Z100">
        <f>SUMIF(RawDataTotal!$B:$B,$A100,RawDataTotal!AC:AC)</f>
        <v>0</v>
      </c>
      <c r="AA100">
        <f>SUMIF(RawDataTotal!$B:$B,$A100,RawDataTotal!AD:AD)</f>
        <v>0</v>
      </c>
      <c r="AB100">
        <f>SUMIF(RawDataTotal!$B:$B,$A100,RawDataTotal!AE:AE)</f>
        <v>0</v>
      </c>
      <c r="AC100">
        <f>SUMIF(RawDataTotal!$B:$B,$A100,RawDataTotal!AF:AF)</f>
        <v>0</v>
      </c>
      <c r="AD100">
        <f>SUMIF(RawDataTotal!$B:$B,$A100,RawDataTotal!AG:AG)</f>
        <v>0</v>
      </c>
      <c r="AE100">
        <f>SUMIF(RawDataTotal!$B:$B,$A100,RawDataTotal!AH:AH)</f>
        <v>0</v>
      </c>
      <c r="AF100">
        <f>SUMIF(RawDataTotal!$B:$B,$A100,RawDataTotal!AI:AI)</f>
        <v>0</v>
      </c>
      <c r="AG100">
        <f>SUMIF(RawDataTotal!$B:$B,$A100,RawDataTotal!AJ:AJ)</f>
        <v>0</v>
      </c>
      <c r="AH100">
        <f>SUMIF(RawDataTotal!$B:$B,$A100,RawDataTotal!AK:AK)</f>
        <v>0</v>
      </c>
      <c r="AI100">
        <f>SUMIF(RawDataTotal!$B:$B,$A100,RawDataTotal!AL:AL)</f>
        <v>0</v>
      </c>
      <c r="AJ100">
        <f>SUMIF(RawDataTotal!$B:$B,$A100,RawDataTotal!AM:AM)</f>
        <v>0</v>
      </c>
      <c r="AK100">
        <f>SUMIF(RawDataTotal!$B:$B,$A100,RawDataTotal!AN:AN)</f>
        <v>0</v>
      </c>
      <c r="AL100">
        <f>SUMIF(RawDataTotal!$B:$B,$A100,RawDataTotal!AO:AO)</f>
        <v>0</v>
      </c>
      <c r="AM100">
        <f>SUMIF(RawDataTotal!$B:$B,$A100,RawDataTotal!AP:AP)</f>
        <v>0</v>
      </c>
      <c r="AN100">
        <f>SUMIF(RawDataTotal!$B:$B,$A100,RawDataTotal!AQ:AQ)</f>
        <v>0</v>
      </c>
      <c r="AO100">
        <f>SUMIF(RawDataTotal!$B:$B,$A100,RawDataTotal!AR:AR)</f>
        <v>0</v>
      </c>
      <c r="AP100">
        <f>SUMIF(RawDataTotal!$B:$B,$A100,RawDataTotal!AS:AS)</f>
        <v>0</v>
      </c>
      <c r="AQ100">
        <f>SUMIF(RawDataTotal!$B:$B,$A100,RawDataTotal!AT:AT)</f>
        <v>0</v>
      </c>
      <c r="AR100">
        <f>SUMIF(RawDataTotal!$B:$B,$A100,RawDataTotal!AU:AU)</f>
        <v>0</v>
      </c>
      <c r="AS100">
        <f>SUMIF(RawDataTotal!$B:$B,$A100,RawDataTotal!AV:AV)</f>
        <v>0</v>
      </c>
      <c r="AT100">
        <f>SUMIF(RawDataTotal!$B:$B,$A100,RawDataTotal!AW:AW)</f>
        <v>0</v>
      </c>
      <c r="AU100">
        <f>SUMIF(RawDataTotal!$B:$B,$A100,RawDataTotal!AX:AX)</f>
        <v>0</v>
      </c>
      <c r="AV100">
        <f>SUMIF(RawDataTotal!$B:$B,$A100,RawDataTotal!AY:AY)</f>
        <v>0</v>
      </c>
      <c r="AW100">
        <f>SUMIF(RawDataTotal!$B:$B,$A100,RawDataTotal!AZ:AZ)</f>
        <v>0</v>
      </c>
      <c r="AX100">
        <f>SUMIF(RawDataTotal!$B:$B,$A100,RawDataTotal!BA:BA)</f>
        <v>0</v>
      </c>
      <c r="AY100">
        <f>SUMIF(RawDataTotal!$B:$B,$A100,RawDataTotal!BB:BB)</f>
        <v>2</v>
      </c>
      <c r="AZ100">
        <f>SUMIF(RawDataTotal!$B:$B,$A100,RawDataTotal!BC:BC)</f>
        <v>2</v>
      </c>
      <c r="BA100">
        <f>SUMIF(RawDataTotal!$B:$B,$A100,RawDataTotal!BD:BD)</f>
        <v>3</v>
      </c>
      <c r="BB100">
        <f>SUMIF(RawDataTotal!$B:$B,$A100,RawDataTotal!BE:BE)</f>
        <v>10</v>
      </c>
      <c r="BC100">
        <f>SUMIF(RawDataTotal!$B:$B,$A100,RawDataTotal!BF:BF)</f>
        <v>10</v>
      </c>
      <c r="BD100">
        <f>SUMIF(RawDataTotal!$B:$B,$A100,RawDataTotal!BG:BG)</f>
        <v>11</v>
      </c>
      <c r="BE100">
        <f>SUMIF(RawDataTotal!$B:$B,$A100,RawDataTotal!BH:BH)</f>
        <v>11</v>
      </c>
      <c r="BF100">
        <f>SUMIF(RawDataTotal!$B:$B,$A100,RawDataTotal!BI:BI)</f>
        <v>0</v>
      </c>
      <c r="BG100">
        <f>SUMIF(RawDataTotal!$B:$B,$A100,RawDataTotal!BJ:BJ)</f>
        <v>0</v>
      </c>
      <c r="BH100">
        <f>SUMIF(RawDataTotal!$B:$B,$A100,RawDataTotal!BK:BK)</f>
        <v>0</v>
      </c>
      <c r="BI100">
        <f>SUMIF(RawDataTotal!$B:$B,$A100,RawDataTotal!BL:BL)</f>
        <v>0</v>
      </c>
      <c r="BJ100">
        <f>SUMIF(RawDataTotal!$B:$B,$A100,RawDataTotal!BM:BM)</f>
        <v>0</v>
      </c>
      <c r="BK100">
        <f>SUMIF(RawDataTotal!$B:$B,$A100,RawDataTotal!BN:BN)</f>
        <v>0</v>
      </c>
      <c r="BL100">
        <f>SUMIF(RawDataTotal!$B:$B,$A100,RawDataTotal!BO:BO)</f>
        <v>0</v>
      </c>
      <c r="BM100">
        <f>SUMIF(RawDataTotal!$B:$B,$A100,RawDataTotal!BP:BP)</f>
        <v>0</v>
      </c>
      <c r="BN100">
        <f>SUMIF(RawDataTotal!$B:$B,$A100,RawDataTotal!BQ:BQ)</f>
        <v>0</v>
      </c>
      <c r="BO100">
        <f>SUMIF(RawDataTotal!$B:$B,$A100,RawDataTotal!BR:BR)</f>
        <v>0</v>
      </c>
      <c r="BP100">
        <f>SUMIF(RawDataTotal!$B:$B,$A100,RawDataTotal!BS:BS)</f>
        <v>0</v>
      </c>
      <c r="BQ100">
        <f>SUMIF(RawDataTotal!$B:$B,$A100,RawDataTotal!BT:BT)</f>
        <v>0</v>
      </c>
      <c r="BR100">
        <f>SUMIF(RawDataTotal!$B:$B,$A100,RawDataTotal!BU:BU)</f>
        <v>0</v>
      </c>
      <c r="BS100">
        <f>SUMIF(RawDataTotal!$B:$B,$A100,RawDataTotal!BV:BV)</f>
        <v>0</v>
      </c>
      <c r="BT100">
        <f>SUMIF(RawDataTotal!$B:$B,$A100,RawDataTotal!BW:BW)</f>
        <v>0</v>
      </c>
    </row>
    <row r="101" spans="1:72" ht="15" thickBot="1" x14ac:dyDescent="0.35">
      <c r="A101" s="4" t="s">
        <v>207</v>
      </c>
      <c r="B101">
        <f>SUMIF(RawDataTotal!$B:$B,$A101,RawDataTotal!E:E)</f>
        <v>0</v>
      </c>
      <c r="C101">
        <f>SUMIF(RawDataTotal!$B:$B,$A101,RawDataTotal!F:F)</f>
        <v>0</v>
      </c>
      <c r="D101">
        <f>SUMIF(RawDataTotal!$B:$B,$A101,RawDataTotal!G:G)</f>
        <v>0</v>
      </c>
      <c r="E101">
        <f>SUMIF(RawDataTotal!$B:$B,$A101,RawDataTotal!H:H)</f>
        <v>0</v>
      </c>
      <c r="F101">
        <f>SUMIF(RawDataTotal!$B:$B,$A101,RawDataTotal!I:I)</f>
        <v>0</v>
      </c>
      <c r="G101">
        <f>SUMIF(RawDataTotal!$B:$B,$A101,RawDataTotal!J:J)</f>
        <v>0</v>
      </c>
      <c r="H101">
        <f>SUMIF(RawDataTotal!$B:$B,$A101,RawDataTotal!K:K)</f>
        <v>0</v>
      </c>
      <c r="I101">
        <f>SUMIF(RawDataTotal!$B:$B,$A101,RawDataTotal!L:L)</f>
        <v>0</v>
      </c>
      <c r="J101">
        <f>SUMIF(RawDataTotal!$B:$B,$A101,RawDataTotal!M:M)</f>
        <v>0</v>
      </c>
      <c r="K101">
        <f>SUMIF(RawDataTotal!$B:$B,$A101,RawDataTotal!N:N)</f>
        <v>0</v>
      </c>
      <c r="L101">
        <f>SUMIF(RawDataTotal!$B:$B,$A101,RawDataTotal!O:O)</f>
        <v>0</v>
      </c>
      <c r="M101">
        <f>SUMIF(RawDataTotal!$B:$B,$A101,RawDataTotal!P:P)</f>
        <v>0</v>
      </c>
      <c r="N101">
        <f>SUMIF(RawDataTotal!$B:$B,$A101,RawDataTotal!Q:Q)</f>
        <v>0</v>
      </c>
      <c r="O101">
        <f>SUMIF(RawDataTotal!$B:$B,$A101,RawDataTotal!R:R)</f>
        <v>0</v>
      </c>
      <c r="P101">
        <f>SUMIF(RawDataTotal!$B:$B,$A101,RawDataTotal!S:S)</f>
        <v>0</v>
      </c>
      <c r="Q101">
        <f>SUMIF(RawDataTotal!$B:$B,$A101,RawDataTotal!T:T)</f>
        <v>0</v>
      </c>
      <c r="R101">
        <f>SUMIF(RawDataTotal!$B:$B,$A101,RawDataTotal!U:U)</f>
        <v>0</v>
      </c>
      <c r="S101">
        <f>SUMIF(RawDataTotal!$B:$B,$A101,RawDataTotal!V:V)</f>
        <v>0</v>
      </c>
      <c r="T101">
        <f>SUMIF(RawDataTotal!$B:$B,$A101,RawDataTotal!W:W)</f>
        <v>0</v>
      </c>
      <c r="U101">
        <f>SUMIF(RawDataTotal!$B:$B,$A101,RawDataTotal!X:X)</f>
        <v>0</v>
      </c>
      <c r="V101">
        <f>SUMIF(RawDataTotal!$B:$B,$A101,RawDataTotal!Y:Y)</f>
        <v>0</v>
      </c>
      <c r="W101">
        <f>SUMIF(RawDataTotal!$B:$B,$A101,RawDataTotal!Z:Z)</f>
        <v>0</v>
      </c>
      <c r="X101">
        <f>SUMIF(RawDataTotal!$B:$B,$A101,RawDataTotal!AA:AA)</f>
        <v>0</v>
      </c>
      <c r="Y101">
        <f>SUMIF(RawDataTotal!$B:$B,$A101,RawDataTotal!AB:AB)</f>
        <v>0</v>
      </c>
      <c r="Z101">
        <f>SUMIF(RawDataTotal!$B:$B,$A101,RawDataTotal!AC:AC)</f>
        <v>0</v>
      </c>
      <c r="AA101">
        <f>SUMIF(RawDataTotal!$B:$B,$A101,RawDataTotal!AD:AD)</f>
        <v>0</v>
      </c>
      <c r="AB101">
        <f>SUMIF(RawDataTotal!$B:$B,$A101,RawDataTotal!AE:AE)</f>
        <v>0</v>
      </c>
      <c r="AC101">
        <f>SUMIF(RawDataTotal!$B:$B,$A101,RawDataTotal!AF:AF)</f>
        <v>0</v>
      </c>
      <c r="AD101">
        <f>SUMIF(RawDataTotal!$B:$B,$A101,RawDataTotal!AG:AG)</f>
        <v>0</v>
      </c>
      <c r="AE101">
        <f>SUMIF(RawDataTotal!$B:$B,$A101,RawDataTotal!AH:AH)</f>
        <v>0</v>
      </c>
      <c r="AF101">
        <f>SUMIF(RawDataTotal!$B:$B,$A101,RawDataTotal!AI:AI)</f>
        <v>0</v>
      </c>
      <c r="AG101">
        <f>SUMIF(RawDataTotal!$B:$B,$A101,RawDataTotal!AJ:AJ)</f>
        <v>0</v>
      </c>
      <c r="AH101">
        <f>SUMIF(RawDataTotal!$B:$B,$A101,RawDataTotal!AK:AK)</f>
        <v>0</v>
      </c>
      <c r="AI101">
        <f>SUMIF(RawDataTotal!$B:$B,$A101,RawDataTotal!AL:AL)</f>
        <v>0</v>
      </c>
      <c r="AJ101">
        <f>SUMIF(RawDataTotal!$B:$B,$A101,RawDataTotal!AM:AM)</f>
        <v>0</v>
      </c>
      <c r="AK101">
        <f>SUMIF(RawDataTotal!$B:$B,$A101,RawDataTotal!AN:AN)</f>
        <v>0</v>
      </c>
      <c r="AL101">
        <f>SUMIF(RawDataTotal!$B:$B,$A101,RawDataTotal!AO:AO)</f>
        <v>0</v>
      </c>
      <c r="AM101">
        <f>SUMIF(RawDataTotal!$B:$B,$A101,RawDataTotal!AP:AP)</f>
        <v>0</v>
      </c>
      <c r="AN101">
        <f>SUMIF(RawDataTotal!$B:$B,$A101,RawDataTotal!AQ:AQ)</f>
        <v>0</v>
      </c>
      <c r="AO101">
        <f>SUMIF(RawDataTotal!$B:$B,$A101,RawDataTotal!AR:AR)</f>
        <v>0</v>
      </c>
      <c r="AP101">
        <f>SUMIF(RawDataTotal!$B:$B,$A101,RawDataTotal!AS:AS)</f>
        <v>0</v>
      </c>
      <c r="AQ101">
        <f>SUMIF(RawDataTotal!$B:$B,$A101,RawDataTotal!AT:AT)</f>
        <v>0</v>
      </c>
      <c r="AR101">
        <f>SUMIF(RawDataTotal!$B:$B,$A101,RawDataTotal!AU:AU)</f>
        <v>0</v>
      </c>
      <c r="AS101">
        <f>SUMIF(RawDataTotal!$B:$B,$A101,RawDataTotal!AV:AV)</f>
        <v>0</v>
      </c>
      <c r="AT101">
        <f>SUMIF(RawDataTotal!$B:$B,$A101,RawDataTotal!AW:AW)</f>
        <v>0</v>
      </c>
      <c r="AU101">
        <f>SUMIF(RawDataTotal!$B:$B,$A101,RawDataTotal!AX:AX)</f>
        <v>2</v>
      </c>
      <c r="AV101">
        <f>SUMIF(RawDataTotal!$B:$B,$A101,RawDataTotal!AY:AY)</f>
        <v>2</v>
      </c>
      <c r="AW101">
        <f>SUMIF(RawDataTotal!$B:$B,$A101,RawDataTotal!AZ:AZ)</f>
        <v>2</v>
      </c>
      <c r="AX101">
        <f>SUMIF(RawDataTotal!$B:$B,$A101,RawDataTotal!BA:BA)</f>
        <v>2</v>
      </c>
      <c r="AY101">
        <f>SUMIF(RawDataTotal!$B:$B,$A101,RawDataTotal!BB:BB)</f>
        <v>3</v>
      </c>
      <c r="AZ101">
        <f>SUMIF(RawDataTotal!$B:$B,$A101,RawDataTotal!BC:BC)</f>
        <v>3</v>
      </c>
      <c r="BA101">
        <f>SUMIF(RawDataTotal!$B:$B,$A101,RawDataTotal!BD:BD)</f>
        <v>3</v>
      </c>
      <c r="BB101">
        <f>SUMIF(RawDataTotal!$B:$B,$A101,RawDataTotal!BE:BE)</f>
        <v>9</v>
      </c>
      <c r="BC101">
        <f>SUMIF(RawDataTotal!$B:$B,$A101,RawDataTotal!BF:BF)</f>
        <v>9</v>
      </c>
      <c r="BD101">
        <f>SUMIF(RawDataTotal!$B:$B,$A101,RawDataTotal!BG:BG)</f>
        <v>15</v>
      </c>
      <c r="BE101">
        <f>SUMIF(RawDataTotal!$B:$B,$A101,RawDataTotal!BH:BH)</f>
        <v>16</v>
      </c>
      <c r="BF101">
        <f>SUMIF(RawDataTotal!$B:$B,$A101,RawDataTotal!BI:BI)</f>
        <v>0</v>
      </c>
      <c r="BG101">
        <f>SUMIF(RawDataTotal!$B:$B,$A101,RawDataTotal!BJ:BJ)</f>
        <v>0</v>
      </c>
      <c r="BH101">
        <f>SUMIF(RawDataTotal!$B:$B,$A101,RawDataTotal!BK:BK)</f>
        <v>0</v>
      </c>
      <c r="BI101">
        <f>SUMIF(RawDataTotal!$B:$B,$A101,RawDataTotal!BL:BL)</f>
        <v>0</v>
      </c>
      <c r="BJ101">
        <f>SUMIF(RawDataTotal!$B:$B,$A101,RawDataTotal!BM:BM)</f>
        <v>0</v>
      </c>
      <c r="BK101">
        <f>SUMIF(RawDataTotal!$B:$B,$A101,RawDataTotal!BN:BN)</f>
        <v>0</v>
      </c>
      <c r="BL101">
        <f>SUMIF(RawDataTotal!$B:$B,$A101,RawDataTotal!BO:BO)</f>
        <v>0</v>
      </c>
      <c r="BM101">
        <f>SUMIF(RawDataTotal!$B:$B,$A101,RawDataTotal!BP:BP)</f>
        <v>0</v>
      </c>
      <c r="BN101">
        <f>SUMIF(RawDataTotal!$B:$B,$A101,RawDataTotal!BQ:BQ)</f>
        <v>0</v>
      </c>
      <c r="BO101">
        <f>SUMIF(RawDataTotal!$B:$B,$A101,RawDataTotal!BR:BR)</f>
        <v>0</v>
      </c>
      <c r="BP101">
        <f>SUMIF(RawDataTotal!$B:$B,$A101,RawDataTotal!BS:BS)</f>
        <v>0</v>
      </c>
      <c r="BQ101">
        <f>SUMIF(RawDataTotal!$B:$B,$A101,RawDataTotal!BT:BT)</f>
        <v>0</v>
      </c>
      <c r="BR101">
        <f>SUMIF(RawDataTotal!$B:$B,$A101,RawDataTotal!BU:BU)</f>
        <v>0</v>
      </c>
      <c r="BS101">
        <f>SUMIF(RawDataTotal!$B:$B,$A101,RawDataTotal!BV:BV)</f>
        <v>0</v>
      </c>
      <c r="BT101">
        <f>SUMIF(RawDataTotal!$B:$B,$A101,RawDataTotal!BW:BW)</f>
        <v>0</v>
      </c>
    </row>
    <row r="102" spans="1:72" ht="15" thickBot="1" x14ac:dyDescent="0.35">
      <c r="A102" s="3" t="s">
        <v>156</v>
      </c>
      <c r="B102">
        <f>SUMIF(RawDataTotal!$B:$B,$A102,RawDataTotal!E:E)</f>
        <v>0</v>
      </c>
      <c r="C102">
        <f>SUMIF(RawDataTotal!$B:$B,$A102,RawDataTotal!F:F)</f>
        <v>0</v>
      </c>
      <c r="D102">
        <f>SUMIF(RawDataTotal!$B:$B,$A102,RawDataTotal!G:G)</f>
        <v>0</v>
      </c>
      <c r="E102">
        <f>SUMIF(RawDataTotal!$B:$B,$A102,RawDataTotal!H:H)</f>
        <v>0</v>
      </c>
      <c r="F102">
        <f>SUMIF(RawDataTotal!$B:$B,$A102,RawDataTotal!I:I)</f>
        <v>0</v>
      </c>
      <c r="G102">
        <f>SUMIF(RawDataTotal!$B:$B,$A102,RawDataTotal!J:J)</f>
        <v>0</v>
      </c>
      <c r="H102">
        <f>SUMIF(RawDataTotal!$B:$B,$A102,RawDataTotal!K:K)</f>
        <v>0</v>
      </c>
      <c r="I102">
        <f>SUMIF(RawDataTotal!$B:$B,$A102,RawDataTotal!L:L)</f>
        <v>0</v>
      </c>
      <c r="J102">
        <f>SUMIF(RawDataTotal!$B:$B,$A102,RawDataTotal!M:M)</f>
        <v>0</v>
      </c>
      <c r="K102">
        <f>SUMIF(RawDataTotal!$B:$B,$A102,RawDataTotal!N:N)</f>
        <v>0</v>
      </c>
      <c r="L102">
        <f>SUMIF(RawDataTotal!$B:$B,$A102,RawDataTotal!O:O)</f>
        <v>0</v>
      </c>
      <c r="M102">
        <f>SUMIF(RawDataTotal!$B:$B,$A102,RawDataTotal!P:P)</f>
        <v>0</v>
      </c>
      <c r="N102">
        <f>SUMIF(RawDataTotal!$B:$B,$A102,RawDataTotal!Q:Q)</f>
        <v>0</v>
      </c>
      <c r="O102">
        <f>SUMIF(RawDataTotal!$B:$B,$A102,RawDataTotal!R:R)</f>
        <v>0</v>
      </c>
      <c r="P102">
        <f>SUMIF(RawDataTotal!$B:$B,$A102,RawDataTotal!S:S)</f>
        <v>0</v>
      </c>
      <c r="Q102">
        <f>SUMIF(RawDataTotal!$B:$B,$A102,RawDataTotal!T:T)</f>
        <v>0</v>
      </c>
      <c r="R102">
        <f>SUMIF(RawDataTotal!$B:$B,$A102,RawDataTotal!U:U)</f>
        <v>0</v>
      </c>
      <c r="S102">
        <f>SUMIF(RawDataTotal!$B:$B,$A102,RawDataTotal!V:V)</f>
        <v>0</v>
      </c>
      <c r="T102">
        <f>SUMIF(RawDataTotal!$B:$B,$A102,RawDataTotal!W:W)</f>
        <v>0</v>
      </c>
      <c r="U102">
        <f>SUMIF(RawDataTotal!$B:$B,$A102,RawDataTotal!X:X)</f>
        <v>0</v>
      </c>
      <c r="V102">
        <f>SUMIF(RawDataTotal!$B:$B,$A102,RawDataTotal!Y:Y)</f>
        <v>0</v>
      </c>
      <c r="W102">
        <f>SUMIF(RawDataTotal!$B:$B,$A102,RawDataTotal!Z:Z)</f>
        <v>0</v>
      </c>
      <c r="X102">
        <f>SUMIF(RawDataTotal!$B:$B,$A102,RawDataTotal!AA:AA)</f>
        <v>0</v>
      </c>
      <c r="Y102">
        <f>SUMIF(RawDataTotal!$B:$B,$A102,RawDataTotal!AB:AB)</f>
        <v>0</v>
      </c>
      <c r="Z102">
        <f>SUMIF(RawDataTotal!$B:$B,$A102,RawDataTotal!AC:AC)</f>
        <v>0</v>
      </c>
      <c r="AA102">
        <f>SUMIF(RawDataTotal!$B:$B,$A102,RawDataTotal!AD:AD)</f>
        <v>0</v>
      </c>
      <c r="AB102">
        <f>SUMIF(RawDataTotal!$B:$B,$A102,RawDataTotal!AE:AE)</f>
        <v>0</v>
      </c>
      <c r="AC102">
        <f>SUMIF(RawDataTotal!$B:$B,$A102,RawDataTotal!AF:AF)</f>
        <v>0</v>
      </c>
      <c r="AD102">
        <f>SUMIF(RawDataTotal!$B:$B,$A102,RawDataTotal!AG:AG)</f>
        <v>0</v>
      </c>
      <c r="AE102">
        <f>SUMIF(RawDataTotal!$B:$B,$A102,RawDataTotal!AH:AH)</f>
        <v>0</v>
      </c>
      <c r="AF102">
        <f>SUMIF(RawDataTotal!$B:$B,$A102,RawDataTotal!AI:AI)</f>
        <v>0</v>
      </c>
      <c r="AG102">
        <f>SUMIF(RawDataTotal!$B:$B,$A102,RawDataTotal!AJ:AJ)</f>
        <v>0</v>
      </c>
      <c r="AH102">
        <f>SUMIF(RawDataTotal!$B:$B,$A102,RawDataTotal!AK:AK)</f>
        <v>0</v>
      </c>
      <c r="AI102">
        <f>SUMIF(RawDataTotal!$B:$B,$A102,RawDataTotal!AL:AL)</f>
        <v>0</v>
      </c>
      <c r="AJ102">
        <f>SUMIF(RawDataTotal!$B:$B,$A102,RawDataTotal!AM:AM)</f>
        <v>0</v>
      </c>
      <c r="AK102">
        <f>SUMIF(RawDataTotal!$B:$B,$A102,RawDataTotal!AN:AN)</f>
        <v>0</v>
      </c>
      <c r="AL102">
        <f>SUMIF(RawDataTotal!$B:$B,$A102,RawDataTotal!AO:AO)</f>
        <v>0</v>
      </c>
      <c r="AM102">
        <f>SUMIF(RawDataTotal!$B:$B,$A102,RawDataTotal!AP:AP)</f>
        <v>0</v>
      </c>
      <c r="AN102">
        <f>SUMIF(RawDataTotal!$B:$B,$A102,RawDataTotal!AQ:AQ)</f>
        <v>0</v>
      </c>
      <c r="AO102">
        <f>SUMIF(RawDataTotal!$B:$B,$A102,RawDataTotal!AR:AR)</f>
        <v>0</v>
      </c>
      <c r="AP102">
        <f>SUMIF(RawDataTotal!$B:$B,$A102,RawDataTotal!AS:AS)</f>
        <v>0</v>
      </c>
      <c r="AQ102">
        <f>SUMIF(RawDataTotal!$B:$B,$A102,RawDataTotal!AT:AT)</f>
        <v>1</v>
      </c>
      <c r="AR102">
        <f>SUMIF(RawDataTotal!$B:$B,$A102,RawDataTotal!AU:AU)</f>
        <v>1</v>
      </c>
      <c r="AS102">
        <f>SUMIF(RawDataTotal!$B:$B,$A102,RawDataTotal!AV:AV)</f>
        <v>1</v>
      </c>
      <c r="AT102">
        <f>SUMIF(RawDataTotal!$B:$B,$A102,RawDataTotal!AW:AW)</f>
        <v>1</v>
      </c>
      <c r="AU102">
        <f>SUMIF(RawDataTotal!$B:$B,$A102,RawDataTotal!AX:AX)</f>
        <v>1</v>
      </c>
      <c r="AV102">
        <f>SUMIF(RawDataTotal!$B:$B,$A102,RawDataTotal!AY:AY)</f>
        <v>1</v>
      </c>
      <c r="AW102">
        <f>SUMIF(RawDataTotal!$B:$B,$A102,RawDataTotal!AZ:AZ)</f>
        <v>1</v>
      </c>
      <c r="AX102">
        <f>SUMIF(RawDataTotal!$B:$B,$A102,RawDataTotal!BA:BA)</f>
        <v>1</v>
      </c>
      <c r="AY102">
        <f>SUMIF(RawDataTotal!$B:$B,$A102,RawDataTotal!BB:BB)</f>
        <v>1</v>
      </c>
      <c r="AZ102">
        <f>SUMIF(RawDataTotal!$B:$B,$A102,RawDataTotal!BC:BC)</f>
        <v>1</v>
      </c>
      <c r="BA102">
        <f>SUMIF(RawDataTotal!$B:$B,$A102,RawDataTotal!BD:BD)</f>
        <v>3</v>
      </c>
      <c r="BB102">
        <f>SUMIF(RawDataTotal!$B:$B,$A102,RawDataTotal!BE:BE)</f>
        <v>3</v>
      </c>
      <c r="BC102">
        <f>SUMIF(RawDataTotal!$B:$B,$A102,RawDataTotal!BF:BF)</f>
        <v>3</v>
      </c>
      <c r="BD102">
        <f>SUMIF(RawDataTotal!$B:$B,$A102,RawDataTotal!BG:BG)</f>
        <v>7</v>
      </c>
      <c r="BE102">
        <f>SUMIF(RawDataTotal!$B:$B,$A102,RawDataTotal!BH:BH)</f>
        <v>14</v>
      </c>
      <c r="BF102">
        <f>SUMIF(RawDataTotal!$B:$B,$A102,RawDataTotal!BI:BI)</f>
        <v>0</v>
      </c>
      <c r="BG102">
        <f>SUMIF(RawDataTotal!$B:$B,$A102,RawDataTotal!BJ:BJ)</f>
        <v>0</v>
      </c>
      <c r="BH102">
        <f>SUMIF(RawDataTotal!$B:$B,$A102,RawDataTotal!BK:BK)</f>
        <v>0</v>
      </c>
      <c r="BI102">
        <f>SUMIF(RawDataTotal!$B:$B,$A102,RawDataTotal!BL:BL)</f>
        <v>0</v>
      </c>
      <c r="BJ102">
        <f>SUMIF(RawDataTotal!$B:$B,$A102,RawDataTotal!BM:BM)</f>
        <v>0</v>
      </c>
      <c r="BK102">
        <f>SUMIF(RawDataTotal!$B:$B,$A102,RawDataTotal!BN:BN)</f>
        <v>0</v>
      </c>
      <c r="BL102">
        <f>SUMIF(RawDataTotal!$B:$B,$A102,RawDataTotal!BO:BO)</f>
        <v>0</v>
      </c>
      <c r="BM102">
        <f>SUMIF(RawDataTotal!$B:$B,$A102,RawDataTotal!BP:BP)</f>
        <v>0</v>
      </c>
      <c r="BN102">
        <f>SUMIF(RawDataTotal!$B:$B,$A102,RawDataTotal!BQ:BQ)</f>
        <v>0</v>
      </c>
      <c r="BO102">
        <f>SUMIF(RawDataTotal!$B:$B,$A102,RawDataTotal!BR:BR)</f>
        <v>0</v>
      </c>
      <c r="BP102">
        <f>SUMIF(RawDataTotal!$B:$B,$A102,RawDataTotal!BS:BS)</f>
        <v>0</v>
      </c>
      <c r="BQ102">
        <f>SUMIF(RawDataTotal!$B:$B,$A102,RawDataTotal!BT:BT)</f>
        <v>0</v>
      </c>
      <c r="BR102">
        <f>SUMIF(RawDataTotal!$B:$B,$A102,RawDataTotal!BU:BU)</f>
        <v>0</v>
      </c>
      <c r="BS102">
        <f>SUMIF(RawDataTotal!$B:$B,$A102,RawDataTotal!BV:BV)</f>
        <v>0</v>
      </c>
      <c r="BT102">
        <f>SUMIF(RawDataTotal!$B:$B,$A102,RawDataTotal!BW:BW)</f>
        <v>0</v>
      </c>
    </row>
    <row r="103" spans="1:72" ht="15" thickBot="1" x14ac:dyDescent="0.35">
      <c r="A103" s="3" t="s">
        <v>450</v>
      </c>
      <c r="B103">
        <f>SUMIF(RawDataTotal!$B:$B,$A103,RawDataTotal!E:E)</f>
        <v>0</v>
      </c>
      <c r="C103">
        <f>SUMIF(RawDataTotal!$B:$B,$A103,RawDataTotal!F:F)</f>
        <v>0</v>
      </c>
      <c r="D103">
        <f>SUMIF(RawDataTotal!$B:$B,$A103,RawDataTotal!G:G)</f>
        <v>0</v>
      </c>
      <c r="E103">
        <f>SUMIF(RawDataTotal!$B:$B,$A103,RawDataTotal!H:H)</f>
        <v>0</v>
      </c>
      <c r="F103">
        <f>SUMIF(RawDataTotal!$B:$B,$A103,RawDataTotal!I:I)</f>
        <v>0</v>
      </c>
      <c r="G103">
        <f>SUMIF(RawDataTotal!$B:$B,$A103,RawDataTotal!J:J)</f>
        <v>0</v>
      </c>
      <c r="H103">
        <f>SUMIF(RawDataTotal!$B:$B,$A103,RawDataTotal!K:K)</f>
        <v>0</v>
      </c>
      <c r="I103">
        <f>SUMIF(RawDataTotal!$B:$B,$A103,RawDataTotal!L:L)</f>
        <v>0</v>
      </c>
      <c r="J103">
        <f>SUMIF(RawDataTotal!$B:$B,$A103,RawDataTotal!M:M)</f>
        <v>0</v>
      </c>
      <c r="K103">
        <f>SUMIF(RawDataTotal!$B:$B,$A103,RawDataTotal!N:N)</f>
        <v>0</v>
      </c>
      <c r="L103">
        <f>SUMIF(RawDataTotal!$B:$B,$A103,RawDataTotal!O:O)</f>
        <v>0</v>
      </c>
      <c r="M103">
        <f>SUMIF(RawDataTotal!$B:$B,$A103,RawDataTotal!P:P)</f>
        <v>0</v>
      </c>
      <c r="N103">
        <f>SUMIF(RawDataTotal!$B:$B,$A103,RawDataTotal!Q:Q)</f>
        <v>0</v>
      </c>
      <c r="O103">
        <f>SUMIF(RawDataTotal!$B:$B,$A103,RawDataTotal!R:R)</f>
        <v>0</v>
      </c>
      <c r="P103">
        <f>SUMIF(RawDataTotal!$B:$B,$A103,RawDataTotal!S:S)</f>
        <v>0</v>
      </c>
      <c r="Q103">
        <f>SUMIF(RawDataTotal!$B:$B,$A103,RawDataTotal!T:T)</f>
        <v>0</v>
      </c>
      <c r="R103">
        <f>SUMIF(RawDataTotal!$B:$B,$A103,RawDataTotal!U:U)</f>
        <v>0</v>
      </c>
      <c r="S103">
        <f>SUMIF(RawDataTotal!$B:$B,$A103,RawDataTotal!V:V)</f>
        <v>0</v>
      </c>
      <c r="T103">
        <f>SUMIF(RawDataTotal!$B:$B,$A103,RawDataTotal!W:W)</f>
        <v>0</v>
      </c>
      <c r="U103">
        <f>SUMIF(RawDataTotal!$B:$B,$A103,RawDataTotal!X:X)</f>
        <v>0</v>
      </c>
      <c r="V103">
        <f>SUMIF(RawDataTotal!$B:$B,$A103,RawDataTotal!Y:Y)</f>
        <v>0</v>
      </c>
      <c r="W103">
        <f>SUMIF(RawDataTotal!$B:$B,$A103,RawDataTotal!Z:Z)</f>
        <v>0</v>
      </c>
      <c r="X103">
        <f>SUMIF(RawDataTotal!$B:$B,$A103,RawDataTotal!AA:AA)</f>
        <v>0</v>
      </c>
      <c r="Y103">
        <f>SUMIF(RawDataTotal!$B:$B,$A103,RawDataTotal!AB:AB)</f>
        <v>0</v>
      </c>
      <c r="Z103">
        <f>SUMIF(RawDataTotal!$B:$B,$A103,RawDataTotal!AC:AC)</f>
        <v>0</v>
      </c>
      <c r="AA103">
        <f>SUMIF(RawDataTotal!$B:$B,$A103,RawDataTotal!AD:AD)</f>
        <v>0</v>
      </c>
      <c r="AB103">
        <f>SUMIF(RawDataTotal!$B:$B,$A103,RawDataTotal!AE:AE)</f>
        <v>0</v>
      </c>
      <c r="AC103">
        <f>SUMIF(RawDataTotal!$B:$B,$A103,RawDataTotal!AF:AF)</f>
        <v>0</v>
      </c>
      <c r="AD103">
        <f>SUMIF(RawDataTotal!$B:$B,$A103,RawDataTotal!AG:AG)</f>
        <v>0</v>
      </c>
      <c r="AE103">
        <f>SUMIF(RawDataTotal!$B:$B,$A103,RawDataTotal!AH:AH)</f>
        <v>0</v>
      </c>
      <c r="AF103">
        <f>SUMIF(RawDataTotal!$B:$B,$A103,RawDataTotal!AI:AI)</f>
        <v>0</v>
      </c>
      <c r="AG103">
        <f>SUMIF(RawDataTotal!$B:$B,$A103,RawDataTotal!AJ:AJ)</f>
        <v>0</v>
      </c>
      <c r="AH103">
        <f>SUMIF(RawDataTotal!$B:$B,$A103,RawDataTotal!AK:AK)</f>
        <v>0</v>
      </c>
      <c r="AI103">
        <f>SUMIF(RawDataTotal!$B:$B,$A103,RawDataTotal!AL:AL)</f>
        <v>0</v>
      </c>
      <c r="AJ103">
        <f>SUMIF(RawDataTotal!$B:$B,$A103,RawDataTotal!AM:AM)</f>
        <v>0</v>
      </c>
      <c r="AK103">
        <f>SUMIF(RawDataTotal!$B:$B,$A103,RawDataTotal!AN:AN)</f>
        <v>0</v>
      </c>
      <c r="AL103">
        <f>SUMIF(RawDataTotal!$B:$B,$A103,RawDataTotal!AO:AO)</f>
        <v>0</v>
      </c>
      <c r="AM103">
        <f>SUMIF(RawDataTotal!$B:$B,$A103,RawDataTotal!AP:AP)</f>
        <v>0</v>
      </c>
      <c r="AN103">
        <f>SUMIF(RawDataTotal!$B:$B,$A103,RawDataTotal!AQ:AQ)</f>
        <v>0</v>
      </c>
      <c r="AO103">
        <f>SUMIF(RawDataTotal!$B:$B,$A103,RawDataTotal!AR:AR)</f>
        <v>0</v>
      </c>
      <c r="AP103">
        <f>SUMIF(RawDataTotal!$B:$B,$A103,RawDataTotal!AS:AS)</f>
        <v>0</v>
      </c>
      <c r="AQ103">
        <f>SUMIF(RawDataTotal!$B:$B,$A103,RawDataTotal!AT:AT)</f>
        <v>0</v>
      </c>
      <c r="AR103">
        <f>SUMIF(RawDataTotal!$B:$B,$A103,RawDataTotal!AU:AU)</f>
        <v>0</v>
      </c>
      <c r="AS103">
        <f>SUMIF(RawDataTotal!$B:$B,$A103,RawDataTotal!AV:AV)</f>
        <v>0</v>
      </c>
      <c r="AT103">
        <f>SUMIF(RawDataTotal!$B:$B,$A103,RawDataTotal!AW:AW)</f>
        <v>0</v>
      </c>
      <c r="AU103">
        <f>SUMIF(RawDataTotal!$B:$B,$A103,RawDataTotal!AX:AX)</f>
        <v>0</v>
      </c>
      <c r="AV103">
        <f>SUMIF(RawDataTotal!$B:$B,$A103,RawDataTotal!AY:AY)</f>
        <v>0</v>
      </c>
      <c r="AW103">
        <f>SUMIF(RawDataTotal!$B:$B,$A103,RawDataTotal!AZ:AZ)</f>
        <v>0</v>
      </c>
      <c r="AX103">
        <f>SUMIF(RawDataTotal!$B:$B,$A103,RawDataTotal!BA:BA)</f>
        <v>0</v>
      </c>
      <c r="AY103">
        <f>SUMIF(RawDataTotal!$B:$B,$A103,RawDataTotal!BB:BB)</f>
        <v>0</v>
      </c>
      <c r="AZ103">
        <f>SUMIF(RawDataTotal!$B:$B,$A103,RawDataTotal!BC:BC)</f>
        <v>0</v>
      </c>
      <c r="BA103">
        <f>SUMIF(RawDataTotal!$B:$B,$A103,RawDataTotal!BD:BD)</f>
        <v>2</v>
      </c>
      <c r="BB103">
        <f>SUMIF(RawDataTotal!$B:$B,$A103,RawDataTotal!BE:BE)</f>
        <v>2</v>
      </c>
      <c r="BC103">
        <f>SUMIF(RawDataTotal!$B:$B,$A103,RawDataTotal!BF:BF)</f>
        <v>2</v>
      </c>
      <c r="BD103">
        <f>SUMIF(RawDataTotal!$B:$B,$A103,RawDataTotal!BG:BG)</f>
        <v>2</v>
      </c>
      <c r="BE103">
        <f>SUMIF(RawDataTotal!$B:$B,$A103,RawDataTotal!BH:BH)</f>
        <v>3</v>
      </c>
      <c r="BF103">
        <f>SUMIF(RawDataTotal!$B:$B,$A103,RawDataTotal!BI:BI)</f>
        <v>0</v>
      </c>
      <c r="BG103">
        <f>SUMIF(RawDataTotal!$B:$B,$A103,RawDataTotal!BJ:BJ)</f>
        <v>0</v>
      </c>
      <c r="BH103">
        <f>SUMIF(RawDataTotal!$B:$B,$A103,RawDataTotal!BK:BK)</f>
        <v>0</v>
      </c>
      <c r="BI103">
        <f>SUMIF(RawDataTotal!$B:$B,$A103,RawDataTotal!BL:BL)</f>
        <v>0</v>
      </c>
      <c r="BJ103">
        <f>SUMIF(RawDataTotal!$B:$B,$A103,RawDataTotal!BM:BM)</f>
        <v>0</v>
      </c>
      <c r="BK103">
        <f>SUMIF(RawDataTotal!$B:$B,$A103,RawDataTotal!BN:BN)</f>
        <v>0</v>
      </c>
      <c r="BL103">
        <f>SUMIF(RawDataTotal!$B:$B,$A103,RawDataTotal!BO:BO)</f>
        <v>0</v>
      </c>
      <c r="BM103">
        <f>SUMIF(RawDataTotal!$B:$B,$A103,RawDataTotal!BP:BP)</f>
        <v>0</v>
      </c>
      <c r="BN103">
        <f>SUMIF(RawDataTotal!$B:$B,$A103,RawDataTotal!BQ:BQ)</f>
        <v>0</v>
      </c>
      <c r="BO103">
        <f>SUMIF(RawDataTotal!$B:$B,$A103,RawDataTotal!BR:BR)</f>
        <v>0</v>
      </c>
      <c r="BP103">
        <f>SUMIF(RawDataTotal!$B:$B,$A103,RawDataTotal!BS:BS)</f>
        <v>0</v>
      </c>
      <c r="BQ103">
        <f>SUMIF(RawDataTotal!$B:$B,$A103,RawDataTotal!BT:BT)</f>
        <v>0</v>
      </c>
      <c r="BR103">
        <f>SUMIF(RawDataTotal!$B:$B,$A103,RawDataTotal!BU:BU)</f>
        <v>0</v>
      </c>
      <c r="BS103">
        <f>SUMIF(RawDataTotal!$B:$B,$A103,RawDataTotal!BV:BV)</f>
        <v>0</v>
      </c>
      <c r="BT103">
        <f>SUMIF(RawDataTotal!$B:$B,$A103,RawDataTotal!BW:BW)</f>
        <v>0</v>
      </c>
    </row>
    <row r="104" spans="1:72" ht="15" thickBot="1" x14ac:dyDescent="0.35">
      <c r="A104" s="4" t="s">
        <v>306</v>
      </c>
      <c r="B104">
        <f>SUMIF(RawDataTotal!$B:$B,$A104,RawDataTotal!E:E)</f>
        <v>0</v>
      </c>
      <c r="C104">
        <f>SUMIF(RawDataTotal!$B:$B,$A104,RawDataTotal!F:F)</f>
        <v>0</v>
      </c>
      <c r="D104">
        <f>SUMIF(RawDataTotal!$B:$B,$A104,RawDataTotal!G:G)</f>
        <v>0</v>
      </c>
      <c r="E104">
        <f>SUMIF(RawDataTotal!$B:$B,$A104,RawDataTotal!H:H)</f>
        <v>0</v>
      </c>
      <c r="F104">
        <f>SUMIF(RawDataTotal!$B:$B,$A104,RawDataTotal!I:I)</f>
        <v>0</v>
      </c>
      <c r="G104">
        <f>SUMIF(RawDataTotal!$B:$B,$A104,RawDataTotal!J:J)</f>
        <v>0</v>
      </c>
      <c r="H104">
        <f>SUMIF(RawDataTotal!$B:$B,$A104,RawDataTotal!K:K)</f>
        <v>0</v>
      </c>
      <c r="I104">
        <f>SUMIF(RawDataTotal!$B:$B,$A104,RawDataTotal!L:L)</f>
        <v>0</v>
      </c>
      <c r="J104">
        <f>SUMIF(RawDataTotal!$B:$B,$A104,RawDataTotal!M:M)</f>
        <v>0</v>
      </c>
      <c r="K104">
        <f>SUMIF(RawDataTotal!$B:$B,$A104,RawDataTotal!N:N)</f>
        <v>0</v>
      </c>
      <c r="L104">
        <f>SUMIF(RawDataTotal!$B:$B,$A104,RawDataTotal!O:O)</f>
        <v>0</v>
      </c>
      <c r="M104">
        <f>SUMIF(RawDataTotal!$B:$B,$A104,RawDataTotal!P:P)</f>
        <v>0</v>
      </c>
      <c r="N104">
        <f>SUMIF(RawDataTotal!$B:$B,$A104,RawDataTotal!Q:Q)</f>
        <v>0</v>
      </c>
      <c r="O104">
        <f>SUMIF(RawDataTotal!$B:$B,$A104,RawDataTotal!R:R)</f>
        <v>0</v>
      </c>
      <c r="P104">
        <f>SUMIF(RawDataTotal!$B:$B,$A104,RawDataTotal!S:S)</f>
        <v>0</v>
      </c>
      <c r="Q104">
        <f>SUMIF(RawDataTotal!$B:$B,$A104,RawDataTotal!T:T)</f>
        <v>0</v>
      </c>
      <c r="R104">
        <f>SUMIF(RawDataTotal!$B:$B,$A104,RawDataTotal!U:U)</f>
        <v>0</v>
      </c>
      <c r="S104">
        <f>SUMIF(RawDataTotal!$B:$B,$A104,RawDataTotal!V:V)</f>
        <v>0</v>
      </c>
      <c r="T104">
        <f>SUMIF(RawDataTotal!$B:$B,$A104,RawDataTotal!W:W)</f>
        <v>0</v>
      </c>
      <c r="U104">
        <f>SUMIF(RawDataTotal!$B:$B,$A104,RawDataTotal!X:X)</f>
        <v>0</v>
      </c>
      <c r="V104">
        <f>SUMIF(RawDataTotal!$B:$B,$A104,RawDataTotal!Y:Y)</f>
        <v>0</v>
      </c>
      <c r="W104">
        <f>SUMIF(RawDataTotal!$B:$B,$A104,RawDataTotal!Z:Z)</f>
        <v>0</v>
      </c>
      <c r="X104">
        <f>SUMIF(RawDataTotal!$B:$B,$A104,RawDataTotal!AA:AA)</f>
        <v>0</v>
      </c>
      <c r="Y104">
        <f>SUMIF(RawDataTotal!$B:$B,$A104,RawDataTotal!AB:AB)</f>
        <v>0</v>
      </c>
      <c r="Z104">
        <f>SUMIF(RawDataTotal!$B:$B,$A104,RawDataTotal!AC:AC)</f>
        <v>0</v>
      </c>
      <c r="AA104">
        <f>SUMIF(RawDataTotal!$B:$B,$A104,RawDataTotal!AD:AD)</f>
        <v>0</v>
      </c>
      <c r="AB104">
        <f>SUMIF(RawDataTotal!$B:$B,$A104,RawDataTotal!AE:AE)</f>
        <v>0</v>
      </c>
      <c r="AC104">
        <f>SUMIF(RawDataTotal!$B:$B,$A104,RawDataTotal!AF:AF)</f>
        <v>0</v>
      </c>
      <c r="AD104">
        <f>SUMIF(RawDataTotal!$B:$B,$A104,RawDataTotal!AG:AG)</f>
        <v>0</v>
      </c>
      <c r="AE104">
        <f>SUMIF(RawDataTotal!$B:$B,$A104,RawDataTotal!AH:AH)</f>
        <v>0</v>
      </c>
      <c r="AF104">
        <f>SUMIF(RawDataTotal!$B:$B,$A104,RawDataTotal!AI:AI)</f>
        <v>0</v>
      </c>
      <c r="AG104">
        <f>SUMIF(RawDataTotal!$B:$B,$A104,RawDataTotal!AJ:AJ)</f>
        <v>0</v>
      </c>
      <c r="AH104">
        <f>SUMIF(RawDataTotal!$B:$B,$A104,RawDataTotal!AK:AK)</f>
        <v>0</v>
      </c>
      <c r="AI104">
        <f>SUMIF(RawDataTotal!$B:$B,$A104,RawDataTotal!AL:AL)</f>
        <v>0</v>
      </c>
      <c r="AJ104">
        <f>SUMIF(RawDataTotal!$B:$B,$A104,RawDataTotal!AM:AM)</f>
        <v>0</v>
      </c>
      <c r="AK104">
        <f>SUMIF(RawDataTotal!$B:$B,$A104,RawDataTotal!AN:AN)</f>
        <v>0</v>
      </c>
      <c r="AL104">
        <f>SUMIF(RawDataTotal!$B:$B,$A104,RawDataTotal!AO:AO)</f>
        <v>0</v>
      </c>
      <c r="AM104">
        <f>SUMIF(RawDataTotal!$B:$B,$A104,RawDataTotal!AP:AP)</f>
        <v>0</v>
      </c>
      <c r="AN104">
        <f>SUMIF(RawDataTotal!$B:$B,$A104,RawDataTotal!AQ:AQ)</f>
        <v>0</v>
      </c>
      <c r="AO104">
        <f>SUMIF(RawDataTotal!$B:$B,$A104,RawDataTotal!AR:AR)</f>
        <v>0</v>
      </c>
      <c r="AP104">
        <f>SUMIF(RawDataTotal!$B:$B,$A104,RawDataTotal!AS:AS)</f>
        <v>0</v>
      </c>
      <c r="AQ104">
        <f>SUMIF(RawDataTotal!$B:$B,$A104,RawDataTotal!AT:AT)</f>
        <v>0</v>
      </c>
      <c r="AR104">
        <f>SUMIF(RawDataTotal!$B:$B,$A104,RawDataTotal!AU:AU)</f>
        <v>0</v>
      </c>
      <c r="AS104">
        <f>SUMIF(RawDataTotal!$B:$B,$A104,RawDataTotal!AV:AV)</f>
        <v>0</v>
      </c>
      <c r="AT104">
        <f>SUMIF(RawDataTotal!$B:$B,$A104,RawDataTotal!AW:AW)</f>
        <v>0</v>
      </c>
      <c r="AU104">
        <f>SUMIF(RawDataTotal!$B:$B,$A104,RawDataTotal!AX:AX)</f>
        <v>0</v>
      </c>
      <c r="AV104">
        <f>SUMIF(RawDataTotal!$B:$B,$A104,RawDataTotal!AY:AY)</f>
        <v>0</v>
      </c>
      <c r="AW104">
        <f>SUMIF(RawDataTotal!$B:$B,$A104,RawDataTotal!AZ:AZ)</f>
        <v>0</v>
      </c>
      <c r="AX104">
        <f>SUMIF(RawDataTotal!$B:$B,$A104,RawDataTotal!BA:BA)</f>
        <v>1</v>
      </c>
      <c r="AY104">
        <f>SUMIF(RawDataTotal!$B:$B,$A104,RawDataTotal!BB:BB)</f>
        <v>2</v>
      </c>
      <c r="AZ104">
        <f>SUMIF(RawDataTotal!$B:$B,$A104,RawDataTotal!BC:BC)</f>
        <v>2</v>
      </c>
      <c r="BA104">
        <f>SUMIF(RawDataTotal!$B:$B,$A104,RawDataTotal!BD:BD)</f>
        <v>2</v>
      </c>
      <c r="BB104">
        <f>SUMIF(RawDataTotal!$B:$B,$A104,RawDataTotal!BE:BE)</f>
        <v>2</v>
      </c>
      <c r="BC104">
        <f>SUMIF(RawDataTotal!$B:$B,$A104,RawDataTotal!BF:BF)</f>
        <v>3</v>
      </c>
      <c r="BD104">
        <f>SUMIF(RawDataTotal!$B:$B,$A104,RawDataTotal!BG:BG)</f>
        <v>15</v>
      </c>
      <c r="BE104">
        <f>SUMIF(RawDataTotal!$B:$B,$A104,RawDataTotal!BH:BH)</f>
        <v>15</v>
      </c>
      <c r="BF104">
        <f>SUMIF(RawDataTotal!$B:$B,$A104,RawDataTotal!BI:BI)</f>
        <v>0</v>
      </c>
      <c r="BG104">
        <f>SUMIF(RawDataTotal!$B:$B,$A104,RawDataTotal!BJ:BJ)</f>
        <v>0</v>
      </c>
      <c r="BH104">
        <f>SUMIF(RawDataTotal!$B:$B,$A104,RawDataTotal!BK:BK)</f>
        <v>0</v>
      </c>
      <c r="BI104">
        <f>SUMIF(RawDataTotal!$B:$B,$A104,RawDataTotal!BL:BL)</f>
        <v>0</v>
      </c>
      <c r="BJ104">
        <f>SUMIF(RawDataTotal!$B:$B,$A104,RawDataTotal!BM:BM)</f>
        <v>0</v>
      </c>
      <c r="BK104">
        <f>SUMIF(RawDataTotal!$B:$B,$A104,RawDataTotal!BN:BN)</f>
        <v>0</v>
      </c>
      <c r="BL104">
        <f>SUMIF(RawDataTotal!$B:$B,$A104,RawDataTotal!BO:BO)</f>
        <v>0</v>
      </c>
      <c r="BM104">
        <f>SUMIF(RawDataTotal!$B:$B,$A104,RawDataTotal!BP:BP)</f>
        <v>0</v>
      </c>
      <c r="BN104">
        <f>SUMIF(RawDataTotal!$B:$B,$A104,RawDataTotal!BQ:BQ)</f>
        <v>0</v>
      </c>
      <c r="BO104">
        <f>SUMIF(RawDataTotal!$B:$B,$A104,RawDataTotal!BR:BR)</f>
        <v>0</v>
      </c>
      <c r="BP104">
        <f>SUMIF(RawDataTotal!$B:$B,$A104,RawDataTotal!BS:BS)</f>
        <v>0</v>
      </c>
      <c r="BQ104">
        <f>SUMIF(RawDataTotal!$B:$B,$A104,RawDataTotal!BT:BT)</f>
        <v>0</v>
      </c>
      <c r="BR104">
        <f>SUMIF(RawDataTotal!$B:$B,$A104,RawDataTotal!BU:BU)</f>
        <v>0</v>
      </c>
      <c r="BS104">
        <f>SUMIF(RawDataTotal!$B:$B,$A104,RawDataTotal!BV:BV)</f>
        <v>0</v>
      </c>
      <c r="BT104">
        <f>SUMIF(RawDataTotal!$B:$B,$A104,RawDataTotal!BW:BW)</f>
        <v>0</v>
      </c>
    </row>
    <row r="105" spans="1:72" ht="15" thickBot="1" x14ac:dyDescent="0.35">
      <c r="A105" s="3" t="s">
        <v>184</v>
      </c>
      <c r="B105">
        <f>SUMIF(RawDataTotal!$B:$B,$A105,RawDataTotal!E:E)</f>
        <v>0</v>
      </c>
      <c r="C105">
        <f>SUMIF(RawDataTotal!$B:$B,$A105,RawDataTotal!F:F)</f>
        <v>0</v>
      </c>
      <c r="D105">
        <f>SUMIF(RawDataTotal!$B:$B,$A105,RawDataTotal!G:G)</f>
        <v>0</v>
      </c>
      <c r="E105">
        <f>SUMIF(RawDataTotal!$B:$B,$A105,RawDataTotal!H:H)</f>
        <v>0</v>
      </c>
      <c r="F105">
        <f>SUMIF(RawDataTotal!$B:$B,$A105,RawDataTotal!I:I)</f>
        <v>0</v>
      </c>
      <c r="G105">
        <f>SUMIF(RawDataTotal!$B:$B,$A105,RawDataTotal!J:J)</f>
        <v>0</v>
      </c>
      <c r="H105">
        <f>SUMIF(RawDataTotal!$B:$B,$A105,RawDataTotal!K:K)</f>
        <v>0</v>
      </c>
      <c r="I105">
        <f>SUMIF(RawDataTotal!$B:$B,$A105,RawDataTotal!L:L)</f>
        <v>0</v>
      </c>
      <c r="J105">
        <f>SUMIF(RawDataTotal!$B:$B,$A105,RawDataTotal!M:M)</f>
        <v>0</v>
      </c>
      <c r="K105">
        <f>SUMIF(RawDataTotal!$B:$B,$A105,RawDataTotal!N:N)</f>
        <v>0</v>
      </c>
      <c r="L105">
        <f>SUMIF(RawDataTotal!$B:$B,$A105,RawDataTotal!O:O)</f>
        <v>0</v>
      </c>
      <c r="M105">
        <f>SUMIF(RawDataTotal!$B:$B,$A105,RawDataTotal!P:P)</f>
        <v>0</v>
      </c>
      <c r="N105">
        <f>SUMIF(RawDataTotal!$B:$B,$A105,RawDataTotal!Q:Q)</f>
        <v>0</v>
      </c>
      <c r="O105">
        <f>SUMIF(RawDataTotal!$B:$B,$A105,RawDataTotal!R:R)</f>
        <v>0</v>
      </c>
      <c r="P105">
        <f>SUMIF(RawDataTotal!$B:$B,$A105,RawDataTotal!S:S)</f>
        <v>0</v>
      </c>
      <c r="Q105">
        <f>SUMIF(RawDataTotal!$B:$B,$A105,RawDataTotal!T:T)</f>
        <v>0</v>
      </c>
      <c r="R105">
        <f>SUMIF(RawDataTotal!$B:$B,$A105,RawDataTotal!U:U)</f>
        <v>0</v>
      </c>
      <c r="S105">
        <f>SUMIF(RawDataTotal!$B:$B,$A105,RawDataTotal!V:V)</f>
        <v>0</v>
      </c>
      <c r="T105">
        <f>SUMIF(RawDataTotal!$B:$B,$A105,RawDataTotal!W:W)</f>
        <v>0</v>
      </c>
      <c r="U105">
        <f>SUMIF(RawDataTotal!$B:$B,$A105,RawDataTotal!X:X)</f>
        <v>0</v>
      </c>
      <c r="V105">
        <f>SUMIF(RawDataTotal!$B:$B,$A105,RawDataTotal!Y:Y)</f>
        <v>0</v>
      </c>
      <c r="W105">
        <f>SUMIF(RawDataTotal!$B:$B,$A105,RawDataTotal!Z:Z)</f>
        <v>0</v>
      </c>
      <c r="X105">
        <f>SUMIF(RawDataTotal!$B:$B,$A105,RawDataTotal!AA:AA)</f>
        <v>0</v>
      </c>
      <c r="Y105">
        <f>SUMIF(RawDataTotal!$B:$B,$A105,RawDataTotal!AB:AB)</f>
        <v>0</v>
      </c>
      <c r="Z105">
        <f>SUMIF(RawDataTotal!$B:$B,$A105,RawDataTotal!AC:AC)</f>
        <v>0</v>
      </c>
      <c r="AA105">
        <f>SUMIF(RawDataTotal!$B:$B,$A105,RawDataTotal!AD:AD)</f>
        <v>0</v>
      </c>
      <c r="AB105">
        <f>SUMIF(RawDataTotal!$B:$B,$A105,RawDataTotal!AE:AE)</f>
        <v>0</v>
      </c>
      <c r="AC105">
        <f>SUMIF(RawDataTotal!$B:$B,$A105,RawDataTotal!AF:AF)</f>
        <v>0</v>
      </c>
      <c r="AD105">
        <f>SUMIF(RawDataTotal!$B:$B,$A105,RawDataTotal!AG:AG)</f>
        <v>0</v>
      </c>
      <c r="AE105">
        <f>SUMIF(RawDataTotal!$B:$B,$A105,RawDataTotal!AH:AH)</f>
        <v>0</v>
      </c>
      <c r="AF105">
        <f>SUMIF(RawDataTotal!$B:$B,$A105,RawDataTotal!AI:AI)</f>
        <v>0</v>
      </c>
      <c r="AG105">
        <f>SUMIF(RawDataTotal!$B:$B,$A105,RawDataTotal!AJ:AJ)</f>
        <v>0</v>
      </c>
      <c r="AH105">
        <f>SUMIF(RawDataTotal!$B:$B,$A105,RawDataTotal!AK:AK)</f>
        <v>0</v>
      </c>
      <c r="AI105">
        <f>SUMIF(RawDataTotal!$B:$B,$A105,RawDataTotal!AL:AL)</f>
        <v>0</v>
      </c>
      <c r="AJ105">
        <f>SUMIF(RawDataTotal!$B:$B,$A105,RawDataTotal!AM:AM)</f>
        <v>0</v>
      </c>
      <c r="AK105">
        <f>SUMIF(RawDataTotal!$B:$B,$A105,RawDataTotal!AN:AN)</f>
        <v>0</v>
      </c>
      <c r="AL105">
        <f>SUMIF(RawDataTotal!$B:$B,$A105,RawDataTotal!AO:AO)</f>
        <v>0</v>
      </c>
      <c r="AM105">
        <f>SUMIF(RawDataTotal!$B:$B,$A105,RawDataTotal!AP:AP)</f>
        <v>0</v>
      </c>
      <c r="AN105">
        <f>SUMIF(RawDataTotal!$B:$B,$A105,RawDataTotal!AQ:AQ)</f>
        <v>0</v>
      </c>
      <c r="AO105">
        <f>SUMIF(RawDataTotal!$B:$B,$A105,RawDataTotal!AR:AR)</f>
        <v>0</v>
      </c>
      <c r="AP105">
        <f>SUMIF(RawDataTotal!$B:$B,$A105,RawDataTotal!AS:AS)</f>
        <v>0</v>
      </c>
      <c r="AQ105">
        <f>SUMIF(RawDataTotal!$B:$B,$A105,RawDataTotal!AT:AT)</f>
        <v>0</v>
      </c>
      <c r="AR105">
        <f>SUMIF(RawDataTotal!$B:$B,$A105,RawDataTotal!AU:AU)</f>
        <v>0</v>
      </c>
      <c r="AS105">
        <f>SUMIF(RawDataTotal!$B:$B,$A105,RawDataTotal!AV:AV)</f>
        <v>0</v>
      </c>
      <c r="AT105">
        <f>SUMIF(RawDataTotal!$B:$B,$A105,RawDataTotal!AW:AW)</f>
        <v>1</v>
      </c>
      <c r="AU105">
        <f>SUMIF(RawDataTotal!$B:$B,$A105,RawDataTotal!AX:AX)</f>
        <v>1</v>
      </c>
      <c r="AV105">
        <f>SUMIF(RawDataTotal!$B:$B,$A105,RawDataTotal!AY:AY)</f>
        <v>2</v>
      </c>
      <c r="AW105">
        <f>SUMIF(RawDataTotal!$B:$B,$A105,RawDataTotal!AZ:AZ)</f>
        <v>2</v>
      </c>
      <c r="AX105">
        <f>SUMIF(RawDataTotal!$B:$B,$A105,RawDataTotal!BA:BA)</f>
        <v>2</v>
      </c>
      <c r="AY105">
        <f>SUMIF(RawDataTotal!$B:$B,$A105,RawDataTotal!BB:BB)</f>
        <v>2</v>
      </c>
      <c r="AZ105">
        <f>SUMIF(RawDataTotal!$B:$B,$A105,RawDataTotal!BC:BC)</f>
        <v>2</v>
      </c>
      <c r="BA105">
        <f>SUMIF(RawDataTotal!$B:$B,$A105,RawDataTotal!BD:BD)</f>
        <v>2</v>
      </c>
      <c r="BB105">
        <f>SUMIF(RawDataTotal!$B:$B,$A105,RawDataTotal!BE:BE)</f>
        <v>2</v>
      </c>
      <c r="BC105">
        <f>SUMIF(RawDataTotal!$B:$B,$A105,RawDataTotal!BF:BF)</f>
        <v>2</v>
      </c>
      <c r="BD105">
        <f>SUMIF(RawDataTotal!$B:$B,$A105,RawDataTotal!BG:BG)</f>
        <v>4</v>
      </c>
      <c r="BE105">
        <f>SUMIF(RawDataTotal!$B:$B,$A105,RawDataTotal!BH:BH)</f>
        <v>10</v>
      </c>
      <c r="BF105">
        <f>SUMIF(RawDataTotal!$B:$B,$A105,RawDataTotal!BI:BI)</f>
        <v>0</v>
      </c>
      <c r="BG105">
        <f>SUMIF(RawDataTotal!$B:$B,$A105,RawDataTotal!BJ:BJ)</f>
        <v>0</v>
      </c>
      <c r="BH105">
        <f>SUMIF(RawDataTotal!$B:$B,$A105,RawDataTotal!BK:BK)</f>
        <v>0</v>
      </c>
      <c r="BI105">
        <f>SUMIF(RawDataTotal!$B:$B,$A105,RawDataTotal!BL:BL)</f>
        <v>0</v>
      </c>
      <c r="BJ105">
        <f>SUMIF(RawDataTotal!$B:$B,$A105,RawDataTotal!BM:BM)</f>
        <v>0</v>
      </c>
      <c r="BK105">
        <f>SUMIF(RawDataTotal!$B:$B,$A105,RawDataTotal!BN:BN)</f>
        <v>0</v>
      </c>
      <c r="BL105">
        <f>SUMIF(RawDataTotal!$B:$B,$A105,RawDataTotal!BO:BO)</f>
        <v>0</v>
      </c>
      <c r="BM105">
        <f>SUMIF(RawDataTotal!$B:$B,$A105,RawDataTotal!BP:BP)</f>
        <v>0</v>
      </c>
      <c r="BN105">
        <f>SUMIF(RawDataTotal!$B:$B,$A105,RawDataTotal!BQ:BQ)</f>
        <v>0</v>
      </c>
      <c r="BO105">
        <f>SUMIF(RawDataTotal!$B:$B,$A105,RawDataTotal!BR:BR)</f>
        <v>0</v>
      </c>
      <c r="BP105">
        <f>SUMIF(RawDataTotal!$B:$B,$A105,RawDataTotal!BS:BS)</f>
        <v>0</v>
      </c>
      <c r="BQ105">
        <f>SUMIF(RawDataTotal!$B:$B,$A105,RawDataTotal!BT:BT)</f>
        <v>0</v>
      </c>
      <c r="BR105">
        <f>SUMIF(RawDataTotal!$B:$B,$A105,RawDataTotal!BU:BU)</f>
        <v>0</v>
      </c>
      <c r="BS105">
        <f>SUMIF(RawDataTotal!$B:$B,$A105,RawDataTotal!BV:BV)</f>
        <v>0</v>
      </c>
      <c r="BT105">
        <f>SUMIF(RawDataTotal!$B:$B,$A105,RawDataTotal!BW:BW)</f>
        <v>0</v>
      </c>
    </row>
    <row r="106" spans="1:72" ht="15" thickBot="1" x14ac:dyDescent="0.35">
      <c r="A106" s="4" t="s">
        <v>379</v>
      </c>
      <c r="B106">
        <f>SUMIF(RawDataTotal!$B:$B,$A106,RawDataTotal!E:E)</f>
        <v>0</v>
      </c>
      <c r="C106">
        <f>SUMIF(RawDataTotal!$B:$B,$A106,RawDataTotal!F:F)</f>
        <v>0</v>
      </c>
      <c r="D106">
        <f>SUMIF(RawDataTotal!$B:$B,$A106,RawDataTotal!G:G)</f>
        <v>0</v>
      </c>
      <c r="E106">
        <f>SUMIF(RawDataTotal!$B:$B,$A106,RawDataTotal!H:H)</f>
        <v>0</v>
      </c>
      <c r="F106">
        <f>SUMIF(RawDataTotal!$B:$B,$A106,RawDataTotal!I:I)</f>
        <v>0</v>
      </c>
      <c r="G106">
        <f>SUMIF(RawDataTotal!$B:$B,$A106,RawDataTotal!J:J)</f>
        <v>0</v>
      </c>
      <c r="H106">
        <f>SUMIF(RawDataTotal!$B:$B,$A106,RawDataTotal!K:K)</f>
        <v>0</v>
      </c>
      <c r="I106">
        <f>SUMIF(RawDataTotal!$B:$B,$A106,RawDataTotal!L:L)</f>
        <v>0</v>
      </c>
      <c r="J106">
        <f>SUMIF(RawDataTotal!$B:$B,$A106,RawDataTotal!M:M)</f>
        <v>0</v>
      </c>
      <c r="K106">
        <f>SUMIF(RawDataTotal!$B:$B,$A106,RawDataTotal!N:N)</f>
        <v>0</v>
      </c>
      <c r="L106">
        <f>SUMIF(RawDataTotal!$B:$B,$A106,RawDataTotal!O:O)</f>
        <v>0</v>
      </c>
      <c r="M106">
        <f>SUMIF(RawDataTotal!$B:$B,$A106,RawDataTotal!P:P)</f>
        <v>0</v>
      </c>
      <c r="N106">
        <f>SUMIF(RawDataTotal!$B:$B,$A106,RawDataTotal!Q:Q)</f>
        <v>0</v>
      </c>
      <c r="O106">
        <f>SUMIF(RawDataTotal!$B:$B,$A106,RawDataTotal!R:R)</f>
        <v>0</v>
      </c>
      <c r="P106">
        <f>SUMIF(RawDataTotal!$B:$B,$A106,RawDataTotal!S:S)</f>
        <v>0</v>
      </c>
      <c r="Q106">
        <f>SUMIF(RawDataTotal!$B:$B,$A106,RawDataTotal!T:T)</f>
        <v>0</v>
      </c>
      <c r="R106">
        <f>SUMIF(RawDataTotal!$B:$B,$A106,RawDataTotal!U:U)</f>
        <v>0</v>
      </c>
      <c r="S106">
        <f>SUMIF(RawDataTotal!$B:$B,$A106,RawDataTotal!V:V)</f>
        <v>0</v>
      </c>
      <c r="T106">
        <f>SUMIF(RawDataTotal!$B:$B,$A106,RawDataTotal!W:W)</f>
        <v>0</v>
      </c>
      <c r="U106">
        <f>SUMIF(RawDataTotal!$B:$B,$A106,RawDataTotal!X:X)</f>
        <v>0</v>
      </c>
      <c r="V106">
        <f>SUMIF(RawDataTotal!$B:$B,$A106,RawDataTotal!Y:Y)</f>
        <v>0</v>
      </c>
      <c r="W106">
        <f>SUMIF(RawDataTotal!$B:$B,$A106,RawDataTotal!Z:Z)</f>
        <v>0</v>
      </c>
      <c r="X106">
        <f>SUMIF(RawDataTotal!$B:$B,$A106,RawDataTotal!AA:AA)</f>
        <v>0</v>
      </c>
      <c r="Y106">
        <f>SUMIF(RawDataTotal!$B:$B,$A106,RawDataTotal!AB:AB)</f>
        <v>0</v>
      </c>
      <c r="Z106">
        <f>SUMIF(RawDataTotal!$B:$B,$A106,RawDataTotal!AC:AC)</f>
        <v>0</v>
      </c>
      <c r="AA106">
        <f>SUMIF(RawDataTotal!$B:$B,$A106,RawDataTotal!AD:AD)</f>
        <v>0</v>
      </c>
      <c r="AB106">
        <f>SUMIF(RawDataTotal!$B:$B,$A106,RawDataTotal!AE:AE)</f>
        <v>0</v>
      </c>
      <c r="AC106">
        <f>SUMIF(RawDataTotal!$B:$B,$A106,RawDataTotal!AF:AF)</f>
        <v>0</v>
      </c>
      <c r="AD106">
        <f>SUMIF(RawDataTotal!$B:$B,$A106,RawDataTotal!AG:AG)</f>
        <v>0</v>
      </c>
      <c r="AE106">
        <f>SUMIF(RawDataTotal!$B:$B,$A106,RawDataTotal!AH:AH)</f>
        <v>0</v>
      </c>
      <c r="AF106">
        <f>SUMIF(RawDataTotal!$B:$B,$A106,RawDataTotal!AI:AI)</f>
        <v>0</v>
      </c>
      <c r="AG106">
        <f>SUMIF(RawDataTotal!$B:$B,$A106,RawDataTotal!AJ:AJ)</f>
        <v>0</v>
      </c>
      <c r="AH106">
        <f>SUMIF(RawDataTotal!$B:$B,$A106,RawDataTotal!AK:AK)</f>
        <v>0</v>
      </c>
      <c r="AI106">
        <f>SUMIF(RawDataTotal!$B:$B,$A106,RawDataTotal!AL:AL)</f>
        <v>0</v>
      </c>
      <c r="AJ106">
        <f>SUMIF(RawDataTotal!$B:$B,$A106,RawDataTotal!AM:AM)</f>
        <v>0</v>
      </c>
      <c r="AK106">
        <f>SUMIF(RawDataTotal!$B:$B,$A106,RawDataTotal!AN:AN)</f>
        <v>0</v>
      </c>
      <c r="AL106">
        <f>SUMIF(RawDataTotal!$B:$B,$A106,RawDataTotal!AO:AO)</f>
        <v>0</v>
      </c>
      <c r="AM106">
        <f>SUMIF(RawDataTotal!$B:$B,$A106,RawDataTotal!AP:AP)</f>
        <v>0</v>
      </c>
      <c r="AN106">
        <f>SUMIF(RawDataTotal!$B:$B,$A106,RawDataTotal!AQ:AQ)</f>
        <v>0</v>
      </c>
      <c r="AO106">
        <f>SUMIF(RawDataTotal!$B:$B,$A106,RawDataTotal!AR:AR)</f>
        <v>0</v>
      </c>
      <c r="AP106">
        <f>SUMIF(RawDataTotal!$B:$B,$A106,RawDataTotal!AS:AS)</f>
        <v>0</v>
      </c>
      <c r="AQ106">
        <f>SUMIF(RawDataTotal!$B:$B,$A106,RawDataTotal!AT:AT)</f>
        <v>0</v>
      </c>
      <c r="AR106">
        <f>SUMIF(RawDataTotal!$B:$B,$A106,RawDataTotal!AU:AU)</f>
        <v>0</v>
      </c>
      <c r="AS106">
        <f>SUMIF(RawDataTotal!$B:$B,$A106,RawDataTotal!AV:AV)</f>
        <v>0</v>
      </c>
      <c r="AT106">
        <f>SUMIF(RawDataTotal!$B:$B,$A106,RawDataTotal!AW:AW)</f>
        <v>0</v>
      </c>
      <c r="AU106">
        <f>SUMIF(RawDataTotal!$B:$B,$A106,RawDataTotal!AX:AX)</f>
        <v>0</v>
      </c>
      <c r="AV106">
        <f>SUMIF(RawDataTotal!$B:$B,$A106,RawDataTotal!AY:AY)</f>
        <v>0</v>
      </c>
      <c r="AW106">
        <f>SUMIF(RawDataTotal!$B:$B,$A106,RawDataTotal!AZ:AZ)</f>
        <v>0</v>
      </c>
      <c r="AX106">
        <f>SUMIF(RawDataTotal!$B:$B,$A106,RawDataTotal!BA:BA)</f>
        <v>0</v>
      </c>
      <c r="AY106">
        <f>SUMIF(RawDataTotal!$B:$B,$A106,RawDataTotal!BB:BB)</f>
        <v>1</v>
      </c>
      <c r="AZ106">
        <f>SUMIF(RawDataTotal!$B:$B,$A106,RawDataTotal!BC:BC)</f>
        <v>1</v>
      </c>
      <c r="BA106">
        <f>SUMIF(RawDataTotal!$B:$B,$A106,RawDataTotal!BD:BD)</f>
        <v>2</v>
      </c>
      <c r="BB106">
        <f>SUMIF(RawDataTotal!$B:$B,$A106,RawDataTotal!BE:BE)</f>
        <v>2</v>
      </c>
      <c r="BC106">
        <f>SUMIF(RawDataTotal!$B:$B,$A106,RawDataTotal!BF:BF)</f>
        <v>2</v>
      </c>
      <c r="BD106">
        <f>SUMIF(RawDataTotal!$B:$B,$A106,RawDataTotal!BG:BG)</f>
        <v>2</v>
      </c>
      <c r="BE106">
        <f>SUMIF(RawDataTotal!$B:$B,$A106,RawDataTotal!BH:BH)</f>
        <v>3</v>
      </c>
      <c r="BF106">
        <f>SUMIF(RawDataTotal!$B:$B,$A106,RawDataTotal!BI:BI)</f>
        <v>0</v>
      </c>
      <c r="BG106">
        <f>SUMIF(RawDataTotal!$B:$B,$A106,RawDataTotal!BJ:BJ)</f>
        <v>0</v>
      </c>
      <c r="BH106">
        <f>SUMIF(RawDataTotal!$B:$B,$A106,RawDataTotal!BK:BK)</f>
        <v>0</v>
      </c>
      <c r="BI106">
        <f>SUMIF(RawDataTotal!$B:$B,$A106,RawDataTotal!BL:BL)</f>
        <v>0</v>
      </c>
      <c r="BJ106">
        <f>SUMIF(RawDataTotal!$B:$B,$A106,RawDataTotal!BM:BM)</f>
        <v>0</v>
      </c>
      <c r="BK106">
        <f>SUMIF(RawDataTotal!$B:$B,$A106,RawDataTotal!BN:BN)</f>
        <v>0</v>
      </c>
      <c r="BL106">
        <f>SUMIF(RawDataTotal!$B:$B,$A106,RawDataTotal!BO:BO)</f>
        <v>0</v>
      </c>
      <c r="BM106">
        <f>SUMIF(RawDataTotal!$B:$B,$A106,RawDataTotal!BP:BP)</f>
        <v>0</v>
      </c>
      <c r="BN106">
        <f>SUMIF(RawDataTotal!$B:$B,$A106,RawDataTotal!BQ:BQ)</f>
        <v>0</v>
      </c>
      <c r="BO106">
        <f>SUMIF(RawDataTotal!$B:$B,$A106,RawDataTotal!BR:BR)</f>
        <v>0</v>
      </c>
      <c r="BP106">
        <f>SUMIF(RawDataTotal!$B:$B,$A106,RawDataTotal!BS:BS)</f>
        <v>0</v>
      </c>
      <c r="BQ106">
        <f>SUMIF(RawDataTotal!$B:$B,$A106,RawDataTotal!BT:BT)</f>
        <v>0</v>
      </c>
      <c r="BR106">
        <f>SUMIF(RawDataTotal!$B:$B,$A106,RawDataTotal!BU:BU)</f>
        <v>0</v>
      </c>
      <c r="BS106">
        <f>SUMIF(RawDataTotal!$B:$B,$A106,RawDataTotal!BV:BV)</f>
        <v>0</v>
      </c>
      <c r="BT106">
        <f>SUMIF(RawDataTotal!$B:$B,$A106,RawDataTotal!BW:BW)</f>
        <v>0</v>
      </c>
    </row>
    <row r="107" spans="1:72" ht="15" thickBot="1" x14ac:dyDescent="0.35">
      <c r="A107" s="4" t="s">
        <v>376</v>
      </c>
      <c r="B107">
        <f>SUMIF(RawDataTotal!$B:$B,$A107,RawDataTotal!E:E)</f>
        <v>0</v>
      </c>
      <c r="C107">
        <f>SUMIF(RawDataTotal!$B:$B,$A107,RawDataTotal!F:F)</f>
        <v>0</v>
      </c>
      <c r="D107">
        <f>SUMIF(RawDataTotal!$B:$B,$A107,RawDataTotal!G:G)</f>
        <v>0</v>
      </c>
      <c r="E107">
        <f>SUMIF(RawDataTotal!$B:$B,$A107,RawDataTotal!H:H)</f>
        <v>0</v>
      </c>
      <c r="F107">
        <f>SUMIF(RawDataTotal!$B:$B,$A107,RawDataTotal!I:I)</f>
        <v>0</v>
      </c>
      <c r="G107">
        <f>SUMIF(RawDataTotal!$B:$B,$A107,RawDataTotal!J:J)</f>
        <v>0</v>
      </c>
      <c r="H107">
        <f>SUMIF(RawDataTotal!$B:$B,$A107,RawDataTotal!K:K)</f>
        <v>0</v>
      </c>
      <c r="I107">
        <f>SUMIF(RawDataTotal!$B:$B,$A107,RawDataTotal!L:L)</f>
        <v>0</v>
      </c>
      <c r="J107">
        <f>SUMIF(RawDataTotal!$B:$B,$A107,RawDataTotal!M:M)</f>
        <v>0</v>
      </c>
      <c r="K107">
        <f>SUMIF(RawDataTotal!$B:$B,$A107,RawDataTotal!N:N)</f>
        <v>0</v>
      </c>
      <c r="L107">
        <f>SUMIF(RawDataTotal!$B:$B,$A107,RawDataTotal!O:O)</f>
        <v>0</v>
      </c>
      <c r="M107">
        <f>SUMIF(RawDataTotal!$B:$B,$A107,RawDataTotal!P:P)</f>
        <v>0</v>
      </c>
      <c r="N107">
        <f>SUMIF(RawDataTotal!$B:$B,$A107,RawDataTotal!Q:Q)</f>
        <v>0</v>
      </c>
      <c r="O107">
        <f>SUMIF(RawDataTotal!$B:$B,$A107,RawDataTotal!R:R)</f>
        <v>0</v>
      </c>
      <c r="P107">
        <f>SUMIF(RawDataTotal!$B:$B,$A107,RawDataTotal!S:S)</f>
        <v>0</v>
      </c>
      <c r="Q107">
        <f>SUMIF(RawDataTotal!$B:$B,$A107,RawDataTotal!T:T)</f>
        <v>0</v>
      </c>
      <c r="R107">
        <f>SUMIF(RawDataTotal!$B:$B,$A107,RawDataTotal!U:U)</f>
        <v>0</v>
      </c>
      <c r="S107">
        <f>SUMIF(RawDataTotal!$B:$B,$A107,RawDataTotal!V:V)</f>
        <v>0</v>
      </c>
      <c r="T107">
        <f>SUMIF(RawDataTotal!$B:$B,$A107,RawDataTotal!W:W)</f>
        <v>0</v>
      </c>
      <c r="U107">
        <f>SUMIF(RawDataTotal!$B:$B,$A107,RawDataTotal!X:X)</f>
        <v>0</v>
      </c>
      <c r="V107">
        <f>SUMIF(RawDataTotal!$B:$B,$A107,RawDataTotal!Y:Y)</f>
        <v>0</v>
      </c>
      <c r="W107">
        <f>SUMIF(RawDataTotal!$B:$B,$A107,RawDataTotal!Z:Z)</f>
        <v>0</v>
      </c>
      <c r="X107">
        <f>SUMIF(RawDataTotal!$B:$B,$A107,RawDataTotal!AA:AA)</f>
        <v>0</v>
      </c>
      <c r="Y107">
        <f>SUMIF(RawDataTotal!$B:$B,$A107,RawDataTotal!AB:AB)</f>
        <v>0</v>
      </c>
      <c r="Z107">
        <f>SUMIF(RawDataTotal!$B:$B,$A107,RawDataTotal!AC:AC)</f>
        <v>0</v>
      </c>
      <c r="AA107">
        <f>SUMIF(RawDataTotal!$B:$B,$A107,RawDataTotal!AD:AD)</f>
        <v>0</v>
      </c>
      <c r="AB107">
        <f>SUMIF(RawDataTotal!$B:$B,$A107,RawDataTotal!AE:AE)</f>
        <v>0</v>
      </c>
      <c r="AC107">
        <f>SUMIF(RawDataTotal!$B:$B,$A107,RawDataTotal!AF:AF)</f>
        <v>0</v>
      </c>
      <c r="AD107">
        <f>SUMIF(RawDataTotal!$B:$B,$A107,RawDataTotal!AG:AG)</f>
        <v>0</v>
      </c>
      <c r="AE107">
        <f>SUMIF(RawDataTotal!$B:$B,$A107,RawDataTotal!AH:AH)</f>
        <v>0</v>
      </c>
      <c r="AF107">
        <f>SUMIF(RawDataTotal!$B:$B,$A107,RawDataTotal!AI:AI)</f>
        <v>0</v>
      </c>
      <c r="AG107">
        <f>SUMIF(RawDataTotal!$B:$B,$A107,RawDataTotal!AJ:AJ)</f>
        <v>0</v>
      </c>
      <c r="AH107">
        <f>SUMIF(RawDataTotal!$B:$B,$A107,RawDataTotal!AK:AK)</f>
        <v>0</v>
      </c>
      <c r="AI107">
        <f>SUMIF(RawDataTotal!$B:$B,$A107,RawDataTotal!AL:AL)</f>
        <v>0</v>
      </c>
      <c r="AJ107">
        <f>SUMIF(RawDataTotal!$B:$B,$A107,RawDataTotal!AM:AM)</f>
        <v>0</v>
      </c>
      <c r="AK107">
        <f>SUMIF(RawDataTotal!$B:$B,$A107,RawDataTotal!AN:AN)</f>
        <v>0</v>
      </c>
      <c r="AL107">
        <f>SUMIF(RawDataTotal!$B:$B,$A107,RawDataTotal!AO:AO)</f>
        <v>0</v>
      </c>
      <c r="AM107">
        <f>SUMIF(RawDataTotal!$B:$B,$A107,RawDataTotal!AP:AP)</f>
        <v>0</v>
      </c>
      <c r="AN107">
        <f>SUMIF(RawDataTotal!$B:$B,$A107,RawDataTotal!AQ:AQ)</f>
        <v>0</v>
      </c>
      <c r="AO107">
        <f>SUMIF(RawDataTotal!$B:$B,$A107,RawDataTotal!AR:AR)</f>
        <v>0</v>
      </c>
      <c r="AP107">
        <f>SUMIF(RawDataTotal!$B:$B,$A107,RawDataTotal!AS:AS)</f>
        <v>0</v>
      </c>
      <c r="AQ107">
        <f>SUMIF(RawDataTotal!$B:$B,$A107,RawDataTotal!AT:AT)</f>
        <v>0</v>
      </c>
      <c r="AR107">
        <f>SUMIF(RawDataTotal!$B:$B,$A107,RawDataTotal!AU:AU)</f>
        <v>0</v>
      </c>
      <c r="AS107">
        <f>SUMIF(RawDataTotal!$B:$B,$A107,RawDataTotal!AV:AV)</f>
        <v>0</v>
      </c>
      <c r="AT107">
        <f>SUMIF(RawDataTotal!$B:$B,$A107,RawDataTotal!AW:AW)</f>
        <v>0</v>
      </c>
      <c r="AU107">
        <f>SUMIF(RawDataTotal!$B:$B,$A107,RawDataTotal!AX:AX)</f>
        <v>0</v>
      </c>
      <c r="AV107">
        <f>SUMIF(RawDataTotal!$B:$B,$A107,RawDataTotal!AY:AY)</f>
        <v>0</v>
      </c>
      <c r="AW107">
        <f>SUMIF(RawDataTotal!$B:$B,$A107,RawDataTotal!AZ:AZ)</f>
        <v>0</v>
      </c>
      <c r="AX107">
        <f>SUMIF(RawDataTotal!$B:$B,$A107,RawDataTotal!BA:BA)</f>
        <v>0</v>
      </c>
      <c r="AY107">
        <f>SUMIF(RawDataTotal!$B:$B,$A107,RawDataTotal!BB:BB)</f>
        <v>2</v>
      </c>
      <c r="AZ107">
        <f>SUMIF(RawDataTotal!$B:$B,$A107,RawDataTotal!BC:BC)</f>
        <v>2</v>
      </c>
      <c r="BA107">
        <f>SUMIF(RawDataTotal!$B:$B,$A107,RawDataTotal!BD:BD)</f>
        <v>2</v>
      </c>
      <c r="BB107">
        <f>SUMIF(RawDataTotal!$B:$B,$A107,RawDataTotal!BE:BE)</f>
        <v>2</v>
      </c>
      <c r="BC107">
        <f>SUMIF(RawDataTotal!$B:$B,$A107,RawDataTotal!BF:BF)</f>
        <v>3</v>
      </c>
      <c r="BD107">
        <f>SUMIF(RawDataTotal!$B:$B,$A107,RawDataTotal!BG:BG)</f>
        <v>6</v>
      </c>
      <c r="BE107">
        <f>SUMIF(RawDataTotal!$B:$B,$A107,RawDataTotal!BH:BH)</f>
        <v>8</v>
      </c>
      <c r="BF107">
        <f>SUMIF(RawDataTotal!$B:$B,$A107,RawDataTotal!BI:BI)</f>
        <v>0</v>
      </c>
      <c r="BG107">
        <f>SUMIF(RawDataTotal!$B:$B,$A107,RawDataTotal!BJ:BJ)</f>
        <v>0</v>
      </c>
      <c r="BH107">
        <f>SUMIF(RawDataTotal!$B:$B,$A107,RawDataTotal!BK:BK)</f>
        <v>0</v>
      </c>
      <c r="BI107">
        <f>SUMIF(RawDataTotal!$B:$B,$A107,RawDataTotal!BL:BL)</f>
        <v>0</v>
      </c>
      <c r="BJ107">
        <f>SUMIF(RawDataTotal!$B:$B,$A107,RawDataTotal!BM:BM)</f>
        <v>0</v>
      </c>
      <c r="BK107">
        <f>SUMIF(RawDataTotal!$B:$B,$A107,RawDataTotal!BN:BN)</f>
        <v>0</v>
      </c>
      <c r="BL107">
        <f>SUMIF(RawDataTotal!$B:$B,$A107,RawDataTotal!BO:BO)</f>
        <v>0</v>
      </c>
      <c r="BM107">
        <f>SUMIF(RawDataTotal!$B:$B,$A107,RawDataTotal!BP:BP)</f>
        <v>0</v>
      </c>
      <c r="BN107">
        <f>SUMIF(RawDataTotal!$B:$B,$A107,RawDataTotal!BQ:BQ)</f>
        <v>0</v>
      </c>
      <c r="BO107">
        <f>SUMIF(RawDataTotal!$B:$B,$A107,RawDataTotal!BR:BR)</f>
        <v>0</v>
      </c>
      <c r="BP107">
        <f>SUMIF(RawDataTotal!$B:$B,$A107,RawDataTotal!BS:BS)</f>
        <v>0</v>
      </c>
      <c r="BQ107">
        <f>SUMIF(RawDataTotal!$B:$B,$A107,RawDataTotal!BT:BT)</f>
        <v>0</v>
      </c>
      <c r="BR107">
        <f>SUMIF(RawDataTotal!$B:$B,$A107,RawDataTotal!BU:BU)</f>
        <v>0</v>
      </c>
      <c r="BS107">
        <f>SUMIF(RawDataTotal!$B:$B,$A107,RawDataTotal!BV:BV)</f>
        <v>0</v>
      </c>
      <c r="BT107">
        <f>SUMIF(RawDataTotal!$B:$B,$A107,RawDataTotal!BW:BW)</f>
        <v>0</v>
      </c>
    </row>
    <row r="108" spans="1:72" ht="15" thickBot="1" x14ac:dyDescent="0.35">
      <c r="A108" s="4" t="s">
        <v>127</v>
      </c>
      <c r="B108">
        <f>SUMIF(RawDataTotal!$B:$B,$A108,RawDataTotal!E:E)</f>
        <v>0</v>
      </c>
      <c r="C108">
        <f>SUMIF(RawDataTotal!$B:$B,$A108,RawDataTotal!F:F)</f>
        <v>0</v>
      </c>
      <c r="D108">
        <f>SUMIF(RawDataTotal!$B:$B,$A108,RawDataTotal!G:G)</f>
        <v>0</v>
      </c>
      <c r="E108">
        <f>SUMIF(RawDataTotal!$B:$B,$A108,RawDataTotal!H:H)</f>
        <v>0</v>
      </c>
      <c r="F108">
        <f>SUMIF(RawDataTotal!$B:$B,$A108,RawDataTotal!I:I)</f>
        <v>0</v>
      </c>
      <c r="G108">
        <f>SUMIF(RawDataTotal!$B:$B,$A108,RawDataTotal!J:J)</f>
        <v>0</v>
      </c>
      <c r="H108">
        <f>SUMIF(RawDataTotal!$B:$B,$A108,RawDataTotal!K:K)</f>
        <v>0</v>
      </c>
      <c r="I108">
        <f>SUMIF(RawDataTotal!$B:$B,$A108,RawDataTotal!L:L)</f>
        <v>0</v>
      </c>
      <c r="J108">
        <f>SUMIF(RawDataTotal!$B:$B,$A108,RawDataTotal!M:M)</f>
        <v>0</v>
      </c>
      <c r="K108">
        <f>SUMIF(RawDataTotal!$B:$B,$A108,RawDataTotal!N:N)</f>
        <v>0</v>
      </c>
      <c r="L108">
        <f>SUMIF(RawDataTotal!$B:$B,$A108,RawDataTotal!O:O)</f>
        <v>0</v>
      </c>
      <c r="M108">
        <f>SUMIF(RawDataTotal!$B:$B,$A108,RawDataTotal!P:P)</f>
        <v>0</v>
      </c>
      <c r="N108">
        <f>SUMIF(RawDataTotal!$B:$B,$A108,RawDataTotal!Q:Q)</f>
        <v>0</v>
      </c>
      <c r="O108">
        <f>SUMIF(RawDataTotal!$B:$B,$A108,RawDataTotal!R:R)</f>
        <v>0</v>
      </c>
      <c r="P108">
        <f>SUMIF(RawDataTotal!$B:$B,$A108,RawDataTotal!S:S)</f>
        <v>0</v>
      </c>
      <c r="Q108">
        <f>SUMIF(RawDataTotal!$B:$B,$A108,RawDataTotal!T:T)</f>
        <v>0</v>
      </c>
      <c r="R108">
        <f>SUMIF(RawDataTotal!$B:$B,$A108,RawDataTotal!U:U)</f>
        <v>0</v>
      </c>
      <c r="S108">
        <f>SUMIF(RawDataTotal!$B:$B,$A108,RawDataTotal!V:V)</f>
        <v>0</v>
      </c>
      <c r="T108">
        <f>SUMIF(RawDataTotal!$B:$B,$A108,RawDataTotal!W:W)</f>
        <v>0</v>
      </c>
      <c r="U108">
        <f>SUMIF(RawDataTotal!$B:$B,$A108,RawDataTotal!X:X)</f>
        <v>0</v>
      </c>
      <c r="V108">
        <f>SUMIF(RawDataTotal!$B:$B,$A108,RawDataTotal!Y:Y)</f>
        <v>0</v>
      </c>
      <c r="W108">
        <f>SUMIF(RawDataTotal!$B:$B,$A108,RawDataTotal!Z:Z)</f>
        <v>0</v>
      </c>
      <c r="X108">
        <f>SUMIF(RawDataTotal!$B:$B,$A108,RawDataTotal!AA:AA)</f>
        <v>0</v>
      </c>
      <c r="Y108">
        <f>SUMIF(RawDataTotal!$B:$B,$A108,RawDataTotal!AB:AB)</f>
        <v>0</v>
      </c>
      <c r="Z108">
        <f>SUMIF(RawDataTotal!$B:$B,$A108,RawDataTotal!AC:AC)</f>
        <v>0</v>
      </c>
      <c r="AA108">
        <f>SUMIF(RawDataTotal!$B:$B,$A108,RawDataTotal!AD:AD)</f>
        <v>0</v>
      </c>
      <c r="AB108">
        <f>SUMIF(RawDataTotal!$B:$B,$A108,RawDataTotal!AE:AE)</f>
        <v>0</v>
      </c>
      <c r="AC108">
        <f>SUMIF(RawDataTotal!$B:$B,$A108,RawDataTotal!AF:AF)</f>
        <v>0</v>
      </c>
      <c r="AD108">
        <f>SUMIF(RawDataTotal!$B:$B,$A108,RawDataTotal!AG:AG)</f>
        <v>0</v>
      </c>
      <c r="AE108">
        <f>SUMIF(RawDataTotal!$B:$B,$A108,RawDataTotal!AH:AH)</f>
        <v>0</v>
      </c>
      <c r="AF108">
        <f>SUMIF(RawDataTotal!$B:$B,$A108,RawDataTotal!AI:AI)</f>
        <v>0</v>
      </c>
      <c r="AG108">
        <f>SUMIF(RawDataTotal!$B:$B,$A108,RawDataTotal!AJ:AJ)</f>
        <v>0</v>
      </c>
      <c r="AH108">
        <f>SUMIF(RawDataTotal!$B:$B,$A108,RawDataTotal!AK:AK)</f>
        <v>0</v>
      </c>
      <c r="AI108">
        <f>SUMIF(RawDataTotal!$B:$B,$A108,RawDataTotal!AL:AL)</f>
        <v>0</v>
      </c>
      <c r="AJ108">
        <f>SUMIF(RawDataTotal!$B:$B,$A108,RawDataTotal!AM:AM)</f>
        <v>0</v>
      </c>
      <c r="AK108">
        <f>SUMIF(RawDataTotal!$B:$B,$A108,RawDataTotal!AN:AN)</f>
        <v>0</v>
      </c>
      <c r="AL108">
        <f>SUMIF(RawDataTotal!$B:$B,$A108,RawDataTotal!AO:AO)</f>
        <v>0</v>
      </c>
      <c r="AM108">
        <f>SUMIF(RawDataTotal!$B:$B,$A108,RawDataTotal!AP:AP)</f>
        <v>0</v>
      </c>
      <c r="AN108">
        <f>SUMIF(RawDataTotal!$B:$B,$A108,RawDataTotal!AQ:AQ)</f>
        <v>1</v>
      </c>
      <c r="AO108">
        <f>SUMIF(RawDataTotal!$B:$B,$A108,RawDataTotal!AR:AR)</f>
        <v>1</v>
      </c>
      <c r="AP108">
        <f>SUMIF(RawDataTotal!$B:$B,$A108,RawDataTotal!AS:AS)</f>
        <v>1</v>
      </c>
      <c r="AQ108">
        <f>SUMIF(RawDataTotal!$B:$B,$A108,RawDataTotal!AT:AT)</f>
        <v>1</v>
      </c>
      <c r="AR108">
        <f>SUMIF(RawDataTotal!$B:$B,$A108,RawDataTotal!AU:AU)</f>
        <v>1</v>
      </c>
      <c r="AS108">
        <f>SUMIF(RawDataTotal!$B:$B,$A108,RawDataTotal!AV:AV)</f>
        <v>1</v>
      </c>
      <c r="AT108">
        <f>SUMIF(RawDataTotal!$B:$B,$A108,RawDataTotal!AW:AW)</f>
        <v>1</v>
      </c>
      <c r="AU108">
        <f>SUMIF(RawDataTotal!$B:$B,$A108,RawDataTotal!AX:AX)</f>
        <v>1</v>
      </c>
      <c r="AV108">
        <f>SUMIF(RawDataTotal!$B:$B,$A108,RawDataTotal!AY:AY)</f>
        <v>1</v>
      </c>
      <c r="AW108">
        <f>SUMIF(RawDataTotal!$B:$B,$A108,RawDataTotal!AZ:AZ)</f>
        <v>1</v>
      </c>
      <c r="AX108">
        <f>SUMIF(RawDataTotal!$B:$B,$A108,RawDataTotal!BA:BA)</f>
        <v>1</v>
      </c>
      <c r="AY108">
        <f>SUMIF(RawDataTotal!$B:$B,$A108,RawDataTotal!BB:BB)</f>
        <v>1</v>
      </c>
      <c r="AZ108">
        <f>SUMIF(RawDataTotal!$B:$B,$A108,RawDataTotal!BC:BC)</f>
        <v>2</v>
      </c>
      <c r="BA108">
        <f>SUMIF(RawDataTotal!$B:$B,$A108,RawDataTotal!BD:BD)</f>
        <v>2</v>
      </c>
      <c r="BB108">
        <f>SUMIF(RawDataTotal!$B:$B,$A108,RawDataTotal!BE:BE)</f>
        <v>2</v>
      </c>
      <c r="BC108">
        <f>SUMIF(RawDataTotal!$B:$B,$A108,RawDataTotal!BF:BF)</f>
        <v>2</v>
      </c>
      <c r="BD108">
        <f>SUMIF(RawDataTotal!$B:$B,$A108,RawDataTotal!BG:BG)</f>
        <v>7</v>
      </c>
      <c r="BE108">
        <f>SUMIF(RawDataTotal!$B:$B,$A108,RawDataTotal!BH:BH)</f>
        <v>7</v>
      </c>
      <c r="BF108">
        <f>SUMIF(RawDataTotal!$B:$B,$A108,RawDataTotal!BI:BI)</f>
        <v>0</v>
      </c>
      <c r="BG108">
        <f>SUMIF(RawDataTotal!$B:$B,$A108,RawDataTotal!BJ:BJ)</f>
        <v>0</v>
      </c>
      <c r="BH108">
        <f>SUMIF(RawDataTotal!$B:$B,$A108,RawDataTotal!BK:BK)</f>
        <v>0</v>
      </c>
      <c r="BI108">
        <f>SUMIF(RawDataTotal!$B:$B,$A108,RawDataTotal!BL:BL)</f>
        <v>0</v>
      </c>
      <c r="BJ108">
        <f>SUMIF(RawDataTotal!$B:$B,$A108,RawDataTotal!BM:BM)</f>
        <v>0</v>
      </c>
      <c r="BK108">
        <f>SUMIF(RawDataTotal!$B:$B,$A108,RawDataTotal!BN:BN)</f>
        <v>0</v>
      </c>
      <c r="BL108">
        <f>SUMIF(RawDataTotal!$B:$B,$A108,RawDataTotal!BO:BO)</f>
        <v>0</v>
      </c>
      <c r="BM108">
        <f>SUMIF(RawDataTotal!$B:$B,$A108,RawDataTotal!BP:BP)</f>
        <v>0</v>
      </c>
      <c r="BN108">
        <f>SUMIF(RawDataTotal!$B:$B,$A108,RawDataTotal!BQ:BQ)</f>
        <v>0</v>
      </c>
      <c r="BO108">
        <f>SUMIF(RawDataTotal!$B:$B,$A108,RawDataTotal!BR:BR)</f>
        <v>0</v>
      </c>
      <c r="BP108">
        <f>SUMIF(RawDataTotal!$B:$B,$A108,RawDataTotal!BS:BS)</f>
        <v>0</v>
      </c>
      <c r="BQ108">
        <f>SUMIF(RawDataTotal!$B:$B,$A108,RawDataTotal!BT:BT)</f>
        <v>0</v>
      </c>
      <c r="BR108">
        <f>SUMIF(RawDataTotal!$B:$B,$A108,RawDataTotal!BU:BU)</f>
        <v>0</v>
      </c>
      <c r="BS108">
        <f>SUMIF(RawDataTotal!$B:$B,$A108,RawDataTotal!BV:BV)</f>
        <v>0</v>
      </c>
      <c r="BT108">
        <f>SUMIF(RawDataTotal!$B:$B,$A108,RawDataTotal!BW:BW)</f>
        <v>0</v>
      </c>
    </row>
    <row r="109" spans="1:72" ht="15" thickBot="1" x14ac:dyDescent="0.35">
      <c r="A109" s="4" t="s">
        <v>123</v>
      </c>
      <c r="B109">
        <f>SUMIF(RawDataTotal!$B:$B,$A109,RawDataTotal!E:E)</f>
        <v>0</v>
      </c>
      <c r="C109">
        <f>SUMIF(RawDataTotal!$B:$B,$A109,RawDataTotal!F:F)</f>
        <v>0</v>
      </c>
      <c r="D109">
        <f>SUMIF(RawDataTotal!$B:$B,$A109,RawDataTotal!G:G)</f>
        <v>0</v>
      </c>
      <c r="E109">
        <f>SUMIF(RawDataTotal!$B:$B,$A109,RawDataTotal!H:H)</f>
        <v>0</v>
      </c>
      <c r="F109">
        <f>SUMIF(RawDataTotal!$B:$B,$A109,RawDataTotal!I:I)</f>
        <v>0</v>
      </c>
      <c r="G109">
        <f>SUMIF(RawDataTotal!$B:$B,$A109,RawDataTotal!J:J)</f>
        <v>0</v>
      </c>
      <c r="H109">
        <f>SUMIF(RawDataTotal!$B:$B,$A109,RawDataTotal!K:K)</f>
        <v>0</v>
      </c>
      <c r="I109">
        <f>SUMIF(RawDataTotal!$B:$B,$A109,RawDataTotal!L:L)</f>
        <v>0</v>
      </c>
      <c r="J109">
        <f>SUMIF(RawDataTotal!$B:$B,$A109,RawDataTotal!M:M)</f>
        <v>0</v>
      </c>
      <c r="K109">
        <f>SUMIF(RawDataTotal!$B:$B,$A109,RawDataTotal!N:N)</f>
        <v>0</v>
      </c>
      <c r="L109">
        <f>SUMIF(RawDataTotal!$B:$B,$A109,RawDataTotal!O:O)</f>
        <v>0</v>
      </c>
      <c r="M109">
        <f>SUMIF(RawDataTotal!$B:$B,$A109,RawDataTotal!P:P)</f>
        <v>0</v>
      </c>
      <c r="N109">
        <f>SUMIF(RawDataTotal!$B:$B,$A109,RawDataTotal!Q:Q)</f>
        <v>0</v>
      </c>
      <c r="O109">
        <f>SUMIF(RawDataTotal!$B:$B,$A109,RawDataTotal!R:R)</f>
        <v>0</v>
      </c>
      <c r="P109">
        <f>SUMIF(RawDataTotal!$B:$B,$A109,RawDataTotal!S:S)</f>
        <v>0</v>
      </c>
      <c r="Q109">
        <f>SUMIF(RawDataTotal!$B:$B,$A109,RawDataTotal!T:T)</f>
        <v>0</v>
      </c>
      <c r="R109">
        <f>SUMIF(RawDataTotal!$B:$B,$A109,RawDataTotal!U:U)</f>
        <v>0</v>
      </c>
      <c r="S109">
        <f>SUMIF(RawDataTotal!$B:$B,$A109,RawDataTotal!V:V)</f>
        <v>0</v>
      </c>
      <c r="T109">
        <f>SUMIF(RawDataTotal!$B:$B,$A109,RawDataTotal!W:W)</f>
        <v>0</v>
      </c>
      <c r="U109">
        <f>SUMIF(RawDataTotal!$B:$B,$A109,RawDataTotal!X:X)</f>
        <v>0</v>
      </c>
      <c r="V109">
        <f>SUMIF(RawDataTotal!$B:$B,$A109,RawDataTotal!Y:Y)</f>
        <v>0</v>
      </c>
      <c r="W109">
        <f>SUMIF(RawDataTotal!$B:$B,$A109,RawDataTotal!Z:Z)</f>
        <v>0</v>
      </c>
      <c r="X109">
        <f>SUMIF(RawDataTotal!$B:$B,$A109,RawDataTotal!AA:AA)</f>
        <v>0</v>
      </c>
      <c r="Y109">
        <f>SUMIF(RawDataTotal!$B:$B,$A109,RawDataTotal!AB:AB)</f>
        <v>0</v>
      </c>
      <c r="Z109">
        <f>SUMIF(RawDataTotal!$B:$B,$A109,RawDataTotal!AC:AC)</f>
        <v>0</v>
      </c>
      <c r="AA109">
        <f>SUMIF(RawDataTotal!$B:$B,$A109,RawDataTotal!AD:AD)</f>
        <v>0</v>
      </c>
      <c r="AB109">
        <f>SUMIF(RawDataTotal!$B:$B,$A109,RawDataTotal!AE:AE)</f>
        <v>0</v>
      </c>
      <c r="AC109">
        <f>SUMIF(RawDataTotal!$B:$B,$A109,RawDataTotal!AF:AF)</f>
        <v>0</v>
      </c>
      <c r="AD109">
        <f>SUMIF(RawDataTotal!$B:$B,$A109,RawDataTotal!AG:AG)</f>
        <v>0</v>
      </c>
      <c r="AE109">
        <f>SUMIF(RawDataTotal!$B:$B,$A109,RawDataTotal!AH:AH)</f>
        <v>0</v>
      </c>
      <c r="AF109">
        <f>SUMIF(RawDataTotal!$B:$B,$A109,RawDataTotal!AI:AI)</f>
        <v>0</v>
      </c>
      <c r="AG109">
        <f>SUMIF(RawDataTotal!$B:$B,$A109,RawDataTotal!AJ:AJ)</f>
        <v>0</v>
      </c>
      <c r="AH109">
        <f>SUMIF(RawDataTotal!$B:$B,$A109,RawDataTotal!AK:AK)</f>
        <v>0</v>
      </c>
      <c r="AI109">
        <f>SUMIF(RawDataTotal!$B:$B,$A109,RawDataTotal!AL:AL)</f>
        <v>0</v>
      </c>
      <c r="AJ109">
        <f>SUMIF(RawDataTotal!$B:$B,$A109,RawDataTotal!AM:AM)</f>
        <v>0</v>
      </c>
      <c r="AK109">
        <f>SUMIF(RawDataTotal!$B:$B,$A109,RawDataTotal!AN:AN)</f>
        <v>0</v>
      </c>
      <c r="AL109">
        <f>SUMIF(RawDataTotal!$B:$B,$A109,RawDataTotal!AO:AO)</f>
        <v>0</v>
      </c>
      <c r="AM109">
        <f>SUMIF(RawDataTotal!$B:$B,$A109,RawDataTotal!AP:AP)</f>
        <v>1</v>
      </c>
      <c r="AN109">
        <f>SUMIF(RawDataTotal!$B:$B,$A109,RawDataTotal!AQ:AQ)</f>
        <v>1</v>
      </c>
      <c r="AO109">
        <f>SUMIF(RawDataTotal!$B:$B,$A109,RawDataTotal!AR:AR)</f>
        <v>1</v>
      </c>
      <c r="AP109">
        <f>SUMIF(RawDataTotal!$B:$B,$A109,RawDataTotal!AS:AS)</f>
        <v>1</v>
      </c>
      <c r="AQ109">
        <f>SUMIF(RawDataTotal!$B:$B,$A109,RawDataTotal!AT:AT)</f>
        <v>1</v>
      </c>
      <c r="AR109">
        <f>SUMIF(RawDataTotal!$B:$B,$A109,RawDataTotal!AU:AU)</f>
        <v>1</v>
      </c>
      <c r="AS109">
        <f>SUMIF(RawDataTotal!$B:$B,$A109,RawDataTotal!AV:AV)</f>
        <v>1</v>
      </c>
      <c r="AT109">
        <f>SUMIF(RawDataTotal!$B:$B,$A109,RawDataTotal!AW:AW)</f>
        <v>1</v>
      </c>
      <c r="AU109">
        <f>SUMIF(RawDataTotal!$B:$B,$A109,RawDataTotal!AX:AX)</f>
        <v>1</v>
      </c>
      <c r="AV109">
        <f>SUMIF(RawDataTotal!$B:$B,$A109,RawDataTotal!AY:AY)</f>
        <v>1</v>
      </c>
      <c r="AW109">
        <f>SUMIF(RawDataTotal!$B:$B,$A109,RawDataTotal!AZ:AZ)</f>
        <v>2</v>
      </c>
      <c r="AX109">
        <f>SUMIF(RawDataTotal!$B:$B,$A109,RawDataTotal!BA:BA)</f>
        <v>2</v>
      </c>
      <c r="AY109">
        <f>SUMIF(RawDataTotal!$B:$B,$A109,RawDataTotal!BB:BB)</f>
        <v>2</v>
      </c>
      <c r="AZ109">
        <f>SUMIF(RawDataTotal!$B:$B,$A109,RawDataTotal!BC:BC)</f>
        <v>2</v>
      </c>
      <c r="BA109">
        <f>SUMIF(RawDataTotal!$B:$B,$A109,RawDataTotal!BD:BD)</f>
        <v>2</v>
      </c>
      <c r="BB109">
        <f>SUMIF(RawDataTotal!$B:$B,$A109,RawDataTotal!BE:BE)</f>
        <v>2</v>
      </c>
      <c r="BC109">
        <f>SUMIF(RawDataTotal!$B:$B,$A109,RawDataTotal!BF:BF)</f>
        <v>2</v>
      </c>
      <c r="BD109">
        <f>SUMIF(RawDataTotal!$B:$B,$A109,RawDataTotal!BG:BG)</f>
        <v>2</v>
      </c>
      <c r="BE109">
        <f>SUMIF(RawDataTotal!$B:$B,$A109,RawDataTotal!BH:BH)</f>
        <v>3</v>
      </c>
      <c r="BF109">
        <f>SUMIF(RawDataTotal!$B:$B,$A109,RawDataTotal!BI:BI)</f>
        <v>0</v>
      </c>
      <c r="BG109">
        <f>SUMIF(RawDataTotal!$B:$B,$A109,RawDataTotal!BJ:BJ)</f>
        <v>0</v>
      </c>
      <c r="BH109">
        <f>SUMIF(RawDataTotal!$B:$B,$A109,RawDataTotal!BK:BK)</f>
        <v>0</v>
      </c>
      <c r="BI109">
        <f>SUMIF(RawDataTotal!$B:$B,$A109,RawDataTotal!BL:BL)</f>
        <v>0</v>
      </c>
      <c r="BJ109">
        <f>SUMIF(RawDataTotal!$B:$B,$A109,RawDataTotal!BM:BM)</f>
        <v>0</v>
      </c>
      <c r="BK109">
        <f>SUMIF(RawDataTotal!$B:$B,$A109,RawDataTotal!BN:BN)</f>
        <v>0</v>
      </c>
      <c r="BL109">
        <f>SUMIF(RawDataTotal!$B:$B,$A109,RawDataTotal!BO:BO)</f>
        <v>0</v>
      </c>
      <c r="BM109">
        <f>SUMIF(RawDataTotal!$B:$B,$A109,RawDataTotal!BP:BP)</f>
        <v>0</v>
      </c>
      <c r="BN109">
        <f>SUMIF(RawDataTotal!$B:$B,$A109,RawDataTotal!BQ:BQ)</f>
        <v>0</v>
      </c>
      <c r="BO109">
        <f>SUMIF(RawDataTotal!$B:$B,$A109,RawDataTotal!BR:BR)</f>
        <v>0</v>
      </c>
      <c r="BP109">
        <f>SUMIF(RawDataTotal!$B:$B,$A109,RawDataTotal!BS:BS)</f>
        <v>0</v>
      </c>
      <c r="BQ109">
        <f>SUMIF(RawDataTotal!$B:$B,$A109,RawDataTotal!BT:BT)</f>
        <v>0</v>
      </c>
      <c r="BR109">
        <f>SUMIF(RawDataTotal!$B:$B,$A109,RawDataTotal!BU:BU)</f>
        <v>0</v>
      </c>
      <c r="BS109">
        <f>SUMIF(RawDataTotal!$B:$B,$A109,RawDataTotal!BV:BV)</f>
        <v>0</v>
      </c>
      <c r="BT109">
        <f>SUMIF(RawDataTotal!$B:$B,$A109,RawDataTotal!BW:BW)</f>
        <v>0</v>
      </c>
    </row>
    <row r="110" spans="1:72" ht="15" thickBot="1" x14ac:dyDescent="0.35">
      <c r="A110" s="4" t="s">
        <v>136</v>
      </c>
      <c r="B110">
        <f>SUMIF(RawDataTotal!$B:$B,$A110,RawDataTotal!E:E)</f>
        <v>0</v>
      </c>
      <c r="C110">
        <f>SUMIF(RawDataTotal!$B:$B,$A110,RawDataTotal!F:F)</f>
        <v>0</v>
      </c>
      <c r="D110">
        <f>SUMIF(RawDataTotal!$B:$B,$A110,RawDataTotal!G:G)</f>
        <v>0</v>
      </c>
      <c r="E110">
        <f>SUMIF(RawDataTotal!$B:$B,$A110,RawDataTotal!H:H)</f>
        <v>0</v>
      </c>
      <c r="F110">
        <f>SUMIF(RawDataTotal!$B:$B,$A110,RawDataTotal!I:I)</f>
        <v>0</v>
      </c>
      <c r="G110">
        <f>SUMIF(RawDataTotal!$B:$B,$A110,RawDataTotal!J:J)</f>
        <v>0</v>
      </c>
      <c r="H110">
        <f>SUMIF(RawDataTotal!$B:$B,$A110,RawDataTotal!K:K)</f>
        <v>0</v>
      </c>
      <c r="I110">
        <f>SUMIF(RawDataTotal!$B:$B,$A110,RawDataTotal!L:L)</f>
        <v>0</v>
      </c>
      <c r="J110">
        <f>SUMIF(RawDataTotal!$B:$B,$A110,RawDataTotal!M:M)</f>
        <v>0</v>
      </c>
      <c r="K110">
        <f>SUMIF(RawDataTotal!$B:$B,$A110,RawDataTotal!N:N)</f>
        <v>0</v>
      </c>
      <c r="L110">
        <f>SUMIF(RawDataTotal!$B:$B,$A110,RawDataTotal!O:O)</f>
        <v>0</v>
      </c>
      <c r="M110">
        <f>SUMIF(RawDataTotal!$B:$B,$A110,RawDataTotal!P:P)</f>
        <v>0</v>
      </c>
      <c r="N110">
        <f>SUMIF(RawDataTotal!$B:$B,$A110,RawDataTotal!Q:Q)</f>
        <v>0</v>
      </c>
      <c r="O110">
        <f>SUMIF(RawDataTotal!$B:$B,$A110,RawDataTotal!R:R)</f>
        <v>0</v>
      </c>
      <c r="P110">
        <f>SUMIF(RawDataTotal!$B:$B,$A110,RawDataTotal!S:S)</f>
        <v>0</v>
      </c>
      <c r="Q110">
        <f>SUMIF(RawDataTotal!$B:$B,$A110,RawDataTotal!T:T)</f>
        <v>0</v>
      </c>
      <c r="R110">
        <f>SUMIF(RawDataTotal!$B:$B,$A110,RawDataTotal!U:U)</f>
        <v>0</v>
      </c>
      <c r="S110">
        <f>SUMIF(RawDataTotal!$B:$B,$A110,RawDataTotal!V:V)</f>
        <v>0</v>
      </c>
      <c r="T110">
        <f>SUMIF(RawDataTotal!$B:$B,$A110,RawDataTotal!W:W)</f>
        <v>0</v>
      </c>
      <c r="U110">
        <f>SUMIF(RawDataTotal!$B:$B,$A110,RawDataTotal!X:X)</f>
        <v>0</v>
      </c>
      <c r="V110">
        <f>SUMIF(RawDataTotal!$B:$B,$A110,RawDataTotal!Y:Y)</f>
        <v>0</v>
      </c>
      <c r="W110">
        <f>SUMIF(RawDataTotal!$B:$B,$A110,RawDataTotal!Z:Z)</f>
        <v>0</v>
      </c>
      <c r="X110">
        <f>SUMIF(RawDataTotal!$B:$B,$A110,RawDataTotal!AA:AA)</f>
        <v>0</v>
      </c>
      <c r="Y110">
        <f>SUMIF(RawDataTotal!$B:$B,$A110,RawDataTotal!AB:AB)</f>
        <v>0</v>
      </c>
      <c r="Z110">
        <f>SUMIF(RawDataTotal!$B:$B,$A110,RawDataTotal!AC:AC)</f>
        <v>0</v>
      </c>
      <c r="AA110">
        <f>SUMIF(RawDataTotal!$B:$B,$A110,RawDataTotal!AD:AD)</f>
        <v>0</v>
      </c>
      <c r="AB110">
        <f>SUMIF(RawDataTotal!$B:$B,$A110,RawDataTotal!AE:AE)</f>
        <v>0</v>
      </c>
      <c r="AC110">
        <f>SUMIF(RawDataTotal!$B:$B,$A110,RawDataTotal!AF:AF)</f>
        <v>0</v>
      </c>
      <c r="AD110">
        <f>SUMIF(RawDataTotal!$B:$B,$A110,RawDataTotal!AG:AG)</f>
        <v>0</v>
      </c>
      <c r="AE110">
        <f>SUMIF(RawDataTotal!$B:$B,$A110,RawDataTotal!AH:AH)</f>
        <v>0</v>
      </c>
      <c r="AF110">
        <f>SUMIF(RawDataTotal!$B:$B,$A110,RawDataTotal!AI:AI)</f>
        <v>0</v>
      </c>
      <c r="AG110">
        <f>SUMIF(RawDataTotal!$B:$B,$A110,RawDataTotal!AJ:AJ)</f>
        <v>0</v>
      </c>
      <c r="AH110">
        <f>SUMIF(RawDataTotal!$B:$B,$A110,RawDataTotal!AK:AK)</f>
        <v>0</v>
      </c>
      <c r="AI110">
        <f>SUMIF(RawDataTotal!$B:$B,$A110,RawDataTotal!AL:AL)</f>
        <v>0</v>
      </c>
      <c r="AJ110">
        <f>SUMIF(RawDataTotal!$B:$B,$A110,RawDataTotal!AM:AM)</f>
        <v>0</v>
      </c>
      <c r="AK110">
        <f>SUMIF(RawDataTotal!$B:$B,$A110,RawDataTotal!AN:AN)</f>
        <v>0</v>
      </c>
      <c r="AL110">
        <f>SUMIF(RawDataTotal!$B:$B,$A110,RawDataTotal!AO:AO)</f>
        <v>0</v>
      </c>
      <c r="AM110">
        <f>SUMIF(RawDataTotal!$B:$B,$A110,RawDataTotal!AP:AP)</f>
        <v>0</v>
      </c>
      <c r="AN110">
        <f>SUMIF(RawDataTotal!$B:$B,$A110,RawDataTotal!AQ:AQ)</f>
        <v>0</v>
      </c>
      <c r="AO110">
        <f>SUMIF(RawDataTotal!$B:$B,$A110,RawDataTotal!AR:AR)</f>
        <v>0</v>
      </c>
      <c r="AP110">
        <f>SUMIF(RawDataTotal!$B:$B,$A110,RawDataTotal!AS:AS)</f>
        <v>1</v>
      </c>
      <c r="AQ110">
        <f>SUMIF(RawDataTotal!$B:$B,$A110,RawDataTotal!AT:AT)</f>
        <v>1</v>
      </c>
      <c r="AR110">
        <f>SUMIF(RawDataTotal!$B:$B,$A110,RawDataTotal!AU:AU)</f>
        <v>1</v>
      </c>
      <c r="AS110">
        <f>SUMIF(RawDataTotal!$B:$B,$A110,RawDataTotal!AV:AV)</f>
        <v>1</v>
      </c>
      <c r="AT110">
        <f>SUMIF(RawDataTotal!$B:$B,$A110,RawDataTotal!AW:AW)</f>
        <v>1</v>
      </c>
      <c r="AU110">
        <f>SUMIF(RawDataTotal!$B:$B,$A110,RawDataTotal!AX:AX)</f>
        <v>1</v>
      </c>
      <c r="AV110">
        <f>SUMIF(RawDataTotal!$B:$B,$A110,RawDataTotal!AY:AY)</f>
        <v>1</v>
      </c>
      <c r="AW110">
        <f>SUMIF(RawDataTotal!$B:$B,$A110,RawDataTotal!AZ:AZ)</f>
        <v>1</v>
      </c>
      <c r="AX110">
        <f>SUMIF(RawDataTotal!$B:$B,$A110,RawDataTotal!BA:BA)</f>
        <v>1</v>
      </c>
      <c r="AY110">
        <f>SUMIF(RawDataTotal!$B:$B,$A110,RawDataTotal!BB:BB)</f>
        <v>1</v>
      </c>
      <c r="AZ110">
        <f>SUMIF(RawDataTotal!$B:$B,$A110,RawDataTotal!BC:BC)</f>
        <v>1</v>
      </c>
      <c r="BA110">
        <f>SUMIF(RawDataTotal!$B:$B,$A110,RawDataTotal!BD:BD)</f>
        <v>1</v>
      </c>
      <c r="BB110">
        <f>SUMIF(RawDataTotal!$B:$B,$A110,RawDataTotal!BE:BE)</f>
        <v>1</v>
      </c>
      <c r="BC110">
        <f>SUMIF(RawDataTotal!$B:$B,$A110,RawDataTotal!BF:BF)</f>
        <v>1</v>
      </c>
      <c r="BD110">
        <f>SUMIF(RawDataTotal!$B:$B,$A110,RawDataTotal!BG:BG)</f>
        <v>2</v>
      </c>
      <c r="BE110">
        <f>SUMIF(RawDataTotal!$B:$B,$A110,RawDataTotal!BH:BH)</f>
        <v>39</v>
      </c>
      <c r="BF110">
        <f>SUMIF(RawDataTotal!$B:$B,$A110,RawDataTotal!BI:BI)</f>
        <v>0</v>
      </c>
      <c r="BG110">
        <f>SUMIF(RawDataTotal!$B:$B,$A110,RawDataTotal!BJ:BJ)</f>
        <v>0</v>
      </c>
      <c r="BH110">
        <f>SUMIF(RawDataTotal!$B:$B,$A110,RawDataTotal!BK:BK)</f>
        <v>0</v>
      </c>
      <c r="BI110">
        <f>SUMIF(RawDataTotal!$B:$B,$A110,RawDataTotal!BL:BL)</f>
        <v>0</v>
      </c>
      <c r="BJ110">
        <f>SUMIF(RawDataTotal!$B:$B,$A110,RawDataTotal!BM:BM)</f>
        <v>0</v>
      </c>
      <c r="BK110">
        <f>SUMIF(RawDataTotal!$B:$B,$A110,RawDataTotal!BN:BN)</f>
        <v>0</v>
      </c>
      <c r="BL110">
        <f>SUMIF(RawDataTotal!$B:$B,$A110,RawDataTotal!BO:BO)</f>
        <v>0</v>
      </c>
      <c r="BM110">
        <f>SUMIF(RawDataTotal!$B:$B,$A110,RawDataTotal!BP:BP)</f>
        <v>0</v>
      </c>
      <c r="BN110">
        <f>SUMIF(RawDataTotal!$B:$B,$A110,RawDataTotal!BQ:BQ)</f>
        <v>0</v>
      </c>
      <c r="BO110">
        <f>SUMIF(RawDataTotal!$B:$B,$A110,RawDataTotal!BR:BR)</f>
        <v>0</v>
      </c>
      <c r="BP110">
        <f>SUMIF(RawDataTotal!$B:$B,$A110,RawDataTotal!BS:BS)</f>
        <v>0</v>
      </c>
      <c r="BQ110">
        <f>SUMIF(RawDataTotal!$B:$B,$A110,RawDataTotal!BT:BT)</f>
        <v>0</v>
      </c>
      <c r="BR110">
        <f>SUMIF(RawDataTotal!$B:$B,$A110,RawDataTotal!BU:BU)</f>
        <v>0</v>
      </c>
      <c r="BS110">
        <f>SUMIF(RawDataTotal!$B:$B,$A110,RawDataTotal!BV:BV)</f>
        <v>0</v>
      </c>
      <c r="BT110">
        <f>SUMIF(RawDataTotal!$B:$B,$A110,RawDataTotal!BW:BW)</f>
        <v>0</v>
      </c>
    </row>
    <row r="111" spans="1:72" ht="15" thickBot="1" x14ac:dyDescent="0.35">
      <c r="A111" s="4" t="s">
        <v>452</v>
      </c>
      <c r="B111">
        <f>SUMIF(RawDataTotal!$B:$B,$A111,RawDataTotal!E:E)</f>
        <v>0</v>
      </c>
      <c r="C111">
        <f>SUMIF(RawDataTotal!$B:$B,$A111,RawDataTotal!F:F)</f>
        <v>0</v>
      </c>
      <c r="D111">
        <f>SUMIF(RawDataTotal!$B:$B,$A111,RawDataTotal!G:G)</f>
        <v>0</v>
      </c>
      <c r="E111">
        <f>SUMIF(RawDataTotal!$B:$B,$A111,RawDataTotal!H:H)</f>
        <v>0</v>
      </c>
      <c r="F111">
        <f>SUMIF(RawDataTotal!$B:$B,$A111,RawDataTotal!I:I)</f>
        <v>0</v>
      </c>
      <c r="G111">
        <f>SUMIF(RawDataTotal!$B:$B,$A111,RawDataTotal!J:J)</f>
        <v>0</v>
      </c>
      <c r="H111">
        <f>SUMIF(RawDataTotal!$B:$B,$A111,RawDataTotal!K:K)</f>
        <v>0</v>
      </c>
      <c r="I111">
        <f>SUMIF(RawDataTotal!$B:$B,$A111,RawDataTotal!L:L)</f>
        <v>0</v>
      </c>
      <c r="J111">
        <f>SUMIF(RawDataTotal!$B:$B,$A111,RawDataTotal!M:M)</f>
        <v>0</v>
      </c>
      <c r="K111">
        <f>SUMIF(RawDataTotal!$B:$B,$A111,RawDataTotal!N:N)</f>
        <v>0</v>
      </c>
      <c r="L111">
        <f>SUMIF(RawDataTotal!$B:$B,$A111,RawDataTotal!O:O)</f>
        <v>0</v>
      </c>
      <c r="M111">
        <f>SUMIF(RawDataTotal!$B:$B,$A111,RawDataTotal!P:P)</f>
        <v>0</v>
      </c>
      <c r="N111">
        <f>SUMIF(RawDataTotal!$B:$B,$A111,RawDataTotal!Q:Q)</f>
        <v>0</v>
      </c>
      <c r="O111">
        <f>SUMIF(RawDataTotal!$B:$B,$A111,RawDataTotal!R:R)</f>
        <v>0</v>
      </c>
      <c r="P111">
        <f>SUMIF(RawDataTotal!$B:$B,$A111,RawDataTotal!S:S)</f>
        <v>0</v>
      </c>
      <c r="Q111">
        <f>SUMIF(RawDataTotal!$B:$B,$A111,RawDataTotal!T:T)</f>
        <v>0</v>
      </c>
      <c r="R111">
        <f>SUMIF(RawDataTotal!$B:$B,$A111,RawDataTotal!U:U)</f>
        <v>0</v>
      </c>
      <c r="S111">
        <f>SUMIF(RawDataTotal!$B:$B,$A111,RawDataTotal!V:V)</f>
        <v>0</v>
      </c>
      <c r="T111">
        <f>SUMIF(RawDataTotal!$B:$B,$A111,RawDataTotal!W:W)</f>
        <v>0</v>
      </c>
      <c r="U111">
        <f>SUMIF(RawDataTotal!$B:$B,$A111,RawDataTotal!X:X)</f>
        <v>0</v>
      </c>
      <c r="V111">
        <f>SUMIF(RawDataTotal!$B:$B,$A111,RawDataTotal!Y:Y)</f>
        <v>0</v>
      </c>
      <c r="W111">
        <f>SUMIF(RawDataTotal!$B:$B,$A111,RawDataTotal!Z:Z)</f>
        <v>0</v>
      </c>
      <c r="X111">
        <f>SUMIF(RawDataTotal!$B:$B,$A111,RawDataTotal!AA:AA)</f>
        <v>0</v>
      </c>
      <c r="Y111">
        <f>SUMIF(RawDataTotal!$B:$B,$A111,RawDataTotal!AB:AB)</f>
        <v>0</v>
      </c>
      <c r="Z111">
        <f>SUMIF(RawDataTotal!$B:$B,$A111,RawDataTotal!AC:AC)</f>
        <v>0</v>
      </c>
      <c r="AA111">
        <f>SUMIF(RawDataTotal!$B:$B,$A111,RawDataTotal!AD:AD)</f>
        <v>0</v>
      </c>
      <c r="AB111">
        <f>SUMIF(RawDataTotal!$B:$B,$A111,RawDataTotal!AE:AE)</f>
        <v>0</v>
      </c>
      <c r="AC111">
        <f>SUMIF(RawDataTotal!$B:$B,$A111,RawDataTotal!AF:AF)</f>
        <v>0</v>
      </c>
      <c r="AD111">
        <f>SUMIF(RawDataTotal!$B:$B,$A111,RawDataTotal!AG:AG)</f>
        <v>0</v>
      </c>
      <c r="AE111">
        <f>SUMIF(RawDataTotal!$B:$B,$A111,RawDataTotal!AH:AH)</f>
        <v>0</v>
      </c>
      <c r="AF111">
        <f>SUMIF(RawDataTotal!$B:$B,$A111,RawDataTotal!AI:AI)</f>
        <v>0</v>
      </c>
      <c r="AG111">
        <f>SUMIF(RawDataTotal!$B:$B,$A111,RawDataTotal!AJ:AJ)</f>
        <v>0</v>
      </c>
      <c r="AH111">
        <f>SUMIF(RawDataTotal!$B:$B,$A111,RawDataTotal!AK:AK)</f>
        <v>0</v>
      </c>
      <c r="AI111">
        <f>SUMIF(RawDataTotal!$B:$B,$A111,RawDataTotal!AL:AL)</f>
        <v>0</v>
      </c>
      <c r="AJ111">
        <f>SUMIF(RawDataTotal!$B:$B,$A111,RawDataTotal!AM:AM)</f>
        <v>0</v>
      </c>
      <c r="AK111">
        <f>SUMIF(RawDataTotal!$B:$B,$A111,RawDataTotal!AN:AN)</f>
        <v>0</v>
      </c>
      <c r="AL111">
        <f>SUMIF(RawDataTotal!$B:$B,$A111,RawDataTotal!AO:AO)</f>
        <v>0</v>
      </c>
      <c r="AM111">
        <f>SUMIF(RawDataTotal!$B:$B,$A111,RawDataTotal!AP:AP)</f>
        <v>0</v>
      </c>
      <c r="AN111">
        <f>SUMIF(RawDataTotal!$B:$B,$A111,RawDataTotal!AQ:AQ)</f>
        <v>0</v>
      </c>
      <c r="AO111">
        <f>SUMIF(RawDataTotal!$B:$B,$A111,RawDataTotal!AR:AR)</f>
        <v>0</v>
      </c>
      <c r="AP111">
        <f>SUMIF(RawDataTotal!$B:$B,$A111,RawDataTotal!AS:AS)</f>
        <v>0</v>
      </c>
      <c r="AQ111">
        <f>SUMIF(RawDataTotal!$B:$B,$A111,RawDataTotal!AT:AT)</f>
        <v>0</v>
      </c>
      <c r="AR111">
        <f>SUMIF(RawDataTotal!$B:$B,$A111,RawDataTotal!AU:AU)</f>
        <v>0</v>
      </c>
      <c r="AS111">
        <f>SUMIF(RawDataTotal!$B:$B,$A111,RawDataTotal!AV:AV)</f>
        <v>0</v>
      </c>
      <c r="AT111">
        <f>SUMIF(RawDataTotal!$B:$B,$A111,RawDataTotal!AW:AW)</f>
        <v>0</v>
      </c>
      <c r="AU111">
        <f>SUMIF(RawDataTotal!$B:$B,$A111,RawDataTotal!AX:AX)</f>
        <v>0</v>
      </c>
      <c r="AV111">
        <f>SUMIF(RawDataTotal!$B:$B,$A111,RawDataTotal!AY:AY)</f>
        <v>0</v>
      </c>
      <c r="AW111">
        <f>SUMIF(RawDataTotal!$B:$B,$A111,RawDataTotal!AZ:AZ)</f>
        <v>0</v>
      </c>
      <c r="AX111">
        <f>SUMIF(RawDataTotal!$B:$B,$A111,RawDataTotal!BA:BA)</f>
        <v>0</v>
      </c>
      <c r="AY111">
        <f>SUMIF(RawDataTotal!$B:$B,$A111,RawDataTotal!BB:BB)</f>
        <v>0</v>
      </c>
      <c r="AZ111">
        <f>SUMIF(RawDataTotal!$B:$B,$A111,RawDataTotal!BC:BC)</f>
        <v>0</v>
      </c>
      <c r="BA111">
        <f>SUMIF(RawDataTotal!$B:$B,$A111,RawDataTotal!BD:BD)</f>
        <v>1</v>
      </c>
      <c r="BB111">
        <f>SUMIF(RawDataTotal!$B:$B,$A111,RawDataTotal!BE:BE)</f>
        <v>1</v>
      </c>
      <c r="BC111">
        <f>SUMIF(RawDataTotal!$B:$B,$A111,RawDataTotal!BF:BF)</f>
        <v>1</v>
      </c>
      <c r="BD111">
        <f>SUMIF(RawDataTotal!$B:$B,$A111,RawDataTotal!BG:BG)</f>
        <v>1</v>
      </c>
      <c r="BE111">
        <f>SUMIF(RawDataTotal!$B:$B,$A111,RawDataTotal!BH:BH)</f>
        <v>1</v>
      </c>
      <c r="BF111">
        <f>SUMIF(RawDataTotal!$B:$B,$A111,RawDataTotal!BI:BI)</f>
        <v>0</v>
      </c>
      <c r="BG111">
        <f>SUMIF(RawDataTotal!$B:$B,$A111,RawDataTotal!BJ:BJ)</f>
        <v>0</v>
      </c>
      <c r="BH111">
        <f>SUMIF(RawDataTotal!$B:$B,$A111,RawDataTotal!BK:BK)</f>
        <v>0</v>
      </c>
      <c r="BI111">
        <f>SUMIF(RawDataTotal!$B:$B,$A111,RawDataTotal!BL:BL)</f>
        <v>0</v>
      </c>
      <c r="BJ111">
        <f>SUMIF(RawDataTotal!$B:$B,$A111,RawDataTotal!BM:BM)</f>
        <v>0</v>
      </c>
      <c r="BK111">
        <f>SUMIF(RawDataTotal!$B:$B,$A111,RawDataTotal!BN:BN)</f>
        <v>0</v>
      </c>
      <c r="BL111">
        <f>SUMIF(RawDataTotal!$B:$B,$A111,RawDataTotal!BO:BO)</f>
        <v>0</v>
      </c>
      <c r="BM111">
        <f>SUMIF(RawDataTotal!$B:$B,$A111,RawDataTotal!BP:BP)</f>
        <v>0</v>
      </c>
      <c r="BN111">
        <f>SUMIF(RawDataTotal!$B:$B,$A111,RawDataTotal!BQ:BQ)</f>
        <v>0</v>
      </c>
      <c r="BO111">
        <f>SUMIF(RawDataTotal!$B:$B,$A111,RawDataTotal!BR:BR)</f>
        <v>0</v>
      </c>
      <c r="BP111">
        <f>SUMIF(RawDataTotal!$B:$B,$A111,RawDataTotal!BS:BS)</f>
        <v>0</v>
      </c>
      <c r="BQ111">
        <f>SUMIF(RawDataTotal!$B:$B,$A111,RawDataTotal!BT:BT)</f>
        <v>0</v>
      </c>
      <c r="BR111">
        <f>SUMIF(RawDataTotal!$B:$B,$A111,RawDataTotal!BU:BU)</f>
        <v>0</v>
      </c>
      <c r="BS111">
        <f>SUMIF(RawDataTotal!$B:$B,$A111,RawDataTotal!BV:BV)</f>
        <v>0</v>
      </c>
      <c r="BT111">
        <f>SUMIF(RawDataTotal!$B:$B,$A111,RawDataTotal!BW:BW)</f>
        <v>0</v>
      </c>
    </row>
    <row r="112" spans="1:72" ht="15" thickBot="1" x14ac:dyDescent="0.35">
      <c r="A112" s="4" t="s">
        <v>183</v>
      </c>
      <c r="B112">
        <f>SUMIF(RawDataTotal!$B:$B,$A112,RawDataTotal!E:E)</f>
        <v>0</v>
      </c>
      <c r="C112">
        <f>SUMIF(RawDataTotal!$B:$B,$A112,RawDataTotal!F:F)</f>
        <v>0</v>
      </c>
      <c r="D112">
        <f>SUMIF(RawDataTotal!$B:$B,$A112,RawDataTotal!G:G)</f>
        <v>0</v>
      </c>
      <c r="E112">
        <f>SUMIF(RawDataTotal!$B:$B,$A112,RawDataTotal!H:H)</f>
        <v>0</v>
      </c>
      <c r="F112">
        <f>SUMIF(RawDataTotal!$B:$B,$A112,RawDataTotal!I:I)</f>
        <v>0</v>
      </c>
      <c r="G112">
        <f>SUMIF(RawDataTotal!$B:$B,$A112,RawDataTotal!J:J)</f>
        <v>0</v>
      </c>
      <c r="H112">
        <f>SUMIF(RawDataTotal!$B:$B,$A112,RawDataTotal!K:K)</f>
        <v>0</v>
      </c>
      <c r="I112">
        <f>SUMIF(RawDataTotal!$B:$B,$A112,RawDataTotal!L:L)</f>
        <v>0</v>
      </c>
      <c r="J112">
        <f>SUMIF(RawDataTotal!$B:$B,$A112,RawDataTotal!M:M)</f>
        <v>0</v>
      </c>
      <c r="K112">
        <f>SUMIF(RawDataTotal!$B:$B,$A112,RawDataTotal!N:N)</f>
        <v>0</v>
      </c>
      <c r="L112">
        <f>SUMIF(RawDataTotal!$B:$B,$A112,RawDataTotal!O:O)</f>
        <v>0</v>
      </c>
      <c r="M112">
        <f>SUMIF(RawDataTotal!$B:$B,$A112,RawDataTotal!P:P)</f>
        <v>0</v>
      </c>
      <c r="N112">
        <f>SUMIF(RawDataTotal!$B:$B,$A112,RawDataTotal!Q:Q)</f>
        <v>0</v>
      </c>
      <c r="O112">
        <f>SUMIF(RawDataTotal!$B:$B,$A112,RawDataTotal!R:R)</f>
        <v>0</v>
      </c>
      <c r="P112">
        <f>SUMIF(RawDataTotal!$B:$B,$A112,RawDataTotal!S:S)</f>
        <v>0</v>
      </c>
      <c r="Q112">
        <f>SUMIF(RawDataTotal!$B:$B,$A112,RawDataTotal!T:T)</f>
        <v>0</v>
      </c>
      <c r="R112">
        <f>SUMIF(RawDataTotal!$B:$B,$A112,RawDataTotal!U:U)</f>
        <v>0</v>
      </c>
      <c r="S112">
        <f>SUMIF(RawDataTotal!$B:$B,$A112,RawDataTotal!V:V)</f>
        <v>0</v>
      </c>
      <c r="T112">
        <f>SUMIF(RawDataTotal!$B:$B,$A112,RawDataTotal!W:W)</f>
        <v>0</v>
      </c>
      <c r="U112">
        <f>SUMIF(RawDataTotal!$B:$B,$A112,RawDataTotal!X:X)</f>
        <v>0</v>
      </c>
      <c r="V112">
        <f>SUMIF(RawDataTotal!$B:$B,$A112,RawDataTotal!Y:Y)</f>
        <v>0</v>
      </c>
      <c r="W112">
        <f>SUMIF(RawDataTotal!$B:$B,$A112,RawDataTotal!Z:Z)</f>
        <v>0</v>
      </c>
      <c r="X112">
        <f>SUMIF(RawDataTotal!$B:$B,$A112,RawDataTotal!AA:AA)</f>
        <v>0</v>
      </c>
      <c r="Y112">
        <f>SUMIF(RawDataTotal!$B:$B,$A112,RawDataTotal!AB:AB)</f>
        <v>0</v>
      </c>
      <c r="Z112">
        <f>SUMIF(RawDataTotal!$B:$B,$A112,RawDataTotal!AC:AC)</f>
        <v>0</v>
      </c>
      <c r="AA112">
        <f>SUMIF(RawDataTotal!$B:$B,$A112,RawDataTotal!AD:AD)</f>
        <v>0</v>
      </c>
      <c r="AB112">
        <f>SUMIF(RawDataTotal!$B:$B,$A112,RawDataTotal!AE:AE)</f>
        <v>0</v>
      </c>
      <c r="AC112">
        <f>SUMIF(RawDataTotal!$B:$B,$A112,RawDataTotal!AF:AF)</f>
        <v>0</v>
      </c>
      <c r="AD112">
        <f>SUMIF(RawDataTotal!$B:$B,$A112,RawDataTotal!AG:AG)</f>
        <v>0</v>
      </c>
      <c r="AE112">
        <f>SUMIF(RawDataTotal!$B:$B,$A112,RawDataTotal!AH:AH)</f>
        <v>0</v>
      </c>
      <c r="AF112">
        <f>SUMIF(RawDataTotal!$B:$B,$A112,RawDataTotal!AI:AI)</f>
        <v>0</v>
      </c>
      <c r="AG112">
        <f>SUMIF(RawDataTotal!$B:$B,$A112,RawDataTotal!AJ:AJ)</f>
        <v>0</v>
      </c>
      <c r="AH112">
        <f>SUMIF(RawDataTotal!$B:$B,$A112,RawDataTotal!AK:AK)</f>
        <v>0</v>
      </c>
      <c r="AI112">
        <f>SUMIF(RawDataTotal!$B:$B,$A112,RawDataTotal!AL:AL)</f>
        <v>0</v>
      </c>
      <c r="AJ112">
        <f>SUMIF(RawDataTotal!$B:$B,$A112,RawDataTotal!AM:AM)</f>
        <v>0</v>
      </c>
      <c r="AK112">
        <f>SUMIF(RawDataTotal!$B:$B,$A112,RawDataTotal!AN:AN)</f>
        <v>0</v>
      </c>
      <c r="AL112">
        <f>SUMIF(RawDataTotal!$B:$B,$A112,RawDataTotal!AO:AO)</f>
        <v>0</v>
      </c>
      <c r="AM112">
        <f>SUMIF(RawDataTotal!$B:$B,$A112,RawDataTotal!AP:AP)</f>
        <v>0</v>
      </c>
      <c r="AN112">
        <f>SUMIF(RawDataTotal!$B:$B,$A112,RawDataTotal!AQ:AQ)</f>
        <v>0</v>
      </c>
      <c r="AO112">
        <f>SUMIF(RawDataTotal!$B:$B,$A112,RawDataTotal!AR:AR)</f>
        <v>0</v>
      </c>
      <c r="AP112">
        <f>SUMIF(RawDataTotal!$B:$B,$A112,RawDataTotal!AS:AS)</f>
        <v>0</v>
      </c>
      <c r="AQ112">
        <f>SUMIF(RawDataTotal!$B:$B,$A112,RawDataTotal!AT:AT)</f>
        <v>0</v>
      </c>
      <c r="AR112">
        <f>SUMIF(RawDataTotal!$B:$B,$A112,RawDataTotal!AU:AU)</f>
        <v>0</v>
      </c>
      <c r="AS112">
        <f>SUMIF(RawDataTotal!$B:$B,$A112,RawDataTotal!AV:AV)</f>
        <v>0</v>
      </c>
      <c r="AT112">
        <f>SUMIF(RawDataTotal!$B:$B,$A112,RawDataTotal!AW:AW)</f>
        <v>1</v>
      </c>
      <c r="AU112">
        <f>SUMIF(RawDataTotal!$B:$B,$A112,RawDataTotal!AX:AX)</f>
        <v>1</v>
      </c>
      <c r="AV112">
        <f>SUMIF(RawDataTotal!$B:$B,$A112,RawDataTotal!AY:AY)</f>
        <v>1</v>
      </c>
      <c r="AW112">
        <f>SUMIF(RawDataTotal!$B:$B,$A112,RawDataTotal!AZ:AZ)</f>
        <v>1</v>
      </c>
      <c r="AX112">
        <f>SUMIF(RawDataTotal!$B:$B,$A112,RawDataTotal!BA:BA)</f>
        <v>1</v>
      </c>
      <c r="AY112">
        <f>SUMIF(RawDataTotal!$B:$B,$A112,RawDataTotal!BB:BB)</f>
        <v>1</v>
      </c>
      <c r="AZ112">
        <f>SUMIF(RawDataTotal!$B:$B,$A112,RawDataTotal!BC:BC)</f>
        <v>1</v>
      </c>
      <c r="BA112">
        <f>SUMIF(RawDataTotal!$B:$B,$A112,RawDataTotal!BD:BD)</f>
        <v>1</v>
      </c>
      <c r="BB112">
        <f>SUMIF(RawDataTotal!$B:$B,$A112,RawDataTotal!BE:BE)</f>
        <v>1</v>
      </c>
      <c r="BC112">
        <f>SUMIF(RawDataTotal!$B:$B,$A112,RawDataTotal!BF:BF)</f>
        <v>1</v>
      </c>
      <c r="BD112">
        <f>SUMIF(RawDataTotal!$B:$B,$A112,RawDataTotal!BG:BG)</f>
        <v>1</v>
      </c>
      <c r="BE112">
        <f>SUMIF(RawDataTotal!$B:$B,$A112,RawDataTotal!BH:BH)</f>
        <v>1</v>
      </c>
      <c r="BF112">
        <f>SUMIF(RawDataTotal!$B:$B,$A112,RawDataTotal!BI:BI)</f>
        <v>0</v>
      </c>
      <c r="BG112">
        <f>SUMIF(RawDataTotal!$B:$B,$A112,RawDataTotal!BJ:BJ)</f>
        <v>0</v>
      </c>
      <c r="BH112">
        <f>SUMIF(RawDataTotal!$B:$B,$A112,RawDataTotal!BK:BK)</f>
        <v>0</v>
      </c>
      <c r="BI112">
        <f>SUMIF(RawDataTotal!$B:$B,$A112,RawDataTotal!BL:BL)</f>
        <v>0</v>
      </c>
      <c r="BJ112">
        <f>SUMIF(RawDataTotal!$B:$B,$A112,RawDataTotal!BM:BM)</f>
        <v>0</v>
      </c>
      <c r="BK112">
        <f>SUMIF(RawDataTotal!$B:$B,$A112,RawDataTotal!BN:BN)</f>
        <v>0</v>
      </c>
      <c r="BL112">
        <f>SUMIF(RawDataTotal!$B:$B,$A112,RawDataTotal!BO:BO)</f>
        <v>0</v>
      </c>
      <c r="BM112">
        <f>SUMIF(RawDataTotal!$B:$B,$A112,RawDataTotal!BP:BP)</f>
        <v>0</v>
      </c>
      <c r="BN112">
        <f>SUMIF(RawDataTotal!$B:$B,$A112,RawDataTotal!BQ:BQ)</f>
        <v>0</v>
      </c>
      <c r="BO112">
        <f>SUMIF(RawDataTotal!$B:$B,$A112,RawDataTotal!BR:BR)</f>
        <v>0</v>
      </c>
      <c r="BP112">
        <f>SUMIF(RawDataTotal!$B:$B,$A112,RawDataTotal!BS:BS)</f>
        <v>0</v>
      </c>
      <c r="BQ112">
        <f>SUMIF(RawDataTotal!$B:$B,$A112,RawDataTotal!BT:BT)</f>
        <v>0</v>
      </c>
      <c r="BR112">
        <f>SUMIF(RawDataTotal!$B:$B,$A112,RawDataTotal!BU:BU)</f>
        <v>0</v>
      </c>
      <c r="BS112">
        <f>SUMIF(RawDataTotal!$B:$B,$A112,RawDataTotal!BV:BV)</f>
        <v>0</v>
      </c>
      <c r="BT112">
        <f>SUMIF(RawDataTotal!$B:$B,$A112,RawDataTotal!BW:BW)</f>
        <v>0</v>
      </c>
    </row>
    <row r="113" spans="1:72" ht="15" thickBot="1" x14ac:dyDescent="0.35">
      <c r="A113" s="4" t="s">
        <v>443</v>
      </c>
      <c r="B113">
        <f>SUMIF(RawDataTotal!$B:$B,$A113,RawDataTotal!E:E)</f>
        <v>0</v>
      </c>
      <c r="C113">
        <f>SUMIF(RawDataTotal!$B:$B,$A113,RawDataTotal!F:F)</f>
        <v>0</v>
      </c>
      <c r="D113">
        <f>SUMIF(RawDataTotal!$B:$B,$A113,RawDataTotal!G:G)</f>
        <v>0</v>
      </c>
      <c r="E113">
        <f>SUMIF(RawDataTotal!$B:$B,$A113,RawDataTotal!H:H)</f>
        <v>0</v>
      </c>
      <c r="F113">
        <f>SUMIF(RawDataTotal!$B:$B,$A113,RawDataTotal!I:I)</f>
        <v>0</v>
      </c>
      <c r="G113">
        <f>SUMIF(RawDataTotal!$B:$B,$A113,RawDataTotal!J:J)</f>
        <v>0</v>
      </c>
      <c r="H113">
        <f>SUMIF(RawDataTotal!$B:$B,$A113,RawDataTotal!K:K)</f>
        <v>0</v>
      </c>
      <c r="I113">
        <f>SUMIF(RawDataTotal!$B:$B,$A113,RawDataTotal!L:L)</f>
        <v>0</v>
      </c>
      <c r="J113">
        <f>SUMIF(RawDataTotal!$B:$B,$A113,RawDataTotal!M:M)</f>
        <v>0</v>
      </c>
      <c r="K113">
        <f>SUMIF(RawDataTotal!$B:$B,$A113,RawDataTotal!N:N)</f>
        <v>0</v>
      </c>
      <c r="L113">
        <f>SUMIF(RawDataTotal!$B:$B,$A113,RawDataTotal!O:O)</f>
        <v>0</v>
      </c>
      <c r="M113">
        <f>SUMIF(RawDataTotal!$B:$B,$A113,RawDataTotal!P:P)</f>
        <v>0</v>
      </c>
      <c r="N113">
        <f>SUMIF(RawDataTotal!$B:$B,$A113,RawDataTotal!Q:Q)</f>
        <v>0</v>
      </c>
      <c r="O113">
        <f>SUMIF(RawDataTotal!$B:$B,$A113,RawDataTotal!R:R)</f>
        <v>0</v>
      </c>
      <c r="P113">
        <f>SUMIF(RawDataTotal!$B:$B,$A113,RawDataTotal!S:S)</f>
        <v>0</v>
      </c>
      <c r="Q113">
        <f>SUMIF(RawDataTotal!$B:$B,$A113,RawDataTotal!T:T)</f>
        <v>0</v>
      </c>
      <c r="R113">
        <f>SUMIF(RawDataTotal!$B:$B,$A113,RawDataTotal!U:U)</f>
        <v>0</v>
      </c>
      <c r="S113">
        <f>SUMIF(RawDataTotal!$B:$B,$A113,RawDataTotal!V:V)</f>
        <v>0</v>
      </c>
      <c r="T113">
        <f>SUMIF(RawDataTotal!$B:$B,$A113,RawDataTotal!W:W)</f>
        <v>0</v>
      </c>
      <c r="U113">
        <f>SUMIF(RawDataTotal!$B:$B,$A113,RawDataTotal!X:X)</f>
        <v>0</v>
      </c>
      <c r="V113">
        <f>SUMIF(RawDataTotal!$B:$B,$A113,RawDataTotal!Y:Y)</f>
        <v>0</v>
      </c>
      <c r="W113">
        <f>SUMIF(RawDataTotal!$B:$B,$A113,RawDataTotal!Z:Z)</f>
        <v>0</v>
      </c>
      <c r="X113">
        <f>SUMIF(RawDataTotal!$B:$B,$A113,RawDataTotal!AA:AA)</f>
        <v>0</v>
      </c>
      <c r="Y113">
        <f>SUMIF(RawDataTotal!$B:$B,$A113,RawDataTotal!AB:AB)</f>
        <v>0</v>
      </c>
      <c r="Z113">
        <f>SUMIF(RawDataTotal!$B:$B,$A113,RawDataTotal!AC:AC)</f>
        <v>0</v>
      </c>
      <c r="AA113">
        <f>SUMIF(RawDataTotal!$B:$B,$A113,RawDataTotal!AD:AD)</f>
        <v>0</v>
      </c>
      <c r="AB113">
        <f>SUMIF(RawDataTotal!$B:$B,$A113,RawDataTotal!AE:AE)</f>
        <v>0</v>
      </c>
      <c r="AC113">
        <f>SUMIF(RawDataTotal!$B:$B,$A113,RawDataTotal!AF:AF)</f>
        <v>0</v>
      </c>
      <c r="AD113">
        <f>SUMIF(RawDataTotal!$B:$B,$A113,RawDataTotal!AG:AG)</f>
        <v>0</v>
      </c>
      <c r="AE113">
        <f>SUMIF(RawDataTotal!$B:$B,$A113,RawDataTotal!AH:AH)</f>
        <v>0</v>
      </c>
      <c r="AF113">
        <f>SUMIF(RawDataTotal!$B:$B,$A113,RawDataTotal!AI:AI)</f>
        <v>0</v>
      </c>
      <c r="AG113">
        <f>SUMIF(RawDataTotal!$B:$B,$A113,RawDataTotal!AJ:AJ)</f>
        <v>0</v>
      </c>
      <c r="AH113">
        <f>SUMIF(RawDataTotal!$B:$B,$A113,RawDataTotal!AK:AK)</f>
        <v>0</v>
      </c>
      <c r="AI113">
        <f>SUMIF(RawDataTotal!$B:$B,$A113,RawDataTotal!AL:AL)</f>
        <v>0</v>
      </c>
      <c r="AJ113">
        <f>SUMIF(RawDataTotal!$B:$B,$A113,RawDataTotal!AM:AM)</f>
        <v>0</v>
      </c>
      <c r="AK113">
        <f>SUMIF(RawDataTotal!$B:$B,$A113,RawDataTotal!AN:AN)</f>
        <v>0</v>
      </c>
      <c r="AL113">
        <f>SUMIF(RawDataTotal!$B:$B,$A113,RawDataTotal!AO:AO)</f>
        <v>0</v>
      </c>
      <c r="AM113">
        <f>SUMIF(RawDataTotal!$B:$B,$A113,RawDataTotal!AP:AP)</f>
        <v>0</v>
      </c>
      <c r="AN113">
        <f>SUMIF(RawDataTotal!$B:$B,$A113,RawDataTotal!AQ:AQ)</f>
        <v>0</v>
      </c>
      <c r="AO113">
        <f>SUMIF(RawDataTotal!$B:$B,$A113,RawDataTotal!AR:AR)</f>
        <v>0</v>
      </c>
      <c r="AP113">
        <f>SUMIF(RawDataTotal!$B:$B,$A113,RawDataTotal!AS:AS)</f>
        <v>0</v>
      </c>
      <c r="AQ113">
        <f>SUMIF(RawDataTotal!$B:$B,$A113,RawDataTotal!AT:AT)</f>
        <v>0</v>
      </c>
      <c r="AR113">
        <f>SUMIF(RawDataTotal!$B:$B,$A113,RawDataTotal!AU:AU)</f>
        <v>0</v>
      </c>
      <c r="AS113">
        <f>SUMIF(RawDataTotal!$B:$B,$A113,RawDataTotal!AV:AV)</f>
        <v>0</v>
      </c>
      <c r="AT113">
        <f>SUMIF(RawDataTotal!$B:$B,$A113,RawDataTotal!AW:AW)</f>
        <v>0</v>
      </c>
      <c r="AU113">
        <f>SUMIF(RawDataTotal!$B:$B,$A113,RawDataTotal!AX:AX)</f>
        <v>0</v>
      </c>
      <c r="AV113">
        <f>SUMIF(RawDataTotal!$B:$B,$A113,RawDataTotal!AY:AY)</f>
        <v>0</v>
      </c>
      <c r="AW113">
        <f>SUMIF(RawDataTotal!$B:$B,$A113,RawDataTotal!AZ:AZ)</f>
        <v>0</v>
      </c>
      <c r="AX113">
        <f>SUMIF(RawDataTotal!$B:$B,$A113,RawDataTotal!BA:BA)</f>
        <v>0</v>
      </c>
      <c r="AY113">
        <f>SUMIF(RawDataTotal!$B:$B,$A113,RawDataTotal!BB:BB)</f>
        <v>0</v>
      </c>
      <c r="AZ113">
        <f>SUMIF(RawDataTotal!$B:$B,$A113,RawDataTotal!BC:BC)</f>
        <v>0</v>
      </c>
      <c r="BA113">
        <f>SUMIF(RawDataTotal!$B:$B,$A113,RawDataTotal!BD:BD)</f>
        <v>0</v>
      </c>
      <c r="BB113">
        <f>SUMIF(RawDataTotal!$B:$B,$A113,RawDataTotal!BE:BE)</f>
        <v>0</v>
      </c>
      <c r="BC113">
        <f>SUMIF(RawDataTotal!$B:$B,$A113,RawDataTotal!BF:BF)</f>
        <v>0</v>
      </c>
      <c r="BD113">
        <f>SUMIF(RawDataTotal!$B:$B,$A113,RawDataTotal!BG:BG)</f>
        <v>0</v>
      </c>
      <c r="BE113">
        <f>SUMIF(RawDataTotal!$B:$B,$A113,RawDataTotal!BH:BH)</f>
        <v>0</v>
      </c>
      <c r="BF113">
        <f>SUMIF(RawDataTotal!$B:$B,$A113,RawDataTotal!BI:BI)</f>
        <v>0</v>
      </c>
      <c r="BG113">
        <f>SUMIF(RawDataTotal!$B:$B,$A113,RawDataTotal!BJ:BJ)</f>
        <v>0</v>
      </c>
      <c r="BH113">
        <f>SUMIF(RawDataTotal!$B:$B,$A113,RawDataTotal!BK:BK)</f>
        <v>0</v>
      </c>
      <c r="BI113">
        <f>SUMIF(RawDataTotal!$B:$B,$A113,RawDataTotal!BL:BL)</f>
        <v>0</v>
      </c>
      <c r="BJ113">
        <f>SUMIF(RawDataTotal!$B:$B,$A113,RawDataTotal!BM:BM)</f>
        <v>0</v>
      </c>
      <c r="BK113">
        <f>SUMIF(RawDataTotal!$B:$B,$A113,RawDataTotal!BN:BN)</f>
        <v>0</v>
      </c>
      <c r="BL113">
        <f>SUMIF(RawDataTotal!$B:$B,$A113,RawDataTotal!BO:BO)</f>
        <v>0</v>
      </c>
      <c r="BM113">
        <f>SUMIF(RawDataTotal!$B:$B,$A113,RawDataTotal!BP:BP)</f>
        <v>0</v>
      </c>
      <c r="BN113">
        <f>SUMIF(RawDataTotal!$B:$B,$A113,RawDataTotal!BQ:BQ)</f>
        <v>0</v>
      </c>
      <c r="BO113">
        <f>SUMIF(RawDataTotal!$B:$B,$A113,RawDataTotal!BR:BR)</f>
        <v>0</v>
      </c>
      <c r="BP113">
        <f>SUMIF(RawDataTotal!$B:$B,$A113,RawDataTotal!BS:BS)</f>
        <v>0</v>
      </c>
      <c r="BQ113">
        <f>SUMIF(RawDataTotal!$B:$B,$A113,RawDataTotal!BT:BT)</f>
        <v>0</v>
      </c>
      <c r="BR113">
        <f>SUMIF(RawDataTotal!$B:$B,$A113,RawDataTotal!BU:BU)</f>
        <v>0</v>
      </c>
      <c r="BS113">
        <f>SUMIF(RawDataTotal!$B:$B,$A113,RawDataTotal!BV:BV)</f>
        <v>0</v>
      </c>
      <c r="BT113">
        <f>SUMIF(RawDataTotal!$B:$B,$A113,RawDataTotal!BW:BW)</f>
        <v>0</v>
      </c>
    </row>
    <row r="114" spans="1:72" ht="15" thickBot="1" x14ac:dyDescent="0.35">
      <c r="A114" s="3" t="s">
        <v>380</v>
      </c>
      <c r="B114">
        <f>SUMIF(RawDataTotal!$B:$B,$A114,RawDataTotal!E:E)</f>
        <v>0</v>
      </c>
      <c r="C114">
        <f>SUMIF(RawDataTotal!$B:$B,$A114,RawDataTotal!F:F)</f>
        <v>0</v>
      </c>
      <c r="D114">
        <f>SUMIF(RawDataTotal!$B:$B,$A114,RawDataTotal!G:G)</f>
        <v>0</v>
      </c>
      <c r="E114">
        <f>SUMIF(RawDataTotal!$B:$B,$A114,RawDataTotal!H:H)</f>
        <v>0</v>
      </c>
      <c r="F114">
        <f>SUMIF(RawDataTotal!$B:$B,$A114,RawDataTotal!I:I)</f>
        <v>0</v>
      </c>
      <c r="G114">
        <f>SUMIF(RawDataTotal!$B:$B,$A114,RawDataTotal!J:J)</f>
        <v>0</v>
      </c>
      <c r="H114">
        <f>SUMIF(RawDataTotal!$B:$B,$A114,RawDataTotal!K:K)</f>
        <v>0</v>
      </c>
      <c r="I114">
        <f>SUMIF(RawDataTotal!$B:$B,$A114,RawDataTotal!L:L)</f>
        <v>0</v>
      </c>
      <c r="J114">
        <f>SUMIF(RawDataTotal!$B:$B,$A114,RawDataTotal!M:M)</f>
        <v>0</v>
      </c>
      <c r="K114">
        <f>SUMIF(RawDataTotal!$B:$B,$A114,RawDataTotal!N:N)</f>
        <v>0</v>
      </c>
      <c r="L114">
        <f>SUMIF(RawDataTotal!$B:$B,$A114,RawDataTotal!O:O)</f>
        <v>0</v>
      </c>
      <c r="M114">
        <f>SUMIF(RawDataTotal!$B:$B,$A114,RawDataTotal!P:P)</f>
        <v>0</v>
      </c>
      <c r="N114">
        <f>SUMIF(RawDataTotal!$B:$B,$A114,RawDataTotal!Q:Q)</f>
        <v>0</v>
      </c>
      <c r="O114">
        <f>SUMIF(RawDataTotal!$B:$B,$A114,RawDataTotal!R:R)</f>
        <v>0</v>
      </c>
      <c r="P114">
        <f>SUMIF(RawDataTotal!$B:$B,$A114,RawDataTotal!S:S)</f>
        <v>0</v>
      </c>
      <c r="Q114">
        <f>SUMIF(RawDataTotal!$B:$B,$A114,RawDataTotal!T:T)</f>
        <v>0</v>
      </c>
      <c r="R114">
        <f>SUMIF(RawDataTotal!$B:$B,$A114,RawDataTotal!U:U)</f>
        <v>0</v>
      </c>
      <c r="S114">
        <f>SUMIF(RawDataTotal!$B:$B,$A114,RawDataTotal!V:V)</f>
        <v>0</v>
      </c>
      <c r="T114">
        <f>SUMIF(RawDataTotal!$B:$B,$A114,RawDataTotal!W:W)</f>
        <v>0</v>
      </c>
      <c r="U114">
        <f>SUMIF(RawDataTotal!$B:$B,$A114,RawDataTotal!X:X)</f>
        <v>0</v>
      </c>
      <c r="V114">
        <f>SUMIF(RawDataTotal!$B:$B,$A114,RawDataTotal!Y:Y)</f>
        <v>0</v>
      </c>
      <c r="W114">
        <f>SUMIF(RawDataTotal!$B:$B,$A114,RawDataTotal!Z:Z)</f>
        <v>0</v>
      </c>
      <c r="X114">
        <f>SUMIF(RawDataTotal!$B:$B,$A114,RawDataTotal!AA:AA)</f>
        <v>0</v>
      </c>
      <c r="Y114">
        <f>SUMIF(RawDataTotal!$B:$B,$A114,RawDataTotal!AB:AB)</f>
        <v>0</v>
      </c>
      <c r="Z114">
        <f>SUMIF(RawDataTotal!$B:$B,$A114,RawDataTotal!AC:AC)</f>
        <v>0</v>
      </c>
      <c r="AA114">
        <f>SUMIF(RawDataTotal!$B:$B,$A114,RawDataTotal!AD:AD)</f>
        <v>0</v>
      </c>
      <c r="AB114">
        <f>SUMIF(RawDataTotal!$B:$B,$A114,RawDataTotal!AE:AE)</f>
        <v>0</v>
      </c>
      <c r="AC114">
        <f>SUMIF(RawDataTotal!$B:$B,$A114,RawDataTotal!AF:AF)</f>
        <v>0</v>
      </c>
      <c r="AD114">
        <f>SUMIF(RawDataTotal!$B:$B,$A114,RawDataTotal!AG:AG)</f>
        <v>0</v>
      </c>
      <c r="AE114">
        <f>SUMIF(RawDataTotal!$B:$B,$A114,RawDataTotal!AH:AH)</f>
        <v>0</v>
      </c>
      <c r="AF114">
        <f>SUMIF(RawDataTotal!$B:$B,$A114,RawDataTotal!AI:AI)</f>
        <v>0</v>
      </c>
      <c r="AG114">
        <f>SUMIF(RawDataTotal!$B:$B,$A114,RawDataTotal!AJ:AJ)</f>
        <v>0</v>
      </c>
      <c r="AH114">
        <f>SUMIF(RawDataTotal!$B:$B,$A114,RawDataTotal!AK:AK)</f>
        <v>0</v>
      </c>
      <c r="AI114">
        <f>SUMIF(RawDataTotal!$B:$B,$A114,RawDataTotal!AL:AL)</f>
        <v>0</v>
      </c>
      <c r="AJ114">
        <f>SUMIF(RawDataTotal!$B:$B,$A114,RawDataTotal!AM:AM)</f>
        <v>0</v>
      </c>
      <c r="AK114">
        <f>SUMIF(RawDataTotal!$B:$B,$A114,RawDataTotal!AN:AN)</f>
        <v>0</v>
      </c>
      <c r="AL114">
        <f>SUMIF(RawDataTotal!$B:$B,$A114,RawDataTotal!AO:AO)</f>
        <v>0</v>
      </c>
      <c r="AM114">
        <f>SUMIF(RawDataTotal!$B:$B,$A114,RawDataTotal!AP:AP)</f>
        <v>0</v>
      </c>
      <c r="AN114">
        <f>SUMIF(RawDataTotal!$B:$B,$A114,RawDataTotal!AQ:AQ)</f>
        <v>0</v>
      </c>
      <c r="AO114">
        <f>SUMIF(RawDataTotal!$B:$B,$A114,RawDataTotal!AR:AR)</f>
        <v>0</v>
      </c>
      <c r="AP114">
        <f>SUMIF(RawDataTotal!$B:$B,$A114,RawDataTotal!AS:AS)</f>
        <v>0</v>
      </c>
      <c r="AQ114">
        <f>SUMIF(RawDataTotal!$B:$B,$A114,RawDataTotal!AT:AT)</f>
        <v>0</v>
      </c>
      <c r="AR114">
        <f>SUMIF(RawDataTotal!$B:$B,$A114,RawDataTotal!AU:AU)</f>
        <v>0</v>
      </c>
      <c r="AS114">
        <f>SUMIF(RawDataTotal!$B:$B,$A114,RawDataTotal!AV:AV)</f>
        <v>0</v>
      </c>
      <c r="AT114">
        <f>SUMIF(RawDataTotal!$B:$B,$A114,RawDataTotal!AW:AW)</f>
        <v>0</v>
      </c>
      <c r="AU114">
        <f>SUMIF(RawDataTotal!$B:$B,$A114,RawDataTotal!AX:AX)</f>
        <v>0</v>
      </c>
      <c r="AV114">
        <f>SUMIF(RawDataTotal!$B:$B,$A114,RawDataTotal!AY:AY)</f>
        <v>0</v>
      </c>
      <c r="AW114">
        <f>SUMIF(RawDataTotal!$B:$B,$A114,RawDataTotal!AZ:AZ)</f>
        <v>0</v>
      </c>
      <c r="AX114">
        <f>SUMIF(RawDataTotal!$B:$B,$A114,RawDataTotal!BA:BA)</f>
        <v>0</v>
      </c>
      <c r="AY114">
        <f>SUMIF(RawDataTotal!$B:$B,$A114,RawDataTotal!BB:BB)</f>
        <v>1</v>
      </c>
      <c r="AZ114">
        <f>SUMIF(RawDataTotal!$B:$B,$A114,RawDataTotal!BC:BC)</f>
        <v>1</v>
      </c>
      <c r="BA114">
        <f>SUMIF(RawDataTotal!$B:$B,$A114,RawDataTotal!BD:BD)</f>
        <v>1</v>
      </c>
      <c r="BB114">
        <f>SUMIF(RawDataTotal!$B:$B,$A114,RawDataTotal!BE:BE)</f>
        <v>1</v>
      </c>
      <c r="BC114">
        <f>SUMIF(RawDataTotal!$B:$B,$A114,RawDataTotal!BF:BF)</f>
        <v>1</v>
      </c>
      <c r="BD114">
        <f>SUMIF(RawDataTotal!$B:$B,$A114,RawDataTotal!BG:BG)</f>
        <v>1</v>
      </c>
      <c r="BE114">
        <f>SUMIF(RawDataTotal!$B:$B,$A114,RawDataTotal!BH:BH)</f>
        <v>5</v>
      </c>
      <c r="BF114">
        <f>SUMIF(RawDataTotal!$B:$B,$A114,RawDataTotal!BI:BI)</f>
        <v>0</v>
      </c>
      <c r="BG114">
        <f>SUMIF(RawDataTotal!$B:$B,$A114,RawDataTotal!BJ:BJ)</f>
        <v>0</v>
      </c>
      <c r="BH114">
        <f>SUMIF(RawDataTotal!$B:$B,$A114,RawDataTotal!BK:BK)</f>
        <v>0</v>
      </c>
      <c r="BI114">
        <f>SUMIF(RawDataTotal!$B:$B,$A114,RawDataTotal!BL:BL)</f>
        <v>0</v>
      </c>
      <c r="BJ114">
        <f>SUMIF(RawDataTotal!$B:$B,$A114,RawDataTotal!BM:BM)</f>
        <v>0</v>
      </c>
      <c r="BK114">
        <f>SUMIF(RawDataTotal!$B:$B,$A114,RawDataTotal!BN:BN)</f>
        <v>0</v>
      </c>
      <c r="BL114">
        <f>SUMIF(RawDataTotal!$B:$B,$A114,RawDataTotal!BO:BO)</f>
        <v>0</v>
      </c>
      <c r="BM114">
        <f>SUMIF(RawDataTotal!$B:$B,$A114,RawDataTotal!BP:BP)</f>
        <v>0</v>
      </c>
      <c r="BN114">
        <f>SUMIF(RawDataTotal!$B:$B,$A114,RawDataTotal!BQ:BQ)</f>
        <v>0</v>
      </c>
      <c r="BO114">
        <f>SUMIF(RawDataTotal!$B:$B,$A114,RawDataTotal!BR:BR)</f>
        <v>0</v>
      </c>
      <c r="BP114">
        <f>SUMIF(RawDataTotal!$B:$B,$A114,RawDataTotal!BS:BS)</f>
        <v>0</v>
      </c>
      <c r="BQ114">
        <f>SUMIF(RawDataTotal!$B:$B,$A114,RawDataTotal!BT:BT)</f>
        <v>0</v>
      </c>
      <c r="BR114">
        <f>SUMIF(RawDataTotal!$B:$B,$A114,RawDataTotal!BU:BU)</f>
        <v>0</v>
      </c>
      <c r="BS114">
        <f>SUMIF(RawDataTotal!$B:$B,$A114,RawDataTotal!BV:BV)</f>
        <v>0</v>
      </c>
      <c r="BT114">
        <f>SUMIF(RawDataTotal!$B:$B,$A114,RawDataTotal!BW:BW)</f>
        <v>0</v>
      </c>
    </row>
    <row r="115" spans="1:72" ht="15" thickBot="1" x14ac:dyDescent="0.35">
      <c r="A115" s="4" t="s">
        <v>447</v>
      </c>
      <c r="B115">
        <f>SUMIF(RawDataTotal!$B:$B,$A115,RawDataTotal!E:E)</f>
        <v>0</v>
      </c>
      <c r="C115">
        <f>SUMIF(RawDataTotal!$B:$B,$A115,RawDataTotal!F:F)</f>
        <v>0</v>
      </c>
      <c r="D115">
        <f>SUMIF(RawDataTotal!$B:$B,$A115,RawDataTotal!G:G)</f>
        <v>0</v>
      </c>
      <c r="E115">
        <f>SUMIF(RawDataTotal!$B:$B,$A115,RawDataTotal!H:H)</f>
        <v>0</v>
      </c>
      <c r="F115">
        <f>SUMIF(RawDataTotal!$B:$B,$A115,RawDataTotal!I:I)</f>
        <v>0</v>
      </c>
      <c r="G115">
        <f>SUMIF(RawDataTotal!$B:$B,$A115,RawDataTotal!J:J)</f>
        <v>0</v>
      </c>
      <c r="H115">
        <f>SUMIF(RawDataTotal!$B:$B,$A115,RawDataTotal!K:K)</f>
        <v>0</v>
      </c>
      <c r="I115">
        <f>SUMIF(RawDataTotal!$B:$B,$A115,RawDataTotal!L:L)</f>
        <v>0</v>
      </c>
      <c r="J115">
        <f>SUMIF(RawDataTotal!$B:$B,$A115,RawDataTotal!M:M)</f>
        <v>0</v>
      </c>
      <c r="K115">
        <f>SUMIF(RawDataTotal!$B:$B,$A115,RawDataTotal!N:N)</f>
        <v>0</v>
      </c>
      <c r="L115">
        <f>SUMIF(RawDataTotal!$B:$B,$A115,RawDataTotal!O:O)</f>
        <v>0</v>
      </c>
      <c r="M115">
        <f>SUMIF(RawDataTotal!$B:$B,$A115,RawDataTotal!P:P)</f>
        <v>0</v>
      </c>
      <c r="N115">
        <f>SUMIF(RawDataTotal!$B:$B,$A115,RawDataTotal!Q:Q)</f>
        <v>0</v>
      </c>
      <c r="O115">
        <f>SUMIF(RawDataTotal!$B:$B,$A115,RawDataTotal!R:R)</f>
        <v>0</v>
      </c>
      <c r="P115">
        <f>SUMIF(RawDataTotal!$B:$B,$A115,RawDataTotal!S:S)</f>
        <v>0</v>
      </c>
      <c r="Q115">
        <f>SUMIF(RawDataTotal!$B:$B,$A115,RawDataTotal!T:T)</f>
        <v>0</v>
      </c>
      <c r="R115">
        <f>SUMIF(RawDataTotal!$B:$B,$A115,RawDataTotal!U:U)</f>
        <v>0</v>
      </c>
      <c r="S115">
        <f>SUMIF(RawDataTotal!$B:$B,$A115,RawDataTotal!V:V)</f>
        <v>0</v>
      </c>
      <c r="T115">
        <f>SUMIF(RawDataTotal!$B:$B,$A115,RawDataTotal!W:W)</f>
        <v>0</v>
      </c>
      <c r="U115">
        <f>SUMIF(RawDataTotal!$B:$B,$A115,RawDataTotal!X:X)</f>
        <v>0</v>
      </c>
      <c r="V115">
        <f>SUMIF(RawDataTotal!$B:$B,$A115,RawDataTotal!Y:Y)</f>
        <v>0</v>
      </c>
      <c r="W115">
        <f>SUMIF(RawDataTotal!$B:$B,$A115,RawDataTotal!Z:Z)</f>
        <v>0</v>
      </c>
      <c r="X115">
        <f>SUMIF(RawDataTotal!$B:$B,$A115,RawDataTotal!AA:AA)</f>
        <v>0</v>
      </c>
      <c r="Y115">
        <f>SUMIF(RawDataTotal!$B:$B,$A115,RawDataTotal!AB:AB)</f>
        <v>0</v>
      </c>
      <c r="Z115">
        <f>SUMIF(RawDataTotal!$B:$B,$A115,RawDataTotal!AC:AC)</f>
        <v>0</v>
      </c>
      <c r="AA115">
        <f>SUMIF(RawDataTotal!$B:$B,$A115,RawDataTotal!AD:AD)</f>
        <v>0</v>
      </c>
      <c r="AB115">
        <f>SUMIF(RawDataTotal!$B:$B,$A115,RawDataTotal!AE:AE)</f>
        <v>0</v>
      </c>
      <c r="AC115">
        <f>SUMIF(RawDataTotal!$B:$B,$A115,RawDataTotal!AF:AF)</f>
        <v>0</v>
      </c>
      <c r="AD115">
        <f>SUMIF(RawDataTotal!$B:$B,$A115,RawDataTotal!AG:AG)</f>
        <v>0</v>
      </c>
      <c r="AE115">
        <f>SUMIF(RawDataTotal!$B:$B,$A115,RawDataTotal!AH:AH)</f>
        <v>0</v>
      </c>
      <c r="AF115">
        <f>SUMIF(RawDataTotal!$B:$B,$A115,RawDataTotal!AI:AI)</f>
        <v>0</v>
      </c>
      <c r="AG115">
        <f>SUMIF(RawDataTotal!$B:$B,$A115,RawDataTotal!AJ:AJ)</f>
        <v>0</v>
      </c>
      <c r="AH115">
        <f>SUMIF(RawDataTotal!$B:$B,$A115,RawDataTotal!AK:AK)</f>
        <v>0</v>
      </c>
      <c r="AI115">
        <f>SUMIF(RawDataTotal!$B:$B,$A115,RawDataTotal!AL:AL)</f>
        <v>0</v>
      </c>
      <c r="AJ115">
        <f>SUMIF(RawDataTotal!$B:$B,$A115,RawDataTotal!AM:AM)</f>
        <v>0</v>
      </c>
      <c r="AK115">
        <f>SUMIF(RawDataTotal!$B:$B,$A115,RawDataTotal!AN:AN)</f>
        <v>0</v>
      </c>
      <c r="AL115">
        <f>SUMIF(RawDataTotal!$B:$B,$A115,RawDataTotal!AO:AO)</f>
        <v>0</v>
      </c>
      <c r="AM115">
        <f>SUMIF(RawDataTotal!$B:$B,$A115,RawDataTotal!AP:AP)</f>
        <v>0</v>
      </c>
      <c r="AN115">
        <f>SUMIF(RawDataTotal!$B:$B,$A115,RawDataTotal!AQ:AQ)</f>
        <v>0</v>
      </c>
      <c r="AO115">
        <f>SUMIF(RawDataTotal!$B:$B,$A115,RawDataTotal!AR:AR)</f>
        <v>0</v>
      </c>
      <c r="AP115">
        <f>SUMIF(RawDataTotal!$B:$B,$A115,RawDataTotal!AS:AS)</f>
        <v>0</v>
      </c>
      <c r="AQ115">
        <f>SUMIF(RawDataTotal!$B:$B,$A115,RawDataTotal!AT:AT)</f>
        <v>0</v>
      </c>
      <c r="AR115">
        <f>SUMIF(RawDataTotal!$B:$B,$A115,RawDataTotal!AU:AU)</f>
        <v>0</v>
      </c>
      <c r="AS115">
        <f>SUMIF(RawDataTotal!$B:$B,$A115,RawDataTotal!AV:AV)</f>
        <v>0</v>
      </c>
      <c r="AT115">
        <f>SUMIF(RawDataTotal!$B:$B,$A115,RawDataTotal!AW:AW)</f>
        <v>0</v>
      </c>
      <c r="AU115">
        <f>SUMIF(RawDataTotal!$B:$B,$A115,RawDataTotal!AX:AX)</f>
        <v>0</v>
      </c>
      <c r="AV115">
        <f>SUMIF(RawDataTotal!$B:$B,$A115,RawDataTotal!AY:AY)</f>
        <v>0</v>
      </c>
      <c r="AW115">
        <f>SUMIF(RawDataTotal!$B:$B,$A115,RawDataTotal!AZ:AZ)</f>
        <v>0</v>
      </c>
      <c r="AX115">
        <f>SUMIF(RawDataTotal!$B:$B,$A115,RawDataTotal!BA:BA)</f>
        <v>0</v>
      </c>
      <c r="AY115">
        <f>SUMIF(RawDataTotal!$B:$B,$A115,RawDataTotal!BB:BB)</f>
        <v>0</v>
      </c>
      <c r="AZ115">
        <f>SUMIF(RawDataTotal!$B:$B,$A115,RawDataTotal!BC:BC)</f>
        <v>0</v>
      </c>
      <c r="BA115">
        <f>SUMIF(RawDataTotal!$B:$B,$A115,RawDataTotal!BD:BD)</f>
        <v>1</v>
      </c>
      <c r="BB115">
        <f>SUMIF(RawDataTotal!$B:$B,$A115,RawDataTotal!BE:BE)</f>
        <v>1</v>
      </c>
      <c r="BC115">
        <f>SUMIF(RawDataTotal!$B:$B,$A115,RawDataTotal!BF:BF)</f>
        <v>1</v>
      </c>
      <c r="BD115">
        <f>SUMIF(RawDataTotal!$B:$B,$A115,RawDataTotal!BG:BG)</f>
        <v>5</v>
      </c>
      <c r="BE115">
        <f>SUMIF(RawDataTotal!$B:$B,$A115,RawDataTotal!BH:BH)</f>
        <v>5</v>
      </c>
      <c r="BF115">
        <f>SUMIF(RawDataTotal!$B:$B,$A115,RawDataTotal!BI:BI)</f>
        <v>0</v>
      </c>
      <c r="BG115">
        <f>SUMIF(RawDataTotal!$B:$B,$A115,RawDataTotal!BJ:BJ)</f>
        <v>0</v>
      </c>
      <c r="BH115">
        <f>SUMIF(RawDataTotal!$B:$B,$A115,RawDataTotal!BK:BK)</f>
        <v>0</v>
      </c>
      <c r="BI115">
        <f>SUMIF(RawDataTotal!$B:$B,$A115,RawDataTotal!BL:BL)</f>
        <v>0</v>
      </c>
      <c r="BJ115">
        <f>SUMIF(RawDataTotal!$B:$B,$A115,RawDataTotal!BM:BM)</f>
        <v>0</v>
      </c>
      <c r="BK115">
        <f>SUMIF(RawDataTotal!$B:$B,$A115,RawDataTotal!BN:BN)</f>
        <v>0</v>
      </c>
      <c r="BL115">
        <f>SUMIF(RawDataTotal!$B:$B,$A115,RawDataTotal!BO:BO)</f>
        <v>0</v>
      </c>
      <c r="BM115">
        <f>SUMIF(RawDataTotal!$B:$B,$A115,RawDataTotal!BP:BP)</f>
        <v>0</v>
      </c>
      <c r="BN115">
        <f>SUMIF(RawDataTotal!$B:$B,$A115,RawDataTotal!BQ:BQ)</f>
        <v>0</v>
      </c>
      <c r="BO115">
        <f>SUMIF(RawDataTotal!$B:$B,$A115,RawDataTotal!BR:BR)</f>
        <v>0</v>
      </c>
      <c r="BP115">
        <f>SUMIF(RawDataTotal!$B:$B,$A115,RawDataTotal!BS:BS)</f>
        <v>0</v>
      </c>
      <c r="BQ115">
        <f>SUMIF(RawDataTotal!$B:$B,$A115,RawDataTotal!BT:BT)</f>
        <v>0</v>
      </c>
      <c r="BR115">
        <f>SUMIF(RawDataTotal!$B:$B,$A115,RawDataTotal!BU:BU)</f>
        <v>0</v>
      </c>
      <c r="BS115">
        <f>SUMIF(RawDataTotal!$B:$B,$A115,RawDataTotal!BV:BV)</f>
        <v>0</v>
      </c>
      <c r="BT115">
        <f>SUMIF(RawDataTotal!$B:$B,$A115,RawDataTotal!BW:BW)</f>
        <v>0</v>
      </c>
    </row>
    <row r="116" spans="1:72" ht="15" thickBot="1" x14ac:dyDescent="0.35">
      <c r="A116" s="3" t="s">
        <v>444</v>
      </c>
      <c r="B116">
        <f>SUMIF(RawDataTotal!$B:$B,$A116,RawDataTotal!E:E)</f>
        <v>0</v>
      </c>
      <c r="C116">
        <f>SUMIF(RawDataTotal!$B:$B,$A116,RawDataTotal!F:F)</f>
        <v>0</v>
      </c>
      <c r="D116">
        <f>SUMIF(RawDataTotal!$B:$B,$A116,RawDataTotal!G:G)</f>
        <v>0</v>
      </c>
      <c r="E116">
        <f>SUMIF(RawDataTotal!$B:$B,$A116,RawDataTotal!H:H)</f>
        <v>0</v>
      </c>
      <c r="F116">
        <f>SUMIF(RawDataTotal!$B:$B,$A116,RawDataTotal!I:I)</f>
        <v>0</v>
      </c>
      <c r="G116">
        <f>SUMIF(RawDataTotal!$B:$B,$A116,RawDataTotal!J:J)</f>
        <v>0</v>
      </c>
      <c r="H116">
        <f>SUMIF(RawDataTotal!$B:$B,$A116,RawDataTotal!K:K)</f>
        <v>0</v>
      </c>
      <c r="I116">
        <f>SUMIF(RawDataTotal!$B:$B,$A116,RawDataTotal!L:L)</f>
        <v>0</v>
      </c>
      <c r="J116">
        <f>SUMIF(RawDataTotal!$B:$B,$A116,RawDataTotal!M:M)</f>
        <v>0</v>
      </c>
      <c r="K116">
        <f>SUMIF(RawDataTotal!$B:$B,$A116,RawDataTotal!N:N)</f>
        <v>0</v>
      </c>
      <c r="L116">
        <f>SUMIF(RawDataTotal!$B:$B,$A116,RawDataTotal!O:O)</f>
        <v>0</v>
      </c>
      <c r="M116">
        <f>SUMIF(RawDataTotal!$B:$B,$A116,RawDataTotal!P:P)</f>
        <v>0</v>
      </c>
      <c r="N116">
        <f>SUMIF(RawDataTotal!$B:$B,$A116,RawDataTotal!Q:Q)</f>
        <v>0</v>
      </c>
      <c r="O116">
        <f>SUMIF(RawDataTotal!$B:$B,$A116,RawDataTotal!R:R)</f>
        <v>0</v>
      </c>
      <c r="P116">
        <f>SUMIF(RawDataTotal!$B:$B,$A116,RawDataTotal!S:S)</f>
        <v>0</v>
      </c>
      <c r="Q116">
        <f>SUMIF(RawDataTotal!$B:$B,$A116,RawDataTotal!T:T)</f>
        <v>0</v>
      </c>
      <c r="R116">
        <f>SUMIF(RawDataTotal!$B:$B,$A116,RawDataTotal!U:U)</f>
        <v>0</v>
      </c>
      <c r="S116">
        <f>SUMIF(RawDataTotal!$B:$B,$A116,RawDataTotal!V:V)</f>
        <v>0</v>
      </c>
      <c r="T116">
        <f>SUMIF(RawDataTotal!$B:$B,$A116,RawDataTotal!W:W)</f>
        <v>0</v>
      </c>
      <c r="U116">
        <f>SUMIF(RawDataTotal!$B:$B,$A116,RawDataTotal!X:X)</f>
        <v>0</v>
      </c>
      <c r="V116">
        <f>SUMIF(RawDataTotal!$B:$B,$A116,RawDataTotal!Y:Y)</f>
        <v>0</v>
      </c>
      <c r="W116">
        <f>SUMIF(RawDataTotal!$B:$B,$A116,RawDataTotal!Z:Z)</f>
        <v>0</v>
      </c>
      <c r="X116">
        <f>SUMIF(RawDataTotal!$B:$B,$A116,RawDataTotal!AA:AA)</f>
        <v>0</v>
      </c>
      <c r="Y116">
        <f>SUMIF(RawDataTotal!$B:$B,$A116,RawDataTotal!AB:AB)</f>
        <v>0</v>
      </c>
      <c r="Z116">
        <f>SUMIF(RawDataTotal!$B:$B,$A116,RawDataTotal!AC:AC)</f>
        <v>0</v>
      </c>
      <c r="AA116">
        <f>SUMIF(RawDataTotal!$B:$B,$A116,RawDataTotal!AD:AD)</f>
        <v>0</v>
      </c>
      <c r="AB116">
        <f>SUMIF(RawDataTotal!$B:$B,$A116,RawDataTotal!AE:AE)</f>
        <v>0</v>
      </c>
      <c r="AC116">
        <f>SUMIF(RawDataTotal!$B:$B,$A116,RawDataTotal!AF:AF)</f>
        <v>0</v>
      </c>
      <c r="AD116">
        <f>SUMIF(RawDataTotal!$B:$B,$A116,RawDataTotal!AG:AG)</f>
        <v>0</v>
      </c>
      <c r="AE116">
        <f>SUMIF(RawDataTotal!$B:$B,$A116,RawDataTotal!AH:AH)</f>
        <v>0</v>
      </c>
      <c r="AF116">
        <f>SUMIF(RawDataTotal!$B:$B,$A116,RawDataTotal!AI:AI)</f>
        <v>0</v>
      </c>
      <c r="AG116">
        <f>SUMIF(RawDataTotal!$B:$B,$A116,RawDataTotal!AJ:AJ)</f>
        <v>0</v>
      </c>
      <c r="AH116">
        <f>SUMIF(RawDataTotal!$B:$B,$A116,RawDataTotal!AK:AK)</f>
        <v>0</v>
      </c>
      <c r="AI116">
        <f>SUMIF(RawDataTotal!$B:$B,$A116,RawDataTotal!AL:AL)</f>
        <v>0</v>
      </c>
      <c r="AJ116">
        <f>SUMIF(RawDataTotal!$B:$B,$A116,RawDataTotal!AM:AM)</f>
        <v>0</v>
      </c>
      <c r="AK116">
        <f>SUMIF(RawDataTotal!$B:$B,$A116,RawDataTotal!AN:AN)</f>
        <v>0</v>
      </c>
      <c r="AL116">
        <f>SUMIF(RawDataTotal!$B:$B,$A116,RawDataTotal!AO:AO)</f>
        <v>0</v>
      </c>
      <c r="AM116">
        <f>SUMIF(RawDataTotal!$B:$B,$A116,RawDataTotal!AP:AP)</f>
        <v>0</v>
      </c>
      <c r="AN116">
        <f>SUMIF(RawDataTotal!$B:$B,$A116,RawDataTotal!AQ:AQ)</f>
        <v>0</v>
      </c>
      <c r="AO116">
        <f>SUMIF(RawDataTotal!$B:$B,$A116,RawDataTotal!AR:AR)</f>
        <v>0</v>
      </c>
      <c r="AP116">
        <f>SUMIF(RawDataTotal!$B:$B,$A116,RawDataTotal!AS:AS)</f>
        <v>0</v>
      </c>
      <c r="AQ116">
        <f>SUMIF(RawDataTotal!$B:$B,$A116,RawDataTotal!AT:AT)</f>
        <v>0</v>
      </c>
      <c r="AR116">
        <f>SUMIF(RawDataTotal!$B:$B,$A116,RawDataTotal!AU:AU)</f>
        <v>0</v>
      </c>
      <c r="AS116">
        <f>SUMIF(RawDataTotal!$B:$B,$A116,RawDataTotal!AV:AV)</f>
        <v>0</v>
      </c>
      <c r="AT116">
        <f>SUMIF(RawDataTotal!$B:$B,$A116,RawDataTotal!AW:AW)</f>
        <v>0</v>
      </c>
      <c r="AU116">
        <f>SUMIF(RawDataTotal!$B:$B,$A116,RawDataTotal!AX:AX)</f>
        <v>0</v>
      </c>
      <c r="AV116">
        <f>SUMIF(RawDataTotal!$B:$B,$A116,RawDataTotal!AY:AY)</f>
        <v>0</v>
      </c>
      <c r="AW116">
        <f>SUMIF(RawDataTotal!$B:$B,$A116,RawDataTotal!AZ:AZ)</f>
        <v>0</v>
      </c>
      <c r="AX116">
        <f>SUMIF(RawDataTotal!$B:$B,$A116,RawDataTotal!BA:BA)</f>
        <v>0</v>
      </c>
      <c r="AY116">
        <f>SUMIF(RawDataTotal!$B:$B,$A116,RawDataTotal!BB:BB)</f>
        <v>0</v>
      </c>
      <c r="AZ116">
        <f>SUMIF(RawDataTotal!$B:$B,$A116,RawDataTotal!BC:BC)</f>
        <v>0</v>
      </c>
      <c r="BA116">
        <f>SUMIF(RawDataTotal!$B:$B,$A116,RawDataTotal!BD:BD)</f>
        <v>0</v>
      </c>
      <c r="BB116">
        <f>SUMIF(RawDataTotal!$B:$B,$A116,RawDataTotal!BE:BE)</f>
        <v>0</v>
      </c>
      <c r="BC116">
        <f>SUMIF(RawDataTotal!$B:$B,$A116,RawDataTotal!BF:BF)</f>
        <v>0</v>
      </c>
      <c r="BD116">
        <f>SUMIF(RawDataTotal!$B:$B,$A116,RawDataTotal!BG:BG)</f>
        <v>0</v>
      </c>
      <c r="BE116">
        <f>SUMIF(RawDataTotal!$B:$B,$A116,RawDataTotal!BH:BH)</f>
        <v>0</v>
      </c>
      <c r="BF116">
        <f>SUMIF(RawDataTotal!$B:$B,$A116,RawDataTotal!BI:BI)</f>
        <v>0</v>
      </c>
      <c r="BG116">
        <f>SUMIF(RawDataTotal!$B:$B,$A116,RawDataTotal!BJ:BJ)</f>
        <v>0</v>
      </c>
      <c r="BH116">
        <f>SUMIF(RawDataTotal!$B:$B,$A116,RawDataTotal!BK:BK)</f>
        <v>0</v>
      </c>
      <c r="BI116">
        <f>SUMIF(RawDataTotal!$B:$B,$A116,RawDataTotal!BL:BL)</f>
        <v>0</v>
      </c>
      <c r="BJ116">
        <f>SUMIF(RawDataTotal!$B:$B,$A116,RawDataTotal!BM:BM)</f>
        <v>0</v>
      </c>
      <c r="BK116">
        <f>SUMIF(RawDataTotal!$B:$B,$A116,RawDataTotal!BN:BN)</f>
        <v>0</v>
      </c>
      <c r="BL116">
        <f>SUMIF(RawDataTotal!$B:$B,$A116,RawDataTotal!BO:BO)</f>
        <v>0</v>
      </c>
      <c r="BM116">
        <f>SUMIF(RawDataTotal!$B:$B,$A116,RawDataTotal!BP:BP)</f>
        <v>0</v>
      </c>
      <c r="BN116">
        <f>SUMIF(RawDataTotal!$B:$B,$A116,RawDataTotal!BQ:BQ)</f>
        <v>0</v>
      </c>
      <c r="BO116">
        <f>SUMIF(RawDataTotal!$B:$B,$A116,RawDataTotal!BR:BR)</f>
        <v>0</v>
      </c>
      <c r="BP116">
        <f>SUMIF(RawDataTotal!$B:$B,$A116,RawDataTotal!BS:BS)</f>
        <v>0</v>
      </c>
      <c r="BQ116">
        <f>SUMIF(RawDataTotal!$B:$B,$A116,RawDataTotal!BT:BT)</f>
        <v>0</v>
      </c>
      <c r="BR116">
        <f>SUMIF(RawDataTotal!$B:$B,$A116,RawDataTotal!BU:BU)</f>
        <v>0</v>
      </c>
      <c r="BS116">
        <f>SUMIF(RawDataTotal!$B:$B,$A116,RawDataTotal!BV:BV)</f>
        <v>0</v>
      </c>
      <c r="BT116">
        <f>SUMIF(RawDataTotal!$B:$B,$A116,RawDataTotal!BW:BW)</f>
        <v>0</v>
      </c>
    </row>
    <row r="117" spans="1:72" ht="15" thickBot="1" x14ac:dyDescent="0.35">
      <c r="A117" s="4" t="s">
        <v>449</v>
      </c>
      <c r="B117">
        <f>SUMIF(RawDataTotal!$B:$B,$A117,RawDataTotal!E:E)</f>
        <v>0</v>
      </c>
      <c r="C117">
        <f>SUMIF(RawDataTotal!$B:$B,$A117,RawDataTotal!F:F)</f>
        <v>0</v>
      </c>
      <c r="D117">
        <f>SUMIF(RawDataTotal!$B:$B,$A117,RawDataTotal!G:G)</f>
        <v>0</v>
      </c>
      <c r="E117">
        <f>SUMIF(RawDataTotal!$B:$B,$A117,RawDataTotal!H:H)</f>
        <v>0</v>
      </c>
      <c r="F117">
        <f>SUMIF(RawDataTotal!$B:$B,$A117,RawDataTotal!I:I)</f>
        <v>0</v>
      </c>
      <c r="G117">
        <f>SUMIF(RawDataTotal!$B:$B,$A117,RawDataTotal!J:J)</f>
        <v>0</v>
      </c>
      <c r="H117">
        <f>SUMIF(RawDataTotal!$B:$B,$A117,RawDataTotal!K:K)</f>
        <v>0</v>
      </c>
      <c r="I117">
        <f>SUMIF(RawDataTotal!$B:$B,$A117,RawDataTotal!L:L)</f>
        <v>0</v>
      </c>
      <c r="J117">
        <f>SUMIF(RawDataTotal!$B:$B,$A117,RawDataTotal!M:M)</f>
        <v>0</v>
      </c>
      <c r="K117">
        <f>SUMIF(RawDataTotal!$B:$B,$A117,RawDataTotal!N:N)</f>
        <v>0</v>
      </c>
      <c r="L117">
        <f>SUMIF(RawDataTotal!$B:$B,$A117,RawDataTotal!O:O)</f>
        <v>0</v>
      </c>
      <c r="M117">
        <f>SUMIF(RawDataTotal!$B:$B,$A117,RawDataTotal!P:P)</f>
        <v>0</v>
      </c>
      <c r="N117">
        <f>SUMIF(RawDataTotal!$B:$B,$A117,RawDataTotal!Q:Q)</f>
        <v>0</v>
      </c>
      <c r="O117">
        <f>SUMIF(RawDataTotal!$B:$B,$A117,RawDataTotal!R:R)</f>
        <v>0</v>
      </c>
      <c r="P117">
        <f>SUMIF(RawDataTotal!$B:$B,$A117,RawDataTotal!S:S)</f>
        <v>0</v>
      </c>
      <c r="Q117">
        <f>SUMIF(RawDataTotal!$B:$B,$A117,RawDataTotal!T:T)</f>
        <v>0</v>
      </c>
      <c r="R117">
        <f>SUMIF(RawDataTotal!$B:$B,$A117,RawDataTotal!U:U)</f>
        <v>0</v>
      </c>
      <c r="S117">
        <f>SUMIF(RawDataTotal!$B:$B,$A117,RawDataTotal!V:V)</f>
        <v>0</v>
      </c>
      <c r="T117">
        <f>SUMIF(RawDataTotal!$B:$B,$A117,RawDataTotal!W:W)</f>
        <v>0</v>
      </c>
      <c r="U117">
        <f>SUMIF(RawDataTotal!$B:$B,$A117,RawDataTotal!X:X)</f>
        <v>0</v>
      </c>
      <c r="V117">
        <f>SUMIF(RawDataTotal!$B:$B,$A117,RawDataTotal!Y:Y)</f>
        <v>0</v>
      </c>
      <c r="W117">
        <f>SUMIF(RawDataTotal!$B:$B,$A117,RawDataTotal!Z:Z)</f>
        <v>0</v>
      </c>
      <c r="X117">
        <f>SUMIF(RawDataTotal!$B:$B,$A117,RawDataTotal!AA:AA)</f>
        <v>0</v>
      </c>
      <c r="Y117">
        <f>SUMIF(RawDataTotal!$B:$B,$A117,RawDataTotal!AB:AB)</f>
        <v>0</v>
      </c>
      <c r="Z117">
        <f>SUMIF(RawDataTotal!$B:$B,$A117,RawDataTotal!AC:AC)</f>
        <v>0</v>
      </c>
      <c r="AA117">
        <f>SUMIF(RawDataTotal!$B:$B,$A117,RawDataTotal!AD:AD)</f>
        <v>0</v>
      </c>
      <c r="AB117">
        <f>SUMIF(RawDataTotal!$B:$B,$A117,RawDataTotal!AE:AE)</f>
        <v>0</v>
      </c>
      <c r="AC117">
        <f>SUMIF(RawDataTotal!$B:$B,$A117,RawDataTotal!AF:AF)</f>
        <v>0</v>
      </c>
      <c r="AD117">
        <f>SUMIF(RawDataTotal!$B:$B,$A117,RawDataTotal!AG:AG)</f>
        <v>0</v>
      </c>
      <c r="AE117">
        <f>SUMIF(RawDataTotal!$B:$B,$A117,RawDataTotal!AH:AH)</f>
        <v>0</v>
      </c>
      <c r="AF117">
        <f>SUMIF(RawDataTotal!$B:$B,$A117,RawDataTotal!AI:AI)</f>
        <v>0</v>
      </c>
      <c r="AG117">
        <f>SUMIF(RawDataTotal!$B:$B,$A117,RawDataTotal!AJ:AJ)</f>
        <v>0</v>
      </c>
      <c r="AH117">
        <f>SUMIF(RawDataTotal!$B:$B,$A117,RawDataTotal!AK:AK)</f>
        <v>0</v>
      </c>
      <c r="AI117">
        <f>SUMIF(RawDataTotal!$B:$B,$A117,RawDataTotal!AL:AL)</f>
        <v>0</v>
      </c>
      <c r="AJ117">
        <f>SUMIF(RawDataTotal!$B:$B,$A117,RawDataTotal!AM:AM)</f>
        <v>0</v>
      </c>
      <c r="AK117">
        <f>SUMIF(RawDataTotal!$B:$B,$A117,RawDataTotal!AN:AN)</f>
        <v>0</v>
      </c>
      <c r="AL117">
        <f>SUMIF(RawDataTotal!$B:$B,$A117,RawDataTotal!AO:AO)</f>
        <v>0</v>
      </c>
      <c r="AM117">
        <f>SUMIF(RawDataTotal!$B:$B,$A117,RawDataTotal!AP:AP)</f>
        <v>0</v>
      </c>
      <c r="AN117">
        <f>SUMIF(RawDataTotal!$B:$B,$A117,RawDataTotal!AQ:AQ)</f>
        <v>0</v>
      </c>
      <c r="AO117">
        <f>SUMIF(RawDataTotal!$B:$B,$A117,RawDataTotal!AR:AR)</f>
        <v>0</v>
      </c>
      <c r="AP117">
        <f>SUMIF(RawDataTotal!$B:$B,$A117,RawDataTotal!AS:AS)</f>
        <v>0</v>
      </c>
      <c r="AQ117">
        <f>SUMIF(RawDataTotal!$B:$B,$A117,RawDataTotal!AT:AT)</f>
        <v>0</v>
      </c>
      <c r="AR117">
        <f>SUMIF(RawDataTotal!$B:$B,$A117,RawDataTotal!AU:AU)</f>
        <v>0</v>
      </c>
      <c r="AS117">
        <f>SUMIF(RawDataTotal!$B:$B,$A117,RawDataTotal!AV:AV)</f>
        <v>0</v>
      </c>
      <c r="AT117">
        <f>SUMIF(RawDataTotal!$B:$B,$A117,RawDataTotal!AW:AW)</f>
        <v>0</v>
      </c>
      <c r="AU117">
        <f>SUMIF(RawDataTotal!$B:$B,$A117,RawDataTotal!AX:AX)</f>
        <v>0</v>
      </c>
      <c r="AV117">
        <f>SUMIF(RawDataTotal!$B:$B,$A117,RawDataTotal!AY:AY)</f>
        <v>0</v>
      </c>
      <c r="AW117">
        <f>SUMIF(RawDataTotal!$B:$B,$A117,RawDataTotal!AZ:AZ)</f>
        <v>0</v>
      </c>
      <c r="AX117">
        <f>SUMIF(RawDataTotal!$B:$B,$A117,RawDataTotal!BA:BA)</f>
        <v>0</v>
      </c>
      <c r="AY117">
        <f>SUMIF(RawDataTotal!$B:$B,$A117,RawDataTotal!BB:BB)</f>
        <v>0</v>
      </c>
      <c r="AZ117">
        <f>SUMIF(RawDataTotal!$B:$B,$A117,RawDataTotal!BC:BC)</f>
        <v>0</v>
      </c>
      <c r="BA117">
        <f>SUMIF(RawDataTotal!$B:$B,$A117,RawDataTotal!BD:BD)</f>
        <v>1</v>
      </c>
      <c r="BB117">
        <f>SUMIF(RawDataTotal!$B:$B,$A117,RawDataTotal!BE:BE)</f>
        <v>1</v>
      </c>
      <c r="BC117">
        <f>SUMIF(RawDataTotal!$B:$B,$A117,RawDataTotal!BF:BF)</f>
        <v>1</v>
      </c>
      <c r="BD117">
        <f>SUMIF(RawDataTotal!$B:$B,$A117,RawDataTotal!BG:BG)</f>
        <v>1</v>
      </c>
      <c r="BE117">
        <f>SUMIF(RawDataTotal!$B:$B,$A117,RawDataTotal!BH:BH)</f>
        <v>1</v>
      </c>
      <c r="BF117">
        <f>SUMIF(RawDataTotal!$B:$B,$A117,RawDataTotal!BI:BI)</f>
        <v>0</v>
      </c>
      <c r="BG117">
        <f>SUMIF(RawDataTotal!$B:$B,$A117,RawDataTotal!BJ:BJ)</f>
        <v>0</v>
      </c>
      <c r="BH117">
        <f>SUMIF(RawDataTotal!$B:$B,$A117,RawDataTotal!BK:BK)</f>
        <v>0</v>
      </c>
      <c r="BI117">
        <f>SUMIF(RawDataTotal!$B:$B,$A117,RawDataTotal!BL:BL)</f>
        <v>0</v>
      </c>
      <c r="BJ117">
        <f>SUMIF(RawDataTotal!$B:$B,$A117,RawDataTotal!BM:BM)</f>
        <v>0</v>
      </c>
      <c r="BK117">
        <f>SUMIF(RawDataTotal!$B:$B,$A117,RawDataTotal!BN:BN)</f>
        <v>0</v>
      </c>
      <c r="BL117">
        <f>SUMIF(RawDataTotal!$B:$B,$A117,RawDataTotal!BO:BO)</f>
        <v>0</v>
      </c>
      <c r="BM117">
        <f>SUMIF(RawDataTotal!$B:$B,$A117,RawDataTotal!BP:BP)</f>
        <v>0</v>
      </c>
      <c r="BN117">
        <f>SUMIF(RawDataTotal!$B:$B,$A117,RawDataTotal!BQ:BQ)</f>
        <v>0</v>
      </c>
      <c r="BO117">
        <f>SUMIF(RawDataTotal!$B:$B,$A117,RawDataTotal!BR:BR)</f>
        <v>0</v>
      </c>
      <c r="BP117">
        <f>SUMIF(RawDataTotal!$B:$B,$A117,RawDataTotal!BS:BS)</f>
        <v>0</v>
      </c>
      <c r="BQ117">
        <f>SUMIF(RawDataTotal!$B:$B,$A117,RawDataTotal!BT:BT)</f>
        <v>0</v>
      </c>
      <c r="BR117">
        <f>SUMIF(RawDataTotal!$B:$B,$A117,RawDataTotal!BU:BU)</f>
        <v>0</v>
      </c>
      <c r="BS117">
        <f>SUMIF(RawDataTotal!$B:$B,$A117,RawDataTotal!BV:BV)</f>
        <v>0</v>
      </c>
      <c r="BT117">
        <f>SUMIF(RawDataTotal!$B:$B,$A117,RawDataTotal!BW:BW)</f>
        <v>0</v>
      </c>
    </row>
    <row r="118" spans="1:72" ht="15" thickBot="1" x14ac:dyDescent="0.35">
      <c r="A118" s="3" t="s">
        <v>439</v>
      </c>
      <c r="B118">
        <f>SUMIF(RawDataTotal!$B:$B,$A118,RawDataTotal!E:E)</f>
        <v>0</v>
      </c>
      <c r="C118">
        <f>SUMIF(RawDataTotal!$B:$B,$A118,RawDataTotal!F:F)</f>
        <v>0</v>
      </c>
      <c r="D118">
        <f>SUMIF(RawDataTotal!$B:$B,$A118,RawDataTotal!G:G)</f>
        <v>0</v>
      </c>
      <c r="E118">
        <f>SUMIF(RawDataTotal!$B:$B,$A118,RawDataTotal!H:H)</f>
        <v>0</v>
      </c>
      <c r="F118">
        <f>SUMIF(RawDataTotal!$B:$B,$A118,RawDataTotal!I:I)</f>
        <v>0</v>
      </c>
      <c r="G118">
        <f>SUMIF(RawDataTotal!$B:$B,$A118,RawDataTotal!J:J)</f>
        <v>0</v>
      </c>
      <c r="H118">
        <f>SUMIF(RawDataTotal!$B:$B,$A118,RawDataTotal!K:K)</f>
        <v>0</v>
      </c>
      <c r="I118">
        <f>SUMIF(RawDataTotal!$B:$B,$A118,RawDataTotal!L:L)</f>
        <v>0</v>
      </c>
      <c r="J118">
        <f>SUMIF(RawDataTotal!$B:$B,$A118,RawDataTotal!M:M)</f>
        <v>0</v>
      </c>
      <c r="K118">
        <f>SUMIF(RawDataTotal!$B:$B,$A118,RawDataTotal!N:N)</f>
        <v>0</v>
      </c>
      <c r="L118">
        <f>SUMIF(RawDataTotal!$B:$B,$A118,RawDataTotal!O:O)</f>
        <v>0</v>
      </c>
      <c r="M118">
        <f>SUMIF(RawDataTotal!$B:$B,$A118,RawDataTotal!P:P)</f>
        <v>0</v>
      </c>
      <c r="N118">
        <f>SUMIF(RawDataTotal!$B:$B,$A118,RawDataTotal!Q:Q)</f>
        <v>0</v>
      </c>
      <c r="O118">
        <f>SUMIF(RawDataTotal!$B:$B,$A118,RawDataTotal!R:R)</f>
        <v>0</v>
      </c>
      <c r="P118">
        <f>SUMIF(RawDataTotal!$B:$B,$A118,RawDataTotal!S:S)</f>
        <v>0</v>
      </c>
      <c r="Q118">
        <f>SUMIF(RawDataTotal!$B:$B,$A118,RawDataTotal!T:T)</f>
        <v>0</v>
      </c>
      <c r="R118">
        <f>SUMIF(RawDataTotal!$B:$B,$A118,RawDataTotal!U:U)</f>
        <v>0</v>
      </c>
      <c r="S118">
        <f>SUMIF(RawDataTotal!$B:$B,$A118,RawDataTotal!V:V)</f>
        <v>0</v>
      </c>
      <c r="T118">
        <f>SUMIF(RawDataTotal!$B:$B,$A118,RawDataTotal!W:W)</f>
        <v>0</v>
      </c>
      <c r="U118">
        <f>SUMIF(RawDataTotal!$B:$B,$A118,RawDataTotal!X:X)</f>
        <v>0</v>
      </c>
      <c r="V118">
        <f>SUMIF(RawDataTotal!$B:$B,$A118,RawDataTotal!Y:Y)</f>
        <v>0</v>
      </c>
      <c r="W118">
        <f>SUMIF(RawDataTotal!$B:$B,$A118,RawDataTotal!Z:Z)</f>
        <v>0</v>
      </c>
      <c r="X118">
        <f>SUMIF(RawDataTotal!$B:$B,$A118,RawDataTotal!AA:AA)</f>
        <v>0</v>
      </c>
      <c r="Y118">
        <f>SUMIF(RawDataTotal!$B:$B,$A118,RawDataTotal!AB:AB)</f>
        <v>0</v>
      </c>
      <c r="Z118">
        <f>SUMIF(RawDataTotal!$B:$B,$A118,RawDataTotal!AC:AC)</f>
        <v>0</v>
      </c>
      <c r="AA118">
        <f>SUMIF(RawDataTotal!$B:$B,$A118,RawDataTotal!AD:AD)</f>
        <v>0</v>
      </c>
      <c r="AB118">
        <f>SUMIF(RawDataTotal!$B:$B,$A118,RawDataTotal!AE:AE)</f>
        <v>0</v>
      </c>
      <c r="AC118">
        <f>SUMIF(RawDataTotal!$B:$B,$A118,RawDataTotal!AF:AF)</f>
        <v>0</v>
      </c>
      <c r="AD118">
        <f>SUMIF(RawDataTotal!$B:$B,$A118,RawDataTotal!AG:AG)</f>
        <v>0</v>
      </c>
      <c r="AE118">
        <f>SUMIF(RawDataTotal!$B:$B,$A118,RawDataTotal!AH:AH)</f>
        <v>0</v>
      </c>
      <c r="AF118">
        <f>SUMIF(RawDataTotal!$B:$B,$A118,RawDataTotal!AI:AI)</f>
        <v>0</v>
      </c>
      <c r="AG118">
        <f>SUMIF(RawDataTotal!$B:$B,$A118,RawDataTotal!AJ:AJ)</f>
        <v>0</v>
      </c>
      <c r="AH118">
        <f>SUMIF(RawDataTotal!$B:$B,$A118,RawDataTotal!AK:AK)</f>
        <v>0</v>
      </c>
      <c r="AI118">
        <f>SUMIF(RawDataTotal!$B:$B,$A118,RawDataTotal!AL:AL)</f>
        <v>0</v>
      </c>
      <c r="AJ118">
        <f>SUMIF(RawDataTotal!$B:$B,$A118,RawDataTotal!AM:AM)</f>
        <v>0</v>
      </c>
      <c r="AK118">
        <f>SUMIF(RawDataTotal!$B:$B,$A118,RawDataTotal!AN:AN)</f>
        <v>0</v>
      </c>
      <c r="AL118">
        <f>SUMIF(RawDataTotal!$B:$B,$A118,RawDataTotal!AO:AO)</f>
        <v>0</v>
      </c>
      <c r="AM118">
        <f>SUMIF(RawDataTotal!$B:$B,$A118,RawDataTotal!AP:AP)</f>
        <v>0</v>
      </c>
      <c r="AN118">
        <f>SUMIF(RawDataTotal!$B:$B,$A118,RawDataTotal!AQ:AQ)</f>
        <v>0</v>
      </c>
      <c r="AO118">
        <f>SUMIF(RawDataTotal!$B:$B,$A118,RawDataTotal!AR:AR)</f>
        <v>0</v>
      </c>
      <c r="AP118">
        <f>SUMIF(RawDataTotal!$B:$B,$A118,RawDataTotal!AS:AS)</f>
        <v>0</v>
      </c>
      <c r="AQ118">
        <f>SUMIF(RawDataTotal!$B:$B,$A118,RawDataTotal!AT:AT)</f>
        <v>0</v>
      </c>
      <c r="AR118">
        <f>SUMIF(RawDataTotal!$B:$B,$A118,RawDataTotal!AU:AU)</f>
        <v>0</v>
      </c>
      <c r="AS118">
        <f>SUMIF(RawDataTotal!$B:$B,$A118,RawDataTotal!AV:AV)</f>
        <v>0</v>
      </c>
      <c r="AT118">
        <f>SUMIF(RawDataTotal!$B:$B,$A118,RawDataTotal!AW:AW)</f>
        <v>0</v>
      </c>
      <c r="AU118">
        <f>SUMIF(RawDataTotal!$B:$B,$A118,RawDataTotal!AX:AX)</f>
        <v>0</v>
      </c>
      <c r="AV118">
        <f>SUMIF(RawDataTotal!$B:$B,$A118,RawDataTotal!AY:AY)</f>
        <v>0</v>
      </c>
      <c r="AW118">
        <f>SUMIF(RawDataTotal!$B:$B,$A118,RawDataTotal!AZ:AZ)</f>
        <v>0</v>
      </c>
      <c r="AX118">
        <f>SUMIF(RawDataTotal!$B:$B,$A118,RawDataTotal!BA:BA)</f>
        <v>0</v>
      </c>
      <c r="AY118">
        <f>SUMIF(RawDataTotal!$B:$B,$A118,RawDataTotal!BB:BB)</f>
        <v>0</v>
      </c>
      <c r="AZ118">
        <f>SUMIF(RawDataTotal!$B:$B,$A118,RawDataTotal!BC:BC)</f>
        <v>1</v>
      </c>
      <c r="BA118">
        <f>SUMIF(RawDataTotal!$B:$B,$A118,RawDataTotal!BD:BD)</f>
        <v>1</v>
      </c>
      <c r="BB118">
        <f>SUMIF(RawDataTotal!$B:$B,$A118,RawDataTotal!BE:BE)</f>
        <v>1</v>
      </c>
      <c r="BC118">
        <f>SUMIF(RawDataTotal!$B:$B,$A118,RawDataTotal!BF:BF)</f>
        <v>4</v>
      </c>
      <c r="BD118">
        <f>SUMIF(RawDataTotal!$B:$B,$A118,RawDataTotal!BG:BG)</f>
        <v>4</v>
      </c>
      <c r="BE118">
        <f>SUMIF(RawDataTotal!$B:$B,$A118,RawDataTotal!BH:BH)</f>
        <v>7</v>
      </c>
      <c r="BF118">
        <f>SUMIF(RawDataTotal!$B:$B,$A118,RawDataTotal!BI:BI)</f>
        <v>0</v>
      </c>
      <c r="BG118">
        <f>SUMIF(RawDataTotal!$B:$B,$A118,RawDataTotal!BJ:BJ)</f>
        <v>0</v>
      </c>
      <c r="BH118">
        <f>SUMIF(RawDataTotal!$B:$B,$A118,RawDataTotal!BK:BK)</f>
        <v>0</v>
      </c>
      <c r="BI118">
        <f>SUMIF(RawDataTotal!$B:$B,$A118,RawDataTotal!BL:BL)</f>
        <v>0</v>
      </c>
      <c r="BJ118">
        <f>SUMIF(RawDataTotal!$B:$B,$A118,RawDataTotal!BM:BM)</f>
        <v>0</v>
      </c>
      <c r="BK118">
        <f>SUMIF(RawDataTotal!$B:$B,$A118,RawDataTotal!BN:BN)</f>
        <v>0</v>
      </c>
      <c r="BL118">
        <f>SUMIF(RawDataTotal!$B:$B,$A118,RawDataTotal!BO:BO)</f>
        <v>0</v>
      </c>
      <c r="BM118">
        <f>SUMIF(RawDataTotal!$B:$B,$A118,RawDataTotal!BP:BP)</f>
        <v>0</v>
      </c>
      <c r="BN118">
        <f>SUMIF(RawDataTotal!$B:$B,$A118,RawDataTotal!BQ:BQ)</f>
        <v>0</v>
      </c>
      <c r="BO118">
        <f>SUMIF(RawDataTotal!$B:$B,$A118,RawDataTotal!BR:BR)</f>
        <v>0</v>
      </c>
      <c r="BP118">
        <f>SUMIF(RawDataTotal!$B:$B,$A118,RawDataTotal!BS:BS)</f>
        <v>0</v>
      </c>
      <c r="BQ118">
        <f>SUMIF(RawDataTotal!$B:$B,$A118,RawDataTotal!BT:BT)</f>
        <v>0</v>
      </c>
      <c r="BR118">
        <f>SUMIF(RawDataTotal!$B:$B,$A118,RawDataTotal!BU:BU)</f>
        <v>0</v>
      </c>
      <c r="BS118">
        <f>SUMIF(RawDataTotal!$B:$B,$A118,RawDataTotal!BV:BV)</f>
        <v>0</v>
      </c>
      <c r="BT118">
        <f>SUMIF(RawDataTotal!$B:$B,$A118,RawDataTotal!BW:BW)</f>
        <v>0</v>
      </c>
    </row>
    <row r="119" spans="1:72" ht="15" thickBot="1" x14ac:dyDescent="0.35">
      <c r="A119" s="3" t="s">
        <v>308</v>
      </c>
      <c r="B119">
        <f>SUMIF(RawDataTotal!$B:$B,$A119,RawDataTotal!E:E)</f>
        <v>0</v>
      </c>
      <c r="C119">
        <f>SUMIF(RawDataTotal!$B:$B,$A119,RawDataTotal!F:F)</f>
        <v>0</v>
      </c>
      <c r="D119">
        <f>SUMIF(RawDataTotal!$B:$B,$A119,RawDataTotal!G:G)</f>
        <v>0</v>
      </c>
      <c r="E119">
        <f>SUMIF(RawDataTotal!$B:$B,$A119,RawDataTotal!H:H)</f>
        <v>0</v>
      </c>
      <c r="F119">
        <f>SUMIF(RawDataTotal!$B:$B,$A119,RawDataTotal!I:I)</f>
        <v>0</v>
      </c>
      <c r="G119">
        <f>SUMIF(RawDataTotal!$B:$B,$A119,RawDataTotal!J:J)</f>
        <v>0</v>
      </c>
      <c r="H119">
        <f>SUMIF(RawDataTotal!$B:$B,$A119,RawDataTotal!K:K)</f>
        <v>0</v>
      </c>
      <c r="I119">
        <f>SUMIF(RawDataTotal!$B:$B,$A119,RawDataTotal!L:L)</f>
        <v>0</v>
      </c>
      <c r="J119">
        <f>SUMIF(RawDataTotal!$B:$B,$A119,RawDataTotal!M:M)</f>
        <v>0</v>
      </c>
      <c r="K119">
        <f>SUMIF(RawDataTotal!$B:$B,$A119,RawDataTotal!N:N)</f>
        <v>0</v>
      </c>
      <c r="L119">
        <f>SUMIF(RawDataTotal!$B:$B,$A119,RawDataTotal!O:O)</f>
        <v>0</v>
      </c>
      <c r="M119">
        <f>SUMIF(RawDataTotal!$B:$B,$A119,RawDataTotal!P:P)</f>
        <v>0</v>
      </c>
      <c r="N119">
        <f>SUMIF(RawDataTotal!$B:$B,$A119,RawDataTotal!Q:Q)</f>
        <v>0</v>
      </c>
      <c r="O119">
        <f>SUMIF(RawDataTotal!$B:$B,$A119,RawDataTotal!R:R)</f>
        <v>0</v>
      </c>
      <c r="P119">
        <f>SUMIF(RawDataTotal!$B:$B,$A119,RawDataTotal!S:S)</f>
        <v>0</v>
      </c>
      <c r="Q119">
        <f>SUMIF(RawDataTotal!$B:$B,$A119,RawDataTotal!T:T)</f>
        <v>0</v>
      </c>
      <c r="R119">
        <f>SUMIF(RawDataTotal!$B:$B,$A119,RawDataTotal!U:U)</f>
        <v>0</v>
      </c>
      <c r="S119">
        <f>SUMIF(RawDataTotal!$B:$B,$A119,RawDataTotal!V:V)</f>
        <v>0</v>
      </c>
      <c r="T119">
        <f>SUMIF(RawDataTotal!$B:$B,$A119,RawDataTotal!W:W)</f>
        <v>0</v>
      </c>
      <c r="U119">
        <f>SUMIF(RawDataTotal!$B:$B,$A119,RawDataTotal!X:X)</f>
        <v>0</v>
      </c>
      <c r="V119">
        <f>SUMIF(RawDataTotal!$B:$B,$A119,RawDataTotal!Y:Y)</f>
        <v>0</v>
      </c>
      <c r="W119">
        <f>SUMIF(RawDataTotal!$B:$B,$A119,RawDataTotal!Z:Z)</f>
        <v>0</v>
      </c>
      <c r="X119">
        <f>SUMIF(RawDataTotal!$B:$B,$A119,RawDataTotal!AA:AA)</f>
        <v>0</v>
      </c>
      <c r="Y119">
        <f>SUMIF(RawDataTotal!$B:$B,$A119,RawDataTotal!AB:AB)</f>
        <v>0</v>
      </c>
      <c r="Z119">
        <f>SUMIF(RawDataTotal!$B:$B,$A119,RawDataTotal!AC:AC)</f>
        <v>0</v>
      </c>
      <c r="AA119">
        <f>SUMIF(RawDataTotal!$B:$B,$A119,RawDataTotal!AD:AD)</f>
        <v>0</v>
      </c>
      <c r="AB119">
        <f>SUMIF(RawDataTotal!$B:$B,$A119,RawDataTotal!AE:AE)</f>
        <v>0</v>
      </c>
      <c r="AC119">
        <f>SUMIF(RawDataTotal!$B:$B,$A119,RawDataTotal!AF:AF)</f>
        <v>0</v>
      </c>
      <c r="AD119">
        <f>SUMIF(RawDataTotal!$B:$B,$A119,RawDataTotal!AG:AG)</f>
        <v>0</v>
      </c>
      <c r="AE119">
        <f>SUMIF(RawDataTotal!$B:$B,$A119,RawDataTotal!AH:AH)</f>
        <v>0</v>
      </c>
      <c r="AF119">
        <f>SUMIF(RawDataTotal!$B:$B,$A119,RawDataTotal!AI:AI)</f>
        <v>0</v>
      </c>
      <c r="AG119">
        <f>SUMIF(RawDataTotal!$B:$B,$A119,RawDataTotal!AJ:AJ)</f>
        <v>0</v>
      </c>
      <c r="AH119">
        <f>SUMIF(RawDataTotal!$B:$B,$A119,RawDataTotal!AK:AK)</f>
        <v>0</v>
      </c>
      <c r="AI119">
        <f>SUMIF(RawDataTotal!$B:$B,$A119,RawDataTotal!AL:AL)</f>
        <v>0</v>
      </c>
      <c r="AJ119">
        <f>SUMIF(RawDataTotal!$B:$B,$A119,RawDataTotal!AM:AM)</f>
        <v>0</v>
      </c>
      <c r="AK119">
        <f>SUMIF(RawDataTotal!$B:$B,$A119,RawDataTotal!AN:AN)</f>
        <v>0</v>
      </c>
      <c r="AL119">
        <f>SUMIF(RawDataTotal!$B:$B,$A119,RawDataTotal!AO:AO)</f>
        <v>0</v>
      </c>
      <c r="AM119">
        <f>SUMIF(RawDataTotal!$B:$B,$A119,RawDataTotal!AP:AP)</f>
        <v>0</v>
      </c>
      <c r="AN119">
        <f>SUMIF(RawDataTotal!$B:$B,$A119,RawDataTotal!AQ:AQ)</f>
        <v>0</v>
      </c>
      <c r="AO119">
        <f>SUMIF(RawDataTotal!$B:$B,$A119,RawDataTotal!AR:AR)</f>
        <v>0</v>
      </c>
      <c r="AP119">
        <f>SUMIF(RawDataTotal!$B:$B,$A119,RawDataTotal!AS:AS)</f>
        <v>0</v>
      </c>
      <c r="AQ119">
        <f>SUMIF(RawDataTotal!$B:$B,$A119,RawDataTotal!AT:AT)</f>
        <v>0</v>
      </c>
      <c r="AR119">
        <f>SUMIF(RawDataTotal!$B:$B,$A119,RawDataTotal!AU:AU)</f>
        <v>0</v>
      </c>
      <c r="AS119">
        <f>SUMIF(RawDataTotal!$B:$B,$A119,RawDataTotal!AV:AV)</f>
        <v>0</v>
      </c>
      <c r="AT119">
        <f>SUMIF(RawDataTotal!$B:$B,$A119,RawDataTotal!AW:AW)</f>
        <v>1</v>
      </c>
      <c r="AU119">
        <f>SUMIF(RawDataTotal!$B:$B,$A119,RawDataTotal!AX:AX)</f>
        <v>1</v>
      </c>
      <c r="AV119">
        <f>SUMIF(RawDataTotal!$B:$B,$A119,RawDataTotal!AY:AY)</f>
        <v>1</v>
      </c>
      <c r="AW119">
        <f>SUMIF(RawDataTotal!$B:$B,$A119,RawDataTotal!AZ:AZ)</f>
        <v>1</v>
      </c>
      <c r="AX119">
        <f>SUMIF(RawDataTotal!$B:$B,$A119,RawDataTotal!BA:BA)</f>
        <v>1</v>
      </c>
      <c r="AY119">
        <f>SUMIF(RawDataTotal!$B:$B,$A119,RawDataTotal!BB:BB)</f>
        <v>1</v>
      </c>
      <c r="AZ119">
        <f>SUMIF(RawDataTotal!$B:$B,$A119,RawDataTotal!BC:BC)</f>
        <v>1</v>
      </c>
      <c r="BA119">
        <f>SUMIF(RawDataTotal!$B:$B,$A119,RawDataTotal!BD:BD)</f>
        <v>1</v>
      </c>
      <c r="BB119">
        <f>SUMIF(RawDataTotal!$B:$B,$A119,RawDataTotal!BE:BE)</f>
        <v>1</v>
      </c>
      <c r="BC119">
        <f>SUMIF(RawDataTotal!$B:$B,$A119,RawDataTotal!BF:BF)</f>
        <v>1</v>
      </c>
      <c r="BD119">
        <f>SUMIF(RawDataTotal!$B:$B,$A119,RawDataTotal!BG:BG)</f>
        <v>1</v>
      </c>
      <c r="BE119">
        <f>SUMIF(RawDataTotal!$B:$B,$A119,RawDataTotal!BH:BH)</f>
        <v>1</v>
      </c>
      <c r="BF119">
        <f>SUMIF(RawDataTotal!$B:$B,$A119,RawDataTotal!BI:BI)</f>
        <v>0</v>
      </c>
      <c r="BG119">
        <f>SUMIF(RawDataTotal!$B:$B,$A119,RawDataTotal!BJ:BJ)</f>
        <v>0</v>
      </c>
      <c r="BH119">
        <f>SUMIF(RawDataTotal!$B:$B,$A119,RawDataTotal!BK:BK)</f>
        <v>0</v>
      </c>
      <c r="BI119">
        <f>SUMIF(RawDataTotal!$B:$B,$A119,RawDataTotal!BL:BL)</f>
        <v>0</v>
      </c>
      <c r="BJ119">
        <f>SUMIF(RawDataTotal!$B:$B,$A119,RawDataTotal!BM:BM)</f>
        <v>0</v>
      </c>
      <c r="BK119">
        <f>SUMIF(RawDataTotal!$B:$B,$A119,RawDataTotal!BN:BN)</f>
        <v>0</v>
      </c>
      <c r="BL119">
        <f>SUMIF(RawDataTotal!$B:$B,$A119,RawDataTotal!BO:BO)</f>
        <v>0</v>
      </c>
      <c r="BM119">
        <f>SUMIF(RawDataTotal!$B:$B,$A119,RawDataTotal!BP:BP)</f>
        <v>0</v>
      </c>
      <c r="BN119">
        <f>SUMIF(RawDataTotal!$B:$B,$A119,RawDataTotal!BQ:BQ)</f>
        <v>0</v>
      </c>
      <c r="BO119">
        <f>SUMIF(RawDataTotal!$B:$B,$A119,RawDataTotal!BR:BR)</f>
        <v>0</v>
      </c>
      <c r="BP119">
        <f>SUMIF(RawDataTotal!$B:$B,$A119,RawDataTotal!BS:BS)</f>
        <v>0</v>
      </c>
      <c r="BQ119">
        <f>SUMIF(RawDataTotal!$B:$B,$A119,RawDataTotal!BT:BT)</f>
        <v>0</v>
      </c>
      <c r="BR119">
        <f>SUMIF(RawDataTotal!$B:$B,$A119,RawDataTotal!BU:BU)</f>
        <v>0</v>
      </c>
      <c r="BS119">
        <f>SUMIF(RawDataTotal!$B:$B,$A119,RawDataTotal!BV:BV)</f>
        <v>0</v>
      </c>
      <c r="BT119">
        <f>SUMIF(RawDataTotal!$B:$B,$A119,RawDataTotal!BW:BW)</f>
        <v>0</v>
      </c>
    </row>
    <row r="120" spans="1:72" ht="15" thickBot="1" x14ac:dyDescent="0.35">
      <c r="A120" s="4" t="s">
        <v>152</v>
      </c>
      <c r="B120">
        <f>SUMIF(RawDataTotal!$B:$B,$A120,RawDataTotal!E:E)</f>
        <v>0</v>
      </c>
      <c r="C120">
        <f>SUMIF(RawDataTotal!$B:$B,$A120,RawDataTotal!F:F)</f>
        <v>0</v>
      </c>
      <c r="D120">
        <f>SUMIF(RawDataTotal!$B:$B,$A120,RawDataTotal!G:G)</f>
        <v>0</v>
      </c>
      <c r="E120">
        <f>SUMIF(RawDataTotal!$B:$B,$A120,RawDataTotal!H:H)</f>
        <v>0</v>
      </c>
      <c r="F120">
        <f>SUMIF(RawDataTotal!$B:$B,$A120,RawDataTotal!I:I)</f>
        <v>0</v>
      </c>
      <c r="G120">
        <f>SUMIF(RawDataTotal!$B:$B,$A120,RawDataTotal!J:J)</f>
        <v>0</v>
      </c>
      <c r="H120">
        <f>SUMIF(RawDataTotal!$B:$B,$A120,RawDataTotal!K:K)</f>
        <v>0</v>
      </c>
      <c r="I120">
        <f>SUMIF(RawDataTotal!$B:$B,$A120,RawDataTotal!L:L)</f>
        <v>0</v>
      </c>
      <c r="J120">
        <f>SUMIF(RawDataTotal!$B:$B,$A120,RawDataTotal!M:M)</f>
        <v>0</v>
      </c>
      <c r="K120">
        <f>SUMIF(RawDataTotal!$B:$B,$A120,RawDataTotal!N:N)</f>
        <v>0</v>
      </c>
      <c r="L120">
        <f>SUMIF(RawDataTotal!$B:$B,$A120,RawDataTotal!O:O)</f>
        <v>0</v>
      </c>
      <c r="M120">
        <f>SUMIF(RawDataTotal!$B:$B,$A120,RawDataTotal!P:P)</f>
        <v>0</v>
      </c>
      <c r="N120">
        <f>SUMIF(RawDataTotal!$B:$B,$A120,RawDataTotal!Q:Q)</f>
        <v>0</v>
      </c>
      <c r="O120">
        <f>SUMIF(RawDataTotal!$B:$B,$A120,RawDataTotal!R:R)</f>
        <v>0</v>
      </c>
      <c r="P120">
        <f>SUMIF(RawDataTotal!$B:$B,$A120,RawDataTotal!S:S)</f>
        <v>0</v>
      </c>
      <c r="Q120">
        <f>SUMIF(RawDataTotal!$B:$B,$A120,RawDataTotal!T:T)</f>
        <v>0</v>
      </c>
      <c r="R120">
        <f>SUMIF(RawDataTotal!$B:$B,$A120,RawDataTotal!U:U)</f>
        <v>0</v>
      </c>
      <c r="S120">
        <f>SUMIF(RawDataTotal!$B:$B,$A120,RawDataTotal!V:V)</f>
        <v>0</v>
      </c>
      <c r="T120">
        <f>SUMIF(RawDataTotal!$B:$B,$A120,RawDataTotal!W:W)</f>
        <v>0</v>
      </c>
      <c r="U120">
        <f>SUMIF(RawDataTotal!$B:$B,$A120,RawDataTotal!X:X)</f>
        <v>0</v>
      </c>
      <c r="V120">
        <f>SUMIF(RawDataTotal!$B:$B,$A120,RawDataTotal!Y:Y)</f>
        <v>0</v>
      </c>
      <c r="W120">
        <f>SUMIF(RawDataTotal!$B:$B,$A120,RawDataTotal!Z:Z)</f>
        <v>0</v>
      </c>
      <c r="X120">
        <f>SUMIF(RawDataTotal!$B:$B,$A120,RawDataTotal!AA:AA)</f>
        <v>0</v>
      </c>
      <c r="Y120">
        <f>SUMIF(RawDataTotal!$B:$B,$A120,RawDataTotal!AB:AB)</f>
        <v>0</v>
      </c>
      <c r="Z120">
        <f>SUMIF(RawDataTotal!$B:$B,$A120,RawDataTotal!AC:AC)</f>
        <v>0</v>
      </c>
      <c r="AA120">
        <f>SUMIF(RawDataTotal!$B:$B,$A120,RawDataTotal!AD:AD)</f>
        <v>0</v>
      </c>
      <c r="AB120">
        <f>SUMIF(RawDataTotal!$B:$B,$A120,RawDataTotal!AE:AE)</f>
        <v>0</v>
      </c>
      <c r="AC120">
        <f>SUMIF(RawDataTotal!$B:$B,$A120,RawDataTotal!AF:AF)</f>
        <v>0</v>
      </c>
      <c r="AD120">
        <f>SUMIF(RawDataTotal!$B:$B,$A120,RawDataTotal!AG:AG)</f>
        <v>0</v>
      </c>
      <c r="AE120">
        <f>SUMIF(RawDataTotal!$B:$B,$A120,RawDataTotal!AH:AH)</f>
        <v>0</v>
      </c>
      <c r="AF120">
        <f>SUMIF(RawDataTotal!$B:$B,$A120,RawDataTotal!AI:AI)</f>
        <v>0</v>
      </c>
      <c r="AG120">
        <f>SUMIF(RawDataTotal!$B:$B,$A120,RawDataTotal!AJ:AJ)</f>
        <v>0</v>
      </c>
      <c r="AH120">
        <f>SUMIF(RawDataTotal!$B:$B,$A120,RawDataTotal!AK:AK)</f>
        <v>0</v>
      </c>
      <c r="AI120">
        <f>SUMIF(RawDataTotal!$B:$B,$A120,RawDataTotal!AL:AL)</f>
        <v>0</v>
      </c>
      <c r="AJ120">
        <f>SUMIF(RawDataTotal!$B:$B,$A120,RawDataTotal!AM:AM)</f>
        <v>0</v>
      </c>
      <c r="AK120">
        <f>SUMIF(RawDataTotal!$B:$B,$A120,RawDataTotal!AN:AN)</f>
        <v>0</v>
      </c>
      <c r="AL120">
        <f>SUMIF(RawDataTotal!$B:$B,$A120,RawDataTotal!AO:AO)</f>
        <v>0</v>
      </c>
      <c r="AM120">
        <f>SUMIF(RawDataTotal!$B:$B,$A120,RawDataTotal!AP:AP)</f>
        <v>0</v>
      </c>
      <c r="AN120">
        <f>SUMIF(RawDataTotal!$B:$B,$A120,RawDataTotal!AQ:AQ)</f>
        <v>0</v>
      </c>
      <c r="AO120">
        <f>SUMIF(RawDataTotal!$B:$B,$A120,RawDataTotal!AR:AR)</f>
        <v>0</v>
      </c>
      <c r="AP120">
        <f>SUMIF(RawDataTotal!$B:$B,$A120,RawDataTotal!AS:AS)</f>
        <v>0</v>
      </c>
      <c r="AQ120">
        <f>SUMIF(RawDataTotal!$B:$B,$A120,RawDataTotal!AT:AT)</f>
        <v>1</v>
      </c>
      <c r="AR120">
        <f>SUMIF(RawDataTotal!$B:$B,$A120,RawDataTotal!AU:AU)</f>
        <v>1</v>
      </c>
      <c r="AS120">
        <f>SUMIF(RawDataTotal!$B:$B,$A120,RawDataTotal!AV:AV)</f>
        <v>1</v>
      </c>
      <c r="AT120">
        <f>SUMIF(RawDataTotal!$B:$B,$A120,RawDataTotal!AW:AW)</f>
        <v>1</v>
      </c>
      <c r="AU120">
        <f>SUMIF(RawDataTotal!$B:$B,$A120,RawDataTotal!AX:AX)</f>
        <v>1</v>
      </c>
      <c r="AV120">
        <f>SUMIF(RawDataTotal!$B:$B,$A120,RawDataTotal!AY:AY)</f>
        <v>1</v>
      </c>
      <c r="AW120">
        <f>SUMIF(RawDataTotal!$B:$B,$A120,RawDataTotal!AZ:AZ)</f>
        <v>1</v>
      </c>
      <c r="AX120">
        <f>SUMIF(RawDataTotal!$B:$B,$A120,RawDataTotal!BA:BA)</f>
        <v>1</v>
      </c>
      <c r="AY120">
        <f>SUMIF(RawDataTotal!$B:$B,$A120,RawDataTotal!BB:BB)</f>
        <v>1</v>
      </c>
      <c r="AZ120">
        <f>SUMIF(RawDataTotal!$B:$B,$A120,RawDataTotal!BC:BC)</f>
        <v>1</v>
      </c>
      <c r="BA120">
        <f>SUMIF(RawDataTotal!$B:$B,$A120,RawDataTotal!BD:BD)</f>
        <v>1</v>
      </c>
      <c r="BB120">
        <f>SUMIF(RawDataTotal!$B:$B,$A120,RawDataTotal!BE:BE)</f>
        <v>1</v>
      </c>
      <c r="BC120">
        <f>SUMIF(RawDataTotal!$B:$B,$A120,RawDataTotal!BF:BF)</f>
        <v>8</v>
      </c>
      <c r="BD120">
        <f>SUMIF(RawDataTotal!$B:$B,$A120,RawDataTotal!BG:BG)</f>
        <v>17</v>
      </c>
      <c r="BE120">
        <f>SUMIF(RawDataTotal!$B:$B,$A120,RawDataTotal!BH:BH)</f>
        <v>34</v>
      </c>
      <c r="BF120">
        <f>SUMIF(RawDataTotal!$B:$B,$A120,RawDataTotal!BI:BI)</f>
        <v>0</v>
      </c>
      <c r="BG120">
        <f>SUMIF(RawDataTotal!$B:$B,$A120,RawDataTotal!BJ:BJ)</f>
        <v>0</v>
      </c>
      <c r="BH120">
        <f>SUMIF(RawDataTotal!$B:$B,$A120,RawDataTotal!BK:BK)</f>
        <v>0</v>
      </c>
      <c r="BI120">
        <f>SUMIF(RawDataTotal!$B:$B,$A120,RawDataTotal!BL:BL)</f>
        <v>0</v>
      </c>
      <c r="BJ120">
        <f>SUMIF(RawDataTotal!$B:$B,$A120,RawDataTotal!BM:BM)</f>
        <v>0</v>
      </c>
      <c r="BK120">
        <f>SUMIF(RawDataTotal!$B:$B,$A120,RawDataTotal!BN:BN)</f>
        <v>0</v>
      </c>
      <c r="BL120">
        <f>SUMIF(RawDataTotal!$B:$B,$A120,RawDataTotal!BO:BO)</f>
        <v>0</v>
      </c>
      <c r="BM120">
        <f>SUMIF(RawDataTotal!$B:$B,$A120,RawDataTotal!BP:BP)</f>
        <v>0</v>
      </c>
      <c r="BN120">
        <f>SUMIF(RawDataTotal!$B:$B,$A120,RawDataTotal!BQ:BQ)</f>
        <v>0</v>
      </c>
      <c r="BO120">
        <f>SUMIF(RawDataTotal!$B:$B,$A120,RawDataTotal!BR:BR)</f>
        <v>0</v>
      </c>
      <c r="BP120">
        <f>SUMIF(RawDataTotal!$B:$B,$A120,RawDataTotal!BS:BS)</f>
        <v>0</v>
      </c>
      <c r="BQ120">
        <f>SUMIF(RawDataTotal!$B:$B,$A120,RawDataTotal!BT:BT)</f>
        <v>0</v>
      </c>
      <c r="BR120">
        <f>SUMIF(RawDataTotal!$B:$B,$A120,RawDataTotal!BU:BU)</f>
        <v>0</v>
      </c>
      <c r="BS120">
        <f>SUMIF(RawDataTotal!$B:$B,$A120,RawDataTotal!BV:BV)</f>
        <v>0</v>
      </c>
      <c r="BT120">
        <f>SUMIF(RawDataTotal!$B:$B,$A120,RawDataTotal!BW:BW)</f>
        <v>0</v>
      </c>
    </row>
    <row r="121" spans="1:72" ht="15" thickBot="1" x14ac:dyDescent="0.35">
      <c r="A121" s="3" t="s">
        <v>451</v>
      </c>
      <c r="B121">
        <f>SUMIF(RawDataTotal!$B:$B,$A121,RawDataTotal!E:E)</f>
        <v>0</v>
      </c>
      <c r="C121">
        <f>SUMIF(RawDataTotal!$B:$B,$A121,RawDataTotal!F:F)</f>
        <v>0</v>
      </c>
      <c r="D121">
        <f>SUMIF(RawDataTotal!$B:$B,$A121,RawDataTotal!G:G)</f>
        <v>0</v>
      </c>
      <c r="E121">
        <f>SUMIF(RawDataTotal!$B:$B,$A121,RawDataTotal!H:H)</f>
        <v>0</v>
      </c>
      <c r="F121">
        <f>SUMIF(RawDataTotal!$B:$B,$A121,RawDataTotal!I:I)</f>
        <v>0</v>
      </c>
      <c r="G121">
        <f>SUMIF(RawDataTotal!$B:$B,$A121,RawDataTotal!J:J)</f>
        <v>0</v>
      </c>
      <c r="H121">
        <f>SUMIF(RawDataTotal!$B:$B,$A121,RawDataTotal!K:K)</f>
        <v>0</v>
      </c>
      <c r="I121">
        <f>SUMIF(RawDataTotal!$B:$B,$A121,RawDataTotal!L:L)</f>
        <v>0</v>
      </c>
      <c r="J121">
        <f>SUMIF(RawDataTotal!$B:$B,$A121,RawDataTotal!M:M)</f>
        <v>0</v>
      </c>
      <c r="K121">
        <f>SUMIF(RawDataTotal!$B:$B,$A121,RawDataTotal!N:N)</f>
        <v>0</v>
      </c>
      <c r="L121">
        <f>SUMIF(RawDataTotal!$B:$B,$A121,RawDataTotal!O:O)</f>
        <v>0</v>
      </c>
      <c r="M121">
        <f>SUMIF(RawDataTotal!$B:$B,$A121,RawDataTotal!P:P)</f>
        <v>0</v>
      </c>
      <c r="N121">
        <f>SUMIF(RawDataTotal!$B:$B,$A121,RawDataTotal!Q:Q)</f>
        <v>0</v>
      </c>
      <c r="O121">
        <f>SUMIF(RawDataTotal!$B:$B,$A121,RawDataTotal!R:R)</f>
        <v>0</v>
      </c>
      <c r="P121">
        <f>SUMIF(RawDataTotal!$B:$B,$A121,RawDataTotal!S:S)</f>
        <v>0</v>
      </c>
      <c r="Q121">
        <f>SUMIF(RawDataTotal!$B:$B,$A121,RawDataTotal!T:T)</f>
        <v>0</v>
      </c>
      <c r="R121">
        <f>SUMIF(RawDataTotal!$B:$B,$A121,RawDataTotal!U:U)</f>
        <v>0</v>
      </c>
      <c r="S121">
        <f>SUMIF(RawDataTotal!$B:$B,$A121,RawDataTotal!V:V)</f>
        <v>0</v>
      </c>
      <c r="T121">
        <f>SUMIF(RawDataTotal!$B:$B,$A121,RawDataTotal!W:W)</f>
        <v>0</v>
      </c>
      <c r="U121">
        <f>SUMIF(RawDataTotal!$B:$B,$A121,RawDataTotal!X:X)</f>
        <v>0</v>
      </c>
      <c r="V121">
        <f>SUMIF(RawDataTotal!$B:$B,$A121,RawDataTotal!Y:Y)</f>
        <v>0</v>
      </c>
      <c r="W121">
        <f>SUMIF(RawDataTotal!$B:$B,$A121,RawDataTotal!Z:Z)</f>
        <v>0</v>
      </c>
      <c r="X121">
        <f>SUMIF(RawDataTotal!$B:$B,$A121,RawDataTotal!AA:AA)</f>
        <v>0</v>
      </c>
      <c r="Y121">
        <f>SUMIF(RawDataTotal!$B:$B,$A121,RawDataTotal!AB:AB)</f>
        <v>0</v>
      </c>
      <c r="Z121">
        <f>SUMIF(RawDataTotal!$B:$B,$A121,RawDataTotal!AC:AC)</f>
        <v>0</v>
      </c>
      <c r="AA121">
        <f>SUMIF(RawDataTotal!$B:$B,$A121,RawDataTotal!AD:AD)</f>
        <v>0</v>
      </c>
      <c r="AB121">
        <f>SUMIF(RawDataTotal!$B:$B,$A121,RawDataTotal!AE:AE)</f>
        <v>0</v>
      </c>
      <c r="AC121">
        <f>SUMIF(RawDataTotal!$B:$B,$A121,RawDataTotal!AF:AF)</f>
        <v>0</v>
      </c>
      <c r="AD121">
        <f>SUMIF(RawDataTotal!$B:$B,$A121,RawDataTotal!AG:AG)</f>
        <v>0</v>
      </c>
      <c r="AE121">
        <f>SUMIF(RawDataTotal!$B:$B,$A121,RawDataTotal!AH:AH)</f>
        <v>0</v>
      </c>
      <c r="AF121">
        <f>SUMIF(RawDataTotal!$B:$B,$A121,RawDataTotal!AI:AI)</f>
        <v>0</v>
      </c>
      <c r="AG121">
        <f>SUMIF(RawDataTotal!$B:$B,$A121,RawDataTotal!AJ:AJ)</f>
        <v>0</v>
      </c>
      <c r="AH121">
        <f>SUMIF(RawDataTotal!$B:$B,$A121,RawDataTotal!AK:AK)</f>
        <v>0</v>
      </c>
      <c r="AI121">
        <f>SUMIF(RawDataTotal!$B:$B,$A121,RawDataTotal!AL:AL)</f>
        <v>0</v>
      </c>
      <c r="AJ121">
        <f>SUMIF(RawDataTotal!$B:$B,$A121,RawDataTotal!AM:AM)</f>
        <v>0</v>
      </c>
      <c r="AK121">
        <f>SUMIF(RawDataTotal!$B:$B,$A121,RawDataTotal!AN:AN)</f>
        <v>0</v>
      </c>
      <c r="AL121">
        <f>SUMIF(RawDataTotal!$B:$B,$A121,RawDataTotal!AO:AO)</f>
        <v>0</v>
      </c>
      <c r="AM121">
        <f>SUMIF(RawDataTotal!$B:$B,$A121,RawDataTotal!AP:AP)</f>
        <v>0</v>
      </c>
      <c r="AN121">
        <f>SUMIF(RawDataTotal!$B:$B,$A121,RawDataTotal!AQ:AQ)</f>
        <v>0</v>
      </c>
      <c r="AO121">
        <f>SUMIF(RawDataTotal!$B:$B,$A121,RawDataTotal!AR:AR)</f>
        <v>0</v>
      </c>
      <c r="AP121">
        <f>SUMIF(RawDataTotal!$B:$B,$A121,RawDataTotal!AS:AS)</f>
        <v>0</v>
      </c>
      <c r="AQ121">
        <f>SUMIF(RawDataTotal!$B:$B,$A121,RawDataTotal!AT:AT)</f>
        <v>0</v>
      </c>
      <c r="AR121">
        <f>SUMIF(RawDataTotal!$B:$B,$A121,RawDataTotal!AU:AU)</f>
        <v>0</v>
      </c>
      <c r="AS121">
        <f>SUMIF(RawDataTotal!$B:$B,$A121,RawDataTotal!AV:AV)</f>
        <v>0</v>
      </c>
      <c r="AT121">
        <f>SUMIF(RawDataTotal!$B:$B,$A121,RawDataTotal!AW:AW)</f>
        <v>0</v>
      </c>
      <c r="AU121">
        <f>SUMIF(RawDataTotal!$B:$B,$A121,RawDataTotal!AX:AX)</f>
        <v>0</v>
      </c>
      <c r="AV121">
        <f>SUMIF(RawDataTotal!$B:$B,$A121,RawDataTotal!AY:AY)</f>
        <v>0</v>
      </c>
      <c r="AW121">
        <f>SUMIF(RawDataTotal!$B:$B,$A121,RawDataTotal!AZ:AZ)</f>
        <v>0</v>
      </c>
      <c r="AX121">
        <f>SUMIF(RawDataTotal!$B:$B,$A121,RawDataTotal!BA:BA)</f>
        <v>0</v>
      </c>
      <c r="AY121">
        <f>SUMIF(RawDataTotal!$B:$B,$A121,RawDataTotal!BB:BB)</f>
        <v>0</v>
      </c>
      <c r="AZ121">
        <f>SUMIF(RawDataTotal!$B:$B,$A121,RawDataTotal!BC:BC)</f>
        <v>0</v>
      </c>
      <c r="BA121">
        <f>SUMIF(RawDataTotal!$B:$B,$A121,RawDataTotal!BD:BD)</f>
        <v>1</v>
      </c>
      <c r="BB121">
        <f>SUMIF(RawDataTotal!$B:$B,$A121,RawDataTotal!BE:BE)</f>
        <v>1</v>
      </c>
      <c r="BC121">
        <f>SUMIF(RawDataTotal!$B:$B,$A121,RawDataTotal!BF:BF)</f>
        <v>3</v>
      </c>
      <c r="BD121">
        <f>SUMIF(RawDataTotal!$B:$B,$A121,RawDataTotal!BG:BG)</f>
        <v>3</v>
      </c>
      <c r="BE121">
        <f>SUMIF(RawDataTotal!$B:$B,$A121,RawDataTotal!BH:BH)</f>
        <v>3</v>
      </c>
      <c r="BF121">
        <f>SUMIF(RawDataTotal!$B:$B,$A121,RawDataTotal!BI:BI)</f>
        <v>0</v>
      </c>
      <c r="BG121">
        <f>SUMIF(RawDataTotal!$B:$B,$A121,RawDataTotal!BJ:BJ)</f>
        <v>0</v>
      </c>
      <c r="BH121">
        <f>SUMIF(RawDataTotal!$B:$B,$A121,RawDataTotal!BK:BK)</f>
        <v>0</v>
      </c>
      <c r="BI121">
        <f>SUMIF(RawDataTotal!$B:$B,$A121,RawDataTotal!BL:BL)</f>
        <v>0</v>
      </c>
      <c r="BJ121">
        <f>SUMIF(RawDataTotal!$B:$B,$A121,RawDataTotal!BM:BM)</f>
        <v>0</v>
      </c>
      <c r="BK121">
        <f>SUMIF(RawDataTotal!$B:$B,$A121,RawDataTotal!BN:BN)</f>
        <v>0</v>
      </c>
      <c r="BL121">
        <f>SUMIF(RawDataTotal!$B:$B,$A121,RawDataTotal!BO:BO)</f>
        <v>0</v>
      </c>
      <c r="BM121">
        <f>SUMIF(RawDataTotal!$B:$B,$A121,RawDataTotal!BP:BP)</f>
        <v>0</v>
      </c>
      <c r="BN121">
        <f>SUMIF(RawDataTotal!$B:$B,$A121,RawDataTotal!BQ:BQ)</f>
        <v>0</v>
      </c>
      <c r="BO121">
        <f>SUMIF(RawDataTotal!$B:$B,$A121,RawDataTotal!BR:BR)</f>
        <v>0</v>
      </c>
      <c r="BP121">
        <f>SUMIF(RawDataTotal!$B:$B,$A121,RawDataTotal!BS:BS)</f>
        <v>0</v>
      </c>
      <c r="BQ121">
        <f>SUMIF(RawDataTotal!$B:$B,$A121,RawDataTotal!BT:BT)</f>
        <v>0</v>
      </c>
      <c r="BR121">
        <f>SUMIF(RawDataTotal!$B:$B,$A121,RawDataTotal!BU:BU)</f>
        <v>0</v>
      </c>
      <c r="BS121">
        <f>SUMIF(RawDataTotal!$B:$B,$A121,RawDataTotal!BV:BV)</f>
        <v>0</v>
      </c>
      <c r="BT121">
        <f>SUMIF(RawDataTotal!$B:$B,$A121,RawDataTotal!BW:BW)</f>
        <v>0</v>
      </c>
    </row>
    <row r="122" spans="1:72" ht="15" thickBot="1" x14ac:dyDescent="0.35">
      <c r="A122" s="4" t="s">
        <v>163</v>
      </c>
      <c r="B122">
        <f>SUMIF(RawDataTotal!$B:$B,$A122,RawDataTotal!E:E)</f>
        <v>0</v>
      </c>
      <c r="C122">
        <f>SUMIF(RawDataTotal!$B:$B,$A122,RawDataTotal!F:F)</f>
        <v>0</v>
      </c>
      <c r="D122">
        <f>SUMIF(RawDataTotal!$B:$B,$A122,RawDataTotal!G:G)</f>
        <v>0</v>
      </c>
      <c r="E122">
        <f>SUMIF(RawDataTotal!$B:$B,$A122,RawDataTotal!H:H)</f>
        <v>0</v>
      </c>
      <c r="F122">
        <f>SUMIF(RawDataTotal!$B:$B,$A122,RawDataTotal!I:I)</f>
        <v>0</v>
      </c>
      <c r="G122">
        <f>SUMIF(RawDataTotal!$B:$B,$A122,RawDataTotal!J:J)</f>
        <v>0</v>
      </c>
      <c r="H122">
        <f>SUMIF(RawDataTotal!$B:$B,$A122,RawDataTotal!K:K)</f>
        <v>0</v>
      </c>
      <c r="I122">
        <f>SUMIF(RawDataTotal!$B:$B,$A122,RawDataTotal!L:L)</f>
        <v>0</v>
      </c>
      <c r="J122">
        <f>SUMIF(RawDataTotal!$B:$B,$A122,RawDataTotal!M:M)</f>
        <v>0</v>
      </c>
      <c r="K122">
        <f>SUMIF(RawDataTotal!$B:$B,$A122,RawDataTotal!N:N)</f>
        <v>0</v>
      </c>
      <c r="L122">
        <f>SUMIF(RawDataTotal!$B:$B,$A122,RawDataTotal!O:O)</f>
        <v>0</v>
      </c>
      <c r="M122">
        <f>SUMIF(RawDataTotal!$B:$B,$A122,RawDataTotal!P:P)</f>
        <v>0</v>
      </c>
      <c r="N122">
        <f>SUMIF(RawDataTotal!$B:$B,$A122,RawDataTotal!Q:Q)</f>
        <v>0</v>
      </c>
      <c r="O122">
        <f>SUMIF(RawDataTotal!$B:$B,$A122,RawDataTotal!R:R)</f>
        <v>0</v>
      </c>
      <c r="P122">
        <f>SUMIF(RawDataTotal!$B:$B,$A122,RawDataTotal!S:S)</f>
        <v>0</v>
      </c>
      <c r="Q122">
        <f>SUMIF(RawDataTotal!$B:$B,$A122,RawDataTotal!T:T)</f>
        <v>0</v>
      </c>
      <c r="R122">
        <f>SUMIF(RawDataTotal!$B:$B,$A122,RawDataTotal!U:U)</f>
        <v>0</v>
      </c>
      <c r="S122">
        <f>SUMIF(RawDataTotal!$B:$B,$A122,RawDataTotal!V:V)</f>
        <v>0</v>
      </c>
      <c r="T122">
        <f>SUMIF(RawDataTotal!$B:$B,$A122,RawDataTotal!W:W)</f>
        <v>0</v>
      </c>
      <c r="U122">
        <f>SUMIF(RawDataTotal!$B:$B,$A122,RawDataTotal!X:X)</f>
        <v>0</v>
      </c>
      <c r="V122">
        <f>SUMIF(RawDataTotal!$B:$B,$A122,RawDataTotal!Y:Y)</f>
        <v>0</v>
      </c>
      <c r="W122">
        <f>SUMIF(RawDataTotal!$B:$B,$A122,RawDataTotal!Z:Z)</f>
        <v>0</v>
      </c>
      <c r="X122">
        <f>SUMIF(RawDataTotal!$B:$B,$A122,RawDataTotal!AA:AA)</f>
        <v>0</v>
      </c>
      <c r="Y122">
        <f>SUMIF(RawDataTotal!$B:$B,$A122,RawDataTotal!AB:AB)</f>
        <v>0</v>
      </c>
      <c r="Z122">
        <f>SUMIF(RawDataTotal!$B:$B,$A122,RawDataTotal!AC:AC)</f>
        <v>0</v>
      </c>
      <c r="AA122">
        <f>SUMIF(RawDataTotal!$B:$B,$A122,RawDataTotal!AD:AD)</f>
        <v>0</v>
      </c>
      <c r="AB122">
        <f>SUMIF(RawDataTotal!$B:$B,$A122,RawDataTotal!AE:AE)</f>
        <v>0</v>
      </c>
      <c r="AC122">
        <f>SUMIF(RawDataTotal!$B:$B,$A122,RawDataTotal!AF:AF)</f>
        <v>0</v>
      </c>
      <c r="AD122">
        <f>SUMIF(RawDataTotal!$B:$B,$A122,RawDataTotal!AG:AG)</f>
        <v>0</v>
      </c>
      <c r="AE122">
        <f>SUMIF(RawDataTotal!$B:$B,$A122,RawDataTotal!AH:AH)</f>
        <v>0</v>
      </c>
      <c r="AF122">
        <f>SUMIF(RawDataTotal!$B:$B,$A122,RawDataTotal!AI:AI)</f>
        <v>0</v>
      </c>
      <c r="AG122">
        <f>SUMIF(RawDataTotal!$B:$B,$A122,RawDataTotal!AJ:AJ)</f>
        <v>0</v>
      </c>
      <c r="AH122">
        <f>SUMIF(RawDataTotal!$B:$B,$A122,RawDataTotal!AK:AK)</f>
        <v>0</v>
      </c>
      <c r="AI122">
        <f>SUMIF(RawDataTotal!$B:$B,$A122,RawDataTotal!AL:AL)</f>
        <v>0</v>
      </c>
      <c r="AJ122">
        <f>SUMIF(RawDataTotal!$B:$B,$A122,RawDataTotal!AM:AM)</f>
        <v>0</v>
      </c>
      <c r="AK122">
        <f>SUMIF(RawDataTotal!$B:$B,$A122,RawDataTotal!AN:AN)</f>
        <v>0</v>
      </c>
      <c r="AL122">
        <f>SUMIF(RawDataTotal!$B:$B,$A122,RawDataTotal!AO:AO)</f>
        <v>0</v>
      </c>
      <c r="AM122">
        <f>SUMIF(RawDataTotal!$B:$B,$A122,RawDataTotal!AP:AP)</f>
        <v>0</v>
      </c>
      <c r="AN122">
        <f>SUMIF(RawDataTotal!$B:$B,$A122,RawDataTotal!AQ:AQ)</f>
        <v>0</v>
      </c>
      <c r="AO122">
        <f>SUMIF(RawDataTotal!$B:$B,$A122,RawDataTotal!AR:AR)</f>
        <v>0</v>
      </c>
      <c r="AP122">
        <f>SUMIF(RawDataTotal!$B:$B,$A122,RawDataTotal!AS:AS)</f>
        <v>0</v>
      </c>
      <c r="AQ122">
        <f>SUMIF(RawDataTotal!$B:$B,$A122,RawDataTotal!AT:AT)</f>
        <v>0</v>
      </c>
      <c r="AR122">
        <f>SUMIF(RawDataTotal!$B:$B,$A122,RawDataTotal!AU:AU)</f>
        <v>1</v>
      </c>
      <c r="AS122">
        <f>SUMIF(RawDataTotal!$B:$B,$A122,RawDataTotal!AV:AV)</f>
        <v>1</v>
      </c>
      <c r="AT122">
        <f>SUMIF(RawDataTotal!$B:$B,$A122,RawDataTotal!AW:AW)</f>
        <v>1</v>
      </c>
      <c r="AU122">
        <f>SUMIF(RawDataTotal!$B:$B,$A122,RawDataTotal!AX:AX)</f>
        <v>1</v>
      </c>
      <c r="AV122">
        <f>SUMIF(RawDataTotal!$B:$B,$A122,RawDataTotal!AY:AY)</f>
        <v>1</v>
      </c>
      <c r="AW122">
        <f>SUMIF(RawDataTotal!$B:$B,$A122,RawDataTotal!AZ:AZ)</f>
        <v>1</v>
      </c>
      <c r="AX122">
        <f>SUMIF(RawDataTotal!$B:$B,$A122,RawDataTotal!BA:BA)</f>
        <v>1</v>
      </c>
      <c r="AY122">
        <f>SUMIF(RawDataTotal!$B:$B,$A122,RawDataTotal!BB:BB)</f>
        <v>1</v>
      </c>
      <c r="AZ122">
        <f>SUMIF(RawDataTotal!$B:$B,$A122,RawDataTotal!BC:BC)</f>
        <v>1</v>
      </c>
      <c r="BA122">
        <f>SUMIF(RawDataTotal!$B:$B,$A122,RawDataTotal!BD:BD)</f>
        <v>1</v>
      </c>
      <c r="BB122">
        <f>SUMIF(RawDataTotal!$B:$B,$A122,RawDataTotal!BE:BE)</f>
        <v>4</v>
      </c>
      <c r="BC122">
        <f>SUMIF(RawDataTotal!$B:$B,$A122,RawDataTotal!BF:BF)</f>
        <v>4</v>
      </c>
      <c r="BD122">
        <f>SUMIF(RawDataTotal!$B:$B,$A122,RawDataTotal!BG:BG)</f>
        <v>4</v>
      </c>
      <c r="BE122">
        <f>SUMIF(RawDataTotal!$B:$B,$A122,RawDataTotal!BH:BH)</f>
        <v>7</v>
      </c>
      <c r="BF122">
        <f>SUMIF(RawDataTotal!$B:$B,$A122,RawDataTotal!BI:BI)</f>
        <v>0</v>
      </c>
      <c r="BG122">
        <f>SUMIF(RawDataTotal!$B:$B,$A122,RawDataTotal!BJ:BJ)</f>
        <v>0</v>
      </c>
      <c r="BH122">
        <f>SUMIF(RawDataTotal!$B:$B,$A122,RawDataTotal!BK:BK)</f>
        <v>0</v>
      </c>
      <c r="BI122">
        <f>SUMIF(RawDataTotal!$B:$B,$A122,RawDataTotal!BL:BL)</f>
        <v>0</v>
      </c>
      <c r="BJ122">
        <f>SUMIF(RawDataTotal!$B:$B,$A122,RawDataTotal!BM:BM)</f>
        <v>0</v>
      </c>
      <c r="BK122">
        <f>SUMIF(RawDataTotal!$B:$B,$A122,RawDataTotal!BN:BN)</f>
        <v>0</v>
      </c>
      <c r="BL122">
        <f>SUMIF(RawDataTotal!$B:$B,$A122,RawDataTotal!BO:BO)</f>
        <v>0</v>
      </c>
      <c r="BM122">
        <f>SUMIF(RawDataTotal!$B:$B,$A122,RawDataTotal!BP:BP)</f>
        <v>0</v>
      </c>
      <c r="BN122">
        <f>SUMIF(RawDataTotal!$B:$B,$A122,RawDataTotal!BQ:BQ)</f>
        <v>0</v>
      </c>
      <c r="BO122">
        <f>SUMIF(RawDataTotal!$B:$B,$A122,RawDataTotal!BR:BR)</f>
        <v>0</v>
      </c>
      <c r="BP122">
        <f>SUMIF(RawDataTotal!$B:$B,$A122,RawDataTotal!BS:BS)</f>
        <v>0</v>
      </c>
      <c r="BQ122">
        <f>SUMIF(RawDataTotal!$B:$B,$A122,RawDataTotal!BT:BT)</f>
        <v>0</v>
      </c>
      <c r="BR122">
        <f>SUMIF(RawDataTotal!$B:$B,$A122,RawDataTotal!BU:BU)</f>
        <v>0</v>
      </c>
      <c r="BS122">
        <f>SUMIF(RawDataTotal!$B:$B,$A122,RawDataTotal!BV:BV)</f>
        <v>0</v>
      </c>
      <c r="BT122">
        <f>SUMIF(RawDataTotal!$B:$B,$A122,RawDataTotal!BW:BW)</f>
        <v>0</v>
      </c>
    </row>
    <row r="123" spans="1:72" ht="15" thickBot="1" x14ac:dyDescent="0.35">
      <c r="A123" s="4" t="s">
        <v>309</v>
      </c>
      <c r="B123">
        <f>SUMIF(RawDataTotal!$B:$B,$A123,RawDataTotal!E:E)</f>
        <v>0</v>
      </c>
      <c r="C123">
        <f>SUMIF(RawDataTotal!$B:$B,$A123,RawDataTotal!F:F)</f>
        <v>0</v>
      </c>
      <c r="D123">
        <f>SUMIF(RawDataTotal!$B:$B,$A123,RawDataTotal!G:G)</f>
        <v>0</v>
      </c>
      <c r="E123">
        <f>SUMIF(RawDataTotal!$B:$B,$A123,RawDataTotal!H:H)</f>
        <v>0</v>
      </c>
      <c r="F123">
        <f>SUMIF(RawDataTotal!$B:$B,$A123,RawDataTotal!I:I)</f>
        <v>0</v>
      </c>
      <c r="G123">
        <f>SUMIF(RawDataTotal!$B:$B,$A123,RawDataTotal!J:J)</f>
        <v>0</v>
      </c>
      <c r="H123">
        <f>SUMIF(RawDataTotal!$B:$B,$A123,RawDataTotal!K:K)</f>
        <v>0</v>
      </c>
      <c r="I123">
        <f>SUMIF(RawDataTotal!$B:$B,$A123,RawDataTotal!L:L)</f>
        <v>0</v>
      </c>
      <c r="J123">
        <f>SUMIF(RawDataTotal!$B:$B,$A123,RawDataTotal!M:M)</f>
        <v>0</v>
      </c>
      <c r="K123">
        <f>SUMIF(RawDataTotal!$B:$B,$A123,RawDataTotal!N:N)</f>
        <v>0</v>
      </c>
      <c r="L123">
        <f>SUMIF(RawDataTotal!$B:$B,$A123,RawDataTotal!O:O)</f>
        <v>0</v>
      </c>
      <c r="M123">
        <f>SUMIF(RawDataTotal!$B:$B,$A123,RawDataTotal!P:P)</f>
        <v>0</v>
      </c>
      <c r="N123">
        <f>SUMIF(RawDataTotal!$B:$B,$A123,RawDataTotal!Q:Q)</f>
        <v>0</v>
      </c>
      <c r="O123">
        <f>SUMIF(RawDataTotal!$B:$B,$A123,RawDataTotal!R:R)</f>
        <v>0</v>
      </c>
      <c r="P123">
        <f>SUMIF(RawDataTotal!$B:$B,$A123,RawDataTotal!S:S)</f>
        <v>0</v>
      </c>
      <c r="Q123">
        <f>SUMIF(RawDataTotal!$B:$B,$A123,RawDataTotal!T:T)</f>
        <v>0</v>
      </c>
      <c r="R123">
        <f>SUMIF(RawDataTotal!$B:$B,$A123,RawDataTotal!U:U)</f>
        <v>0</v>
      </c>
      <c r="S123">
        <f>SUMIF(RawDataTotal!$B:$B,$A123,RawDataTotal!V:V)</f>
        <v>0</v>
      </c>
      <c r="T123">
        <f>SUMIF(RawDataTotal!$B:$B,$A123,RawDataTotal!W:W)</f>
        <v>0</v>
      </c>
      <c r="U123">
        <f>SUMIF(RawDataTotal!$B:$B,$A123,RawDataTotal!X:X)</f>
        <v>0</v>
      </c>
      <c r="V123">
        <f>SUMIF(RawDataTotal!$B:$B,$A123,RawDataTotal!Y:Y)</f>
        <v>0</v>
      </c>
      <c r="W123">
        <f>SUMIF(RawDataTotal!$B:$B,$A123,RawDataTotal!Z:Z)</f>
        <v>0</v>
      </c>
      <c r="X123">
        <f>SUMIF(RawDataTotal!$B:$B,$A123,RawDataTotal!AA:AA)</f>
        <v>0</v>
      </c>
      <c r="Y123">
        <f>SUMIF(RawDataTotal!$B:$B,$A123,RawDataTotal!AB:AB)</f>
        <v>0</v>
      </c>
      <c r="Z123">
        <f>SUMIF(RawDataTotal!$B:$B,$A123,RawDataTotal!AC:AC)</f>
        <v>0</v>
      </c>
      <c r="AA123">
        <f>SUMIF(RawDataTotal!$B:$B,$A123,RawDataTotal!AD:AD)</f>
        <v>0</v>
      </c>
      <c r="AB123">
        <f>SUMIF(RawDataTotal!$B:$B,$A123,RawDataTotal!AE:AE)</f>
        <v>0</v>
      </c>
      <c r="AC123">
        <f>SUMIF(RawDataTotal!$B:$B,$A123,RawDataTotal!AF:AF)</f>
        <v>0</v>
      </c>
      <c r="AD123">
        <f>SUMIF(RawDataTotal!$B:$B,$A123,RawDataTotal!AG:AG)</f>
        <v>0</v>
      </c>
      <c r="AE123">
        <f>SUMIF(RawDataTotal!$B:$B,$A123,RawDataTotal!AH:AH)</f>
        <v>0</v>
      </c>
      <c r="AF123">
        <f>SUMIF(RawDataTotal!$B:$B,$A123,RawDataTotal!AI:AI)</f>
        <v>0</v>
      </c>
      <c r="AG123">
        <f>SUMIF(RawDataTotal!$B:$B,$A123,RawDataTotal!AJ:AJ)</f>
        <v>0</v>
      </c>
      <c r="AH123">
        <f>SUMIF(RawDataTotal!$B:$B,$A123,RawDataTotal!AK:AK)</f>
        <v>0</v>
      </c>
      <c r="AI123">
        <f>SUMIF(RawDataTotal!$B:$B,$A123,RawDataTotal!AL:AL)</f>
        <v>0</v>
      </c>
      <c r="AJ123">
        <f>SUMIF(RawDataTotal!$B:$B,$A123,RawDataTotal!AM:AM)</f>
        <v>0</v>
      </c>
      <c r="AK123">
        <f>SUMIF(RawDataTotal!$B:$B,$A123,RawDataTotal!AN:AN)</f>
        <v>0</v>
      </c>
      <c r="AL123">
        <f>SUMIF(RawDataTotal!$B:$B,$A123,RawDataTotal!AO:AO)</f>
        <v>0</v>
      </c>
      <c r="AM123">
        <f>SUMIF(RawDataTotal!$B:$B,$A123,RawDataTotal!AP:AP)</f>
        <v>0</v>
      </c>
      <c r="AN123">
        <f>SUMIF(RawDataTotal!$B:$B,$A123,RawDataTotal!AQ:AQ)</f>
        <v>0</v>
      </c>
      <c r="AO123">
        <f>SUMIF(RawDataTotal!$B:$B,$A123,RawDataTotal!AR:AR)</f>
        <v>0</v>
      </c>
      <c r="AP123">
        <f>SUMIF(RawDataTotal!$B:$B,$A123,RawDataTotal!AS:AS)</f>
        <v>0</v>
      </c>
      <c r="AQ123">
        <f>SUMIF(RawDataTotal!$B:$B,$A123,RawDataTotal!AT:AT)</f>
        <v>0</v>
      </c>
      <c r="AR123">
        <f>SUMIF(RawDataTotal!$B:$B,$A123,RawDataTotal!AU:AU)</f>
        <v>0</v>
      </c>
      <c r="AS123">
        <f>SUMIF(RawDataTotal!$B:$B,$A123,RawDataTotal!AV:AV)</f>
        <v>0</v>
      </c>
      <c r="AT123">
        <f>SUMIF(RawDataTotal!$B:$B,$A123,RawDataTotal!AW:AW)</f>
        <v>0</v>
      </c>
      <c r="AU123">
        <f>SUMIF(RawDataTotal!$B:$B,$A123,RawDataTotal!AX:AX)</f>
        <v>0</v>
      </c>
      <c r="AV123">
        <f>SUMIF(RawDataTotal!$B:$B,$A123,RawDataTotal!AY:AY)</f>
        <v>0</v>
      </c>
      <c r="AW123">
        <f>SUMIF(RawDataTotal!$B:$B,$A123,RawDataTotal!AZ:AZ)</f>
        <v>0</v>
      </c>
      <c r="AX123">
        <f>SUMIF(RawDataTotal!$B:$B,$A123,RawDataTotal!BA:BA)</f>
        <v>1</v>
      </c>
      <c r="AY123">
        <f>SUMIF(RawDataTotal!$B:$B,$A123,RawDataTotal!BB:BB)</f>
        <v>1</v>
      </c>
      <c r="AZ123">
        <f>SUMIF(RawDataTotal!$B:$B,$A123,RawDataTotal!BC:BC)</f>
        <v>1</v>
      </c>
      <c r="BA123">
        <f>SUMIF(RawDataTotal!$B:$B,$A123,RawDataTotal!BD:BD)</f>
        <v>1</v>
      </c>
      <c r="BB123">
        <f>SUMIF(RawDataTotal!$B:$B,$A123,RawDataTotal!BE:BE)</f>
        <v>1</v>
      </c>
      <c r="BC123">
        <f>SUMIF(RawDataTotal!$B:$B,$A123,RawDataTotal!BF:BF)</f>
        <v>1</v>
      </c>
      <c r="BD123">
        <f>SUMIF(RawDataTotal!$B:$B,$A123,RawDataTotal!BG:BG)</f>
        <v>1</v>
      </c>
      <c r="BE123">
        <f>SUMIF(RawDataTotal!$B:$B,$A123,RawDataTotal!BH:BH)</f>
        <v>5</v>
      </c>
      <c r="BF123">
        <f>SUMIF(RawDataTotal!$B:$B,$A123,RawDataTotal!BI:BI)</f>
        <v>0</v>
      </c>
      <c r="BG123">
        <f>SUMIF(RawDataTotal!$B:$B,$A123,RawDataTotal!BJ:BJ)</f>
        <v>0</v>
      </c>
      <c r="BH123">
        <f>SUMIF(RawDataTotal!$B:$B,$A123,RawDataTotal!BK:BK)</f>
        <v>0</v>
      </c>
      <c r="BI123">
        <f>SUMIF(RawDataTotal!$B:$B,$A123,RawDataTotal!BL:BL)</f>
        <v>0</v>
      </c>
      <c r="BJ123">
        <f>SUMIF(RawDataTotal!$B:$B,$A123,RawDataTotal!BM:BM)</f>
        <v>0</v>
      </c>
      <c r="BK123">
        <f>SUMIF(RawDataTotal!$B:$B,$A123,RawDataTotal!BN:BN)</f>
        <v>0</v>
      </c>
      <c r="BL123">
        <f>SUMIF(RawDataTotal!$B:$B,$A123,RawDataTotal!BO:BO)</f>
        <v>0</v>
      </c>
      <c r="BM123">
        <f>SUMIF(RawDataTotal!$B:$B,$A123,RawDataTotal!BP:BP)</f>
        <v>0</v>
      </c>
      <c r="BN123">
        <f>SUMIF(RawDataTotal!$B:$B,$A123,RawDataTotal!BQ:BQ)</f>
        <v>0</v>
      </c>
      <c r="BO123">
        <f>SUMIF(RawDataTotal!$B:$B,$A123,RawDataTotal!BR:BR)</f>
        <v>0</v>
      </c>
      <c r="BP123">
        <f>SUMIF(RawDataTotal!$B:$B,$A123,RawDataTotal!BS:BS)</f>
        <v>0</v>
      </c>
      <c r="BQ123">
        <f>SUMIF(RawDataTotal!$B:$B,$A123,RawDataTotal!BT:BT)</f>
        <v>0</v>
      </c>
      <c r="BR123">
        <f>SUMIF(RawDataTotal!$B:$B,$A123,RawDataTotal!BU:BU)</f>
        <v>0</v>
      </c>
      <c r="BS123">
        <f>SUMIF(RawDataTotal!$B:$B,$A123,RawDataTotal!BV:BV)</f>
        <v>0</v>
      </c>
      <c r="BT123">
        <f>SUMIF(RawDataTotal!$B:$B,$A123,RawDataTotal!BW:BW)</f>
        <v>0</v>
      </c>
    </row>
    <row r="124" spans="1:72" ht="15" thickBot="1" x14ac:dyDescent="0.35">
      <c r="A124" s="4" t="s">
        <v>69</v>
      </c>
      <c r="B124">
        <f>SUMIF(RawDataTotal!$B:$B,$A124,RawDataTotal!E:E)</f>
        <v>0</v>
      </c>
      <c r="C124">
        <f>SUMIF(RawDataTotal!$B:$B,$A124,RawDataTotal!F:F)</f>
        <v>0</v>
      </c>
      <c r="D124">
        <f>SUMIF(RawDataTotal!$B:$B,$A124,RawDataTotal!G:G)</f>
        <v>0</v>
      </c>
      <c r="E124">
        <f>SUMIF(RawDataTotal!$B:$B,$A124,RawDataTotal!H:H)</f>
        <v>1</v>
      </c>
      <c r="F124">
        <f>SUMIF(RawDataTotal!$B:$B,$A124,RawDataTotal!I:I)</f>
        <v>1</v>
      </c>
      <c r="G124">
        <f>SUMIF(RawDataTotal!$B:$B,$A124,RawDataTotal!J:J)</f>
        <v>1</v>
      </c>
      <c r="H124">
        <f>SUMIF(RawDataTotal!$B:$B,$A124,RawDataTotal!K:K)</f>
        <v>1</v>
      </c>
      <c r="I124">
        <f>SUMIF(RawDataTotal!$B:$B,$A124,RawDataTotal!L:L)</f>
        <v>1</v>
      </c>
      <c r="J124">
        <f>SUMIF(RawDataTotal!$B:$B,$A124,RawDataTotal!M:M)</f>
        <v>1</v>
      </c>
      <c r="K124">
        <f>SUMIF(RawDataTotal!$B:$B,$A124,RawDataTotal!N:N)</f>
        <v>1</v>
      </c>
      <c r="L124">
        <f>SUMIF(RawDataTotal!$B:$B,$A124,RawDataTotal!O:O)</f>
        <v>1</v>
      </c>
      <c r="M124">
        <f>SUMIF(RawDataTotal!$B:$B,$A124,RawDataTotal!P:P)</f>
        <v>1</v>
      </c>
      <c r="N124">
        <f>SUMIF(RawDataTotal!$B:$B,$A124,RawDataTotal!Q:Q)</f>
        <v>1</v>
      </c>
      <c r="O124">
        <f>SUMIF(RawDataTotal!$B:$B,$A124,RawDataTotal!R:R)</f>
        <v>1</v>
      </c>
      <c r="P124">
        <f>SUMIF(RawDataTotal!$B:$B,$A124,RawDataTotal!S:S)</f>
        <v>1</v>
      </c>
      <c r="Q124">
        <f>SUMIF(RawDataTotal!$B:$B,$A124,RawDataTotal!T:T)</f>
        <v>1</v>
      </c>
      <c r="R124">
        <f>SUMIF(RawDataTotal!$B:$B,$A124,RawDataTotal!U:U)</f>
        <v>1</v>
      </c>
      <c r="S124">
        <f>SUMIF(RawDataTotal!$B:$B,$A124,RawDataTotal!V:V)</f>
        <v>1</v>
      </c>
      <c r="T124">
        <f>SUMIF(RawDataTotal!$B:$B,$A124,RawDataTotal!W:W)</f>
        <v>1</v>
      </c>
      <c r="U124">
        <f>SUMIF(RawDataTotal!$B:$B,$A124,RawDataTotal!X:X)</f>
        <v>1</v>
      </c>
      <c r="V124">
        <f>SUMIF(RawDataTotal!$B:$B,$A124,RawDataTotal!Y:Y)</f>
        <v>1</v>
      </c>
      <c r="W124">
        <f>SUMIF(RawDataTotal!$B:$B,$A124,RawDataTotal!Z:Z)</f>
        <v>1</v>
      </c>
      <c r="X124">
        <f>SUMIF(RawDataTotal!$B:$B,$A124,RawDataTotal!AA:AA)</f>
        <v>1</v>
      </c>
      <c r="Y124">
        <f>SUMIF(RawDataTotal!$B:$B,$A124,RawDataTotal!AB:AB)</f>
        <v>1</v>
      </c>
      <c r="Z124">
        <f>SUMIF(RawDataTotal!$B:$B,$A124,RawDataTotal!AC:AC)</f>
        <v>1</v>
      </c>
      <c r="AA124">
        <f>SUMIF(RawDataTotal!$B:$B,$A124,RawDataTotal!AD:AD)</f>
        <v>1</v>
      </c>
      <c r="AB124">
        <f>SUMIF(RawDataTotal!$B:$B,$A124,RawDataTotal!AE:AE)</f>
        <v>1</v>
      </c>
      <c r="AC124">
        <f>SUMIF(RawDataTotal!$B:$B,$A124,RawDataTotal!AF:AF)</f>
        <v>1</v>
      </c>
      <c r="AD124">
        <f>SUMIF(RawDataTotal!$B:$B,$A124,RawDataTotal!AG:AG)</f>
        <v>1</v>
      </c>
      <c r="AE124">
        <f>SUMIF(RawDataTotal!$B:$B,$A124,RawDataTotal!AH:AH)</f>
        <v>1</v>
      </c>
      <c r="AF124">
        <f>SUMIF(RawDataTotal!$B:$B,$A124,RawDataTotal!AI:AI)</f>
        <v>1</v>
      </c>
      <c r="AG124">
        <f>SUMIF(RawDataTotal!$B:$B,$A124,RawDataTotal!AJ:AJ)</f>
        <v>1</v>
      </c>
      <c r="AH124">
        <f>SUMIF(RawDataTotal!$B:$B,$A124,RawDataTotal!AK:AK)</f>
        <v>1</v>
      </c>
      <c r="AI124">
        <f>SUMIF(RawDataTotal!$B:$B,$A124,RawDataTotal!AL:AL)</f>
        <v>1</v>
      </c>
      <c r="AJ124">
        <f>SUMIF(RawDataTotal!$B:$B,$A124,RawDataTotal!AM:AM)</f>
        <v>1</v>
      </c>
      <c r="AK124">
        <f>SUMIF(RawDataTotal!$B:$B,$A124,RawDataTotal!AN:AN)</f>
        <v>1</v>
      </c>
      <c r="AL124">
        <f>SUMIF(RawDataTotal!$B:$B,$A124,RawDataTotal!AO:AO)</f>
        <v>1</v>
      </c>
      <c r="AM124">
        <f>SUMIF(RawDataTotal!$B:$B,$A124,RawDataTotal!AP:AP)</f>
        <v>1</v>
      </c>
      <c r="AN124">
        <f>SUMIF(RawDataTotal!$B:$B,$A124,RawDataTotal!AQ:AQ)</f>
        <v>1</v>
      </c>
      <c r="AO124">
        <f>SUMIF(RawDataTotal!$B:$B,$A124,RawDataTotal!AR:AR)</f>
        <v>1</v>
      </c>
      <c r="AP124">
        <f>SUMIF(RawDataTotal!$B:$B,$A124,RawDataTotal!AS:AS)</f>
        <v>1</v>
      </c>
      <c r="AQ124">
        <f>SUMIF(RawDataTotal!$B:$B,$A124,RawDataTotal!AT:AT)</f>
        <v>1</v>
      </c>
      <c r="AR124">
        <f>SUMIF(RawDataTotal!$B:$B,$A124,RawDataTotal!AU:AU)</f>
        <v>1</v>
      </c>
      <c r="AS124">
        <f>SUMIF(RawDataTotal!$B:$B,$A124,RawDataTotal!AV:AV)</f>
        <v>1</v>
      </c>
      <c r="AT124">
        <f>SUMIF(RawDataTotal!$B:$B,$A124,RawDataTotal!AW:AW)</f>
        <v>1</v>
      </c>
      <c r="AU124">
        <f>SUMIF(RawDataTotal!$B:$B,$A124,RawDataTotal!AX:AX)</f>
        <v>1</v>
      </c>
      <c r="AV124">
        <f>SUMIF(RawDataTotal!$B:$B,$A124,RawDataTotal!AY:AY)</f>
        <v>1</v>
      </c>
      <c r="AW124">
        <f>SUMIF(RawDataTotal!$B:$B,$A124,RawDataTotal!AZ:AZ)</f>
        <v>1</v>
      </c>
      <c r="AX124">
        <f>SUMIF(RawDataTotal!$B:$B,$A124,RawDataTotal!BA:BA)</f>
        <v>1</v>
      </c>
      <c r="AY124">
        <f>SUMIF(RawDataTotal!$B:$B,$A124,RawDataTotal!BB:BB)</f>
        <v>1</v>
      </c>
      <c r="AZ124">
        <f>SUMIF(RawDataTotal!$B:$B,$A124,RawDataTotal!BC:BC)</f>
        <v>1</v>
      </c>
      <c r="BA124">
        <f>SUMIF(RawDataTotal!$B:$B,$A124,RawDataTotal!BD:BD)</f>
        <v>1</v>
      </c>
      <c r="BB124">
        <f>SUMIF(RawDataTotal!$B:$B,$A124,RawDataTotal!BE:BE)</f>
        <v>1</v>
      </c>
      <c r="BC124">
        <f>SUMIF(RawDataTotal!$B:$B,$A124,RawDataTotal!BF:BF)</f>
        <v>1</v>
      </c>
      <c r="BD124">
        <f>SUMIF(RawDataTotal!$B:$B,$A124,RawDataTotal!BG:BG)</f>
        <v>1</v>
      </c>
      <c r="BE124">
        <f>SUMIF(RawDataTotal!$B:$B,$A124,RawDataTotal!BH:BH)</f>
        <v>1</v>
      </c>
      <c r="BF124">
        <f>SUMIF(RawDataTotal!$B:$B,$A124,RawDataTotal!BI:BI)</f>
        <v>0</v>
      </c>
      <c r="BG124">
        <f>SUMIF(RawDataTotal!$B:$B,$A124,RawDataTotal!BJ:BJ)</f>
        <v>0</v>
      </c>
      <c r="BH124">
        <f>SUMIF(RawDataTotal!$B:$B,$A124,RawDataTotal!BK:BK)</f>
        <v>0</v>
      </c>
      <c r="BI124">
        <f>SUMIF(RawDataTotal!$B:$B,$A124,RawDataTotal!BL:BL)</f>
        <v>0</v>
      </c>
      <c r="BJ124">
        <f>SUMIF(RawDataTotal!$B:$B,$A124,RawDataTotal!BM:BM)</f>
        <v>0</v>
      </c>
      <c r="BK124">
        <f>SUMIF(RawDataTotal!$B:$B,$A124,RawDataTotal!BN:BN)</f>
        <v>0</v>
      </c>
      <c r="BL124">
        <f>SUMIF(RawDataTotal!$B:$B,$A124,RawDataTotal!BO:BO)</f>
        <v>0</v>
      </c>
      <c r="BM124">
        <f>SUMIF(RawDataTotal!$B:$B,$A124,RawDataTotal!BP:BP)</f>
        <v>0</v>
      </c>
      <c r="BN124">
        <f>SUMIF(RawDataTotal!$B:$B,$A124,RawDataTotal!BQ:BQ)</f>
        <v>0</v>
      </c>
      <c r="BO124">
        <f>SUMIF(RawDataTotal!$B:$B,$A124,RawDataTotal!BR:BR)</f>
        <v>0</v>
      </c>
      <c r="BP124">
        <f>SUMIF(RawDataTotal!$B:$B,$A124,RawDataTotal!BS:BS)</f>
        <v>0</v>
      </c>
      <c r="BQ124">
        <f>SUMIF(RawDataTotal!$B:$B,$A124,RawDataTotal!BT:BT)</f>
        <v>0</v>
      </c>
      <c r="BR124">
        <f>SUMIF(RawDataTotal!$B:$B,$A124,RawDataTotal!BU:BU)</f>
        <v>0</v>
      </c>
      <c r="BS124">
        <f>SUMIF(RawDataTotal!$B:$B,$A124,RawDataTotal!BV:BV)</f>
        <v>0</v>
      </c>
      <c r="BT124">
        <f>SUMIF(RawDataTotal!$B:$B,$A124,RawDataTotal!BW:BW)</f>
        <v>0</v>
      </c>
    </row>
    <row r="125" spans="1:72" ht="15" thickBot="1" x14ac:dyDescent="0.35">
      <c r="A125" s="3" t="s">
        <v>448</v>
      </c>
      <c r="B125">
        <f>SUMIF(RawDataTotal!$B:$B,$A125,RawDataTotal!E:E)</f>
        <v>0</v>
      </c>
      <c r="C125">
        <f>SUMIF(RawDataTotal!$B:$B,$A125,RawDataTotal!F:F)</f>
        <v>0</v>
      </c>
      <c r="D125">
        <f>SUMIF(RawDataTotal!$B:$B,$A125,RawDataTotal!G:G)</f>
        <v>0</v>
      </c>
      <c r="E125">
        <f>SUMIF(RawDataTotal!$B:$B,$A125,RawDataTotal!H:H)</f>
        <v>0</v>
      </c>
      <c r="F125">
        <f>SUMIF(RawDataTotal!$B:$B,$A125,RawDataTotal!I:I)</f>
        <v>0</v>
      </c>
      <c r="G125">
        <f>SUMIF(RawDataTotal!$B:$B,$A125,RawDataTotal!J:J)</f>
        <v>0</v>
      </c>
      <c r="H125">
        <f>SUMIF(RawDataTotal!$B:$B,$A125,RawDataTotal!K:K)</f>
        <v>0</v>
      </c>
      <c r="I125">
        <f>SUMIF(RawDataTotal!$B:$B,$A125,RawDataTotal!L:L)</f>
        <v>0</v>
      </c>
      <c r="J125">
        <f>SUMIF(RawDataTotal!$B:$B,$A125,RawDataTotal!M:M)</f>
        <v>0</v>
      </c>
      <c r="K125">
        <f>SUMIF(RawDataTotal!$B:$B,$A125,RawDataTotal!N:N)</f>
        <v>0</v>
      </c>
      <c r="L125">
        <f>SUMIF(RawDataTotal!$B:$B,$A125,RawDataTotal!O:O)</f>
        <v>0</v>
      </c>
      <c r="M125">
        <f>SUMIF(RawDataTotal!$B:$B,$A125,RawDataTotal!P:P)</f>
        <v>0</v>
      </c>
      <c r="N125">
        <f>SUMIF(RawDataTotal!$B:$B,$A125,RawDataTotal!Q:Q)</f>
        <v>0</v>
      </c>
      <c r="O125">
        <f>SUMIF(RawDataTotal!$B:$B,$A125,RawDataTotal!R:R)</f>
        <v>0</v>
      </c>
      <c r="P125">
        <f>SUMIF(RawDataTotal!$B:$B,$A125,RawDataTotal!S:S)</f>
        <v>0</v>
      </c>
      <c r="Q125">
        <f>SUMIF(RawDataTotal!$B:$B,$A125,RawDataTotal!T:T)</f>
        <v>0</v>
      </c>
      <c r="R125">
        <f>SUMIF(RawDataTotal!$B:$B,$A125,RawDataTotal!U:U)</f>
        <v>0</v>
      </c>
      <c r="S125">
        <f>SUMIF(RawDataTotal!$B:$B,$A125,RawDataTotal!V:V)</f>
        <v>0</v>
      </c>
      <c r="T125">
        <f>SUMIF(RawDataTotal!$B:$B,$A125,RawDataTotal!W:W)</f>
        <v>0</v>
      </c>
      <c r="U125">
        <f>SUMIF(RawDataTotal!$B:$B,$A125,RawDataTotal!X:X)</f>
        <v>0</v>
      </c>
      <c r="V125">
        <f>SUMIF(RawDataTotal!$B:$B,$A125,RawDataTotal!Y:Y)</f>
        <v>0</v>
      </c>
      <c r="W125">
        <f>SUMIF(RawDataTotal!$B:$B,$A125,RawDataTotal!Z:Z)</f>
        <v>0</v>
      </c>
      <c r="X125">
        <f>SUMIF(RawDataTotal!$B:$B,$A125,RawDataTotal!AA:AA)</f>
        <v>0</v>
      </c>
      <c r="Y125">
        <f>SUMIF(RawDataTotal!$B:$B,$A125,RawDataTotal!AB:AB)</f>
        <v>0</v>
      </c>
      <c r="Z125">
        <f>SUMIF(RawDataTotal!$B:$B,$A125,RawDataTotal!AC:AC)</f>
        <v>0</v>
      </c>
      <c r="AA125">
        <f>SUMIF(RawDataTotal!$B:$B,$A125,RawDataTotal!AD:AD)</f>
        <v>0</v>
      </c>
      <c r="AB125">
        <f>SUMIF(RawDataTotal!$B:$B,$A125,RawDataTotal!AE:AE)</f>
        <v>0</v>
      </c>
      <c r="AC125">
        <f>SUMIF(RawDataTotal!$B:$B,$A125,RawDataTotal!AF:AF)</f>
        <v>0</v>
      </c>
      <c r="AD125">
        <f>SUMIF(RawDataTotal!$B:$B,$A125,RawDataTotal!AG:AG)</f>
        <v>0</v>
      </c>
      <c r="AE125">
        <f>SUMIF(RawDataTotal!$B:$B,$A125,RawDataTotal!AH:AH)</f>
        <v>0</v>
      </c>
      <c r="AF125">
        <f>SUMIF(RawDataTotal!$B:$B,$A125,RawDataTotal!AI:AI)</f>
        <v>0</v>
      </c>
      <c r="AG125">
        <f>SUMIF(RawDataTotal!$B:$B,$A125,RawDataTotal!AJ:AJ)</f>
        <v>0</v>
      </c>
      <c r="AH125">
        <f>SUMIF(RawDataTotal!$B:$B,$A125,RawDataTotal!AK:AK)</f>
        <v>0</v>
      </c>
      <c r="AI125">
        <f>SUMIF(RawDataTotal!$B:$B,$A125,RawDataTotal!AL:AL)</f>
        <v>0</v>
      </c>
      <c r="AJ125">
        <f>SUMIF(RawDataTotal!$B:$B,$A125,RawDataTotal!AM:AM)</f>
        <v>0</v>
      </c>
      <c r="AK125">
        <f>SUMIF(RawDataTotal!$B:$B,$A125,RawDataTotal!AN:AN)</f>
        <v>0</v>
      </c>
      <c r="AL125">
        <f>SUMIF(RawDataTotal!$B:$B,$A125,RawDataTotal!AO:AO)</f>
        <v>0</v>
      </c>
      <c r="AM125">
        <f>SUMIF(RawDataTotal!$B:$B,$A125,RawDataTotal!AP:AP)</f>
        <v>0</v>
      </c>
      <c r="AN125">
        <f>SUMIF(RawDataTotal!$B:$B,$A125,RawDataTotal!AQ:AQ)</f>
        <v>0</v>
      </c>
      <c r="AO125">
        <f>SUMIF(RawDataTotal!$B:$B,$A125,RawDataTotal!AR:AR)</f>
        <v>0</v>
      </c>
      <c r="AP125">
        <f>SUMIF(RawDataTotal!$B:$B,$A125,RawDataTotal!AS:AS)</f>
        <v>0</v>
      </c>
      <c r="AQ125">
        <f>SUMIF(RawDataTotal!$B:$B,$A125,RawDataTotal!AT:AT)</f>
        <v>0</v>
      </c>
      <c r="AR125">
        <f>SUMIF(RawDataTotal!$B:$B,$A125,RawDataTotal!AU:AU)</f>
        <v>0</v>
      </c>
      <c r="AS125">
        <f>SUMIF(RawDataTotal!$B:$B,$A125,RawDataTotal!AV:AV)</f>
        <v>0</v>
      </c>
      <c r="AT125">
        <f>SUMIF(RawDataTotal!$B:$B,$A125,RawDataTotal!AW:AW)</f>
        <v>0</v>
      </c>
      <c r="AU125">
        <f>SUMIF(RawDataTotal!$B:$B,$A125,RawDataTotal!AX:AX)</f>
        <v>0</v>
      </c>
      <c r="AV125">
        <f>SUMIF(RawDataTotal!$B:$B,$A125,RawDataTotal!AY:AY)</f>
        <v>0</v>
      </c>
      <c r="AW125">
        <f>SUMIF(RawDataTotal!$B:$B,$A125,RawDataTotal!AZ:AZ)</f>
        <v>0</v>
      </c>
      <c r="AX125">
        <f>SUMIF(RawDataTotal!$B:$B,$A125,RawDataTotal!BA:BA)</f>
        <v>0</v>
      </c>
      <c r="AY125">
        <f>SUMIF(RawDataTotal!$B:$B,$A125,RawDataTotal!BB:BB)</f>
        <v>0</v>
      </c>
      <c r="AZ125">
        <f>SUMIF(RawDataTotal!$B:$B,$A125,RawDataTotal!BC:BC)</f>
        <v>0</v>
      </c>
      <c r="BA125">
        <f>SUMIF(RawDataTotal!$B:$B,$A125,RawDataTotal!BD:BD)</f>
        <v>1</v>
      </c>
      <c r="BB125">
        <f>SUMIF(RawDataTotal!$B:$B,$A125,RawDataTotal!BE:BE)</f>
        <v>1</v>
      </c>
      <c r="BC125">
        <f>SUMIF(RawDataTotal!$B:$B,$A125,RawDataTotal!BF:BF)</f>
        <v>1</v>
      </c>
      <c r="BD125">
        <f>SUMIF(RawDataTotal!$B:$B,$A125,RawDataTotal!BG:BG)</f>
        <v>1</v>
      </c>
      <c r="BE125">
        <f>SUMIF(RawDataTotal!$B:$B,$A125,RawDataTotal!BH:BH)</f>
        <v>1</v>
      </c>
      <c r="BF125">
        <f>SUMIF(RawDataTotal!$B:$B,$A125,RawDataTotal!BI:BI)</f>
        <v>0</v>
      </c>
      <c r="BG125">
        <f>SUMIF(RawDataTotal!$B:$B,$A125,RawDataTotal!BJ:BJ)</f>
        <v>0</v>
      </c>
      <c r="BH125">
        <f>SUMIF(RawDataTotal!$B:$B,$A125,RawDataTotal!BK:BK)</f>
        <v>0</v>
      </c>
      <c r="BI125">
        <f>SUMIF(RawDataTotal!$B:$B,$A125,RawDataTotal!BL:BL)</f>
        <v>0</v>
      </c>
      <c r="BJ125">
        <f>SUMIF(RawDataTotal!$B:$B,$A125,RawDataTotal!BM:BM)</f>
        <v>0</v>
      </c>
      <c r="BK125">
        <f>SUMIF(RawDataTotal!$B:$B,$A125,RawDataTotal!BN:BN)</f>
        <v>0</v>
      </c>
      <c r="BL125">
        <f>SUMIF(RawDataTotal!$B:$B,$A125,RawDataTotal!BO:BO)</f>
        <v>0</v>
      </c>
      <c r="BM125">
        <f>SUMIF(RawDataTotal!$B:$B,$A125,RawDataTotal!BP:BP)</f>
        <v>0</v>
      </c>
      <c r="BN125">
        <f>SUMIF(RawDataTotal!$B:$B,$A125,RawDataTotal!BQ:BQ)</f>
        <v>0</v>
      </c>
      <c r="BO125">
        <f>SUMIF(RawDataTotal!$B:$B,$A125,RawDataTotal!BR:BR)</f>
        <v>0</v>
      </c>
      <c r="BP125">
        <f>SUMIF(RawDataTotal!$B:$B,$A125,RawDataTotal!BS:BS)</f>
        <v>0</v>
      </c>
      <c r="BQ125">
        <f>SUMIF(RawDataTotal!$B:$B,$A125,RawDataTotal!BT:BT)</f>
        <v>0</v>
      </c>
      <c r="BR125">
        <f>SUMIF(RawDataTotal!$B:$B,$A125,RawDataTotal!BU:BU)</f>
        <v>0</v>
      </c>
      <c r="BS125">
        <f>SUMIF(RawDataTotal!$B:$B,$A125,RawDataTotal!BV:BV)</f>
        <v>0</v>
      </c>
      <c r="BT125">
        <f>SUMIF(RawDataTotal!$B:$B,$A125,RawDataTotal!BW:BW)</f>
        <v>0</v>
      </c>
    </row>
    <row r="126" spans="1:72" ht="15" thickBot="1" x14ac:dyDescent="0.35">
      <c r="A126" s="3" t="s">
        <v>190</v>
      </c>
      <c r="B126">
        <f>SUMIF(RawDataTotal!$B:$B,$A126,RawDataTotal!E:E)</f>
        <v>0</v>
      </c>
      <c r="C126">
        <f>SUMIF(RawDataTotal!$B:$B,$A126,RawDataTotal!F:F)</f>
        <v>0</v>
      </c>
      <c r="D126">
        <f>SUMIF(RawDataTotal!$B:$B,$A126,RawDataTotal!G:G)</f>
        <v>0</v>
      </c>
      <c r="E126">
        <f>SUMIF(RawDataTotal!$B:$B,$A126,RawDataTotal!H:H)</f>
        <v>0</v>
      </c>
      <c r="F126">
        <f>SUMIF(RawDataTotal!$B:$B,$A126,RawDataTotal!I:I)</f>
        <v>0</v>
      </c>
      <c r="G126">
        <f>SUMIF(RawDataTotal!$B:$B,$A126,RawDataTotal!J:J)</f>
        <v>0</v>
      </c>
      <c r="H126">
        <f>SUMIF(RawDataTotal!$B:$B,$A126,RawDataTotal!K:K)</f>
        <v>0</v>
      </c>
      <c r="I126">
        <f>SUMIF(RawDataTotal!$B:$B,$A126,RawDataTotal!L:L)</f>
        <v>0</v>
      </c>
      <c r="J126">
        <f>SUMIF(RawDataTotal!$B:$B,$A126,RawDataTotal!M:M)</f>
        <v>0</v>
      </c>
      <c r="K126">
        <f>SUMIF(RawDataTotal!$B:$B,$A126,RawDataTotal!N:N)</f>
        <v>0</v>
      </c>
      <c r="L126">
        <f>SUMIF(RawDataTotal!$B:$B,$A126,RawDataTotal!O:O)</f>
        <v>0</v>
      </c>
      <c r="M126">
        <f>SUMIF(RawDataTotal!$B:$B,$A126,RawDataTotal!P:P)</f>
        <v>0</v>
      </c>
      <c r="N126">
        <f>SUMIF(RawDataTotal!$B:$B,$A126,RawDataTotal!Q:Q)</f>
        <v>0</v>
      </c>
      <c r="O126">
        <f>SUMIF(RawDataTotal!$B:$B,$A126,RawDataTotal!R:R)</f>
        <v>0</v>
      </c>
      <c r="P126">
        <f>SUMIF(RawDataTotal!$B:$B,$A126,RawDataTotal!S:S)</f>
        <v>0</v>
      </c>
      <c r="Q126">
        <f>SUMIF(RawDataTotal!$B:$B,$A126,RawDataTotal!T:T)</f>
        <v>0</v>
      </c>
      <c r="R126">
        <f>SUMIF(RawDataTotal!$B:$B,$A126,RawDataTotal!U:U)</f>
        <v>0</v>
      </c>
      <c r="S126">
        <f>SUMIF(RawDataTotal!$B:$B,$A126,RawDataTotal!V:V)</f>
        <v>0</v>
      </c>
      <c r="T126">
        <f>SUMIF(RawDataTotal!$B:$B,$A126,RawDataTotal!W:W)</f>
        <v>0</v>
      </c>
      <c r="U126">
        <f>SUMIF(RawDataTotal!$B:$B,$A126,RawDataTotal!X:X)</f>
        <v>0</v>
      </c>
      <c r="V126">
        <f>SUMIF(RawDataTotal!$B:$B,$A126,RawDataTotal!Y:Y)</f>
        <v>0</v>
      </c>
      <c r="W126">
        <f>SUMIF(RawDataTotal!$B:$B,$A126,RawDataTotal!Z:Z)</f>
        <v>0</v>
      </c>
      <c r="X126">
        <f>SUMIF(RawDataTotal!$B:$B,$A126,RawDataTotal!AA:AA)</f>
        <v>0</v>
      </c>
      <c r="Y126">
        <f>SUMIF(RawDataTotal!$B:$B,$A126,RawDataTotal!AB:AB)</f>
        <v>0</v>
      </c>
      <c r="Z126">
        <f>SUMIF(RawDataTotal!$B:$B,$A126,RawDataTotal!AC:AC)</f>
        <v>0</v>
      </c>
      <c r="AA126">
        <f>SUMIF(RawDataTotal!$B:$B,$A126,RawDataTotal!AD:AD)</f>
        <v>0</v>
      </c>
      <c r="AB126">
        <f>SUMIF(RawDataTotal!$B:$B,$A126,RawDataTotal!AE:AE)</f>
        <v>0</v>
      </c>
      <c r="AC126">
        <f>SUMIF(RawDataTotal!$B:$B,$A126,RawDataTotal!AF:AF)</f>
        <v>0</v>
      </c>
      <c r="AD126">
        <f>SUMIF(RawDataTotal!$B:$B,$A126,RawDataTotal!AG:AG)</f>
        <v>0</v>
      </c>
      <c r="AE126">
        <f>SUMIF(RawDataTotal!$B:$B,$A126,RawDataTotal!AH:AH)</f>
        <v>0</v>
      </c>
      <c r="AF126">
        <f>SUMIF(RawDataTotal!$B:$B,$A126,RawDataTotal!AI:AI)</f>
        <v>0</v>
      </c>
      <c r="AG126">
        <f>SUMIF(RawDataTotal!$B:$B,$A126,RawDataTotal!AJ:AJ)</f>
        <v>0</v>
      </c>
      <c r="AH126">
        <f>SUMIF(RawDataTotal!$B:$B,$A126,RawDataTotal!AK:AK)</f>
        <v>0</v>
      </c>
      <c r="AI126">
        <f>SUMIF(RawDataTotal!$B:$B,$A126,RawDataTotal!AL:AL)</f>
        <v>0</v>
      </c>
      <c r="AJ126">
        <f>SUMIF(RawDataTotal!$B:$B,$A126,RawDataTotal!AM:AM)</f>
        <v>0</v>
      </c>
      <c r="AK126">
        <f>SUMIF(RawDataTotal!$B:$B,$A126,RawDataTotal!AN:AN)</f>
        <v>0</v>
      </c>
      <c r="AL126">
        <f>SUMIF(RawDataTotal!$B:$B,$A126,RawDataTotal!AO:AO)</f>
        <v>0</v>
      </c>
      <c r="AM126">
        <f>SUMIF(RawDataTotal!$B:$B,$A126,RawDataTotal!AP:AP)</f>
        <v>0</v>
      </c>
      <c r="AN126">
        <f>SUMIF(RawDataTotal!$B:$B,$A126,RawDataTotal!AQ:AQ)</f>
        <v>0</v>
      </c>
      <c r="AO126">
        <f>SUMIF(RawDataTotal!$B:$B,$A126,RawDataTotal!AR:AR)</f>
        <v>0</v>
      </c>
      <c r="AP126">
        <f>SUMIF(RawDataTotal!$B:$B,$A126,RawDataTotal!AS:AS)</f>
        <v>0</v>
      </c>
      <c r="AQ126">
        <f>SUMIF(RawDataTotal!$B:$B,$A126,RawDataTotal!AT:AT)</f>
        <v>0</v>
      </c>
      <c r="AR126">
        <f>SUMIF(RawDataTotal!$B:$B,$A126,RawDataTotal!AU:AU)</f>
        <v>0</v>
      </c>
      <c r="AS126">
        <f>SUMIF(RawDataTotal!$B:$B,$A126,RawDataTotal!AV:AV)</f>
        <v>0</v>
      </c>
      <c r="AT126">
        <f>SUMIF(RawDataTotal!$B:$B,$A126,RawDataTotal!AW:AW)</f>
        <v>1</v>
      </c>
      <c r="AU126">
        <f>SUMIF(RawDataTotal!$B:$B,$A126,RawDataTotal!AX:AX)</f>
        <v>1</v>
      </c>
      <c r="AV126">
        <f>SUMIF(RawDataTotal!$B:$B,$A126,RawDataTotal!AY:AY)</f>
        <v>1</v>
      </c>
      <c r="AW126">
        <f>SUMIF(RawDataTotal!$B:$B,$A126,RawDataTotal!AZ:AZ)</f>
        <v>1</v>
      </c>
      <c r="AX126">
        <f>SUMIF(RawDataTotal!$B:$B,$A126,RawDataTotal!BA:BA)</f>
        <v>1</v>
      </c>
      <c r="AY126">
        <f>SUMIF(RawDataTotal!$B:$B,$A126,RawDataTotal!BB:BB)</f>
        <v>1</v>
      </c>
      <c r="AZ126">
        <f>SUMIF(RawDataTotal!$B:$B,$A126,RawDataTotal!BC:BC)</f>
        <v>1</v>
      </c>
      <c r="BA126">
        <f>SUMIF(RawDataTotal!$B:$B,$A126,RawDataTotal!BD:BD)</f>
        <v>1</v>
      </c>
      <c r="BB126">
        <f>SUMIF(RawDataTotal!$B:$B,$A126,RawDataTotal!BE:BE)</f>
        <v>1</v>
      </c>
      <c r="BC126">
        <f>SUMIF(RawDataTotal!$B:$B,$A126,RawDataTotal!BF:BF)</f>
        <v>1</v>
      </c>
      <c r="BD126">
        <f>SUMIF(RawDataTotal!$B:$B,$A126,RawDataTotal!BG:BG)</f>
        <v>1</v>
      </c>
      <c r="BE126">
        <f>SUMIF(RawDataTotal!$B:$B,$A126,RawDataTotal!BH:BH)</f>
        <v>1</v>
      </c>
      <c r="BF126">
        <f>SUMIF(RawDataTotal!$B:$B,$A126,RawDataTotal!BI:BI)</f>
        <v>0</v>
      </c>
      <c r="BG126">
        <f>SUMIF(RawDataTotal!$B:$B,$A126,RawDataTotal!BJ:BJ)</f>
        <v>0</v>
      </c>
      <c r="BH126">
        <f>SUMIF(RawDataTotal!$B:$B,$A126,RawDataTotal!BK:BK)</f>
        <v>0</v>
      </c>
      <c r="BI126">
        <f>SUMIF(RawDataTotal!$B:$B,$A126,RawDataTotal!BL:BL)</f>
        <v>0</v>
      </c>
      <c r="BJ126">
        <f>SUMIF(RawDataTotal!$B:$B,$A126,RawDataTotal!BM:BM)</f>
        <v>0</v>
      </c>
      <c r="BK126">
        <f>SUMIF(RawDataTotal!$B:$B,$A126,RawDataTotal!BN:BN)</f>
        <v>0</v>
      </c>
      <c r="BL126">
        <f>SUMIF(RawDataTotal!$B:$B,$A126,RawDataTotal!BO:BO)</f>
        <v>0</v>
      </c>
      <c r="BM126">
        <f>SUMIF(RawDataTotal!$B:$B,$A126,RawDataTotal!BP:BP)</f>
        <v>0</v>
      </c>
      <c r="BN126">
        <f>SUMIF(RawDataTotal!$B:$B,$A126,RawDataTotal!BQ:BQ)</f>
        <v>0</v>
      </c>
      <c r="BO126">
        <f>SUMIF(RawDataTotal!$B:$B,$A126,RawDataTotal!BR:BR)</f>
        <v>0</v>
      </c>
      <c r="BP126">
        <f>SUMIF(RawDataTotal!$B:$B,$A126,RawDataTotal!BS:BS)</f>
        <v>0</v>
      </c>
      <c r="BQ126">
        <f>SUMIF(RawDataTotal!$B:$B,$A126,RawDataTotal!BT:BT)</f>
        <v>0</v>
      </c>
      <c r="BR126">
        <f>SUMIF(RawDataTotal!$B:$B,$A126,RawDataTotal!BU:BU)</f>
        <v>0</v>
      </c>
      <c r="BS126">
        <f>SUMIF(RawDataTotal!$B:$B,$A126,RawDataTotal!BV:BV)</f>
        <v>0</v>
      </c>
      <c r="BT126">
        <f>SUMIF(RawDataTotal!$B:$B,$A126,RawDataTotal!BW:BW)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dimension ref="A1:BT126"/>
  <sheetViews>
    <sheetView topLeftCell="AX1" workbookViewId="0">
      <selection activeCell="BE4" sqref="BE4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365</v>
      </c>
      <c r="B2">
        <f>SUMIF(RawDataRecovered!$B:$B,$A2,RawDataRecovered!E:E)</f>
        <v>28</v>
      </c>
      <c r="C2">
        <f>SUMIF(RawDataRecovered!$B:$B,$A2,RawDataRecovered!F:F)</f>
        <v>30</v>
      </c>
      <c r="D2">
        <f>SUMIF(RawDataRecovered!$B:$B,$A2,RawDataRecovered!G:G)</f>
        <v>36</v>
      </c>
      <c r="E2">
        <f>SUMIF(RawDataRecovered!$B:$B,$A2,RawDataRecovered!H:H)</f>
        <v>39</v>
      </c>
      <c r="F2">
        <f>SUMIF(RawDataRecovered!$B:$B,$A2,RawDataRecovered!I:I)</f>
        <v>49</v>
      </c>
      <c r="G2">
        <f>SUMIF(RawDataRecovered!$B:$B,$A2,RawDataRecovered!J:J)</f>
        <v>58</v>
      </c>
      <c r="H2">
        <f>SUMIF(RawDataRecovered!$B:$B,$A2,RawDataRecovered!K:K)</f>
        <v>101</v>
      </c>
      <c r="I2">
        <f>SUMIF(RawDataRecovered!$B:$B,$A2,RawDataRecovered!L:L)</f>
        <v>120</v>
      </c>
      <c r="J2">
        <f>SUMIF(RawDataRecovered!$B:$B,$A2,RawDataRecovered!M:M)</f>
        <v>135</v>
      </c>
      <c r="K2">
        <f>SUMIF(RawDataRecovered!$B:$B,$A2,RawDataRecovered!N:N)</f>
        <v>214</v>
      </c>
      <c r="L2">
        <f>SUMIF(RawDataRecovered!$B:$B,$A2,RawDataRecovered!O:O)</f>
        <v>275</v>
      </c>
      <c r="M2">
        <f>SUMIF(RawDataRecovered!$B:$B,$A2,RawDataRecovered!P:P)</f>
        <v>463</v>
      </c>
      <c r="N2">
        <f>SUMIF(RawDataRecovered!$B:$B,$A2,RawDataRecovered!Q:Q)</f>
        <v>614</v>
      </c>
      <c r="O2">
        <f>SUMIF(RawDataRecovered!$B:$B,$A2,RawDataRecovered!R:R)</f>
        <v>843</v>
      </c>
      <c r="P2">
        <f>SUMIF(RawDataRecovered!$B:$B,$A2,RawDataRecovered!S:S)</f>
        <v>1115</v>
      </c>
      <c r="Q2">
        <f>SUMIF(RawDataRecovered!$B:$B,$A2,RawDataRecovered!T:T)</f>
        <v>1477</v>
      </c>
      <c r="R2">
        <f>SUMIF(RawDataRecovered!$B:$B,$A2,RawDataRecovered!U:U)</f>
        <v>1999</v>
      </c>
      <c r="S2">
        <f>SUMIF(RawDataRecovered!$B:$B,$A2,RawDataRecovered!V:V)</f>
        <v>2596</v>
      </c>
      <c r="T2">
        <f>SUMIF(RawDataRecovered!$B:$B,$A2,RawDataRecovered!W:W)</f>
        <v>3219</v>
      </c>
      <c r="U2">
        <f>SUMIF(RawDataRecovered!$B:$B,$A2,RawDataRecovered!X:X)</f>
        <v>3918</v>
      </c>
      <c r="V2">
        <f>SUMIF(RawDataRecovered!$B:$B,$A2,RawDataRecovered!Y:Y)</f>
        <v>4636</v>
      </c>
      <c r="W2">
        <f>SUMIF(RawDataRecovered!$B:$B,$A2,RawDataRecovered!Z:Z)</f>
        <v>5082</v>
      </c>
      <c r="X2">
        <f>SUMIF(RawDataRecovered!$B:$B,$A2,RawDataRecovered!AA:AA)</f>
        <v>6217</v>
      </c>
      <c r="Y2">
        <f>SUMIF(RawDataRecovered!$B:$B,$A2,RawDataRecovered!AB:AB)</f>
        <v>7977</v>
      </c>
      <c r="Z2">
        <f>SUMIF(RawDataRecovered!$B:$B,$A2,RawDataRecovered!AC:AC)</f>
        <v>9298</v>
      </c>
      <c r="AA2">
        <f>SUMIF(RawDataRecovered!$B:$B,$A2,RawDataRecovered!AD:AD)</f>
        <v>10755</v>
      </c>
      <c r="AB2">
        <f>SUMIF(RawDataRecovered!$B:$B,$A2,RawDataRecovered!AE:AE)</f>
        <v>12462</v>
      </c>
      <c r="AC2">
        <f>SUMIF(RawDataRecovered!$B:$B,$A2,RawDataRecovered!AF:AF)</f>
        <v>14206</v>
      </c>
      <c r="AD2">
        <f>SUMIF(RawDataRecovered!$B:$B,$A2,RawDataRecovered!AG:AG)</f>
        <v>15962</v>
      </c>
      <c r="AE2">
        <f>SUMIF(RawDataRecovered!$B:$B,$A2,RawDataRecovered!AH:AH)</f>
        <v>18014</v>
      </c>
      <c r="AF2">
        <f>SUMIF(RawDataRecovered!$B:$B,$A2,RawDataRecovered!AI:AI)</f>
        <v>18704</v>
      </c>
      <c r="AG2">
        <f>SUMIF(RawDataRecovered!$B:$B,$A2,RawDataRecovered!AJ:AJ)</f>
        <v>22699</v>
      </c>
      <c r="AH2">
        <f>SUMIF(RawDataRecovered!$B:$B,$A2,RawDataRecovered!AK:AK)</f>
        <v>23187</v>
      </c>
      <c r="AI2">
        <f>SUMIF(RawDataRecovered!$B:$B,$A2,RawDataRecovered!AL:AL)</f>
        <v>25015</v>
      </c>
      <c r="AJ2">
        <f>SUMIF(RawDataRecovered!$B:$B,$A2,RawDataRecovered!AM:AM)</f>
        <v>27676</v>
      </c>
      <c r="AK2">
        <f>SUMIF(RawDataRecovered!$B:$B,$A2,RawDataRecovered!AN:AN)</f>
        <v>30084</v>
      </c>
      <c r="AL2">
        <f>SUMIF(RawDataRecovered!$B:$B,$A2,RawDataRecovered!AO:AO)</f>
        <v>32930</v>
      </c>
      <c r="AM2">
        <f>SUMIF(RawDataRecovered!$B:$B,$A2,RawDataRecovered!AP:AP)</f>
        <v>36329</v>
      </c>
      <c r="AN2">
        <f>SUMIF(RawDataRecovered!$B:$B,$A2,RawDataRecovered!AQ:AQ)</f>
        <v>39320</v>
      </c>
      <c r="AO2">
        <f>SUMIF(RawDataRecovered!$B:$B,$A2,RawDataRecovered!AR:AR)</f>
        <v>42162</v>
      </c>
      <c r="AP2">
        <f>SUMIF(RawDataRecovered!$B:$B,$A2,RawDataRecovered!AS:AS)</f>
        <v>44854</v>
      </c>
      <c r="AQ2">
        <f>SUMIF(RawDataRecovered!$B:$B,$A2,RawDataRecovered!AT:AT)</f>
        <v>47450</v>
      </c>
      <c r="AR2">
        <f>SUMIF(RawDataRecovered!$B:$B,$A2,RawDataRecovered!AU:AU)</f>
        <v>50001</v>
      </c>
      <c r="AS2">
        <f>SUMIF(RawDataRecovered!$B:$B,$A2,RawDataRecovered!AV:AV)</f>
        <v>52292</v>
      </c>
      <c r="AT2">
        <f>SUMIF(RawDataRecovered!$B:$B,$A2,RawDataRecovered!AW:AW)</f>
        <v>53944</v>
      </c>
      <c r="AU2">
        <f>SUMIF(RawDataRecovered!$B:$B,$A2,RawDataRecovered!AX:AX)</f>
        <v>55539</v>
      </c>
      <c r="AV2">
        <f>SUMIF(RawDataRecovered!$B:$B,$A2,RawDataRecovered!AY:AY)</f>
        <v>57388</v>
      </c>
      <c r="AW2">
        <f>SUMIF(RawDataRecovered!$B:$B,$A2,RawDataRecovered!AZ:AZ)</f>
        <v>58804</v>
      </c>
      <c r="AX2">
        <f>SUMIF(RawDataRecovered!$B:$B,$A2,RawDataRecovered!BA:BA)</f>
        <v>60181</v>
      </c>
      <c r="AY2">
        <f>SUMIF(RawDataRecovered!$B:$B,$A2,RawDataRecovered!BB:BB)</f>
        <v>61644</v>
      </c>
      <c r="AZ2">
        <f>SUMIF(RawDataRecovered!$B:$B,$A2,RawDataRecovered!BC:BC)</f>
        <v>62901</v>
      </c>
      <c r="BA2">
        <f>SUMIF(RawDataRecovered!$B:$B,$A2,RawDataRecovered!BD:BD)</f>
        <v>64196</v>
      </c>
      <c r="BB2">
        <f>SUMIF(RawDataRecovered!$B:$B,$A2,RawDataRecovered!BE:BE)</f>
        <v>65660</v>
      </c>
      <c r="BC2">
        <f>SUMIF(RawDataRecovered!$B:$B,$A2,RawDataRecovered!BF:BF)</f>
        <v>67017</v>
      </c>
      <c r="BD2">
        <f>SUMIF(RawDataRecovered!$B:$B,$A2,RawDataRecovered!BG:BG)</f>
        <v>67910</v>
      </c>
      <c r="BE2">
        <f>SUMIF(RawDataRecovered!$B:$B,$A2,RawDataRecovered!BH:BH)</f>
        <v>68798</v>
      </c>
      <c r="BF2">
        <f>SUMIF(RawDataRecovered!$B:$B,$A2,RawDataRecovered!BI:BI)</f>
        <v>0</v>
      </c>
      <c r="BG2">
        <f>SUMIF(RawDataRecovered!$B:$B,$A2,RawDataRecovered!BJ:BJ)</f>
        <v>0</v>
      </c>
      <c r="BH2">
        <f>SUMIF(RawDataRecovered!$B:$B,$A2,RawDataRecovered!BK:BK)</f>
        <v>0</v>
      </c>
      <c r="BI2">
        <f>SUMIF(RawDataRecovered!$B:$B,$A2,RawDataRecovered!BL:BL)</f>
        <v>0</v>
      </c>
      <c r="BJ2">
        <f>SUMIF(RawDataRecovered!$B:$B,$A2,RawDataRecovered!BM:BM)</f>
        <v>0</v>
      </c>
      <c r="BK2">
        <f>SUMIF(RawDataRecovered!$B:$B,$A2,RawDataRecovered!BN:BN)</f>
        <v>0</v>
      </c>
      <c r="BL2">
        <f>SUMIF(RawDataRecovered!$B:$B,$A2,RawDataRecovered!BO:BO)</f>
        <v>0</v>
      </c>
      <c r="BM2">
        <f>SUMIF(RawDataRecovered!$B:$B,$A2,RawDataRecovered!BP:BP)</f>
        <v>0</v>
      </c>
      <c r="BN2">
        <f>SUMIF(RawDataRecovered!$B:$B,$A2,RawDataRecovered!BQ:BQ)</f>
        <v>0</v>
      </c>
      <c r="BO2">
        <f>SUMIF(RawDataRecovered!$B:$B,$A2,RawDataRecovered!BR:BR)</f>
        <v>0</v>
      </c>
      <c r="BP2">
        <f>SUMIF(RawDataRecovered!$B:$B,$A2,RawDataRecovered!BS:BS)</f>
        <v>0</v>
      </c>
      <c r="BQ2">
        <f>SUMIF(RawDataRecovered!$B:$B,$A2,RawDataRecovered!BT:BT)</f>
        <v>0</v>
      </c>
      <c r="BR2">
        <f>SUMIF(RawDataRecovered!$B:$B,$A2,RawDataRecovered!BU:BU)</f>
        <v>0</v>
      </c>
      <c r="BS2">
        <f>SUMIF(RawDataRecovered!$B:$B,$A2,RawDataRecovered!BV:BV)</f>
        <v>0</v>
      </c>
      <c r="BT2">
        <f>SUMIF(RawDataRecovered!$B:$B,$A2,RawDataRecovered!BW:BW)</f>
        <v>0</v>
      </c>
    </row>
    <row r="3" spans="1:72" ht="15" thickBot="1" x14ac:dyDescent="0.35">
      <c r="A3" s="3" t="s">
        <v>85</v>
      </c>
      <c r="B3">
        <f>SUMIF(RawDataRecovered!$B:$B,$A3,RawDataRecovered!E:E)</f>
        <v>0</v>
      </c>
      <c r="C3">
        <f>SUMIF(RawDataRecovered!$B:$B,$A3,RawDataRecovered!F:F)</f>
        <v>0</v>
      </c>
      <c r="D3">
        <f>SUMIF(RawDataRecovered!$B:$B,$A3,RawDataRecovered!G:G)</f>
        <v>0</v>
      </c>
      <c r="E3">
        <f>SUMIF(RawDataRecovered!$B:$B,$A3,RawDataRecovered!H:H)</f>
        <v>0</v>
      </c>
      <c r="F3">
        <f>SUMIF(RawDataRecovered!$B:$B,$A3,RawDataRecovered!I:I)</f>
        <v>0</v>
      </c>
      <c r="G3">
        <f>SUMIF(RawDataRecovered!$B:$B,$A3,RawDataRecovered!J:J)</f>
        <v>0</v>
      </c>
      <c r="H3">
        <f>SUMIF(RawDataRecovered!$B:$B,$A3,RawDataRecovered!K:K)</f>
        <v>0</v>
      </c>
      <c r="I3">
        <f>SUMIF(RawDataRecovered!$B:$B,$A3,RawDataRecovered!L:L)</f>
        <v>0</v>
      </c>
      <c r="J3">
        <f>SUMIF(RawDataRecovered!$B:$B,$A3,RawDataRecovered!M:M)</f>
        <v>0</v>
      </c>
      <c r="K3">
        <f>SUMIF(RawDataRecovered!$B:$B,$A3,RawDataRecovered!N:N)</f>
        <v>0</v>
      </c>
      <c r="L3">
        <f>SUMIF(RawDataRecovered!$B:$B,$A3,RawDataRecovered!O:O)</f>
        <v>0</v>
      </c>
      <c r="M3">
        <f>SUMIF(RawDataRecovered!$B:$B,$A3,RawDataRecovered!P:P)</f>
        <v>0</v>
      </c>
      <c r="N3">
        <f>SUMIF(RawDataRecovered!$B:$B,$A3,RawDataRecovered!Q:Q)</f>
        <v>0</v>
      </c>
      <c r="O3">
        <f>SUMIF(RawDataRecovered!$B:$B,$A3,RawDataRecovered!R:R)</f>
        <v>0</v>
      </c>
      <c r="P3">
        <f>SUMIF(RawDataRecovered!$B:$B,$A3,RawDataRecovered!S:S)</f>
        <v>0</v>
      </c>
      <c r="Q3">
        <f>SUMIF(RawDataRecovered!$B:$B,$A3,RawDataRecovered!T:T)</f>
        <v>0</v>
      </c>
      <c r="R3">
        <f>SUMIF(RawDataRecovered!$B:$B,$A3,RawDataRecovered!U:U)</f>
        <v>0</v>
      </c>
      <c r="S3">
        <f>SUMIF(RawDataRecovered!$B:$B,$A3,RawDataRecovered!V:V)</f>
        <v>0</v>
      </c>
      <c r="T3">
        <f>SUMIF(RawDataRecovered!$B:$B,$A3,RawDataRecovered!W:W)</f>
        <v>0</v>
      </c>
      <c r="U3">
        <f>SUMIF(RawDataRecovered!$B:$B,$A3,RawDataRecovered!X:X)</f>
        <v>0</v>
      </c>
      <c r="V3">
        <f>SUMIF(RawDataRecovered!$B:$B,$A3,RawDataRecovered!Y:Y)</f>
        <v>0</v>
      </c>
      <c r="W3">
        <f>SUMIF(RawDataRecovered!$B:$B,$A3,RawDataRecovered!Z:Z)</f>
        <v>0</v>
      </c>
      <c r="X3">
        <f>SUMIF(RawDataRecovered!$B:$B,$A3,RawDataRecovered!AA:AA)</f>
        <v>0</v>
      </c>
      <c r="Y3">
        <f>SUMIF(RawDataRecovered!$B:$B,$A3,RawDataRecovered!AB:AB)</f>
        <v>0</v>
      </c>
      <c r="Z3">
        <f>SUMIF(RawDataRecovered!$B:$B,$A3,RawDataRecovered!AC:AC)</f>
        <v>0</v>
      </c>
      <c r="AA3">
        <f>SUMIF(RawDataRecovered!$B:$B,$A3,RawDataRecovered!AD:AD)</f>
        <v>0</v>
      </c>
      <c r="AB3">
        <f>SUMIF(RawDataRecovered!$B:$B,$A3,RawDataRecovered!AE:AE)</f>
        <v>0</v>
      </c>
      <c r="AC3">
        <f>SUMIF(RawDataRecovered!$B:$B,$A3,RawDataRecovered!AF:AF)</f>
        <v>0</v>
      </c>
      <c r="AD3">
        <f>SUMIF(RawDataRecovered!$B:$B,$A3,RawDataRecovered!AG:AG)</f>
        <v>0</v>
      </c>
      <c r="AE3">
        <f>SUMIF(RawDataRecovered!$B:$B,$A3,RawDataRecovered!AH:AH)</f>
        <v>0</v>
      </c>
      <c r="AF3">
        <f>SUMIF(RawDataRecovered!$B:$B,$A3,RawDataRecovered!AI:AI)</f>
        <v>0</v>
      </c>
      <c r="AG3">
        <f>SUMIF(RawDataRecovered!$B:$B,$A3,RawDataRecovered!AJ:AJ)</f>
        <v>1</v>
      </c>
      <c r="AH3">
        <f>SUMIF(RawDataRecovered!$B:$B,$A3,RawDataRecovered!AK:AK)</f>
        <v>2</v>
      </c>
      <c r="AI3">
        <f>SUMIF(RawDataRecovered!$B:$B,$A3,RawDataRecovered!AL:AL)</f>
        <v>1</v>
      </c>
      <c r="AJ3">
        <f>SUMIF(RawDataRecovered!$B:$B,$A3,RawDataRecovered!AM:AM)</f>
        <v>1</v>
      </c>
      <c r="AK3">
        <f>SUMIF(RawDataRecovered!$B:$B,$A3,RawDataRecovered!AN:AN)</f>
        <v>3</v>
      </c>
      <c r="AL3">
        <f>SUMIF(RawDataRecovered!$B:$B,$A3,RawDataRecovered!AO:AO)</f>
        <v>45</v>
      </c>
      <c r="AM3">
        <f>SUMIF(RawDataRecovered!$B:$B,$A3,RawDataRecovered!AP:AP)</f>
        <v>46</v>
      </c>
      <c r="AN3">
        <f>SUMIF(RawDataRecovered!$B:$B,$A3,RawDataRecovered!AQ:AQ)</f>
        <v>46</v>
      </c>
      <c r="AO3">
        <f>SUMIF(RawDataRecovered!$B:$B,$A3,RawDataRecovered!AR:AR)</f>
        <v>83</v>
      </c>
      <c r="AP3">
        <f>SUMIF(RawDataRecovered!$B:$B,$A3,RawDataRecovered!AS:AS)</f>
        <v>149</v>
      </c>
      <c r="AQ3">
        <f>SUMIF(RawDataRecovered!$B:$B,$A3,RawDataRecovered!AT:AT)</f>
        <v>160</v>
      </c>
      <c r="AR3">
        <f>SUMIF(RawDataRecovered!$B:$B,$A3,RawDataRecovered!AU:AU)</f>
        <v>276</v>
      </c>
      <c r="AS3">
        <f>SUMIF(RawDataRecovered!$B:$B,$A3,RawDataRecovered!AV:AV)</f>
        <v>414</v>
      </c>
      <c r="AT3">
        <f>SUMIF(RawDataRecovered!$B:$B,$A3,RawDataRecovered!AW:AW)</f>
        <v>523</v>
      </c>
      <c r="AU3">
        <f>SUMIF(RawDataRecovered!$B:$B,$A3,RawDataRecovered!AX:AX)</f>
        <v>589</v>
      </c>
      <c r="AV3">
        <f>SUMIF(RawDataRecovered!$B:$B,$A3,RawDataRecovered!AY:AY)</f>
        <v>622</v>
      </c>
      <c r="AW3">
        <f>SUMIF(RawDataRecovered!$B:$B,$A3,RawDataRecovered!AZ:AZ)</f>
        <v>724</v>
      </c>
      <c r="AX3">
        <f>SUMIF(RawDataRecovered!$B:$B,$A3,RawDataRecovered!BA:BA)</f>
        <v>724</v>
      </c>
      <c r="AY3">
        <f>SUMIF(RawDataRecovered!$B:$B,$A3,RawDataRecovered!BB:BB)</f>
        <v>1045</v>
      </c>
      <c r="AZ3">
        <f>SUMIF(RawDataRecovered!$B:$B,$A3,RawDataRecovered!BC:BC)</f>
        <v>1045</v>
      </c>
      <c r="BA3">
        <f>SUMIF(RawDataRecovered!$B:$B,$A3,RawDataRecovered!BD:BD)</f>
        <v>1439</v>
      </c>
      <c r="BB3">
        <f>SUMIF(RawDataRecovered!$B:$B,$A3,RawDataRecovered!BE:BE)</f>
        <v>1966</v>
      </c>
      <c r="BC3">
        <f>SUMIF(RawDataRecovered!$B:$B,$A3,RawDataRecovered!BF:BF)</f>
        <v>2335</v>
      </c>
      <c r="BD3">
        <f>SUMIF(RawDataRecovered!$B:$B,$A3,RawDataRecovered!BG:BG)</f>
        <v>2749</v>
      </c>
      <c r="BE3">
        <f>SUMIF(RawDataRecovered!$B:$B,$A3,RawDataRecovered!BH:BH)</f>
        <v>2941</v>
      </c>
      <c r="BF3">
        <f>SUMIF(RawDataRecovered!$B:$B,$A3,RawDataRecovered!BI:BI)</f>
        <v>0</v>
      </c>
      <c r="BG3">
        <f>SUMIF(RawDataRecovered!$B:$B,$A3,RawDataRecovered!BJ:BJ)</f>
        <v>0</v>
      </c>
      <c r="BH3">
        <f>SUMIF(RawDataRecovered!$B:$B,$A3,RawDataRecovered!BK:BK)</f>
        <v>0</v>
      </c>
      <c r="BI3">
        <f>SUMIF(RawDataRecovered!$B:$B,$A3,RawDataRecovered!BL:BL)</f>
        <v>0</v>
      </c>
      <c r="BJ3">
        <f>SUMIF(RawDataRecovered!$B:$B,$A3,RawDataRecovered!BM:BM)</f>
        <v>0</v>
      </c>
      <c r="BK3">
        <f>SUMIF(RawDataRecovered!$B:$B,$A3,RawDataRecovered!BN:BN)</f>
        <v>0</v>
      </c>
      <c r="BL3">
        <f>SUMIF(RawDataRecovered!$B:$B,$A3,RawDataRecovered!BO:BO)</f>
        <v>0</v>
      </c>
      <c r="BM3">
        <f>SUMIF(RawDataRecovered!$B:$B,$A3,RawDataRecovered!BP:BP)</f>
        <v>0</v>
      </c>
      <c r="BN3">
        <f>SUMIF(RawDataRecovered!$B:$B,$A3,RawDataRecovered!BQ:BQ)</f>
        <v>0</v>
      </c>
      <c r="BO3">
        <f>SUMIF(RawDataRecovered!$B:$B,$A3,RawDataRecovered!BR:BR)</f>
        <v>0</v>
      </c>
      <c r="BP3">
        <f>SUMIF(RawDataRecovered!$B:$B,$A3,RawDataRecovered!BS:BS)</f>
        <v>0</v>
      </c>
      <c r="BQ3">
        <f>SUMIF(RawDataRecovered!$B:$B,$A3,RawDataRecovered!BT:BT)</f>
        <v>0</v>
      </c>
      <c r="BR3">
        <f>SUMIF(RawDataRecovered!$B:$B,$A3,RawDataRecovered!BU:BU)</f>
        <v>0</v>
      </c>
      <c r="BS3">
        <f>SUMIF(RawDataRecovered!$B:$B,$A3,RawDataRecovered!BV:BV)</f>
        <v>0</v>
      </c>
      <c r="BT3">
        <f>SUMIF(RawDataRecovered!$B:$B,$A3,RawDataRecovered!BW:BW)</f>
        <v>0</v>
      </c>
    </row>
    <row r="4" spans="1:72" ht="15" thickBot="1" x14ac:dyDescent="0.35">
      <c r="A4" s="4" t="s">
        <v>366</v>
      </c>
      <c r="B4">
        <f>SUMIF(RawDataRecovered!$B:$B,$A4,RawDataRecovered!E:E)</f>
        <v>0</v>
      </c>
      <c r="C4">
        <f>SUMIF(RawDataRecovered!$B:$B,$A4,RawDataRecovered!F:F)</f>
        <v>0</v>
      </c>
      <c r="D4">
        <f>SUMIF(RawDataRecovered!$B:$B,$A4,RawDataRecovered!G:G)</f>
        <v>0</v>
      </c>
      <c r="E4">
        <f>SUMIF(RawDataRecovered!$B:$B,$A4,RawDataRecovered!H:H)</f>
        <v>0</v>
      </c>
      <c r="F4">
        <f>SUMIF(RawDataRecovered!$B:$B,$A4,RawDataRecovered!I:I)</f>
        <v>0</v>
      </c>
      <c r="G4">
        <f>SUMIF(RawDataRecovered!$B:$B,$A4,RawDataRecovered!J:J)</f>
        <v>0</v>
      </c>
      <c r="H4">
        <f>SUMIF(RawDataRecovered!$B:$B,$A4,RawDataRecovered!K:K)</f>
        <v>0</v>
      </c>
      <c r="I4">
        <f>SUMIF(RawDataRecovered!$B:$B,$A4,RawDataRecovered!L:L)</f>
        <v>0</v>
      </c>
      <c r="J4">
        <f>SUMIF(RawDataRecovered!$B:$B,$A4,RawDataRecovered!M:M)</f>
        <v>0</v>
      </c>
      <c r="K4">
        <f>SUMIF(RawDataRecovered!$B:$B,$A4,RawDataRecovered!N:N)</f>
        <v>0</v>
      </c>
      <c r="L4">
        <f>SUMIF(RawDataRecovered!$B:$B,$A4,RawDataRecovered!O:O)</f>
        <v>0</v>
      </c>
      <c r="M4">
        <f>SUMIF(RawDataRecovered!$B:$B,$A4,RawDataRecovered!P:P)</f>
        <v>0</v>
      </c>
      <c r="N4">
        <f>SUMIF(RawDataRecovered!$B:$B,$A4,RawDataRecovered!Q:Q)</f>
        <v>0</v>
      </c>
      <c r="O4">
        <f>SUMIF(RawDataRecovered!$B:$B,$A4,RawDataRecovered!R:R)</f>
        <v>0</v>
      </c>
      <c r="P4">
        <f>SUMIF(RawDataRecovered!$B:$B,$A4,RawDataRecovered!S:S)</f>
        <v>0</v>
      </c>
      <c r="Q4">
        <f>SUMIF(RawDataRecovered!$B:$B,$A4,RawDataRecovered!T:T)</f>
        <v>0</v>
      </c>
      <c r="R4">
        <f>SUMIF(RawDataRecovered!$B:$B,$A4,RawDataRecovered!U:U)</f>
        <v>0</v>
      </c>
      <c r="S4">
        <f>SUMIF(RawDataRecovered!$B:$B,$A4,RawDataRecovered!V:V)</f>
        <v>0</v>
      </c>
      <c r="T4">
        <f>SUMIF(RawDataRecovered!$B:$B,$A4,RawDataRecovered!W:W)</f>
        <v>0</v>
      </c>
      <c r="U4">
        <f>SUMIF(RawDataRecovered!$B:$B,$A4,RawDataRecovered!X:X)</f>
        <v>0</v>
      </c>
      <c r="V4">
        <f>SUMIF(RawDataRecovered!$B:$B,$A4,RawDataRecovered!Y:Y)</f>
        <v>0</v>
      </c>
      <c r="W4">
        <f>SUMIF(RawDataRecovered!$B:$B,$A4,RawDataRecovered!Z:Z)</f>
        <v>0</v>
      </c>
      <c r="X4">
        <f>SUMIF(RawDataRecovered!$B:$B,$A4,RawDataRecovered!AA:AA)</f>
        <v>0</v>
      </c>
      <c r="Y4">
        <f>SUMIF(RawDataRecovered!$B:$B,$A4,RawDataRecovered!AB:AB)</f>
        <v>0</v>
      </c>
      <c r="Z4">
        <f>SUMIF(RawDataRecovered!$B:$B,$A4,RawDataRecovered!AC:AC)</f>
        <v>0</v>
      </c>
      <c r="AA4">
        <f>SUMIF(RawDataRecovered!$B:$B,$A4,RawDataRecovered!AD:AD)</f>
        <v>0</v>
      </c>
      <c r="AB4">
        <f>SUMIF(RawDataRecovered!$B:$B,$A4,RawDataRecovered!AE:AE)</f>
        <v>0</v>
      </c>
      <c r="AC4">
        <f>SUMIF(RawDataRecovered!$B:$B,$A4,RawDataRecovered!AF:AF)</f>
        <v>0</v>
      </c>
      <c r="AD4">
        <f>SUMIF(RawDataRecovered!$B:$B,$A4,RawDataRecovered!AG:AG)</f>
        <v>0</v>
      </c>
      <c r="AE4">
        <f>SUMIF(RawDataRecovered!$B:$B,$A4,RawDataRecovered!AH:AH)</f>
        <v>0</v>
      </c>
      <c r="AF4">
        <f>SUMIF(RawDataRecovered!$B:$B,$A4,RawDataRecovered!AI:AI)</f>
        <v>0</v>
      </c>
      <c r="AG4">
        <f>SUMIF(RawDataRecovered!$B:$B,$A4,RawDataRecovered!AJ:AJ)</f>
        <v>0</v>
      </c>
      <c r="AH4">
        <f>SUMIF(RawDataRecovered!$B:$B,$A4,RawDataRecovered!AK:AK)</f>
        <v>0</v>
      </c>
      <c r="AI4">
        <f>SUMIF(RawDataRecovered!$B:$B,$A4,RawDataRecovered!AL:AL)</f>
        <v>0</v>
      </c>
      <c r="AJ4">
        <f>SUMIF(RawDataRecovered!$B:$B,$A4,RawDataRecovered!AM:AM)</f>
        <v>0</v>
      </c>
      <c r="AK4">
        <f>SUMIF(RawDataRecovered!$B:$B,$A4,RawDataRecovered!AN:AN)</f>
        <v>49</v>
      </c>
      <c r="AL4">
        <f>SUMIF(RawDataRecovered!$B:$B,$A4,RawDataRecovered!AO:AO)</f>
        <v>49</v>
      </c>
      <c r="AM4">
        <f>SUMIF(RawDataRecovered!$B:$B,$A4,RawDataRecovered!AP:AP)</f>
        <v>73</v>
      </c>
      <c r="AN4">
        <f>SUMIF(RawDataRecovered!$B:$B,$A4,RawDataRecovered!AQ:AQ)</f>
        <v>123</v>
      </c>
      <c r="AO4">
        <f>SUMIF(RawDataRecovered!$B:$B,$A4,RawDataRecovered!AR:AR)</f>
        <v>175</v>
      </c>
      <c r="AP4">
        <f>SUMIF(RawDataRecovered!$B:$B,$A4,RawDataRecovered!AS:AS)</f>
        <v>291</v>
      </c>
      <c r="AQ4">
        <f>SUMIF(RawDataRecovered!$B:$B,$A4,RawDataRecovered!AT:AT)</f>
        <v>291</v>
      </c>
      <c r="AR4">
        <f>SUMIF(RawDataRecovered!$B:$B,$A4,RawDataRecovered!AU:AU)</f>
        <v>552</v>
      </c>
      <c r="AS4">
        <f>SUMIF(RawDataRecovered!$B:$B,$A4,RawDataRecovered!AV:AV)</f>
        <v>739</v>
      </c>
      <c r="AT4">
        <f>SUMIF(RawDataRecovered!$B:$B,$A4,RawDataRecovered!AW:AW)</f>
        <v>913</v>
      </c>
      <c r="AU4">
        <f>SUMIF(RawDataRecovered!$B:$B,$A4,RawDataRecovered!AX:AX)</f>
        <v>1669</v>
      </c>
      <c r="AV4">
        <f>SUMIF(RawDataRecovered!$B:$B,$A4,RawDataRecovered!AY:AY)</f>
        <v>2134</v>
      </c>
      <c r="AW4">
        <f>SUMIF(RawDataRecovered!$B:$B,$A4,RawDataRecovered!AZ:AZ)</f>
        <v>2394</v>
      </c>
      <c r="AX4">
        <f>SUMIF(RawDataRecovered!$B:$B,$A4,RawDataRecovered!BA:BA)</f>
        <v>2731</v>
      </c>
      <c r="AY4">
        <f>SUMIF(RawDataRecovered!$B:$B,$A4,RawDataRecovered!BB:BB)</f>
        <v>2959</v>
      </c>
      <c r="AZ4">
        <f>SUMIF(RawDataRecovered!$B:$B,$A4,RawDataRecovered!BC:BC)</f>
        <v>2959</v>
      </c>
      <c r="BA4">
        <f>SUMIF(RawDataRecovered!$B:$B,$A4,RawDataRecovered!BD:BD)</f>
        <v>2959</v>
      </c>
      <c r="BB4">
        <f>SUMIF(RawDataRecovered!$B:$B,$A4,RawDataRecovered!BE:BE)</f>
        <v>2959</v>
      </c>
      <c r="BC4">
        <f>SUMIF(RawDataRecovered!$B:$B,$A4,RawDataRecovered!BF:BF)</f>
        <v>4590</v>
      </c>
      <c r="BD4">
        <f>SUMIF(RawDataRecovered!$B:$B,$A4,RawDataRecovered!BG:BG)</f>
        <v>4590</v>
      </c>
      <c r="BE4">
        <f>SUMIF(RawDataRecovered!$B:$B,$A4,RawDataRecovered!BH:BH)</f>
        <v>5389</v>
      </c>
      <c r="BF4">
        <f>SUMIF(RawDataRecovered!$B:$B,$A4,RawDataRecovered!BI:BI)</f>
        <v>0</v>
      </c>
      <c r="BG4">
        <f>SUMIF(RawDataRecovered!$B:$B,$A4,RawDataRecovered!BJ:BJ)</f>
        <v>0</v>
      </c>
      <c r="BH4">
        <f>SUMIF(RawDataRecovered!$B:$B,$A4,RawDataRecovered!BK:BK)</f>
        <v>0</v>
      </c>
      <c r="BI4">
        <f>SUMIF(RawDataRecovered!$B:$B,$A4,RawDataRecovered!BL:BL)</f>
        <v>0</v>
      </c>
      <c r="BJ4">
        <f>SUMIF(RawDataRecovered!$B:$B,$A4,RawDataRecovered!BM:BM)</f>
        <v>0</v>
      </c>
      <c r="BK4">
        <f>SUMIF(RawDataRecovered!$B:$B,$A4,RawDataRecovered!BN:BN)</f>
        <v>0</v>
      </c>
      <c r="BL4">
        <f>SUMIF(RawDataRecovered!$B:$B,$A4,RawDataRecovered!BO:BO)</f>
        <v>0</v>
      </c>
      <c r="BM4">
        <f>SUMIF(RawDataRecovered!$B:$B,$A4,RawDataRecovered!BP:BP)</f>
        <v>0</v>
      </c>
      <c r="BN4">
        <f>SUMIF(RawDataRecovered!$B:$B,$A4,RawDataRecovered!BQ:BQ)</f>
        <v>0</v>
      </c>
      <c r="BO4">
        <f>SUMIF(RawDataRecovered!$B:$B,$A4,RawDataRecovered!BR:BR)</f>
        <v>0</v>
      </c>
      <c r="BP4">
        <f>SUMIF(RawDataRecovered!$B:$B,$A4,RawDataRecovered!BS:BS)</f>
        <v>0</v>
      </c>
      <c r="BQ4">
        <f>SUMIF(RawDataRecovered!$B:$B,$A4,RawDataRecovered!BT:BT)</f>
        <v>0</v>
      </c>
      <c r="BR4">
        <f>SUMIF(RawDataRecovered!$B:$B,$A4,RawDataRecovered!BU:BU)</f>
        <v>0</v>
      </c>
      <c r="BS4">
        <f>SUMIF(RawDataRecovered!$B:$B,$A4,RawDataRecovered!BV:BV)</f>
        <v>0</v>
      </c>
      <c r="BT4">
        <f>SUMIF(RawDataRecovered!$B:$B,$A4,RawDataRecovered!BW:BW)</f>
        <v>0</v>
      </c>
    </row>
    <row r="5" spans="1:72" ht="15" thickBot="1" x14ac:dyDescent="0.35">
      <c r="A5" s="3" t="s">
        <v>367</v>
      </c>
      <c r="B5">
        <f>SUMIF(RawDataRecovered!$B:$B,$A5,RawDataRecovered!E:E)</f>
        <v>0</v>
      </c>
      <c r="C5">
        <f>SUMIF(RawDataRecovered!$B:$B,$A5,RawDataRecovered!F:F)</f>
        <v>0</v>
      </c>
      <c r="D5">
        <f>SUMIF(RawDataRecovered!$B:$B,$A5,RawDataRecovered!G:G)</f>
        <v>0</v>
      </c>
      <c r="E5">
        <f>SUMIF(RawDataRecovered!$B:$B,$A5,RawDataRecovered!H:H)</f>
        <v>0</v>
      </c>
      <c r="F5">
        <f>SUMIF(RawDataRecovered!$B:$B,$A5,RawDataRecovered!I:I)</f>
        <v>0</v>
      </c>
      <c r="G5">
        <f>SUMIF(RawDataRecovered!$B:$B,$A5,RawDataRecovered!J:J)</f>
        <v>0</v>
      </c>
      <c r="H5">
        <f>SUMIF(RawDataRecovered!$B:$B,$A5,RawDataRecovered!K:K)</f>
        <v>0</v>
      </c>
      <c r="I5">
        <f>SUMIF(RawDataRecovered!$B:$B,$A5,RawDataRecovered!L:L)</f>
        <v>0</v>
      </c>
      <c r="J5">
        <f>SUMIF(RawDataRecovered!$B:$B,$A5,RawDataRecovered!M:M)</f>
        <v>0</v>
      </c>
      <c r="K5">
        <f>SUMIF(RawDataRecovered!$B:$B,$A5,RawDataRecovered!N:N)</f>
        <v>0</v>
      </c>
      <c r="L5">
        <f>SUMIF(RawDataRecovered!$B:$B,$A5,RawDataRecovered!O:O)</f>
        <v>0</v>
      </c>
      <c r="M5">
        <f>SUMIF(RawDataRecovered!$B:$B,$A5,RawDataRecovered!P:P)</f>
        <v>0</v>
      </c>
      <c r="N5">
        <f>SUMIF(RawDataRecovered!$B:$B,$A5,RawDataRecovered!Q:Q)</f>
        <v>0</v>
      </c>
      <c r="O5">
        <f>SUMIF(RawDataRecovered!$B:$B,$A5,RawDataRecovered!R:R)</f>
        <v>0</v>
      </c>
      <c r="P5">
        <f>SUMIF(RawDataRecovered!$B:$B,$A5,RawDataRecovered!S:S)</f>
        <v>0</v>
      </c>
      <c r="Q5">
        <f>SUMIF(RawDataRecovered!$B:$B,$A5,RawDataRecovered!T:T)</f>
        <v>0</v>
      </c>
      <c r="R5">
        <f>SUMIF(RawDataRecovered!$B:$B,$A5,RawDataRecovered!U:U)</f>
        <v>1</v>
      </c>
      <c r="S5">
        <f>SUMIF(RawDataRecovered!$B:$B,$A5,RawDataRecovered!V:V)</f>
        <v>1</v>
      </c>
      <c r="T5">
        <f>SUMIF(RawDataRecovered!$B:$B,$A5,RawDataRecovered!W:W)</f>
        <v>3</v>
      </c>
      <c r="U5">
        <f>SUMIF(RawDataRecovered!$B:$B,$A5,RawDataRecovered!X:X)</f>
        <v>3</v>
      </c>
      <c r="V5">
        <f>SUMIF(RawDataRecovered!$B:$B,$A5,RawDataRecovered!Y:Y)</f>
        <v>3</v>
      </c>
      <c r="W5">
        <f>SUMIF(RawDataRecovered!$B:$B,$A5,RawDataRecovered!Z:Z)</f>
        <v>7</v>
      </c>
      <c r="X5">
        <f>SUMIF(RawDataRecovered!$B:$B,$A5,RawDataRecovered!AA:AA)</f>
        <v>7</v>
      </c>
      <c r="Y5">
        <f>SUMIF(RawDataRecovered!$B:$B,$A5,RawDataRecovered!AB:AB)</f>
        <v>7</v>
      </c>
      <c r="Z5">
        <f>SUMIF(RawDataRecovered!$B:$B,$A5,RawDataRecovered!AC:AC)</f>
        <v>9</v>
      </c>
      <c r="AA5">
        <f>SUMIF(RawDataRecovered!$B:$B,$A5,RawDataRecovered!AD:AD)</f>
        <v>9</v>
      </c>
      <c r="AB5">
        <f>SUMIF(RawDataRecovered!$B:$B,$A5,RawDataRecovered!AE:AE)</f>
        <v>10</v>
      </c>
      <c r="AC5">
        <f>SUMIF(RawDataRecovered!$B:$B,$A5,RawDataRecovered!AF:AF)</f>
        <v>12</v>
      </c>
      <c r="AD5">
        <f>SUMIF(RawDataRecovered!$B:$B,$A5,RawDataRecovered!AG:AG)</f>
        <v>12</v>
      </c>
      <c r="AE5">
        <f>SUMIF(RawDataRecovered!$B:$B,$A5,RawDataRecovered!AH:AH)</f>
        <v>16</v>
      </c>
      <c r="AF5">
        <f>SUMIF(RawDataRecovered!$B:$B,$A5,RawDataRecovered!AI:AI)</f>
        <v>16</v>
      </c>
      <c r="AG5">
        <f>SUMIF(RawDataRecovered!$B:$B,$A5,RawDataRecovered!AJ:AJ)</f>
        <v>16</v>
      </c>
      <c r="AH5">
        <f>SUMIF(RawDataRecovered!$B:$B,$A5,RawDataRecovered!AK:AK)</f>
        <v>18</v>
      </c>
      <c r="AI5">
        <f>SUMIF(RawDataRecovered!$B:$B,$A5,RawDataRecovered!AL:AL)</f>
        <v>18</v>
      </c>
      <c r="AJ5">
        <f>SUMIF(RawDataRecovered!$B:$B,$A5,RawDataRecovered!AM:AM)</f>
        <v>22</v>
      </c>
      <c r="AK5">
        <f>SUMIF(RawDataRecovered!$B:$B,$A5,RawDataRecovered!AN:AN)</f>
        <v>22</v>
      </c>
      <c r="AL5">
        <f>SUMIF(RawDataRecovered!$B:$B,$A5,RawDataRecovered!AO:AO)</f>
        <v>22</v>
      </c>
      <c r="AM5">
        <f>SUMIF(RawDataRecovered!$B:$B,$A5,RawDataRecovered!AP:AP)</f>
        <v>22</v>
      </c>
      <c r="AN5">
        <f>SUMIF(RawDataRecovered!$B:$B,$A5,RawDataRecovered!AQ:AQ)</f>
        <v>27</v>
      </c>
      <c r="AO5">
        <f>SUMIF(RawDataRecovered!$B:$B,$A5,RawDataRecovered!AR:AR)</f>
        <v>30</v>
      </c>
      <c r="AP5">
        <f>SUMIF(RawDataRecovered!$B:$B,$A5,RawDataRecovered!AS:AS)</f>
        <v>30</v>
      </c>
      <c r="AQ5">
        <f>SUMIF(RawDataRecovered!$B:$B,$A5,RawDataRecovered!AT:AT)</f>
        <v>30</v>
      </c>
      <c r="AR5">
        <f>SUMIF(RawDataRecovered!$B:$B,$A5,RawDataRecovered!AU:AU)</f>
        <v>41</v>
      </c>
      <c r="AS5">
        <f>SUMIF(RawDataRecovered!$B:$B,$A5,RawDataRecovered!AV:AV)</f>
        <v>41</v>
      </c>
      <c r="AT5">
        <f>SUMIF(RawDataRecovered!$B:$B,$A5,RawDataRecovered!AW:AW)</f>
        <v>135</v>
      </c>
      <c r="AU5">
        <f>SUMIF(RawDataRecovered!$B:$B,$A5,RawDataRecovered!AX:AX)</f>
        <v>135</v>
      </c>
      <c r="AV5">
        <f>SUMIF(RawDataRecovered!$B:$B,$A5,RawDataRecovered!AY:AY)</f>
        <v>118</v>
      </c>
      <c r="AW5">
        <f>SUMIF(RawDataRecovered!$B:$B,$A5,RawDataRecovered!AZ:AZ)</f>
        <v>118</v>
      </c>
      <c r="AX5">
        <f>SUMIF(RawDataRecovered!$B:$B,$A5,RawDataRecovered!BA:BA)</f>
        <v>247</v>
      </c>
      <c r="AY5">
        <f>SUMIF(RawDataRecovered!$B:$B,$A5,RawDataRecovered!BB:BB)</f>
        <v>288</v>
      </c>
      <c r="AZ5">
        <f>SUMIF(RawDataRecovered!$B:$B,$A5,RawDataRecovered!BC:BC)</f>
        <v>333</v>
      </c>
      <c r="BA5">
        <f>SUMIF(RawDataRecovered!$B:$B,$A5,RawDataRecovered!BD:BD)</f>
        <v>510</v>
      </c>
      <c r="BB5">
        <f>SUMIF(RawDataRecovered!$B:$B,$A5,RawDataRecovered!BE:BE)</f>
        <v>510</v>
      </c>
      <c r="BC5">
        <f>SUMIF(RawDataRecovered!$B:$B,$A5,RawDataRecovered!BF:BF)</f>
        <v>510</v>
      </c>
      <c r="BD5">
        <f>SUMIF(RawDataRecovered!$B:$B,$A5,RawDataRecovered!BG:BG)</f>
        <v>1137</v>
      </c>
      <c r="BE5">
        <f>SUMIF(RawDataRecovered!$B:$B,$A5,RawDataRecovered!BH:BH)</f>
        <v>1407</v>
      </c>
      <c r="BF5">
        <f>SUMIF(RawDataRecovered!$B:$B,$A5,RawDataRecovered!BI:BI)</f>
        <v>0</v>
      </c>
      <c r="BG5">
        <f>SUMIF(RawDataRecovered!$B:$B,$A5,RawDataRecovered!BJ:BJ)</f>
        <v>0</v>
      </c>
      <c r="BH5">
        <f>SUMIF(RawDataRecovered!$B:$B,$A5,RawDataRecovered!BK:BK)</f>
        <v>0</v>
      </c>
      <c r="BI5">
        <f>SUMIF(RawDataRecovered!$B:$B,$A5,RawDataRecovered!BL:BL)</f>
        <v>0</v>
      </c>
      <c r="BJ5">
        <f>SUMIF(RawDataRecovered!$B:$B,$A5,RawDataRecovered!BM:BM)</f>
        <v>0</v>
      </c>
      <c r="BK5">
        <f>SUMIF(RawDataRecovered!$B:$B,$A5,RawDataRecovered!BN:BN)</f>
        <v>0</v>
      </c>
      <c r="BL5">
        <f>SUMIF(RawDataRecovered!$B:$B,$A5,RawDataRecovered!BO:BO)</f>
        <v>0</v>
      </c>
      <c r="BM5">
        <f>SUMIF(RawDataRecovered!$B:$B,$A5,RawDataRecovered!BP:BP)</f>
        <v>0</v>
      </c>
      <c r="BN5">
        <f>SUMIF(RawDataRecovered!$B:$B,$A5,RawDataRecovered!BQ:BQ)</f>
        <v>0</v>
      </c>
      <c r="BO5">
        <f>SUMIF(RawDataRecovered!$B:$B,$A5,RawDataRecovered!BR:BR)</f>
        <v>0</v>
      </c>
      <c r="BP5">
        <f>SUMIF(RawDataRecovered!$B:$B,$A5,RawDataRecovered!BS:BS)</f>
        <v>0</v>
      </c>
      <c r="BQ5">
        <f>SUMIF(RawDataRecovered!$B:$B,$A5,RawDataRecovered!BT:BT)</f>
        <v>0</v>
      </c>
      <c r="BR5">
        <f>SUMIF(RawDataRecovered!$B:$B,$A5,RawDataRecovered!BU:BU)</f>
        <v>0</v>
      </c>
      <c r="BS5">
        <f>SUMIF(RawDataRecovered!$B:$B,$A5,RawDataRecovered!BV:BV)</f>
        <v>0</v>
      </c>
      <c r="BT5">
        <f>SUMIF(RawDataRecovered!$B:$B,$A5,RawDataRecovered!BW:BW)</f>
        <v>0</v>
      </c>
    </row>
    <row r="6" spans="1:72" ht="15" thickBot="1" x14ac:dyDescent="0.35">
      <c r="A6" s="3" t="s">
        <v>87</v>
      </c>
      <c r="B6">
        <f>SUMIF(RawDataRecovered!$B:$B,$A6,RawDataRecovered!E:E)</f>
        <v>0</v>
      </c>
      <c r="C6">
        <f>SUMIF(RawDataRecovered!$B:$B,$A6,RawDataRecovered!F:F)</f>
        <v>0</v>
      </c>
      <c r="D6">
        <f>SUMIF(RawDataRecovered!$B:$B,$A6,RawDataRecovered!G:G)</f>
        <v>0</v>
      </c>
      <c r="E6">
        <f>SUMIF(RawDataRecovered!$B:$B,$A6,RawDataRecovered!H:H)</f>
        <v>0</v>
      </c>
      <c r="F6">
        <f>SUMIF(RawDataRecovered!$B:$B,$A6,RawDataRecovered!I:I)</f>
        <v>0</v>
      </c>
      <c r="G6">
        <f>SUMIF(RawDataRecovered!$B:$B,$A6,RawDataRecovered!J:J)</f>
        <v>0</v>
      </c>
      <c r="H6">
        <f>SUMIF(RawDataRecovered!$B:$B,$A6,RawDataRecovered!K:K)</f>
        <v>0</v>
      </c>
      <c r="I6">
        <f>SUMIF(RawDataRecovered!$B:$B,$A6,RawDataRecovered!L:L)</f>
        <v>0</v>
      </c>
      <c r="J6">
        <f>SUMIF(RawDataRecovered!$B:$B,$A6,RawDataRecovered!M:M)</f>
        <v>0</v>
      </c>
      <c r="K6">
        <f>SUMIF(RawDataRecovered!$B:$B,$A6,RawDataRecovered!N:N)</f>
        <v>0</v>
      </c>
      <c r="L6">
        <f>SUMIF(RawDataRecovered!$B:$B,$A6,RawDataRecovered!O:O)</f>
        <v>0</v>
      </c>
      <c r="M6">
        <f>SUMIF(RawDataRecovered!$B:$B,$A6,RawDataRecovered!P:P)</f>
        <v>0</v>
      </c>
      <c r="N6">
        <f>SUMIF(RawDataRecovered!$B:$B,$A6,RawDataRecovered!Q:Q)</f>
        <v>0</v>
      </c>
      <c r="O6">
        <f>SUMIF(RawDataRecovered!$B:$B,$A6,RawDataRecovered!R:R)</f>
        <v>0</v>
      </c>
      <c r="P6">
        <f>SUMIF(RawDataRecovered!$B:$B,$A6,RawDataRecovered!S:S)</f>
        <v>0</v>
      </c>
      <c r="Q6">
        <f>SUMIF(RawDataRecovered!$B:$B,$A6,RawDataRecovered!T:T)</f>
        <v>0</v>
      </c>
      <c r="R6">
        <f>SUMIF(RawDataRecovered!$B:$B,$A6,RawDataRecovered!U:U)</f>
        <v>0</v>
      </c>
      <c r="S6">
        <f>SUMIF(RawDataRecovered!$B:$B,$A6,RawDataRecovered!V:V)</f>
        <v>0</v>
      </c>
      <c r="T6">
        <f>SUMIF(RawDataRecovered!$B:$B,$A6,RawDataRecovered!W:W)</f>
        <v>0</v>
      </c>
      <c r="U6">
        <f>SUMIF(RawDataRecovered!$B:$B,$A6,RawDataRecovered!X:X)</f>
        <v>0</v>
      </c>
      <c r="V6">
        <f>SUMIF(RawDataRecovered!$B:$B,$A6,RawDataRecovered!Y:Y)</f>
        <v>0</v>
      </c>
      <c r="W6">
        <f>SUMIF(RawDataRecovered!$B:$B,$A6,RawDataRecovered!Z:Z)</f>
        <v>0</v>
      </c>
      <c r="X6">
        <f>SUMIF(RawDataRecovered!$B:$B,$A6,RawDataRecovered!AA:AA)</f>
        <v>0</v>
      </c>
      <c r="Y6">
        <f>SUMIF(RawDataRecovered!$B:$B,$A6,RawDataRecovered!AB:AB)</f>
        <v>0</v>
      </c>
      <c r="Z6">
        <f>SUMIF(RawDataRecovered!$B:$B,$A6,RawDataRecovered!AC:AC)</f>
        <v>2</v>
      </c>
      <c r="AA6">
        <f>SUMIF(RawDataRecovered!$B:$B,$A6,RawDataRecovered!AD:AD)</f>
        <v>2</v>
      </c>
      <c r="AB6">
        <f>SUMIF(RawDataRecovered!$B:$B,$A6,RawDataRecovered!AE:AE)</f>
        <v>2</v>
      </c>
      <c r="AC6">
        <f>SUMIF(RawDataRecovered!$B:$B,$A6,RawDataRecovered!AF:AF)</f>
        <v>2</v>
      </c>
      <c r="AD6">
        <f>SUMIF(RawDataRecovered!$B:$B,$A6,RawDataRecovered!AG:AG)</f>
        <v>2</v>
      </c>
      <c r="AE6">
        <f>SUMIF(RawDataRecovered!$B:$B,$A6,RawDataRecovered!AH:AH)</f>
        <v>2</v>
      </c>
      <c r="AF6">
        <f>SUMIF(RawDataRecovered!$B:$B,$A6,RawDataRecovered!AI:AI)</f>
        <v>2</v>
      </c>
      <c r="AG6">
        <f>SUMIF(RawDataRecovered!$B:$B,$A6,RawDataRecovered!AJ:AJ)</f>
        <v>2</v>
      </c>
      <c r="AH6">
        <f>SUMIF(RawDataRecovered!$B:$B,$A6,RawDataRecovered!AK:AK)</f>
        <v>2</v>
      </c>
      <c r="AI6">
        <f>SUMIF(RawDataRecovered!$B:$B,$A6,RawDataRecovered!AL:AL)</f>
        <v>2</v>
      </c>
      <c r="AJ6">
        <f>SUMIF(RawDataRecovered!$B:$B,$A6,RawDataRecovered!AM:AM)</f>
        <v>2</v>
      </c>
      <c r="AK6">
        <f>SUMIF(RawDataRecovered!$B:$B,$A6,RawDataRecovered!AN:AN)</f>
        <v>2</v>
      </c>
      <c r="AL6">
        <f>SUMIF(RawDataRecovered!$B:$B,$A6,RawDataRecovered!AO:AO)</f>
        <v>2</v>
      </c>
      <c r="AM6">
        <f>SUMIF(RawDataRecovered!$B:$B,$A6,RawDataRecovered!AP:AP)</f>
        <v>2</v>
      </c>
      <c r="AN6">
        <f>SUMIF(RawDataRecovered!$B:$B,$A6,RawDataRecovered!AQ:AQ)</f>
        <v>2</v>
      </c>
      <c r="AO6">
        <f>SUMIF(RawDataRecovered!$B:$B,$A6,RawDataRecovered!AR:AR)</f>
        <v>2</v>
      </c>
      <c r="AP6">
        <f>SUMIF(RawDataRecovered!$B:$B,$A6,RawDataRecovered!AS:AS)</f>
        <v>2</v>
      </c>
      <c r="AQ6">
        <f>SUMIF(RawDataRecovered!$B:$B,$A6,RawDataRecovered!AT:AT)</f>
        <v>2</v>
      </c>
      <c r="AR6">
        <f>SUMIF(RawDataRecovered!$B:$B,$A6,RawDataRecovered!AU:AU)</f>
        <v>2</v>
      </c>
      <c r="AS6">
        <f>SUMIF(RawDataRecovered!$B:$B,$A6,RawDataRecovered!AV:AV)</f>
        <v>2</v>
      </c>
      <c r="AT6">
        <f>SUMIF(RawDataRecovered!$B:$B,$A6,RawDataRecovered!AW:AW)</f>
        <v>2</v>
      </c>
      <c r="AU6">
        <f>SUMIF(RawDataRecovered!$B:$B,$A6,RawDataRecovered!AX:AX)</f>
        <v>30</v>
      </c>
      <c r="AV6">
        <f>SUMIF(RawDataRecovered!$B:$B,$A6,RawDataRecovered!AY:AY)</f>
        <v>30</v>
      </c>
      <c r="AW6">
        <f>SUMIF(RawDataRecovered!$B:$B,$A6,RawDataRecovered!AZ:AZ)</f>
        <v>32</v>
      </c>
      <c r="AX6">
        <f>SUMIF(RawDataRecovered!$B:$B,$A6,RawDataRecovered!BA:BA)</f>
        <v>32</v>
      </c>
      <c r="AY6">
        <f>SUMIF(RawDataRecovered!$B:$B,$A6,RawDataRecovered!BB:BB)</f>
        <v>183</v>
      </c>
      <c r="AZ6">
        <f>SUMIF(RawDataRecovered!$B:$B,$A6,RawDataRecovered!BC:BC)</f>
        <v>183</v>
      </c>
      <c r="BA6">
        <f>SUMIF(RawDataRecovered!$B:$B,$A6,RawDataRecovered!BD:BD)</f>
        <v>193</v>
      </c>
      <c r="BB6">
        <f>SUMIF(RawDataRecovered!$B:$B,$A6,RawDataRecovered!BE:BE)</f>
        <v>517</v>
      </c>
      <c r="BC6">
        <f>SUMIF(RawDataRecovered!$B:$B,$A6,RawDataRecovered!BF:BF)</f>
        <v>517</v>
      </c>
      <c r="BD6">
        <f>SUMIF(RawDataRecovered!$B:$B,$A6,RawDataRecovered!BG:BG)</f>
        <v>530</v>
      </c>
      <c r="BE6">
        <f>SUMIF(RawDataRecovered!$B:$B,$A6,RawDataRecovered!BH:BH)</f>
        <v>1028</v>
      </c>
      <c r="BF6">
        <f>SUMIF(RawDataRecovered!$B:$B,$A6,RawDataRecovered!BI:BI)</f>
        <v>0</v>
      </c>
      <c r="BG6">
        <f>SUMIF(RawDataRecovered!$B:$B,$A6,RawDataRecovered!BJ:BJ)</f>
        <v>0</v>
      </c>
      <c r="BH6">
        <f>SUMIF(RawDataRecovered!$B:$B,$A6,RawDataRecovered!BK:BK)</f>
        <v>0</v>
      </c>
      <c r="BI6">
        <f>SUMIF(RawDataRecovered!$B:$B,$A6,RawDataRecovered!BL:BL)</f>
        <v>0</v>
      </c>
      <c r="BJ6">
        <f>SUMIF(RawDataRecovered!$B:$B,$A6,RawDataRecovered!BM:BM)</f>
        <v>0</v>
      </c>
      <c r="BK6">
        <f>SUMIF(RawDataRecovered!$B:$B,$A6,RawDataRecovered!BN:BN)</f>
        <v>0</v>
      </c>
      <c r="BL6">
        <f>SUMIF(RawDataRecovered!$B:$B,$A6,RawDataRecovered!BO:BO)</f>
        <v>0</v>
      </c>
      <c r="BM6">
        <f>SUMIF(RawDataRecovered!$B:$B,$A6,RawDataRecovered!BP:BP)</f>
        <v>0</v>
      </c>
      <c r="BN6">
        <f>SUMIF(RawDataRecovered!$B:$B,$A6,RawDataRecovered!BQ:BQ)</f>
        <v>0</v>
      </c>
      <c r="BO6">
        <f>SUMIF(RawDataRecovered!$B:$B,$A6,RawDataRecovered!BR:BR)</f>
        <v>0</v>
      </c>
      <c r="BP6">
        <f>SUMIF(RawDataRecovered!$B:$B,$A6,RawDataRecovered!BS:BS)</f>
        <v>0</v>
      </c>
      <c r="BQ6">
        <f>SUMIF(RawDataRecovered!$B:$B,$A6,RawDataRecovered!BT:BT)</f>
        <v>0</v>
      </c>
      <c r="BR6">
        <f>SUMIF(RawDataRecovered!$B:$B,$A6,RawDataRecovered!BU:BU)</f>
        <v>0</v>
      </c>
      <c r="BS6">
        <f>SUMIF(RawDataRecovered!$B:$B,$A6,RawDataRecovered!BV:BV)</f>
        <v>0</v>
      </c>
      <c r="BT6">
        <f>SUMIF(RawDataRecovered!$B:$B,$A6,RawDataRecovered!BW:BW)</f>
        <v>0</v>
      </c>
    </row>
    <row r="7" spans="1:72" ht="15" thickBot="1" x14ac:dyDescent="0.35">
      <c r="A7" s="4" t="s">
        <v>80</v>
      </c>
      <c r="B7">
        <f>SUMIF(RawDataRecovered!$B:$B,$A7,RawDataRecovered!E:E)</f>
        <v>0</v>
      </c>
      <c r="C7">
        <f>SUMIF(RawDataRecovered!$B:$B,$A7,RawDataRecovered!F:F)</f>
        <v>0</v>
      </c>
      <c r="D7">
        <f>SUMIF(RawDataRecovered!$B:$B,$A7,RawDataRecovered!G:G)</f>
        <v>0</v>
      </c>
      <c r="E7">
        <f>SUMIF(RawDataRecovered!$B:$B,$A7,RawDataRecovered!H:H)</f>
        <v>0</v>
      </c>
      <c r="F7">
        <f>SUMIF(RawDataRecovered!$B:$B,$A7,RawDataRecovered!I:I)</f>
        <v>0</v>
      </c>
      <c r="G7">
        <f>SUMIF(RawDataRecovered!$B:$B,$A7,RawDataRecovered!J:J)</f>
        <v>0</v>
      </c>
      <c r="H7">
        <f>SUMIF(RawDataRecovered!$B:$B,$A7,RawDataRecovered!K:K)</f>
        <v>0</v>
      </c>
      <c r="I7">
        <f>SUMIF(RawDataRecovered!$B:$B,$A7,RawDataRecovered!L:L)</f>
        <v>0</v>
      </c>
      <c r="J7">
        <f>SUMIF(RawDataRecovered!$B:$B,$A7,RawDataRecovered!M:M)</f>
        <v>0</v>
      </c>
      <c r="K7">
        <f>SUMIF(RawDataRecovered!$B:$B,$A7,RawDataRecovered!N:N)</f>
        <v>0</v>
      </c>
      <c r="L7">
        <f>SUMIF(RawDataRecovered!$B:$B,$A7,RawDataRecovered!O:O)</f>
        <v>0</v>
      </c>
      <c r="M7">
        <f>SUMIF(RawDataRecovered!$B:$B,$A7,RawDataRecovered!P:P)</f>
        <v>0</v>
      </c>
      <c r="N7">
        <f>SUMIF(RawDataRecovered!$B:$B,$A7,RawDataRecovered!Q:Q)</f>
        <v>0</v>
      </c>
      <c r="O7">
        <f>SUMIF(RawDataRecovered!$B:$B,$A7,RawDataRecovered!R:R)</f>
        <v>0</v>
      </c>
      <c r="P7">
        <f>SUMIF(RawDataRecovered!$B:$B,$A7,RawDataRecovered!S:S)</f>
        <v>0</v>
      </c>
      <c r="Q7">
        <f>SUMIF(RawDataRecovered!$B:$B,$A7,RawDataRecovered!T:T)</f>
        <v>0</v>
      </c>
      <c r="R7">
        <f>SUMIF(RawDataRecovered!$B:$B,$A7,RawDataRecovered!U:U)</f>
        <v>0</v>
      </c>
      <c r="S7">
        <f>SUMIF(RawDataRecovered!$B:$B,$A7,RawDataRecovered!V:V)</f>
        <v>0</v>
      </c>
      <c r="T7">
        <f>SUMIF(RawDataRecovered!$B:$B,$A7,RawDataRecovered!W:W)</f>
        <v>0</v>
      </c>
      <c r="U7">
        <f>SUMIF(RawDataRecovered!$B:$B,$A7,RawDataRecovered!X:X)</f>
        <v>0</v>
      </c>
      <c r="V7">
        <f>SUMIF(RawDataRecovered!$B:$B,$A7,RawDataRecovered!Y:Y)</f>
        <v>0</v>
      </c>
      <c r="W7">
        <f>SUMIF(RawDataRecovered!$B:$B,$A7,RawDataRecovered!Z:Z)</f>
        <v>0</v>
      </c>
      <c r="X7">
        <f>SUMIF(RawDataRecovered!$B:$B,$A7,RawDataRecovered!AA:AA)</f>
        <v>1</v>
      </c>
      <c r="Y7">
        <f>SUMIF(RawDataRecovered!$B:$B,$A7,RawDataRecovered!AB:AB)</f>
        <v>1</v>
      </c>
      <c r="Z7">
        <f>SUMIF(RawDataRecovered!$B:$B,$A7,RawDataRecovered!AC:AC)</f>
        <v>1</v>
      </c>
      <c r="AA7">
        <f>SUMIF(RawDataRecovered!$B:$B,$A7,RawDataRecovered!AD:AD)</f>
        <v>1</v>
      </c>
      <c r="AB7">
        <f>SUMIF(RawDataRecovered!$B:$B,$A7,RawDataRecovered!AE:AE)</f>
        <v>1</v>
      </c>
      <c r="AC7">
        <f>SUMIF(RawDataRecovered!$B:$B,$A7,RawDataRecovered!AF:AF)</f>
        <v>12</v>
      </c>
      <c r="AD7">
        <f>SUMIF(RawDataRecovered!$B:$B,$A7,RawDataRecovered!AG:AG)</f>
        <v>12</v>
      </c>
      <c r="AE7">
        <f>SUMIF(RawDataRecovered!$B:$B,$A7,RawDataRecovered!AH:AH)</f>
        <v>12</v>
      </c>
      <c r="AF7">
        <f>SUMIF(RawDataRecovered!$B:$B,$A7,RawDataRecovered!AI:AI)</f>
        <v>14</v>
      </c>
      <c r="AG7">
        <f>SUMIF(RawDataRecovered!$B:$B,$A7,RawDataRecovered!AJ:AJ)</f>
        <v>14</v>
      </c>
      <c r="AH7">
        <f>SUMIF(RawDataRecovered!$B:$B,$A7,RawDataRecovered!AK:AK)</f>
        <v>14</v>
      </c>
      <c r="AI7">
        <f>SUMIF(RawDataRecovered!$B:$B,$A7,RawDataRecovered!AL:AL)</f>
        <v>14</v>
      </c>
      <c r="AJ7">
        <f>SUMIF(RawDataRecovered!$B:$B,$A7,RawDataRecovered!AM:AM)</f>
        <v>14</v>
      </c>
      <c r="AK7">
        <f>SUMIF(RawDataRecovered!$B:$B,$A7,RawDataRecovered!AN:AN)</f>
        <v>15</v>
      </c>
      <c r="AL7">
        <f>SUMIF(RawDataRecovered!$B:$B,$A7,RawDataRecovered!AO:AO)</f>
        <v>16</v>
      </c>
      <c r="AM7">
        <f>SUMIF(RawDataRecovered!$B:$B,$A7,RawDataRecovered!AP:AP)</f>
        <v>16</v>
      </c>
      <c r="AN7">
        <f>SUMIF(RawDataRecovered!$B:$B,$A7,RawDataRecovered!AQ:AQ)</f>
        <v>16</v>
      </c>
      <c r="AO7">
        <f>SUMIF(RawDataRecovered!$B:$B,$A7,RawDataRecovered!AR:AR)</f>
        <v>16</v>
      </c>
      <c r="AP7">
        <f>SUMIF(RawDataRecovered!$B:$B,$A7,RawDataRecovered!AS:AS)</f>
        <v>16</v>
      </c>
      <c r="AQ7">
        <f>SUMIF(RawDataRecovered!$B:$B,$A7,RawDataRecovered!AT:AT)</f>
        <v>16</v>
      </c>
      <c r="AR7">
        <f>SUMIF(RawDataRecovered!$B:$B,$A7,RawDataRecovered!AU:AU)</f>
        <v>16</v>
      </c>
      <c r="AS7">
        <f>SUMIF(RawDataRecovered!$B:$B,$A7,RawDataRecovered!AV:AV)</f>
        <v>16</v>
      </c>
      <c r="AT7">
        <f>SUMIF(RawDataRecovered!$B:$B,$A7,RawDataRecovered!AW:AW)</f>
        <v>17</v>
      </c>
      <c r="AU7">
        <f>SUMIF(RawDataRecovered!$B:$B,$A7,RawDataRecovered!AX:AX)</f>
        <v>18</v>
      </c>
      <c r="AV7">
        <f>SUMIF(RawDataRecovered!$B:$B,$A7,RawDataRecovered!AY:AY)</f>
        <v>18</v>
      </c>
      <c r="AW7">
        <f>SUMIF(RawDataRecovered!$B:$B,$A7,RawDataRecovered!AZ:AZ)</f>
        <v>18</v>
      </c>
      <c r="AX7">
        <f>SUMIF(RawDataRecovered!$B:$B,$A7,RawDataRecovered!BA:BA)</f>
        <v>18</v>
      </c>
      <c r="AY7">
        <f>SUMIF(RawDataRecovered!$B:$B,$A7,RawDataRecovered!BB:BB)</f>
        <v>25</v>
      </c>
      <c r="AZ7">
        <f>SUMIF(RawDataRecovered!$B:$B,$A7,RawDataRecovered!BC:BC)</f>
        <v>25</v>
      </c>
      <c r="BA7">
        <f>SUMIF(RawDataRecovered!$B:$B,$A7,RawDataRecovered!BD:BD)</f>
        <v>46</v>
      </c>
      <c r="BB7">
        <f>SUMIF(RawDataRecovered!$B:$B,$A7,RawDataRecovered!BE:BE)</f>
        <v>46</v>
      </c>
      <c r="BC7">
        <f>SUMIF(RawDataRecovered!$B:$B,$A7,RawDataRecovered!BF:BF)</f>
        <v>46</v>
      </c>
      <c r="BD7">
        <f>SUMIF(RawDataRecovered!$B:$B,$A7,RawDataRecovered!BG:BG)</f>
        <v>67</v>
      </c>
      <c r="BE7">
        <f>SUMIF(RawDataRecovered!$B:$B,$A7,RawDataRecovered!BH:BH)</f>
        <v>67</v>
      </c>
      <c r="BF7">
        <f>SUMIF(RawDataRecovered!$B:$B,$A7,RawDataRecovered!BI:BI)</f>
        <v>0</v>
      </c>
      <c r="BG7">
        <f>SUMIF(RawDataRecovered!$B:$B,$A7,RawDataRecovered!BJ:BJ)</f>
        <v>0</v>
      </c>
      <c r="BH7">
        <f>SUMIF(RawDataRecovered!$B:$B,$A7,RawDataRecovered!BK:BK)</f>
        <v>0</v>
      </c>
      <c r="BI7">
        <f>SUMIF(RawDataRecovered!$B:$B,$A7,RawDataRecovered!BL:BL)</f>
        <v>0</v>
      </c>
      <c r="BJ7">
        <f>SUMIF(RawDataRecovered!$B:$B,$A7,RawDataRecovered!BM:BM)</f>
        <v>0</v>
      </c>
      <c r="BK7">
        <f>SUMIF(RawDataRecovered!$B:$B,$A7,RawDataRecovered!BN:BN)</f>
        <v>0</v>
      </c>
      <c r="BL7">
        <f>SUMIF(RawDataRecovered!$B:$B,$A7,RawDataRecovered!BO:BO)</f>
        <v>0</v>
      </c>
      <c r="BM7">
        <f>SUMIF(RawDataRecovered!$B:$B,$A7,RawDataRecovered!BP:BP)</f>
        <v>0</v>
      </c>
      <c r="BN7">
        <f>SUMIF(RawDataRecovered!$B:$B,$A7,RawDataRecovered!BQ:BQ)</f>
        <v>0</v>
      </c>
      <c r="BO7">
        <f>SUMIF(RawDataRecovered!$B:$B,$A7,RawDataRecovered!BR:BR)</f>
        <v>0</v>
      </c>
      <c r="BP7">
        <f>SUMIF(RawDataRecovered!$B:$B,$A7,RawDataRecovered!BS:BS)</f>
        <v>0</v>
      </c>
      <c r="BQ7">
        <f>SUMIF(RawDataRecovered!$B:$B,$A7,RawDataRecovered!BT:BT)</f>
        <v>0</v>
      </c>
      <c r="BR7">
        <f>SUMIF(RawDataRecovered!$B:$B,$A7,RawDataRecovered!BU:BU)</f>
        <v>0</v>
      </c>
      <c r="BS7">
        <f>SUMIF(RawDataRecovered!$B:$B,$A7,RawDataRecovered!BV:BV)</f>
        <v>0</v>
      </c>
      <c r="BT7">
        <f>SUMIF(RawDataRecovered!$B:$B,$A7,RawDataRecovered!BW:BW)</f>
        <v>0</v>
      </c>
    </row>
    <row r="8" spans="1:72" ht="15" thickBot="1" x14ac:dyDescent="0.35">
      <c r="A8" s="4" t="s">
        <v>68</v>
      </c>
      <c r="B8">
        <f>SUMIF(RawDataRecovered!$B:$B,$A8,RawDataRecovered!E:E)</f>
        <v>0</v>
      </c>
      <c r="C8">
        <f>SUMIF(RawDataRecovered!$B:$B,$A8,RawDataRecovered!F:F)</f>
        <v>0</v>
      </c>
      <c r="D8">
        <f>SUMIF(RawDataRecovered!$B:$B,$A8,RawDataRecovered!G:G)</f>
        <v>0</v>
      </c>
      <c r="E8">
        <f>SUMIF(RawDataRecovered!$B:$B,$A8,RawDataRecovered!H:H)</f>
        <v>0</v>
      </c>
      <c r="F8">
        <f>SUMIF(RawDataRecovered!$B:$B,$A8,RawDataRecovered!I:I)</f>
        <v>0</v>
      </c>
      <c r="G8">
        <f>SUMIF(RawDataRecovered!$B:$B,$A8,RawDataRecovered!J:J)</f>
        <v>0</v>
      </c>
      <c r="H8">
        <f>SUMIF(RawDataRecovered!$B:$B,$A8,RawDataRecovered!K:K)</f>
        <v>0</v>
      </c>
      <c r="I8">
        <f>SUMIF(RawDataRecovered!$B:$B,$A8,RawDataRecovered!L:L)</f>
        <v>0</v>
      </c>
      <c r="J8">
        <f>SUMIF(RawDataRecovered!$B:$B,$A8,RawDataRecovered!M:M)</f>
        <v>0</v>
      </c>
      <c r="K8">
        <f>SUMIF(RawDataRecovered!$B:$B,$A8,RawDataRecovered!N:N)</f>
        <v>0</v>
      </c>
      <c r="L8">
        <f>SUMIF(RawDataRecovered!$B:$B,$A8,RawDataRecovered!O:O)</f>
        <v>0</v>
      </c>
      <c r="M8">
        <f>SUMIF(RawDataRecovered!$B:$B,$A8,RawDataRecovered!P:P)</f>
        <v>0</v>
      </c>
      <c r="N8">
        <f>SUMIF(RawDataRecovered!$B:$B,$A8,RawDataRecovered!Q:Q)</f>
        <v>0</v>
      </c>
      <c r="O8">
        <f>SUMIF(RawDataRecovered!$B:$B,$A8,RawDataRecovered!R:R)</f>
        <v>0</v>
      </c>
      <c r="P8">
        <f>SUMIF(RawDataRecovered!$B:$B,$A8,RawDataRecovered!S:S)</f>
        <v>0</v>
      </c>
      <c r="Q8">
        <f>SUMIF(RawDataRecovered!$B:$B,$A8,RawDataRecovered!T:T)</f>
        <v>0</v>
      </c>
      <c r="R8">
        <f>SUMIF(RawDataRecovered!$B:$B,$A8,RawDataRecovered!U:U)</f>
        <v>0</v>
      </c>
      <c r="S8">
        <f>SUMIF(RawDataRecovered!$B:$B,$A8,RawDataRecovered!V:V)</f>
        <v>0</v>
      </c>
      <c r="T8">
        <f>SUMIF(RawDataRecovered!$B:$B,$A8,RawDataRecovered!W:W)</f>
        <v>0</v>
      </c>
      <c r="U8">
        <f>SUMIF(RawDataRecovered!$B:$B,$A8,RawDataRecovered!X:X)</f>
        <v>0</v>
      </c>
      <c r="V8">
        <f>SUMIF(RawDataRecovered!$B:$B,$A8,RawDataRecovered!Y:Y)</f>
        <v>0</v>
      </c>
      <c r="W8">
        <f>SUMIF(RawDataRecovered!$B:$B,$A8,RawDataRecovered!Z:Z)</f>
        <v>2</v>
      </c>
      <c r="X8">
        <f>SUMIF(RawDataRecovered!$B:$B,$A8,RawDataRecovered!AA:AA)</f>
        <v>2</v>
      </c>
      <c r="Y8">
        <f>SUMIF(RawDataRecovered!$B:$B,$A8,RawDataRecovered!AB:AB)</f>
        <v>2</v>
      </c>
      <c r="Z8">
        <f>SUMIF(RawDataRecovered!$B:$B,$A8,RawDataRecovered!AC:AC)</f>
        <v>4</v>
      </c>
      <c r="AA8">
        <f>SUMIF(RawDataRecovered!$B:$B,$A8,RawDataRecovered!AD:AD)</f>
        <v>4</v>
      </c>
      <c r="AB8">
        <f>SUMIF(RawDataRecovered!$B:$B,$A8,RawDataRecovered!AE:AE)</f>
        <v>4</v>
      </c>
      <c r="AC8">
        <f>SUMIF(RawDataRecovered!$B:$B,$A8,RawDataRecovered!AF:AF)</f>
        <v>4</v>
      </c>
      <c r="AD8">
        <f>SUMIF(RawDataRecovered!$B:$B,$A8,RawDataRecovered!AG:AG)</f>
        <v>4</v>
      </c>
      <c r="AE8">
        <f>SUMIF(RawDataRecovered!$B:$B,$A8,RawDataRecovered!AH:AH)</f>
        <v>4</v>
      </c>
      <c r="AF8">
        <f>SUMIF(RawDataRecovered!$B:$B,$A8,RawDataRecovered!AI:AI)</f>
        <v>4</v>
      </c>
      <c r="AG8">
        <f>SUMIF(RawDataRecovered!$B:$B,$A8,RawDataRecovered!AJ:AJ)</f>
        <v>4</v>
      </c>
      <c r="AH8">
        <f>SUMIF(RawDataRecovered!$B:$B,$A8,RawDataRecovered!AK:AK)</f>
        <v>4</v>
      </c>
      <c r="AI8">
        <f>SUMIF(RawDataRecovered!$B:$B,$A8,RawDataRecovered!AL:AL)</f>
        <v>4</v>
      </c>
      <c r="AJ8">
        <f>SUMIF(RawDataRecovered!$B:$B,$A8,RawDataRecovered!AM:AM)</f>
        <v>11</v>
      </c>
      <c r="AK8">
        <f>SUMIF(RawDataRecovered!$B:$B,$A8,RawDataRecovered!AN:AN)</f>
        <v>11</v>
      </c>
      <c r="AL8">
        <f>SUMIF(RawDataRecovered!$B:$B,$A8,RawDataRecovered!AO:AO)</f>
        <v>11</v>
      </c>
      <c r="AM8">
        <f>SUMIF(RawDataRecovered!$B:$B,$A8,RawDataRecovered!AP:AP)</f>
        <v>11</v>
      </c>
      <c r="AN8">
        <f>SUMIF(RawDataRecovered!$B:$B,$A8,RawDataRecovered!AQ:AQ)</f>
        <v>12</v>
      </c>
      <c r="AO8">
        <f>SUMIF(RawDataRecovered!$B:$B,$A8,RawDataRecovered!AR:AR)</f>
        <v>12</v>
      </c>
      <c r="AP8">
        <f>SUMIF(RawDataRecovered!$B:$B,$A8,RawDataRecovered!AS:AS)</f>
        <v>12</v>
      </c>
      <c r="AQ8">
        <f>SUMIF(RawDataRecovered!$B:$B,$A8,RawDataRecovered!AT:AT)</f>
        <v>12</v>
      </c>
      <c r="AR8">
        <f>SUMIF(RawDataRecovered!$B:$B,$A8,RawDataRecovered!AU:AU)</f>
        <v>12</v>
      </c>
      <c r="AS8">
        <f>SUMIF(RawDataRecovered!$B:$B,$A8,RawDataRecovered!AV:AV)</f>
        <v>12</v>
      </c>
      <c r="AT8">
        <f>SUMIF(RawDataRecovered!$B:$B,$A8,RawDataRecovered!AW:AW)</f>
        <v>12</v>
      </c>
      <c r="AU8">
        <f>SUMIF(RawDataRecovered!$B:$B,$A8,RawDataRecovered!AX:AX)</f>
        <v>12</v>
      </c>
      <c r="AV8">
        <f>SUMIF(RawDataRecovered!$B:$B,$A8,RawDataRecovered!AY:AY)</f>
        <v>12</v>
      </c>
      <c r="AW8">
        <f>SUMIF(RawDataRecovered!$B:$B,$A8,RawDataRecovered!AZ:AZ)</f>
        <v>12</v>
      </c>
      <c r="AX8">
        <f>SUMIF(RawDataRecovered!$B:$B,$A8,RawDataRecovered!BA:BA)</f>
        <v>12</v>
      </c>
      <c r="AY8">
        <f>SUMIF(RawDataRecovered!$B:$B,$A8,RawDataRecovered!BB:BB)</f>
        <v>12</v>
      </c>
      <c r="AZ8">
        <f>SUMIF(RawDataRecovered!$B:$B,$A8,RawDataRecovered!BC:BC)</f>
        <v>12</v>
      </c>
      <c r="BA8">
        <f>SUMIF(RawDataRecovered!$B:$B,$A8,RawDataRecovered!BD:BD)</f>
        <v>12</v>
      </c>
      <c r="BB8">
        <f>SUMIF(RawDataRecovered!$B:$B,$A8,RawDataRecovered!BE:BE)</f>
        <v>12</v>
      </c>
      <c r="BC8">
        <f>SUMIF(RawDataRecovered!$B:$B,$A8,RawDataRecovered!BF:BF)</f>
        <v>12</v>
      </c>
      <c r="BD8">
        <f>SUMIF(RawDataRecovered!$B:$B,$A8,RawDataRecovered!BG:BG)</f>
        <v>12</v>
      </c>
      <c r="BE8">
        <f>SUMIF(RawDataRecovered!$B:$B,$A8,RawDataRecovered!BH:BH)</f>
        <v>12</v>
      </c>
      <c r="BF8">
        <f>SUMIF(RawDataRecovered!$B:$B,$A8,RawDataRecovered!BI:BI)</f>
        <v>0</v>
      </c>
      <c r="BG8">
        <f>SUMIF(RawDataRecovered!$B:$B,$A8,RawDataRecovered!BJ:BJ)</f>
        <v>0</v>
      </c>
      <c r="BH8">
        <f>SUMIF(RawDataRecovered!$B:$B,$A8,RawDataRecovered!BK:BK)</f>
        <v>0</v>
      </c>
      <c r="BI8">
        <f>SUMIF(RawDataRecovered!$B:$B,$A8,RawDataRecovered!BL:BL)</f>
        <v>0</v>
      </c>
      <c r="BJ8">
        <f>SUMIF(RawDataRecovered!$B:$B,$A8,RawDataRecovered!BM:BM)</f>
        <v>0</v>
      </c>
      <c r="BK8">
        <f>SUMIF(RawDataRecovered!$B:$B,$A8,RawDataRecovered!BN:BN)</f>
        <v>0</v>
      </c>
      <c r="BL8">
        <f>SUMIF(RawDataRecovered!$B:$B,$A8,RawDataRecovered!BO:BO)</f>
        <v>0</v>
      </c>
      <c r="BM8">
        <f>SUMIF(RawDataRecovered!$B:$B,$A8,RawDataRecovered!BP:BP)</f>
        <v>0</v>
      </c>
      <c r="BN8">
        <f>SUMIF(RawDataRecovered!$B:$B,$A8,RawDataRecovered!BQ:BQ)</f>
        <v>0</v>
      </c>
      <c r="BO8">
        <f>SUMIF(RawDataRecovered!$B:$B,$A8,RawDataRecovered!BR:BR)</f>
        <v>0</v>
      </c>
      <c r="BP8">
        <f>SUMIF(RawDataRecovered!$B:$B,$A8,RawDataRecovered!BS:BS)</f>
        <v>0</v>
      </c>
      <c r="BQ8">
        <f>SUMIF(RawDataRecovered!$B:$B,$A8,RawDataRecovered!BT:BT)</f>
        <v>0</v>
      </c>
      <c r="BR8">
        <f>SUMIF(RawDataRecovered!$B:$B,$A8,RawDataRecovered!BU:BU)</f>
        <v>0</v>
      </c>
      <c r="BS8">
        <f>SUMIF(RawDataRecovered!$B:$B,$A8,RawDataRecovered!BV:BV)</f>
        <v>0</v>
      </c>
      <c r="BT8">
        <f>SUMIF(RawDataRecovered!$B:$B,$A8,RawDataRecovered!BW:BW)</f>
        <v>0</v>
      </c>
    </row>
    <row r="9" spans="1:72" ht="15" thickBot="1" x14ac:dyDescent="0.35">
      <c r="A9" s="3" t="s">
        <v>65</v>
      </c>
      <c r="B9">
        <f>SUMIF(RawDataRecovered!$B:$B,$A9,RawDataRecovered!E:E)</f>
        <v>0</v>
      </c>
      <c r="C9">
        <f>SUMIF(RawDataRecovered!$B:$B,$A9,RawDataRecovered!F:F)</f>
        <v>0</v>
      </c>
      <c r="D9">
        <f>SUMIF(RawDataRecovered!$B:$B,$A9,RawDataRecovered!G:G)</f>
        <v>0</v>
      </c>
      <c r="E9">
        <f>SUMIF(RawDataRecovered!$B:$B,$A9,RawDataRecovered!H:H)</f>
        <v>0</v>
      </c>
      <c r="F9">
        <f>SUMIF(RawDataRecovered!$B:$B,$A9,RawDataRecovered!I:I)</f>
        <v>0</v>
      </c>
      <c r="G9">
        <f>SUMIF(RawDataRecovered!$B:$B,$A9,RawDataRecovered!J:J)</f>
        <v>0</v>
      </c>
      <c r="H9">
        <f>SUMIF(RawDataRecovered!$B:$B,$A9,RawDataRecovered!K:K)</f>
        <v>0</v>
      </c>
      <c r="I9">
        <f>SUMIF(RawDataRecovered!$B:$B,$A9,RawDataRecovered!L:L)</f>
        <v>0</v>
      </c>
      <c r="J9">
        <f>SUMIF(RawDataRecovered!$B:$B,$A9,RawDataRecovered!M:M)</f>
        <v>0</v>
      </c>
      <c r="K9">
        <f>SUMIF(RawDataRecovered!$B:$B,$A9,RawDataRecovered!N:N)</f>
        <v>0</v>
      </c>
      <c r="L9">
        <f>SUMIF(RawDataRecovered!$B:$B,$A9,RawDataRecovered!O:O)</f>
        <v>0</v>
      </c>
      <c r="M9">
        <f>SUMIF(RawDataRecovered!$B:$B,$A9,RawDataRecovered!P:P)</f>
        <v>0</v>
      </c>
      <c r="N9">
        <f>SUMIF(RawDataRecovered!$B:$B,$A9,RawDataRecovered!Q:Q)</f>
        <v>0</v>
      </c>
      <c r="O9">
        <f>SUMIF(RawDataRecovered!$B:$B,$A9,RawDataRecovered!R:R)</f>
        <v>0</v>
      </c>
      <c r="P9">
        <f>SUMIF(RawDataRecovered!$B:$B,$A9,RawDataRecovered!S:S)</f>
        <v>0</v>
      </c>
      <c r="Q9">
        <f>SUMIF(RawDataRecovered!$B:$B,$A9,RawDataRecovered!T:T)</f>
        <v>0</v>
      </c>
      <c r="R9">
        <f>SUMIF(RawDataRecovered!$B:$B,$A9,RawDataRecovered!U:U)</f>
        <v>0</v>
      </c>
      <c r="S9">
        <f>SUMIF(RawDataRecovered!$B:$B,$A9,RawDataRecovered!V:V)</f>
        <v>0</v>
      </c>
      <c r="T9">
        <f>SUMIF(RawDataRecovered!$B:$B,$A9,RawDataRecovered!W:W)</f>
        <v>3</v>
      </c>
      <c r="U9">
        <f>SUMIF(RawDataRecovered!$B:$B,$A9,RawDataRecovered!X:X)</f>
        <v>3</v>
      </c>
      <c r="V9">
        <f>SUMIF(RawDataRecovered!$B:$B,$A9,RawDataRecovered!Y:Y)</f>
        <v>3</v>
      </c>
      <c r="W9">
        <f>SUMIF(RawDataRecovered!$B:$B,$A9,RawDataRecovered!Z:Z)</f>
        <v>3</v>
      </c>
      <c r="X9">
        <f>SUMIF(RawDataRecovered!$B:$B,$A9,RawDataRecovered!AA:AA)</f>
        <v>3</v>
      </c>
      <c r="Y9">
        <f>SUMIF(RawDataRecovered!$B:$B,$A9,RawDataRecovered!AB:AB)</f>
        <v>3</v>
      </c>
      <c r="Z9">
        <f>SUMIF(RawDataRecovered!$B:$B,$A9,RawDataRecovered!AC:AC)</f>
        <v>3</v>
      </c>
      <c r="AA9">
        <f>SUMIF(RawDataRecovered!$B:$B,$A9,RawDataRecovered!AD:AD)</f>
        <v>3</v>
      </c>
      <c r="AB9">
        <f>SUMIF(RawDataRecovered!$B:$B,$A9,RawDataRecovered!AE:AE)</f>
        <v>3</v>
      </c>
      <c r="AC9">
        <f>SUMIF(RawDataRecovered!$B:$B,$A9,RawDataRecovered!AF:AF)</f>
        <v>3</v>
      </c>
      <c r="AD9">
        <f>SUMIF(RawDataRecovered!$B:$B,$A9,RawDataRecovered!AG:AG)</f>
        <v>3</v>
      </c>
      <c r="AE9">
        <f>SUMIF(RawDataRecovered!$B:$B,$A9,RawDataRecovered!AH:AH)</f>
        <v>3</v>
      </c>
      <c r="AF9">
        <f>SUMIF(RawDataRecovered!$B:$B,$A9,RawDataRecovered!AI:AI)</f>
        <v>5</v>
      </c>
      <c r="AG9">
        <f>SUMIF(RawDataRecovered!$B:$B,$A9,RawDataRecovered!AJ:AJ)</f>
        <v>5</v>
      </c>
      <c r="AH9">
        <f>SUMIF(RawDataRecovered!$B:$B,$A9,RawDataRecovered!AK:AK)</f>
        <v>5</v>
      </c>
      <c r="AI9">
        <f>SUMIF(RawDataRecovered!$B:$B,$A9,RawDataRecovered!AL:AL)</f>
        <v>5</v>
      </c>
      <c r="AJ9">
        <f>SUMIF(RawDataRecovered!$B:$B,$A9,RawDataRecovered!AM:AM)</f>
        <v>6</v>
      </c>
      <c r="AK9">
        <f>SUMIF(RawDataRecovered!$B:$B,$A9,RawDataRecovered!AN:AN)</f>
        <v>6</v>
      </c>
      <c r="AL9">
        <f>SUMIF(RawDataRecovered!$B:$B,$A9,RawDataRecovered!AO:AO)</f>
        <v>6</v>
      </c>
      <c r="AM9">
        <f>SUMIF(RawDataRecovered!$B:$B,$A9,RawDataRecovered!AP:AP)</f>
        <v>7</v>
      </c>
      <c r="AN9">
        <f>SUMIF(RawDataRecovered!$B:$B,$A9,RawDataRecovered!AQ:AQ)</f>
        <v>7</v>
      </c>
      <c r="AO9">
        <f>SUMIF(RawDataRecovered!$B:$B,$A9,RawDataRecovered!AR:AR)</f>
        <v>7</v>
      </c>
      <c r="AP9">
        <f>SUMIF(RawDataRecovered!$B:$B,$A9,RawDataRecovered!AS:AS)</f>
        <v>7</v>
      </c>
      <c r="AQ9">
        <f>SUMIF(RawDataRecovered!$B:$B,$A9,RawDataRecovered!AT:AT)</f>
        <v>7</v>
      </c>
      <c r="AR9">
        <f>SUMIF(RawDataRecovered!$B:$B,$A9,RawDataRecovered!AU:AU)</f>
        <v>7</v>
      </c>
      <c r="AS9">
        <f>SUMIF(RawDataRecovered!$B:$B,$A9,RawDataRecovered!AV:AV)</f>
        <v>7</v>
      </c>
      <c r="AT9">
        <f>SUMIF(RawDataRecovered!$B:$B,$A9,RawDataRecovered!AW:AW)</f>
        <v>7</v>
      </c>
      <c r="AU9">
        <f>SUMIF(RawDataRecovered!$B:$B,$A9,RawDataRecovered!AX:AX)</f>
        <v>7</v>
      </c>
      <c r="AV9">
        <f>SUMIF(RawDataRecovered!$B:$B,$A9,RawDataRecovered!AY:AY)</f>
        <v>7</v>
      </c>
      <c r="AW9">
        <f>SUMIF(RawDataRecovered!$B:$B,$A9,RawDataRecovered!AZ:AZ)</f>
        <v>7</v>
      </c>
      <c r="AX9">
        <f>SUMIF(RawDataRecovered!$B:$B,$A9,RawDataRecovered!BA:BA)</f>
        <v>8</v>
      </c>
      <c r="AY9">
        <f>SUMIF(RawDataRecovered!$B:$B,$A9,RawDataRecovered!BB:BB)</f>
        <v>8</v>
      </c>
      <c r="AZ9">
        <f>SUMIF(RawDataRecovered!$B:$B,$A9,RawDataRecovered!BC:BC)</f>
        <v>12</v>
      </c>
      <c r="BA9">
        <f>SUMIF(RawDataRecovered!$B:$B,$A9,RawDataRecovered!BD:BD)</f>
        <v>12</v>
      </c>
      <c r="BB9">
        <f>SUMIF(RawDataRecovered!$B:$B,$A9,RawDataRecovered!BE:BE)</f>
        <v>12</v>
      </c>
      <c r="BC9">
        <f>SUMIF(RawDataRecovered!$B:$B,$A9,RawDataRecovered!BF:BF)</f>
        <v>12</v>
      </c>
      <c r="BD9">
        <f>SUMIF(RawDataRecovered!$B:$B,$A9,RawDataRecovered!BG:BG)</f>
        <v>17</v>
      </c>
      <c r="BE9">
        <f>SUMIF(RawDataRecovered!$B:$B,$A9,RawDataRecovered!BH:BH)</f>
        <v>17</v>
      </c>
      <c r="BF9">
        <f>SUMIF(RawDataRecovered!$B:$B,$A9,RawDataRecovered!BI:BI)</f>
        <v>0</v>
      </c>
      <c r="BG9">
        <f>SUMIF(RawDataRecovered!$B:$B,$A9,RawDataRecovered!BJ:BJ)</f>
        <v>0</v>
      </c>
      <c r="BH9">
        <f>SUMIF(RawDataRecovered!$B:$B,$A9,RawDataRecovered!BK:BK)</f>
        <v>0</v>
      </c>
      <c r="BI9">
        <f>SUMIF(RawDataRecovered!$B:$B,$A9,RawDataRecovered!BL:BL)</f>
        <v>0</v>
      </c>
      <c r="BJ9">
        <f>SUMIF(RawDataRecovered!$B:$B,$A9,RawDataRecovered!BM:BM)</f>
        <v>0</v>
      </c>
      <c r="BK9">
        <f>SUMIF(RawDataRecovered!$B:$B,$A9,RawDataRecovered!BN:BN)</f>
        <v>0</v>
      </c>
      <c r="BL9">
        <f>SUMIF(RawDataRecovered!$B:$B,$A9,RawDataRecovered!BO:BO)</f>
        <v>0</v>
      </c>
      <c r="BM9">
        <f>SUMIF(RawDataRecovered!$B:$B,$A9,RawDataRecovered!BP:BP)</f>
        <v>0</v>
      </c>
      <c r="BN9">
        <f>SUMIF(RawDataRecovered!$B:$B,$A9,RawDataRecovered!BQ:BQ)</f>
        <v>0</v>
      </c>
      <c r="BO9">
        <f>SUMIF(RawDataRecovered!$B:$B,$A9,RawDataRecovered!BR:BR)</f>
        <v>0</v>
      </c>
      <c r="BP9">
        <f>SUMIF(RawDataRecovered!$B:$B,$A9,RawDataRecovered!BS:BS)</f>
        <v>0</v>
      </c>
      <c r="BQ9">
        <f>SUMIF(RawDataRecovered!$B:$B,$A9,RawDataRecovered!BT:BT)</f>
        <v>0</v>
      </c>
      <c r="BR9">
        <f>SUMIF(RawDataRecovered!$B:$B,$A9,RawDataRecovered!BU:BU)</f>
        <v>0</v>
      </c>
      <c r="BS9">
        <f>SUMIF(RawDataRecovered!$B:$B,$A9,RawDataRecovered!BV:BV)</f>
        <v>0</v>
      </c>
      <c r="BT9">
        <f>SUMIF(RawDataRecovered!$B:$B,$A9,RawDataRecovered!BW:BW)</f>
        <v>0</v>
      </c>
    </row>
    <row r="10" spans="1:72" ht="15" thickBot="1" x14ac:dyDescent="0.35">
      <c r="A10" s="4" t="s">
        <v>104</v>
      </c>
      <c r="B10">
        <f>SUMIF(RawDataRecovered!$B:$B,$A10,RawDataRecovered!E:E)</f>
        <v>0</v>
      </c>
      <c r="C10">
        <f>SUMIF(RawDataRecovered!$B:$B,$A10,RawDataRecovered!F:F)</f>
        <v>0</v>
      </c>
      <c r="D10">
        <f>SUMIF(RawDataRecovered!$B:$B,$A10,RawDataRecovered!G:G)</f>
        <v>0</v>
      </c>
      <c r="E10">
        <f>SUMIF(RawDataRecovered!$B:$B,$A10,RawDataRecovered!H:H)</f>
        <v>0</v>
      </c>
      <c r="F10">
        <f>SUMIF(RawDataRecovered!$B:$B,$A10,RawDataRecovered!I:I)</f>
        <v>0</v>
      </c>
      <c r="G10">
        <f>SUMIF(RawDataRecovered!$B:$B,$A10,RawDataRecovered!J:J)</f>
        <v>0</v>
      </c>
      <c r="H10">
        <f>SUMIF(RawDataRecovered!$B:$B,$A10,RawDataRecovered!K:K)</f>
        <v>0</v>
      </c>
      <c r="I10">
        <f>SUMIF(RawDataRecovered!$B:$B,$A10,RawDataRecovered!L:L)</f>
        <v>0</v>
      </c>
      <c r="J10">
        <f>SUMIF(RawDataRecovered!$B:$B,$A10,RawDataRecovered!M:M)</f>
        <v>0</v>
      </c>
      <c r="K10">
        <f>SUMIF(RawDataRecovered!$B:$B,$A10,RawDataRecovered!N:N)</f>
        <v>0</v>
      </c>
      <c r="L10">
        <f>SUMIF(RawDataRecovered!$B:$B,$A10,RawDataRecovered!O:O)</f>
        <v>0</v>
      </c>
      <c r="M10">
        <f>SUMIF(RawDataRecovered!$B:$B,$A10,RawDataRecovered!P:P)</f>
        <v>0</v>
      </c>
      <c r="N10">
        <f>SUMIF(RawDataRecovered!$B:$B,$A10,RawDataRecovered!Q:Q)</f>
        <v>0</v>
      </c>
      <c r="O10">
        <f>SUMIF(RawDataRecovered!$B:$B,$A10,RawDataRecovered!R:R)</f>
        <v>0</v>
      </c>
      <c r="P10">
        <f>SUMIF(RawDataRecovered!$B:$B,$A10,RawDataRecovered!S:S)</f>
        <v>0</v>
      </c>
      <c r="Q10">
        <f>SUMIF(RawDataRecovered!$B:$B,$A10,RawDataRecovered!T:T)</f>
        <v>0</v>
      </c>
      <c r="R10">
        <f>SUMIF(RawDataRecovered!$B:$B,$A10,RawDataRecovered!U:U)</f>
        <v>0</v>
      </c>
      <c r="S10">
        <f>SUMIF(RawDataRecovered!$B:$B,$A10,RawDataRecovered!V:V)</f>
        <v>0</v>
      </c>
      <c r="T10">
        <f>SUMIF(RawDataRecovered!$B:$B,$A10,RawDataRecovered!W:W)</f>
        <v>0</v>
      </c>
      <c r="U10">
        <f>SUMIF(RawDataRecovered!$B:$B,$A10,RawDataRecovered!X:X)</f>
        <v>0</v>
      </c>
      <c r="V10">
        <f>SUMIF(RawDataRecovered!$B:$B,$A10,RawDataRecovered!Y:Y)</f>
        <v>0</v>
      </c>
      <c r="W10">
        <f>SUMIF(RawDataRecovered!$B:$B,$A10,RawDataRecovered!Z:Z)</f>
        <v>0</v>
      </c>
      <c r="X10">
        <f>SUMIF(RawDataRecovered!$B:$B,$A10,RawDataRecovered!AA:AA)</f>
        <v>0</v>
      </c>
      <c r="Y10">
        <f>SUMIF(RawDataRecovered!$B:$B,$A10,RawDataRecovered!AB:AB)</f>
        <v>0</v>
      </c>
      <c r="Z10">
        <f>SUMIF(RawDataRecovered!$B:$B,$A10,RawDataRecovered!AC:AC)</f>
        <v>0</v>
      </c>
      <c r="AA10">
        <f>SUMIF(RawDataRecovered!$B:$B,$A10,RawDataRecovered!AD:AD)</f>
        <v>0</v>
      </c>
      <c r="AB10">
        <f>SUMIF(RawDataRecovered!$B:$B,$A10,RawDataRecovered!AE:AE)</f>
        <v>0</v>
      </c>
      <c r="AC10">
        <f>SUMIF(RawDataRecovered!$B:$B,$A10,RawDataRecovered!AF:AF)</f>
        <v>0</v>
      </c>
      <c r="AD10">
        <f>SUMIF(RawDataRecovered!$B:$B,$A10,RawDataRecovered!AG:AG)</f>
        <v>0</v>
      </c>
      <c r="AE10">
        <f>SUMIF(RawDataRecovered!$B:$B,$A10,RawDataRecovered!AH:AH)</f>
        <v>0</v>
      </c>
      <c r="AF10">
        <f>SUMIF(RawDataRecovered!$B:$B,$A10,RawDataRecovered!AI:AI)</f>
        <v>0</v>
      </c>
      <c r="AG10">
        <f>SUMIF(RawDataRecovered!$B:$B,$A10,RawDataRecovered!AJ:AJ)</f>
        <v>0</v>
      </c>
      <c r="AH10">
        <f>SUMIF(RawDataRecovered!$B:$B,$A10,RawDataRecovered!AK:AK)</f>
        <v>0</v>
      </c>
      <c r="AI10">
        <f>SUMIF(RawDataRecovered!$B:$B,$A10,RawDataRecovered!AL:AL)</f>
        <v>0</v>
      </c>
      <c r="AJ10">
        <f>SUMIF(RawDataRecovered!$B:$B,$A10,RawDataRecovered!AM:AM)</f>
        <v>0</v>
      </c>
      <c r="AK10">
        <f>SUMIF(RawDataRecovered!$B:$B,$A10,RawDataRecovered!AN:AN)</f>
        <v>0</v>
      </c>
      <c r="AL10">
        <f>SUMIF(RawDataRecovered!$B:$B,$A10,RawDataRecovered!AO:AO)</f>
        <v>0</v>
      </c>
      <c r="AM10">
        <f>SUMIF(RawDataRecovered!$B:$B,$A10,RawDataRecovered!AP:AP)</f>
        <v>0</v>
      </c>
      <c r="AN10">
        <f>SUMIF(RawDataRecovered!$B:$B,$A10,RawDataRecovered!AQ:AQ)</f>
        <v>0</v>
      </c>
      <c r="AO10">
        <f>SUMIF(RawDataRecovered!$B:$B,$A10,RawDataRecovered!AR:AR)</f>
        <v>0</v>
      </c>
      <c r="AP10">
        <f>SUMIF(RawDataRecovered!$B:$B,$A10,RawDataRecovered!AS:AS)</f>
        <v>0</v>
      </c>
      <c r="AQ10">
        <f>SUMIF(RawDataRecovered!$B:$B,$A10,RawDataRecovered!AT:AT)</f>
        <v>2</v>
      </c>
      <c r="AR10">
        <f>SUMIF(RawDataRecovered!$B:$B,$A10,RawDataRecovered!AU:AU)</f>
        <v>3</v>
      </c>
      <c r="AS10">
        <f>SUMIF(RawDataRecovered!$B:$B,$A10,RawDataRecovered!AV:AV)</f>
        <v>3</v>
      </c>
      <c r="AT10">
        <f>SUMIF(RawDataRecovered!$B:$B,$A10,RawDataRecovered!AW:AW)</f>
        <v>3</v>
      </c>
      <c r="AU10">
        <f>SUMIF(RawDataRecovered!$B:$B,$A10,RawDataRecovered!AX:AX)</f>
        <v>3</v>
      </c>
      <c r="AV10">
        <f>SUMIF(RawDataRecovered!$B:$B,$A10,RawDataRecovered!AY:AY)</f>
        <v>3</v>
      </c>
      <c r="AW10">
        <f>SUMIF(RawDataRecovered!$B:$B,$A10,RawDataRecovered!AZ:AZ)</f>
        <v>3</v>
      </c>
      <c r="AX10">
        <f>SUMIF(RawDataRecovered!$B:$B,$A10,RawDataRecovered!BA:BA)</f>
        <v>3</v>
      </c>
      <c r="AY10">
        <f>SUMIF(RawDataRecovered!$B:$B,$A10,RawDataRecovered!BB:BB)</f>
        <v>4</v>
      </c>
      <c r="AZ10">
        <f>SUMIF(RawDataRecovered!$B:$B,$A10,RawDataRecovered!BC:BC)</f>
        <v>4</v>
      </c>
      <c r="BA10">
        <f>SUMIF(RawDataRecovered!$B:$B,$A10,RawDataRecovered!BD:BD)</f>
        <v>4</v>
      </c>
      <c r="BB10">
        <f>SUMIF(RawDataRecovered!$B:$B,$A10,RawDataRecovered!BE:BE)</f>
        <v>4</v>
      </c>
      <c r="BC10">
        <f>SUMIF(RawDataRecovered!$B:$B,$A10,RawDataRecovered!BF:BF)</f>
        <v>4</v>
      </c>
      <c r="BD10">
        <f>SUMIF(RawDataRecovered!$B:$B,$A10,RawDataRecovered!BG:BG)</f>
        <v>4</v>
      </c>
      <c r="BE10">
        <f>SUMIF(RawDataRecovered!$B:$B,$A10,RawDataRecovered!BH:BH)</f>
        <v>4</v>
      </c>
      <c r="BF10">
        <f>SUMIF(RawDataRecovered!$B:$B,$A10,RawDataRecovered!BI:BI)</f>
        <v>0</v>
      </c>
      <c r="BG10">
        <f>SUMIF(RawDataRecovered!$B:$B,$A10,RawDataRecovered!BJ:BJ)</f>
        <v>0</v>
      </c>
      <c r="BH10">
        <f>SUMIF(RawDataRecovered!$B:$B,$A10,RawDataRecovered!BK:BK)</f>
        <v>0</v>
      </c>
      <c r="BI10">
        <f>SUMIF(RawDataRecovered!$B:$B,$A10,RawDataRecovered!BL:BL)</f>
        <v>0</v>
      </c>
      <c r="BJ10">
        <f>SUMIF(RawDataRecovered!$B:$B,$A10,RawDataRecovered!BM:BM)</f>
        <v>0</v>
      </c>
      <c r="BK10">
        <f>SUMIF(RawDataRecovered!$B:$B,$A10,RawDataRecovered!BN:BN)</f>
        <v>0</v>
      </c>
      <c r="BL10">
        <f>SUMIF(RawDataRecovered!$B:$B,$A10,RawDataRecovered!BO:BO)</f>
        <v>0</v>
      </c>
      <c r="BM10">
        <f>SUMIF(RawDataRecovered!$B:$B,$A10,RawDataRecovered!BP:BP)</f>
        <v>0</v>
      </c>
      <c r="BN10">
        <f>SUMIF(RawDataRecovered!$B:$B,$A10,RawDataRecovered!BQ:BQ)</f>
        <v>0</v>
      </c>
      <c r="BO10">
        <f>SUMIF(RawDataRecovered!$B:$B,$A10,RawDataRecovered!BR:BR)</f>
        <v>0</v>
      </c>
      <c r="BP10">
        <f>SUMIF(RawDataRecovered!$B:$B,$A10,RawDataRecovered!BS:BS)</f>
        <v>0</v>
      </c>
      <c r="BQ10">
        <f>SUMIF(RawDataRecovered!$B:$B,$A10,RawDataRecovered!BT:BT)</f>
        <v>0</v>
      </c>
      <c r="BR10">
        <f>SUMIF(RawDataRecovered!$B:$B,$A10,RawDataRecovered!BU:BU)</f>
        <v>0</v>
      </c>
      <c r="BS10">
        <f>SUMIF(RawDataRecovered!$B:$B,$A10,RawDataRecovered!BV:BV)</f>
        <v>0</v>
      </c>
      <c r="BT10">
        <f>SUMIF(RawDataRecovered!$B:$B,$A10,RawDataRecovered!BW:BW)</f>
        <v>0</v>
      </c>
    </row>
    <row r="11" spans="1:72" ht="15" thickBot="1" x14ac:dyDescent="0.35">
      <c r="A11" s="4" t="s">
        <v>112</v>
      </c>
      <c r="B11">
        <f>SUMIF(RawDataRecovered!$B:$B,$A11,RawDataRecovered!E:E)</f>
        <v>0</v>
      </c>
      <c r="C11">
        <f>SUMIF(RawDataRecovered!$B:$B,$A11,RawDataRecovered!F:F)</f>
        <v>0</v>
      </c>
      <c r="D11">
        <f>SUMIF(RawDataRecovered!$B:$B,$A11,RawDataRecovered!G:G)</f>
        <v>0</v>
      </c>
      <c r="E11">
        <f>SUMIF(RawDataRecovered!$B:$B,$A11,RawDataRecovered!H:H)</f>
        <v>0</v>
      </c>
      <c r="F11">
        <f>SUMIF(RawDataRecovered!$B:$B,$A11,RawDataRecovered!I:I)</f>
        <v>0</v>
      </c>
      <c r="G11">
        <f>SUMIF(RawDataRecovered!$B:$B,$A11,RawDataRecovered!J:J)</f>
        <v>0</v>
      </c>
      <c r="H11">
        <f>SUMIF(RawDataRecovered!$B:$B,$A11,RawDataRecovered!K:K)</f>
        <v>0</v>
      </c>
      <c r="I11">
        <f>SUMIF(RawDataRecovered!$B:$B,$A11,RawDataRecovered!L:L)</f>
        <v>0</v>
      </c>
      <c r="J11">
        <f>SUMIF(RawDataRecovered!$B:$B,$A11,RawDataRecovered!M:M)</f>
        <v>0</v>
      </c>
      <c r="K11">
        <f>SUMIF(RawDataRecovered!$B:$B,$A11,RawDataRecovered!N:N)</f>
        <v>0</v>
      </c>
      <c r="L11">
        <f>SUMIF(RawDataRecovered!$B:$B,$A11,RawDataRecovered!O:O)</f>
        <v>0</v>
      </c>
      <c r="M11">
        <f>SUMIF(RawDataRecovered!$B:$B,$A11,RawDataRecovered!P:P)</f>
        <v>0</v>
      </c>
      <c r="N11">
        <f>SUMIF(RawDataRecovered!$B:$B,$A11,RawDataRecovered!Q:Q)</f>
        <v>0</v>
      </c>
      <c r="O11">
        <f>SUMIF(RawDataRecovered!$B:$B,$A11,RawDataRecovered!R:R)</f>
        <v>0</v>
      </c>
      <c r="P11">
        <f>SUMIF(RawDataRecovered!$B:$B,$A11,RawDataRecovered!S:S)</f>
        <v>0</v>
      </c>
      <c r="Q11">
        <f>SUMIF(RawDataRecovered!$B:$B,$A11,RawDataRecovered!T:T)</f>
        <v>0</v>
      </c>
      <c r="R11">
        <f>SUMIF(RawDataRecovered!$B:$B,$A11,RawDataRecovered!U:U)</f>
        <v>0</v>
      </c>
      <c r="S11">
        <f>SUMIF(RawDataRecovered!$B:$B,$A11,RawDataRecovered!V:V)</f>
        <v>0</v>
      </c>
      <c r="T11">
        <f>SUMIF(RawDataRecovered!$B:$B,$A11,RawDataRecovered!W:W)</f>
        <v>0</v>
      </c>
      <c r="U11">
        <f>SUMIF(RawDataRecovered!$B:$B,$A11,RawDataRecovered!X:X)</f>
        <v>0</v>
      </c>
      <c r="V11">
        <f>SUMIF(RawDataRecovered!$B:$B,$A11,RawDataRecovered!Y:Y)</f>
        <v>0</v>
      </c>
      <c r="W11">
        <f>SUMIF(RawDataRecovered!$B:$B,$A11,RawDataRecovered!Z:Z)</f>
        <v>0</v>
      </c>
      <c r="X11">
        <f>SUMIF(RawDataRecovered!$B:$B,$A11,RawDataRecovered!AA:AA)</f>
        <v>0</v>
      </c>
      <c r="Y11">
        <f>SUMIF(RawDataRecovered!$B:$B,$A11,RawDataRecovered!AB:AB)</f>
        <v>0</v>
      </c>
      <c r="Z11">
        <f>SUMIF(RawDataRecovered!$B:$B,$A11,RawDataRecovered!AC:AC)</f>
        <v>0</v>
      </c>
      <c r="AA11">
        <f>SUMIF(RawDataRecovered!$B:$B,$A11,RawDataRecovered!AD:AD)</f>
        <v>0</v>
      </c>
      <c r="AB11">
        <f>SUMIF(RawDataRecovered!$B:$B,$A11,RawDataRecovered!AE:AE)</f>
        <v>0</v>
      </c>
      <c r="AC11">
        <f>SUMIF(RawDataRecovered!$B:$B,$A11,RawDataRecovered!AF:AF)</f>
        <v>0</v>
      </c>
      <c r="AD11">
        <f>SUMIF(RawDataRecovered!$B:$B,$A11,RawDataRecovered!AG:AG)</f>
        <v>0</v>
      </c>
      <c r="AE11">
        <f>SUMIF(RawDataRecovered!$B:$B,$A11,RawDataRecovered!AH:AH)</f>
        <v>0</v>
      </c>
      <c r="AF11">
        <f>SUMIF(RawDataRecovered!$B:$B,$A11,RawDataRecovered!AI:AI)</f>
        <v>0</v>
      </c>
      <c r="AG11">
        <f>SUMIF(RawDataRecovered!$B:$B,$A11,RawDataRecovered!AJ:AJ)</f>
        <v>0</v>
      </c>
      <c r="AH11">
        <f>SUMIF(RawDataRecovered!$B:$B,$A11,RawDataRecovered!AK:AK)</f>
        <v>0</v>
      </c>
      <c r="AI11">
        <f>SUMIF(RawDataRecovered!$B:$B,$A11,RawDataRecovered!AL:AL)</f>
        <v>0</v>
      </c>
      <c r="AJ11">
        <f>SUMIF(RawDataRecovered!$B:$B,$A11,RawDataRecovered!AM:AM)</f>
        <v>0</v>
      </c>
      <c r="AK11">
        <f>SUMIF(RawDataRecovered!$B:$B,$A11,RawDataRecovered!AN:AN)</f>
        <v>0</v>
      </c>
      <c r="AL11">
        <f>SUMIF(RawDataRecovered!$B:$B,$A11,RawDataRecovered!AO:AO)</f>
        <v>0</v>
      </c>
      <c r="AM11">
        <f>SUMIF(RawDataRecovered!$B:$B,$A11,RawDataRecovered!AP:AP)</f>
        <v>0</v>
      </c>
      <c r="AN11">
        <f>SUMIF(RawDataRecovered!$B:$B,$A11,RawDataRecovered!AQ:AQ)</f>
        <v>0</v>
      </c>
      <c r="AO11">
        <f>SUMIF(RawDataRecovered!$B:$B,$A11,RawDataRecovered!AR:AR)</f>
        <v>0</v>
      </c>
      <c r="AP11">
        <f>SUMIF(RawDataRecovered!$B:$B,$A11,RawDataRecovered!AS:AS)</f>
        <v>0</v>
      </c>
      <c r="AQ11">
        <f>SUMIF(RawDataRecovered!$B:$B,$A11,RawDataRecovered!AT:AT)</f>
        <v>0</v>
      </c>
      <c r="AR11">
        <f>SUMIF(RawDataRecovered!$B:$B,$A11,RawDataRecovered!AU:AU)</f>
        <v>0</v>
      </c>
      <c r="AS11">
        <f>SUMIF(RawDataRecovered!$B:$B,$A11,RawDataRecovered!AV:AV)</f>
        <v>0</v>
      </c>
      <c r="AT11">
        <f>SUMIF(RawDataRecovered!$B:$B,$A11,RawDataRecovered!AW:AW)</f>
        <v>0</v>
      </c>
      <c r="AU11">
        <f>SUMIF(RawDataRecovered!$B:$B,$A11,RawDataRecovered!AX:AX)</f>
        <v>0</v>
      </c>
      <c r="AV11">
        <f>SUMIF(RawDataRecovered!$B:$B,$A11,RawDataRecovered!AY:AY)</f>
        <v>0</v>
      </c>
      <c r="AW11">
        <f>SUMIF(RawDataRecovered!$B:$B,$A11,RawDataRecovered!AZ:AZ)</f>
        <v>1</v>
      </c>
      <c r="AX11">
        <f>SUMIF(RawDataRecovered!$B:$B,$A11,RawDataRecovered!BA:BA)</f>
        <v>1</v>
      </c>
      <c r="AY11">
        <f>SUMIF(RawDataRecovered!$B:$B,$A11,RawDataRecovered!BB:BB)</f>
        <v>1</v>
      </c>
      <c r="AZ11">
        <f>SUMIF(RawDataRecovered!$B:$B,$A11,RawDataRecovered!BC:BC)</f>
        <v>1</v>
      </c>
      <c r="BA11">
        <f>SUMIF(RawDataRecovered!$B:$B,$A11,RawDataRecovered!BD:BD)</f>
        <v>1</v>
      </c>
      <c r="BB11">
        <f>SUMIF(RawDataRecovered!$B:$B,$A11,RawDataRecovered!BE:BE)</f>
        <v>1</v>
      </c>
      <c r="BC11">
        <f>SUMIF(RawDataRecovered!$B:$B,$A11,RawDataRecovered!BF:BF)</f>
        <v>1</v>
      </c>
      <c r="BD11">
        <f>SUMIF(RawDataRecovered!$B:$B,$A11,RawDataRecovered!BG:BG)</f>
        <v>1</v>
      </c>
      <c r="BE11">
        <f>SUMIF(RawDataRecovered!$B:$B,$A11,RawDataRecovered!BH:BH)</f>
        <v>1</v>
      </c>
      <c r="BF11">
        <f>SUMIF(RawDataRecovered!$B:$B,$A11,RawDataRecovered!BI:BI)</f>
        <v>0</v>
      </c>
      <c r="BG11">
        <f>SUMIF(RawDataRecovered!$B:$B,$A11,RawDataRecovered!BJ:BJ)</f>
        <v>0</v>
      </c>
      <c r="BH11">
        <f>SUMIF(RawDataRecovered!$B:$B,$A11,RawDataRecovered!BK:BK)</f>
        <v>0</v>
      </c>
      <c r="BI11">
        <f>SUMIF(RawDataRecovered!$B:$B,$A11,RawDataRecovered!BL:BL)</f>
        <v>0</v>
      </c>
      <c r="BJ11">
        <f>SUMIF(RawDataRecovered!$B:$B,$A11,RawDataRecovered!BM:BM)</f>
        <v>0</v>
      </c>
      <c r="BK11">
        <f>SUMIF(RawDataRecovered!$B:$B,$A11,RawDataRecovered!BN:BN)</f>
        <v>0</v>
      </c>
      <c r="BL11">
        <f>SUMIF(RawDataRecovered!$B:$B,$A11,RawDataRecovered!BO:BO)</f>
        <v>0</v>
      </c>
      <c r="BM11">
        <f>SUMIF(RawDataRecovered!$B:$B,$A11,RawDataRecovered!BP:BP)</f>
        <v>0</v>
      </c>
      <c r="BN11">
        <f>SUMIF(RawDataRecovered!$B:$B,$A11,RawDataRecovered!BQ:BQ)</f>
        <v>0</v>
      </c>
      <c r="BO11">
        <f>SUMIF(RawDataRecovered!$B:$B,$A11,RawDataRecovered!BR:BR)</f>
        <v>0</v>
      </c>
      <c r="BP11">
        <f>SUMIF(RawDataRecovered!$B:$B,$A11,RawDataRecovered!BS:BS)</f>
        <v>0</v>
      </c>
      <c r="BQ11">
        <f>SUMIF(RawDataRecovered!$B:$B,$A11,RawDataRecovered!BT:BT)</f>
        <v>0</v>
      </c>
      <c r="BR11">
        <f>SUMIF(RawDataRecovered!$B:$B,$A11,RawDataRecovered!BU:BU)</f>
        <v>0</v>
      </c>
      <c r="BS11">
        <f>SUMIF(RawDataRecovered!$B:$B,$A11,RawDataRecovered!BV:BV)</f>
        <v>0</v>
      </c>
      <c r="BT11">
        <f>SUMIF(RawDataRecovered!$B:$B,$A11,RawDataRecovered!BW:BW)</f>
        <v>0</v>
      </c>
    </row>
    <row r="12" spans="1:72" ht="15" thickBot="1" x14ac:dyDescent="0.35">
      <c r="A12" s="4" t="s">
        <v>86</v>
      </c>
      <c r="B12">
        <f>SUMIF(RawDataRecovered!$B:$B,$A12,RawDataRecovered!E:E)</f>
        <v>0</v>
      </c>
      <c r="C12">
        <f>SUMIF(RawDataRecovered!$B:$B,$A12,RawDataRecovered!F:F)</f>
        <v>0</v>
      </c>
      <c r="D12">
        <f>SUMIF(RawDataRecovered!$B:$B,$A12,RawDataRecovered!G:G)</f>
        <v>0</v>
      </c>
      <c r="E12">
        <f>SUMIF(RawDataRecovered!$B:$B,$A12,RawDataRecovered!H:H)</f>
        <v>0</v>
      </c>
      <c r="F12">
        <f>SUMIF(RawDataRecovered!$B:$B,$A12,RawDataRecovered!I:I)</f>
        <v>0</v>
      </c>
      <c r="G12">
        <f>SUMIF(RawDataRecovered!$B:$B,$A12,RawDataRecovered!J:J)</f>
        <v>0</v>
      </c>
      <c r="H12">
        <f>SUMIF(RawDataRecovered!$B:$B,$A12,RawDataRecovered!K:K)</f>
        <v>0</v>
      </c>
      <c r="I12">
        <f>SUMIF(RawDataRecovered!$B:$B,$A12,RawDataRecovered!L:L)</f>
        <v>0</v>
      </c>
      <c r="J12">
        <f>SUMIF(RawDataRecovered!$B:$B,$A12,RawDataRecovered!M:M)</f>
        <v>0</v>
      </c>
      <c r="K12">
        <f>SUMIF(RawDataRecovered!$B:$B,$A12,RawDataRecovered!N:N)</f>
        <v>0</v>
      </c>
      <c r="L12">
        <f>SUMIF(RawDataRecovered!$B:$B,$A12,RawDataRecovered!O:O)</f>
        <v>0</v>
      </c>
      <c r="M12">
        <f>SUMIF(RawDataRecovered!$B:$B,$A12,RawDataRecovered!P:P)</f>
        <v>0</v>
      </c>
      <c r="N12">
        <f>SUMIF(RawDataRecovered!$B:$B,$A12,RawDataRecovered!Q:Q)</f>
        <v>0</v>
      </c>
      <c r="O12">
        <f>SUMIF(RawDataRecovered!$B:$B,$A12,RawDataRecovered!R:R)</f>
        <v>0</v>
      </c>
      <c r="P12">
        <f>SUMIF(RawDataRecovered!$B:$B,$A12,RawDataRecovered!S:S)</f>
        <v>0</v>
      </c>
      <c r="Q12">
        <f>SUMIF(RawDataRecovered!$B:$B,$A12,RawDataRecovered!T:T)</f>
        <v>0</v>
      </c>
      <c r="R12">
        <f>SUMIF(RawDataRecovered!$B:$B,$A12,RawDataRecovered!U:U)</f>
        <v>0</v>
      </c>
      <c r="S12">
        <f>SUMIF(RawDataRecovered!$B:$B,$A12,RawDataRecovered!V:V)</f>
        <v>0</v>
      </c>
      <c r="T12">
        <f>SUMIF(RawDataRecovered!$B:$B,$A12,RawDataRecovered!W:W)</f>
        <v>0</v>
      </c>
      <c r="U12">
        <f>SUMIF(RawDataRecovered!$B:$B,$A12,RawDataRecovered!X:X)</f>
        <v>0</v>
      </c>
      <c r="V12">
        <f>SUMIF(RawDataRecovered!$B:$B,$A12,RawDataRecovered!Y:Y)</f>
        <v>0</v>
      </c>
      <c r="W12">
        <f>SUMIF(RawDataRecovered!$B:$B,$A12,RawDataRecovered!Z:Z)</f>
        <v>0</v>
      </c>
      <c r="X12">
        <f>SUMIF(RawDataRecovered!$B:$B,$A12,RawDataRecovered!AA:AA)</f>
        <v>0</v>
      </c>
      <c r="Y12">
        <f>SUMIF(RawDataRecovered!$B:$B,$A12,RawDataRecovered!AB:AB)</f>
        <v>0</v>
      </c>
      <c r="Z12">
        <f>SUMIF(RawDataRecovered!$B:$B,$A12,RawDataRecovered!AC:AC)</f>
        <v>0</v>
      </c>
      <c r="AA12">
        <f>SUMIF(RawDataRecovered!$B:$B,$A12,RawDataRecovered!AD:AD)</f>
        <v>0</v>
      </c>
      <c r="AB12">
        <f>SUMIF(RawDataRecovered!$B:$B,$A12,RawDataRecovered!AE:AE)</f>
        <v>0</v>
      </c>
      <c r="AC12">
        <f>SUMIF(RawDataRecovered!$B:$B,$A12,RawDataRecovered!AF:AF)</f>
        <v>0</v>
      </c>
      <c r="AD12">
        <f>SUMIF(RawDataRecovered!$B:$B,$A12,RawDataRecovered!AG:AG)</f>
        <v>0</v>
      </c>
      <c r="AE12">
        <f>SUMIF(RawDataRecovered!$B:$B,$A12,RawDataRecovered!AH:AH)</f>
        <v>0</v>
      </c>
      <c r="AF12">
        <f>SUMIF(RawDataRecovered!$B:$B,$A12,RawDataRecovered!AI:AI)</f>
        <v>0</v>
      </c>
      <c r="AG12">
        <f>SUMIF(RawDataRecovered!$B:$B,$A12,RawDataRecovered!AJ:AJ)</f>
        <v>0</v>
      </c>
      <c r="AH12">
        <f>SUMIF(RawDataRecovered!$B:$B,$A12,RawDataRecovered!AK:AK)</f>
        <v>0</v>
      </c>
      <c r="AI12">
        <f>SUMIF(RawDataRecovered!$B:$B,$A12,RawDataRecovered!AL:AL)</f>
        <v>0</v>
      </c>
      <c r="AJ12">
        <f>SUMIF(RawDataRecovered!$B:$B,$A12,RawDataRecovered!AM:AM)</f>
        <v>0</v>
      </c>
      <c r="AK12">
        <f>SUMIF(RawDataRecovered!$B:$B,$A12,RawDataRecovered!AN:AN)</f>
        <v>0</v>
      </c>
      <c r="AL12">
        <f>SUMIF(RawDataRecovered!$B:$B,$A12,RawDataRecovered!AO:AO)</f>
        <v>0</v>
      </c>
      <c r="AM12">
        <f>SUMIF(RawDataRecovered!$B:$B,$A12,RawDataRecovered!AP:AP)</f>
        <v>0</v>
      </c>
      <c r="AN12">
        <f>SUMIF(RawDataRecovered!$B:$B,$A12,RawDataRecovered!AQ:AQ)</f>
        <v>0</v>
      </c>
      <c r="AO12">
        <f>SUMIF(RawDataRecovered!$B:$B,$A12,RawDataRecovered!AR:AR)</f>
        <v>0</v>
      </c>
      <c r="AP12">
        <f>SUMIF(RawDataRecovered!$B:$B,$A12,RawDataRecovered!AS:AS)</f>
        <v>0</v>
      </c>
      <c r="AQ12">
        <f>SUMIF(RawDataRecovered!$B:$B,$A12,RawDataRecovered!AT:AT)</f>
        <v>0</v>
      </c>
      <c r="AR12">
        <f>SUMIF(RawDataRecovered!$B:$B,$A12,RawDataRecovered!AU:AU)</f>
        <v>0</v>
      </c>
      <c r="AS12">
        <f>SUMIF(RawDataRecovered!$B:$B,$A12,RawDataRecovered!AV:AV)</f>
        <v>0</v>
      </c>
      <c r="AT12">
        <f>SUMIF(RawDataRecovered!$B:$B,$A12,RawDataRecovered!AW:AW)</f>
        <v>0</v>
      </c>
      <c r="AU12">
        <f>SUMIF(RawDataRecovered!$B:$B,$A12,RawDataRecovered!AX:AX)</f>
        <v>0</v>
      </c>
      <c r="AV12">
        <f>SUMIF(RawDataRecovered!$B:$B,$A12,RawDataRecovered!AY:AY)</f>
        <v>0</v>
      </c>
      <c r="AW12">
        <f>SUMIF(RawDataRecovered!$B:$B,$A12,RawDataRecovered!AZ:AZ)</f>
        <v>1</v>
      </c>
      <c r="AX12">
        <f>SUMIF(RawDataRecovered!$B:$B,$A12,RawDataRecovered!BA:BA)</f>
        <v>1</v>
      </c>
      <c r="AY12">
        <f>SUMIF(RawDataRecovered!$B:$B,$A12,RawDataRecovered!BB:BB)</f>
        <v>1</v>
      </c>
      <c r="AZ12">
        <f>SUMIF(RawDataRecovered!$B:$B,$A12,RawDataRecovered!BC:BC)</f>
        <v>1</v>
      </c>
      <c r="BA12">
        <f>SUMIF(RawDataRecovered!$B:$B,$A12,RawDataRecovered!BD:BD)</f>
        <v>1</v>
      </c>
      <c r="BB12">
        <f>SUMIF(RawDataRecovered!$B:$B,$A12,RawDataRecovered!BE:BE)</f>
        <v>1</v>
      </c>
      <c r="BC12">
        <f>SUMIF(RawDataRecovered!$B:$B,$A12,RawDataRecovered!BF:BF)</f>
        <v>1</v>
      </c>
      <c r="BD12">
        <f>SUMIF(RawDataRecovered!$B:$B,$A12,RawDataRecovered!BG:BG)</f>
        <v>1</v>
      </c>
      <c r="BE12">
        <f>SUMIF(RawDataRecovered!$B:$B,$A12,RawDataRecovered!BH:BH)</f>
        <v>1</v>
      </c>
      <c r="BF12">
        <f>SUMIF(RawDataRecovered!$B:$B,$A12,RawDataRecovered!BI:BI)</f>
        <v>0</v>
      </c>
      <c r="BG12">
        <f>SUMIF(RawDataRecovered!$B:$B,$A12,RawDataRecovered!BJ:BJ)</f>
        <v>0</v>
      </c>
      <c r="BH12">
        <f>SUMIF(RawDataRecovered!$B:$B,$A12,RawDataRecovered!BK:BK)</f>
        <v>0</v>
      </c>
      <c r="BI12">
        <f>SUMIF(RawDataRecovered!$B:$B,$A12,RawDataRecovered!BL:BL)</f>
        <v>0</v>
      </c>
      <c r="BJ12">
        <f>SUMIF(RawDataRecovered!$B:$B,$A12,RawDataRecovered!BM:BM)</f>
        <v>0</v>
      </c>
      <c r="BK12">
        <f>SUMIF(RawDataRecovered!$B:$B,$A12,RawDataRecovered!BN:BN)</f>
        <v>0</v>
      </c>
      <c r="BL12">
        <f>SUMIF(RawDataRecovered!$B:$B,$A12,RawDataRecovered!BO:BO)</f>
        <v>0</v>
      </c>
      <c r="BM12">
        <f>SUMIF(RawDataRecovered!$B:$B,$A12,RawDataRecovered!BP:BP)</f>
        <v>0</v>
      </c>
      <c r="BN12">
        <f>SUMIF(RawDataRecovered!$B:$B,$A12,RawDataRecovered!BQ:BQ)</f>
        <v>0</v>
      </c>
      <c r="BO12">
        <f>SUMIF(RawDataRecovered!$B:$B,$A12,RawDataRecovered!BR:BR)</f>
        <v>0</v>
      </c>
      <c r="BP12">
        <f>SUMIF(RawDataRecovered!$B:$B,$A12,RawDataRecovered!BS:BS)</f>
        <v>0</v>
      </c>
      <c r="BQ12">
        <f>SUMIF(RawDataRecovered!$B:$B,$A12,RawDataRecovered!BT:BT)</f>
        <v>0</v>
      </c>
      <c r="BR12">
        <f>SUMIF(RawDataRecovered!$B:$B,$A12,RawDataRecovered!BU:BU)</f>
        <v>0</v>
      </c>
      <c r="BS12">
        <f>SUMIF(RawDataRecovered!$B:$B,$A12,RawDataRecovered!BV:BV)</f>
        <v>0</v>
      </c>
      <c r="BT12">
        <f>SUMIF(RawDataRecovered!$B:$B,$A12,RawDataRecovered!BW:BW)</f>
        <v>0</v>
      </c>
    </row>
    <row r="13" spans="1:72" ht="15" thickBot="1" x14ac:dyDescent="0.35">
      <c r="A13" s="3" t="s">
        <v>114</v>
      </c>
      <c r="B13">
        <f>SUMIF(RawDataRecovered!$B:$B,$A13,RawDataRecovered!E:E)</f>
        <v>0</v>
      </c>
      <c r="C13">
        <f>SUMIF(RawDataRecovered!$B:$B,$A13,RawDataRecovered!F:F)</f>
        <v>0</v>
      </c>
      <c r="D13">
        <f>SUMIF(RawDataRecovered!$B:$B,$A13,RawDataRecovered!G:G)</f>
        <v>0</v>
      </c>
      <c r="E13">
        <f>SUMIF(RawDataRecovered!$B:$B,$A13,RawDataRecovered!H:H)</f>
        <v>0</v>
      </c>
      <c r="F13">
        <f>SUMIF(RawDataRecovered!$B:$B,$A13,RawDataRecovered!I:I)</f>
        <v>0</v>
      </c>
      <c r="G13">
        <f>SUMIF(RawDataRecovered!$B:$B,$A13,RawDataRecovered!J:J)</f>
        <v>0</v>
      </c>
      <c r="H13">
        <f>SUMIF(RawDataRecovered!$B:$B,$A13,RawDataRecovered!K:K)</f>
        <v>0</v>
      </c>
      <c r="I13">
        <f>SUMIF(RawDataRecovered!$B:$B,$A13,RawDataRecovered!L:L)</f>
        <v>0</v>
      </c>
      <c r="J13">
        <f>SUMIF(RawDataRecovered!$B:$B,$A13,RawDataRecovered!M:M)</f>
        <v>0</v>
      </c>
      <c r="K13">
        <f>SUMIF(RawDataRecovered!$B:$B,$A13,RawDataRecovered!N:N)</f>
        <v>0</v>
      </c>
      <c r="L13">
        <f>SUMIF(RawDataRecovered!$B:$B,$A13,RawDataRecovered!O:O)</f>
        <v>0</v>
      </c>
      <c r="M13">
        <f>SUMIF(RawDataRecovered!$B:$B,$A13,RawDataRecovered!P:P)</f>
        <v>0</v>
      </c>
      <c r="N13">
        <f>SUMIF(RawDataRecovered!$B:$B,$A13,RawDataRecovered!Q:Q)</f>
        <v>0</v>
      </c>
      <c r="O13">
        <f>SUMIF(RawDataRecovered!$B:$B,$A13,RawDataRecovered!R:R)</f>
        <v>0</v>
      </c>
      <c r="P13">
        <f>SUMIF(RawDataRecovered!$B:$B,$A13,RawDataRecovered!S:S)</f>
        <v>0</v>
      </c>
      <c r="Q13">
        <f>SUMIF(RawDataRecovered!$B:$B,$A13,RawDataRecovered!T:T)</f>
        <v>0</v>
      </c>
      <c r="R13">
        <f>SUMIF(RawDataRecovered!$B:$B,$A13,RawDataRecovered!U:U)</f>
        <v>0</v>
      </c>
      <c r="S13">
        <f>SUMIF(RawDataRecovered!$B:$B,$A13,RawDataRecovered!V:V)</f>
        <v>0</v>
      </c>
      <c r="T13">
        <f>SUMIF(RawDataRecovered!$B:$B,$A13,RawDataRecovered!W:W)</f>
        <v>0</v>
      </c>
      <c r="U13">
        <f>SUMIF(RawDataRecovered!$B:$B,$A13,RawDataRecovered!X:X)</f>
        <v>0</v>
      </c>
      <c r="V13">
        <f>SUMIF(RawDataRecovered!$B:$B,$A13,RawDataRecovered!Y:Y)</f>
        <v>0</v>
      </c>
      <c r="W13">
        <f>SUMIF(RawDataRecovered!$B:$B,$A13,RawDataRecovered!Z:Z)</f>
        <v>0</v>
      </c>
      <c r="X13">
        <f>SUMIF(RawDataRecovered!$B:$B,$A13,RawDataRecovered!AA:AA)</f>
        <v>0</v>
      </c>
      <c r="Y13">
        <f>SUMIF(RawDataRecovered!$B:$B,$A13,RawDataRecovered!AB:AB)</f>
        <v>0</v>
      </c>
      <c r="Z13">
        <f>SUMIF(RawDataRecovered!$B:$B,$A13,RawDataRecovered!AC:AC)</f>
        <v>0</v>
      </c>
      <c r="AA13">
        <f>SUMIF(RawDataRecovered!$B:$B,$A13,RawDataRecovered!AD:AD)</f>
        <v>0</v>
      </c>
      <c r="AB13">
        <f>SUMIF(RawDataRecovered!$B:$B,$A13,RawDataRecovered!AE:AE)</f>
        <v>0</v>
      </c>
      <c r="AC13">
        <f>SUMIF(RawDataRecovered!$B:$B,$A13,RawDataRecovered!AF:AF)</f>
        <v>0</v>
      </c>
      <c r="AD13">
        <f>SUMIF(RawDataRecovered!$B:$B,$A13,RawDataRecovered!AG:AG)</f>
        <v>0</v>
      </c>
      <c r="AE13">
        <f>SUMIF(RawDataRecovered!$B:$B,$A13,RawDataRecovered!AH:AH)</f>
        <v>0</v>
      </c>
      <c r="AF13">
        <f>SUMIF(RawDataRecovered!$B:$B,$A13,RawDataRecovered!AI:AI)</f>
        <v>0</v>
      </c>
      <c r="AG13">
        <f>SUMIF(RawDataRecovered!$B:$B,$A13,RawDataRecovered!AJ:AJ)</f>
        <v>0</v>
      </c>
      <c r="AH13">
        <f>SUMIF(RawDataRecovered!$B:$B,$A13,RawDataRecovered!AK:AK)</f>
        <v>0</v>
      </c>
      <c r="AI13">
        <f>SUMIF(RawDataRecovered!$B:$B,$A13,RawDataRecovered!AL:AL)</f>
        <v>0</v>
      </c>
      <c r="AJ13">
        <f>SUMIF(RawDataRecovered!$B:$B,$A13,RawDataRecovered!AM:AM)</f>
        <v>0</v>
      </c>
      <c r="AK13">
        <f>SUMIF(RawDataRecovered!$B:$B,$A13,RawDataRecovered!AN:AN)</f>
        <v>0</v>
      </c>
      <c r="AL13">
        <f>SUMIF(RawDataRecovered!$B:$B,$A13,RawDataRecovered!AO:AO)</f>
        <v>0</v>
      </c>
      <c r="AM13">
        <f>SUMIF(RawDataRecovered!$B:$B,$A13,RawDataRecovered!AP:AP)</f>
        <v>0</v>
      </c>
      <c r="AN13">
        <f>SUMIF(RawDataRecovered!$B:$B,$A13,RawDataRecovered!AQ:AQ)</f>
        <v>0</v>
      </c>
      <c r="AO13">
        <f>SUMIF(RawDataRecovered!$B:$B,$A13,RawDataRecovered!AR:AR)</f>
        <v>0</v>
      </c>
      <c r="AP13">
        <f>SUMIF(RawDataRecovered!$B:$B,$A13,RawDataRecovered!AS:AS)</f>
        <v>0</v>
      </c>
      <c r="AQ13">
        <f>SUMIF(RawDataRecovered!$B:$B,$A13,RawDataRecovered!AT:AT)</f>
        <v>0</v>
      </c>
      <c r="AR13">
        <f>SUMIF(RawDataRecovered!$B:$B,$A13,RawDataRecovered!AU:AU)</f>
        <v>0</v>
      </c>
      <c r="AS13">
        <f>SUMIF(RawDataRecovered!$B:$B,$A13,RawDataRecovered!AV:AV)</f>
        <v>0</v>
      </c>
      <c r="AT13">
        <f>SUMIF(RawDataRecovered!$B:$B,$A13,RawDataRecovered!AW:AW)</f>
        <v>1</v>
      </c>
      <c r="AU13">
        <f>SUMIF(RawDataRecovered!$B:$B,$A13,RawDataRecovered!AX:AX)</f>
        <v>1</v>
      </c>
      <c r="AV13">
        <f>SUMIF(RawDataRecovered!$B:$B,$A13,RawDataRecovered!AY:AY)</f>
        <v>1</v>
      </c>
      <c r="AW13">
        <f>SUMIF(RawDataRecovered!$B:$B,$A13,RawDataRecovered!AZ:AZ)</f>
        <v>1</v>
      </c>
      <c r="AX13">
        <f>SUMIF(RawDataRecovered!$B:$B,$A13,RawDataRecovered!BA:BA)</f>
        <v>1</v>
      </c>
      <c r="AY13">
        <f>SUMIF(RawDataRecovered!$B:$B,$A13,RawDataRecovered!BB:BB)</f>
        <v>1</v>
      </c>
      <c r="AZ13">
        <f>SUMIF(RawDataRecovered!$B:$B,$A13,RawDataRecovered!BC:BC)</f>
        <v>1</v>
      </c>
      <c r="BA13">
        <f>SUMIF(RawDataRecovered!$B:$B,$A13,RawDataRecovered!BD:BD)</f>
        <v>1</v>
      </c>
      <c r="BB13">
        <f>SUMIF(RawDataRecovered!$B:$B,$A13,RawDataRecovered!BE:BE)</f>
        <v>1</v>
      </c>
      <c r="BC13">
        <f>SUMIF(RawDataRecovered!$B:$B,$A13,RawDataRecovered!BF:BF)</f>
        <v>1</v>
      </c>
      <c r="BD13">
        <f>SUMIF(RawDataRecovered!$B:$B,$A13,RawDataRecovered!BG:BG)</f>
        <v>1</v>
      </c>
      <c r="BE13">
        <f>SUMIF(RawDataRecovered!$B:$B,$A13,RawDataRecovered!BH:BH)</f>
        <v>1</v>
      </c>
      <c r="BF13">
        <f>SUMIF(RawDataRecovered!$B:$B,$A13,RawDataRecovered!BI:BI)</f>
        <v>0</v>
      </c>
      <c r="BG13">
        <f>SUMIF(RawDataRecovered!$B:$B,$A13,RawDataRecovered!BJ:BJ)</f>
        <v>0</v>
      </c>
      <c r="BH13">
        <f>SUMIF(RawDataRecovered!$B:$B,$A13,RawDataRecovered!BK:BK)</f>
        <v>0</v>
      </c>
      <c r="BI13">
        <f>SUMIF(RawDataRecovered!$B:$B,$A13,RawDataRecovered!BL:BL)</f>
        <v>0</v>
      </c>
      <c r="BJ13">
        <f>SUMIF(RawDataRecovered!$B:$B,$A13,RawDataRecovered!BM:BM)</f>
        <v>0</v>
      </c>
      <c r="BK13">
        <f>SUMIF(RawDataRecovered!$B:$B,$A13,RawDataRecovered!BN:BN)</f>
        <v>0</v>
      </c>
      <c r="BL13">
        <f>SUMIF(RawDataRecovered!$B:$B,$A13,RawDataRecovered!BO:BO)</f>
        <v>0</v>
      </c>
      <c r="BM13">
        <f>SUMIF(RawDataRecovered!$B:$B,$A13,RawDataRecovered!BP:BP)</f>
        <v>0</v>
      </c>
      <c r="BN13">
        <f>SUMIF(RawDataRecovered!$B:$B,$A13,RawDataRecovered!BQ:BQ)</f>
        <v>0</v>
      </c>
      <c r="BO13">
        <f>SUMIF(RawDataRecovered!$B:$B,$A13,RawDataRecovered!BR:BR)</f>
        <v>0</v>
      </c>
      <c r="BP13">
        <f>SUMIF(RawDataRecovered!$B:$B,$A13,RawDataRecovered!BS:BS)</f>
        <v>0</v>
      </c>
      <c r="BQ13">
        <f>SUMIF(RawDataRecovered!$B:$B,$A13,RawDataRecovered!BT:BT)</f>
        <v>0</v>
      </c>
      <c r="BR13">
        <f>SUMIF(RawDataRecovered!$B:$B,$A13,RawDataRecovered!BU:BU)</f>
        <v>0</v>
      </c>
      <c r="BS13">
        <f>SUMIF(RawDataRecovered!$B:$B,$A13,RawDataRecovered!BV:BV)</f>
        <v>0</v>
      </c>
      <c r="BT13">
        <f>SUMIF(RawDataRecovered!$B:$B,$A13,RawDataRecovered!BW:BW)</f>
        <v>0</v>
      </c>
    </row>
    <row r="14" spans="1:72" ht="15" thickBot="1" x14ac:dyDescent="0.35">
      <c r="A14" s="3" t="s">
        <v>116</v>
      </c>
      <c r="B14">
        <f>SUMIF(RawDataRecovered!$B:$B,$A14,RawDataRecovered!E:E)</f>
        <v>0</v>
      </c>
      <c r="C14">
        <f>SUMIF(RawDataRecovered!$B:$B,$A14,RawDataRecovered!F:F)</f>
        <v>0</v>
      </c>
      <c r="D14">
        <f>SUMIF(RawDataRecovered!$B:$B,$A14,RawDataRecovered!G:G)</f>
        <v>0</v>
      </c>
      <c r="E14">
        <f>SUMIF(RawDataRecovered!$B:$B,$A14,RawDataRecovered!H:H)</f>
        <v>0</v>
      </c>
      <c r="F14">
        <f>SUMIF(RawDataRecovered!$B:$B,$A14,RawDataRecovered!I:I)</f>
        <v>0</v>
      </c>
      <c r="G14">
        <f>SUMIF(RawDataRecovered!$B:$B,$A14,RawDataRecovered!J:J)</f>
        <v>0</v>
      </c>
      <c r="H14">
        <f>SUMIF(RawDataRecovered!$B:$B,$A14,RawDataRecovered!K:K)</f>
        <v>0</v>
      </c>
      <c r="I14">
        <f>SUMIF(RawDataRecovered!$B:$B,$A14,RawDataRecovered!L:L)</f>
        <v>0</v>
      </c>
      <c r="J14">
        <f>SUMIF(RawDataRecovered!$B:$B,$A14,RawDataRecovered!M:M)</f>
        <v>0</v>
      </c>
      <c r="K14">
        <f>SUMIF(RawDataRecovered!$B:$B,$A14,RawDataRecovered!N:N)</f>
        <v>0</v>
      </c>
      <c r="L14">
        <f>SUMIF(RawDataRecovered!$B:$B,$A14,RawDataRecovered!O:O)</f>
        <v>0</v>
      </c>
      <c r="M14">
        <f>SUMIF(RawDataRecovered!$B:$B,$A14,RawDataRecovered!P:P)</f>
        <v>0</v>
      </c>
      <c r="N14">
        <f>SUMIF(RawDataRecovered!$B:$B,$A14,RawDataRecovered!Q:Q)</f>
        <v>0</v>
      </c>
      <c r="O14">
        <f>SUMIF(RawDataRecovered!$B:$B,$A14,RawDataRecovered!R:R)</f>
        <v>0</v>
      </c>
      <c r="P14">
        <f>SUMIF(RawDataRecovered!$B:$B,$A14,RawDataRecovered!S:S)</f>
        <v>0</v>
      </c>
      <c r="Q14">
        <f>SUMIF(RawDataRecovered!$B:$B,$A14,RawDataRecovered!T:T)</f>
        <v>0</v>
      </c>
      <c r="R14">
        <f>SUMIF(RawDataRecovered!$B:$B,$A14,RawDataRecovered!U:U)</f>
        <v>0</v>
      </c>
      <c r="S14">
        <f>SUMIF(RawDataRecovered!$B:$B,$A14,RawDataRecovered!V:V)</f>
        <v>0</v>
      </c>
      <c r="T14">
        <f>SUMIF(RawDataRecovered!$B:$B,$A14,RawDataRecovered!W:W)</f>
        <v>0</v>
      </c>
      <c r="U14">
        <f>SUMIF(RawDataRecovered!$B:$B,$A14,RawDataRecovered!X:X)</f>
        <v>0</v>
      </c>
      <c r="V14">
        <f>SUMIF(RawDataRecovered!$B:$B,$A14,RawDataRecovered!Y:Y)</f>
        <v>0</v>
      </c>
      <c r="W14">
        <f>SUMIF(RawDataRecovered!$B:$B,$A14,RawDataRecovered!Z:Z)</f>
        <v>0</v>
      </c>
      <c r="X14">
        <f>SUMIF(RawDataRecovered!$B:$B,$A14,RawDataRecovered!AA:AA)</f>
        <v>0</v>
      </c>
      <c r="Y14">
        <f>SUMIF(RawDataRecovered!$B:$B,$A14,RawDataRecovered!AB:AB)</f>
        <v>0</v>
      </c>
      <c r="Z14">
        <f>SUMIF(RawDataRecovered!$B:$B,$A14,RawDataRecovered!AC:AC)</f>
        <v>0</v>
      </c>
      <c r="AA14">
        <f>SUMIF(RawDataRecovered!$B:$B,$A14,RawDataRecovered!AD:AD)</f>
        <v>0</v>
      </c>
      <c r="AB14">
        <f>SUMIF(RawDataRecovered!$B:$B,$A14,RawDataRecovered!AE:AE)</f>
        <v>0</v>
      </c>
      <c r="AC14">
        <f>SUMIF(RawDataRecovered!$B:$B,$A14,RawDataRecovered!AF:AF)</f>
        <v>0</v>
      </c>
      <c r="AD14">
        <f>SUMIF(RawDataRecovered!$B:$B,$A14,RawDataRecovered!AG:AG)</f>
        <v>0</v>
      </c>
      <c r="AE14">
        <f>SUMIF(RawDataRecovered!$B:$B,$A14,RawDataRecovered!AH:AH)</f>
        <v>0</v>
      </c>
      <c r="AF14">
        <f>SUMIF(RawDataRecovered!$B:$B,$A14,RawDataRecovered!AI:AI)</f>
        <v>0</v>
      </c>
      <c r="AG14">
        <f>SUMIF(RawDataRecovered!$B:$B,$A14,RawDataRecovered!AJ:AJ)</f>
        <v>0</v>
      </c>
      <c r="AH14">
        <f>SUMIF(RawDataRecovered!$B:$B,$A14,RawDataRecovered!AK:AK)</f>
        <v>0</v>
      </c>
      <c r="AI14">
        <f>SUMIF(RawDataRecovered!$B:$B,$A14,RawDataRecovered!AL:AL)</f>
        <v>0</v>
      </c>
      <c r="AJ14">
        <f>SUMIF(RawDataRecovered!$B:$B,$A14,RawDataRecovered!AM:AM)</f>
        <v>0</v>
      </c>
      <c r="AK14">
        <f>SUMIF(RawDataRecovered!$B:$B,$A14,RawDataRecovered!AN:AN)</f>
        <v>0</v>
      </c>
      <c r="AL14">
        <f>SUMIF(RawDataRecovered!$B:$B,$A14,RawDataRecovered!AO:AO)</f>
        <v>0</v>
      </c>
      <c r="AM14">
        <f>SUMIF(RawDataRecovered!$B:$B,$A14,RawDataRecovered!AP:AP)</f>
        <v>0</v>
      </c>
      <c r="AN14">
        <f>SUMIF(RawDataRecovered!$B:$B,$A14,RawDataRecovered!AQ:AQ)</f>
        <v>0</v>
      </c>
      <c r="AO14">
        <f>SUMIF(RawDataRecovered!$B:$B,$A14,RawDataRecovered!AR:AR)</f>
        <v>0</v>
      </c>
      <c r="AP14">
        <f>SUMIF(RawDataRecovered!$B:$B,$A14,RawDataRecovered!AS:AS)</f>
        <v>0</v>
      </c>
      <c r="AQ14">
        <f>SUMIF(RawDataRecovered!$B:$B,$A14,RawDataRecovered!AT:AT)</f>
        <v>0</v>
      </c>
      <c r="AR14">
        <f>SUMIF(RawDataRecovered!$B:$B,$A14,RawDataRecovered!AU:AU)</f>
        <v>0</v>
      </c>
      <c r="AS14">
        <f>SUMIF(RawDataRecovered!$B:$B,$A14,RawDataRecovered!AV:AV)</f>
        <v>0</v>
      </c>
      <c r="AT14">
        <f>SUMIF(RawDataRecovered!$B:$B,$A14,RawDataRecovered!AW:AW)</f>
        <v>0</v>
      </c>
      <c r="AU14">
        <f>SUMIF(RawDataRecovered!$B:$B,$A14,RawDataRecovered!AX:AX)</f>
        <v>0</v>
      </c>
      <c r="AV14">
        <f>SUMIF(RawDataRecovered!$B:$B,$A14,RawDataRecovered!AY:AY)</f>
        <v>0</v>
      </c>
      <c r="AW14">
        <f>SUMIF(RawDataRecovered!$B:$B,$A14,RawDataRecovered!AZ:AZ)</f>
        <v>0</v>
      </c>
      <c r="AX14">
        <f>SUMIF(RawDataRecovered!$B:$B,$A14,RawDataRecovered!BA:BA)</f>
        <v>0</v>
      </c>
      <c r="AY14">
        <f>SUMIF(RawDataRecovered!$B:$B,$A14,RawDataRecovered!BB:BB)</f>
        <v>0</v>
      </c>
      <c r="AZ14">
        <f>SUMIF(RawDataRecovered!$B:$B,$A14,RawDataRecovered!BC:BC)</f>
        <v>0</v>
      </c>
      <c r="BA14">
        <f>SUMIF(RawDataRecovered!$B:$B,$A14,RawDataRecovered!BD:BD)</f>
        <v>0</v>
      </c>
      <c r="BB14">
        <f>SUMIF(RawDataRecovered!$B:$B,$A14,RawDataRecovered!BE:BE)</f>
        <v>2</v>
      </c>
      <c r="BC14">
        <f>SUMIF(RawDataRecovered!$B:$B,$A14,RawDataRecovered!BF:BF)</f>
        <v>2</v>
      </c>
      <c r="BD14">
        <f>SUMIF(RawDataRecovered!$B:$B,$A14,RawDataRecovered!BG:BG)</f>
        <v>2</v>
      </c>
      <c r="BE14">
        <f>SUMIF(RawDataRecovered!$B:$B,$A14,RawDataRecovered!BH:BH)</f>
        <v>2</v>
      </c>
      <c r="BF14">
        <f>SUMIF(RawDataRecovered!$B:$B,$A14,RawDataRecovered!BI:BI)</f>
        <v>0</v>
      </c>
      <c r="BG14">
        <f>SUMIF(RawDataRecovered!$B:$B,$A14,RawDataRecovered!BJ:BJ)</f>
        <v>0</v>
      </c>
      <c r="BH14">
        <f>SUMIF(RawDataRecovered!$B:$B,$A14,RawDataRecovered!BK:BK)</f>
        <v>0</v>
      </c>
      <c r="BI14">
        <f>SUMIF(RawDataRecovered!$B:$B,$A14,RawDataRecovered!BL:BL)</f>
        <v>0</v>
      </c>
      <c r="BJ14">
        <f>SUMIF(RawDataRecovered!$B:$B,$A14,RawDataRecovered!BM:BM)</f>
        <v>0</v>
      </c>
      <c r="BK14">
        <f>SUMIF(RawDataRecovered!$B:$B,$A14,RawDataRecovered!BN:BN)</f>
        <v>0</v>
      </c>
      <c r="BL14">
        <f>SUMIF(RawDataRecovered!$B:$B,$A14,RawDataRecovered!BO:BO)</f>
        <v>0</v>
      </c>
      <c r="BM14">
        <f>SUMIF(RawDataRecovered!$B:$B,$A14,RawDataRecovered!BP:BP)</f>
        <v>0</v>
      </c>
      <c r="BN14">
        <f>SUMIF(RawDataRecovered!$B:$B,$A14,RawDataRecovered!BQ:BQ)</f>
        <v>0</v>
      </c>
      <c r="BO14">
        <f>SUMIF(RawDataRecovered!$B:$B,$A14,RawDataRecovered!BR:BR)</f>
        <v>0</v>
      </c>
      <c r="BP14">
        <f>SUMIF(RawDataRecovered!$B:$B,$A14,RawDataRecovered!BS:BS)</f>
        <v>0</v>
      </c>
      <c r="BQ14">
        <f>SUMIF(RawDataRecovered!$B:$B,$A14,RawDataRecovered!BT:BT)</f>
        <v>0</v>
      </c>
      <c r="BR14">
        <f>SUMIF(RawDataRecovered!$B:$B,$A14,RawDataRecovered!BU:BU)</f>
        <v>0</v>
      </c>
      <c r="BS14">
        <f>SUMIF(RawDataRecovered!$B:$B,$A14,RawDataRecovered!BV:BV)</f>
        <v>0</v>
      </c>
      <c r="BT14">
        <f>SUMIF(RawDataRecovered!$B:$B,$A14,RawDataRecovered!BW:BW)</f>
        <v>0</v>
      </c>
    </row>
    <row r="15" spans="1:72" ht="15" thickBot="1" x14ac:dyDescent="0.35">
      <c r="A15" s="3" t="s">
        <v>377</v>
      </c>
      <c r="B15">
        <f>SUMIF(RawDataRecovered!$B:$B,$A15,RawDataRecovered!E:E)</f>
        <v>0</v>
      </c>
      <c r="C15">
        <f>SUMIF(RawDataRecovered!$B:$B,$A15,RawDataRecovered!F:F)</f>
        <v>0</v>
      </c>
      <c r="D15">
        <f>SUMIF(RawDataRecovered!$B:$B,$A15,RawDataRecovered!G:G)</f>
        <v>0</v>
      </c>
      <c r="E15">
        <f>SUMIF(RawDataRecovered!$B:$B,$A15,RawDataRecovered!H:H)</f>
        <v>0</v>
      </c>
      <c r="F15">
        <f>SUMIF(RawDataRecovered!$B:$B,$A15,RawDataRecovered!I:I)</f>
        <v>0</v>
      </c>
      <c r="G15">
        <f>SUMIF(RawDataRecovered!$B:$B,$A15,RawDataRecovered!J:J)</f>
        <v>0</v>
      </c>
      <c r="H15">
        <f>SUMIF(RawDataRecovered!$B:$B,$A15,RawDataRecovered!K:K)</f>
        <v>0</v>
      </c>
      <c r="I15">
        <f>SUMIF(RawDataRecovered!$B:$B,$A15,RawDataRecovered!L:L)</f>
        <v>0</v>
      </c>
      <c r="J15">
        <f>SUMIF(RawDataRecovered!$B:$B,$A15,RawDataRecovered!M:M)</f>
        <v>0</v>
      </c>
      <c r="K15">
        <f>SUMIF(RawDataRecovered!$B:$B,$A15,RawDataRecovered!N:N)</f>
        <v>0</v>
      </c>
      <c r="L15">
        <f>SUMIF(RawDataRecovered!$B:$B,$A15,RawDataRecovered!O:O)</f>
        <v>0</v>
      </c>
      <c r="M15">
        <f>SUMIF(RawDataRecovered!$B:$B,$A15,RawDataRecovered!P:P)</f>
        <v>0</v>
      </c>
      <c r="N15">
        <f>SUMIF(RawDataRecovered!$B:$B,$A15,RawDataRecovered!Q:Q)</f>
        <v>0</v>
      </c>
      <c r="O15">
        <f>SUMIF(RawDataRecovered!$B:$B,$A15,RawDataRecovered!R:R)</f>
        <v>0</v>
      </c>
      <c r="P15">
        <f>SUMIF(RawDataRecovered!$B:$B,$A15,RawDataRecovered!S:S)</f>
        <v>0</v>
      </c>
      <c r="Q15">
        <f>SUMIF(RawDataRecovered!$B:$B,$A15,RawDataRecovered!T:T)</f>
        <v>0</v>
      </c>
      <c r="R15">
        <f>SUMIF(RawDataRecovered!$B:$B,$A15,RawDataRecovered!U:U)</f>
        <v>0</v>
      </c>
      <c r="S15">
        <f>SUMIF(RawDataRecovered!$B:$B,$A15,RawDataRecovered!V:V)</f>
        <v>0</v>
      </c>
      <c r="T15">
        <f>SUMIF(RawDataRecovered!$B:$B,$A15,RawDataRecovered!W:W)</f>
        <v>0</v>
      </c>
      <c r="U15">
        <f>SUMIF(RawDataRecovered!$B:$B,$A15,RawDataRecovered!X:X)</f>
        <v>0</v>
      </c>
      <c r="V15">
        <f>SUMIF(RawDataRecovered!$B:$B,$A15,RawDataRecovered!Y:Y)</f>
        <v>0</v>
      </c>
      <c r="W15">
        <f>SUMIF(RawDataRecovered!$B:$B,$A15,RawDataRecovered!Z:Z)</f>
        <v>1</v>
      </c>
      <c r="X15">
        <f>SUMIF(RawDataRecovered!$B:$B,$A15,RawDataRecovered!AA:AA)</f>
        <v>1</v>
      </c>
      <c r="Y15">
        <f>SUMIF(RawDataRecovered!$B:$B,$A15,RawDataRecovered!AB:AB)</f>
        <v>1</v>
      </c>
      <c r="Z15">
        <f>SUMIF(RawDataRecovered!$B:$B,$A15,RawDataRecovered!AC:AC)</f>
        <v>1</v>
      </c>
      <c r="AA15">
        <f>SUMIF(RawDataRecovered!$B:$B,$A15,RawDataRecovered!AD:AD)</f>
        <v>8</v>
      </c>
      <c r="AB15">
        <f>SUMIF(RawDataRecovered!$B:$B,$A15,RawDataRecovered!AE:AE)</f>
        <v>8</v>
      </c>
      <c r="AC15">
        <f>SUMIF(RawDataRecovered!$B:$B,$A15,RawDataRecovered!AF:AF)</f>
        <v>8</v>
      </c>
      <c r="AD15">
        <f>SUMIF(RawDataRecovered!$B:$B,$A15,RawDataRecovered!AG:AG)</f>
        <v>8</v>
      </c>
      <c r="AE15">
        <f>SUMIF(RawDataRecovered!$B:$B,$A15,RawDataRecovered!AH:AH)</f>
        <v>8</v>
      </c>
      <c r="AF15">
        <f>SUMIF(RawDataRecovered!$B:$B,$A15,RawDataRecovered!AI:AI)</f>
        <v>8</v>
      </c>
      <c r="AG15">
        <f>SUMIF(RawDataRecovered!$B:$B,$A15,RawDataRecovered!AJ:AJ)</f>
        <v>8</v>
      </c>
      <c r="AH15">
        <f>SUMIF(RawDataRecovered!$B:$B,$A15,RawDataRecovered!AK:AK)</f>
        <v>8</v>
      </c>
      <c r="AI15">
        <f>SUMIF(RawDataRecovered!$B:$B,$A15,RawDataRecovered!AL:AL)</f>
        <v>8</v>
      </c>
      <c r="AJ15">
        <f>SUMIF(RawDataRecovered!$B:$B,$A15,RawDataRecovered!AM:AM)</f>
        <v>8</v>
      </c>
      <c r="AK15">
        <f>SUMIF(RawDataRecovered!$B:$B,$A15,RawDataRecovered!AN:AN)</f>
        <v>8</v>
      </c>
      <c r="AL15">
        <f>SUMIF(RawDataRecovered!$B:$B,$A15,RawDataRecovered!AO:AO)</f>
        <v>8</v>
      </c>
      <c r="AM15">
        <f>SUMIF(RawDataRecovered!$B:$B,$A15,RawDataRecovered!AP:AP)</f>
        <v>8</v>
      </c>
      <c r="AN15">
        <f>SUMIF(RawDataRecovered!$B:$B,$A15,RawDataRecovered!AQ:AQ)</f>
        <v>8</v>
      </c>
      <c r="AO15">
        <f>SUMIF(RawDataRecovered!$B:$B,$A15,RawDataRecovered!AR:AR)</f>
        <v>8</v>
      </c>
      <c r="AP15">
        <f>SUMIF(RawDataRecovered!$B:$B,$A15,RawDataRecovered!AS:AS)</f>
        <v>8</v>
      </c>
      <c r="AQ15">
        <f>SUMIF(RawDataRecovered!$B:$B,$A15,RawDataRecovered!AT:AT)</f>
        <v>8</v>
      </c>
      <c r="AR15">
        <f>SUMIF(RawDataRecovered!$B:$B,$A15,RawDataRecovered!AU:AU)</f>
        <v>8</v>
      </c>
      <c r="AS15">
        <f>SUMIF(RawDataRecovered!$B:$B,$A15,RawDataRecovered!AV:AV)</f>
        <v>8</v>
      </c>
      <c r="AT15">
        <f>SUMIF(RawDataRecovered!$B:$B,$A15,RawDataRecovered!AW:AW)</f>
        <v>8</v>
      </c>
      <c r="AU15">
        <f>SUMIF(RawDataRecovered!$B:$B,$A15,RawDataRecovered!AX:AX)</f>
        <v>18</v>
      </c>
      <c r="AV15">
        <f>SUMIF(RawDataRecovered!$B:$B,$A15,RawDataRecovered!AY:AY)</f>
        <v>18</v>
      </c>
      <c r="AW15">
        <f>SUMIF(RawDataRecovered!$B:$B,$A15,RawDataRecovered!AZ:AZ)</f>
        <v>18</v>
      </c>
      <c r="AX15">
        <f>SUMIF(RawDataRecovered!$B:$B,$A15,RawDataRecovered!BA:BA)</f>
        <v>19</v>
      </c>
      <c r="AY15">
        <f>SUMIF(RawDataRecovered!$B:$B,$A15,RawDataRecovered!BB:BB)</f>
        <v>19</v>
      </c>
      <c r="AZ15">
        <f>SUMIF(RawDataRecovered!$B:$B,$A15,RawDataRecovered!BC:BC)</f>
        <v>19</v>
      </c>
      <c r="BA15">
        <f>SUMIF(RawDataRecovered!$B:$B,$A15,RawDataRecovered!BD:BD)</f>
        <v>19</v>
      </c>
      <c r="BB15">
        <f>SUMIF(RawDataRecovered!$B:$B,$A15,RawDataRecovered!BE:BE)</f>
        <v>19</v>
      </c>
      <c r="BC15">
        <f>SUMIF(RawDataRecovered!$B:$B,$A15,RawDataRecovered!BF:BF)</f>
        <v>19</v>
      </c>
      <c r="BD15">
        <f>SUMIF(RawDataRecovered!$B:$B,$A15,RawDataRecovered!BG:BG)</f>
        <v>21</v>
      </c>
      <c r="BE15">
        <f>SUMIF(RawDataRecovered!$B:$B,$A15,RawDataRecovered!BH:BH)</f>
        <v>53</v>
      </c>
      <c r="BF15">
        <f>SUMIF(RawDataRecovered!$B:$B,$A15,RawDataRecovered!BI:BI)</f>
        <v>65</v>
      </c>
      <c r="BG15">
        <f>SUMIF(RawDataRecovered!$B:$B,$A15,RawDataRecovered!BJ:BJ)</f>
        <v>0</v>
      </c>
      <c r="BH15">
        <f>SUMIF(RawDataRecovered!$B:$B,$A15,RawDataRecovered!BK:BK)</f>
        <v>0</v>
      </c>
      <c r="BI15">
        <f>SUMIF(RawDataRecovered!$B:$B,$A15,RawDataRecovered!BL:BL)</f>
        <v>0</v>
      </c>
      <c r="BJ15">
        <f>SUMIF(RawDataRecovered!$B:$B,$A15,RawDataRecovered!BM:BM)</f>
        <v>0</v>
      </c>
      <c r="BK15">
        <f>SUMIF(RawDataRecovered!$B:$B,$A15,RawDataRecovered!BN:BN)</f>
        <v>0</v>
      </c>
      <c r="BL15">
        <f>SUMIF(RawDataRecovered!$B:$B,$A15,RawDataRecovered!BO:BO)</f>
        <v>0</v>
      </c>
      <c r="BM15">
        <f>SUMIF(RawDataRecovered!$B:$B,$A15,RawDataRecovered!BP:BP)</f>
        <v>0</v>
      </c>
      <c r="BN15">
        <f>SUMIF(RawDataRecovered!$B:$B,$A15,RawDataRecovered!BQ:BQ)</f>
        <v>0</v>
      </c>
      <c r="BO15">
        <f>SUMIF(RawDataRecovered!$B:$B,$A15,RawDataRecovered!BR:BR)</f>
        <v>0</v>
      </c>
      <c r="BP15">
        <f>SUMIF(RawDataRecovered!$B:$B,$A15,RawDataRecovered!BS:BS)</f>
        <v>0</v>
      </c>
      <c r="BQ15">
        <f>SUMIF(RawDataRecovered!$B:$B,$A15,RawDataRecovered!BT:BT)</f>
        <v>0</v>
      </c>
      <c r="BR15">
        <f>SUMIF(RawDataRecovered!$B:$B,$A15,RawDataRecovered!BU:BU)</f>
        <v>0</v>
      </c>
      <c r="BS15">
        <f>SUMIF(RawDataRecovered!$B:$B,$A15,RawDataRecovered!BV:BV)</f>
        <v>0</v>
      </c>
      <c r="BT15">
        <f>SUMIF(RawDataRecovered!$B:$B,$A15,RawDataRecovered!BW:BW)</f>
        <v>0</v>
      </c>
    </row>
    <row r="16" spans="1:72" ht="15" thickBot="1" x14ac:dyDescent="0.35">
      <c r="A16" s="4" t="s">
        <v>63</v>
      </c>
      <c r="B16">
        <f>SUMIF(RawDataRecovered!$B:$B,$A16,RawDataRecovered!E:E)</f>
        <v>0</v>
      </c>
      <c r="C16">
        <f>SUMIF(RawDataRecovered!$B:$B,$A16,RawDataRecovered!F:F)</f>
        <v>0</v>
      </c>
      <c r="D16">
        <f>SUMIF(RawDataRecovered!$B:$B,$A16,RawDataRecovered!G:G)</f>
        <v>0</v>
      </c>
      <c r="E16">
        <f>SUMIF(RawDataRecovered!$B:$B,$A16,RawDataRecovered!H:H)</f>
        <v>0</v>
      </c>
      <c r="F16">
        <f>SUMIF(RawDataRecovered!$B:$B,$A16,RawDataRecovered!I:I)</f>
        <v>1</v>
      </c>
      <c r="G16">
        <f>SUMIF(RawDataRecovered!$B:$B,$A16,RawDataRecovered!J:J)</f>
        <v>1</v>
      </c>
      <c r="H16">
        <f>SUMIF(RawDataRecovered!$B:$B,$A16,RawDataRecovered!K:K)</f>
        <v>1</v>
      </c>
      <c r="I16">
        <f>SUMIF(RawDataRecovered!$B:$B,$A16,RawDataRecovered!L:L)</f>
        <v>1</v>
      </c>
      <c r="J16">
        <f>SUMIF(RawDataRecovered!$B:$B,$A16,RawDataRecovered!M:M)</f>
        <v>1</v>
      </c>
      <c r="K16">
        <f>SUMIF(RawDataRecovered!$B:$B,$A16,RawDataRecovered!N:N)</f>
        <v>1</v>
      </c>
      <c r="L16">
        <f>SUMIF(RawDataRecovered!$B:$B,$A16,RawDataRecovered!O:O)</f>
        <v>1</v>
      </c>
      <c r="M16">
        <f>SUMIF(RawDataRecovered!$B:$B,$A16,RawDataRecovered!P:P)</f>
        <v>1</v>
      </c>
      <c r="N16">
        <f>SUMIF(RawDataRecovered!$B:$B,$A16,RawDataRecovered!Q:Q)</f>
        <v>1</v>
      </c>
      <c r="O16">
        <f>SUMIF(RawDataRecovered!$B:$B,$A16,RawDataRecovered!R:R)</f>
        <v>1</v>
      </c>
      <c r="P16">
        <f>SUMIF(RawDataRecovered!$B:$B,$A16,RawDataRecovered!S:S)</f>
        <v>1</v>
      </c>
      <c r="Q16">
        <f>SUMIF(RawDataRecovered!$B:$B,$A16,RawDataRecovered!T:T)</f>
        <v>1</v>
      </c>
      <c r="R16">
        <f>SUMIF(RawDataRecovered!$B:$B,$A16,RawDataRecovered!U:U)</f>
        <v>1</v>
      </c>
      <c r="S16">
        <f>SUMIF(RawDataRecovered!$B:$B,$A16,RawDataRecovered!V:V)</f>
        <v>1</v>
      </c>
      <c r="T16">
        <f>SUMIF(RawDataRecovered!$B:$B,$A16,RawDataRecovered!W:W)</f>
        <v>1</v>
      </c>
      <c r="U16">
        <f>SUMIF(RawDataRecovered!$B:$B,$A16,RawDataRecovered!X:X)</f>
        <v>4</v>
      </c>
      <c r="V16">
        <f>SUMIF(RawDataRecovered!$B:$B,$A16,RawDataRecovered!Y:Y)</f>
        <v>9</v>
      </c>
      <c r="W16">
        <f>SUMIF(RawDataRecovered!$B:$B,$A16,RawDataRecovered!Z:Z)</f>
        <v>9</v>
      </c>
      <c r="X16">
        <f>SUMIF(RawDataRecovered!$B:$B,$A16,RawDataRecovered!AA:AA)</f>
        <v>9</v>
      </c>
      <c r="Y16">
        <f>SUMIF(RawDataRecovered!$B:$B,$A16,RawDataRecovered!AB:AB)</f>
        <v>9</v>
      </c>
      <c r="Z16">
        <f>SUMIF(RawDataRecovered!$B:$B,$A16,RawDataRecovered!AC:AC)</f>
        <v>12</v>
      </c>
      <c r="AA16">
        <f>SUMIF(RawDataRecovered!$B:$B,$A16,RawDataRecovered!AD:AD)</f>
        <v>12</v>
      </c>
      <c r="AB16">
        <f>SUMIF(RawDataRecovered!$B:$B,$A16,RawDataRecovered!AE:AE)</f>
        <v>12</v>
      </c>
      <c r="AC16">
        <f>SUMIF(RawDataRecovered!$B:$B,$A16,RawDataRecovered!AF:AF)</f>
        <v>13</v>
      </c>
      <c r="AD16">
        <f>SUMIF(RawDataRecovered!$B:$B,$A16,RawDataRecovered!AG:AG)</f>
        <v>18</v>
      </c>
      <c r="AE16">
        <f>SUMIF(RawDataRecovered!$B:$B,$A16,RawDataRecovered!AH:AH)</f>
        <v>18</v>
      </c>
      <c r="AF16">
        <f>SUMIF(RawDataRecovered!$B:$B,$A16,RawDataRecovered!AI:AI)</f>
        <v>22</v>
      </c>
      <c r="AG16">
        <f>SUMIF(RawDataRecovered!$B:$B,$A16,RawDataRecovered!AJ:AJ)</f>
        <v>22</v>
      </c>
      <c r="AH16">
        <f>SUMIF(RawDataRecovered!$B:$B,$A16,RawDataRecovered!AK:AK)</f>
        <v>22</v>
      </c>
      <c r="AI16">
        <f>SUMIF(RawDataRecovered!$B:$B,$A16,RawDataRecovered!AL:AL)</f>
        <v>22</v>
      </c>
      <c r="AJ16">
        <f>SUMIF(RawDataRecovered!$B:$B,$A16,RawDataRecovered!AM:AM)</f>
        <v>22</v>
      </c>
      <c r="AK16">
        <f>SUMIF(RawDataRecovered!$B:$B,$A16,RawDataRecovered!AN:AN)</f>
        <v>22</v>
      </c>
      <c r="AL16">
        <f>SUMIF(RawDataRecovered!$B:$B,$A16,RawDataRecovered!AO:AO)</f>
        <v>22</v>
      </c>
      <c r="AM16">
        <f>SUMIF(RawDataRecovered!$B:$B,$A16,RawDataRecovered!AP:AP)</f>
        <v>22</v>
      </c>
      <c r="AN16">
        <f>SUMIF(RawDataRecovered!$B:$B,$A16,RawDataRecovered!AQ:AQ)</f>
        <v>32</v>
      </c>
      <c r="AO16">
        <f>SUMIF(RawDataRecovered!$B:$B,$A16,RawDataRecovered!AR:AR)</f>
        <v>32</v>
      </c>
      <c r="AP16">
        <f>SUMIF(RawDataRecovered!$B:$B,$A16,RawDataRecovered!AS:AS)</f>
        <v>32</v>
      </c>
      <c r="AQ16">
        <f>SUMIF(RawDataRecovered!$B:$B,$A16,RawDataRecovered!AT:AT)</f>
        <v>43</v>
      </c>
      <c r="AR16">
        <f>SUMIF(RawDataRecovered!$B:$B,$A16,RawDataRecovered!AU:AU)</f>
        <v>43</v>
      </c>
      <c r="AS16">
        <f>SUMIF(RawDataRecovered!$B:$B,$A16,RawDataRecovered!AV:AV)</f>
        <v>43</v>
      </c>
      <c r="AT16">
        <f>SUMIF(RawDataRecovered!$B:$B,$A16,RawDataRecovered!AW:AW)</f>
        <v>46</v>
      </c>
      <c r="AU16">
        <f>SUMIF(RawDataRecovered!$B:$B,$A16,RawDataRecovered!AX:AX)</f>
        <v>76</v>
      </c>
      <c r="AV16">
        <f>SUMIF(RawDataRecovered!$B:$B,$A16,RawDataRecovered!AY:AY)</f>
        <v>76</v>
      </c>
      <c r="AW16">
        <f>SUMIF(RawDataRecovered!$B:$B,$A16,RawDataRecovered!AZ:AZ)</f>
        <v>76</v>
      </c>
      <c r="AX16">
        <f>SUMIF(RawDataRecovered!$B:$B,$A16,RawDataRecovered!BA:BA)</f>
        <v>101</v>
      </c>
      <c r="AY16">
        <f>SUMIF(RawDataRecovered!$B:$B,$A16,RawDataRecovered!BB:BB)</f>
        <v>118</v>
      </c>
      <c r="AZ16">
        <f>SUMIF(RawDataRecovered!$B:$B,$A16,RawDataRecovered!BC:BC)</f>
        <v>118</v>
      </c>
      <c r="BA16">
        <f>SUMIF(RawDataRecovered!$B:$B,$A16,RawDataRecovered!BD:BD)</f>
        <v>118</v>
      </c>
      <c r="BB16">
        <f>SUMIF(RawDataRecovered!$B:$B,$A16,RawDataRecovered!BE:BE)</f>
        <v>118</v>
      </c>
      <c r="BC16">
        <f>SUMIF(RawDataRecovered!$B:$B,$A16,RawDataRecovered!BF:BF)</f>
        <v>118</v>
      </c>
      <c r="BD16">
        <f>SUMIF(RawDataRecovered!$B:$B,$A16,RawDataRecovered!BG:BG)</f>
        <v>144</v>
      </c>
      <c r="BE16">
        <f>SUMIF(RawDataRecovered!$B:$B,$A16,RawDataRecovered!BH:BH)</f>
        <v>144</v>
      </c>
      <c r="BF16">
        <f>SUMIF(RawDataRecovered!$B:$B,$A16,RawDataRecovered!BI:BI)</f>
        <v>0</v>
      </c>
      <c r="BG16">
        <f>SUMIF(RawDataRecovered!$B:$B,$A16,RawDataRecovered!BJ:BJ)</f>
        <v>0</v>
      </c>
      <c r="BH16">
        <f>SUMIF(RawDataRecovered!$B:$B,$A16,RawDataRecovered!BK:BK)</f>
        <v>0</v>
      </c>
      <c r="BI16">
        <f>SUMIF(RawDataRecovered!$B:$B,$A16,RawDataRecovered!BL:BL)</f>
        <v>0</v>
      </c>
      <c r="BJ16">
        <f>SUMIF(RawDataRecovered!$B:$B,$A16,RawDataRecovered!BM:BM)</f>
        <v>0</v>
      </c>
      <c r="BK16">
        <f>SUMIF(RawDataRecovered!$B:$B,$A16,RawDataRecovered!BN:BN)</f>
        <v>0</v>
      </c>
      <c r="BL16">
        <f>SUMIF(RawDataRecovered!$B:$B,$A16,RawDataRecovered!BO:BO)</f>
        <v>0</v>
      </c>
      <c r="BM16">
        <f>SUMIF(RawDataRecovered!$B:$B,$A16,RawDataRecovered!BP:BP)</f>
        <v>0</v>
      </c>
      <c r="BN16">
        <f>SUMIF(RawDataRecovered!$B:$B,$A16,RawDataRecovered!BQ:BQ)</f>
        <v>0</v>
      </c>
      <c r="BO16">
        <f>SUMIF(RawDataRecovered!$B:$B,$A16,RawDataRecovered!BR:BR)</f>
        <v>0</v>
      </c>
      <c r="BP16">
        <f>SUMIF(RawDataRecovered!$B:$B,$A16,RawDataRecovered!BS:BS)</f>
        <v>0</v>
      </c>
      <c r="BQ16">
        <f>SUMIF(RawDataRecovered!$B:$B,$A16,RawDataRecovered!BT:BT)</f>
        <v>0</v>
      </c>
      <c r="BR16">
        <f>SUMIF(RawDataRecovered!$B:$B,$A16,RawDataRecovered!BU:BU)</f>
        <v>0</v>
      </c>
      <c r="BS16">
        <f>SUMIF(RawDataRecovered!$B:$B,$A16,RawDataRecovered!BV:BV)</f>
        <v>0</v>
      </c>
      <c r="BT16">
        <f>SUMIF(RawDataRecovered!$B:$B,$A16,RawDataRecovered!BW:BW)</f>
        <v>0</v>
      </c>
    </row>
    <row r="17" spans="1:72" ht="15" thickBot="1" x14ac:dyDescent="0.35">
      <c r="A17" s="4" t="s">
        <v>368</v>
      </c>
      <c r="B17">
        <f>SUMIF(RawDataRecovered!$B:$B,$A17,RawDataRecovered!E:E)</f>
        <v>0</v>
      </c>
      <c r="C17">
        <f>SUMIF(RawDataRecovered!$B:$B,$A17,RawDataRecovered!F:F)</f>
        <v>0</v>
      </c>
      <c r="D17">
        <f>SUMIF(RawDataRecovered!$B:$B,$A17,RawDataRecovered!G:G)</f>
        <v>0</v>
      </c>
      <c r="E17">
        <f>SUMIF(RawDataRecovered!$B:$B,$A17,RawDataRecovered!H:H)</f>
        <v>0</v>
      </c>
      <c r="F17">
        <f>SUMIF(RawDataRecovered!$B:$B,$A17,RawDataRecovered!I:I)</f>
        <v>0</v>
      </c>
      <c r="G17">
        <f>SUMIF(RawDataRecovered!$B:$B,$A17,RawDataRecovered!J:J)</f>
        <v>0</v>
      </c>
      <c r="H17">
        <f>SUMIF(RawDataRecovered!$B:$B,$A17,RawDataRecovered!K:K)</f>
        <v>0</v>
      </c>
      <c r="I17">
        <f>SUMIF(RawDataRecovered!$B:$B,$A17,RawDataRecovered!L:L)</f>
        <v>0</v>
      </c>
      <c r="J17">
        <f>SUMIF(RawDataRecovered!$B:$B,$A17,RawDataRecovered!M:M)</f>
        <v>0</v>
      </c>
      <c r="K17">
        <f>SUMIF(RawDataRecovered!$B:$B,$A17,RawDataRecovered!N:N)</f>
        <v>0</v>
      </c>
      <c r="L17">
        <f>SUMIF(RawDataRecovered!$B:$B,$A17,RawDataRecovered!O:O)</f>
        <v>0</v>
      </c>
      <c r="M17">
        <f>SUMIF(RawDataRecovered!$B:$B,$A17,RawDataRecovered!P:P)</f>
        <v>0</v>
      </c>
      <c r="N17">
        <f>SUMIF(RawDataRecovered!$B:$B,$A17,RawDataRecovered!Q:Q)</f>
        <v>0</v>
      </c>
      <c r="O17">
        <f>SUMIF(RawDataRecovered!$B:$B,$A17,RawDataRecovered!R:R)</f>
        <v>0</v>
      </c>
      <c r="P17">
        <f>SUMIF(RawDataRecovered!$B:$B,$A17,RawDataRecovered!S:S)</f>
        <v>0</v>
      </c>
      <c r="Q17">
        <f>SUMIF(RawDataRecovered!$B:$B,$A17,RawDataRecovered!T:T)</f>
        <v>0</v>
      </c>
      <c r="R17">
        <f>SUMIF(RawDataRecovered!$B:$B,$A17,RawDataRecovered!U:U)</f>
        <v>0</v>
      </c>
      <c r="S17">
        <f>SUMIF(RawDataRecovered!$B:$B,$A17,RawDataRecovered!V:V)</f>
        <v>0</v>
      </c>
      <c r="T17">
        <f>SUMIF(RawDataRecovered!$B:$B,$A17,RawDataRecovered!W:W)</f>
        <v>0</v>
      </c>
      <c r="U17">
        <f>SUMIF(RawDataRecovered!$B:$B,$A17,RawDataRecovered!X:X)</f>
        <v>0</v>
      </c>
      <c r="V17">
        <f>SUMIF(RawDataRecovered!$B:$B,$A17,RawDataRecovered!Y:Y)</f>
        <v>0</v>
      </c>
      <c r="W17">
        <f>SUMIF(RawDataRecovered!$B:$B,$A17,RawDataRecovered!Z:Z)</f>
        <v>0</v>
      </c>
      <c r="X17">
        <f>SUMIF(RawDataRecovered!$B:$B,$A17,RawDataRecovered!AA:AA)</f>
        <v>0</v>
      </c>
      <c r="Y17">
        <f>SUMIF(RawDataRecovered!$B:$B,$A17,RawDataRecovered!AB:AB)</f>
        <v>0</v>
      </c>
      <c r="Z17">
        <f>SUMIF(RawDataRecovered!$B:$B,$A17,RawDataRecovered!AC:AC)</f>
        <v>0</v>
      </c>
      <c r="AA17">
        <f>SUMIF(RawDataRecovered!$B:$B,$A17,RawDataRecovered!AD:AD)</f>
        <v>0</v>
      </c>
      <c r="AB17">
        <f>SUMIF(RawDataRecovered!$B:$B,$A17,RawDataRecovered!AE:AE)</f>
        <v>0</v>
      </c>
      <c r="AC17">
        <f>SUMIF(RawDataRecovered!$B:$B,$A17,RawDataRecovered!AF:AF)</f>
        <v>0</v>
      </c>
      <c r="AD17">
        <f>SUMIF(RawDataRecovered!$B:$B,$A17,RawDataRecovered!AG:AG)</f>
        <v>1</v>
      </c>
      <c r="AE17">
        <f>SUMIF(RawDataRecovered!$B:$B,$A17,RawDataRecovered!AH:AH)</f>
        <v>1</v>
      </c>
      <c r="AF17">
        <f>SUMIF(RawDataRecovered!$B:$B,$A17,RawDataRecovered!AI:AI)</f>
        <v>1</v>
      </c>
      <c r="AG17">
        <f>SUMIF(RawDataRecovered!$B:$B,$A17,RawDataRecovered!AJ:AJ)</f>
        <v>1</v>
      </c>
      <c r="AH17">
        <f>SUMIF(RawDataRecovered!$B:$B,$A17,RawDataRecovered!AK:AK)</f>
        <v>0</v>
      </c>
      <c r="AI17">
        <f>SUMIF(RawDataRecovered!$B:$B,$A17,RawDataRecovered!AL:AL)</f>
        <v>0</v>
      </c>
      <c r="AJ17">
        <f>SUMIF(RawDataRecovered!$B:$B,$A17,RawDataRecovered!AM:AM)</f>
        <v>0</v>
      </c>
      <c r="AK17">
        <f>SUMIF(RawDataRecovered!$B:$B,$A17,RawDataRecovered!AN:AN)</f>
        <v>10</v>
      </c>
      <c r="AL17">
        <f>SUMIF(RawDataRecovered!$B:$B,$A17,RawDataRecovered!AO:AO)</f>
        <v>10</v>
      </c>
      <c r="AM17">
        <f>SUMIF(RawDataRecovered!$B:$B,$A17,RawDataRecovered!AP:AP)</f>
        <v>10</v>
      </c>
      <c r="AN17">
        <f>SUMIF(RawDataRecovered!$B:$B,$A17,RawDataRecovered!AQ:AQ)</f>
        <v>10</v>
      </c>
      <c r="AO17">
        <f>SUMIF(RawDataRecovered!$B:$B,$A17,RawDataRecovered!AR:AR)</f>
        <v>10</v>
      </c>
      <c r="AP17">
        <f>SUMIF(RawDataRecovered!$B:$B,$A17,RawDataRecovered!AS:AS)</f>
        <v>10</v>
      </c>
      <c r="AQ17">
        <f>SUMIF(RawDataRecovered!$B:$B,$A17,RawDataRecovered!AT:AT)</f>
        <v>10</v>
      </c>
      <c r="AR17">
        <f>SUMIF(RawDataRecovered!$B:$B,$A17,RawDataRecovered!AU:AU)</f>
        <v>10</v>
      </c>
      <c r="AS17">
        <f>SUMIF(RawDataRecovered!$B:$B,$A17,RawDataRecovered!AV:AV)</f>
        <v>10</v>
      </c>
      <c r="AT17">
        <f>SUMIF(RawDataRecovered!$B:$B,$A17,RawDataRecovered!AW:AW)</f>
        <v>40</v>
      </c>
      <c r="AU17">
        <f>SUMIF(RawDataRecovered!$B:$B,$A17,RawDataRecovered!AX:AX)</f>
        <v>40</v>
      </c>
      <c r="AV17">
        <f>SUMIF(RawDataRecovered!$B:$B,$A17,RawDataRecovered!AY:AY)</f>
        <v>40</v>
      </c>
      <c r="AW17">
        <f>SUMIF(RawDataRecovered!$B:$B,$A17,RawDataRecovered!AZ:AZ)</f>
        <v>40</v>
      </c>
      <c r="AX17">
        <f>SUMIF(RawDataRecovered!$B:$B,$A17,RawDataRecovered!BA:BA)</f>
        <v>40</v>
      </c>
      <c r="AY17">
        <f>SUMIF(RawDataRecovered!$B:$B,$A17,RawDataRecovered!BB:BB)</f>
        <v>325</v>
      </c>
      <c r="AZ17">
        <f>SUMIF(RawDataRecovered!$B:$B,$A17,RawDataRecovered!BC:BC)</f>
        <v>325</v>
      </c>
      <c r="BA17">
        <f>SUMIF(RawDataRecovered!$B:$B,$A17,RawDataRecovered!BD:BD)</f>
        <v>325</v>
      </c>
      <c r="BB17">
        <f>SUMIF(RawDataRecovered!$B:$B,$A17,RawDataRecovered!BE:BE)</f>
        <v>325</v>
      </c>
      <c r="BC17">
        <f>SUMIF(RawDataRecovered!$B:$B,$A17,RawDataRecovered!BF:BF)</f>
        <v>325</v>
      </c>
      <c r="BD17">
        <f>SUMIF(RawDataRecovered!$B:$B,$A17,RawDataRecovered!BG:BG)</f>
        <v>325</v>
      </c>
      <c r="BE17">
        <f>SUMIF(RawDataRecovered!$B:$B,$A17,RawDataRecovered!BH:BH)</f>
        <v>325</v>
      </c>
      <c r="BF17">
        <f>SUMIF(RawDataRecovered!$B:$B,$A17,RawDataRecovered!BI:BI)</f>
        <v>0</v>
      </c>
      <c r="BG17">
        <f>SUMIF(RawDataRecovered!$B:$B,$A17,RawDataRecovered!BJ:BJ)</f>
        <v>0</v>
      </c>
      <c r="BH17">
        <f>SUMIF(RawDataRecovered!$B:$B,$A17,RawDataRecovered!BK:BK)</f>
        <v>0</v>
      </c>
      <c r="BI17">
        <f>SUMIF(RawDataRecovered!$B:$B,$A17,RawDataRecovered!BL:BL)</f>
        <v>0</v>
      </c>
      <c r="BJ17">
        <f>SUMIF(RawDataRecovered!$B:$B,$A17,RawDataRecovered!BM:BM)</f>
        <v>0</v>
      </c>
      <c r="BK17">
        <f>SUMIF(RawDataRecovered!$B:$B,$A17,RawDataRecovered!BN:BN)</f>
        <v>0</v>
      </c>
      <c r="BL17">
        <f>SUMIF(RawDataRecovered!$B:$B,$A17,RawDataRecovered!BO:BO)</f>
        <v>0</v>
      </c>
      <c r="BM17">
        <f>SUMIF(RawDataRecovered!$B:$B,$A17,RawDataRecovered!BP:BP)</f>
        <v>0</v>
      </c>
      <c r="BN17">
        <f>SUMIF(RawDataRecovered!$B:$B,$A17,RawDataRecovered!BQ:BQ)</f>
        <v>0</v>
      </c>
      <c r="BO17">
        <f>SUMIF(RawDataRecovered!$B:$B,$A17,RawDataRecovered!BR:BR)</f>
        <v>0</v>
      </c>
      <c r="BP17">
        <f>SUMIF(RawDataRecovered!$B:$B,$A17,RawDataRecovered!BS:BS)</f>
        <v>0</v>
      </c>
      <c r="BQ17">
        <f>SUMIF(RawDataRecovered!$B:$B,$A17,RawDataRecovered!BT:BT)</f>
        <v>0</v>
      </c>
      <c r="BR17">
        <f>SUMIF(RawDataRecovered!$B:$B,$A17,RawDataRecovered!BU:BU)</f>
        <v>0</v>
      </c>
      <c r="BS17">
        <f>SUMIF(RawDataRecovered!$B:$B,$A17,RawDataRecovered!BV:BV)</f>
        <v>0</v>
      </c>
      <c r="BT17">
        <f>SUMIF(RawDataRecovered!$B:$B,$A17,RawDataRecovered!BW:BW)</f>
        <v>0</v>
      </c>
    </row>
    <row r="18" spans="1:72" ht="15" thickBot="1" x14ac:dyDescent="0.35">
      <c r="A18" s="3" t="s">
        <v>90</v>
      </c>
      <c r="B18">
        <f>SUMIF(RawDataRecovered!$B:$B,$A18,RawDataRecovered!E:E)</f>
        <v>0</v>
      </c>
      <c r="C18">
        <f>SUMIF(RawDataRecovered!$B:$B,$A18,RawDataRecovered!F:F)</f>
        <v>0</v>
      </c>
      <c r="D18">
        <f>SUMIF(RawDataRecovered!$B:$B,$A18,RawDataRecovered!G:G)</f>
        <v>0</v>
      </c>
      <c r="E18">
        <f>SUMIF(RawDataRecovered!$B:$B,$A18,RawDataRecovered!H:H)</f>
        <v>0</v>
      </c>
      <c r="F18">
        <f>SUMIF(RawDataRecovered!$B:$B,$A18,RawDataRecovered!I:I)</f>
        <v>0</v>
      </c>
      <c r="G18">
        <f>SUMIF(RawDataRecovered!$B:$B,$A18,RawDataRecovered!J:J)</f>
        <v>0</v>
      </c>
      <c r="H18">
        <f>SUMIF(RawDataRecovered!$B:$B,$A18,RawDataRecovered!K:K)</f>
        <v>0</v>
      </c>
      <c r="I18">
        <f>SUMIF(RawDataRecovered!$B:$B,$A18,RawDataRecovered!L:L)</f>
        <v>0</v>
      </c>
      <c r="J18">
        <f>SUMIF(RawDataRecovered!$B:$B,$A18,RawDataRecovered!M:M)</f>
        <v>0</v>
      </c>
      <c r="K18">
        <f>SUMIF(RawDataRecovered!$B:$B,$A18,RawDataRecovered!N:N)</f>
        <v>0</v>
      </c>
      <c r="L18">
        <f>SUMIF(RawDataRecovered!$B:$B,$A18,RawDataRecovered!O:O)</f>
        <v>0</v>
      </c>
      <c r="M18">
        <f>SUMIF(RawDataRecovered!$B:$B,$A18,RawDataRecovered!P:P)</f>
        <v>0</v>
      </c>
      <c r="N18">
        <f>SUMIF(RawDataRecovered!$B:$B,$A18,RawDataRecovered!Q:Q)</f>
        <v>0</v>
      </c>
      <c r="O18">
        <f>SUMIF(RawDataRecovered!$B:$B,$A18,RawDataRecovered!R:R)</f>
        <v>0</v>
      </c>
      <c r="P18">
        <f>SUMIF(RawDataRecovered!$B:$B,$A18,RawDataRecovered!S:S)</f>
        <v>0</v>
      </c>
      <c r="Q18">
        <f>SUMIF(RawDataRecovered!$B:$B,$A18,RawDataRecovered!T:T)</f>
        <v>0</v>
      </c>
      <c r="R18">
        <f>SUMIF(RawDataRecovered!$B:$B,$A18,RawDataRecovered!U:U)</f>
        <v>0</v>
      </c>
      <c r="S18">
        <f>SUMIF(RawDataRecovered!$B:$B,$A18,RawDataRecovered!V:V)</f>
        <v>0</v>
      </c>
      <c r="T18">
        <f>SUMIF(RawDataRecovered!$B:$B,$A18,RawDataRecovered!W:W)</f>
        <v>0</v>
      </c>
      <c r="U18">
        <f>SUMIF(RawDataRecovered!$B:$B,$A18,RawDataRecovered!X:X)</f>
        <v>0</v>
      </c>
      <c r="V18">
        <f>SUMIF(RawDataRecovered!$B:$B,$A18,RawDataRecovered!Y:Y)</f>
        <v>0</v>
      </c>
      <c r="W18">
        <f>SUMIF(RawDataRecovered!$B:$B,$A18,RawDataRecovered!Z:Z)</f>
        <v>0</v>
      </c>
      <c r="X18">
        <f>SUMIF(RawDataRecovered!$B:$B,$A18,RawDataRecovered!AA:AA)</f>
        <v>0</v>
      </c>
      <c r="Y18">
        <f>SUMIF(RawDataRecovered!$B:$B,$A18,RawDataRecovered!AB:AB)</f>
        <v>0</v>
      </c>
      <c r="Z18">
        <f>SUMIF(RawDataRecovered!$B:$B,$A18,RawDataRecovered!AC:AC)</f>
        <v>0</v>
      </c>
      <c r="AA18">
        <f>SUMIF(RawDataRecovered!$B:$B,$A18,RawDataRecovered!AD:AD)</f>
        <v>0</v>
      </c>
      <c r="AB18">
        <f>SUMIF(RawDataRecovered!$B:$B,$A18,RawDataRecovered!AE:AE)</f>
        <v>1</v>
      </c>
      <c r="AC18">
        <f>SUMIF(RawDataRecovered!$B:$B,$A18,RawDataRecovered!AF:AF)</f>
        <v>1</v>
      </c>
      <c r="AD18">
        <f>SUMIF(RawDataRecovered!$B:$B,$A18,RawDataRecovered!AG:AG)</f>
        <v>1</v>
      </c>
      <c r="AE18">
        <f>SUMIF(RawDataRecovered!$B:$B,$A18,RawDataRecovered!AH:AH)</f>
        <v>1</v>
      </c>
      <c r="AF18">
        <f>SUMIF(RawDataRecovered!$B:$B,$A18,RawDataRecovered!AI:AI)</f>
        <v>1</v>
      </c>
      <c r="AG18">
        <f>SUMIF(RawDataRecovered!$B:$B,$A18,RawDataRecovered!AJ:AJ)</f>
        <v>1</v>
      </c>
      <c r="AH18">
        <f>SUMIF(RawDataRecovered!$B:$B,$A18,RawDataRecovered!AK:AK)</f>
        <v>1</v>
      </c>
      <c r="AI18">
        <f>SUMIF(RawDataRecovered!$B:$B,$A18,RawDataRecovered!AL:AL)</f>
        <v>1</v>
      </c>
      <c r="AJ18">
        <f>SUMIF(RawDataRecovered!$B:$B,$A18,RawDataRecovered!AM:AM)</f>
        <v>1</v>
      </c>
      <c r="AK18">
        <f>SUMIF(RawDataRecovered!$B:$B,$A18,RawDataRecovered!AN:AN)</f>
        <v>1</v>
      </c>
      <c r="AL18">
        <f>SUMIF(RawDataRecovered!$B:$B,$A18,RawDataRecovered!AO:AO)</f>
        <v>1</v>
      </c>
      <c r="AM18">
        <f>SUMIF(RawDataRecovered!$B:$B,$A18,RawDataRecovered!AP:AP)</f>
        <v>1</v>
      </c>
      <c r="AN18">
        <f>SUMIF(RawDataRecovered!$B:$B,$A18,RawDataRecovered!AQ:AQ)</f>
        <v>1</v>
      </c>
      <c r="AO18">
        <f>SUMIF(RawDataRecovered!$B:$B,$A18,RawDataRecovered!AR:AR)</f>
        <v>1</v>
      </c>
      <c r="AP18">
        <f>SUMIF(RawDataRecovered!$B:$B,$A18,RawDataRecovered!AS:AS)</f>
        <v>1</v>
      </c>
      <c r="AQ18">
        <f>SUMIF(RawDataRecovered!$B:$B,$A18,RawDataRecovered!AT:AT)</f>
        <v>1</v>
      </c>
      <c r="AR18">
        <f>SUMIF(RawDataRecovered!$B:$B,$A18,RawDataRecovered!AU:AU)</f>
        <v>1</v>
      </c>
      <c r="AS18">
        <f>SUMIF(RawDataRecovered!$B:$B,$A18,RawDataRecovered!AV:AV)</f>
        <v>1</v>
      </c>
      <c r="AT18">
        <f>SUMIF(RawDataRecovered!$B:$B,$A18,RawDataRecovered!AW:AW)</f>
        <v>1</v>
      </c>
      <c r="AU18">
        <f>SUMIF(RawDataRecovered!$B:$B,$A18,RawDataRecovered!AX:AX)</f>
        <v>1</v>
      </c>
      <c r="AV18">
        <f>SUMIF(RawDataRecovered!$B:$B,$A18,RawDataRecovered!AY:AY)</f>
        <v>1</v>
      </c>
      <c r="AW18">
        <f>SUMIF(RawDataRecovered!$B:$B,$A18,RawDataRecovered!AZ:AZ)</f>
        <v>1</v>
      </c>
      <c r="AX18">
        <f>SUMIF(RawDataRecovered!$B:$B,$A18,RawDataRecovered!BA:BA)</f>
        <v>1</v>
      </c>
      <c r="AY18">
        <f>SUMIF(RawDataRecovered!$B:$B,$A18,RawDataRecovered!BB:BB)</f>
        <v>1</v>
      </c>
      <c r="AZ18">
        <f>SUMIF(RawDataRecovered!$B:$B,$A18,RawDataRecovered!BC:BC)</f>
        <v>1</v>
      </c>
      <c r="BA18">
        <f>SUMIF(RawDataRecovered!$B:$B,$A18,RawDataRecovered!BD:BD)</f>
        <v>1</v>
      </c>
      <c r="BB18">
        <f>SUMIF(RawDataRecovered!$B:$B,$A18,RawDataRecovered!BE:BE)</f>
        <v>1</v>
      </c>
      <c r="BC18">
        <f>SUMIF(RawDataRecovered!$B:$B,$A18,RawDataRecovered!BF:BF)</f>
        <v>1</v>
      </c>
      <c r="BD18">
        <f>SUMIF(RawDataRecovered!$B:$B,$A18,RawDataRecovered!BG:BG)</f>
        <v>1</v>
      </c>
      <c r="BE18">
        <f>SUMIF(RawDataRecovered!$B:$B,$A18,RawDataRecovered!BH:BH)</f>
        <v>1</v>
      </c>
      <c r="BF18">
        <f>SUMIF(RawDataRecovered!$B:$B,$A18,RawDataRecovered!BI:BI)</f>
        <v>0</v>
      </c>
      <c r="BG18">
        <f>SUMIF(RawDataRecovered!$B:$B,$A18,RawDataRecovered!BJ:BJ)</f>
        <v>0</v>
      </c>
      <c r="BH18">
        <f>SUMIF(RawDataRecovered!$B:$B,$A18,RawDataRecovered!BK:BK)</f>
        <v>0</v>
      </c>
      <c r="BI18">
        <f>SUMIF(RawDataRecovered!$B:$B,$A18,RawDataRecovered!BL:BL)</f>
        <v>0</v>
      </c>
      <c r="BJ18">
        <f>SUMIF(RawDataRecovered!$B:$B,$A18,RawDataRecovered!BM:BM)</f>
        <v>0</v>
      </c>
      <c r="BK18">
        <f>SUMIF(RawDataRecovered!$B:$B,$A18,RawDataRecovered!BN:BN)</f>
        <v>0</v>
      </c>
      <c r="BL18">
        <f>SUMIF(RawDataRecovered!$B:$B,$A18,RawDataRecovered!BO:BO)</f>
        <v>0</v>
      </c>
      <c r="BM18">
        <f>SUMIF(RawDataRecovered!$B:$B,$A18,RawDataRecovered!BP:BP)</f>
        <v>0</v>
      </c>
      <c r="BN18">
        <f>SUMIF(RawDataRecovered!$B:$B,$A18,RawDataRecovered!BQ:BQ)</f>
        <v>0</v>
      </c>
      <c r="BO18">
        <f>SUMIF(RawDataRecovered!$B:$B,$A18,RawDataRecovered!BR:BR)</f>
        <v>0</v>
      </c>
      <c r="BP18">
        <f>SUMIF(RawDataRecovered!$B:$B,$A18,RawDataRecovered!BS:BS)</f>
        <v>0</v>
      </c>
      <c r="BQ18">
        <f>SUMIF(RawDataRecovered!$B:$B,$A18,RawDataRecovered!BT:BT)</f>
        <v>0</v>
      </c>
      <c r="BR18">
        <f>SUMIF(RawDataRecovered!$B:$B,$A18,RawDataRecovered!BU:BU)</f>
        <v>0</v>
      </c>
      <c r="BS18">
        <f>SUMIF(RawDataRecovered!$B:$B,$A18,RawDataRecovered!BV:BV)</f>
        <v>0</v>
      </c>
      <c r="BT18">
        <f>SUMIF(RawDataRecovered!$B:$B,$A18,RawDataRecovered!BW:BW)</f>
        <v>0</v>
      </c>
    </row>
    <row r="19" spans="1:72" ht="15" thickBot="1" x14ac:dyDescent="0.35">
      <c r="A19" s="3" t="s">
        <v>105</v>
      </c>
      <c r="B19">
        <f>SUMIF(RawDataRecovered!$B:$B,$A19,RawDataRecovered!E:E)</f>
        <v>0</v>
      </c>
      <c r="C19">
        <f>SUMIF(RawDataRecovered!$B:$B,$A19,RawDataRecovered!F:F)</f>
        <v>0</v>
      </c>
      <c r="D19">
        <f>SUMIF(RawDataRecovered!$B:$B,$A19,RawDataRecovered!G:G)</f>
        <v>0</v>
      </c>
      <c r="E19">
        <f>SUMIF(RawDataRecovered!$B:$B,$A19,RawDataRecovered!H:H)</f>
        <v>0</v>
      </c>
      <c r="F19">
        <f>SUMIF(RawDataRecovered!$B:$B,$A19,RawDataRecovered!I:I)</f>
        <v>0</v>
      </c>
      <c r="G19">
        <f>SUMIF(RawDataRecovered!$B:$B,$A19,RawDataRecovered!J:J)</f>
        <v>0</v>
      </c>
      <c r="H19">
        <f>SUMIF(RawDataRecovered!$B:$B,$A19,RawDataRecovered!K:K)</f>
        <v>0</v>
      </c>
      <c r="I19">
        <f>SUMIF(RawDataRecovered!$B:$B,$A19,RawDataRecovered!L:L)</f>
        <v>0</v>
      </c>
      <c r="J19">
        <f>SUMIF(RawDataRecovered!$B:$B,$A19,RawDataRecovered!M:M)</f>
        <v>0</v>
      </c>
      <c r="K19">
        <f>SUMIF(RawDataRecovered!$B:$B,$A19,RawDataRecovered!N:N)</f>
        <v>0</v>
      </c>
      <c r="L19">
        <f>SUMIF(RawDataRecovered!$B:$B,$A19,RawDataRecovered!O:O)</f>
        <v>0</v>
      </c>
      <c r="M19">
        <f>SUMIF(RawDataRecovered!$B:$B,$A19,RawDataRecovered!P:P)</f>
        <v>0</v>
      </c>
      <c r="N19">
        <f>SUMIF(RawDataRecovered!$B:$B,$A19,RawDataRecovered!Q:Q)</f>
        <v>0</v>
      </c>
      <c r="O19">
        <f>SUMIF(RawDataRecovered!$B:$B,$A19,RawDataRecovered!R:R)</f>
        <v>0</v>
      </c>
      <c r="P19">
        <f>SUMIF(RawDataRecovered!$B:$B,$A19,RawDataRecovered!S:S)</f>
        <v>0</v>
      </c>
      <c r="Q19">
        <f>SUMIF(RawDataRecovered!$B:$B,$A19,RawDataRecovered!T:T)</f>
        <v>0</v>
      </c>
      <c r="R19">
        <f>SUMIF(RawDataRecovered!$B:$B,$A19,RawDataRecovered!U:U)</f>
        <v>0</v>
      </c>
      <c r="S19">
        <f>SUMIF(RawDataRecovered!$B:$B,$A19,RawDataRecovered!V:V)</f>
        <v>0</v>
      </c>
      <c r="T19">
        <f>SUMIF(RawDataRecovered!$B:$B,$A19,RawDataRecovered!W:W)</f>
        <v>0</v>
      </c>
      <c r="U19">
        <f>SUMIF(RawDataRecovered!$B:$B,$A19,RawDataRecovered!X:X)</f>
        <v>0</v>
      </c>
      <c r="V19">
        <f>SUMIF(RawDataRecovered!$B:$B,$A19,RawDataRecovered!Y:Y)</f>
        <v>0</v>
      </c>
      <c r="W19">
        <f>SUMIF(RawDataRecovered!$B:$B,$A19,RawDataRecovered!Z:Z)</f>
        <v>0</v>
      </c>
      <c r="X19">
        <f>SUMIF(RawDataRecovered!$B:$B,$A19,RawDataRecovered!AA:AA)</f>
        <v>0</v>
      </c>
      <c r="Y19">
        <f>SUMIF(RawDataRecovered!$B:$B,$A19,RawDataRecovered!AB:AB)</f>
        <v>0</v>
      </c>
      <c r="Z19">
        <f>SUMIF(RawDataRecovered!$B:$B,$A19,RawDataRecovered!AC:AC)</f>
        <v>0</v>
      </c>
      <c r="AA19">
        <f>SUMIF(RawDataRecovered!$B:$B,$A19,RawDataRecovered!AD:AD)</f>
        <v>0</v>
      </c>
      <c r="AB19">
        <f>SUMIF(RawDataRecovered!$B:$B,$A19,RawDataRecovered!AE:AE)</f>
        <v>0</v>
      </c>
      <c r="AC19">
        <f>SUMIF(RawDataRecovered!$B:$B,$A19,RawDataRecovered!AF:AF)</f>
        <v>0</v>
      </c>
      <c r="AD19">
        <f>SUMIF(RawDataRecovered!$B:$B,$A19,RawDataRecovered!AG:AG)</f>
        <v>0</v>
      </c>
      <c r="AE19">
        <f>SUMIF(RawDataRecovered!$B:$B,$A19,RawDataRecovered!AH:AH)</f>
        <v>0</v>
      </c>
      <c r="AF19">
        <f>SUMIF(RawDataRecovered!$B:$B,$A19,RawDataRecovered!AI:AI)</f>
        <v>0</v>
      </c>
      <c r="AG19">
        <f>SUMIF(RawDataRecovered!$B:$B,$A19,RawDataRecovered!AJ:AJ)</f>
        <v>0</v>
      </c>
      <c r="AH19">
        <f>SUMIF(RawDataRecovered!$B:$B,$A19,RawDataRecovered!AK:AK)</f>
        <v>0</v>
      </c>
      <c r="AI19">
        <f>SUMIF(RawDataRecovered!$B:$B,$A19,RawDataRecovered!AL:AL)</f>
        <v>0</v>
      </c>
      <c r="AJ19">
        <f>SUMIF(RawDataRecovered!$B:$B,$A19,RawDataRecovered!AM:AM)</f>
        <v>0</v>
      </c>
      <c r="AK19">
        <f>SUMIF(RawDataRecovered!$B:$B,$A19,RawDataRecovered!AN:AN)</f>
        <v>0</v>
      </c>
      <c r="AL19">
        <f>SUMIF(RawDataRecovered!$B:$B,$A19,RawDataRecovered!AO:AO)</f>
        <v>0</v>
      </c>
      <c r="AM19">
        <f>SUMIF(RawDataRecovered!$B:$B,$A19,RawDataRecovered!AP:AP)</f>
        <v>0</v>
      </c>
      <c r="AN19">
        <f>SUMIF(RawDataRecovered!$B:$B,$A19,RawDataRecovered!AQ:AQ)</f>
        <v>0</v>
      </c>
      <c r="AO19">
        <f>SUMIF(RawDataRecovered!$B:$B,$A19,RawDataRecovered!AR:AR)</f>
        <v>0</v>
      </c>
      <c r="AP19">
        <f>SUMIF(RawDataRecovered!$B:$B,$A19,RawDataRecovered!AS:AS)</f>
        <v>0</v>
      </c>
      <c r="AQ19">
        <f>SUMIF(RawDataRecovered!$B:$B,$A19,RawDataRecovered!AT:AT)</f>
        <v>0</v>
      </c>
      <c r="AR19">
        <f>SUMIF(RawDataRecovered!$B:$B,$A19,RawDataRecovered!AU:AU)</f>
        <v>0</v>
      </c>
      <c r="AS19">
        <f>SUMIF(RawDataRecovered!$B:$B,$A19,RawDataRecovered!AV:AV)</f>
        <v>0</v>
      </c>
      <c r="AT19">
        <f>SUMIF(RawDataRecovered!$B:$B,$A19,RawDataRecovered!AW:AW)</f>
        <v>0</v>
      </c>
      <c r="AU19">
        <f>SUMIF(RawDataRecovered!$B:$B,$A19,RawDataRecovered!AX:AX)</f>
        <v>0</v>
      </c>
      <c r="AV19">
        <f>SUMIF(RawDataRecovered!$B:$B,$A19,RawDataRecovered!AY:AY)</f>
        <v>0</v>
      </c>
      <c r="AW19">
        <f>SUMIF(RawDataRecovered!$B:$B,$A19,RawDataRecovered!AZ:AZ)</f>
        <v>2</v>
      </c>
      <c r="AX19">
        <f>SUMIF(RawDataRecovered!$B:$B,$A19,RawDataRecovered!BA:BA)</f>
        <v>4</v>
      </c>
      <c r="AY19">
        <f>SUMIF(RawDataRecovered!$B:$B,$A19,RawDataRecovered!BB:BB)</f>
        <v>4</v>
      </c>
      <c r="AZ19">
        <f>SUMIF(RawDataRecovered!$B:$B,$A19,RawDataRecovered!BC:BC)</f>
        <v>4</v>
      </c>
      <c r="BA19">
        <f>SUMIF(RawDataRecovered!$B:$B,$A19,RawDataRecovered!BD:BD)</f>
        <v>6</v>
      </c>
      <c r="BB19">
        <f>SUMIF(RawDataRecovered!$B:$B,$A19,RawDataRecovered!BE:BE)</f>
        <v>6</v>
      </c>
      <c r="BC19">
        <f>SUMIF(RawDataRecovered!$B:$B,$A19,RawDataRecovered!BF:BF)</f>
        <v>6</v>
      </c>
      <c r="BD19">
        <f>SUMIF(RawDataRecovered!$B:$B,$A19,RawDataRecovered!BG:BG)</f>
        <v>6</v>
      </c>
      <c r="BE19">
        <f>SUMIF(RawDataRecovered!$B:$B,$A19,RawDataRecovered!BH:BH)</f>
        <v>1</v>
      </c>
      <c r="BF19">
        <f>SUMIF(RawDataRecovered!$B:$B,$A19,RawDataRecovered!BI:BI)</f>
        <v>0</v>
      </c>
      <c r="BG19">
        <f>SUMIF(RawDataRecovered!$B:$B,$A19,RawDataRecovered!BJ:BJ)</f>
        <v>0</v>
      </c>
      <c r="BH19">
        <f>SUMIF(RawDataRecovered!$B:$B,$A19,RawDataRecovered!BK:BK)</f>
        <v>0</v>
      </c>
      <c r="BI19">
        <f>SUMIF(RawDataRecovered!$B:$B,$A19,RawDataRecovered!BL:BL)</f>
        <v>0</v>
      </c>
      <c r="BJ19">
        <f>SUMIF(RawDataRecovered!$B:$B,$A19,RawDataRecovered!BM:BM)</f>
        <v>0</v>
      </c>
      <c r="BK19">
        <f>SUMIF(RawDataRecovered!$B:$B,$A19,RawDataRecovered!BN:BN)</f>
        <v>0</v>
      </c>
      <c r="BL19">
        <f>SUMIF(RawDataRecovered!$B:$B,$A19,RawDataRecovered!BO:BO)</f>
        <v>0</v>
      </c>
      <c r="BM19">
        <f>SUMIF(RawDataRecovered!$B:$B,$A19,RawDataRecovered!BP:BP)</f>
        <v>0</v>
      </c>
      <c r="BN19">
        <f>SUMIF(RawDataRecovered!$B:$B,$A19,RawDataRecovered!BQ:BQ)</f>
        <v>0</v>
      </c>
      <c r="BO19">
        <f>SUMIF(RawDataRecovered!$B:$B,$A19,RawDataRecovered!BR:BR)</f>
        <v>0</v>
      </c>
      <c r="BP19">
        <f>SUMIF(RawDataRecovered!$B:$B,$A19,RawDataRecovered!BS:BS)</f>
        <v>0</v>
      </c>
      <c r="BQ19">
        <f>SUMIF(RawDataRecovered!$B:$B,$A19,RawDataRecovered!BT:BT)</f>
        <v>0</v>
      </c>
      <c r="BR19">
        <f>SUMIF(RawDataRecovered!$B:$B,$A19,RawDataRecovered!BU:BU)</f>
        <v>0</v>
      </c>
      <c r="BS19">
        <f>SUMIF(RawDataRecovered!$B:$B,$A19,RawDataRecovered!BV:BV)</f>
        <v>0</v>
      </c>
      <c r="BT19">
        <f>SUMIF(RawDataRecovered!$B:$B,$A19,RawDataRecovered!BW:BW)</f>
        <v>0</v>
      </c>
    </row>
    <row r="20" spans="1:72" ht="15" thickBot="1" x14ac:dyDescent="0.35">
      <c r="A20" s="3" t="s">
        <v>128</v>
      </c>
      <c r="B20">
        <f>SUMIF(RawDataRecovered!$B:$B,$A20,RawDataRecovered!E:E)</f>
        <v>0</v>
      </c>
      <c r="C20">
        <f>SUMIF(RawDataRecovered!$B:$B,$A20,RawDataRecovered!F:F)</f>
        <v>0</v>
      </c>
      <c r="D20">
        <f>SUMIF(RawDataRecovered!$B:$B,$A20,RawDataRecovered!G:G)</f>
        <v>0</v>
      </c>
      <c r="E20">
        <f>SUMIF(RawDataRecovered!$B:$B,$A20,RawDataRecovered!H:H)</f>
        <v>0</v>
      </c>
      <c r="F20">
        <f>SUMIF(RawDataRecovered!$B:$B,$A20,RawDataRecovered!I:I)</f>
        <v>0</v>
      </c>
      <c r="G20">
        <f>SUMIF(RawDataRecovered!$B:$B,$A20,RawDataRecovered!J:J)</f>
        <v>0</v>
      </c>
      <c r="H20">
        <f>SUMIF(RawDataRecovered!$B:$B,$A20,RawDataRecovered!K:K)</f>
        <v>0</v>
      </c>
      <c r="I20">
        <f>SUMIF(RawDataRecovered!$B:$B,$A20,RawDataRecovered!L:L)</f>
        <v>0</v>
      </c>
      <c r="J20">
        <f>SUMIF(RawDataRecovered!$B:$B,$A20,RawDataRecovered!M:M)</f>
        <v>0</v>
      </c>
      <c r="K20">
        <f>SUMIF(RawDataRecovered!$B:$B,$A20,RawDataRecovered!N:N)</f>
        <v>0</v>
      </c>
      <c r="L20">
        <f>SUMIF(RawDataRecovered!$B:$B,$A20,RawDataRecovered!O:O)</f>
        <v>0</v>
      </c>
      <c r="M20">
        <f>SUMIF(RawDataRecovered!$B:$B,$A20,RawDataRecovered!P:P)</f>
        <v>0</v>
      </c>
      <c r="N20">
        <f>SUMIF(RawDataRecovered!$B:$B,$A20,RawDataRecovered!Q:Q)</f>
        <v>0</v>
      </c>
      <c r="O20">
        <f>SUMIF(RawDataRecovered!$B:$B,$A20,RawDataRecovered!R:R)</f>
        <v>0</v>
      </c>
      <c r="P20">
        <f>SUMIF(RawDataRecovered!$B:$B,$A20,RawDataRecovered!S:S)</f>
        <v>0</v>
      </c>
      <c r="Q20">
        <f>SUMIF(RawDataRecovered!$B:$B,$A20,RawDataRecovered!T:T)</f>
        <v>0</v>
      </c>
      <c r="R20">
        <f>SUMIF(RawDataRecovered!$B:$B,$A20,RawDataRecovered!U:U)</f>
        <v>0</v>
      </c>
      <c r="S20">
        <f>SUMIF(RawDataRecovered!$B:$B,$A20,RawDataRecovered!V:V)</f>
        <v>0</v>
      </c>
      <c r="T20">
        <f>SUMIF(RawDataRecovered!$B:$B,$A20,RawDataRecovered!W:W)</f>
        <v>0</v>
      </c>
      <c r="U20">
        <f>SUMIF(RawDataRecovered!$B:$B,$A20,RawDataRecovered!X:X)</f>
        <v>0</v>
      </c>
      <c r="V20">
        <f>SUMIF(RawDataRecovered!$B:$B,$A20,RawDataRecovered!Y:Y)</f>
        <v>0</v>
      </c>
      <c r="W20">
        <f>SUMIF(RawDataRecovered!$B:$B,$A20,RawDataRecovered!Z:Z)</f>
        <v>0</v>
      </c>
      <c r="X20">
        <f>SUMIF(RawDataRecovered!$B:$B,$A20,RawDataRecovered!AA:AA)</f>
        <v>0</v>
      </c>
      <c r="Y20">
        <f>SUMIF(RawDataRecovered!$B:$B,$A20,RawDataRecovered!AB:AB)</f>
        <v>0</v>
      </c>
      <c r="Z20">
        <f>SUMIF(RawDataRecovered!$B:$B,$A20,RawDataRecovered!AC:AC)</f>
        <v>0</v>
      </c>
      <c r="AA20">
        <f>SUMIF(RawDataRecovered!$B:$B,$A20,RawDataRecovered!AD:AD)</f>
        <v>0</v>
      </c>
      <c r="AB20">
        <f>SUMIF(RawDataRecovered!$B:$B,$A20,RawDataRecovered!AE:AE)</f>
        <v>0</v>
      </c>
      <c r="AC20">
        <f>SUMIF(RawDataRecovered!$B:$B,$A20,RawDataRecovered!AF:AF)</f>
        <v>0</v>
      </c>
      <c r="AD20">
        <f>SUMIF(RawDataRecovered!$B:$B,$A20,RawDataRecovered!AG:AG)</f>
        <v>0</v>
      </c>
      <c r="AE20">
        <f>SUMIF(RawDataRecovered!$B:$B,$A20,RawDataRecovered!AH:AH)</f>
        <v>0</v>
      </c>
      <c r="AF20">
        <f>SUMIF(RawDataRecovered!$B:$B,$A20,RawDataRecovered!AI:AI)</f>
        <v>0</v>
      </c>
      <c r="AG20">
        <f>SUMIF(RawDataRecovered!$B:$B,$A20,RawDataRecovered!AJ:AJ)</f>
        <v>0</v>
      </c>
      <c r="AH20">
        <f>SUMIF(RawDataRecovered!$B:$B,$A20,RawDataRecovered!AK:AK)</f>
        <v>0</v>
      </c>
      <c r="AI20">
        <f>SUMIF(RawDataRecovered!$B:$B,$A20,RawDataRecovered!AL:AL)</f>
        <v>0</v>
      </c>
      <c r="AJ20">
        <f>SUMIF(RawDataRecovered!$B:$B,$A20,RawDataRecovered!AM:AM)</f>
        <v>0</v>
      </c>
      <c r="AK20">
        <f>SUMIF(RawDataRecovered!$B:$B,$A20,RawDataRecovered!AN:AN)</f>
        <v>0</v>
      </c>
      <c r="AL20">
        <f>SUMIF(RawDataRecovered!$B:$B,$A20,RawDataRecovered!AO:AO)</f>
        <v>0</v>
      </c>
      <c r="AM20">
        <f>SUMIF(RawDataRecovered!$B:$B,$A20,RawDataRecovered!AP:AP)</f>
        <v>0</v>
      </c>
      <c r="AN20">
        <f>SUMIF(RawDataRecovered!$B:$B,$A20,RawDataRecovered!AQ:AQ)</f>
        <v>0</v>
      </c>
      <c r="AO20">
        <f>SUMIF(RawDataRecovered!$B:$B,$A20,RawDataRecovered!AR:AR)</f>
        <v>0</v>
      </c>
      <c r="AP20">
        <f>SUMIF(RawDataRecovered!$B:$B,$A20,RawDataRecovered!AS:AS)</f>
        <v>0</v>
      </c>
      <c r="AQ20">
        <f>SUMIF(RawDataRecovered!$B:$B,$A20,RawDataRecovered!AT:AT)</f>
        <v>0</v>
      </c>
      <c r="AR20">
        <f>SUMIF(RawDataRecovered!$B:$B,$A20,RawDataRecovered!AU:AU)</f>
        <v>0</v>
      </c>
      <c r="AS20">
        <f>SUMIF(RawDataRecovered!$B:$B,$A20,RawDataRecovered!AV:AV)</f>
        <v>0</v>
      </c>
      <c r="AT20">
        <f>SUMIF(RawDataRecovered!$B:$B,$A20,RawDataRecovered!AW:AW)</f>
        <v>0</v>
      </c>
      <c r="AU20">
        <f>SUMIF(RawDataRecovered!$B:$B,$A20,RawDataRecovered!AX:AX)</f>
        <v>0</v>
      </c>
      <c r="AV20">
        <f>SUMIF(RawDataRecovered!$B:$B,$A20,RawDataRecovered!AY:AY)</f>
        <v>0</v>
      </c>
      <c r="AW20">
        <f>SUMIF(RawDataRecovered!$B:$B,$A20,RawDataRecovered!AZ:AZ)</f>
        <v>0</v>
      </c>
      <c r="AX20">
        <f>SUMIF(RawDataRecovered!$B:$B,$A20,RawDataRecovered!BA:BA)</f>
        <v>0</v>
      </c>
      <c r="AY20">
        <f>SUMIF(RawDataRecovered!$B:$B,$A20,RawDataRecovered!BB:BB)</f>
        <v>0</v>
      </c>
      <c r="AZ20">
        <f>SUMIF(RawDataRecovered!$B:$B,$A20,RawDataRecovered!BC:BC)</f>
        <v>0</v>
      </c>
      <c r="BA20">
        <f>SUMIF(RawDataRecovered!$B:$B,$A20,RawDataRecovered!BD:BD)</f>
        <v>0</v>
      </c>
      <c r="BB20">
        <f>SUMIF(RawDataRecovered!$B:$B,$A20,RawDataRecovered!BE:BE)</f>
        <v>4</v>
      </c>
      <c r="BC20">
        <f>SUMIF(RawDataRecovered!$B:$B,$A20,RawDataRecovered!BF:BF)</f>
        <v>4</v>
      </c>
      <c r="BD20">
        <f>SUMIF(RawDataRecovered!$B:$B,$A20,RawDataRecovered!BG:BG)</f>
        <v>4</v>
      </c>
      <c r="BE20">
        <f>SUMIF(RawDataRecovered!$B:$B,$A20,RawDataRecovered!BH:BH)</f>
        <v>4</v>
      </c>
      <c r="BF20">
        <f>SUMIF(RawDataRecovered!$B:$B,$A20,RawDataRecovered!BI:BI)</f>
        <v>0</v>
      </c>
      <c r="BG20">
        <f>SUMIF(RawDataRecovered!$B:$B,$A20,RawDataRecovered!BJ:BJ)</f>
        <v>0</v>
      </c>
      <c r="BH20">
        <f>SUMIF(RawDataRecovered!$B:$B,$A20,RawDataRecovered!BK:BK)</f>
        <v>0</v>
      </c>
      <c r="BI20">
        <f>SUMIF(RawDataRecovered!$B:$B,$A20,RawDataRecovered!BL:BL)</f>
        <v>0</v>
      </c>
      <c r="BJ20">
        <f>SUMIF(RawDataRecovered!$B:$B,$A20,RawDataRecovered!BM:BM)</f>
        <v>0</v>
      </c>
      <c r="BK20">
        <f>SUMIF(RawDataRecovered!$B:$B,$A20,RawDataRecovered!BN:BN)</f>
        <v>0</v>
      </c>
      <c r="BL20">
        <f>SUMIF(RawDataRecovered!$B:$B,$A20,RawDataRecovered!BO:BO)</f>
        <v>0</v>
      </c>
      <c r="BM20">
        <f>SUMIF(RawDataRecovered!$B:$B,$A20,RawDataRecovered!BP:BP)</f>
        <v>0</v>
      </c>
      <c r="BN20">
        <f>SUMIF(RawDataRecovered!$B:$B,$A20,RawDataRecovered!BQ:BQ)</f>
        <v>0</v>
      </c>
      <c r="BO20">
        <f>SUMIF(RawDataRecovered!$B:$B,$A20,RawDataRecovered!BR:BR)</f>
        <v>0</v>
      </c>
      <c r="BP20">
        <f>SUMIF(RawDataRecovered!$B:$B,$A20,RawDataRecovered!BS:BS)</f>
        <v>0</v>
      </c>
      <c r="BQ20">
        <f>SUMIF(RawDataRecovered!$B:$B,$A20,RawDataRecovered!BT:BT)</f>
        <v>0</v>
      </c>
      <c r="BR20">
        <f>SUMIF(RawDataRecovered!$B:$B,$A20,RawDataRecovered!BU:BU)</f>
        <v>0</v>
      </c>
      <c r="BS20">
        <f>SUMIF(RawDataRecovered!$B:$B,$A20,RawDataRecovered!BV:BV)</f>
        <v>0</v>
      </c>
      <c r="BT20">
        <f>SUMIF(RawDataRecovered!$B:$B,$A20,RawDataRecovered!BW:BW)</f>
        <v>0</v>
      </c>
    </row>
    <row r="21" spans="1:72" ht="15" thickBot="1" x14ac:dyDescent="0.35">
      <c r="A21" s="3" t="s">
        <v>75</v>
      </c>
      <c r="B21">
        <f>SUMIF(RawDataRecovered!$B:$B,$A21,RawDataRecovered!E:E)</f>
        <v>0</v>
      </c>
      <c r="C21">
        <f>SUMIF(RawDataRecovered!$B:$B,$A21,RawDataRecovered!F:F)</f>
        <v>0</v>
      </c>
      <c r="D21">
        <f>SUMIF(RawDataRecovered!$B:$B,$A21,RawDataRecovered!G:G)</f>
        <v>0</v>
      </c>
      <c r="E21">
        <f>SUMIF(RawDataRecovered!$B:$B,$A21,RawDataRecovered!H:H)</f>
        <v>0</v>
      </c>
      <c r="F21">
        <f>SUMIF(RawDataRecovered!$B:$B,$A21,RawDataRecovered!I:I)</f>
        <v>0</v>
      </c>
      <c r="G21">
        <f>SUMIF(RawDataRecovered!$B:$B,$A21,RawDataRecovered!J:J)</f>
        <v>0</v>
      </c>
      <c r="H21">
        <f>SUMIF(RawDataRecovered!$B:$B,$A21,RawDataRecovered!K:K)</f>
        <v>0</v>
      </c>
      <c r="I21">
        <f>SUMIF(RawDataRecovered!$B:$B,$A21,RawDataRecovered!L:L)</f>
        <v>0</v>
      </c>
      <c r="J21">
        <f>SUMIF(RawDataRecovered!$B:$B,$A21,RawDataRecovered!M:M)</f>
        <v>2</v>
      </c>
      <c r="K21">
        <f>SUMIF(RawDataRecovered!$B:$B,$A21,RawDataRecovered!N:N)</f>
        <v>2</v>
      </c>
      <c r="L21">
        <f>SUMIF(RawDataRecovered!$B:$B,$A21,RawDataRecovered!O:O)</f>
        <v>2</v>
      </c>
      <c r="M21">
        <f>SUMIF(RawDataRecovered!$B:$B,$A21,RawDataRecovered!P:P)</f>
        <v>2</v>
      </c>
      <c r="N21">
        <f>SUMIF(RawDataRecovered!$B:$B,$A21,RawDataRecovered!Q:Q)</f>
        <v>2</v>
      </c>
      <c r="O21">
        <f>SUMIF(RawDataRecovered!$B:$B,$A21,RawDataRecovered!R:R)</f>
        <v>2</v>
      </c>
      <c r="P21">
        <f>SUMIF(RawDataRecovered!$B:$B,$A21,RawDataRecovered!S:S)</f>
        <v>2</v>
      </c>
      <c r="Q21">
        <f>SUMIF(RawDataRecovered!$B:$B,$A21,RawDataRecovered!T:T)</f>
        <v>2</v>
      </c>
      <c r="R21">
        <f>SUMIF(RawDataRecovered!$B:$B,$A21,RawDataRecovered!U:U)</f>
        <v>2</v>
      </c>
      <c r="S21">
        <f>SUMIF(RawDataRecovered!$B:$B,$A21,RawDataRecovered!V:V)</f>
        <v>2</v>
      </c>
      <c r="T21">
        <f>SUMIF(RawDataRecovered!$B:$B,$A21,RawDataRecovered!W:W)</f>
        <v>2</v>
      </c>
      <c r="U21">
        <f>SUMIF(RawDataRecovered!$B:$B,$A21,RawDataRecovered!X:X)</f>
        <v>2</v>
      </c>
      <c r="V21">
        <f>SUMIF(RawDataRecovered!$B:$B,$A21,RawDataRecovered!Y:Y)</f>
        <v>2</v>
      </c>
      <c r="W21">
        <f>SUMIF(RawDataRecovered!$B:$B,$A21,RawDataRecovered!Z:Z)</f>
        <v>2</v>
      </c>
      <c r="X21">
        <f>SUMIF(RawDataRecovered!$B:$B,$A21,RawDataRecovered!AA:AA)</f>
        <v>8</v>
      </c>
      <c r="Y21">
        <f>SUMIF(RawDataRecovered!$B:$B,$A21,RawDataRecovered!AB:AB)</f>
        <v>8</v>
      </c>
      <c r="Z21">
        <f>SUMIF(RawDataRecovered!$B:$B,$A21,RawDataRecovered!AC:AC)</f>
        <v>8</v>
      </c>
      <c r="AA21">
        <f>SUMIF(RawDataRecovered!$B:$B,$A21,RawDataRecovered!AD:AD)</f>
        <v>8</v>
      </c>
      <c r="AB21">
        <f>SUMIF(RawDataRecovered!$B:$B,$A21,RawDataRecovered!AE:AE)</f>
        <v>10</v>
      </c>
      <c r="AC21">
        <f>SUMIF(RawDataRecovered!$B:$B,$A21,RawDataRecovered!AF:AF)</f>
        <v>10</v>
      </c>
      <c r="AD21">
        <f>SUMIF(RawDataRecovered!$B:$B,$A21,RawDataRecovered!AG:AG)</f>
        <v>10</v>
      </c>
      <c r="AE21">
        <f>SUMIF(RawDataRecovered!$B:$B,$A21,RawDataRecovered!AH:AH)</f>
        <v>10</v>
      </c>
      <c r="AF21">
        <f>SUMIF(RawDataRecovered!$B:$B,$A21,RawDataRecovered!AI:AI)</f>
        <v>11</v>
      </c>
      <c r="AG21">
        <f>SUMIF(RawDataRecovered!$B:$B,$A21,RawDataRecovered!AJ:AJ)</f>
        <v>11</v>
      </c>
      <c r="AH21">
        <f>SUMIF(RawDataRecovered!$B:$B,$A21,RawDataRecovered!AK:AK)</f>
        <v>11</v>
      </c>
      <c r="AI21">
        <f>SUMIF(RawDataRecovered!$B:$B,$A21,RawDataRecovered!AL:AL)</f>
        <v>11</v>
      </c>
      <c r="AJ21">
        <f>SUMIF(RawDataRecovered!$B:$B,$A21,RawDataRecovered!AM:AM)</f>
        <v>11</v>
      </c>
      <c r="AK21">
        <f>SUMIF(RawDataRecovered!$B:$B,$A21,RawDataRecovered!AN:AN)</f>
        <v>11</v>
      </c>
      <c r="AL21">
        <f>SUMIF(RawDataRecovered!$B:$B,$A21,RawDataRecovered!AO:AO)</f>
        <v>11</v>
      </c>
      <c r="AM21">
        <f>SUMIF(RawDataRecovered!$B:$B,$A21,RawDataRecovered!AP:AP)</f>
        <v>11</v>
      </c>
      <c r="AN21">
        <f>SUMIF(RawDataRecovered!$B:$B,$A21,RawDataRecovered!AQ:AQ)</f>
        <v>11</v>
      </c>
      <c r="AO21">
        <f>SUMIF(RawDataRecovered!$B:$B,$A21,RawDataRecovered!AR:AR)</f>
        <v>11</v>
      </c>
      <c r="AP21">
        <f>SUMIF(RawDataRecovered!$B:$B,$A21,RawDataRecovered!AS:AS)</f>
        <v>11</v>
      </c>
      <c r="AQ21">
        <f>SUMIF(RawDataRecovered!$B:$B,$A21,RawDataRecovered!AT:AT)</f>
        <v>11</v>
      </c>
      <c r="AR21">
        <f>SUMIF(RawDataRecovered!$B:$B,$A21,RawDataRecovered!AU:AU)</f>
        <v>11</v>
      </c>
      <c r="AS21">
        <f>SUMIF(RawDataRecovered!$B:$B,$A21,RawDataRecovered!AV:AV)</f>
        <v>21</v>
      </c>
      <c r="AT21">
        <f>SUMIF(RawDataRecovered!$B:$B,$A21,RawDataRecovered!AW:AW)</f>
        <v>21</v>
      </c>
      <c r="AU21">
        <f>SUMIF(RawDataRecovered!$B:$B,$A21,RawDataRecovered!AX:AX)</f>
        <v>21</v>
      </c>
      <c r="AV21">
        <f>SUMIF(RawDataRecovered!$B:$B,$A21,RawDataRecovered!AY:AY)</f>
        <v>21</v>
      </c>
      <c r="AW21">
        <f>SUMIF(RawDataRecovered!$B:$B,$A21,RawDataRecovered!AZ:AZ)</f>
        <v>21</v>
      </c>
      <c r="AX21">
        <f>SUMIF(RawDataRecovered!$B:$B,$A21,RawDataRecovered!BA:BA)</f>
        <v>21</v>
      </c>
      <c r="AY21">
        <f>SUMIF(RawDataRecovered!$B:$B,$A21,RawDataRecovered!BB:BB)</f>
        <v>21</v>
      </c>
      <c r="AZ21">
        <f>SUMIF(RawDataRecovered!$B:$B,$A21,RawDataRecovered!BC:BC)</f>
        <v>21</v>
      </c>
      <c r="BA21">
        <f>SUMIF(RawDataRecovered!$B:$B,$A21,RawDataRecovered!BD:BD)</f>
        <v>23</v>
      </c>
      <c r="BB21">
        <f>SUMIF(RawDataRecovered!$B:$B,$A21,RawDataRecovered!BE:BE)</f>
        <v>23</v>
      </c>
      <c r="BC21">
        <f>SUMIF(RawDataRecovered!$B:$B,$A21,RawDataRecovered!BF:BF)</f>
        <v>23</v>
      </c>
      <c r="BD21">
        <f>SUMIF(RawDataRecovered!$B:$B,$A21,RawDataRecovered!BG:BG)</f>
        <v>23</v>
      </c>
      <c r="BE21">
        <f>SUMIF(RawDataRecovered!$B:$B,$A21,RawDataRecovered!BH:BH)</f>
        <v>23</v>
      </c>
      <c r="BF21">
        <f>SUMIF(RawDataRecovered!$B:$B,$A21,RawDataRecovered!BI:BI)</f>
        <v>0</v>
      </c>
      <c r="BG21">
        <f>SUMIF(RawDataRecovered!$B:$B,$A21,RawDataRecovered!BJ:BJ)</f>
        <v>0</v>
      </c>
      <c r="BH21">
        <f>SUMIF(RawDataRecovered!$B:$B,$A21,RawDataRecovered!BK:BK)</f>
        <v>0</v>
      </c>
      <c r="BI21">
        <f>SUMIF(RawDataRecovered!$B:$B,$A21,RawDataRecovered!BL:BL)</f>
        <v>0</v>
      </c>
      <c r="BJ21">
        <f>SUMIF(RawDataRecovered!$B:$B,$A21,RawDataRecovered!BM:BM)</f>
        <v>0</v>
      </c>
      <c r="BK21">
        <f>SUMIF(RawDataRecovered!$B:$B,$A21,RawDataRecovered!BN:BN)</f>
        <v>0</v>
      </c>
      <c r="BL21">
        <f>SUMIF(RawDataRecovered!$B:$B,$A21,RawDataRecovered!BO:BO)</f>
        <v>0</v>
      </c>
      <c r="BM21">
        <f>SUMIF(RawDataRecovered!$B:$B,$A21,RawDataRecovered!BP:BP)</f>
        <v>0</v>
      </c>
      <c r="BN21">
        <f>SUMIF(RawDataRecovered!$B:$B,$A21,RawDataRecovered!BQ:BQ)</f>
        <v>0</v>
      </c>
      <c r="BO21">
        <f>SUMIF(RawDataRecovered!$B:$B,$A21,RawDataRecovered!BR:BR)</f>
        <v>0</v>
      </c>
      <c r="BP21">
        <f>SUMIF(RawDataRecovered!$B:$B,$A21,RawDataRecovered!BS:BS)</f>
        <v>0</v>
      </c>
      <c r="BQ21">
        <f>SUMIF(RawDataRecovered!$B:$B,$A21,RawDataRecovered!BT:BT)</f>
        <v>0</v>
      </c>
      <c r="BR21">
        <f>SUMIF(RawDataRecovered!$B:$B,$A21,RawDataRecovered!BU:BU)</f>
        <v>0</v>
      </c>
      <c r="BS21">
        <f>SUMIF(RawDataRecovered!$B:$B,$A21,RawDataRecovered!BV:BV)</f>
        <v>0</v>
      </c>
      <c r="BT21">
        <f>SUMIF(RawDataRecovered!$B:$B,$A21,RawDataRecovered!BW:BW)</f>
        <v>0</v>
      </c>
    </row>
    <row r="22" spans="1:72" ht="15" thickBot="1" x14ac:dyDescent="0.35">
      <c r="A22" s="3" t="s">
        <v>67</v>
      </c>
      <c r="B22">
        <f>SUMIF(RawDataRecovered!$B:$B,$A22,RawDataRecovered!E:E)</f>
        <v>0</v>
      </c>
      <c r="C22">
        <f>SUMIF(RawDataRecovered!$B:$B,$A22,RawDataRecovered!F:F)</f>
        <v>0</v>
      </c>
      <c r="D22">
        <f>SUMIF(RawDataRecovered!$B:$B,$A22,RawDataRecovered!G:G)</f>
        <v>0</v>
      </c>
      <c r="E22">
        <f>SUMIF(RawDataRecovered!$B:$B,$A22,RawDataRecovered!H:H)</f>
        <v>0</v>
      </c>
      <c r="F22">
        <f>SUMIF(RawDataRecovered!$B:$B,$A22,RawDataRecovered!I:I)</f>
        <v>0</v>
      </c>
      <c r="G22">
        <f>SUMIF(RawDataRecovered!$B:$B,$A22,RawDataRecovered!J:J)</f>
        <v>0</v>
      </c>
      <c r="H22">
        <f>SUMIF(RawDataRecovered!$B:$B,$A22,RawDataRecovered!K:K)</f>
        <v>0</v>
      </c>
      <c r="I22">
        <f>SUMIF(RawDataRecovered!$B:$B,$A22,RawDataRecovered!L:L)</f>
        <v>0</v>
      </c>
      <c r="J22">
        <f>SUMIF(RawDataRecovered!$B:$B,$A22,RawDataRecovered!M:M)</f>
        <v>0</v>
      </c>
      <c r="K22">
        <f>SUMIF(RawDataRecovered!$B:$B,$A22,RawDataRecovered!N:N)</f>
        <v>0</v>
      </c>
      <c r="L22">
        <f>SUMIF(RawDataRecovered!$B:$B,$A22,RawDataRecovered!O:O)</f>
        <v>0</v>
      </c>
      <c r="M22">
        <f>SUMIF(RawDataRecovered!$B:$B,$A22,RawDataRecovered!P:P)</f>
        <v>0</v>
      </c>
      <c r="N22">
        <f>SUMIF(RawDataRecovered!$B:$B,$A22,RawDataRecovered!Q:Q)</f>
        <v>0</v>
      </c>
      <c r="O22">
        <f>SUMIF(RawDataRecovered!$B:$B,$A22,RawDataRecovered!R:R)</f>
        <v>0</v>
      </c>
      <c r="P22">
        <f>SUMIF(RawDataRecovered!$B:$B,$A22,RawDataRecovered!S:S)</f>
        <v>0</v>
      </c>
      <c r="Q22">
        <f>SUMIF(RawDataRecovered!$B:$B,$A22,RawDataRecovered!T:T)</f>
        <v>0</v>
      </c>
      <c r="R22">
        <f>SUMIF(RawDataRecovered!$B:$B,$A22,RawDataRecovered!U:U)</f>
        <v>0</v>
      </c>
      <c r="S22">
        <f>SUMIF(RawDataRecovered!$B:$B,$A22,RawDataRecovered!V:V)</f>
        <v>2</v>
      </c>
      <c r="T22">
        <f>SUMIF(RawDataRecovered!$B:$B,$A22,RawDataRecovered!W:W)</f>
        <v>2</v>
      </c>
      <c r="U22">
        <f>SUMIF(RawDataRecovered!$B:$B,$A22,RawDataRecovered!X:X)</f>
        <v>2</v>
      </c>
      <c r="V22">
        <f>SUMIF(RawDataRecovered!$B:$B,$A22,RawDataRecovered!Y:Y)</f>
        <v>9</v>
      </c>
      <c r="W22">
        <f>SUMIF(RawDataRecovered!$B:$B,$A22,RawDataRecovered!Z:Z)</f>
        <v>15</v>
      </c>
      <c r="X22">
        <f>SUMIF(RawDataRecovered!$B:$B,$A22,RawDataRecovered!AA:AA)</f>
        <v>15</v>
      </c>
      <c r="Y22">
        <f>SUMIF(RawDataRecovered!$B:$B,$A22,RawDataRecovered!AB:AB)</f>
        <v>17</v>
      </c>
      <c r="Z22">
        <f>SUMIF(RawDataRecovered!$B:$B,$A22,RawDataRecovered!AC:AC)</f>
        <v>18</v>
      </c>
      <c r="AA22">
        <f>SUMIF(RawDataRecovered!$B:$B,$A22,RawDataRecovered!AD:AD)</f>
        <v>18</v>
      </c>
      <c r="AB22">
        <f>SUMIF(RawDataRecovered!$B:$B,$A22,RawDataRecovered!AE:AE)</f>
        <v>24</v>
      </c>
      <c r="AC22">
        <f>SUMIF(RawDataRecovered!$B:$B,$A22,RawDataRecovered!AF:AF)</f>
        <v>29</v>
      </c>
      <c r="AD22">
        <f>SUMIF(RawDataRecovered!$B:$B,$A22,RawDataRecovered!AG:AG)</f>
        <v>34</v>
      </c>
      <c r="AE22">
        <f>SUMIF(RawDataRecovered!$B:$B,$A22,RawDataRecovered!AH:AH)</f>
        <v>34</v>
      </c>
      <c r="AF22">
        <f>SUMIF(RawDataRecovered!$B:$B,$A22,RawDataRecovered!AI:AI)</f>
        <v>37</v>
      </c>
      <c r="AG22">
        <f>SUMIF(RawDataRecovered!$B:$B,$A22,RawDataRecovered!AJ:AJ)</f>
        <v>37</v>
      </c>
      <c r="AH22">
        <f>SUMIF(RawDataRecovered!$B:$B,$A22,RawDataRecovered!AK:AK)</f>
        <v>51</v>
      </c>
      <c r="AI22">
        <f>SUMIF(RawDataRecovered!$B:$B,$A22,RawDataRecovered!AL:AL)</f>
        <v>51</v>
      </c>
      <c r="AJ22">
        <f>SUMIF(RawDataRecovered!$B:$B,$A22,RawDataRecovered!AM:AM)</f>
        <v>53</v>
      </c>
      <c r="AK22">
        <f>SUMIF(RawDataRecovered!$B:$B,$A22,RawDataRecovered!AN:AN)</f>
        <v>62</v>
      </c>
      <c r="AL22">
        <f>SUMIF(RawDataRecovered!$B:$B,$A22,RawDataRecovered!AO:AO)</f>
        <v>62</v>
      </c>
      <c r="AM22">
        <f>SUMIF(RawDataRecovered!$B:$B,$A22,RawDataRecovered!AP:AP)</f>
        <v>62</v>
      </c>
      <c r="AN22">
        <f>SUMIF(RawDataRecovered!$B:$B,$A22,RawDataRecovered!AQ:AQ)</f>
        <v>72</v>
      </c>
      <c r="AO22">
        <f>SUMIF(RawDataRecovered!$B:$B,$A22,RawDataRecovered!AR:AR)</f>
        <v>72</v>
      </c>
      <c r="AP22">
        <f>SUMIF(RawDataRecovered!$B:$B,$A22,RawDataRecovered!AS:AS)</f>
        <v>78</v>
      </c>
      <c r="AQ22">
        <f>SUMIF(RawDataRecovered!$B:$B,$A22,RawDataRecovered!AT:AT)</f>
        <v>78</v>
      </c>
      <c r="AR22">
        <f>SUMIF(RawDataRecovered!$B:$B,$A22,RawDataRecovered!AU:AU)</f>
        <v>78</v>
      </c>
      <c r="AS22">
        <f>SUMIF(RawDataRecovered!$B:$B,$A22,RawDataRecovered!AV:AV)</f>
        <v>78</v>
      </c>
      <c r="AT22">
        <f>SUMIF(RawDataRecovered!$B:$B,$A22,RawDataRecovered!AW:AW)</f>
        <v>78</v>
      </c>
      <c r="AU22">
        <f>SUMIF(RawDataRecovered!$B:$B,$A22,RawDataRecovered!AX:AX)</f>
        <v>78</v>
      </c>
      <c r="AV22">
        <f>SUMIF(RawDataRecovered!$B:$B,$A22,RawDataRecovered!AY:AY)</f>
        <v>78</v>
      </c>
      <c r="AW22">
        <f>SUMIF(RawDataRecovered!$B:$B,$A22,RawDataRecovered!AZ:AZ)</f>
        <v>78</v>
      </c>
      <c r="AX22">
        <f>SUMIF(RawDataRecovered!$B:$B,$A22,RawDataRecovered!BA:BA)</f>
        <v>78</v>
      </c>
      <c r="AY22">
        <f>SUMIF(RawDataRecovered!$B:$B,$A22,RawDataRecovered!BB:BB)</f>
        <v>96</v>
      </c>
      <c r="AZ22">
        <f>SUMIF(RawDataRecovered!$B:$B,$A22,RawDataRecovered!BC:BC)</f>
        <v>96</v>
      </c>
      <c r="BA22">
        <f>SUMIF(RawDataRecovered!$B:$B,$A22,RawDataRecovered!BD:BD)</f>
        <v>97</v>
      </c>
      <c r="BB22">
        <f>SUMIF(RawDataRecovered!$B:$B,$A22,RawDataRecovered!BE:BE)</f>
        <v>105</v>
      </c>
      <c r="BC22">
        <f>SUMIF(RawDataRecovered!$B:$B,$A22,RawDataRecovered!BF:BF)</f>
        <v>105</v>
      </c>
      <c r="BD22">
        <f>SUMIF(RawDataRecovered!$B:$B,$A22,RawDataRecovered!BG:BG)</f>
        <v>109</v>
      </c>
      <c r="BE22">
        <f>SUMIF(RawDataRecovered!$B:$B,$A22,RawDataRecovered!BH:BH)</f>
        <v>114</v>
      </c>
      <c r="BF22">
        <f>SUMIF(RawDataRecovered!$B:$B,$A22,RawDataRecovered!BI:BI)</f>
        <v>0</v>
      </c>
      <c r="BG22">
        <f>SUMIF(RawDataRecovered!$B:$B,$A22,RawDataRecovered!BJ:BJ)</f>
        <v>0</v>
      </c>
      <c r="BH22">
        <f>SUMIF(RawDataRecovered!$B:$B,$A22,RawDataRecovered!BK:BK)</f>
        <v>0</v>
      </c>
      <c r="BI22">
        <f>SUMIF(RawDataRecovered!$B:$B,$A22,RawDataRecovered!BL:BL)</f>
        <v>0</v>
      </c>
      <c r="BJ22">
        <f>SUMIF(RawDataRecovered!$B:$B,$A22,RawDataRecovered!BM:BM)</f>
        <v>0</v>
      </c>
      <c r="BK22">
        <f>SUMIF(RawDataRecovered!$B:$B,$A22,RawDataRecovered!BN:BN)</f>
        <v>0</v>
      </c>
      <c r="BL22">
        <f>SUMIF(RawDataRecovered!$B:$B,$A22,RawDataRecovered!BO:BO)</f>
        <v>0</v>
      </c>
      <c r="BM22">
        <f>SUMIF(RawDataRecovered!$B:$B,$A22,RawDataRecovered!BP:BP)</f>
        <v>0</v>
      </c>
      <c r="BN22">
        <f>SUMIF(RawDataRecovered!$B:$B,$A22,RawDataRecovered!BQ:BQ)</f>
        <v>0</v>
      </c>
      <c r="BO22">
        <f>SUMIF(RawDataRecovered!$B:$B,$A22,RawDataRecovered!BR:BR)</f>
        <v>0</v>
      </c>
      <c r="BP22">
        <f>SUMIF(RawDataRecovered!$B:$B,$A22,RawDataRecovered!BS:BS)</f>
        <v>0</v>
      </c>
      <c r="BQ22">
        <f>SUMIF(RawDataRecovered!$B:$B,$A22,RawDataRecovered!BT:BT)</f>
        <v>0</v>
      </c>
      <c r="BR22">
        <f>SUMIF(RawDataRecovered!$B:$B,$A22,RawDataRecovered!BU:BU)</f>
        <v>0</v>
      </c>
      <c r="BS22">
        <f>SUMIF(RawDataRecovered!$B:$B,$A22,RawDataRecovered!BV:BV)</f>
        <v>0</v>
      </c>
      <c r="BT22">
        <f>SUMIF(RawDataRecovered!$B:$B,$A22,RawDataRecovered!BW:BW)</f>
        <v>0</v>
      </c>
    </row>
    <row r="23" spans="1:72" ht="15" thickBot="1" x14ac:dyDescent="0.35">
      <c r="A23" s="3" t="s">
        <v>70</v>
      </c>
      <c r="B23">
        <f>SUMIF(RawDataRecovered!$B:$B,$A23,RawDataRecovered!E:E)</f>
        <v>0</v>
      </c>
      <c r="C23">
        <f>SUMIF(RawDataRecovered!$B:$B,$A23,RawDataRecovered!F:F)</f>
        <v>0</v>
      </c>
      <c r="D23">
        <f>SUMIF(RawDataRecovered!$B:$B,$A23,RawDataRecovered!G:G)</f>
        <v>0</v>
      </c>
      <c r="E23">
        <f>SUMIF(RawDataRecovered!$B:$B,$A23,RawDataRecovered!H:H)</f>
        <v>0</v>
      </c>
      <c r="F23">
        <f>SUMIF(RawDataRecovered!$B:$B,$A23,RawDataRecovered!I:I)</f>
        <v>0</v>
      </c>
      <c r="G23">
        <f>SUMIF(RawDataRecovered!$B:$B,$A23,RawDataRecovered!J:J)</f>
        <v>0</v>
      </c>
      <c r="H23">
        <f>SUMIF(RawDataRecovered!$B:$B,$A23,RawDataRecovered!K:K)</f>
        <v>0</v>
      </c>
      <c r="I23">
        <f>SUMIF(RawDataRecovered!$B:$B,$A23,RawDataRecovered!L:L)</f>
        <v>0</v>
      </c>
      <c r="J23">
        <f>SUMIF(RawDataRecovered!$B:$B,$A23,RawDataRecovered!M:M)</f>
        <v>0</v>
      </c>
      <c r="K23">
        <f>SUMIF(RawDataRecovered!$B:$B,$A23,RawDataRecovered!N:N)</f>
        <v>0</v>
      </c>
      <c r="L23">
        <f>SUMIF(RawDataRecovered!$B:$B,$A23,RawDataRecovered!O:O)</f>
        <v>0</v>
      </c>
      <c r="M23">
        <f>SUMIF(RawDataRecovered!$B:$B,$A23,RawDataRecovered!P:P)</f>
        <v>0</v>
      </c>
      <c r="N23">
        <f>SUMIF(RawDataRecovered!$B:$B,$A23,RawDataRecovered!Q:Q)</f>
        <v>0</v>
      </c>
      <c r="O23">
        <f>SUMIF(RawDataRecovered!$B:$B,$A23,RawDataRecovered!R:R)</f>
        <v>0</v>
      </c>
      <c r="P23">
        <f>SUMIF(RawDataRecovered!$B:$B,$A23,RawDataRecovered!S:S)</f>
        <v>0</v>
      </c>
      <c r="Q23">
        <f>SUMIF(RawDataRecovered!$B:$B,$A23,RawDataRecovered!T:T)</f>
        <v>0</v>
      </c>
      <c r="R23">
        <f>SUMIF(RawDataRecovered!$B:$B,$A23,RawDataRecovered!U:U)</f>
        <v>1</v>
      </c>
      <c r="S23">
        <f>SUMIF(RawDataRecovered!$B:$B,$A23,RawDataRecovered!V:V)</f>
        <v>1</v>
      </c>
      <c r="T23">
        <f>SUMIF(RawDataRecovered!$B:$B,$A23,RawDataRecovered!W:W)</f>
        <v>1</v>
      </c>
      <c r="U23">
        <f>SUMIF(RawDataRecovered!$B:$B,$A23,RawDataRecovered!X:X)</f>
        <v>1</v>
      </c>
      <c r="V23">
        <f>SUMIF(RawDataRecovered!$B:$B,$A23,RawDataRecovered!Y:Y)</f>
        <v>3</v>
      </c>
      <c r="W23">
        <f>SUMIF(RawDataRecovered!$B:$B,$A23,RawDataRecovered!Z:Z)</f>
        <v>3</v>
      </c>
      <c r="X23">
        <f>SUMIF(RawDataRecovered!$B:$B,$A23,RawDataRecovered!AA:AA)</f>
        <v>3</v>
      </c>
      <c r="Y23">
        <f>SUMIF(RawDataRecovered!$B:$B,$A23,RawDataRecovered!AB:AB)</f>
        <v>3</v>
      </c>
      <c r="Z23">
        <f>SUMIF(RawDataRecovered!$B:$B,$A23,RawDataRecovered!AC:AC)</f>
        <v>7</v>
      </c>
      <c r="AA23">
        <f>SUMIF(RawDataRecovered!$B:$B,$A23,RawDataRecovered!AD:AD)</f>
        <v>7</v>
      </c>
      <c r="AB23">
        <f>SUMIF(RawDataRecovered!$B:$B,$A23,RawDataRecovered!AE:AE)</f>
        <v>7</v>
      </c>
      <c r="AC23">
        <f>SUMIF(RawDataRecovered!$B:$B,$A23,RawDataRecovered!AF:AF)</f>
        <v>13</v>
      </c>
      <c r="AD23">
        <f>SUMIF(RawDataRecovered!$B:$B,$A23,RawDataRecovered!AG:AG)</f>
        <v>15</v>
      </c>
      <c r="AE23">
        <f>SUMIF(RawDataRecovered!$B:$B,$A23,RawDataRecovered!AH:AH)</f>
        <v>15</v>
      </c>
      <c r="AF23">
        <f>SUMIF(RawDataRecovered!$B:$B,$A23,RawDataRecovered!AI:AI)</f>
        <v>15</v>
      </c>
      <c r="AG23">
        <f>SUMIF(RawDataRecovered!$B:$B,$A23,RawDataRecovered!AJ:AJ)</f>
        <v>15</v>
      </c>
      <c r="AH23">
        <f>SUMIF(RawDataRecovered!$B:$B,$A23,RawDataRecovered!AK:AK)</f>
        <v>15</v>
      </c>
      <c r="AI23">
        <f>SUMIF(RawDataRecovered!$B:$B,$A23,RawDataRecovered!AL:AL)</f>
        <v>18</v>
      </c>
      <c r="AJ23">
        <f>SUMIF(RawDataRecovered!$B:$B,$A23,RawDataRecovered!AM:AM)</f>
        <v>18</v>
      </c>
      <c r="AK23">
        <f>SUMIF(RawDataRecovered!$B:$B,$A23,RawDataRecovered!AN:AN)</f>
        <v>18</v>
      </c>
      <c r="AL23">
        <f>SUMIF(RawDataRecovered!$B:$B,$A23,RawDataRecovered!AO:AO)</f>
        <v>18</v>
      </c>
      <c r="AM23">
        <f>SUMIF(RawDataRecovered!$B:$B,$A23,RawDataRecovered!AP:AP)</f>
        <v>18</v>
      </c>
      <c r="AN23">
        <f>SUMIF(RawDataRecovered!$B:$B,$A23,RawDataRecovered!AQ:AQ)</f>
        <v>18</v>
      </c>
      <c r="AO23">
        <f>SUMIF(RawDataRecovered!$B:$B,$A23,RawDataRecovered!AR:AR)</f>
        <v>18</v>
      </c>
      <c r="AP23">
        <f>SUMIF(RawDataRecovered!$B:$B,$A23,RawDataRecovered!AS:AS)</f>
        <v>18</v>
      </c>
      <c r="AQ23">
        <f>SUMIF(RawDataRecovered!$B:$B,$A23,RawDataRecovered!AT:AT)</f>
        <v>22</v>
      </c>
      <c r="AR23">
        <f>SUMIF(RawDataRecovered!$B:$B,$A23,RawDataRecovered!AU:AU)</f>
        <v>22</v>
      </c>
      <c r="AS23">
        <f>SUMIF(RawDataRecovered!$B:$B,$A23,RawDataRecovered!AV:AV)</f>
        <v>22</v>
      </c>
      <c r="AT23">
        <f>SUMIF(RawDataRecovered!$B:$B,$A23,RawDataRecovered!AW:AW)</f>
        <v>22</v>
      </c>
      <c r="AU23">
        <f>SUMIF(RawDataRecovered!$B:$B,$A23,RawDataRecovered!AX:AX)</f>
        <v>23</v>
      </c>
      <c r="AV23">
        <f>SUMIF(RawDataRecovered!$B:$B,$A23,RawDataRecovered!AY:AY)</f>
        <v>24</v>
      </c>
      <c r="AW23">
        <f>SUMIF(RawDataRecovered!$B:$B,$A23,RawDataRecovered!AZ:AZ)</f>
        <v>24</v>
      </c>
      <c r="AX23">
        <f>SUMIF(RawDataRecovered!$B:$B,$A23,RawDataRecovered!BA:BA)</f>
        <v>24</v>
      </c>
      <c r="AY23">
        <f>SUMIF(RawDataRecovered!$B:$B,$A23,RawDataRecovered!BB:BB)</f>
        <v>26</v>
      </c>
      <c r="AZ23">
        <f>SUMIF(RawDataRecovered!$B:$B,$A23,RawDataRecovered!BC:BC)</f>
        <v>26</v>
      </c>
      <c r="BA23">
        <f>SUMIF(RawDataRecovered!$B:$B,$A23,RawDataRecovered!BD:BD)</f>
        <v>26</v>
      </c>
      <c r="BB23">
        <f>SUMIF(RawDataRecovered!$B:$B,$A23,RawDataRecovered!BE:BE)</f>
        <v>35</v>
      </c>
      <c r="BC23">
        <f>SUMIF(RawDataRecovered!$B:$B,$A23,RawDataRecovered!BF:BF)</f>
        <v>42</v>
      </c>
      <c r="BD23">
        <f>SUMIF(RawDataRecovered!$B:$B,$A23,RawDataRecovered!BG:BG)</f>
        <v>42</v>
      </c>
      <c r="BE23">
        <f>SUMIF(RawDataRecovered!$B:$B,$A23,RawDataRecovered!BH:BH)</f>
        <v>49</v>
      </c>
      <c r="BF23">
        <f>SUMIF(RawDataRecovered!$B:$B,$A23,RawDataRecovered!BI:BI)</f>
        <v>0</v>
      </c>
      <c r="BG23">
        <f>SUMIF(RawDataRecovered!$B:$B,$A23,RawDataRecovered!BJ:BJ)</f>
        <v>0</v>
      </c>
      <c r="BH23">
        <f>SUMIF(RawDataRecovered!$B:$B,$A23,RawDataRecovered!BK:BK)</f>
        <v>0</v>
      </c>
      <c r="BI23">
        <f>SUMIF(RawDataRecovered!$B:$B,$A23,RawDataRecovered!BL:BL)</f>
        <v>0</v>
      </c>
      <c r="BJ23">
        <f>SUMIF(RawDataRecovered!$B:$B,$A23,RawDataRecovered!BM:BM)</f>
        <v>0</v>
      </c>
      <c r="BK23">
        <f>SUMIF(RawDataRecovered!$B:$B,$A23,RawDataRecovered!BN:BN)</f>
        <v>0</v>
      </c>
      <c r="BL23">
        <f>SUMIF(RawDataRecovered!$B:$B,$A23,RawDataRecovered!BO:BO)</f>
        <v>0</v>
      </c>
      <c r="BM23">
        <f>SUMIF(RawDataRecovered!$B:$B,$A23,RawDataRecovered!BP:BP)</f>
        <v>0</v>
      </c>
      <c r="BN23">
        <f>SUMIF(RawDataRecovered!$B:$B,$A23,RawDataRecovered!BQ:BQ)</f>
        <v>0</v>
      </c>
      <c r="BO23">
        <f>SUMIF(RawDataRecovered!$B:$B,$A23,RawDataRecovered!BR:BR)</f>
        <v>0</v>
      </c>
      <c r="BP23">
        <f>SUMIF(RawDataRecovered!$B:$B,$A23,RawDataRecovered!BS:BS)</f>
        <v>0</v>
      </c>
      <c r="BQ23">
        <f>SUMIF(RawDataRecovered!$B:$B,$A23,RawDataRecovered!BT:BT)</f>
        <v>0</v>
      </c>
      <c r="BR23">
        <f>SUMIF(RawDataRecovered!$B:$B,$A23,RawDataRecovered!BU:BU)</f>
        <v>0</v>
      </c>
      <c r="BS23">
        <f>SUMIF(RawDataRecovered!$B:$B,$A23,RawDataRecovered!BV:BV)</f>
        <v>0</v>
      </c>
      <c r="BT23">
        <f>SUMIF(RawDataRecovered!$B:$B,$A23,RawDataRecovered!BW:BW)</f>
        <v>0</v>
      </c>
    </row>
    <row r="24" spans="1:72" ht="15" thickBot="1" x14ac:dyDescent="0.35">
      <c r="A24" s="4" t="s">
        <v>72</v>
      </c>
      <c r="B24">
        <f>SUMIF(RawDataRecovered!$B:$B,$A24,RawDataRecovered!E:E)</f>
        <v>0</v>
      </c>
      <c r="C24">
        <f>SUMIF(RawDataRecovered!$B:$B,$A24,RawDataRecovered!F:F)</f>
        <v>0</v>
      </c>
      <c r="D24">
        <f>SUMIF(RawDataRecovered!$B:$B,$A24,RawDataRecovered!G:G)</f>
        <v>0</v>
      </c>
      <c r="E24">
        <f>SUMIF(RawDataRecovered!$B:$B,$A24,RawDataRecovered!H:H)</f>
        <v>0</v>
      </c>
      <c r="F24">
        <f>SUMIF(RawDataRecovered!$B:$B,$A24,RawDataRecovered!I:I)</f>
        <v>0</v>
      </c>
      <c r="G24">
        <f>SUMIF(RawDataRecovered!$B:$B,$A24,RawDataRecovered!J:J)</f>
        <v>0</v>
      </c>
      <c r="H24">
        <f>SUMIF(RawDataRecovered!$B:$B,$A24,RawDataRecovered!K:K)</f>
        <v>0</v>
      </c>
      <c r="I24">
        <f>SUMIF(RawDataRecovered!$B:$B,$A24,RawDataRecovered!L:L)</f>
        <v>0</v>
      </c>
      <c r="J24">
        <f>SUMIF(RawDataRecovered!$B:$B,$A24,RawDataRecovered!M:M)</f>
        <v>0</v>
      </c>
      <c r="K24">
        <f>SUMIF(RawDataRecovered!$B:$B,$A24,RawDataRecovered!N:N)</f>
        <v>0</v>
      </c>
      <c r="L24">
        <f>SUMIF(RawDataRecovered!$B:$B,$A24,RawDataRecovered!O:O)</f>
        <v>0</v>
      </c>
      <c r="M24">
        <f>SUMIF(RawDataRecovered!$B:$B,$A24,RawDataRecovered!P:P)</f>
        <v>0</v>
      </c>
      <c r="N24">
        <f>SUMIF(RawDataRecovered!$B:$B,$A24,RawDataRecovered!Q:Q)</f>
        <v>0</v>
      </c>
      <c r="O24">
        <f>SUMIF(RawDataRecovered!$B:$B,$A24,RawDataRecovered!R:R)</f>
        <v>0</v>
      </c>
      <c r="P24">
        <f>SUMIF(RawDataRecovered!$B:$B,$A24,RawDataRecovered!S:S)</f>
        <v>0</v>
      </c>
      <c r="Q24">
        <f>SUMIF(RawDataRecovered!$B:$B,$A24,RawDataRecovered!T:T)</f>
        <v>0</v>
      </c>
      <c r="R24">
        <f>SUMIF(RawDataRecovered!$B:$B,$A24,RawDataRecovered!U:U)</f>
        <v>0</v>
      </c>
      <c r="S24">
        <f>SUMIF(RawDataRecovered!$B:$B,$A24,RawDataRecovered!V:V)</f>
        <v>0</v>
      </c>
      <c r="T24">
        <f>SUMIF(RawDataRecovered!$B:$B,$A24,RawDataRecovered!W:W)</f>
        <v>0</v>
      </c>
      <c r="U24">
        <f>SUMIF(RawDataRecovered!$B:$B,$A24,RawDataRecovered!X:X)</f>
        <v>0</v>
      </c>
      <c r="V24">
        <f>SUMIF(RawDataRecovered!$B:$B,$A24,RawDataRecovered!Y:Y)</f>
        <v>0</v>
      </c>
      <c r="W24">
        <f>SUMIF(RawDataRecovered!$B:$B,$A24,RawDataRecovered!Z:Z)</f>
        <v>1</v>
      </c>
      <c r="X24">
        <f>SUMIF(RawDataRecovered!$B:$B,$A24,RawDataRecovered!AA:AA)</f>
        <v>1</v>
      </c>
      <c r="Y24">
        <f>SUMIF(RawDataRecovered!$B:$B,$A24,RawDataRecovered!AB:AB)</f>
        <v>1</v>
      </c>
      <c r="Z24">
        <f>SUMIF(RawDataRecovered!$B:$B,$A24,RawDataRecovered!AC:AC)</f>
        <v>1</v>
      </c>
      <c r="AA24">
        <f>SUMIF(RawDataRecovered!$B:$B,$A24,RawDataRecovered!AD:AD)</f>
        <v>1</v>
      </c>
      <c r="AB24">
        <f>SUMIF(RawDataRecovered!$B:$B,$A24,RawDataRecovered!AE:AE)</f>
        <v>1</v>
      </c>
      <c r="AC24">
        <f>SUMIF(RawDataRecovered!$B:$B,$A24,RawDataRecovered!AF:AF)</f>
        <v>1</v>
      </c>
      <c r="AD24">
        <f>SUMIF(RawDataRecovered!$B:$B,$A24,RawDataRecovered!AG:AG)</f>
        <v>1</v>
      </c>
      <c r="AE24">
        <f>SUMIF(RawDataRecovered!$B:$B,$A24,RawDataRecovered!AH:AH)</f>
        <v>1</v>
      </c>
      <c r="AF24">
        <f>SUMIF(RawDataRecovered!$B:$B,$A24,RawDataRecovered!AI:AI)</f>
        <v>3</v>
      </c>
      <c r="AG24">
        <f>SUMIF(RawDataRecovered!$B:$B,$A24,RawDataRecovered!AJ:AJ)</f>
        <v>3</v>
      </c>
      <c r="AH24">
        <f>SUMIF(RawDataRecovered!$B:$B,$A24,RawDataRecovered!AK:AK)</f>
        <v>3</v>
      </c>
      <c r="AI24">
        <f>SUMIF(RawDataRecovered!$B:$B,$A24,RawDataRecovered!AL:AL)</f>
        <v>3</v>
      </c>
      <c r="AJ24">
        <f>SUMIF(RawDataRecovered!$B:$B,$A24,RawDataRecovered!AM:AM)</f>
        <v>3</v>
      </c>
      <c r="AK24">
        <f>SUMIF(RawDataRecovered!$B:$B,$A24,RawDataRecovered!AN:AN)</f>
        <v>3</v>
      </c>
      <c r="AL24">
        <f>SUMIF(RawDataRecovered!$B:$B,$A24,RawDataRecovered!AO:AO)</f>
        <v>6</v>
      </c>
      <c r="AM24">
        <f>SUMIF(RawDataRecovered!$B:$B,$A24,RawDataRecovered!AP:AP)</f>
        <v>6</v>
      </c>
      <c r="AN24">
        <f>SUMIF(RawDataRecovered!$B:$B,$A24,RawDataRecovered!AQ:AQ)</f>
        <v>6</v>
      </c>
      <c r="AO24">
        <f>SUMIF(RawDataRecovered!$B:$B,$A24,RawDataRecovered!AR:AR)</f>
        <v>6</v>
      </c>
      <c r="AP24">
        <f>SUMIF(RawDataRecovered!$B:$B,$A24,RawDataRecovered!AS:AS)</f>
        <v>6</v>
      </c>
      <c r="AQ24">
        <f>SUMIF(RawDataRecovered!$B:$B,$A24,RawDataRecovered!AT:AT)</f>
        <v>6</v>
      </c>
      <c r="AR24">
        <f>SUMIF(RawDataRecovered!$B:$B,$A24,RawDataRecovered!AU:AU)</f>
        <v>6</v>
      </c>
      <c r="AS24">
        <f>SUMIF(RawDataRecovered!$B:$B,$A24,RawDataRecovered!AV:AV)</f>
        <v>6</v>
      </c>
      <c r="AT24">
        <f>SUMIF(RawDataRecovered!$B:$B,$A24,RawDataRecovered!AW:AW)</f>
        <v>6</v>
      </c>
      <c r="AU24">
        <f>SUMIF(RawDataRecovered!$B:$B,$A24,RawDataRecovered!AX:AX)</f>
        <v>8</v>
      </c>
      <c r="AV24">
        <f>SUMIF(RawDataRecovered!$B:$B,$A24,RawDataRecovered!AY:AY)</f>
        <v>8</v>
      </c>
      <c r="AW24">
        <f>SUMIF(RawDataRecovered!$B:$B,$A24,RawDataRecovered!AZ:AZ)</f>
        <v>8</v>
      </c>
      <c r="AX24">
        <f>SUMIF(RawDataRecovered!$B:$B,$A24,RawDataRecovered!BA:BA)</f>
        <v>8</v>
      </c>
      <c r="AY24">
        <f>SUMIF(RawDataRecovered!$B:$B,$A24,RawDataRecovered!BB:BB)</f>
        <v>8</v>
      </c>
      <c r="AZ24">
        <f>SUMIF(RawDataRecovered!$B:$B,$A24,RawDataRecovered!BC:BC)</f>
        <v>8</v>
      </c>
      <c r="BA24">
        <f>SUMIF(RawDataRecovered!$B:$B,$A24,RawDataRecovered!BD:BD)</f>
        <v>8</v>
      </c>
      <c r="BB24">
        <f>SUMIF(RawDataRecovered!$B:$B,$A24,RawDataRecovered!BE:BE)</f>
        <v>8</v>
      </c>
      <c r="BC24">
        <f>SUMIF(RawDataRecovered!$B:$B,$A24,RawDataRecovered!BF:BF)</f>
        <v>8</v>
      </c>
      <c r="BD24">
        <f>SUMIF(RawDataRecovered!$B:$B,$A24,RawDataRecovered!BG:BG)</f>
        <v>9</v>
      </c>
      <c r="BE24">
        <f>SUMIF(RawDataRecovered!$B:$B,$A24,RawDataRecovered!BH:BH)</f>
        <v>9</v>
      </c>
      <c r="BF24">
        <f>SUMIF(RawDataRecovered!$B:$B,$A24,RawDataRecovered!BI:BI)</f>
        <v>0</v>
      </c>
      <c r="BG24">
        <f>SUMIF(RawDataRecovered!$B:$B,$A24,RawDataRecovered!BJ:BJ)</f>
        <v>0</v>
      </c>
      <c r="BH24">
        <f>SUMIF(RawDataRecovered!$B:$B,$A24,RawDataRecovered!BK:BK)</f>
        <v>0</v>
      </c>
      <c r="BI24">
        <f>SUMIF(RawDataRecovered!$B:$B,$A24,RawDataRecovered!BL:BL)</f>
        <v>0</v>
      </c>
      <c r="BJ24">
        <f>SUMIF(RawDataRecovered!$B:$B,$A24,RawDataRecovered!BM:BM)</f>
        <v>0</v>
      </c>
      <c r="BK24">
        <f>SUMIF(RawDataRecovered!$B:$B,$A24,RawDataRecovered!BN:BN)</f>
        <v>0</v>
      </c>
      <c r="BL24">
        <f>SUMIF(RawDataRecovered!$B:$B,$A24,RawDataRecovered!BO:BO)</f>
        <v>0</v>
      </c>
      <c r="BM24">
        <f>SUMIF(RawDataRecovered!$B:$B,$A24,RawDataRecovered!BP:BP)</f>
        <v>0</v>
      </c>
      <c r="BN24">
        <f>SUMIF(RawDataRecovered!$B:$B,$A24,RawDataRecovered!BQ:BQ)</f>
        <v>0</v>
      </c>
      <c r="BO24">
        <f>SUMIF(RawDataRecovered!$B:$B,$A24,RawDataRecovered!BR:BR)</f>
        <v>0</v>
      </c>
      <c r="BP24">
        <f>SUMIF(RawDataRecovered!$B:$B,$A24,RawDataRecovered!BS:BS)</f>
        <v>0</v>
      </c>
      <c r="BQ24">
        <f>SUMIF(RawDataRecovered!$B:$B,$A24,RawDataRecovered!BT:BT)</f>
        <v>0</v>
      </c>
      <c r="BR24">
        <f>SUMIF(RawDataRecovered!$B:$B,$A24,RawDataRecovered!BU:BU)</f>
        <v>0</v>
      </c>
      <c r="BS24">
        <f>SUMIF(RawDataRecovered!$B:$B,$A24,RawDataRecovered!BV:BV)</f>
        <v>0</v>
      </c>
      <c r="BT24">
        <f>SUMIF(RawDataRecovered!$B:$B,$A24,RawDataRecovered!BW:BW)</f>
        <v>0</v>
      </c>
    </row>
    <row r="25" spans="1:72" ht="15" thickBot="1" x14ac:dyDescent="0.35">
      <c r="A25" s="4" t="s">
        <v>110</v>
      </c>
      <c r="B25">
        <f>SUMIF(RawDataRecovered!$B:$B,$A25,RawDataRecovered!E:E)</f>
        <v>0</v>
      </c>
      <c r="C25">
        <f>SUMIF(RawDataRecovered!$B:$B,$A25,RawDataRecovered!F:F)</f>
        <v>0</v>
      </c>
      <c r="D25">
        <f>SUMIF(RawDataRecovered!$B:$B,$A25,RawDataRecovered!G:G)</f>
        <v>0</v>
      </c>
      <c r="E25">
        <f>SUMIF(RawDataRecovered!$B:$B,$A25,RawDataRecovered!H:H)</f>
        <v>0</v>
      </c>
      <c r="F25">
        <f>SUMIF(RawDataRecovered!$B:$B,$A25,RawDataRecovered!I:I)</f>
        <v>0</v>
      </c>
      <c r="G25">
        <f>SUMIF(RawDataRecovered!$B:$B,$A25,RawDataRecovered!J:J)</f>
        <v>0</v>
      </c>
      <c r="H25">
        <f>SUMIF(RawDataRecovered!$B:$B,$A25,RawDataRecovered!K:K)</f>
        <v>0</v>
      </c>
      <c r="I25">
        <f>SUMIF(RawDataRecovered!$B:$B,$A25,RawDataRecovered!L:L)</f>
        <v>0</v>
      </c>
      <c r="J25">
        <f>SUMIF(RawDataRecovered!$B:$B,$A25,RawDataRecovered!M:M)</f>
        <v>0</v>
      </c>
      <c r="K25">
        <f>SUMIF(RawDataRecovered!$B:$B,$A25,RawDataRecovered!N:N)</f>
        <v>0</v>
      </c>
      <c r="L25">
        <f>SUMIF(RawDataRecovered!$B:$B,$A25,RawDataRecovered!O:O)</f>
        <v>0</v>
      </c>
      <c r="M25">
        <f>SUMIF(RawDataRecovered!$B:$B,$A25,RawDataRecovered!P:P)</f>
        <v>0</v>
      </c>
      <c r="N25">
        <f>SUMIF(RawDataRecovered!$B:$B,$A25,RawDataRecovered!Q:Q)</f>
        <v>0</v>
      </c>
      <c r="O25">
        <f>SUMIF(RawDataRecovered!$B:$B,$A25,RawDataRecovered!R:R)</f>
        <v>0</v>
      </c>
      <c r="P25">
        <f>SUMIF(RawDataRecovered!$B:$B,$A25,RawDataRecovered!S:S)</f>
        <v>0</v>
      </c>
      <c r="Q25">
        <f>SUMIF(RawDataRecovered!$B:$B,$A25,RawDataRecovered!T:T)</f>
        <v>0</v>
      </c>
      <c r="R25">
        <f>SUMIF(RawDataRecovered!$B:$B,$A25,RawDataRecovered!U:U)</f>
        <v>0</v>
      </c>
      <c r="S25">
        <f>SUMIF(RawDataRecovered!$B:$B,$A25,RawDataRecovered!V:V)</f>
        <v>0</v>
      </c>
      <c r="T25">
        <f>SUMIF(RawDataRecovered!$B:$B,$A25,RawDataRecovered!W:W)</f>
        <v>0</v>
      </c>
      <c r="U25">
        <f>SUMIF(RawDataRecovered!$B:$B,$A25,RawDataRecovered!X:X)</f>
        <v>0</v>
      </c>
      <c r="V25">
        <f>SUMIF(RawDataRecovered!$B:$B,$A25,RawDataRecovered!Y:Y)</f>
        <v>0</v>
      </c>
      <c r="W25">
        <f>SUMIF(RawDataRecovered!$B:$B,$A25,RawDataRecovered!Z:Z)</f>
        <v>0</v>
      </c>
      <c r="X25">
        <f>SUMIF(RawDataRecovered!$B:$B,$A25,RawDataRecovered!AA:AA)</f>
        <v>0</v>
      </c>
      <c r="Y25">
        <f>SUMIF(RawDataRecovered!$B:$B,$A25,RawDataRecovered!AB:AB)</f>
        <v>0</v>
      </c>
      <c r="Z25">
        <f>SUMIF(RawDataRecovered!$B:$B,$A25,RawDataRecovered!AC:AC)</f>
        <v>0</v>
      </c>
      <c r="AA25">
        <f>SUMIF(RawDataRecovered!$B:$B,$A25,RawDataRecovered!AD:AD)</f>
        <v>0</v>
      </c>
      <c r="AB25">
        <f>SUMIF(RawDataRecovered!$B:$B,$A25,RawDataRecovered!AE:AE)</f>
        <v>0</v>
      </c>
      <c r="AC25">
        <f>SUMIF(RawDataRecovered!$B:$B,$A25,RawDataRecovered!AF:AF)</f>
        <v>0</v>
      </c>
      <c r="AD25">
        <f>SUMIF(RawDataRecovered!$B:$B,$A25,RawDataRecovered!AG:AG)</f>
        <v>0</v>
      </c>
      <c r="AE25">
        <f>SUMIF(RawDataRecovered!$B:$B,$A25,RawDataRecovered!AH:AH)</f>
        <v>0</v>
      </c>
      <c r="AF25">
        <f>SUMIF(RawDataRecovered!$B:$B,$A25,RawDataRecovered!AI:AI)</f>
        <v>0</v>
      </c>
      <c r="AG25">
        <f>SUMIF(RawDataRecovered!$B:$B,$A25,RawDataRecovered!AJ:AJ)</f>
        <v>0</v>
      </c>
      <c r="AH25">
        <f>SUMIF(RawDataRecovered!$B:$B,$A25,RawDataRecovered!AK:AK)</f>
        <v>0</v>
      </c>
      <c r="AI25">
        <f>SUMIF(RawDataRecovered!$B:$B,$A25,RawDataRecovered!AL:AL)</f>
        <v>0</v>
      </c>
      <c r="AJ25">
        <f>SUMIF(RawDataRecovered!$B:$B,$A25,RawDataRecovered!AM:AM)</f>
        <v>0</v>
      </c>
      <c r="AK25">
        <f>SUMIF(RawDataRecovered!$B:$B,$A25,RawDataRecovered!AN:AN)</f>
        <v>0</v>
      </c>
      <c r="AL25">
        <f>SUMIF(RawDataRecovered!$B:$B,$A25,RawDataRecovered!AO:AO)</f>
        <v>0</v>
      </c>
      <c r="AM25">
        <f>SUMIF(RawDataRecovered!$B:$B,$A25,RawDataRecovered!AP:AP)</f>
        <v>0</v>
      </c>
      <c r="AN25">
        <f>SUMIF(RawDataRecovered!$B:$B,$A25,RawDataRecovered!AQ:AQ)</f>
        <v>0</v>
      </c>
      <c r="AO25">
        <f>SUMIF(RawDataRecovered!$B:$B,$A25,RawDataRecovered!AR:AR)</f>
        <v>0</v>
      </c>
      <c r="AP25">
        <f>SUMIF(RawDataRecovered!$B:$B,$A25,RawDataRecovered!AS:AS)</f>
        <v>0</v>
      </c>
      <c r="AQ25">
        <f>SUMIF(RawDataRecovered!$B:$B,$A25,RawDataRecovered!AT:AT)</f>
        <v>0</v>
      </c>
      <c r="AR25">
        <f>SUMIF(RawDataRecovered!$B:$B,$A25,RawDataRecovered!AU:AU)</f>
        <v>0</v>
      </c>
      <c r="AS25">
        <f>SUMIF(RawDataRecovered!$B:$B,$A25,RawDataRecovered!AV:AV)</f>
        <v>0</v>
      </c>
      <c r="AT25">
        <f>SUMIF(RawDataRecovered!$B:$B,$A25,RawDataRecovered!AW:AW)</f>
        <v>0</v>
      </c>
      <c r="AU25">
        <f>SUMIF(RawDataRecovered!$B:$B,$A25,RawDataRecovered!AX:AX)</f>
        <v>0</v>
      </c>
      <c r="AV25">
        <f>SUMIF(RawDataRecovered!$B:$B,$A25,RawDataRecovered!AY:AY)</f>
        <v>0</v>
      </c>
      <c r="AW25">
        <f>SUMIF(RawDataRecovered!$B:$B,$A25,RawDataRecovered!AZ:AZ)</f>
        <v>0</v>
      </c>
      <c r="AX25">
        <f>SUMIF(RawDataRecovered!$B:$B,$A25,RawDataRecovered!BA:BA)</f>
        <v>0</v>
      </c>
      <c r="AY25">
        <f>SUMIF(RawDataRecovered!$B:$B,$A25,RawDataRecovered!BB:BB)</f>
        <v>0</v>
      </c>
      <c r="AZ25">
        <f>SUMIF(RawDataRecovered!$B:$B,$A25,RawDataRecovered!BC:BC)</f>
        <v>0</v>
      </c>
      <c r="BA25">
        <f>SUMIF(RawDataRecovered!$B:$B,$A25,RawDataRecovered!BD:BD)</f>
        <v>0</v>
      </c>
      <c r="BB25">
        <f>SUMIF(RawDataRecovered!$B:$B,$A25,RawDataRecovered!BE:BE)</f>
        <v>8</v>
      </c>
      <c r="BC25">
        <f>SUMIF(RawDataRecovered!$B:$B,$A25,RawDataRecovered!BF:BF)</f>
        <v>8</v>
      </c>
      <c r="BD25">
        <f>SUMIF(RawDataRecovered!$B:$B,$A25,RawDataRecovered!BG:BG)</f>
        <v>8</v>
      </c>
      <c r="BE25">
        <f>SUMIF(RawDataRecovered!$B:$B,$A25,RawDataRecovered!BH:BH)</f>
        <v>8</v>
      </c>
      <c r="BF25">
        <f>SUMIF(RawDataRecovered!$B:$B,$A25,RawDataRecovered!BI:BI)</f>
        <v>0</v>
      </c>
      <c r="BG25">
        <f>SUMIF(RawDataRecovered!$B:$B,$A25,RawDataRecovered!BJ:BJ)</f>
        <v>0</v>
      </c>
      <c r="BH25">
        <f>SUMIF(RawDataRecovered!$B:$B,$A25,RawDataRecovered!BK:BK)</f>
        <v>0</v>
      </c>
      <c r="BI25">
        <f>SUMIF(RawDataRecovered!$B:$B,$A25,RawDataRecovered!BL:BL)</f>
        <v>0</v>
      </c>
      <c r="BJ25">
        <f>SUMIF(RawDataRecovered!$B:$B,$A25,RawDataRecovered!BM:BM)</f>
        <v>0</v>
      </c>
      <c r="BK25">
        <f>SUMIF(RawDataRecovered!$B:$B,$A25,RawDataRecovered!BN:BN)</f>
        <v>0</v>
      </c>
      <c r="BL25">
        <f>SUMIF(RawDataRecovered!$B:$B,$A25,RawDataRecovered!BO:BO)</f>
        <v>0</v>
      </c>
      <c r="BM25">
        <f>SUMIF(RawDataRecovered!$B:$B,$A25,RawDataRecovered!BP:BP)</f>
        <v>0</v>
      </c>
      <c r="BN25">
        <f>SUMIF(RawDataRecovered!$B:$B,$A25,RawDataRecovered!BQ:BQ)</f>
        <v>0</v>
      </c>
      <c r="BO25">
        <f>SUMIF(RawDataRecovered!$B:$B,$A25,RawDataRecovered!BR:BR)</f>
        <v>0</v>
      </c>
      <c r="BP25">
        <f>SUMIF(RawDataRecovered!$B:$B,$A25,RawDataRecovered!BS:BS)</f>
        <v>0</v>
      </c>
      <c r="BQ25">
        <f>SUMIF(RawDataRecovered!$B:$B,$A25,RawDataRecovered!BT:BT)</f>
        <v>0</v>
      </c>
      <c r="BR25">
        <f>SUMIF(RawDataRecovered!$B:$B,$A25,RawDataRecovered!BU:BU)</f>
        <v>0</v>
      </c>
      <c r="BS25">
        <f>SUMIF(RawDataRecovered!$B:$B,$A25,RawDataRecovered!BV:BV)</f>
        <v>0</v>
      </c>
      <c r="BT25">
        <f>SUMIF(RawDataRecovered!$B:$B,$A25,RawDataRecovered!BW:BW)</f>
        <v>0</v>
      </c>
    </row>
    <row r="26" spans="1:72" ht="15" thickBot="1" x14ac:dyDescent="0.35">
      <c r="A26" s="4" t="s">
        <v>100</v>
      </c>
      <c r="B26">
        <f>SUMIF(RawDataRecovered!$B:$B,$A26,RawDataRecovered!E:E)</f>
        <v>0</v>
      </c>
      <c r="C26">
        <f>SUMIF(RawDataRecovered!$B:$B,$A26,RawDataRecovered!F:F)</f>
        <v>0</v>
      </c>
      <c r="D26">
        <f>SUMIF(RawDataRecovered!$B:$B,$A26,RawDataRecovered!G:G)</f>
        <v>0</v>
      </c>
      <c r="E26">
        <f>SUMIF(RawDataRecovered!$B:$B,$A26,RawDataRecovered!H:H)</f>
        <v>0</v>
      </c>
      <c r="F26">
        <f>SUMIF(RawDataRecovered!$B:$B,$A26,RawDataRecovered!I:I)</f>
        <v>0</v>
      </c>
      <c r="G26">
        <f>SUMIF(RawDataRecovered!$B:$B,$A26,RawDataRecovered!J:J)</f>
        <v>0</v>
      </c>
      <c r="H26">
        <f>SUMIF(RawDataRecovered!$B:$B,$A26,RawDataRecovered!K:K)</f>
        <v>0</v>
      </c>
      <c r="I26">
        <f>SUMIF(RawDataRecovered!$B:$B,$A26,RawDataRecovered!L:L)</f>
        <v>0</v>
      </c>
      <c r="J26">
        <f>SUMIF(RawDataRecovered!$B:$B,$A26,RawDataRecovered!M:M)</f>
        <v>0</v>
      </c>
      <c r="K26">
        <f>SUMIF(RawDataRecovered!$B:$B,$A26,RawDataRecovered!N:N)</f>
        <v>0</v>
      </c>
      <c r="L26">
        <f>SUMIF(RawDataRecovered!$B:$B,$A26,RawDataRecovered!O:O)</f>
        <v>0</v>
      </c>
      <c r="M26">
        <f>SUMIF(RawDataRecovered!$B:$B,$A26,RawDataRecovered!P:P)</f>
        <v>0</v>
      </c>
      <c r="N26">
        <f>SUMIF(RawDataRecovered!$B:$B,$A26,RawDataRecovered!Q:Q)</f>
        <v>0</v>
      </c>
      <c r="O26">
        <f>SUMIF(RawDataRecovered!$B:$B,$A26,RawDataRecovered!R:R)</f>
        <v>0</v>
      </c>
      <c r="P26">
        <f>SUMIF(RawDataRecovered!$B:$B,$A26,RawDataRecovered!S:S)</f>
        <v>0</v>
      </c>
      <c r="Q26">
        <f>SUMIF(RawDataRecovered!$B:$B,$A26,RawDataRecovered!T:T)</f>
        <v>0</v>
      </c>
      <c r="R26">
        <f>SUMIF(RawDataRecovered!$B:$B,$A26,RawDataRecovered!U:U)</f>
        <v>0</v>
      </c>
      <c r="S26">
        <f>SUMIF(RawDataRecovered!$B:$B,$A26,RawDataRecovered!V:V)</f>
        <v>0</v>
      </c>
      <c r="T26">
        <f>SUMIF(RawDataRecovered!$B:$B,$A26,RawDataRecovered!W:W)</f>
        <v>0</v>
      </c>
      <c r="U26">
        <f>SUMIF(RawDataRecovered!$B:$B,$A26,RawDataRecovered!X:X)</f>
        <v>0</v>
      </c>
      <c r="V26">
        <f>SUMIF(RawDataRecovered!$B:$B,$A26,RawDataRecovered!Y:Y)</f>
        <v>0</v>
      </c>
      <c r="W26">
        <f>SUMIF(RawDataRecovered!$B:$B,$A26,RawDataRecovered!Z:Z)</f>
        <v>0</v>
      </c>
      <c r="X26">
        <f>SUMIF(RawDataRecovered!$B:$B,$A26,RawDataRecovered!AA:AA)</f>
        <v>0</v>
      </c>
      <c r="Y26">
        <f>SUMIF(RawDataRecovered!$B:$B,$A26,RawDataRecovered!AB:AB)</f>
        <v>0</v>
      </c>
      <c r="Z26">
        <f>SUMIF(RawDataRecovered!$B:$B,$A26,RawDataRecovered!AC:AC)</f>
        <v>0</v>
      </c>
      <c r="AA26">
        <f>SUMIF(RawDataRecovered!$B:$B,$A26,RawDataRecovered!AD:AD)</f>
        <v>0</v>
      </c>
      <c r="AB26">
        <f>SUMIF(RawDataRecovered!$B:$B,$A26,RawDataRecovered!AE:AE)</f>
        <v>0</v>
      </c>
      <c r="AC26">
        <f>SUMIF(RawDataRecovered!$B:$B,$A26,RawDataRecovered!AF:AF)</f>
        <v>0</v>
      </c>
      <c r="AD26">
        <f>SUMIF(RawDataRecovered!$B:$B,$A26,RawDataRecovered!AG:AG)</f>
        <v>0</v>
      </c>
      <c r="AE26">
        <f>SUMIF(RawDataRecovered!$B:$B,$A26,RawDataRecovered!AH:AH)</f>
        <v>0</v>
      </c>
      <c r="AF26">
        <f>SUMIF(RawDataRecovered!$B:$B,$A26,RawDataRecovered!AI:AI)</f>
        <v>0</v>
      </c>
      <c r="AG26">
        <f>SUMIF(RawDataRecovered!$B:$B,$A26,RawDataRecovered!AJ:AJ)</f>
        <v>0</v>
      </c>
      <c r="AH26">
        <f>SUMIF(RawDataRecovered!$B:$B,$A26,RawDataRecovered!AK:AK)</f>
        <v>0</v>
      </c>
      <c r="AI26">
        <f>SUMIF(RawDataRecovered!$B:$B,$A26,RawDataRecovered!AL:AL)</f>
        <v>0</v>
      </c>
      <c r="AJ26">
        <f>SUMIF(RawDataRecovered!$B:$B,$A26,RawDataRecovered!AM:AM)</f>
        <v>0</v>
      </c>
      <c r="AK26">
        <f>SUMIF(RawDataRecovered!$B:$B,$A26,RawDataRecovered!AN:AN)</f>
        <v>0</v>
      </c>
      <c r="AL26">
        <f>SUMIF(RawDataRecovered!$B:$B,$A26,RawDataRecovered!AO:AO)</f>
        <v>0</v>
      </c>
      <c r="AM26">
        <f>SUMIF(RawDataRecovered!$B:$B,$A26,RawDataRecovered!AP:AP)</f>
        <v>0</v>
      </c>
      <c r="AN26">
        <f>SUMIF(RawDataRecovered!$B:$B,$A26,RawDataRecovered!AQ:AQ)</f>
        <v>0</v>
      </c>
      <c r="AO26">
        <f>SUMIF(RawDataRecovered!$B:$B,$A26,RawDataRecovered!AR:AR)</f>
        <v>0</v>
      </c>
      <c r="AP26">
        <f>SUMIF(RawDataRecovered!$B:$B,$A26,RawDataRecovered!AS:AS)</f>
        <v>0</v>
      </c>
      <c r="AQ26">
        <f>SUMIF(RawDataRecovered!$B:$B,$A26,RawDataRecovered!AT:AT)</f>
        <v>0</v>
      </c>
      <c r="AR26">
        <f>SUMIF(RawDataRecovered!$B:$B,$A26,RawDataRecovered!AU:AU)</f>
        <v>0</v>
      </c>
      <c r="AS26">
        <f>SUMIF(RawDataRecovered!$B:$B,$A26,RawDataRecovered!AV:AV)</f>
        <v>0</v>
      </c>
      <c r="AT26">
        <f>SUMIF(RawDataRecovered!$B:$B,$A26,RawDataRecovered!AW:AW)</f>
        <v>4</v>
      </c>
      <c r="AU26">
        <f>SUMIF(RawDataRecovered!$B:$B,$A26,RawDataRecovered!AX:AX)</f>
        <v>4</v>
      </c>
      <c r="AV26">
        <f>SUMIF(RawDataRecovered!$B:$B,$A26,RawDataRecovered!AY:AY)</f>
        <v>4</v>
      </c>
      <c r="AW26">
        <f>SUMIF(RawDataRecovered!$B:$B,$A26,RawDataRecovered!AZ:AZ)</f>
        <v>14</v>
      </c>
      <c r="AX26">
        <f>SUMIF(RawDataRecovered!$B:$B,$A26,RawDataRecovered!BA:BA)</f>
        <v>22</v>
      </c>
      <c r="AY26">
        <f>SUMIF(RawDataRecovered!$B:$B,$A26,RawDataRecovered!BB:BB)</f>
        <v>35</v>
      </c>
      <c r="AZ26">
        <f>SUMIF(RawDataRecovered!$B:$B,$A26,RawDataRecovered!BC:BC)</f>
        <v>35</v>
      </c>
      <c r="BA26">
        <f>SUMIF(RawDataRecovered!$B:$B,$A26,RawDataRecovered!BD:BD)</f>
        <v>44</v>
      </c>
      <c r="BB26">
        <f>SUMIF(RawDataRecovered!$B:$B,$A26,RawDataRecovered!BE:BE)</f>
        <v>44</v>
      </c>
      <c r="BC26">
        <f>SUMIF(RawDataRecovered!$B:$B,$A26,RawDataRecovered!BF:BF)</f>
        <v>60</v>
      </c>
      <c r="BD26">
        <f>SUMIF(RawDataRecovered!$B:$B,$A26,RawDataRecovered!BG:BG)</f>
        <v>77</v>
      </c>
      <c r="BE26">
        <f>SUMIF(RawDataRecovered!$B:$B,$A26,RawDataRecovered!BH:BH)</f>
        <v>81</v>
      </c>
      <c r="BF26">
        <f>SUMIF(RawDataRecovered!$B:$B,$A26,RawDataRecovered!BI:BI)</f>
        <v>0</v>
      </c>
      <c r="BG26">
        <f>SUMIF(RawDataRecovered!$B:$B,$A26,RawDataRecovered!BJ:BJ)</f>
        <v>0</v>
      </c>
      <c r="BH26">
        <f>SUMIF(RawDataRecovered!$B:$B,$A26,RawDataRecovered!BK:BK)</f>
        <v>0</v>
      </c>
      <c r="BI26">
        <f>SUMIF(RawDataRecovered!$B:$B,$A26,RawDataRecovered!BL:BL)</f>
        <v>0</v>
      </c>
      <c r="BJ26">
        <f>SUMIF(RawDataRecovered!$B:$B,$A26,RawDataRecovered!BM:BM)</f>
        <v>0</v>
      </c>
      <c r="BK26">
        <f>SUMIF(RawDataRecovered!$B:$B,$A26,RawDataRecovered!BN:BN)</f>
        <v>0</v>
      </c>
      <c r="BL26">
        <f>SUMIF(RawDataRecovered!$B:$B,$A26,RawDataRecovered!BO:BO)</f>
        <v>0</v>
      </c>
      <c r="BM26">
        <f>SUMIF(RawDataRecovered!$B:$B,$A26,RawDataRecovered!BP:BP)</f>
        <v>0</v>
      </c>
      <c r="BN26">
        <f>SUMIF(RawDataRecovered!$B:$B,$A26,RawDataRecovered!BQ:BQ)</f>
        <v>0</v>
      </c>
      <c r="BO26">
        <f>SUMIF(RawDataRecovered!$B:$B,$A26,RawDataRecovered!BR:BR)</f>
        <v>0</v>
      </c>
      <c r="BP26">
        <f>SUMIF(RawDataRecovered!$B:$B,$A26,RawDataRecovered!BS:BS)</f>
        <v>0</v>
      </c>
      <c r="BQ26">
        <f>SUMIF(RawDataRecovered!$B:$B,$A26,RawDataRecovered!BT:BT)</f>
        <v>0</v>
      </c>
      <c r="BR26">
        <f>SUMIF(RawDataRecovered!$B:$B,$A26,RawDataRecovered!BU:BU)</f>
        <v>0</v>
      </c>
      <c r="BS26">
        <f>SUMIF(RawDataRecovered!$B:$B,$A26,RawDataRecovered!BV:BV)</f>
        <v>0</v>
      </c>
      <c r="BT26">
        <f>SUMIF(RawDataRecovered!$B:$B,$A26,RawDataRecovered!BW:BW)</f>
        <v>0</v>
      </c>
    </row>
    <row r="27" spans="1:72" ht="15" thickBot="1" x14ac:dyDescent="0.35">
      <c r="A27" s="4" t="s">
        <v>106</v>
      </c>
      <c r="B27">
        <f>SUMIF(RawDataRecovered!$B:$B,$A27,RawDataRecovered!E:E)</f>
        <v>0</v>
      </c>
      <c r="C27">
        <f>SUMIF(RawDataRecovered!$B:$B,$A27,RawDataRecovered!F:F)</f>
        <v>0</v>
      </c>
      <c r="D27">
        <f>SUMIF(RawDataRecovered!$B:$B,$A27,RawDataRecovered!G:G)</f>
        <v>0</v>
      </c>
      <c r="E27">
        <f>SUMIF(RawDataRecovered!$B:$B,$A27,RawDataRecovered!H:H)</f>
        <v>0</v>
      </c>
      <c r="F27">
        <f>SUMIF(RawDataRecovered!$B:$B,$A27,RawDataRecovered!I:I)</f>
        <v>0</v>
      </c>
      <c r="G27">
        <f>SUMIF(RawDataRecovered!$B:$B,$A27,RawDataRecovered!J:J)</f>
        <v>0</v>
      </c>
      <c r="H27">
        <f>SUMIF(RawDataRecovered!$B:$B,$A27,RawDataRecovered!K:K)</f>
        <v>0</v>
      </c>
      <c r="I27">
        <f>SUMIF(RawDataRecovered!$B:$B,$A27,RawDataRecovered!L:L)</f>
        <v>0</v>
      </c>
      <c r="J27">
        <f>SUMIF(RawDataRecovered!$B:$B,$A27,RawDataRecovered!M:M)</f>
        <v>0</v>
      </c>
      <c r="K27">
        <f>SUMIF(RawDataRecovered!$B:$B,$A27,RawDataRecovered!N:N)</f>
        <v>0</v>
      </c>
      <c r="L27">
        <f>SUMIF(RawDataRecovered!$B:$B,$A27,RawDataRecovered!O:O)</f>
        <v>0</v>
      </c>
      <c r="M27">
        <f>SUMIF(RawDataRecovered!$B:$B,$A27,RawDataRecovered!P:P)</f>
        <v>0</v>
      </c>
      <c r="N27">
        <f>SUMIF(RawDataRecovered!$B:$B,$A27,RawDataRecovered!Q:Q)</f>
        <v>0</v>
      </c>
      <c r="O27">
        <f>SUMIF(RawDataRecovered!$B:$B,$A27,RawDataRecovered!R:R)</f>
        <v>0</v>
      </c>
      <c r="P27">
        <f>SUMIF(RawDataRecovered!$B:$B,$A27,RawDataRecovered!S:S)</f>
        <v>0</v>
      </c>
      <c r="Q27">
        <f>SUMIF(RawDataRecovered!$B:$B,$A27,RawDataRecovered!T:T)</f>
        <v>0</v>
      </c>
      <c r="R27">
        <f>SUMIF(RawDataRecovered!$B:$B,$A27,RawDataRecovered!U:U)</f>
        <v>0</v>
      </c>
      <c r="S27">
        <f>SUMIF(RawDataRecovered!$B:$B,$A27,RawDataRecovered!V:V)</f>
        <v>0</v>
      </c>
      <c r="T27">
        <f>SUMIF(RawDataRecovered!$B:$B,$A27,RawDataRecovered!W:W)</f>
        <v>0</v>
      </c>
      <c r="U27">
        <f>SUMIF(RawDataRecovered!$B:$B,$A27,RawDataRecovered!X:X)</f>
        <v>0</v>
      </c>
      <c r="V27">
        <f>SUMIF(RawDataRecovered!$B:$B,$A27,RawDataRecovered!Y:Y)</f>
        <v>0</v>
      </c>
      <c r="W27">
        <f>SUMIF(RawDataRecovered!$B:$B,$A27,RawDataRecovered!Z:Z)</f>
        <v>0</v>
      </c>
      <c r="X27">
        <f>SUMIF(RawDataRecovered!$B:$B,$A27,RawDataRecovered!AA:AA)</f>
        <v>0</v>
      </c>
      <c r="Y27">
        <f>SUMIF(RawDataRecovered!$B:$B,$A27,RawDataRecovered!AB:AB)</f>
        <v>0</v>
      </c>
      <c r="Z27">
        <f>SUMIF(RawDataRecovered!$B:$B,$A27,RawDataRecovered!AC:AC)</f>
        <v>0</v>
      </c>
      <c r="AA27">
        <f>SUMIF(RawDataRecovered!$B:$B,$A27,RawDataRecovered!AD:AD)</f>
        <v>0</v>
      </c>
      <c r="AB27">
        <f>SUMIF(RawDataRecovered!$B:$B,$A27,RawDataRecovered!AE:AE)</f>
        <v>0</v>
      </c>
      <c r="AC27">
        <f>SUMIF(RawDataRecovered!$B:$B,$A27,RawDataRecovered!AF:AF)</f>
        <v>0</v>
      </c>
      <c r="AD27">
        <f>SUMIF(RawDataRecovered!$B:$B,$A27,RawDataRecovered!AG:AG)</f>
        <v>0</v>
      </c>
      <c r="AE27">
        <f>SUMIF(RawDataRecovered!$B:$B,$A27,RawDataRecovered!AH:AH)</f>
        <v>0</v>
      </c>
      <c r="AF27">
        <f>SUMIF(RawDataRecovered!$B:$B,$A27,RawDataRecovered!AI:AI)</f>
        <v>0</v>
      </c>
      <c r="AG27">
        <f>SUMIF(RawDataRecovered!$B:$B,$A27,RawDataRecovered!AJ:AJ)</f>
        <v>0</v>
      </c>
      <c r="AH27">
        <f>SUMIF(RawDataRecovered!$B:$B,$A27,RawDataRecovered!AK:AK)</f>
        <v>0</v>
      </c>
      <c r="AI27">
        <f>SUMIF(RawDataRecovered!$B:$B,$A27,RawDataRecovered!AL:AL)</f>
        <v>0</v>
      </c>
      <c r="AJ27">
        <f>SUMIF(RawDataRecovered!$B:$B,$A27,RawDataRecovered!AM:AM)</f>
        <v>0</v>
      </c>
      <c r="AK27">
        <f>SUMIF(RawDataRecovered!$B:$B,$A27,RawDataRecovered!AN:AN)</f>
        <v>0</v>
      </c>
      <c r="AL27">
        <f>SUMIF(RawDataRecovered!$B:$B,$A27,RawDataRecovered!AO:AO)</f>
        <v>1</v>
      </c>
      <c r="AM27">
        <f>SUMIF(RawDataRecovered!$B:$B,$A27,RawDataRecovered!AP:AP)</f>
        <v>1</v>
      </c>
      <c r="AN27">
        <f>SUMIF(RawDataRecovered!$B:$B,$A27,RawDataRecovered!AQ:AQ)</f>
        <v>1</v>
      </c>
      <c r="AO27">
        <f>SUMIF(RawDataRecovered!$B:$B,$A27,RawDataRecovered!AR:AR)</f>
        <v>1</v>
      </c>
      <c r="AP27">
        <f>SUMIF(RawDataRecovered!$B:$B,$A27,RawDataRecovered!AS:AS)</f>
        <v>1</v>
      </c>
      <c r="AQ27">
        <f>SUMIF(RawDataRecovered!$B:$B,$A27,RawDataRecovered!AT:AT)</f>
        <v>1</v>
      </c>
      <c r="AR27">
        <f>SUMIF(RawDataRecovered!$B:$B,$A27,RawDataRecovered!AU:AU)</f>
        <v>1</v>
      </c>
      <c r="AS27">
        <f>SUMIF(RawDataRecovered!$B:$B,$A27,RawDataRecovered!AV:AV)</f>
        <v>1</v>
      </c>
      <c r="AT27">
        <f>SUMIF(RawDataRecovered!$B:$B,$A27,RawDataRecovered!AW:AW)</f>
        <v>2</v>
      </c>
      <c r="AU27">
        <f>SUMIF(RawDataRecovered!$B:$B,$A27,RawDataRecovered!AX:AX)</f>
        <v>2</v>
      </c>
      <c r="AV27">
        <f>SUMIF(RawDataRecovered!$B:$B,$A27,RawDataRecovered!AY:AY)</f>
        <v>2</v>
      </c>
      <c r="AW27">
        <f>SUMIF(RawDataRecovered!$B:$B,$A27,RawDataRecovered!AZ:AZ)</f>
        <v>2</v>
      </c>
      <c r="AX27">
        <f>SUMIF(RawDataRecovered!$B:$B,$A27,RawDataRecovered!BA:BA)</f>
        <v>4</v>
      </c>
      <c r="AY27">
        <f>SUMIF(RawDataRecovered!$B:$B,$A27,RawDataRecovered!BB:BB)</f>
        <v>4</v>
      </c>
      <c r="AZ27">
        <f>SUMIF(RawDataRecovered!$B:$B,$A27,RawDataRecovered!BC:BC)</f>
        <v>4</v>
      </c>
      <c r="BA27">
        <f>SUMIF(RawDataRecovered!$B:$B,$A27,RawDataRecovered!BD:BD)</f>
        <v>4</v>
      </c>
      <c r="BB27">
        <f>SUMIF(RawDataRecovered!$B:$B,$A27,RawDataRecovered!BE:BE)</f>
        <v>4</v>
      </c>
      <c r="BC27">
        <f>SUMIF(RawDataRecovered!$B:$B,$A27,RawDataRecovered!BF:BF)</f>
        <v>4</v>
      </c>
      <c r="BD27">
        <f>SUMIF(RawDataRecovered!$B:$B,$A27,RawDataRecovered!BG:BG)</f>
        <v>4</v>
      </c>
      <c r="BE27">
        <f>SUMIF(RawDataRecovered!$B:$B,$A27,RawDataRecovered!BH:BH)</f>
        <v>11</v>
      </c>
      <c r="BF27">
        <f>SUMIF(RawDataRecovered!$B:$B,$A27,RawDataRecovered!BI:BI)</f>
        <v>0</v>
      </c>
      <c r="BG27">
        <f>SUMIF(RawDataRecovered!$B:$B,$A27,RawDataRecovered!BJ:BJ)</f>
        <v>0</v>
      </c>
      <c r="BH27">
        <f>SUMIF(RawDataRecovered!$B:$B,$A27,RawDataRecovered!BK:BK)</f>
        <v>0</v>
      </c>
      <c r="BI27">
        <f>SUMIF(RawDataRecovered!$B:$B,$A27,RawDataRecovered!BL:BL)</f>
        <v>0</v>
      </c>
      <c r="BJ27">
        <f>SUMIF(RawDataRecovered!$B:$B,$A27,RawDataRecovered!BM:BM)</f>
        <v>0</v>
      </c>
      <c r="BK27">
        <f>SUMIF(RawDataRecovered!$B:$B,$A27,RawDataRecovered!BN:BN)</f>
        <v>0</v>
      </c>
      <c r="BL27">
        <f>SUMIF(RawDataRecovered!$B:$B,$A27,RawDataRecovered!BO:BO)</f>
        <v>0</v>
      </c>
      <c r="BM27">
        <f>SUMIF(RawDataRecovered!$B:$B,$A27,RawDataRecovered!BP:BP)</f>
        <v>0</v>
      </c>
      <c r="BN27">
        <f>SUMIF(RawDataRecovered!$B:$B,$A27,RawDataRecovered!BQ:BQ)</f>
        <v>0</v>
      </c>
      <c r="BO27">
        <f>SUMIF(RawDataRecovered!$B:$B,$A27,RawDataRecovered!BR:BR)</f>
        <v>0</v>
      </c>
      <c r="BP27">
        <f>SUMIF(RawDataRecovered!$B:$B,$A27,RawDataRecovered!BS:BS)</f>
        <v>0</v>
      </c>
      <c r="BQ27">
        <f>SUMIF(RawDataRecovered!$B:$B,$A27,RawDataRecovered!BT:BT)</f>
        <v>0</v>
      </c>
      <c r="BR27">
        <f>SUMIF(RawDataRecovered!$B:$B,$A27,RawDataRecovered!BU:BU)</f>
        <v>0</v>
      </c>
      <c r="BS27">
        <f>SUMIF(RawDataRecovered!$B:$B,$A27,RawDataRecovered!BV:BV)</f>
        <v>0</v>
      </c>
      <c r="BT27">
        <f>SUMIF(RawDataRecovered!$B:$B,$A27,RawDataRecovered!BW:BW)</f>
        <v>0</v>
      </c>
    </row>
    <row r="28" spans="1:72" ht="15" thickBot="1" x14ac:dyDescent="0.35">
      <c r="A28" s="3" t="s">
        <v>81</v>
      </c>
      <c r="B28">
        <f>SUMIF(RawDataRecovered!$B:$B,$A28,RawDataRecovered!E:E)</f>
        <v>0</v>
      </c>
      <c r="C28">
        <f>SUMIF(RawDataRecovered!$B:$B,$A28,RawDataRecovered!F:F)</f>
        <v>0</v>
      </c>
      <c r="D28">
        <f>SUMIF(RawDataRecovered!$B:$B,$A28,RawDataRecovered!G:G)</f>
        <v>0</v>
      </c>
      <c r="E28">
        <f>SUMIF(RawDataRecovered!$B:$B,$A28,RawDataRecovered!H:H)</f>
        <v>0</v>
      </c>
      <c r="F28">
        <f>SUMIF(RawDataRecovered!$B:$B,$A28,RawDataRecovered!I:I)</f>
        <v>0</v>
      </c>
      <c r="G28">
        <f>SUMIF(RawDataRecovered!$B:$B,$A28,RawDataRecovered!J:J)</f>
        <v>0</v>
      </c>
      <c r="H28">
        <f>SUMIF(RawDataRecovered!$B:$B,$A28,RawDataRecovered!K:K)</f>
        <v>0</v>
      </c>
      <c r="I28">
        <f>SUMIF(RawDataRecovered!$B:$B,$A28,RawDataRecovered!L:L)</f>
        <v>0</v>
      </c>
      <c r="J28">
        <f>SUMIF(RawDataRecovered!$B:$B,$A28,RawDataRecovered!M:M)</f>
        <v>0</v>
      </c>
      <c r="K28">
        <f>SUMIF(RawDataRecovered!$B:$B,$A28,RawDataRecovered!N:N)</f>
        <v>0</v>
      </c>
      <c r="L28">
        <f>SUMIF(RawDataRecovered!$B:$B,$A28,RawDataRecovered!O:O)</f>
        <v>0</v>
      </c>
      <c r="M28">
        <f>SUMIF(RawDataRecovered!$B:$B,$A28,RawDataRecovered!P:P)</f>
        <v>0</v>
      </c>
      <c r="N28">
        <f>SUMIF(RawDataRecovered!$B:$B,$A28,RawDataRecovered!Q:Q)</f>
        <v>0</v>
      </c>
      <c r="O28">
        <f>SUMIF(RawDataRecovered!$B:$B,$A28,RawDataRecovered!R:R)</f>
        <v>0</v>
      </c>
      <c r="P28">
        <f>SUMIF(RawDataRecovered!$B:$B,$A28,RawDataRecovered!S:S)</f>
        <v>0</v>
      </c>
      <c r="Q28">
        <f>SUMIF(RawDataRecovered!$B:$B,$A28,RawDataRecovered!T:T)</f>
        <v>0</v>
      </c>
      <c r="R28">
        <f>SUMIF(RawDataRecovered!$B:$B,$A28,RawDataRecovered!U:U)</f>
        <v>0</v>
      </c>
      <c r="S28">
        <f>SUMIF(RawDataRecovered!$B:$B,$A28,RawDataRecovered!V:V)</f>
        <v>0</v>
      </c>
      <c r="T28">
        <f>SUMIF(RawDataRecovered!$B:$B,$A28,RawDataRecovered!W:W)</f>
        <v>0</v>
      </c>
      <c r="U28">
        <f>SUMIF(RawDataRecovered!$B:$B,$A28,RawDataRecovered!X:X)</f>
        <v>0</v>
      </c>
      <c r="V28">
        <f>SUMIF(RawDataRecovered!$B:$B,$A28,RawDataRecovered!Y:Y)</f>
        <v>0</v>
      </c>
      <c r="W28">
        <f>SUMIF(RawDataRecovered!$B:$B,$A28,RawDataRecovered!Z:Z)</f>
        <v>1</v>
      </c>
      <c r="X28">
        <f>SUMIF(RawDataRecovered!$B:$B,$A28,RawDataRecovered!AA:AA)</f>
        <v>1</v>
      </c>
      <c r="Y28">
        <f>SUMIF(RawDataRecovered!$B:$B,$A28,RawDataRecovered!AB:AB)</f>
        <v>1</v>
      </c>
      <c r="Z28">
        <f>SUMIF(RawDataRecovered!$B:$B,$A28,RawDataRecovered!AC:AC)</f>
        <v>1</v>
      </c>
      <c r="AA28">
        <f>SUMIF(RawDataRecovered!$B:$B,$A28,RawDataRecovered!AD:AD)</f>
        <v>1</v>
      </c>
      <c r="AB28">
        <f>SUMIF(RawDataRecovered!$B:$B,$A28,RawDataRecovered!AE:AE)</f>
        <v>1</v>
      </c>
      <c r="AC28">
        <f>SUMIF(RawDataRecovered!$B:$B,$A28,RawDataRecovered!AF:AF)</f>
        <v>1</v>
      </c>
      <c r="AD28">
        <f>SUMIF(RawDataRecovered!$B:$B,$A28,RawDataRecovered!AG:AG)</f>
        <v>1</v>
      </c>
      <c r="AE28">
        <f>SUMIF(RawDataRecovered!$B:$B,$A28,RawDataRecovered!AH:AH)</f>
        <v>1</v>
      </c>
      <c r="AF28">
        <f>SUMIF(RawDataRecovered!$B:$B,$A28,RawDataRecovered!AI:AI)</f>
        <v>1</v>
      </c>
      <c r="AG28">
        <f>SUMIF(RawDataRecovered!$B:$B,$A28,RawDataRecovered!AJ:AJ)</f>
        <v>1</v>
      </c>
      <c r="AH28">
        <f>SUMIF(RawDataRecovered!$B:$B,$A28,RawDataRecovered!AK:AK)</f>
        <v>1</v>
      </c>
      <c r="AI28">
        <f>SUMIF(RawDataRecovered!$B:$B,$A28,RawDataRecovered!AL:AL)</f>
        <v>1</v>
      </c>
      <c r="AJ28">
        <f>SUMIF(RawDataRecovered!$B:$B,$A28,RawDataRecovered!AM:AM)</f>
        <v>1</v>
      </c>
      <c r="AK28">
        <f>SUMIF(RawDataRecovered!$B:$B,$A28,RawDataRecovered!AN:AN)</f>
        <v>1</v>
      </c>
      <c r="AL28">
        <f>SUMIF(RawDataRecovered!$B:$B,$A28,RawDataRecovered!AO:AO)</f>
        <v>1</v>
      </c>
      <c r="AM28">
        <f>SUMIF(RawDataRecovered!$B:$B,$A28,RawDataRecovered!AP:AP)</f>
        <v>1</v>
      </c>
      <c r="AN28">
        <f>SUMIF(RawDataRecovered!$B:$B,$A28,RawDataRecovered!AQ:AQ)</f>
        <v>1</v>
      </c>
      <c r="AO28">
        <f>SUMIF(RawDataRecovered!$B:$B,$A28,RawDataRecovered!AR:AR)</f>
        <v>1</v>
      </c>
      <c r="AP28">
        <f>SUMIF(RawDataRecovered!$B:$B,$A28,RawDataRecovered!AS:AS)</f>
        <v>1</v>
      </c>
      <c r="AQ28">
        <f>SUMIF(RawDataRecovered!$B:$B,$A28,RawDataRecovered!AT:AT)</f>
        <v>1</v>
      </c>
      <c r="AR28">
        <f>SUMIF(RawDataRecovered!$B:$B,$A28,RawDataRecovered!AU:AU)</f>
        <v>1</v>
      </c>
      <c r="AS28">
        <f>SUMIF(RawDataRecovered!$B:$B,$A28,RawDataRecovered!AV:AV)</f>
        <v>1</v>
      </c>
      <c r="AT28">
        <f>SUMIF(RawDataRecovered!$B:$B,$A28,RawDataRecovered!AW:AW)</f>
        <v>1</v>
      </c>
      <c r="AU28">
        <f>SUMIF(RawDataRecovered!$B:$B,$A28,RawDataRecovered!AX:AX)</f>
        <v>1</v>
      </c>
      <c r="AV28">
        <f>SUMIF(RawDataRecovered!$B:$B,$A28,RawDataRecovered!AY:AY)</f>
        <v>1</v>
      </c>
      <c r="AW28">
        <f>SUMIF(RawDataRecovered!$B:$B,$A28,RawDataRecovered!AZ:AZ)</f>
        <v>1</v>
      </c>
      <c r="AX28">
        <f>SUMIF(RawDataRecovered!$B:$B,$A28,RawDataRecovered!BA:BA)</f>
        <v>1</v>
      </c>
      <c r="AY28">
        <f>SUMIF(RawDataRecovered!$B:$B,$A28,RawDataRecovered!BB:BB)</f>
        <v>1</v>
      </c>
      <c r="AZ28">
        <f>SUMIF(RawDataRecovered!$B:$B,$A28,RawDataRecovered!BC:BC)</f>
        <v>1</v>
      </c>
      <c r="BA28">
        <f>SUMIF(RawDataRecovered!$B:$B,$A28,RawDataRecovered!BD:BD)</f>
        <v>1</v>
      </c>
      <c r="BB28">
        <f>SUMIF(RawDataRecovered!$B:$B,$A28,RawDataRecovered!BE:BE)</f>
        <v>1</v>
      </c>
      <c r="BC28">
        <f>SUMIF(RawDataRecovered!$B:$B,$A28,RawDataRecovered!BF:BF)</f>
        <v>10</v>
      </c>
      <c r="BD28">
        <f>SUMIF(RawDataRecovered!$B:$B,$A28,RawDataRecovered!BG:BG)</f>
        <v>10</v>
      </c>
      <c r="BE28">
        <f>SUMIF(RawDataRecovered!$B:$B,$A28,RawDataRecovered!BH:BH)</f>
        <v>10</v>
      </c>
      <c r="BF28">
        <f>SUMIF(RawDataRecovered!$B:$B,$A28,RawDataRecovered!BI:BI)</f>
        <v>0</v>
      </c>
      <c r="BG28">
        <f>SUMIF(RawDataRecovered!$B:$B,$A28,RawDataRecovered!BJ:BJ)</f>
        <v>0</v>
      </c>
      <c r="BH28">
        <f>SUMIF(RawDataRecovered!$B:$B,$A28,RawDataRecovered!BK:BK)</f>
        <v>0</v>
      </c>
      <c r="BI28">
        <f>SUMIF(RawDataRecovered!$B:$B,$A28,RawDataRecovered!BL:BL)</f>
        <v>0</v>
      </c>
      <c r="BJ28">
        <f>SUMIF(RawDataRecovered!$B:$B,$A28,RawDataRecovered!BM:BM)</f>
        <v>0</v>
      </c>
      <c r="BK28">
        <f>SUMIF(RawDataRecovered!$B:$B,$A28,RawDataRecovered!BN:BN)</f>
        <v>0</v>
      </c>
      <c r="BL28">
        <f>SUMIF(RawDataRecovered!$B:$B,$A28,RawDataRecovered!BO:BO)</f>
        <v>0</v>
      </c>
      <c r="BM28">
        <f>SUMIF(RawDataRecovered!$B:$B,$A28,RawDataRecovered!BP:BP)</f>
        <v>0</v>
      </c>
      <c r="BN28">
        <f>SUMIF(RawDataRecovered!$B:$B,$A28,RawDataRecovered!BQ:BQ)</f>
        <v>0</v>
      </c>
      <c r="BO28">
        <f>SUMIF(RawDataRecovered!$B:$B,$A28,RawDataRecovered!BR:BR)</f>
        <v>0</v>
      </c>
      <c r="BP28">
        <f>SUMIF(RawDataRecovered!$B:$B,$A28,RawDataRecovered!BS:BS)</f>
        <v>0</v>
      </c>
      <c r="BQ28">
        <f>SUMIF(RawDataRecovered!$B:$B,$A28,RawDataRecovered!BT:BT)</f>
        <v>0</v>
      </c>
      <c r="BR28">
        <f>SUMIF(RawDataRecovered!$B:$B,$A28,RawDataRecovered!BU:BU)</f>
        <v>0</v>
      </c>
      <c r="BS28">
        <f>SUMIF(RawDataRecovered!$B:$B,$A28,RawDataRecovered!BV:BV)</f>
        <v>0</v>
      </c>
      <c r="BT28">
        <f>SUMIF(RawDataRecovered!$B:$B,$A28,RawDataRecovered!BW:BW)</f>
        <v>0</v>
      </c>
    </row>
    <row r="29" spans="1:72" ht="15" thickBot="1" x14ac:dyDescent="0.35">
      <c r="A29" s="4" t="s">
        <v>108</v>
      </c>
      <c r="B29">
        <f>SUMIF(RawDataRecovered!$B:$B,$A29,RawDataRecovered!E:E)</f>
        <v>0</v>
      </c>
      <c r="C29">
        <f>SUMIF(RawDataRecovered!$B:$B,$A29,RawDataRecovered!F:F)</f>
        <v>0</v>
      </c>
      <c r="D29">
        <f>SUMIF(RawDataRecovered!$B:$B,$A29,RawDataRecovered!G:G)</f>
        <v>0</v>
      </c>
      <c r="E29">
        <f>SUMIF(RawDataRecovered!$B:$B,$A29,RawDataRecovered!H:H)</f>
        <v>0</v>
      </c>
      <c r="F29">
        <f>SUMIF(RawDataRecovered!$B:$B,$A29,RawDataRecovered!I:I)</f>
        <v>0</v>
      </c>
      <c r="G29">
        <f>SUMIF(RawDataRecovered!$B:$B,$A29,RawDataRecovered!J:J)</f>
        <v>0</v>
      </c>
      <c r="H29">
        <f>SUMIF(RawDataRecovered!$B:$B,$A29,RawDataRecovered!K:K)</f>
        <v>0</v>
      </c>
      <c r="I29">
        <f>SUMIF(RawDataRecovered!$B:$B,$A29,RawDataRecovered!L:L)</f>
        <v>0</v>
      </c>
      <c r="J29">
        <f>SUMIF(RawDataRecovered!$B:$B,$A29,RawDataRecovered!M:M)</f>
        <v>0</v>
      </c>
      <c r="K29">
        <f>SUMIF(RawDataRecovered!$B:$B,$A29,RawDataRecovered!N:N)</f>
        <v>0</v>
      </c>
      <c r="L29">
        <f>SUMIF(RawDataRecovered!$B:$B,$A29,RawDataRecovered!O:O)</f>
        <v>0</v>
      </c>
      <c r="M29">
        <f>SUMIF(RawDataRecovered!$B:$B,$A29,RawDataRecovered!P:P)</f>
        <v>0</v>
      </c>
      <c r="N29">
        <f>SUMIF(RawDataRecovered!$B:$B,$A29,RawDataRecovered!Q:Q)</f>
        <v>0</v>
      </c>
      <c r="O29">
        <f>SUMIF(RawDataRecovered!$B:$B,$A29,RawDataRecovered!R:R)</f>
        <v>0</v>
      </c>
      <c r="P29">
        <f>SUMIF(RawDataRecovered!$B:$B,$A29,RawDataRecovered!S:S)</f>
        <v>0</v>
      </c>
      <c r="Q29">
        <f>SUMIF(RawDataRecovered!$B:$B,$A29,RawDataRecovered!T:T)</f>
        <v>0</v>
      </c>
      <c r="R29">
        <f>SUMIF(RawDataRecovered!$B:$B,$A29,RawDataRecovered!U:U)</f>
        <v>0</v>
      </c>
      <c r="S29">
        <f>SUMIF(RawDataRecovered!$B:$B,$A29,RawDataRecovered!V:V)</f>
        <v>0</v>
      </c>
      <c r="T29">
        <f>SUMIF(RawDataRecovered!$B:$B,$A29,RawDataRecovered!W:W)</f>
        <v>0</v>
      </c>
      <c r="U29">
        <f>SUMIF(RawDataRecovered!$B:$B,$A29,RawDataRecovered!X:X)</f>
        <v>0</v>
      </c>
      <c r="V29">
        <f>SUMIF(RawDataRecovered!$B:$B,$A29,RawDataRecovered!Y:Y)</f>
        <v>0</v>
      </c>
      <c r="W29">
        <f>SUMIF(RawDataRecovered!$B:$B,$A29,RawDataRecovered!Z:Z)</f>
        <v>0</v>
      </c>
      <c r="X29">
        <f>SUMIF(RawDataRecovered!$B:$B,$A29,RawDataRecovered!AA:AA)</f>
        <v>0</v>
      </c>
      <c r="Y29">
        <f>SUMIF(RawDataRecovered!$B:$B,$A29,RawDataRecovered!AB:AB)</f>
        <v>0</v>
      </c>
      <c r="Z29">
        <f>SUMIF(RawDataRecovered!$B:$B,$A29,RawDataRecovered!AC:AC)</f>
        <v>0</v>
      </c>
      <c r="AA29">
        <f>SUMIF(RawDataRecovered!$B:$B,$A29,RawDataRecovered!AD:AD)</f>
        <v>0</v>
      </c>
      <c r="AB29">
        <f>SUMIF(RawDataRecovered!$B:$B,$A29,RawDataRecovered!AE:AE)</f>
        <v>0</v>
      </c>
      <c r="AC29">
        <f>SUMIF(RawDataRecovered!$B:$B,$A29,RawDataRecovered!AF:AF)</f>
        <v>0</v>
      </c>
      <c r="AD29">
        <f>SUMIF(RawDataRecovered!$B:$B,$A29,RawDataRecovered!AG:AG)</f>
        <v>0</v>
      </c>
      <c r="AE29">
        <f>SUMIF(RawDataRecovered!$B:$B,$A29,RawDataRecovered!AH:AH)</f>
        <v>0</v>
      </c>
      <c r="AF29">
        <f>SUMIF(RawDataRecovered!$B:$B,$A29,RawDataRecovered!AI:AI)</f>
        <v>0</v>
      </c>
      <c r="AG29">
        <f>SUMIF(RawDataRecovered!$B:$B,$A29,RawDataRecovered!AJ:AJ)</f>
        <v>0</v>
      </c>
      <c r="AH29">
        <f>SUMIF(RawDataRecovered!$B:$B,$A29,RawDataRecovered!AK:AK)</f>
        <v>0</v>
      </c>
      <c r="AI29">
        <f>SUMIF(RawDataRecovered!$B:$B,$A29,RawDataRecovered!AL:AL)</f>
        <v>0</v>
      </c>
      <c r="AJ29">
        <f>SUMIF(RawDataRecovered!$B:$B,$A29,RawDataRecovered!AM:AM)</f>
        <v>0</v>
      </c>
      <c r="AK29">
        <f>SUMIF(RawDataRecovered!$B:$B,$A29,RawDataRecovered!AN:AN)</f>
        <v>0</v>
      </c>
      <c r="AL29">
        <f>SUMIF(RawDataRecovered!$B:$B,$A29,RawDataRecovered!AO:AO)</f>
        <v>0</v>
      </c>
      <c r="AM29">
        <f>SUMIF(RawDataRecovered!$B:$B,$A29,RawDataRecovered!AP:AP)</f>
        <v>0</v>
      </c>
      <c r="AN29">
        <f>SUMIF(RawDataRecovered!$B:$B,$A29,RawDataRecovered!AQ:AQ)</f>
        <v>0</v>
      </c>
      <c r="AO29">
        <f>SUMIF(RawDataRecovered!$B:$B,$A29,RawDataRecovered!AR:AR)</f>
        <v>0</v>
      </c>
      <c r="AP29">
        <f>SUMIF(RawDataRecovered!$B:$B,$A29,RawDataRecovered!AS:AS)</f>
        <v>0</v>
      </c>
      <c r="AQ29">
        <f>SUMIF(RawDataRecovered!$B:$B,$A29,RawDataRecovered!AT:AT)</f>
        <v>0</v>
      </c>
      <c r="AR29">
        <f>SUMIF(RawDataRecovered!$B:$B,$A29,RawDataRecovered!AU:AU)</f>
        <v>0</v>
      </c>
      <c r="AS29">
        <f>SUMIF(RawDataRecovered!$B:$B,$A29,RawDataRecovered!AV:AV)</f>
        <v>0</v>
      </c>
      <c r="AT29">
        <f>SUMIF(RawDataRecovered!$B:$B,$A29,RawDataRecovered!AW:AW)</f>
        <v>0</v>
      </c>
      <c r="AU29">
        <f>SUMIF(RawDataRecovered!$B:$B,$A29,RawDataRecovered!AX:AX)</f>
        <v>0</v>
      </c>
      <c r="AV29">
        <f>SUMIF(RawDataRecovered!$B:$B,$A29,RawDataRecovered!AY:AY)</f>
        <v>0</v>
      </c>
      <c r="AW29">
        <f>SUMIF(RawDataRecovered!$B:$B,$A29,RawDataRecovered!AZ:AZ)</f>
        <v>0</v>
      </c>
      <c r="AX29">
        <f>SUMIF(RawDataRecovered!$B:$B,$A29,RawDataRecovered!BA:BA)</f>
        <v>0</v>
      </c>
      <c r="AY29">
        <f>SUMIF(RawDataRecovered!$B:$B,$A29,RawDataRecovered!BB:BB)</f>
        <v>0</v>
      </c>
      <c r="AZ29">
        <f>SUMIF(RawDataRecovered!$B:$B,$A29,RawDataRecovered!BC:BC)</f>
        <v>0</v>
      </c>
      <c r="BA29">
        <f>SUMIF(RawDataRecovered!$B:$B,$A29,RawDataRecovered!BD:BD)</f>
        <v>0</v>
      </c>
      <c r="BB29">
        <f>SUMIF(RawDataRecovered!$B:$B,$A29,RawDataRecovered!BE:BE)</f>
        <v>0</v>
      </c>
      <c r="BC29">
        <f>SUMIF(RawDataRecovered!$B:$B,$A29,RawDataRecovered!BF:BF)</f>
        <v>0</v>
      </c>
      <c r="BD29">
        <f>SUMIF(RawDataRecovered!$B:$B,$A29,RawDataRecovered!BG:BG)</f>
        <v>1</v>
      </c>
      <c r="BE29">
        <f>SUMIF(RawDataRecovered!$B:$B,$A29,RawDataRecovered!BH:BH)</f>
        <v>2</v>
      </c>
      <c r="BF29">
        <f>SUMIF(RawDataRecovered!$B:$B,$A29,RawDataRecovered!BI:BI)</f>
        <v>0</v>
      </c>
      <c r="BG29">
        <f>SUMIF(RawDataRecovered!$B:$B,$A29,RawDataRecovered!BJ:BJ)</f>
        <v>0</v>
      </c>
      <c r="BH29">
        <f>SUMIF(RawDataRecovered!$B:$B,$A29,RawDataRecovered!BK:BK)</f>
        <v>0</v>
      </c>
      <c r="BI29">
        <f>SUMIF(RawDataRecovered!$B:$B,$A29,RawDataRecovered!BL:BL)</f>
        <v>0</v>
      </c>
      <c r="BJ29">
        <f>SUMIF(RawDataRecovered!$B:$B,$A29,RawDataRecovered!BM:BM)</f>
        <v>0</v>
      </c>
      <c r="BK29">
        <f>SUMIF(RawDataRecovered!$B:$B,$A29,RawDataRecovered!BN:BN)</f>
        <v>0</v>
      </c>
      <c r="BL29">
        <f>SUMIF(RawDataRecovered!$B:$B,$A29,RawDataRecovered!BO:BO)</f>
        <v>0</v>
      </c>
      <c r="BM29">
        <f>SUMIF(RawDataRecovered!$B:$B,$A29,RawDataRecovered!BP:BP)</f>
        <v>0</v>
      </c>
      <c r="BN29">
        <f>SUMIF(RawDataRecovered!$B:$B,$A29,RawDataRecovered!BQ:BQ)</f>
        <v>0</v>
      </c>
      <c r="BO29">
        <f>SUMIF(RawDataRecovered!$B:$B,$A29,RawDataRecovered!BR:BR)</f>
        <v>0</v>
      </c>
      <c r="BP29">
        <f>SUMIF(RawDataRecovered!$B:$B,$A29,RawDataRecovered!BS:BS)</f>
        <v>0</v>
      </c>
      <c r="BQ29">
        <f>SUMIF(RawDataRecovered!$B:$B,$A29,RawDataRecovered!BT:BT)</f>
        <v>0</v>
      </c>
      <c r="BR29">
        <f>SUMIF(RawDataRecovered!$B:$B,$A29,RawDataRecovered!BU:BU)</f>
        <v>0</v>
      </c>
      <c r="BS29">
        <f>SUMIF(RawDataRecovered!$B:$B,$A29,RawDataRecovered!BV:BV)</f>
        <v>0</v>
      </c>
      <c r="BT29">
        <f>SUMIF(RawDataRecovered!$B:$B,$A29,RawDataRecovered!BW:BW)</f>
        <v>0</v>
      </c>
    </row>
    <row r="30" spans="1:72" ht="15" thickBot="1" x14ac:dyDescent="0.35">
      <c r="A30" s="3" t="s">
        <v>369</v>
      </c>
      <c r="B30">
        <f>SUMIF(RawDataRecovered!$B:$B,$A30,RawDataRecovered!E:E)</f>
        <v>0</v>
      </c>
      <c r="C30">
        <f>SUMIF(RawDataRecovered!$B:$B,$A30,RawDataRecovered!F:F)</f>
        <v>0</v>
      </c>
      <c r="D30">
        <f>SUMIF(RawDataRecovered!$B:$B,$A30,RawDataRecovered!G:G)</f>
        <v>0</v>
      </c>
      <c r="E30">
        <f>SUMIF(RawDataRecovered!$B:$B,$A30,RawDataRecovered!H:H)</f>
        <v>0</v>
      </c>
      <c r="F30">
        <f>SUMIF(RawDataRecovered!$B:$B,$A30,RawDataRecovered!I:I)</f>
        <v>0</v>
      </c>
      <c r="G30">
        <f>SUMIF(RawDataRecovered!$B:$B,$A30,RawDataRecovered!J:J)</f>
        <v>0</v>
      </c>
      <c r="H30">
        <f>SUMIF(RawDataRecovered!$B:$B,$A30,RawDataRecovered!K:K)</f>
        <v>0</v>
      </c>
      <c r="I30">
        <f>SUMIF(RawDataRecovered!$B:$B,$A30,RawDataRecovered!L:L)</f>
        <v>0</v>
      </c>
      <c r="J30">
        <f>SUMIF(RawDataRecovered!$B:$B,$A30,RawDataRecovered!M:M)</f>
        <v>0</v>
      </c>
      <c r="K30">
        <f>SUMIF(RawDataRecovered!$B:$B,$A30,RawDataRecovered!N:N)</f>
        <v>0</v>
      </c>
      <c r="L30">
        <f>SUMIF(RawDataRecovered!$B:$B,$A30,RawDataRecovered!O:O)</f>
        <v>0</v>
      </c>
      <c r="M30">
        <f>SUMIF(RawDataRecovered!$B:$B,$A30,RawDataRecovered!P:P)</f>
        <v>0</v>
      </c>
      <c r="N30">
        <f>SUMIF(RawDataRecovered!$B:$B,$A30,RawDataRecovered!Q:Q)</f>
        <v>0</v>
      </c>
      <c r="O30">
        <f>SUMIF(RawDataRecovered!$B:$B,$A30,RawDataRecovered!R:R)</f>
        <v>0</v>
      </c>
      <c r="P30">
        <f>SUMIF(RawDataRecovered!$B:$B,$A30,RawDataRecovered!S:S)</f>
        <v>0</v>
      </c>
      <c r="Q30">
        <f>SUMIF(RawDataRecovered!$B:$B,$A30,RawDataRecovered!T:T)</f>
        <v>0</v>
      </c>
      <c r="R30">
        <f>SUMIF(RawDataRecovered!$B:$B,$A30,RawDataRecovered!U:U)</f>
        <v>0</v>
      </c>
      <c r="S30">
        <f>SUMIF(RawDataRecovered!$B:$B,$A30,RawDataRecovered!V:V)</f>
        <v>0</v>
      </c>
      <c r="T30">
        <f>SUMIF(RawDataRecovered!$B:$B,$A30,RawDataRecovered!W:W)</f>
        <v>0</v>
      </c>
      <c r="U30">
        <f>SUMIF(RawDataRecovered!$B:$B,$A30,RawDataRecovered!X:X)</f>
        <v>0</v>
      </c>
      <c r="V30">
        <f>SUMIF(RawDataRecovered!$B:$B,$A30,RawDataRecovered!Y:Y)</f>
        <v>0</v>
      </c>
      <c r="W30">
        <f>SUMIF(RawDataRecovered!$B:$B,$A30,RawDataRecovered!Z:Z)</f>
        <v>0</v>
      </c>
      <c r="X30">
        <f>SUMIF(RawDataRecovered!$B:$B,$A30,RawDataRecovered!AA:AA)</f>
        <v>0</v>
      </c>
      <c r="Y30">
        <f>SUMIF(RawDataRecovered!$B:$B,$A30,RawDataRecovered!AB:AB)</f>
        <v>0</v>
      </c>
      <c r="Z30">
        <f>SUMIF(RawDataRecovered!$B:$B,$A30,RawDataRecovered!AC:AC)</f>
        <v>0</v>
      </c>
      <c r="AA30">
        <f>SUMIF(RawDataRecovered!$B:$B,$A30,RawDataRecovered!AD:AD)</f>
        <v>0</v>
      </c>
      <c r="AB30">
        <f>SUMIF(RawDataRecovered!$B:$B,$A30,RawDataRecovered!AE:AE)</f>
        <v>0</v>
      </c>
      <c r="AC30">
        <f>SUMIF(RawDataRecovered!$B:$B,$A30,RawDataRecovered!AF:AF)</f>
        <v>0</v>
      </c>
      <c r="AD30">
        <f>SUMIF(RawDataRecovered!$B:$B,$A30,RawDataRecovered!AG:AG)</f>
        <v>0</v>
      </c>
      <c r="AE30">
        <f>SUMIF(RawDataRecovered!$B:$B,$A30,RawDataRecovered!AH:AH)</f>
        <v>0</v>
      </c>
      <c r="AF30">
        <f>SUMIF(RawDataRecovered!$B:$B,$A30,RawDataRecovered!AI:AI)</f>
        <v>0</v>
      </c>
      <c r="AG30">
        <f>SUMIF(RawDataRecovered!$B:$B,$A30,RawDataRecovered!AJ:AJ)</f>
        <v>0</v>
      </c>
      <c r="AH30">
        <f>SUMIF(RawDataRecovered!$B:$B,$A30,RawDataRecovered!AK:AK)</f>
        <v>0</v>
      </c>
      <c r="AI30">
        <f>SUMIF(RawDataRecovered!$B:$B,$A30,RawDataRecovered!AL:AL)</f>
        <v>0</v>
      </c>
      <c r="AJ30">
        <f>SUMIF(RawDataRecovered!$B:$B,$A30,RawDataRecovered!AM:AM)</f>
        <v>0</v>
      </c>
      <c r="AK30">
        <f>SUMIF(RawDataRecovered!$B:$B,$A30,RawDataRecovered!AN:AN)</f>
        <v>0</v>
      </c>
      <c r="AL30">
        <f>SUMIF(RawDataRecovered!$B:$B,$A30,RawDataRecovered!AO:AO)</f>
        <v>0</v>
      </c>
      <c r="AM30">
        <f>SUMIF(RawDataRecovered!$B:$B,$A30,RawDataRecovered!AP:AP)</f>
        <v>0</v>
      </c>
      <c r="AN30">
        <f>SUMIF(RawDataRecovered!$B:$B,$A30,RawDataRecovered!AQ:AQ)</f>
        <v>0</v>
      </c>
      <c r="AO30">
        <f>SUMIF(RawDataRecovered!$B:$B,$A30,RawDataRecovered!AR:AR)</f>
        <v>0</v>
      </c>
      <c r="AP30">
        <f>SUMIF(RawDataRecovered!$B:$B,$A30,RawDataRecovered!AS:AS)</f>
        <v>0</v>
      </c>
      <c r="AQ30">
        <f>SUMIF(RawDataRecovered!$B:$B,$A30,RawDataRecovered!AT:AT)</f>
        <v>0</v>
      </c>
      <c r="AR30">
        <f>SUMIF(RawDataRecovered!$B:$B,$A30,RawDataRecovered!AU:AU)</f>
        <v>0</v>
      </c>
      <c r="AS30">
        <f>SUMIF(RawDataRecovered!$B:$B,$A30,RawDataRecovered!AV:AV)</f>
        <v>0</v>
      </c>
      <c r="AT30">
        <f>SUMIF(RawDataRecovered!$B:$B,$A30,RawDataRecovered!AW:AW)</f>
        <v>0</v>
      </c>
      <c r="AU30">
        <f>SUMIF(RawDataRecovered!$B:$B,$A30,RawDataRecovered!AX:AX)</f>
        <v>0</v>
      </c>
      <c r="AV30">
        <f>SUMIF(RawDataRecovered!$B:$B,$A30,RawDataRecovered!AY:AY)</f>
        <v>0</v>
      </c>
      <c r="AW30">
        <f>SUMIF(RawDataRecovered!$B:$B,$A30,RawDataRecovered!AZ:AZ)</f>
        <v>0</v>
      </c>
      <c r="AX30">
        <f>SUMIF(RawDataRecovered!$B:$B,$A30,RawDataRecovered!BA:BA)</f>
        <v>0</v>
      </c>
      <c r="AY30">
        <f>SUMIF(RawDataRecovered!$B:$B,$A30,RawDataRecovered!BB:BB)</f>
        <v>0</v>
      </c>
      <c r="AZ30">
        <f>SUMIF(RawDataRecovered!$B:$B,$A30,RawDataRecovered!BC:BC)</f>
        <v>0</v>
      </c>
      <c r="BA30">
        <f>SUMIF(RawDataRecovered!$B:$B,$A30,RawDataRecovered!BD:BD)</f>
        <v>0</v>
      </c>
      <c r="BB30">
        <f>SUMIF(RawDataRecovered!$B:$B,$A30,RawDataRecovered!BE:BE)</f>
        <v>0</v>
      </c>
      <c r="BC30">
        <f>SUMIF(RawDataRecovered!$B:$B,$A30,RawDataRecovered!BF:BF)</f>
        <v>0</v>
      </c>
      <c r="BD30">
        <f>SUMIF(RawDataRecovered!$B:$B,$A30,RawDataRecovered!BG:BG)</f>
        <v>3</v>
      </c>
      <c r="BE30">
        <f>SUMIF(RawDataRecovered!$B:$B,$A30,RawDataRecovered!BH:BH)</f>
        <v>3</v>
      </c>
      <c r="BF30">
        <f>SUMIF(RawDataRecovered!$B:$B,$A30,RawDataRecovered!BI:BI)</f>
        <v>0</v>
      </c>
      <c r="BG30">
        <f>SUMIF(RawDataRecovered!$B:$B,$A30,RawDataRecovered!BJ:BJ)</f>
        <v>0</v>
      </c>
      <c r="BH30">
        <f>SUMIF(RawDataRecovered!$B:$B,$A30,RawDataRecovered!BK:BK)</f>
        <v>0</v>
      </c>
      <c r="BI30">
        <f>SUMIF(RawDataRecovered!$B:$B,$A30,RawDataRecovered!BL:BL)</f>
        <v>0</v>
      </c>
      <c r="BJ30">
        <f>SUMIF(RawDataRecovered!$B:$B,$A30,RawDataRecovered!BM:BM)</f>
        <v>0</v>
      </c>
      <c r="BK30">
        <f>SUMIF(RawDataRecovered!$B:$B,$A30,RawDataRecovered!BN:BN)</f>
        <v>0</v>
      </c>
      <c r="BL30">
        <f>SUMIF(RawDataRecovered!$B:$B,$A30,RawDataRecovered!BO:BO)</f>
        <v>0</v>
      </c>
      <c r="BM30">
        <f>SUMIF(RawDataRecovered!$B:$B,$A30,RawDataRecovered!BP:BP)</f>
        <v>0</v>
      </c>
      <c r="BN30">
        <f>SUMIF(RawDataRecovered!$B:$B,$A30,RawDataRecovered!BQ:BQ)</f>
        <v>0</v>
      </c>
      <c r="BO30">
        <f>SUMIF(RawDataRecovered!$B:$B,$A30,RawDataRecovered!BR:BR)</f>
        <v>0</v>
      </c>
      <c r="BP30">
        <f>SUMIF(RawDataRecovered!$B:$B,$A30,RawDataRecovered!BS:BS)</f>
        <v>0</v>
      </c>
      <c r="BQ30">
        <f>SUMIF(RawDataRecovered!$B:$B,$A30,RawDataRecovered!BT:BT)</f>
        <v>0</v>
      </c>
      <c r="BR30">
        <f>SUMIF(RawDataRecovered!$B:$B,$A30,RawDataRecovered!BU:BU)</f>
        <v>0</v>
      </c>
      <c r="BS30">
        <f>SUMIF(RawDataRecovered!$B:$B,$A30,RawDataRecovered!BV:BV)</f>
        <v>0</v>
      </c>
      <c r="BT30">
        <f>SUMIF(RawDataRecovered!$B:$B,$A30,RawDataRecovered!BW:BW)</f>
        <v>0</v>
      </c>
    </row>
    <row r="31" spans="1:72" ht="15" thickBot="1" x14ac:dyDescent="0.35">
      <c r="A31" s="4" t="s">
        <v>168</v>
      </c>
      <c r="B31">
        <f>SUMIF(RawDataRecovered!$B:$B,$A31,RawDataRecovered!E:E)</f>
        <v>0</v>
      </c>
      <c r="C31">
        <f>SUMIF(RawDataRecovered!$B:$B,$A31,RawDataRecovered!F:F)</f>
        <v>0</v>
      </c>
      <c r="D31">
        <f>SUMIF(RawDataRecovered!$B:$B,$A31,RawDataRecovered!G:G)</f>
        <v>0</v>
      </c>
      <c r="E31">
        <f>SUMIF(RawDataRecovered!$B:$B,$A31,RawDataRecovered!H:H)</f>
        <v>0</v>
      </c>
      <c r="F31">
        <f>SUMIF(RawDataRecovered!$B:$B,$A31,RawDataRecovered!I:I)</f>
        <v>0</v>
      </c>
      <c r="G31">
        <f>SUMIF(RawDataRecovered!$B:$B,$A31,RawDataRecovered!J:J)</f>
        <v>0</v>
      </c>
      <c r="H31">
        <f>SUMIF(RawDataRecovered!$B:$B,$A31,RawDataRecovered!K:K)</f>
        <v>0</v>
      </c>
      <c r="I31">
        <f>SUMIF(RawDataRecovered!$B:$B,$A31,RawDataRecovered!L:L)</f>
        <v>0</v>
      </c>
      <c r="J31">
        <f>SUMIF(RawDataRecovered!$B:$B,$A31,RawDataRecovered!M:M)</f>
        <v>0</v>
      </c>
      <c r="K31">
        <f>SUMIF(RawDataRecovered!$B:$B,$A31,RawDataRecovered!N:N)</f>
        <v>0</v>
      </c>
      <c r="L31">
        <f>SUMIF(RawDataRecovered!$B:$B,$A31,RawDataRecovered!O:O)</f>
        <v>0</v>
      </c>
      <c r="M31">
        <f>SUMIF(RawDataRecovered!$B:$B,$A31,RawDataRecovered!P:P)</f>
        <v>0</v>
      </c>
      <c r="N31">
        <f>SUMIF(RawDataRecovered!$B:$B,$A31,RawDataRecovered!Q:Q)</f>
        <v>0</v>
      </c>
      <c r="O31">
        <f>SUMIF(RawDataRecovered!$B:$B,$A31,RawDataRecovered!R:R)</f>
        <v>0</v>
      </c>
      <c r="P31">
        <f>SUMIF(RawDataRecovered!$B:$B,$A31,RawDataRecovered!S:S)</f>
        <v>0</v>
      </c>
      <c r="Q31">
        <f>SUMIF(RawDataRecovered!$B:$B,$A31,RawDataRecovered!T:T)</f>
        <v>0</v>
      </c>
      <c r="R31">
        <f>SUMIF(RawDataRecovered!$B:$B,$A31,RawDataRecovered!U:U)</f>
        <v>0</v>
      </c>
      <c r="S31">
        <f>SUMIF(RawDataRecovered!$B:$B,$A31,RawDataRecovered!V:V)</f>
        <v>0</v>
      </c>
      <c r="T31">
        <f>SUMIF(RawDataRecovered!$B:$B,$A31,RawDataRecovered!W:W)</f>
        <v>0</v>
      </c>
      <c r="U31">
        <f>SUMIF(RawDataRecovered!$B:$B,$A31,RawDataRecovered!X:X)</f>
        <v>0</v>
      </c>
      <c r="V31">
        <f>SUMIF(RawDataRecovered!$B:$B,$A31,RawDataRecovered!Y:Y)</f>
        <v>0</v>
      </c>
      <c r="W31">
        <f>SUMIF(RawDataRecovered!$B:$B,$A31,RawDataRecovered!Z:Z)</f>
        <v>0</v>
      </c>
      <c r="X31">
        <f>SUMIF(RawDataRecovered!$B:$B,$A31,RawDataRecovered!AA:AA)</f>
        <v>0</v>
      </c>
      <c r="Y31">
        <f>SUMIF(RawDataRecovered!$B:$B,$A31,RawDataRecovered!AB:AB)</f>
        <v>0</v>
      </c>
      <c r="Z31">
        <f>SUMIF(RawDataRecovered!$B:$B,$A31,RawDataRecovered!AC:AC)</f>
        <v>0</v>
      </c>
      <c r="AA31">
        <f>SUMIF(RawDataRecovered!$B:$B,$A31,RawDataRecovered!AD:AD)</f>
        <v>0</v>
      </c>
      <c r="AB31">
        <f>SUMIF(RawDataRecovered!$B:$B,$A31,RawDataRecovered!AE:AE)</f>
        <v>0</v>
      </c>
      <c r="AC31">
        <f>SUMIF(RawDataRecovered!$B:$B,$A31,RawDataRecovered!AF:AF)</f>
        <v>0</v>
      </c>
      <c r="AD31">
        <f>SUMIF(RawDataRecovered!$B:$B,$A31,RawDataRecovered!AG:AG)</f>
        <v>0</v>
      </c>
      <c r="AE31">
        <f>SUMIF(RawDataRecovered!$B:$B,$A31,RawDataRecovered!AH:AH)</f>
        <v>0</v>
      </c>
      <c r="AF31">
        <f>SUMIF(RawDataRecovered!$B:$B,$A31,RawDataRecovered!AI:AI)</f>
        <v>0</v>
      </c>
      <c r="AG31">
        <f>SUMIF(RawDataRecovered!$B:$B,$A31,RawDataRecovered!AJ:AJ)</f>
        <v>0</v>
      </c>
      <c r="AH31">
        <f>SUMIF(RawDataRecovered!$B:$B,$A31,RawDataRecovered!AK:AK)</f>
        <v>0</v>
      </c>
      <c r="AI31">
        <f>SUMIF(RawDataRecovered!$B:$B,$A31,RawDataRecovered!AL:AL)</f>
        <v>0</v>
      </c>
      <c r="AJ31">
        <f>SUMIF(RawDataRecovered!$B:$B,$A31,RawDataRecovered!AM:AM)</f>
        <v>0</v>
      </c>
      <c r="AK31">
        <f>SUMIF(RawDataRecovered!$B:$B,$A31,RawDataRecovered!AN:AN)</f>
        <v>0</v>
      </c>
      <c r="AL31">
        <f>SUMIF(RawDataRecovered!$B:$B,$A31,RawDataRecovered!AO:AO)</f>
        <v>0</v>
      </c>
      <c r="AM31">
        <f>SUMIF(RawDataRecovered!$B:$B,$A31,RawDataRecovered!AP:AP)</f>
        <v>0</v>
      </c>
      <c r="AN31">
        <f>SUMIF(RawDataRecovered!$B:$B,$A31,RawDataRecovered!AQ:AQ)</f>
        <v>0</v>
      </c>
      <c r="AO31">
        <f>SUMIF(RawDataRecovered!$B:$B,$A31,RawDataRecovered!AR:AR)</f>
        <v>0</v>
      </c>
      <c r="AP31">
        <f>SUMIF(RawDataRecovered!$B:$B,$A31,RawDataRecovered!AS:AS)</f>
        <v>0</v>
      </c>
      <c r="AQ31">
        <f>SUMIF(RawDataRecovered!$B:$B,$A31,RawDataRecovered!AT:AT)</f>
        <v>0</v>
      </c>
      <c r="AR31">
        <f>SUMIF(RawDataRecovered!$B:$B,$A31,RawDataRecovered!AU:AU)</f>
        <v>0</v>
      </c>
      <c r="AS31">
        <f>SUMIF(RawDataRecovered!$B:$B,$A31,RawDataRecovered!AV:AV)</f>
        <v>0</v>
      </c>
      <c r="AT31">
        <f>SUMIF(RawDataRecovered!$B:$B,$A31,RawDataRecovered!AW:AW)</f>
        <v>0</v>
      </c>
      <c r="AU31">
        <f>SUMIF(RawDataRecovered!$B:$B,$A31,RawDataRecovered!AX:AX)</f>
        <v>0</v>
      </c>
      <c r="AV31">
        <f>SUMIF(RawDataRecovered!$B:$B,$A31,RawDataRecovered!AY:AY)</f>
        <v>0</v>
      </c>
      <c r="AW31">
        <f>SUMIF(RawDataRecovered!$B:$B,$A31,RawDataRecovered!AZ:AZ)</f>
        <v>0</v>
      </c>
      <c r="AX31">
        <f>SUMIF(RawDataRecovered!$B:$B,$A31,RawDataRecovered!BA:BA)</f>
        <v>0</v>
      </c>
      <c r="AY31">
        <f>SUMIF(RawDataRecovered!$B:$B,$A31,RawDataRecovered!BB:BB)</f>
        <v>0</v>
      </c>
      <c r="AZ31">
        <f>SUMIF(RawDataRecovered!$B:$B,$A31,RawDataRecovered!BC:BC)</f>
        <v>0</v>
      </c>
      <c r="BA31">
        <f>SUMIF(RawDataRecovered!$B:$B,$A31,RawDataRecovered!BD:BD)</f>
        <v>0</v>
      </c>
      <c r="BB31">
        <f>SUMIF(RawDataRecovered!$B:$B,$A31,RawDataRecovered!BE:BE)</f>
        <v>0</v>
      </c>
      <c r="BC31">
        <f>SUMIF(RawDataRecovered!$B:$B,$A31,RawDataRecovered!BF:BF)</f>
        <v>0</v>
      </c>
      <c r="BD31">
        <f>SUMIF(RawDataRecovered!$B:$B,$A31,RawDataRecovered!BG:BG)</f>
        <v>0</v>
      </c>
      <c r="BE31">
        <f>SUMIF(RawDataRecovered!$B:$B,$A31,RawDataRecovered!BH:BH)</f>
        <v>0</v>
      </c>
      <c r="BF31">
        <f>SUMIF(RawDataRecovered!$B:$B,$A31,RawDataRecovered!BI:BI)</f>
        <v>0</v>
      </c>
      <c r="BG31">
        <f>SUMIF(RawDataRecovered!$B:$B,$A31,RawDataRecovered!BJ:BJ)</f>
        <v>0</v>
      </c>
      <c r="BH31">
        <f>SUMIF(RawDataRecovered!$B:$B,$A31,RawDataRecovered!BK:BK)</f>
        <v>0</v>
      </c>
      <c r="BI31">
        <f>SUMIF(RawDataRecovered!$B:$B,$A31,RawDataRecovered!BL:BL)</f>
        <v>0</v>
      </c>
      <c r="BJ31">
        <f>SUMIF(RawDataRecovered!$B:$B,$A31,RawDataRecovered!BM:BM)</f>
        <v>0</v>
      </c>
      <c r="BK31">
        <f>SUMIF(RawDataRecovered!$B:$B,$A31,RawDataRecovered!BN:BN)</f>
        <v>0</v>
      </c>
      <c r="BL31">
        <f>SUMIF(RawDataRecovered!$B:$B,$A31,RawDataRecovered!BO:BO)</f>
        <v>0</v>
      </c>
      <c r="BM31">
        <f>SUMIF(RawDataRecovered!$B:$B,$A31,RawDataRecovered!BP:BP)</f>
        <v>0</v>
      </c>
      <c r="BN31">
        <f>SUMIF(RawDataRecovered!$B:$B,$A31,RawDataRecovered!BQ:BQ)</f>
        <v>0</v>
      </c>
      <c r="BO31">
        <f>SUMIF(RawDataRecovered!$B:$B,$A31,RawDataRecovered!BR:BR)</f>
        <v>0</v>
      </c>
      <c r="BP31">
        <f>SUMIF(RawDataRecovered!$B:$B,$A31,RawDataRecovered!BS:BS)</f>
        <v>0</v>
      </c>
      <c r="BQ31">
        <f>SUMIF(RawDataRecovered!$B:$B,$A31,RawDataRecovered!BT:BT)</f>
        <v>0</v>
      </c>
      <c r="BR31">
        <f>SUMIF(RawDataRecovered!$B:$B,$A31,RawDataRecovered!BU:BU)</f>
        <v>0</v>
      </c>
      <c r="BS31">
        <f>SUMIF(RawDataRecovered!$B:$B,$A31,RawDataRecovered!BV:BV)</f>
        <v>0</v>
      </c>
      <c r="BT31">
        <f>SUMIF(RawDataRecovered!$B:$B,$A31,RawDataRecovered!BW:BW)</f>
        <v>0</v>
      </c>
    </row>
    <row r="32" spans="1:72" ht="15" thickBot="1" x14ac:dyDescent="0.35">
      <c r="A32" s="4" t="s">
        <v>119</v>
      </c>
      <c r="B32">
        <f>SUMIF(RawDataRecovered!$B:$B,$A32,RawDataRecovered!E:E)</f>
        <v>0</v>
      </c>
      <c r="C32">
        <f>SUMIF(RawDataRecovered!$B:$B,$A32,RawDataRecovered!F:F)</f>
        <v>0</v>
      </c>
      <c r="D32">
        <f>SUMIF(RawDataRecovered!$B:$B,$A32,RawDataRecovered!G:G)</f>
        <v>0</v>
      </c>
      <c r="E32">
        <f>SUMIF(RawDataRecovered!$B:$B,$A32,RawDataRecovered!H:H)</f>
        <v>0</v>
      </c>
      <c r="F32">
        <f>SUMIF(RawDataRecovered!$B:$B,$A32,RawDataRecovered!I:I)</f>
        <v>0</v>
      </c>
      <c r="G32">
        <f>SUMIF(RawDataRecovered!$B:$B,$A32,RawDataRecovered!J:J)</f>
        <v>0</v>
      </c>
      <c r="H32">
        <f>SUMIF(RawDataRecovered!$B:$B,$A32,RawDataRecovered!K:K)</f>
        <v>0</v>
      </c>
      <c r="I32">
        <f>SUMIF(RawDataRecovered!$B:$B,$A32,RawDataRecovered!L:L)</f>
        <v>0</v>
      </c>
      <c r="J32">
        <f>SUMIF(RawDataRecovered!$B:$B,$A32,RawDataRecovered!M:M)</f>
        <v>0</v>
      </c>
      <c r="K32">
        <f>SUMIF(RawDataRecovered!$B:$B,$A32,RawDataRecovered!N:N)</f>
        <v>0</v>
      </c>
      <c r="L32">
        <f>SUMIF(RawDataRecovered!$B:$B,$A32,RawDataRecovered!O:O)</f>
        <v>0</v>
      </c>
      <c r="M32">
        <f>SUMIF(RawDataRecovered!$B:$B,$A32,RawDataRecovered!P:P)</f>
        <v>0</v>
      </c>
      <c r="N32">
        <f>SUMIF(RawDataRecovered!$B:$B,$A32,RawDataRecovered!Q:Q)</f>
        <v>0</v>
      </c>
      <c r="O32">
        <f>SUMIF(RawDataRecovered!$B:$B,$A32,RawDataRecovered!R:R)</f>
        <v>0</v>
      </c>
      <c r="P32">
        <f>SUMIF(RawDataRecovered!$B:$B,$A32,RawDataRecovered!S:S)</f>
        <v>0</v>
      </c>
      <c r="Q32">
        <f>SUMIF(RawDataRecovered!$B:$B,$A32,RawDataRecovered!T:T)</f>
        <v>0</v>
      </c>
      <c r="R32">
        <f>SUMIF(RawDataRecovered!$B:$B,$A32,RawDataRecovered!U:U)</f>
        <v>0</v>
      </c>
      <c r="S32">
        <f>SUMIF(RawDataRecovered!$B:$B,$A32,RawDataRecovered!V:V)</f>
        <v>0</v>
      </c>
      <c r="T32">
        <f>SUMIF(RawDataRecovered!$B:$B,$A32,RawDataRecovered!W:W)</f>
        <v>0</v>
      </c>
      <c r="U32">
        <f>SUMIF(RawDataRecovered!$B:$B,$A32,RawDataRecovered!X:X)</f>
        <v>0</v>
      </c>
      <c r="V32">
        <f>SUMIF(RawDataRecovered!$B:$B,$A32,RawDataRecovered!Y:Y)</f>
        <v>0</v>
      </c>
      <c r="W32">
        <f>SUMIF(RawDataRecovered!$B:$B,$A32,RawDataRecovered!Z:Z)</f>
        <v>0</v>
      </c>
      <c r="X32">
        <f>SUMIF(RawDataRecovered!$B:$B,$A32,RawDataRecovered!AA:AA)</f>
        <v>0</v>
      </c>
      <c r="Y32">
        <f>SUMIF(RawDataRecovered!$B:$B,$A32,RawDataRecovered!AB:AB)</f>
        <v>0</v>
      </c>
      <c r="Z32">
        <f>SUMIF(RawDataRecovered!$B:$B,$A32,RawDataRecovered!AC:AC)</f>
        <v>0</v>
      </c>
      <c r="AA32">
        <f>SUMIF(RawDataRecovered!$B:$B,$A32,RawDataRecovered!AD:AD)</f>
        <v>0</v>
      </c>
      <c r="AB32">
        <f>SUMIF(RawDataRecovered!$B:$B,$A32,RawDataRecovered!AE:AE)</f>
        <v>0</v>
      </c>
      <c r="AC32">
        <f>SUMIF(RawDataRecovered!$B:$B,$A32,RawDataRecovered!AF:AF)</f>
        <v>0</v>
      </c>
      <c r="AD32">
        <f>SUMIF(RawDataRecovered!$B:$B,$A32,RawDataRecovered!AG:AG)</f>
        <v>0</v>
      </c>
      <c r="AE32">
        <f>SUMIF(RawDataRecovered!$B:$B,$A32,RawDataRecovered!AH:AH)</f>
        <v>0</v>
      </c>
      <c r="AF32">
        <f>SUMIF(RawDataRecovered!$B:$B,$A32,RawDataRecovered!AI:AI)</f>
        <v>0</v>
      </c>
      <c r="AG32">
        <f>SUMIF(RawDataRecovered!$B:$B,$A32,RawDataRecovered!AJ:AJ)</f>
        <v>0</v>
      </c>
      <c r="AH32">
        <f>SUMIF(RawDataRecovered!$B:$B,$A32,RawDataRecovered!AK:AK)</f>
        <v>0</v>
      </c>
      <c r="AI32">
        <f>SUMIF(RawDataRecovered!$B:$B,$A32,RawDataRecovered!AL:AL)</f>
        <v>0</v>
      </c>
      <c r="AJ32">
        <f>SUMIF(RawDataRecovered!$B:$B,$A32,RawDataRecovered!AM:AM)</f>
        <v>0</v>
      </c>
      <c r="AK32">
        <f>SUMIF(RawDataRecovered!$B:$B,$A32,RawDataRecovered!AN:AN)</f>
        <v>0</v>
      </c>
      <c r="AL32">
        <f>SUMIF(RawDataRecovered!$B:$B,$A32,RawDataRecovered!AO:AO)</f>
        <v>0</v>
      </c>
      <c r="AM32">
        <f>SUMIF(RawDataRecovered!$B:$B,$A32,RawDataRecovered!AP:AP)</f>
        <v>0</v>
      </c>
      <c r="AN32">
        <f>SUMIF(RawDataRecovered!$B:$B,$A32,RawDataRecovered!AQ:AQ)</f>
        <v>0</v>
      </c>
      <c r="AO32">
        <f>SUMIF(RawDataRecovered!$B:$B,$A32,RawDataRecovered!AR:AR)</f>
        <v>0</v>
      </c>
      <c r="AP32">
        <f>SUMIF(RawDataRecovered!$B:$B,$A32,RawDataRecovered!AS:AS)</f>
        <v>0</v>
      </c>
      <c r="AQ32">
        <f>SUMIF(RawDataRecovered!$B:$B,$A32,RawDataRecovered!AT:AT)</f>
        <v>0</v>
      </c>
      <c r="AR32">
        <f>SUMIF(RawDataRecovered!$B:$B,$A32,RawDataRecovered!AU:AU)</f>
        <v>0</v>
      </c>
      <c r="AS32">
        <f>SUMIF(RawDataRecovered!$B:$B,$A32,RawDataRecovered!AV:AV)</f>
        <v>0</v>
      </c>
      <c r="AT32">
        <f>SUMIF(RawDataRecovered!$B:$B,$A32,RawDataRecovered!AW:AW)</f>
        <v>0</v>
      </c>
      <c r="AU32">
        <f>SUMIF(RawDataRecovered!$B:$B,$A32,RawDataRecovered!AX:AX)</f>
        <v>0</v>
      </c>
      <c r="AV32">
        <f>SUMIF(RawDataRecovered!$B:$B,$A32,RawDataRecovered!AY:AY)</f>
        <v>0</v>
      </c>
      <c r="AW32">
        <f>SUMIF(RawDataRecovered!$B:$B,$A32,RawDataRecovered!AZ:AZ)</f>
        <v>0</v>
      </c>
      <c r="AX32">
        <f>SUMIF(RawDataRecovered!$B:$B,$A32,RawDataRecovered!BA:BA)</f>
        <v>1</v>
      </c>
      <c r="AY32">
        <f>SUMIF(RawDataRecovered!$B:$B,$A32,RawDataRecovered!BB:BB)</f>
        <v>1</v>
      </c>
      <c r="AZ32">
        <f>SUMIF(RawDataRecovered!$B:$B,$A32,RawDataRecovered!BC:BC)</f>
        <v>1</v>
      </c>
      <c r="BA32">
        <f>SUMIF(RawDataRecovered!$B:$B,$A32,RawDataRecovered!BD:BD)</f>
        <v>1</v>
      </c>
      <c r="BB32">
        <f>SUMIF(RawDataRecovered!$B:$B,$A32,RawDataRecovered!BE:BE)</f>
        <v>1</v>
      </c>
      <c r="BC32">
        <f>SUMIF(RawDataRecovered!$B:$B,$A32,RawDataRecovered!BF:BF)</f>
        <v>8</v>
      </c>
      <c r="BD32">
        <f>SUMIF(RawDataRecovered!$B:$B,$A32,RawDataRecovered!BG:BG)</f>
        <v>0</v>
      </c>
      <c r="BE32">
        <f>SUMIF(RawDataRecovered!$B:$B,$A32,RawDataRecovered!BH:BH)</f>
        <v>0</v>
      </c>
      <c r="BF32">
        <f>SUMIF(RawDataRecovered!$B:$B,$A32,RawDataRecovered!BI:BI)</f>
        <v>0</v>
      </c>
      <c r="BG32">
        <f>SUMIF(RawDataRecovered!$B:$B,$A32,RawDataRecovered!BJ:BJ)</f>
        <v>0</v>
      </c>
      <c r="BH32">
        <f>SUMIF(RawDataRecovered!$B:$B,$A32,RawDataRecovered!BK:BK)</f>
        <v>0</v>
      </c>
      <c r="BI32">
        <f>SUMIF(RawDataRecovered!$B:$B,$A32,RawDataRecovered!BL:BL)</f>
        <v>0</v>
      </c>
      <c r="BJ32">
        <f>SUMIF(RawDataRecovered!$B:$B,$A32,RawDataRecovered!BM:BM)</f>
        <v>0</v>
      </c>
      <c r="BK32">
        <f>SUMIF(RawDataRecovered!$B:$B,$A32,RawDataRecovered!BN:BN)</f>
        <v>0</v>
      </c>
      <c r="BL32">
        <f>SUMIF(RawDataRecovered!$B:$B,$A32,RawDataRecovered!BO:BO)</f>
        <v>0</v>
      </c>
      <c r="BM32">
        <f>SUMIF(RawDataRecovered!$B:$B,$A32,RawDataRecovered!BP:BP)</f>
        <v>0</v>
      </c>
      <c r="BN32">
        <f>SUMIF(RawDataRecovered!$B:$B,$A32,RawDataRecovered!BQ:BQ)</f>
        <v>0</v>
      </c>
      <c r="BO32">
        <f>SUMIF(RawDataRecovered!$B:$B,$A32,RawDataRecovered!BR:BR)</f>
        <v>0</v>
      </c>
      <c r="BP32">
        <f>SUMIF(RawDataRecovered!$B:$B,$A32,RawDataRecovered!BS:BS)</f>
        <v>0</v>
      </c>
      <c r="BQ32">
        <f>SUMIF(RawDataRecovered!$B:$B,$A32,RawDataRecovered!BT:BT)</f>
        <v>0</v>
      </c>
      <c r="BR32">
        <f>SUMIF(RawDataRecovered!$B:$B,$A32,RawDataRecovered!BU:BU)</f>
        <v>0</v>
      </c>
      <c r="BS32">
        <f>SUMIF(RawDataRecovered!$B:$B,$A32,RawDataRecovered!BV:BV)</f>
        <v>0</v>
      </c>
      <c r="BT32">
        <f>SUMIF(RawDataRecovered!$B:$B,$A32,RawDataRecovered!BW:BW)</f>
        <v>0</v>
      </c>
    </row>
    <row r="33" spans="1:72" ht="15" thickBot="1" x14ac:dyDescent="0.35">
      <c r="A33" s="3" t="s">
        <v>135</v>
      </c>
      <c r="B33">
        <f>SUMIF(RawDataRecovered!$B:$B,$A33,RawDataRecovered!E:E)</f>
        <v>0</v>
      </c>
      <c r="C33">
        <f>SUMIF(RawDataRecovered!$B:$B,$A33,RawDataRecovered!F:F)</f>
        <v>0</v>
      </c>
      <c r="D33">
        <f>SUMIF(RawDataRecovered!$B:$B,$A33,RawDataRecovered!G:G)</f>
        <v>0</v>
      </c>
      <c r="E33">
        <f>SUMIF(RawDataRecovered!$B:$B,$A33,RawDataRecovered!H:H)</f>
        <v>0</v>
      </c>
      <c r="F33">
        <f>SUMIF(RawDataRecovered!$B:$B,$A33,RawDataRecovered!I:I)</f>
        <v>0</v>
      </c>
      <c r="G33">
        <f>SUMIF(RawDataRecovered!$B:$B,$A33,RawDataRecovered!J:J)</f>
        <v>0</v>
      </c>
      <c r="H33">
        <f>SUMIF(RawDataRecovered!$B:$B,$A33,RawDataRecovered!K:K)</f>
        <v>0</v>
      </c>
      <c r="I33">
        <f>SUMIF(RawDataRecovered!$B:$B,$A33,RawDataRecovered!L:L)</f>
        <v>0</v>
      </c>
      <c r="J33">
        <f>SUMIF(RawDataRecovered!$B:$B,$A33,RawDataRecovered!M:M)</f>
        <v>0</v>
      </c>
      <c r="K33">
        <f>SUMIF(RawDataRecovered!$B:$B,$A33,RawDataRecovered!N:N)</f>
        <v>0</v>
      </c>
      <c r="L33">
        <f>SUMIF(RawDataRecovered!$B:$B,$A33,RawDataRecovered!O:O)</f>
        <v>0</v>
      </c>
      <c r="M33">
        <f>SUMIF(RawDataRecovered!$B:$B,$A33,RawDataRecovered!P:P)</f>
        <v>0</v>
      </c>
      <c r="N33">
        <f>SUMIF(RawDataRecovered!$B:$B,$A33,RawDataRecovered!Q:Q)</f>
        <v>0</v>
      </c>
      <c r="O33">
        <f>SUMIF(RawDataRecovered!$B:$B,$A33,RawDataRecovered!R:R)</f>
        <v>0</v>
      </c>
      <c r="P33">
        <f>SUMIF(RawDataRecovered!$B:$B,$A33,RawDataRecovered!S:S)</f>
        <v>0</v>
      </c>
      <c r="Q33">
        <f>SUMIF(RawDataRecovered!$B:$B,$A33,RawDataRecovered!T:T)</f>
        <v>0</v>
      </c>
      <c r="R33">
        <f>SUMIF(RawDataRecovered!$B:$B,$A33,RawDataRecovered!U:U)</f>
        <v>0</v>
      </c>
      <c r="S33">
        <f>SUMIF(RawDataRecovered!$B:$B,$A33,RawDataRecovered!V:V)</f>
        <v>0</v>
      </c>
      <c r="T33">
        <f>SUMIF(RawDataRecovered!$B:$B,$A33,RawDataRecovered!W:W)</f>
        <v>0</v>
      </c>
      <c r="U33">
        <f>SUMIF(RawDataRecovered!$B:$B,$A33,RawDataRecovered!X:X)</f>
        <v>0</v>
      </c>
      <c r="V33">
        <f>SUMIF(RawDataRecovered!$B:$B,$A33,RawDataRecovered!Y:Y)</f>
        <v>0</v>
      </c>
      <c r="W33">
        <f>SUMIF(RawDataRecovered!$B:$B,$A33,RawDataRecovered!Z:Z)</f>
        <v>0</v>
      </c>
      <c r="X33">
        <f>SUMIF(RawDataRecovered!$B:$B,$A33,RawDataRecovered!AA:AA)</f>
        <v>0</v>
      </c>
      <c r="Y33">
        <f>SUMIF(RawDataRecovered!$B:$B,$A33,RawDataRecovered!AB:AB)</f>
        <v>0</v>
      </c>
      <c r="Z33">
        <f>SUMIF(RawDataRecovered!$B:$B,$A33,RawDataRecovered!AC:AC)</f>
        <v>0</v>
      </c>
      <c r="AA33">
        <f>SUMIF(RawDataRecovered!$B:$B,$A33,RawDataRecovered!AD:AD)</f>
        <v>0</v>
      </c>
      <c r="AB33">
        <f>SUMIF(RawDataRecovered!$B:$B,$A33,RawDataRecovered!AE:AE)</f>
        <v>0</v>
      </c>
      <c r="AC33">
        <f>SUMIF(RawDataRecovered!$B:$B,$A33,RawDataRecovered!AF:AF)</f>
        <v>0</v>
      </c>
      <c r="AD33">
        <f>SUMIF(RawDataRecovered!$B:$B,$A33,RawDataRecovered!AG:AG)</f>
        <v>0</v>
      </c>
      <c r="AE33">
        <f>SUMIF(RawDataRecovered!$B:$B,$A33,RawDataRecovered!AH:AH)</f>
        <v>0</v>
      </c>
      <c r="AF33">
        <f>SUMIF(RawDataRecovered!$B:$B,$A33,RawDataRecovered!AI:AI)</f>
        <v>0</v>
      </c>
      <c r="AG33">
        <f>SUMIF(RawDataRecovered!$B:$B,$A33,RawDataRecovered!AJ:AJ)</f>
        <v>0</v>
      </c>
      <c r="AH33">
        <f>SUMIF(RawDataRecovered!$B:$B,$A33,RawDataRecovered!AK:AK)</f>
        <v>0</v>
      </c>
      <c r="AI33">
        <f>SUMIF(RawDataRecovered!$B:$B,$A33,RawDataRecovered!AL:AL)</f>
        <v>0</v>
      </c>
      <c r="AJ33">
        <f>SUMIF(RawDataRecovered!$B:$B,$A33,RawDataRecovered!AM:AM)</f>
        <v>0</v>
      </c>
      <c r="AK33">
        <f>SUMIF(RawDataRecovered!$B:$B,$A33,RawDataRecovered!AN:AN)</f>
        <v>0</v>
      </c>
      <c r="AL33">
        <f>SUMIF(RawDataRecovered!$B:$B,$A33,RawDataRecovered!AO:AO)</f>
        <v>0</v>
      </c>
      <c r="AM33">
        <f>SUMIF(RawDataRecovered!$B:$B,$A33,RawDataRecovered!AP:AP)</f>
        <v>0</v>
      </c>
      <c r="AN33">
        <f>SUMIF(RawDataRecovered!$B:$B,$A33,RawDataRecovered!AQ:AQ)</f>
        <v>0</v>
      </c>
      <c r="AO33">
        <f>SUMIF(RawDataRecovered!$B:$B,$A33,RawDataRecovered!AR:AR)</f>
        <v>0</v>
      </c>
      <c r="AP33">
        <f>SUMIF(RawDataRecovered!$B:$B,$A33,RawDataRecovered!AS:AS)</f>
        <v>0</v>
      </c>
      <c r="AQ33">
        <f>SUMIF(RawDataRecovered!$B:$B,$A33,RawDataRecovered!AT:AT)</f>
        <v>0</v>
      </c>
      <c r="AR33">
        <f>SUMIF(RawDataRecovered!$B:$B,$A33,RawDataRecovered!AU:AU)</f>
        <v>0</v>
      </c>
      <c r="AS33">
        <f>SUMIF(RawDataRecovered!$B:$B,$A33,RawDataRecovered!AV:AV)</f>
        <v>0</v>
      </c>
      <c r="AT33">
        <f>SUMIF(RawDataRecovered!$B:$B,$A33,RawDataRecovered!AW:AW)</f>
        <v>0</v>
      </c>
      <c r="AU33">
        <f>SUMIF(RawDataRecovered!$B:$B,$A33,RawDataRecovered!AX:AX)</f>
        <v>0</v>
      </c>
      <c r="AV33">
        <f>SUMIF(RawDataRecovered!$B:$B,$A33,RawDataRecovered!AY:AY)</f>
        <v>0</v>
      </c>
      <c r="AW33">
        <f>SUMIF(RawDataRecovered!$B:$B,$A33,RawDataRecovered!AZ:AZ)</f>
        <v>0</v>
      </c>
      <c r="AX33">
        <f>SUMIF(RawDataRecovered!$B:$B,$A33,RawDataRecovered!BA:BA)</f>
        <v>0</v>
      </c>
      <c r="AY33">
        <f>SUMIF(RawDataRecovered!$B:$B,$A33,RawDataRecovered!BB:BB)</f>
        <v>0</v>
      </c>
      <c r="AZ33">
        <f>SUMIF(RawDataRecovered!$B:$B,$A33,RawDataRecovered!BC:BC)</f>
        <v>0</v>
      </c>
      <c r="BA33">
        <f>SUMIF(RawDataRecovered!$B:$B,$A33,RawDataRecovered!BD:BD)</f>
        <v>1</v>
      </c>
      <c r="BB33">
        <f>SUMIF(RawDataRecovered!$B:$B,$A33,RawDataRecovered!BE:BE)</f>
        <v>2</v>
      </c>
      <c r="BC33">
        <f>SUMIF(RawDataRecovered!$B:$B,$A33,RawDataRecovered!BF:BF)</f>
        <v>2</v>
      </c>
      <c r="BD33">
        <f>SUMIF(RawDataRecovered!$B:$B,$A33,RawDataRecovered!BG:BG)</f>
        <v>3</v>
      </c>
      <c r="BE33">
        <f>SUMIF(RawDataRecovered!$B:$B,$A33,RawDataRecovered!BH:BH)</f>
        <v>3</v>
      </c>
      <c r="BF33">
        <f>SUMIF(RawDataRecovered!$B:$B,$A33,RawDataRecovered!BI:BI)</f>
        <v>0</v>
      </c>
      <c r="BG33">
        <f>SUMIF(RawDataRecovered!$B:$B,$A33,RawDataRecovered!BJ:BJ)</f>
        <v>0</v>
      </c>
      <c r="BH33">
        <f>SUMIF(RawDataRecovered!$B:$B,$A33,RawDataRecovered!BK:BK)</f>
        <v>0</v>
      </c>
      <c r="BI33">
        <f>SUMIF(RawDataRecovered!$B:$B,$A33,RawDataRecovered!BL:BL)</f>
        <v>0</v>
      </c>
      <c r="BJ33">
        <f>SUMIF(RawDataRecovered!$B:$B,$A33,RawDataRecovered!BM:BM)</f>
        <v>0</v>
      </c>
      <c r="BK33">
        <f>SUMIF(RawDataRecovered!$B:$B,$A33,RawDataRecovered!BN:BN)</f>
        <v>0</v>
      </c>
      <c r="BL33">
        <f>SUMIF(RawDataRecovered!$B:$B,$A33,RawDataRecovered!BO:BO)</f>
        <v>0</v>
      </c>
      <c r="BM33">
        <f>SUMIF(RawDataRecovered!$B:$B,$A33,RawDataRecovered!BP:BP)</f>
        <v>0</v>
      </c>
      <c r="BN33">
        <f>SUMIF(RawDataRecovered!$B:$B,$A33,RawDataRecovered!BQ:BQ)</f>
        <v>0</v>
      </c>
      <c r="BO33">
        <f>SUMIF(RawDataRecovered!$B:$B,$A33,RawDataRecovered!BR:BR)</f>
        <v>0</v>
      </c>
      <c r="BP33">
        <f>SUMIF(RawDataRecovered!$B:$B,$A33,RawDataRecovered!BS:BS)</f>
        <v>0</v>
      </c>
      <c r="BQ33">
        <f>SUMIF(RawDataRecovered!$B:$B,$A33,RawDataRecovered!BT:BT)</f>
        <v>0</v>
      </c>
      <c r="BR33">
        <f>SUMIF(RawDataRecovered!$B:$B,$A33,RawDataRecovered!BU:BU)</f>
        <v>0</v>
      </c>
      <c r="BS33">
        <f>SUMIF(RawDataRecovered!$B:$B,$A33,RawDataRecovered!BV:BV)</f>
        <v>0</v>
      </c>
      <c r="BT33">
        <f>SUMIF(RawDataRecovered!$B:$B,$A33,RawDataRecovered!BW:BW)</f>
        <v>0</v>
      </c>
    </row>
    <row r="34" spans="1:72" ht="15" thickBot="1" x14ac:dyDescent="0.35">
      <c r="A34" s="3" t="s">
        <v>97</v>
      </c>
      <c r="B34">
        <f>SUMIF(RawDataRecovered!$B:$B,$A34,RawDataRecovered!E:E)</f>
        <v>0</v>
      </c>
      <c r="C34">
        <f>SUMIF(RawDataRecovered!$B:$B,$A34,RawDataRecovered!F:F)</f>
        <v>0</v>
      </c>
      <c r="D34">
        <f>SUMIF(RawDataRecovered!$B:$B,$A34,RawDataRecovered!G:G)</f>
        <v>0</v>
      </c>
      <c r="E34">
        <f>SUMIF(RawDataRecovered!$B:$B,$A34,RawDataRecovered!H:H)</f>
        <v>0</v>
      </c>
      <c r="F34">
        <f>SUMIF(RawDataRecovered!$B:$B,$A34,RawDataRecovered!I:I)</f>
        <v>0</v>
      </c>
      <c r="G34">
        <f>SUMIF(RawDataRecovered!$B:$B,$A34,RawDataRecovered!J:J)</f>
        <v>0</v>
      </c>
      <c r="H34">
        <f>SUMIF(RawDataRecovered!$B:$B,$A34,RawDataRecovered!K:K)</f>
        <v>0</v>
      </c>
      <c r="I34">
        <f>SUMIF(RawDataRecovered!$B:$B,$A34,RawDataRecovered!L:L)</f>
        <v>0</v>
      </c>
      <c r="J34">
        <f>SUMIF(RawDataRecovered!$B:$B,$A34,RawDataRecovered!M:M)</f>
        <v>0</v>
      </c>
      <c r="K34">
        <f>SUMIF(RawDataRecovered!$B:$B,$A34,RawDataRecovered!N:N)</f>
        <v>0</v>
      </c>
      <c r="L34">
        <f>SUMIF(RawDataRecovered!$B:$B,$A34,RawDataRecovered!O:O)</f>
        <v>0</v>
      </c>
      <c r="M34">
        <f>SUMIF(RawDataRecovered!$B:$B,$A34,RawDataRecovered!P:P)</f>
        <v>0</v>
      </c>
      <c r="N34">
        <f>SUMIF(RawDataRecovered!$B:$B,$A34,RawDataRecovered!Q:Q)</f>
        <v>0</v>
      </c>
      <c r="O34">
        <f>SUMIF(RawDataRecovered!$B:$B,$A34,RawDataRecovered!R:R)</f>
        <v>0</v>
      </c>
      <c r="P34">
        <f>SUMIF(RawDataRecovered!$B:$B,$A34,RawDataRecovered!S:S)</f>
        <v>0</v>
      </c>
      <c r="Q34">
        <f>SUMIF(RawDataRecovered!$B:$B,$A34,RawDataRecovered!T:T)</f>
        <v>0</v>
      </c>
      <c r="R34">
        <f>SUMIF(RawDataRecovered!$B:$B,$A34,RawDataRecovered!U:U)</f>
        <v>0</v>
      </c>
      <c r="S34">
        <f>SUMIF(RawDataRecovered!$B:$B,$A34,RawDataRecovered!V:V)</f>
        <v>0</v>
      </c>
      <c r="T34">
        <f>SUMIF(RawDataRecovered!$B:$B,$A34,RawDataRecovered!W:W)</f>
        <v>0</v>
      </c>
      <c r="U34">
        <f>SUMIF(RawDataRecovered!$B:$B,$A34,RawDataRecovered!X:X)</f>
        <v>0</v>
      </c>
      <c r="V34">
        <f>SUMIF(RawDataRecovered!$B:$B,$A34,RawDataRecovered!Y:Y)</f>
        <v>0</v>
      </c>
      <c r="W34">
        <f>SUMIF(RawDataRecovered!$B:$B,$A34,RawDataRecovered!Z:Z)</f>
        <v>0</v>
      </c>
      <c r="X34">
        <f>SUMIF(RawDataRecovered!$B:$B,$A34,RawDataRecovered!AA:AA)</f>
        <v>0</v>
      </c>
      <c r="Y34">
        <f>SUMIF(RawDataRecovered!$B:$B,$A34,RawDataRecovered!AB:AB)</f>
        <v>0</v>
      </c>
      <c r="Z34">
        <f>SUMIF(RawDataRecovered!$B:$B,$A34,RawDataRecovered!AC:AC)</f>
        <v>0</v>
      </c>
      <c r="AA34">
        <f>SUMIF(RawDataRecovered!$B:$B,$A34,RawDataRecovered!AD:AD)</f>
        <v>0</v>
      </c>
      <c r="AB34">
        <f>SUMIF(RawDataRecovered!$B:$B,$A34,RawDataRecovered!AE:AE)</f>
        <v>0</v>
      </c>
      <c r="AC34">
        <f>SUMIF(RawDataRecovered!$B:$B,$A34,RawDataRecovered!AF:AF)</f>
        <v>0</v>
      </c>
      <c r="AD34">
        <f>SUMIF(RawDataRecovered!$B:$B,$A34,RawDataRecovered!AG:AG)</f>
        <v>0</v>
      </c>
      <c r="AE34">
        <f>SUMIF(RawDataRecovered!$B:$B,$A34,RawDataRecovered!AH:AH)</f>
        <v>0</v>
      </c>
      <c r="AF34">
        <f>SUMIF(RawDataRecovered!$B:$B,$A34,RawDataRecovered!AI:AI)</f>
        <v>0</v>
      </c>
      <c r="AG34">
        <f>SUMIF(RawDataRecovered!$B:$B,$A34,RawDataRecovered!AJ:AJ)</f>
        <v>0</v>
      </c>
      <c r="AH34">
        <f>SUMIF(RawDataRecovered!$B:$B,$A34,RawDataRecovered!AK:AK)</f>
        <v>0</v>
      </c>
      <c r="AI34">
        <f>SUMIF(RawDataRecovered!$B:$B,$A34,RawDataRecovered!AL:AL)</f>
        <v>0</v>
      </c>
      <c r="AJ34">
        <f>SUMIF(RawDataRecovered!$B:$B,$A34,RawDataRecovered!AM:AM)</f>
        <v>0</v>
      </c>
      <c r="AK34">
        <f>SUMIF(RawDataRecovered!$B:$B,$A34,RawDataRecovered!AN:AN)</f>
        <v>0</v>
      </c>
      <c r="AL34">
        <f>SUMIF(RawDataRecovered!$B:$B,$A34,RawDataRecovered!AO:AO)</f>
        <v>0</v>
      </c>
      <c r="AM34">
        <f>SUMIF(RawDataRecovered!$B:$B,$A34,RawDataRecovered!AP:AP)</f>
        <v>0</v>
      </c>
      <c r="AN34">
        <f>SUMIF(RawDataRecovered!$B:$B,$A34,RawDataRecovered!AQ:AQ)</f>
        <v>0</v>
      </c>
      <c r="AO34">
        <f>SUMIF(RawDataRecovered!$B:$B,$A34,RawDataRecovered!AR:AR)</f>
        <v>0</v>
      </c>
      <c r="AP34">
        <f>SUMIF(RawDataRecovered!$B:$B,$A34,RawDataRecovered!AS:AS)</f>
        <v>0</v>
      </c>
      <c r="AQ34">
        <f>SUMIF(RawDataRecovered!$B:$B,$A34,RawDataRecovered!AT:AT)</f>
        <v>0</v>
      </c>
      <c r="AR34">
        <f>SUMIF(RawDataRecovered!$B:$B,$A34,RawDataRecovered!AU:AU)</f>
        <v>0</v>
      </c>
      <c r="AS34">
        <f>SUMIF(RawDataRecovered!$B:$B,$A34,RawDataRecovered!AV:AV)</f>
        <v>0</v>
      </c>
      <c r="AT34">
        <f>SUMIF(RawDataRecovered!$B:$B,$A34,RawDataRecovered!AW:AW)</f>
        <v>0</v>
      </c>
      <c r="AU34">
        <f>SUMIF(RawDataRecovered!$B:$B,$A34,RawDataRecovered!AX:AX)</f>
        <v>0</v>
      </c>
      <c r="AV34">
        <f>SUMIF(RawDataRecovered!$B:$B,$A34,RawDataRecovered!AY:AY)</f>
        <v>0</v>
      </c>
      <c r="AW34">
        <f>SUMIF(RawDataRecovered!$B:$B,$A34,RawDataRecovered!AZ:AZ)</f>
        <v>3</v>
      </c>
      <c r="AX34">
        <f>SUMIF(RawDataRecovered!$B:$B,$A34,RawDataRecovered!BA:BA)</f>
        <v>3</v>
      </c>
      <c r="AY34">
        <f>SUMIF(RawDataRecovered!$B:$B,$A34,RawDataRecovered!BB:BB)</f>
        <v>15</v>
      </c>
      <c r="AZ34">
        <f>SUMIF(RawDataRecovered!$B:$B,$A34,RawDataRecovered!BC:BC)</f>
        <v>15</v>
      </c>
      <c r="BA34">
        <f>SUMIF(RawDataRecovered!$B:$B,$A34,RawDataRecovered!BD:BD)</f>
        <v>24</v>
      </c>
      <c r="BB34">
        <f>SUMIF(RawDataRecovered!$B:$B,$A34,RawDataRecovered!BE:BE)</f>
        <v>26</v>
      </c>
      <c r="BC34">
        <f>SUMIF(RawDataRecovered!$B:$B,$A34,RawDataRecovered!BF:BF)</f>
        <v>26</v>
      </c>
      <c r="BD34">
        <f>SUMIF(RawDataRecovered!$B:$B,$A34,RawDataRecovered!BG:BG)</f>
        <v>26</v>
      </c>
      <c r="BE34">
        <f>SUMIF(RawDataRecovered!$B:$B,$A34,RawDataRecovered!BH:BH)</f>
        <v>32</v>
      </c>
      <c r="BF34">
        <f>SUMIF(RawDataRecovered!$B:$B,$A34,RawDataRecovered!BI:BI)</f>
        <v>0</v>
      </c>
      <c r="BG34">
        <f>SUMIF(RawDataRecovered!$B:$B,$A34,RawDataRecovered!BJ:BJ)</f>
        <v>0</v>
      </c>
      <c r="BH34">
        <f>SUMIF(RawDataRecovered!$B:$B,$A34,RawDataRecovered!BK:BK)</f>
        <v>0</v>
      </c>
      <c r="BI34">
        <f>SUMIF(RawDataRecovered!$B:$B,$A34,RawDataRecovered!BL:BL)</f>
        <v>0</v>
      </c>
      <c r="BJ34">
        <f>SUMIF(RawDataRecovered!$B:$B,$A34,RawDataRecovered!BM:BM)</f>
        <v>0</v>
      </c>
      <c r="BK34">
        <f>SUMIF(RawDataRecovered!$B:$B,$A34,RawDataRecovered!BN:BN)</f>
        <v>0</v>
      </c>
      <c r="BL34">
        <f>SUMIF(RawDataRecovered!$B:$B,$A34,RawDataRecovered!BO:BO)</f>
        <v>0</v>
      </c>
      <c r="BM34">
        <f>SUMIF(RawDataRecovered!$B:$B,$A34,RawDataRecovered!BP:BP)</f>
        <v>0</v>
      </c>
      <c r="BN34">
        <f>SUMIF(RawDataRecovered!$B:$B,$A34,RawDataRecovered!BQ:BQ)</f>
        <v>0</v>
      </c>
      <c r="BO34">
        <f>SUMIF(RawDataRecovered!$B:$B,$A34,RawDataRecovered!BR:BR)</f>
        <v>0</v>
      </c>
      <c r="BP34">
        <f>SUMIF(RawDataRecovered!$B:$B,$A34,RawDataRecovered!BS:BS)</f>
        <v>0</v>
      </c>
      <c r="BQ34">
        <f>SUMIF(RawDataRecovered!$B:$B,$A34,RawDataRecovered!BT:BT)</f>
        <v>0</v>
      </c>
      <c r="BR34">
        <f>SUMIF(RawDataRecovered!$B:$B,$A34,RawDataRecovered!BU:BU)</f>
        <v>0</v>
      </c>
      <c r="BS34">
        <f>SUMIF(RawDataRecovered!$B:$B,$A34,RawDataRecovered!BV:BV)</f>
        <v>0</v>
      </c>
      <c r="BT34">
        <f>SUMIF(RawDataRecovered!$B:$B,$A34,RawDataRecovered!BW:BW)</f>
        <v>0</v>
      </c>
    </row>
    <row r="35" spans="1:72" ht="15" thickBot="1" x14ac:dyDescent="0.35">
      <c r="A35" s="4" t="s">
        <v>125</v>
      </c>
      <c r="B35">
        <f>SUMIF(RawDataRecovered!$B:$B,$A35,RawDataRecovered!E:E)</f>
        <v>0</v>
      </c>
      <c r="C35">
        <f>SUMIF(RawDataRecovered!$B:$B,$A35,RawDataRecovered!F:F)</f>
        <v>0</v>
      </c>
      <c r="D35">
        <f>SUMIF(RawDataRecovered!$B:$B,$A35,RawDataRecovered!G:G)</f>
        <v>0</v>
      </c>
      <c r="E35">
        <f>SUMIF(RawDataRecovered!$B:$B,$A35,RawDataRecovered!H:H)</f>
        <v>0</v>
      </c>
      <c r="F35">
        <f>SUMIF(RawDataRecovered!$B:$B,$A35,RawDataRecovered!I:I)</f>
        <v>0</v>
      </c>
      <c r="G35">
        <f>SUMIF(RawDataRecovered!$B:$B,$A35,RawDataRecovered!J:J)</f>
        <v>0</v>
      </c>
      <c r="H35">
        <f>SUMIF(RawDataRecovered!$B:$B,$A35,RawDataRecovered!K:K)</f>
        <v>0</v>
      </c>
      <c r="I35">
        <f>SUMIF(RawDataRecovered!$B:$B,$A35,RawDataRecovered!L:L)</f>
        <v>0</v>
      </c>
      <c r="J35">
        <f>SUMIF(RawDataRecovered!$B:$B,$A35,RawDataRecovered!M:M)</f>
        <v>0</v>
      </c>
      <c r="K35">
        <f>SUMIF(RawDataRecovered!$B:$B,$A35,RawDataRecovered!N:N)</f>
        <v>0</v>
      </c>
      <c r="L35">
        <f>SUMIF(RawDataRecovered!$B:$B,$A35,RawDataRecovered!O:O)</f>
        <v>0</v>
      </c>
      <c r="M35">
        <f>SUMIF(RawDataRecovered!$B:$B,$A35,RawDataRecovered!P:P)</f>
        <v>0</v>
      </c>
      <c r="N35">
        <f>SUMIF(RawDataRecovered!$B:$B,$A35,RawDataRecovered!Q:Q)</f>
        <v>0</v>
      </c>
      <c r="O35">
        <f>SUMIF(RawDataRecovered!$B:$B,$A35,RawDataRecovered!R:R)</f>
        <v>0</v>
      </c>
      <c r="P35">
        <f>SUMIF(RawDataRecovered!$B:$B,$A35,RawDataRecovered!S:S)</f>
        <v>0</v>
      </c>
      <c r="Q35">
        <f>SUMIF(RawDataRecovered!$B:$B,$A35,RawDataRecovered!T:T)</f>
        <v>0</v>
      </c>
      <c r="R35">
        <f>SUMIF(RawDataRecovered!$B:$B,$A35,RawDataRecovered!U:U)</f>
        <v>0</v>
      </c>
      <c r="S35">
        <f>SUMIF(RawDataRecovered!$B:$B,$A35,RawDataRecovered!V:V)</f>
        <v>0</v>
      </c>
      <c r="T35">
        <f>SUMIF(RawDataRecovered!$B:$B,$A35,RawDataRecovered!W:W)</f>
        <v>0</v>
      </c>
      <c r="U35">
        <f>SUMIF(RawDataRecovered!$B:$B,$A35,RawDataRecovered!X:X)</f>
        <v>0</v>
      </c>
      <c r="V35">
        <f>SUMIF(RawDataRecovered!$B:$B,$A35,RawDataRecovered!Y:Y)</f>
        <v>0</v>
      </c>
      <c r="W35">
        <f>SUMIF(RawDataRecovered!$B:$B,$A35,RawDataRecovered!Z:Z)</f>
        <v>0</v>
      </c>
      <c r="X35">
        <f>SUMIF(RawDataRecovered!$B:$B,$A35,RawDataRecovered!AA:AA)</f>
        <v>0</v>
      </c>
      <c r="Y35">
        <f>SUMIF(RawDataRecovered!$B:$B,$A35,RawDataRecovered!AB:AB)</f>
        <v>0</v>
      </c>
      <c r="Z35">
        <f>SUMIF(RawDataRecovered!$B:$B,$A35,RawDataRecovered!AC:AC)</f>
        <v>0</v>
      </c>
      <c r="AA35">
        <f>SUMIF(RawDataRecovered!$B:$B,$A35,RawDataRecovered!AD:AD)</f>
        <v>0</v>
      </c>
      <c r="AB35">
        <f>SUMIF(RawDataRecovered!$B:$B,$A35,RawDataRecovered!AE:AE)</f>
        <v>0</v>
      </c>
      <c r="AC35">
        <f>SUMIF(RawDataRecovered!$B:$B,$A35,RawDataRecovered!AF:AF)</f>
        <v>0</v>
      </c>
      <c r="AD35">
        <f>SUMIF(RawDataRecovered!$B:$B,$A35,RawDataRecovered!AG:AG)</f>
        <v>0</v>
      </c>
      <c r="AE35">
        <f>SUMIF(RawDataRecovered!$B:$B,$A35,RawDataRecovered!AH:AH)</f>
        <v>0</v>
      </c>
      <c r="AF35">
        <f>SUMIF(RawDataRecovered!$B:$B,$A35,RawDataRecovered!AI:AI)</f>
        <v>0</v>
      </c>
      <c r="AG35">
        <f>SUMIF(RawDataRecovered!$B:$B,$A35,RawDataRecovered!AJ:AJ)</f>
        <v>0</v>
      </c>
      <c r="AH35">
        <f>SUMIF(RawDataRecovered!$B:$B,$A35,RawDataRecovered!AK:AK)</f>
        <v>0</v>
      </c>
      <c r="AI35">
        <f>SUMIF(RawDataRecovered!$B:$B,$A35,RawDataRecovered!AL:AL)</f>
        <v>0</v>
      </c>
      <c r="AJ35">
        <f>SUMIF(RawDataRecovered!$B:$B,$A35,RawDataRecovered!AM:AM)</f>
        <v>0</v>
      </c>
      <c r="AK35">
        <f>SUMIF(RawDataRecovered!$B:$B,$A35,RawDataRecovered!AN:AN)</f>
        <v>0</v>
      </c>
      <c r="AL35">
        <f>SUMIF(RawDataRecovered!$B:$B,$A35,RawDataRecovered!AO:AO)</f>
        <v>0</v>
      </c>
      <c r="AM35">
        <f>SUMIF(RawDataRecovered!$B:$B,$A35,RawDataRecovered!AP:AP)</f>
        <v>0</v>
      </c>
      <c r="AN35">
        <f>SUMIF(RawDataRecovered!$B:$B,$A35,RawDataRecovered!AQ:AQ)</f>
        <v>0</v>
      </c>
      <c r="AO35">
        <f>SUMIF(RawDataRecovered!$B:$B,$A35,RawDataRecovered!AR:AR)</f>
        <v>0</v>
      </c>
      <c r="AP35">
        <f>SUMIF(RawDataRecovered!$B:$B,$A35,RawDataRecovered!AS:AS)</f>
        <v>0</v>
      </c>
      <c r="AQ35">
        <f>SUMIF(RawDataRecovered!$B:$B,$A35,RawDataRecovered!AT:AT)</f>
        <v>0</v>
      </c>
      <c r="AR35">
        <f>SUMIF(RawDataRecovered!$B:$B,$A35,RawDataRecovered!AU:AU)</f>
        <v>0</v>
      </c>
      <c r="AS35">
        <f>SUMIF(RawDataRecovered!$B:$B,$A35,RawDataRecovered!AV:AV)</f>
        <v>0</v>
      </c>
      <c r="AT35">
        <f>SUMIF(RawDataRecovered!$B:$B,$A35,RawDataRecovered!AW:AW)</f>
        <v>0</v>
      </c>
      <c r="AU35">
        <f>SUMIF(RawDataRecovered!$B:$B,$A35,RawDataRecovered!AX:AX)</f>
        <v>0</v>
      </c>
      <c r="AV35">
        <f>SUMIF(RawDataRecovered!$B:$B,$A35,RawDataRecovered!AY:AY)</f>
        <v>0</v>
      </c>
      <c r="AW35">
        <f>SUMIF(RawDataRecovered!$B:$B,$A35,RawDataRecovered!AZ:AZ)</f>
        <v>0</v>
      </c>
      <c r="AX35">
        <f>SUMIF(RawDataRecovered!$B:$B,$A35,RawDataRecovered!BA:BA)</f>
        <v>0</v>
      </c>
      <c r="AY35">
        <f>SUMIF(RawDataRecovered!$B:$B,$A35,RawDataRecovered!BB:BB)</f>
        <v>0</v>
      </c>
      <c r="AZ35">
        <f>SUMIF(RawDataRecovered!$B:$B,$A35,RawDataRecovered!BC:BC)</f>
        <v>0</v>
      </c>
      <c r="BA35">
        <f>SUMIF(RawDataRecovered!$B:$B,$A35,RawDataRecovered!BD:BD)</f>
        <v>0</v>
      </c>
      <c r="BB35">
        <f>SUMIF(RawDataRecovered!$B:$B,$A35,RawDataRecovered!BE:BE)</f>
        <v>0</v>
      </c>
      <c r="BC35">
        <f>SUMIF(RawDataRecovered!$B:$B,$A35,RawDataRecovered!BF:BF)</f>
        <v>0</v>
      </c>
      <c r="BD35">
        <f>SUMIF(RawDataRecovered!$B:$B,$A35,RawDataRecovered!BG:BG)</f>
        <v>0</v>
      </c>
      <c r="BE35">
        <f>SUMIF(RawDataRecovered!$B:$B,$A35,RawDataRecovered!BH:BH)</f>
        <v>5</v>
      </c>
      <c r="BF35">
        <f>SUMIF(RawDataRecovered!$B:$B,$A35,RawDataRecovered!BI:BI)</f>
        <v>0</v>
      </c>
      <c r="BG35">
        <f>SUMIF(RawDataRecovered!$B:$B,$A35,RawDataRecovered!BJ:BJ)</f>
        <v>0</v>
      </c>
      <c r="BH35">
        <f>SUMIF(RawDataRecovered!$B:$B,$A35,RawDataRecovered!BK:BK)</f>
        <v>0</v>
      </c>
      <c r="BI35">
        <f>SUMIF(RawDataRecovered!$B:$B,$A35,RawDataRecovered!BL:BL)</f>
        <v>0</v>
      </c>
      <c r="BJ35">
        <f>SUMIF(RawDataRecovered!$B:$B,$A35,RawDataRecovered!BM:BM)</f>
        <v>0</v>
      </c>
      <c r="BK35">
        <f>SUMIF(RawDataRecovered!$B:$B,$A35,RawDataRecovered!BN:BN)</f>
        <v>0</v>
      </c>
      <c r="BL35">
        <f>SUMIF(RawDataRecovered!$B:$B,$A35,RawDataRecovered!BO:BO)</f>
        <v>0</v>
      </c>
      <c r="BM35">
        <f>SUMIF(RawDataRecovered!$B:$B,$A35,RawDataRecovered!BP:BP)</f>
        <v>0</v>
      </c>
      <c r="BN35">
        <f>SUMIF(RawDataRecovered!$B:$B,$A35,RawDataRecovered!BQ:BQ)</f>
        <v>0</v>
      </c>
      <c r="BO35">
        <f>SUMIF(RawDataRecovered!$B:$B,$A35,RawDataRecovered!BR:BR)</f>
        <v>0</v>
      </c>
      <c r="BP35">
        <f>SUMIF(RawDataRecovered!$B:$B,$A35,RawDataRecovered!BS:BS)</f>
        <v>0</v>
      </c>
      <c r="BQ35">
        <f>SUMIF(RawDataRecovered!$B:$B,$A35,RawDataRecovered!BT:BT)</f>
        <v>0</v>
      </c>
      <c r="BR35">
        <f>SUMIF(RawDataRecovered!$B:$B,$A35,RawDataRecovered!BU:BU)</f>
        <v>0</v>
      </c>
      <c r="BS35">
        <f>SUMIF(RawDataRecovered!$B:$B,$A35,RawDataRecovered!BV:BV)</f>
        <v>0</v>
      </c>
      <c r="BT35">
        <f>SUMIF(RawDataRecovered!$B:$B,$A35,RawDataRecovered!BW:BW)</f>
        <v>0</v>
      </c>
    </row>
    <row r="36" spans="1:72" ht="15" thickBot="1" x14ac:dyDescent="0.35">
      <c r="A36" s="3" t="s">
        <v>113</v>
      </c>
      <c r="B36">
        <f>SUMIF(RawDataRecovered!$B:$B,$A36,RawDataRecovered!E:E)</f>
        <v>0</v>
      </c>
      <c r="C36">
        <f>SUMIF(RawDataRecovered!$B:$B,$A36,RawDataRecovered!F:F)</f>
        <v>0</v>
      </c>
      <c r="D36">
        <f>SUMIF(RawDataRecovered!$B:$B,$A36,RawDataRecovered!G:G)</f>
        <v>0</v>
      </c>
      <c r="E36">
        <f>SUMIF(RawDataRecovered!$B:$B,$A36,RawDataRecovered!H:H)</f>
        <v>0</v>
      </c>
      <c r="F36">
        <f>SUMIF(RawDataRecovered!$B:$B,$A36,RawDataRecovered!I:I)</f>
        <v>0</v>
      </c>
      <c r="G36">
        <f>SUMIF(RawDataRecovered!$B:$B,$A36,RawDataRecovered!J:J)</f>
        <v>0</v>
      </c>
      <c r="H36">
        <f>SUMIF(RawDataRecovered!$B:$B,$A36,RawDataRecovered!K:K)</f>
        <v>0</v>
      </c>
      <c r="I36">
        <f>SUMIF(RawDataRecovered!$B:$B,$A36,RawDataRecovered!L:L)</f>
        <v>0</v>
      </c>
      <c r="J36">
        <f>SUMIF(RawDataRecovered!$B:$B,$A36,RawDataRecovered!M:M)</f>
        <v>0</v>
      </c>
      <c r="K36">
        <f>SUMIF(RawDataRecovered!$B:$B,$A36,RawDataRecovered!N:N)</f>
        <v>0</v>
      </c>
      <c r="L36">
        <f>SUMIF(RawDataRecovered!$B:$B,$A36,RawDataRecovered!O:O)</f>
        <v>0</v>
      </c>
      <c r="M36">
        <f>SUMIF(RawDataRecovered!$B:$B,$A36,RawDataRecovered!P:P)</f>
        <v>0</v>
      </c>
      <c r="N36">
        <f>SUMIF(RawDataRecovered!$B:$B,$A36,RawDataRecovered!Q:Q)</f>
        <v>0</v>
      </c>
      <c r="O36">
        <f>SUMIF(RawDataRecovered!$B:$B,$A36,RawDataRecovered!R:R)</f>
        <v>0</v>
      </c>
      <c r="P36">
        <f>SUMIF(RawDataRecovered!$B:$B,$A36,RawDataRecovered!S:S)</f>
        <v>0</v>
      </c>
      <c r="Q36">
        <f>SUMIF(RawDataRecovered!$B:$B,$A36,RawDataRecovered!T:T)</f>
        <v>0</v>
      </c>
      <c r="R36">
        <f>SUMIF(RawDataRecovered!$B:$B,$A36,RawDataRecovered!U:U)</f>
        <v>0</v>
      </c>
      <c r="S36">
        <f>SUMIF(RawDataRecovered!$B:$B,$A36,RawDataRecovered!V:V)</f>
        <v>0</v>
      </c>
      <c r="T36">
        <f>SUMIF(RawDataRecovered!$B:$B,$A36,RawDataRecovered!W:W)</f>
        <v>0</v>
      </c>
      <c r="U36">
        <f>SUMIF(RawDataRecovered!$B:$B,$A36,RawDataRecovered!X:X)</f>
        <v>0</v>
      </c>
      <c r="V36">
        <f>SUMIF(RawDataRecovered!$B:$B,$A36,RawDataRecovered!Y:Y)</f>
        <v>0</v>
      </c>
      <c r="W36">
        <f>SUMIF(RawDataRecovered!$B:$B,$A36,RawDataRecovered!Z:Z)</f>
        <v>0</v>
      </c>
      <c r="X36">
        <f>SUMIF(RawDataRecovered!$B:$B,$A36,RawDataRecovered!AA:AA)</f>
        <v>0</v>
      </c>
      <c r="Y36">
        <f>SUMIF(RawDataRecovered!$B:$B,$A36,RawDataRecovered!AB:AB)</f>
        <v>0</v>
      </c>
      <c r="Z36">
        <f>SUMIF(RawDataRecovered!$B:$B,$A36,RawDataRecovered!AC:AC)</f>
        <v>0</v>
      </c>
      <c r="AA36">
        <f>SUMIF(RawDataRecovered!$B:$B,$A36,RawDataRecovered!AD:AD)</f>
        <v>0</v>
      </c>
      <c r="AB36">
        <f>SUMIF(RawDataRecovered!$B:$B,$A36,RawDataRecovered!AE:AE)</f>
        <v>0</v>
      </c>
      <c r="AC36">
        <f>SUMIF(RawDataRecovered!$B:$B,$A36,RawDataRecovered!AF:AF)</f>
        <v>0</v>
      </c>
      <c r="AD36">
        <f>SUMIF(RawDataRecovered!$B:$B,$A36,RawDataRecovered!AG:AG)</f>
        <v>0</v>
      </c>
      <c r="AE36">
        <f>SUMIF(RawDataRecovered!$B:$B,$A36,RawDataRecovered!AH:AH)</f>
        <v>0</v>
      </c>
      <c r="AF36">
        <f>SUMIF(RawDataRecovered!$B:$B,$A36,RawDataRecovered!AI:AI)</f>
        <v>0</v>
      </c>
      <c r="AG36">
        <f>SUMIF(RawDataRecovered!$B:$B,$A36,RawDataRecovered!AJ:AJ)</f>
        <v>0</v>
      </c>
      <c r="AH36">
        <f>SUMIF(RawDataRecovered!$B:$B,$A36,RawDataRecovered!AK:AK)</f>
        <v>0</v>
      </c>
      <c r="AI36">
        <f>SUMIF(RawDataRecovered!$B:$B,$A36,RawDataRecovered!AL:AL)</f>
        <v>0</v>
      </c>
      <c r="AJ36">
        <f>SUMIF(RawDataRecovered!$B:$B,$A36,RawDataRecovered!AM:AM)</f>
        <v>0</v>
      </c>
      <c r="AK36">
        <f>SUMIF(RawDataRecovered!$B:$B,$A36,RawDataRecovered!AN:AN)</f>
        <v>0</v>
      </c>
      <c r="AL36">
        <f>SUMIF(RawDataRecovered!$B:$B,$A36,RawDataRecovered!AO:AO)</f>
        <v>0</v>
      </c>
      <c r="AM36">
        <f>SUMIF(RawDataRecovered!$B:$B,$A36,RawDataRecovered!AP:AP)</f>
        <v>0</v>
      </c>
      <c r="AN36">
        <f>SUMIF(RawDataRecovered!$B:$B,$A36,RawDataRecovered!AQ:AQ)</f>
        <v>0</v>
      </c>
      <c r="AO36">
        <f>SUMIF(RawDataRecovered!$B:$B,$A36,RawDataRecovered!AR:AR)</f>
        <v>0</v>
      </c>
      <c r="AP36">
        <f>SUMIF(RawDataRecovered!$B:$B,$A36,RawDataRecovered!AS:AS)</f>
        <v>0</v>
      </c>
      <c r="AQ36">
        <f>SUMIF(RawDataRecovered!$B:$B,$A36,RawDataRecovered!AT:AT)</f>
        <v>0</v>
      </c>
      <c r="AR36">
        <f>SUMIF(RawDataRecovered!$B:$B,$A36,RawDataRecovered!AU:AU)</f>
        <v>1</v>
      </c>
      <c r="AS36">
        <f>SUMIF(RawDataRecovered!$B:$B,$A36,RawDataRecovered!AV:AV)</f>
        <v>1</v>
      </c>
      <c r="AT36">
        <f>SUMIF(RawDataRecovered!$B:$B,$A36,RawDataRecovered!AW:AW)</f>
        <v>1</v>
      </c>
      <c r="AU36">
        <f>SUMIF(RawDataRecovered!$B:$B,$A36,RawDataRecovered!AX:AX)</f>
        <v>3</v>
      </c>
      <c r="AV36">
        <f>SUMIF(RawDataRecovered!$B:$B,$A36,RawDataRecovered!AY:AY)</f>
        <v>3</v>
      </c>
      <c r="AW36">
        <f>SUMIF(RawDataRecovered!$B:$B,$A36,RawDataRecovered!AZ:AZ)</f>
        <v>3</v>
      </c>
      <c r="AX36">
        <f>SUMIF(RawDataRecovered!$B:$B,$A36,RawDataRecovered!BA:BA)</f>
        <v>3</v>
      </c>
      <c r="AY36">
        <f>SUMIF(RawDataRecovered!$B:$B,$A36,RawDataRecovered!BB:BB)</f>
        <v>6</v>
      </c>
      <c r="AZ36">
        <f>SUMIF(RawDataRecovered!$B:$B,$A36,RawDataRecovered!BC:BC)</f>
        <v>6</v>
      </c>
      <c r="BA36">
        <f>SUMIF(RawDataRecovered!$B:$B,$A36,RawDataRecovered!BD:BD)</f>
        <v>7</v>
      </c>
      <c r="BB36">
        <f>SUMIF(RawDataRecovered!$B:$B,$A36,RawDataRecovered!BE:BE)</f>
        <v>9</v>
      </c>
      <c r="BC36">
        <f>SUMIF(RawDataRecovered!$B:$B,$A36,RawDataRecovered!BF:BF)</f>
        <v>9</v>
      </c>
      <c r="BD36">
        <f>SUMIF(RawDataRecovered!$B:$B,$A36,RawDataRecovered!BG:BG)</f>
        <v>9</v>
      </c>
      <c r="BE36">
        <f>SUMIF(RawDataRecovered!$B:$B,$A36,RawDataRecovered!BH:BH)</f>
        <v>16</v>
      </c>
      <c r="BF36">
        <f>SUMIF(RawDataRecovered!$B:$B,$A36,RawDataRecovered!BI:BI)</f>
        <v>0</v>
      </c>
      <c r="BG36">
        <f>SUMIF(RawDataRecovered!$B:$B,$A36,RawDataRecovered!BJ:BJ)</f>
        <v>0</v>
      </c>
      <c r="BH36">
        <f>SUMIF(RawDataRecovered!$B:$B,$A36,RawDataRecovered!BK:BK)</f>
        <v>0</v>
      </c>
      <c r="BI36">
        <f>SUMIF(RawDataRecovered!$B:$B,$A36,RawDataRecovered!BL:BL)</f>
        <v>0</v>
      </c>
      <c r="BJ36">
        <f>SUMIF(RawDataRecovered!$B:$B,$A36,RawDataRecovered!BM:BM)</f>
        <v>0</v>
      </c>
      <c r="BK36">
        <f>SUMIF(RawDataRecovered!$B:$B,$A36,RawDataRecovered!BN:BN)</f>
        <v>0</v>
      </c>
      <c r="BL36">
        <f>SUMIF(RawDataRecovered!$B:$B,$A36,RawDataRecovered!BO:BO)</f>
        <v>0</v>
      </c>
      <c r="BM36">
        <f>SUMIF(RawDataRecovered!$B:$B,$A36,RawDataRecovered!BP:BP)</f>
        <v>0</v>
      </c>
      <c r="BN36">
        <f>SUMIF(RawDataRecovered!$B:$B,$A36,RawDataRecovered!BQ:BQ)</f>
        <v>0</v>
      </c>
      <c r="BO36">
        <f>SUMIF(RawDataRecovered!$B:$B,$A36,RawDataRecovered!BR:BR)</f>
        <v>0</v>
      </c>
      <c r="BP36">
        <f>SUMIF(RawDataRecovered!$B:$B,$A36,RawDataRecovered!BS:BS)</f>
        <v>0</v>
      </c>
      <c r="BQ36">
        <f>SUMIF(RawDataRecovered!$B:$B,$A36,RawDataRecovered!BT:BT)</f>
        <v>0</v>
      </c>
      <c r="BR36">
        <f>SUMIF(RawDataRecovered!$B:$B,$A36,RawDataRecovered!BU:BU)</f>
        <v>0</v>
      </c>
      <c r="BS36">
        <f>SUMIF(RawDataRecovered!$B:$B,$A36,RawDataRecovered!BV:BV)</f>
        <v>0</v>
      </c>
      <c r="BT36">
        <f>SUMIF(RawDataRecovered!$B:$B,$A36,RawDataRecovered!BW:BW)</f>
        <v>0</v>
      </c>
    </row>
    <row r="37" spans="1:72" ht="15" thickBot="1" x14ac:dyDescent="0.35">
      <c r="A37" s="4" t="s">
        <v>140</v>
      </c>
      <c r="B37">
        <f>SUMIF(RawDataRecovered!$B:$B,$A37,RawDataRecovered!E:E)</f>
        <v>0</v>
      </c>
      <c r="C37">
        <f>SUMIF(RawDataRecovered!$B:$B,$A37,RawDataRecovered!F:F)</f>
        <v>0</v>
      </c>
      <c r="D37">
        <f>SUMIF(RawDataRecovered!$B:$B,$A37,RawDataRecovered!G:G)</f>
        <v>0</v>
      </c>
      <c r="E37">
        <f>SUMIF(RawDataRecovered!$B:$B,$A37,RawDataRecovered!H:H)</f>
        <v>0</v>
      </c>
      <c r="F37">
        <f>SUMIF(RawDataRecovered!$B:$B,$A37,RawDataRecovered!I:I)</f>
        <v>0</v>
      </c>
      <c r="G37">
        <f>SUMIF(RawDataRecovered!$B:$B,$A37,RawDataRecovered!J:J)</f>
        <v>0</v>
      </c>
      <c r="H37">
        <f>SUMIF(RawDataRecovered!$B:$B,$A37,RawDataRecovered!K:K)</f>
        <v>0</v>
      </c>
      <c r="I37">
        <f>SUMIF(RawDataRecovered!$B:$B,$A37,RawDataRecovered!L:L)</f>
        <v>0</v>
      </c>
      <c r="J37">
        <f>SUMIF(RawDataRecovered!$B:$B,$A37,RawDataRecovered!M:M)</f>
        <v>0</v>
      </c>
      <c r="K37">
        <f>SUMIF(RawDataRecovered!$B:$B,$A37,RawDataRecovered!N:N)</f>
        <v>0</v>
      </c>
      <c r="L37">
        <f>SUMIF(RawDataRecovered!$B:$B,$A37,RawDataRecovered!O:O)</f>
        <v>0</v>
      </c>
      <c r="M37">
        <f>SUMIF(RawDataRecovered!$B:$B,$A37,RawDataRecovered!P:P)</f>
        <v>0</v>
      </c>
      <c r="N37">
        <f>SUMIF(RawDataRecovered!$B:$B,$A37,RawDataRecovered!Q:Q)</f>
        <v>0</v>
      </c>
      <c r="O37">
        <f>SUMIF(RawDataRecovered!$B:$B,$A37,RawDataRecovered!R:R)</f>
        <v>0</v>
      </c>
      <c r="P37">
        <f>SUMIF(RawDataRecovered!$B:$B,$A37,RawDataRecovered!S:S)</f>
        <v>0</v>
      </c>
      <c r="Q37">
        <f>SUMIF(RawDataRecovered!$B:$B,$A37,RawDataRecovered!T:T)</f>
        <v>0</v>
      </c>
      <c r="R37">
        <f>SUMIF(RawDataRecovered!$B:$B,$A37,RawDataRecovered!U:U)</f>
        <v>0</v>
      </c>
      <c r="S37">
        <f>SUMIF(RawDataRecovered!$B:$B,$A37,RawDataRecovered!V:V)</f>
        <v>0</v>
      </c>
      <c r="T37">
        <f>SUMIF(RawDataRecovered!$B:$B,$A37,RawDataRecovered!W:W)</f>
        <v>0</v>
      </c>
      <c r="U37">
        <f>SUMIF(RawDataRecovered!$B:$B,$A37,RawDataRecovered!X:X)</f>
        <v>0</v>
      </c>
      <c r="V37">
        <f>SUMIF(RawDataRecovered!$B:$B,$A37,RawDataRecovered!Y:Y)</f>
        <v>0</v>
      </c>
      <c r="W37">
        <f>SUMIF(RawDataRecovered!$B:$B,$A37,RawDataRecovered!Z:Z)</f>
        <v>0</v>
      </c>
      <c r="X37">
        <f>SUMIF(RawDataRecovered!$B:$B,$A37,RawDataRecovered!AA:AA)</f>
        <v>0</v>
      </c>
      <c r="Y37">
        <f>SUMIF(RawDataRecovered!$B:$B,$A37,RawDataRecovered!AB:AB)</f>
        <v>0</v>
      </c>
      <c r="Z37">
        <f>SUMIF(RawDataRecovered!$B:$B,$A37,RawDataRecovered!AC:AC)</f>
        <v>0</v>
      </c>
      <c r="AA37">
        <f>SUMIF(RawDataRecovered!$B:$B,$A37,RawDataRecovered!AD:AD)</f>
        <v>0</v>
      </c>
      <c r="AB37">
        <f>SUMIF(RawDataRecovered!$B:$B,$A37,RawDataRecovered!AE:AE)</f>
        <v>0</v>
      </c>
      <c r="AC37">
        <f>SUMIF(RawDataRecovered!$B:$B,$A37,RawDataRecovered!AF:AF)</f>
        <v>0</v>
      </c>
      <c r="AD37">
        <f>SUMIF(RawDataRecovered!$B:$B,$A37,RawDataRecovered!AG:AG)</f>
        <v>0</v>
      </c>
      <c r="AE37">
        <f>SUMIF(RawDataRecovered!$B:$B,$A37,RawDataRecovered!AH:AH)</f>
        <v>0</v>
      </c>
      <c r="AF37">
        <f>SUMIF(RawDataRecovered!$B:$B,$A37,RawDataRecovered!AI:AI)</f>
        <v>0</v>
      </c>
      <c r="AG37">
        <f>SUMIF(RawDataRecovered!$B:$B,$A37,RawDataRecovered!AJ:AJ)</f>
        <v>0</v>
      </c>
      <c r="AH37">
        <f>SUMIF(RawDataRecovered!$B:$B,$A37,RawDataRecovered!AK:AK)</f>
        <v>0</v>
      </c>
      <c r="AI37">
        <f>SUMIF(RawDataRecovered!$B:$B,$A37,RawDataRecovered!AL:AL)</f>
        <v>0</v>
      </c>
      <c r="AJ37">
        <f>SUMIF(RawDataRecovered!$B:$B,$A37,RawDataRecovered!AM:AM)</f>
        <v>0</v>
      </c>
      <c r="AK37">
        <f>SUMIF(RawDataRecovered!$B:$B,$A37,RawDataRecovered!AN:AN)</f>
        <v>0</v>
      </c>
      <c r="AL37">
        <f>SUMIF(RawDataRecovered!$B:$B,$A37,RawDataRecovered!AO:AO)</f>
        <v>0</v>
      </c>
      <c r="AM37">
        <f>SUMIF(RawDataRecovered!$B:$B,$A37,RawDataRecovered!AP:AP)</f>
        <v>0</v>
      </c>
      <c r="AN37">
        <f>SUMIF(RawDataRecovered!$B:$B,$A37,RawDataRecovered!AQ:AQ)</f>
        <v>0</v>
      </c>
      <c r="AO37">
        <f>SUMIF(RawDataRecovered!$B:$B,$A37,RawDataRecovered!AR:AR)</f>
        <v>0</v>
      </c>
      <c r="AP37">
        <f>SUMIF(RawDataRecovered!$B:$B,$A37,RawDataRecovered!AS:AS)</f>
        <v>0</v>
      </c>
      <c r="AQ37">
        <f>SUMIF(RawDataRecovered!$B:$B,$A37,RawDataRecovered!AT:AT)</f>
        <v>0</v>
      </c>
      <c r="AR37">
        <f>SUMIF(RawDataRecovered!$B:$B,$A37,RawDataRecovered!AU:AU)</f>
        <v>0</v>
      </c>
      <c r="AS37">
        <f>SUMIF(RawDataRecovered!$B:$B,$A37,RawDataRecovered!AV:AV)</f>
        <v>0</v>
      </c>
      <c r="AT37">
        <f>SUMIF(RawDataRecovered!$B:$B,$A37,RawDataRecovered!AW:AW)</f>
        <v>0</v>
      </c>
      <c r="AU37">
        <f>SUMIF(RawDataRecovered!$B:$B,$A37,RawDataRecovered!AX:AX)</f>
        <v>0</v>
      </c>
      <c r="AV37">
        <f>SUMIF(RawDataRecovered!$B:$B,$A37,RawDataRecovered!AY:AY)</f>
        <v>0</v>
      </c>
      <c r="AW37">
        <f>SUMIF(RawDataRecovered!$B:$B,$A37,RawDataRecovered!AZ:AZ)</f>
        <v>0</v>
      </c>
      <c r="AX37">
        <f>SUMIF(RawDataRecovered!$B:$B,$A37,RawDataRecovered!BA:BA)</f>
        <v>1</v>
      </c>
      <c r="AY37">
        <f>SUMIF(RawDataRecovered!$B:$B,$A37,RawDataRecovered!BB:BB)</f>
        <v>1</v>
      </c>
      <c r="AZ37">
        <f>SUMIF(RawDataRecovered!$B:$B,$A37,RawDataRecovered!BC:BC)</f>
        <v>1</v>
      </c>
      <c r="BA37">
        <f>SUMIF(RawDataRecovered!$B:$B,$A37,RawDataRecovered!BD:BD)</f>
        <v>1</v>
      </c>
      <c r="BB37">
        <f>SUMIF(RawDataRecovered!$B:$B,$A37,RawDataRecovered!BE:BE)</f>
        <v>1</v>
      </c>
      <c r="BC37">
        <f>SUMIF(RawDataRecovered!$B:$B,$A37,RawDataRecovered!BF:BF)</f>
        <v>1</v>
      </c>
      <c r="BD37">
        <f>SUMIF(RawDataRecovered!$B:$B,$A37,RawDataRecovered!BG:BG)</f>
        <v>2</v>
      </c>
      <c r="BE37">
        <f>SUMIF(RawDataRecovered!$B:$B,$A37,RawDataRecovered!BH:BH)</f>
        <v>6</v>
      </c>
      <c r="BF37">
        <f>SUMIF(RawDataRecovered!$B:$B,$A37,RawDataRecovered!BI:BI)</f>
        <v>0</v>
      </c>
      <c r="BG37">
        <f>SUMIF(RawDataRecovered!$B:$B,$A37,RawDataRecovered!BJ:BJ)</f>
        <v>0</v>
      </c>
      <c r="BH37">
        <f>SUMIF(RawDataRecovered!$B:$B,$A37,RawDataRecovered!BK:BK)</f>
        <v>0</v>
      </c>
      <c r="BI37">
        <f>SUMIF(RawDataRecovered!$B:$B,$A37,RawDataRecovered!BL:BL)</f>
        <v>0</v>
      </c>
      <c r="BJ37">
        <f>SUMIF(RawDataRecovered!$B:$B,$A37,RawDataRecovered!BM:BM)</f>
        <v>0</v>
      </c>
      <c r="BK37">
        <f>SUMIF(RawDataRecovered!$B:$B,$A37,RawDataRecovered!BN:BN)</f>
        <v>0</v>
      </c>
      <c r="BL37">
        <f>SUMIF(RawDataRecovered!$B:$B,$A37,RawDataRecovered!BO:BO)</f>
        <v>0</v>
      </c>
      <c r="BM37">
        <f>SUMIF(RawDataRecovered!$B:$B,$A37,RawDataRecovered!BP:BP)</f>
        <v>0</v>
      </c>
      <c r="BN37">
        <f>SUMIF(RawDataRecovered!$B:$B,$A37,RawDataRecovered!BQ:BQ)</f>
        <v>0</v>
      </c>
      <c r="BO37">
        <f>SUMIF(RawDataRecovered!$B:$B,$A37,RawDataRecovered!BR:BR)</f>
        <v>0</v>
      </c>
      <c r="BP37">
        <f>SUMIF(RawDataRecovered!$B:$B,$A37,RawDataRecovered!BS:BS)</f>
        <v>0</v>
      </c>
      <c r="BQ37">
        <f>SUMIF(RawDataRecovered!$B:$B,$A37,RawDataRecovered!BT:BT)</f>
        <v>0</v>
      </c>
      <c r="BR37">
        <f>SUMIF(RawDataRecovered!$B:$B,$A37,RawDataRecovered!BU:BU)</f>
        <v>0</v>
      </c>
      <c r="BS37">
        <f>SUMIF(RawDataRecovered!$B:$B,$A37,RawDataRecovered!BV:BV)</f>
        <v>0</v>
      </c>
      <c r="BT37">
        <f>SUMIF(RawDataRecovered!$B:$B,$A37,RawDataRecovered!BW:BW)</f>
        <v>0</v>
      </c>
    </row>
    <row r="38" spans="1:72" ht="15" thickBot="1" x14ac:dyDescent="0.35">
      <c r="A38" s="4" t="s">
        <v>82</v>
      </c>
      <c r="B38">
        <f>SUMIF(RawDataRecovered!$B:$B,$A38,RawDataRecovered!E:E)</f>
        <v>0</v>
      </c>
      <c r="C38">
        <f>SUMIF(RawDataRecovered!$B:$B,$A38,RawDataRecovered!F:F)</f>
        <v>0</v>
      </c>
      <c r="D38">
        <f>SUMIF(RawDataRecovered!$B:$B,$A38,RawDataRecovered!G:G)</f>
        <v>0</v>
      </c>
      <c r="E38">
        <f>SUMIF(RawDataRecovered!$B:$B,$A38,RawDataRecovered!H:H)</f>
        <v>0</v>
      </c>
      <c r="F38">
        <f>SUMIF(RawDataRecovered!$B:$B,$A38,RawDataRecovered!I:I)</f>
        <v>0</v>
      </c>
      <c r="G38">
        <f>SUMIF(RawDataRecovered!$B:$B,$A38,RawDataRecovered!J:J)</f>
        <v>0</v>
      </c>
      <c r="H38">
        <f>SUMIF(RawDataRecovered!$B:$B,$A38,RawDataRecovered!K:K)</f>
        <v>0</v>
      </c>
      <c r="I38">
        <f>SUMIF(RawDataRecovered!$B:$B,$A38,RawDataRecovered!L:L)</f>
        <v>0</v>
      </c>
      <c r="J38">
        <f>SUMIF(RawDataRecovered!$B:$B,$A38,RawDataRecovered!M:M)</f>
        <v>0</v>
      </c>
      <c r="K38">
        <f>SUMIF(RawDataRecovered!$B:$B,$A38,RawDataRecovered!N:N)</f>
        <v>0</v>
      </c>
      <c r="L38">
        <f>SUMIF(RawDataRecovered!$B:$B,$A38,RawDataRecovered!O:O)</f>
        <v>0</v>
      </c>
      <c r="M38">
        <f>SUMIF(RawDataRecovered!$B:$B,$A38,RawDataRecovered!P:P)</f>
        <v>0</v>
      </c>
      <c r="N38">
        <f>SUMIF(RawDataRecovered!$B:$B,$A38,RawDataRecovered!Q:Q)</f>
        <v>0</v>
      </c>
      <c r="O38">
        <f>SUMIF(RawDataRecovered!$B:$B,$A38,RawDataRecovered!R:R)</f>
        <v>0</v>
      </c>
      <c r="P38">
        <f>SUMIF(RawDataRecovered!$B:$B,$A38,RawDataRecovered!S:S)</f>
        <v>0</v>
      </c>
      <c r="Q38">
        <f>SUMIF(RawDataRecovered!$B:$B,$A38,RawDataRecovered!T:T)</f>
        <v>0</v>
      </c>
      <c r="R38">
        <f>SUMIF(RawDataRecovered!$B:$B,$A38,RawDataRecovered!U:U)</f>
        <v>0</v>
      </c>
      <c r="S38">
        <f>SUMIF(RawDataRecovered!$B:$B,$A38,RawDataRecovered!V:V)</f>
        <v>0</v>
      </c>
      <c r="T38">
        <f>SUMIF(RawDataRecovered!$B:$B,$A38,RawDataRecovered!W:W)</f>
        <v>0</v>
      </c>
      <c r="U38">
        <f>SUMIF(RawDataRecovered!$B:$B,$A38,RawDataRecovered!X:X)</f>
        <v>0</v>
      </c>
      <c r="V38">
        <f>SUMIF(RawDataRecovered!$B:$B,$A38,RawDataRecovered!Y:Y)</f>
        <v>0</v>
      </c>
      <c r="W38">
        <f>SUMIF(RawDataRecovered!$B:$B,$A38,RawDataRecovered!Z:Z)</f>
        <v>1</v>
      </c>
      <c r="X38">
        <f>SUMIF(RawDataRecovered!$B:$B,$A38,RawDataRecovered!AA:AA)</f>
        <v>1</v>
      </c>
      <c r="Y38">
        <f>SUMIF(RawDataRecovered!$B:$B,$A38,RawDataRecovered!AB:AB)</f>
        <v>1</v>
      </c>
      <c r="Z38">
        <f>SUMIF(RawDataRecovered!$B:$B,$A38,RawDataRecovered!AC:AC)</f>
        <v>3</v>
      </c>
      <c r="AA38">
        <f>SUMIF(RawDataRecovered!$B:$B,$A38,RawDataRecovered!AD:AD)</f>
        <v>4</v>
      </c>
      <c r="AB38">
        <f>SUMIF(RawDataRecovered!$B:$B,$A38,RawDataRecovered!AE:AE)</f>
        <v>4</v>
      </c>
      <c r="AC38">
        <f>SUMIF(RawDataRecovered!$B:$B,$A38,RawDataRecovered!AF:AF)</f>
        <v>4</v>
      </c>
      <c r="AD38">
        <f>SUMIF(RawDataRecovered!$B:$B,$A38,RawDataRecovered!AG:AG)</f>
        <v>4</v>
      </c>
      <c r="AE38">
        <f>SUMIF(RawDataRecovered!$B:$B,$A38,RawDataRecovered!AH:AH)</f>
        <v>4</v>
      </c>
      <c r="AF38">
        <f>SUMIF(RawDataRecovered!$B:$B,$A38,RawDataRecovered!AI:AI)</f>
        <v>4</v>
      </c>
      <c r="AG38">
        <f>SUMIF(RawDataRecovered!$B:$B,$A38,RawDataRecovered!AJ:AJ)</f>
        <v>4</v>
      </c>
      <c r="AH38">
        <f>SUMIF(RawDataRecovered!$B:$B,$A38,RawDataRecovered!AK:AK)</f>
        <v>4</v>
      </c>
      <c r="AI38">
        <f>SUMIF(RawDataRecovered!$B:$B,$A38,RawDataRecovered!AL:AL)</f>
        <v>4</v>
      </c>
      <c r="AJ38">
        <f>SUMIF(RawDataRecovered!$B:$B,$A38,RawDataRecovered!AM:AM)</f>
        <v>4</v>
      </c>
      <c r="AK38">
        <f>SUMIF(RawDataRecovered!$B:$B,$A38,RawDataRecovered!AN:AN)</f>
        <v>4</v>
      </c>
      <c r="AL38">
        <f>SUMIF(RawDataRecovered!$B:$B,$A38,RawDataRecovered!AO:AO)</f>
        <v>4</v>
      </c>
      <c r="AM38">
        <f>SUMIF(RawDataRecovered!$B:$B,$A38,RawDataRecovered!AP:AP)</f>
        <v>5</v>
      </c>
      <c r="AN38">
        <f>SUMIF(RawDataRecovered!$B:$B,$A38,RawDataRecovered!AQ:AQ)</f>
        <v>5</v>
      </c>
      <c r="AO38">
        <f>SUMIF(RawDataRecovered!$B:$B,$A38,RawDataRecovered!AR:AR)</f>
        <v>5</v>
      </c>
      <c r="AP38">
        <f>SUMIF(RawDataRecovered!$B:$B,$A38,RawDataRecovered!AS:AS)</f>
        <v>5</v>
      </c>
      <c r="AQ38">
        <f>SUMIF(RawDataRecovered!$B:$B,$A38,RawDataRecovered!AT:AT)</f>
        <v>5</v>
      </c>
      <c r="AR38">
        <f>SUMIF(RawDataRecovered!$B:$B,$A38,RawDataRecovered!AU:AU)</f>
        <v>5</v>
      </c>
      <c r="AS38">
        <f>SUMIF(RawDataRecovered!$B:$B,$A38,RawDataRecovered!AV:AV)</f>
        <v>5</v>
      </c>
      <c r="AT38">
        <f>SUMIF(RawDataRecovered!$B:$B,$A38,RawDataRecovered!AW:AW)</f>
        <v>5</v>
      </c>
      <c r="AU38">
        <f>SUMIF(RawDataRecovered!$B:$B,$A38,RawDataRecovered!AX:AX)</f>
        <v>7</v>
      </c>
      <c r="AV38">
        <f>SUMIF(RawDataRecovered!$B:$B,$A38,RawDataRecovered!AY:AY)</f>
        <v>7</v>
      </c>
      <c r="AW38">
        <f>SUMIF(RawDataRecovered!$B:$B,$A38,RawDataRecovered!AZ:AZ)</f>
        <v>7</v>
      </c>
      <c r="AX38">
        <f>SUMIF(RawDataRecovered!$B:$B,$A38,RawDataRecovered!BA:BA)</f>
        <v>12</v>
      </c>
      <c r="AY38">
        <f>SUMIF(RawDataRecovered!$B:$B,$A38,RawDataRecovered!BB:BB)</f>
        <v>17</v>
      </c>
      <c r="AZ38">
        <f>SUMIF(RawDataRecovered!$B:$B,$A38,RawDataRecovered!BC:BC)</f>
        <v>17</v>
      </c>
      <c r="BA38">
        <f>SUMIF(RawDataRecovered!$B:$B,$A38,RawDataRecovered!BD:BD)</f>
        <v>17</v>
      </c>
      <c r="BB38">
        <f>SUMIF(RawDataRecovered!$B:$B,$A38,RawDataRecovered!BE:BE)</f>
        <v>17</v>
      </c>
      <c r="BC38">
        <f>SUMIF(RawDataRecovered!$B:$B,$A38,RawDataRecovered!BF:BF)</f>
        <v>23</v>
      </c>
      <c r="BD38">
        <f>SUMIF(RawDataRecovered!$B:$B,$A38,RawDataRecovered!BG:BG)</f>
        <v>23</v>
      </c>
      <c r="BE38">
        <f>SUMIF(RawDataRecovered!$B:$B,$A38,RawDataRecovered!BH:BH)</f>
        <v>23</v>
      </c>
      <c r="BF38">
        <f>SUMIF(RawDataRecovered!$B:$B,$A38,RawDataRecovered!BI:BI)</f>
        <v>0</v>
      </c>
      <c r="BG38">
        <f>SUMIF(RawDataRecovered!$B:$B,$A38,RawDataRecovered!BJ:BJ)</f>
        <v>0</v>
      </c>
      <c r="BH38">
        <f>SUMIF(RawDataRecovered!$B:$B,$A38,RawDataRecovered!BK:BK)</f>
        <v>0</v>
      </c>
      <c r="BI38">
        <f>SUMIF(RawDataRecovered!$B:$B,$A38,RawDataRecovered!BL:BL)</f>
        <v>0</v>
      </c>
      <c r="BJ38">
        <f>SUMIF(RawDataRecovered!$B:$B,$A38,RawDataRecovered!BM:BM)</f>
        <v>0</v>
      </c>
      <c r="BK38">
        <f>SUMIF(RawDataRecovered!$B:$B,$A38,RawDataRecovered!BN:BN)</f>
        <v>0</v>
      </c>
      <c r="BL38">
        <f>SUMIF(RawDataRecovered!$B:$B,$A38,RawDataRecovered!BO:BO)</f>
        <v>0</v>
      </c>
      <c r="BM38">
        <f>SUMIF(RawDataRecovered!$B:$B,$A38,RawDataRecovered!BP:BP)</f>
        <v>0</v>
      </c>
      <c r="BN38">
        <f>SUMIF(RawDataRecovered!$B:$B,$A38,RawDataRecovered!BQ:BQ)</f>
        <v>0</v>
      </c>
      <c r="BO38">
        <f>SUMIF(RawDataRecovered!$B:$B,$A38,RawDataRecovered!BR:BR)</f>
        <v>0</v>
      </c>
      <c r="BP38">
        <f>SUMIF(RawDataRecovered!$B:$B,$A38,RawDataRecovered!BS:BS)</f>
        <v>0</v>
      </c>
      <c r="BQ38">
        <f>SUMIF(RawDataRecovered!$B:$B,$A38,RawDataRecovered!BT:BT)</f>
        <v>0</v>
      </c>
      <c r="BR38">
        <f>SUMIF(RawDataRecovered!$B:$B,$A38,RawDataRecovered!BU:BU)</f>
        <v>0</v>
      </c>
      <c r="BS38">
        <f>SUMIF(RawDataRecovered!$B:$B,$A38,RawDataRecovered!BV:BV)</f>
        <v>0</v>
      </c>
      <c r="BT38">
        <f>SUMIF(RawDataRecovered!$B:$B,$A38,RawDataRecovered!BW:BW)</f>
        <v>0</v>
      </c>
    </row>
    <row r="39" spans="1:72" ht="15" thickBot="1" x14ac:dyDescent="0.35">
      <c r="A39" s="4" t="s">
        <v>84</v>
      </c>
      <c r="B39">
        <f>SUMIF(RawDataRecovered!$B:$B,$A39,RawDataRecovered!E:E)</f>
        <v>0</v>
      </c>
      <c r="C39">
        <f>SUMIF(RawDataRecovered!$B:$B,$A39,RawDataRecovered!F:F)</f>
        <v>0</v>
      </c>
      <c r="D39">
        <f>SUMIF(RawDataRecovered!$B:$B,$A39,RawDataRecovered!G:G)</f>
        <v>0</v>
      </c>
      <c r="E39">
        <f>SUMIF(RawDataRecovered!$B:$B,$A39,RawDataRecovered!H:H)</f>
        <v>0</v>
      </c>
      <c r="F39">
        <f>SUMIF(RawDataRecovered!$B:$B,$A39,RawDataRecovered!I:I)</f>
        <v>0</v>
      </c>
      <c r="G39">
        <f>SUMIF(RawDataRecovered!$B:$B,$A39,RawDataRecovered!J:J)</f>
        <v>0</v>
      </c>
      <c r="H39">
        <f>SUMIF(RawDataRecovered!$B:$B,$A39,RawDataRecovered!K:K)</f>
        <v>0</v>
      </c>
      <c r="I39">
        <f>SUMIF(RawDataRecovered!$B:$B,$A39,RawDataRecovered!L:L)</f>
        <v>0</v>
      </c>
      <c r="J39">
        <f>SUMIF(RawDataRecovered!$B:$B,$A39,RawDataRecovered!M:M)</f>
        <v>0</v>
      </c>
      <c r="K39">
        <f>SUMIF(RawDataRecovered!$B:$B,$A39,RawDataRecovered!N:N)</f>
        <v>0</v>
      </c>
      <c r="L39">
        <f>SUMIF(RawDataRecovered!$B:$B,$A39,RawDataRecovered!O:O)</f>
        <v>0</v>
      </c>
      <c r="M39">
        <f>SUMIF(RawDataRecovered!$B:$B,$A39,RawDataRecovered!P:P)</f>
        <v>0</v>
      </c>
      <c r="N39">
        <f>SUMIF(RawDataRecovered!$B:$B,$A39,RawDataRecovered!Q:Q)</f>
        <v>0</v>
      </c>
      <c r="O39">
        <f>SUMIF(RawDataRecovered!$B:$B,$A39,RawDataRecovered!R:R)</f>
        <v>0</v>
      </c>
      <c r="P39">
        <f>SUMIF(RawDataRecovered!$B:$B,$A39,RawDataRecovered!S:S)</f>
        <v>0</v>
      </c>
      <c r="Q39">
        <f>SUMIF(RawDataRecovered!$B:$B,$A39,RawDataRecovered!T:T)</f>
        <v>0</v>
      </c>
      <c r="R39">
        <f>SUMIF(RawDataRecovered!$B:$B,$A39,RawDataRecovered!U:U)</f>
        <v>0</v>
      </c>
      <c r="S39">
        <f>SUMIF(RawDataRecovered!$B:$B,$A39,RawDataRecovered!V:V)</f>
        <v>0</v>
      </c>
      <c r="T39">
        <f>SUMIF(RawDataRecovered!$B:$B,$A39,RawDataRecovered!W:W)</f>
        <v>0</v>
      </c>
      <c r="U39">
        <f>SUMIF(RawDataRecovered!$B:$B,$A39,RawDataRecovered!X:X)</f>
        <v>0</v>
      </c>
      <c r="V39">
        <f>SUMIF(RawDataRecovered!$B:$B,$A39,RawDataRecovered!Y:Y)</f>
        <v>0</v>
      </c>
      <c r="W39">
        <f>SUMIF(RawDataRecovered!$B:$B,$A39,RawDataRecovered!Z:Z)</f>
        <v>0</v>
      </c>
      <c r="X39">
        <f>SUMIF(RawDataRecovered!$B:$B,$A39,RawDataRecovered!AA:AA)</f>
        <v>0</v>
      </c>
      <c r="Y39">
        <f>SUMIF(RawDataRecovered!$B:$B,$A39,RawDataRecovered!AB:AB)</f>
        <v>0</v>
      </c>
      <c r="Z39">
        <f>SUMIF(RawDataRecovered!$B:$B,$A39,RawDataRecovered!AC:AC)</f>
        <v>0</v>
      </c>
      <c r="AA39">
        <f>SUMIF(RawDataRecovered!$B:$B,$A39,RawDataRecovered!AD:AD)</f>
        <v>3</v>
      </c>
      <c r="AB39">
        <f>SUMIF(RawDataRecovered!$B:$B,$A39,RawDataRecovered!AE:AE)</f>
        <v>3</v>
      </c>
      <c r="AC39">
        <f>SUMIF(RawDataRecovered!$B:$B,$A39,RawDataRecovered!AF:AF)</f>
        <v>3</v>
      </c>
      <c r="AD39">
        <f>SUMIF(RawDataRecovered!$B:$B,$A39,RawDataRecovered!AG:AG)</f>
        <v>3</v>
      </c>
      <c r="AE39">
        <f>SUMIF(RawDataRecovered!$B:$B,$A39,RawDataRecovered!AH:AH)</f>
        <v>3</v>
      </c>
      <c r="AF39">
        <f>SUMIF(RawDataRecovered!$B:$B,$A39,RawDataRecovered!AI:AI)</f>
        <v>3</v>
      </c>
      <c r="AG39">
        <f>SUMIF(RawDataRecovered!$B:$B,$A39,RawDataRecovered!AJ:AJ)</f>
        <v>3</v>
      </c>
      <c r="AH39">
        <f>SUMIF(RawDataRecovered!$B:$B,$A39,RawDataRecovered!AK:AK)</f>
        <v>3</v>
      </c>
      <c r="AI39">
        <f>SUMIF(RawDataRecovered!$B:$B,$A39,RawDataRecovered!AL:AL)</f>
        <v>3</v>
      </c>
      <c r="AJ39">
        <f>SUMIF(RawDataRecovered!$B:$B,$A39,RawDataRecovered!AM:AM)</f>
        <v>3</v>
      </c>
      <c r="AK39">
        <f>SUMIF(RawDataRecovered!$B:$B,$A39,RawDataRecovered!AN:AN)</f>
        <v>3</v>
      </c>
      <c r="AL39">
        <f>SUMIF(RawDataRecovered!$B:$B,$A39,RawDataRecovered!AO:AO)</f>
        <v>3</v>
      </c>
      <c r="AM39">
        <f>SUMIF(RawDataRecovered!$B:$B,$A39,RawDataRecovered!AP:AP)</f>
        <v>3</v>
      </c>
      <c r="AN39">
        <f>SUMIF(RawDataRecovered!$B:$B,$A39,RawDataRecovered!AQ:AQ)</f>
        <v>3</v>
      </c>
      <c r="AO39">
        <f>SUMIF(RawDataRecovered!$B:$B,$A39,RawDataRecovered!AR:AR)</f>
        <v>3</v>
      </c>
      <c r="AP39">
        <f>SUMIF(RawDataRecovered!$B:$B,$A39,RawDataRecovered!AS:AS)</f>
        <v>3</v>
      </c>
      <c r="AQ39">
        <f>SUMIF(RawDataRecovered!$B:$B,$A39,RawDataRecovered!AT:AT)</f>
        <v>3</v>
      </c>
      <c r="AR39">
        <f>SUMIF(RawDataRecovered!$B:$B,$A39,RawDataRecovered!AU:AU)</f>
        <v>3</v>
      </c>
      <c r="AS39">
        <f>SUMIF(RawDataRecovered!$B:$B,$A39,RawDataRecovered!AV:AV)</f>
        <v>3</v>
      </c>
      <c r="AT39">
        <f>SUMIF(RawDataRecovered!$B:$B,$A39,RawDataRecovered!AW:AW)</f>
        <v>3</v>
      </c>
      <c r="AU39">
        <f>SUMIF(RawDataRecovered!$B:$B,$A39,RawDataRecovered!AX:AX)</f>
        <v>3</v>
      </c>
      <c r="AV39">
        <f>SUMIF(RawDataRecovered!$B:$B,$A39,RawDataRecovered!AY:AY)</f>
        <v>3</v>
      </c>
      <c r="AW39">
        <f>SUMIF(RawDataRecovered!$B:$B,$A39,RawDataRecovered!AZ:AZ)</f>
        <v>3</v>
      </c>
      <c r="AX39">
        <f>SUMIF(RawDataRecovered!$B:$B,$A39,RawDataRecovered!BA:BA)</f>
        <v>4</v>
      </c>
      <c r="AY39">
        <f>SUMIF(RawDataRecovered!$B:$B,$A39,RawDataRecovered!BB:BB)</f>
        <v>4</v>
      </c>
      <c r="AZ39">
        <f>SUMIF(RawDataRecovered!$B:$B,$A39,RawDataRecovered!BC:BC)</f>
        <v>4</v>
      </c>
      <c r="BA39">
        <f>SUMIF(RawDataRecovered!$B:$B,$A39,RawDataRecovered!BD:BD)</f>
        <v>4</v>
      </c>
      <c r="BB39">
        <f>SUMIF(RawDataRecovered!$B:$B,$A39,RawDataRecovered!BE:BE)</f>
        <v>4</v>
      </c>
      <c r="BC39">
        <f>SUMIF(RawDataRecovered!$B:$B,$A39,RawDataRecovered!BF:BF)</f>
        <v>13</v>
      </c>
      <c r="BD39">
        <f>SUMIF(RawDataRecovered!$B:$B,$A39,RawDataRecovered!BG:BG)</f>
        <v>13</v>
      </c>
      <c r="BE39">
        <f>SUMIF(RawDataRecovered!$B:$B,$A39,RawDataRecovered!BH:BH)</f>
        <v>14</v>
      </c>
      <c r="BF39">
        <f>SUMIF(RawDataRecovered!$B:$B,$A39,RawDataRecovered!BI:BI)</f>
        <v>0</v>
      </c>
      <c r="BG39">
        <f>SUMIF(RawDataRecovered!$B:$B,$A39,RawDataRecovered!BJ:BJ)</f>
        <v>0</v>
      </c>
      <c r="BH39">
        <f>SUMIF(RawDataRecovered!$B:$B,$A39,RawDataRecovered!BK:BK)</f>
        <v>0</v>
      </c>
      <c r="BI39">
        <f>SUMIF(RawDataRecovered!$B:$B,$A39,RawDataRecovered!BL:BL)</f>
        <v>0</v>
      </c>
      <c r="BJ39">
        <f>SUMIF(RawDataRecovered!$B:$B,$A39,RawDataRecovered!BM:BM)</f>
        <v>0</v>
      </c>
      <c r="BK39">
        <f>SUMIF(RawDataRecovered!$B:$B,$A39,RawDataRecovered!BN:BN)</f>
        <v>0</v>
      </c>
      <c r="BL39">
        <f>SUMIF(RawDataRecovered!$B:$B,$A39,RawDataRecovered!BO:BO)</f>
        <v>0</v>
      </c>
      <c r="BM39">
        <f>SUMIF(RawDataRecovered!$B:$B,$A39,RawDataRecovered!BP:BP)</f>
        <v>0</v>
      </c>
      <c r="BN39">
        <f>SUMIF(RawDataRecovered!$B:$B,$A39,RawDataRecovered!BQ:BQ)</f>
        <v>0</v>
      </c>
      <c r="BO39">
        <f>SUMIF(RawDataRecovered!$B:$B,$A39,RawDataRecovered!BR:BR)</f>
        <v>0</v>
      </c>
      <c r="BP39">
        <f>SUMIF(RawDataRecovered!$B:$B,$A39,RawDataRecovered!BS:BS)</f>
        <v>0</v>
      </c>
      <c r="BQ39">
        <f>SUMIF(RawDataRecovered!$B:$B,$A39,RawDataRecovered!BT:BT)</f>
        <v>0</v>
      </c>
      <c r="BR39">
        <f>SUMIF(RawDataRecovered!$B:$B,$A39,RawDataRecovered!BU:BU)</f>
        <v>0</v>
      </c>
      <c r="BS39">
        <f>SUMIF(RawDataRecovered!$B:$B,$A39,RawDataRecovered!BV:BV)</f>
        <v>0</v>
      </c>
      <c r="BT39">
        <f>SUMIF(RawDataRecovered!$B:$B,$A39,RawDataRecovered!BW:BW)</f>
        <v>0</v>
      </c>
    </row>
    <row r="40" spans="1:72" ht="15" thickBot="1" x14ac:dyDescent="0.35">
      <c r="A40" s="4" t="s">
        <v>92</v>
      </c>
      <c r="B40">
        <f>SUMIF(RawDataRecovered!$B:$B,$A40,RawDataRecovered!E:E)</f>
        <v>0</v>
      </c>
      <c r="C40">
        <f>SUMIF(RawDataRecovered!$B:$B,$A40,RawDataRecovered!F:F)</f>
        <v>0</v>
      </c>
      <c r="D40">
        <f>SUMIF(RawDataRecovered!$B:$B,$A40,RawDataRecovered!G:G)</f>
        <v>0</v>
      </c>
      <c r="E40">
        <f>SUMIF(RawDataRecovered!$B:$B,$A40,RawDataRecovered!H:H)</f>
        <v>0</v>
      </c>
      <c r="F40">
        <f>SUMIF(RawDataRecovered!$B:$B,$A40,RawDataRecovered!I:I)</f>
        <v>0</v>
      </c>
      <c r="G40">
        <f>SUMIF(RawDataRecovered!$B:$B,$A40,RawDataRecovered!J:J)</f>
        <v>0</v>
      </c>
      <c r="H40">
        <f>SUMIF(RawDataRecovered!$B:$B,$A40,RawDataRecovered!K:K)</f>
        <v>0</v>
      </c>
      <c r="I40">
        <f>SUMIF(RawDataRecovered!$B:$B,$A40,RawDataRecovered!L:L)</f>
        <v>0</v>
      </c>
      <c r="J40">
        <f>SUMIF(RawDataRecovered!$B:$B,$A40,RawDataRecovered!M:M)</f>
        <v>0</v>
      </c>
      <c r="K40">
        <f>SUMIF(RawDataRecovered!$B:$B,$A40,RawDataRecovered!N:N)</f>
        <v>0</v>
      </c>
      <c r="L40">
        <f>SUMIF(RawDataRecovered!$B:$B,$A40,RawDataRecovered!O:O)</f>
        <v>0</v>
      </c>
      <c r="M40">
        <f>SUMIF(RawDataRecovered!$B:$B,$A40,RawDataRecovered!P:P)</f>
        <v>0</v>
      </c>
      <c r="N40">
        <f>SUMIF(RawDataRecovered!$B:$B,$A40,RawDataRecovered!Q:Q)</f>
        <v>0</v>
      </c>
      <c r="O40">
        <f>SUMIF(RawDataRecovered!$B:$B,$A40,RawDataRecovered!R:R)</f>
        <v>0</v>
      </c>
      <c r="P40">
        <f>SUMIF(RawDataRecovered!$B:$B,$A40,RawDataRecovered!S:S)</f>
        <v>0</v>
      </c>
      <c r="Q40">
        <f>SUMIF(RawDataRecovered!$B:$B,$A40,RawDataRecovered!T:T)</f>
        <v>0</v>
      </c>
      <c r="R40">
        <f>SUMIF(RawDataRecovered!$B:$B,$A40,RawDataRecovered!U:U)</f>
        <v>0</v>
      </c>
      <c r="S40">
        <f>SUMIF(RawDataRecovered!$B:$B,$A40,RawDataRecovered!V:V)</f>
        <v>0</v>
      </c>
      <c r="T40">
        <f>SUMIF(RawDataRecovered!$B:$B,$A40,RawDataRecovered!W:W)</f>
        <v>0</v>
      </c>
      <c r="U40">
        <f>SUMIF(RawDataRecovered!$B:$B,$A40,RawDataRecovered!X:X)</f>
        <v>0</v>
      </c>
      <c r="V40">
        <f>SUMIF(RawDataRecovered!$B:$B,$A40,RawDataRecovered!Y:Y)</f>
        <v>0</v>
      </c>
      <c r="W40">
        <f>SUMIF(RawDataRecovered!$B:$B,$A40,RawDataRecovered!Z:Z)</f>
        <v>0</v>
      </c>
      <c r="X40">
        <f>SUMIF(RawDataRecovered!$B:$B,$A40,RawDataRecovered!AA:AA)</f>
        <v>0</v>
      </c>
      <c r="Y40">
        <f>SUMIF(RawDataRecovered!$B:$B,$A40,RawDataRecovered!AB:AB)</f>
        <v>0</v>
      </c>
      <c r="Z40">
        <f>SUMIF(RawDataRecovered!$B:$B,$A40,RawDataRecovered!AC:AC)</f>
        <v>0</v>
      </c>
      <c r="AA40">
        <f>SUMIF(RawDataRecovered!$B:$B,$A40,RawDataRecovered!AD:AD)</f>
        <v>0</v>
      </c>
      <c r="AB40">
        <f>SUMIF(RawDataRecovered!$B:$B,$A40,RawDataRecovered!AE:AE)</f>
        <v>0</v>
      </c>
      <c r="AC40">
        <f>SUMIF(RawDataRecovered!$B:$B,$A40,RawDataRecovered!AF:AF)</f>
        <v>0</v>
      </c>
      <c r="AD40">
        <f>SUMIF(RawDataRecovered!$B:$B,$A40,RawDataRecovered!AG:AG)</f>
        <v>0</v>
      </c>
      <c r="AE40">
        <f>SUMIF(RawDataRecovered!$B:$B,$A40,RawDataRecovered!AH:AH)</f>
        <v>0</v>
      </c>
      <c r="AF40">
        <f>SUMIF(RawDataRecovered!$B:$B,$A40,RawDataRecovered!AI:AI)</f>
        <v>0</v>
      </c>
      <c r="AG40">
        <f>SUMIF(RawDataRecovered!$B:$B,$A40,RawDataRecovered!AJ:AJ)</f>
        <v>0</v>
      </c>
      <c r="AH40">
        <f>SUMIF(RawDataRecovered!$B:$B,$A40,RawDataRecovered!AK:AK)</f>
        <v>0</v>
      </c>
      <c r="AI40">
        <f>SUMIF(RawDataRecovered!$B:$B,$A40,RawDataRecovered!AL:AL)</f>
        <v>0</v>
      </c>
      <c r="AJ40">
        <f>SUMIF(RawDataRecovered!$B:$B,$A40,RawDataRecovered!AM:AM)</f>
        <v>0</v>
      </c>
      <c r="AK40">
        <f>SUMIF(RawDataRecovered!$B:$B,$A40,RawDataRecovered!AN:AN)</f>
        <v>0</v>
      </c>
      <c r="AL40">
        <f>SUMIF(RawDataRecovered!$B:$B,$A40,RawDataRecovered!AO:AO)</f>
        <v>0</v>
      </c>
      <c r="AM40">
        <f>SUMIF(RawDataRecovered!$B:$B,$A40,RawDataRecovered!AP:AP)</f>
        <v>1</v>
      </c>
      <c r="AN40">
        <f>SUMIF(RawDataRecovered!$B:$B,$A40,RawDataRecovered!AQ:AQ)</f>
        <v>1</v>
      </c>
      <c r="AO40">
        <f>SUMIF(RawDataRecovered!$B:$B,$A40,RawDataRecovered!AR:AR)</f>
        <v>1</v>
      </c>
      <c r="AP40">
        <f>SUMIF(RawDataRecovered!$B:$B,$A40,RawDataRecovered!AS:AS)</f>
        <v>1</v>
      </c>
      <c r="AQ40">
        <f>SUMIF(RawDataRecovered!$B:$B,$A40,RawDataRecovered!AT:AT)</f>
        <v>1</v>
      </c>
      <c r="AR40">
        <f>SUMIF(RawDataRecovered!$B:$B,$A40,RawDataRecovered!AU:AU)</f>
        <v>1</v>
      </c>
      <c r="AS40">
        <f>SUMIF(RawDataRecovered!$B:$B,$A40,RawDataRecovered!AV:AV)</f>
        <v>1</v>
      </c>
      <c r="AT40">
        <f>SUMIF(RawDataRecovered!$B:$B,$A40,RawDataRecovered!AW:AW)</f>
        <v>1</v>
      </c>
      <c r="AU40">
        <f>SUMIF(RawDataRecovered!$B:$B,$A40,RawDataRecovered!AX:AX)</f>
        <v>1</v>
      </c>
      <c r="AV40">
        <f>SUMIF(RawDataRecovered!$B:$B,$A40,RawDataRecovered!AY:AY)</f>
        <v>1</v>
      </c>
      <c r="AW40">
        <f>SUMIF(RawDataRecovered!$B:$B,$A40,RawDataRecovered!AZ:AZ)</f>
        <v>1</v>
      </c>
      <c r="AX40">
        <f>SUMIF(RawDataRecovered!$B:$B,$A40,RawDataRecovered!BA:BA)</f>
        <v>1</v>
      </c>
      <c r="AY40">
        <f>SUMIF(RawDataRecovered!$B:$B,$A40,RawDataRecovered!BB:BB)</f>
        <v>27</v>
      </c>
      <c r="AZ40">
        <f>SUMIF(RawDataRecovered!$B:$B,$A40,RawDataRecovered!BC:BC)</f>
        <v>27</v>
      </c>
      <c r="BA40">
        <f>SUMIF(RawDataRecovered!$B:$B,$A40,RawDataRecovered!BD:BD)</f>
        <v>27</v>
      </c>
      <c r="BB40">
        <f>SUMIF(RawDataRecovered!$B:$B,$A40,RawDataRecovered!BE:BE)</f>
        <v>27</v>
      </c>
      <c r="BC40">
        <f>SUMIF(RawDataRecovered!$B:$B,$A40,RawDataRecovered!BF:BF)</f>
        <v>21</v>
      </c>
      <c r="BD40">
        <f>SUMIF(RawDataRecovered!$B:$B,$A40,RawDataRecovered!BG:BG)</f>
        <v>27</v>
      </c>
      <c r="BE40">
        <f>SUMIF(RawDataRecovered!$B:$B,$A40,RawDataRecovered!BH:BH)</f>
        <v>32</v>
      </c>
      <c r="BF40">
        <f>SUMIF(RawDataRecovered!$B:$B,$A40,RawDataRecovered!BI:BI)</f>
        <v>0</v>
      </c>
      <c r="BG40">
        <f>SUMIF(RawDataRecovered!$B:$B,$A40,RawDataRecovered!BJ:BJ)</f>
        <v>0</v>
      </c>
      <c r="BH40">
        <f>SUMIF(RawDataRecovered!$B:$B,$A40,RawDataRecovered!BK:BK)</f>
        <v>0</v>
      </c>
      <c r="BI40">
        <f>SUMIF(RawDataRecovered!$B:$B,$A40,RawDataRecovered!BL:BL)</f>
        <v>0</v>
      </c>
      <c r="BJ40">
        <f>SUMIF(RawDataRecovered!$B:$B,$A40,RawDataRecovered!BM:BM)</f>
        <v>0</v>
      </c>
      <c r="BK40">
        <f>SUMIF(RawDataRecovered!$B:$B,$A40,RawDataRecovered!BN:BN)</f>
        <v>0</v>
      </c>
      <c r="BL40">
        <f>SUMIF(RawDataRecovered!$B:$B,$A40,RawDataRecovered!BO:BO)</f>
        <v>0</v>
      </c>
      <c r="BM40">
        <f>SUMIF(RawDataRecovered!$B:$B,$A40,RawDataRecovered!BP:BP)</f>
        <v>0</v>
      </c>
      <c r="BN40">
        <f>SUMIF(RawDataRecovered!$B:$B,$A40,RawDataRecovered!BQ:BQ)</f>
        <v>0</v>
      </c>
      <c r="BO40">
        <f>SUMIF(RawDataRecovered!$B:$B,$A40,RawDataRecovered!BR:BR)</f>
        <v>0</v>
      </c>
      <c r="BP40">
        <f>SUMIF(RawDataRecovered!$B:$B,$A40,RawDataRecovered!BS:BS)</f>
        <v>0</v>
      </c>
      <c r="BQ40">
        <f>SUMIF(RawDataRecovered!$B:$B,$A40,RawDataRecovered!BT:BT)</f>
        <v>0</v>
      </c>
      <c r="BR40">
        <f>SUMIF(RawDataRecovered!$B:$B,$A40,RawDataRecovered!BU:BU)</f>
        <v>0</v>
      </c>
      <c r="BS40">
        <f>SUMIF(RawDataRecovered!$B:$B,$A40,RawDataRecovered!BV:BV)</f>
        <v>0</v>
      </c>
      <c r="BT40">
        <f>SUMIF(RawDataRecovered!$B:$B,$A40,RawDataRecovered!BW:BW)</f>
        <v>0</v>
      </c>
    </row>
    <row r="41" spans="1:72" ht="15" thickBot="1" x14ac:dyDescent="0.35">
      <c r="A41" s="3" t="s">
        <v>101</v>
      </c>
      <c r="B41">
        <f>SUMIF(RawDataRecovered!$B:$B,$A41,RawDataRecovered!E:E)</f>
        <v>0</v>
      </c>
      <c r="C41">
        <f>SUMIF(RawDataRecovered!$B:$B,$A41,RawDataRecovered!F:F)</f>
        <v>0</v>
      </c>
      <c r="D41">
        <f>SUMIF(RawDataRecovered!$B:$B,$A41,RawDataRecovered!G:G)</f>
        <v>0</v>
      </c>
      <c r="E41">
        <f>SUMIF(RawDataRecovered!$B:$B,$A41,RawDataRecovered!H:H)</f>
        <v>0</v>
      </c>
      <c r="F41">
        <f>SUMIF(RawDataRecovered!$B:$B,$A41,RawDataRecovered!I:I)</f>
        <v>0</v>
      </c>
      <c r="G41">
        <f>SUMIF(RawDataRecovered!$B:$B,$A41,RawDataRecovered!J:J)</f>
        <v>0</v>
      </c>
      <c r="H41">
        <f>SUMIF(RawDataRecovered!$B:$B,$A41,RawDataRecovered!K:K)</f>
        <v>0</v>
      </c>
      <c r="I41">
        <f>SUMIF(RawDataRecovered!$B:$B,$A41,RawDataRecovered!L:L)</f>
        <v>0</v>
      </c>
      <c r="J41">
        <f>SUMIF(RawDataRecovered!$B:$B,$A41,RawDataRecovered!M:M)</f>
        <v>0</v>
      </c>
      <c r="K41">
        <f>SUMIF(RawDataRecovered!$B:$B,$A41,RawDataRecovered!N:N)</f>
        <v>0</v>
      </c>
      <c r="L41">
        <f>SUMIF(RawDataRecovered!$B:$B,$A41,RawDataRecovered!O:O)</f>
        <v>0</v>
      </c>
      <c r="M41">
        <f>SUMIF(RawDataRecovered!$B:$B,$A41,RawDataRecovered!P:P)</f>
        <v>0</v>
      </c>
      <c r="N41">
        <f>SUMIF(RawDataRecovered!$B:$B,$A41,RawDataRecovered!Q:Q)</f>
        <v>0</v>
      </c>
      <c r="O41">
        <f>SUMIF(RawDataRecovered!$B:$B,$A41,RawDataRecovered!R:R)</f>
        <v>0</v>
      </c>
      <c r="P41">
        <f>SUMIF(RawDataRecovered!$B:$B,$A41,RawDataRecovered!S:S)</f>
        <v>0</v>
      </c>
      <c r="Q41">
        <f>SUMIF(RawDataRecovered!$B:$B,$A41,RawDataRecovered!T:T)</f>
        <v>0</v>
      </c>
      <c r="R41">
        <f>SUMIF(RawDataRecovered!$B:$B,$A41,RawDataRecovered!U:U)</f>
        <v>0</v>
      </c>
      <c r="S41">
        <f>SUMIF(RawDataRecovered!$B:$B,$A41,RawDataRecovered!V:V)</f>
        <v>0</v>
      </c>
      <c r="T41">
        <f>SUMIF(RawDataRecovered!$B:$B,$A41,RawDataRecovered!W:W)</f>
        <v>0</v>
      </c>
      <c r="U41">
        <f>SUMIF(RawDataRecovered!$B:$B,$A41,RawDataRecovered!X:X)</f>
        <v>0</v>
      </c>
      <c r="V41">
        <f>SUMIF(RawDataRecovered!$B:$B,$A41,RawDataRecovered!Y:Y)</f>
        <v>0</v>
      </c>
      <c r="W41">
        <f>SUMIF(RawDataRecovered!$B:$B,$A41,RawDataRecovered!Z:Z)</f>
        <v>0</v>
      </c>
      <c r="X41">
        <f>SUMIF(RawDataRecovered!$B:$B,$A41,RawDataRecovered!AA:AA)</f>
        <v>0</v>
      </c>
      <c r="Y41">
        <f>SUMIF(RawDataRecovered!$B:$B,$A41,RawDataRecovered!AB:AB)</f>
        <v>0</v>
      </c>
      <c r="Z41">
        <f>SUMIF(RawDataRecovered!$B:$B,$A41,RawDataRecovered!AC:AC)</f>
        <v>0</v>
      </c>
      <c r="AA41">
        <f>SUMIF(RawDataRecovered!$B:$B,$A41,RawDataRecovered!AD:AD)</f>
        <v>0</v>
      </c>
      <c r="AB41">
        <f>SUMIF(RawDataRecovered!$B:$B,$A41,RawDataRecovered!AE:AE)</f>
        <v>0</v>
      </c>
      <c r="AC41">
        <f>SUMIF(RawDataRecovered!$B:$B,$A41,RawDataRecovered!AF:AF)</f>
        <v>0</v>
      </c>
      <c r="AD41">
        <f>SUMIF(RawDataRecovered!$B:$B,$A41,RawDataRecovered!AG:AG)</f>
        <v>0</v>
      </c>
      <c r="AE41">
        <f>SUMIF(RawDataRecovered!$B:$B,$A41,RawDataRecovered!AH:AH)</f>
        <v>0</v>
      </c>
      <c r="AF41">
        <f>SUMIF(RawDataRecovered!$B:$B,$A41,RawDataRecovered!AI:AI)</f>
        <v>0</v>
      </c>
      <c r="AG41">
        <f>SUMIF(RawDataRecovered!$B:$B,$A41,RawDataRecovered!AJ:AJ)</f>
        <v>0</v>
      </c>
      <c r="AH41">
        <f>SUMIF(RawDataRecovered!$B:$B,$A41,RawDataRecovered!AK:AK)</f>
        <v>0</v>
      </c>
      <c r="AI41">
        <f>SUMIF(RawDataRecovered!$B:$B,$A41,RawDataRecovered!AL:AL)</f>
        <v>0</v>
      </c>
      <c r="AJ41">
        <f>SUMIF(RawDataRecovered!$B:$B,$A41,RawDataRecovered!AM:AM)</f>
        <v>0</v>
      </c>
      <c r="AK41">
        <f>SUMIF(RawDataRecovered!$B:$B,$A41,RawDataRecovered!AN:AN)</f>
        <v>0</v>
      </c>
      <c r="AL41">
        <f>SUMIF(RawDataRecovered!$B:$B,$A41,RawDataRecovered!AO:AO)</f>
        <v>0</v>
      </c>
      <c r="AM41">
        <f>SUMIF(RawDataRecovered!$B:$B,$A41,RawDataRecovered!AP:AP)</f>
        <v>0</v>
      </c>
      <c r="AN41">
        <f>SUMIF(RawDataRecovered!$B:$B,$A41,RawDataRecovered!AQ:AQ)</f>
        <v>0</v>
      </c>
      <c r="AO41">
        <f>SUMIF(RawDataRecovered!$B:$B,$A41,RawDataRecovered!AR:AR)</f>
        <v>0</v>
      </c>
      <c r="AP41">
        <f>SUMIF(RawDataRecovered!$B:$B,$A41,RawDataRecovered!AS:AS)</f>
        <v>0</v>
      </c>
      <c r="AQ41">
        <f>SUMIF(RawDataRecovered!$B:$B,$A41,RawDataRecovered!AT:AT)</f>
        <v>0</v>
      </c>
      <c r="AR41">
        <f>SUMIF(RawDataRecovered!$B:$B,$A41,RawDataRecovered!AU:AU)</f>
        <v>0</v>
      </c>
      <c r="AS41">
        <f>SUMIF(RawDataRecovered!$B:$B,$A41,RawDataRecovered!AV:AV)</f>
        <v>0</v>
      </c>
      <c r="AT41">
        <f>SUMIF(RawDataRecovered!$B:$B,$A41,RawDataRecovered!AW:AW)</f>
        <v>0</v>
      </c>
      <c r="AU41">
        <f>SUMIF(RawDataRecovered!$B:$B,$A41,RawDataRecovered!AX:AX)</f>
        <v>0</v>
      </c>
      <c r="AV41">
        <f>SUMIF(RawDataRecovered!$B:$B,$A41,RawDataRecovered!AY:AY)</f>
        <v>1</v>
      </c>
      <c r="AW41">
        <f>SUMIF(RawDataRecovered!$B:$B,$A41,RawDataRecovered!AZ:AZ)</f>
        <v>1</v>
      </c>
      <c r="AX41">
        <f>SUMIF(RawDataRecovered!$B:$B,$A41,RawDataRecovered!BA:BA)</f>
        <v>1</v>
      </c>
      <c r="AY41">
        <f>SUMIF(RawDataRecovered!$B:$B,$A41,RawDataRecovered!BB:BB)</f>
        <v>2</v>
      </c>
      <c r="AZ41">
        <f>SUMIF(RawDataRecovered!$B:$B,$A41,RawDataRecovered!BC:BC)</f>
        <v>5</v>
      </c>
      <c r="BA41">
        <f>SUMIF(RawDataRecovered!$B:$B,$A41,RawDataRecovered!BD:BD)</f>
        <v>5</v>
      </c>
      <c r="BB41">
        <f>SUMIF(RawDataRecovered!$B:$B,$A41,RawDataRecovered!BE:BE)</f>
        <v>5</v>
      </c>
      <c r="BC41">
        <f>SUMIF(RawDataRecovered!$B:$B,$A41,RawDataRecovered!BF:BF)</f>
        <v>5</v>
      </c>
      <c r="BD41">
        <f>SUMIF(RawDataRecovered!$B:$B,$A41,RawDataRecovered!BG:BG)</f>
        <v>9</v>
      </c>
      <c r="BE41">
        <f>SUMIF(RawDataRecovered!$B:$B,$A41,RawDataRecovered!BH:BH)</f>
        <v>9</v>
      </c>
      <c r="BF41">
        <f>SUMIF(RawDataRecovered!$B:$B,$A41,RawDataRecovered!BI:BI)</f>
        <v>0</v>
      </c>
      <c r="BG41">
        <f>SUMIF(RawDataRecovered!$B:$B,$A41,RawDataRecovered!BJ:BJ)</f>
        <v>0</v>
      </c>
      <c r="BH41">
        <f>SUMIF(RawDataRecovered!$B:$B,$A41,RawDataRecovered!BK:BK)</f>
        <v>0</v>
      </c>
      <c r="BI41">
        <f>SUMIF(RawDataRecovered!$B:$B,$A41,RawDataRecovered!BL:BL)</f>
        <v>0</v>
      </c>
      <c r="BJ41">
        <f>SUMIF(RawDataRecovered!$B:$B,$A41,RawDataRecovered!BM:BM)</f>
        <v>0</v>
      </c>
      <c r="BK41">
        <f>SUMIF(RawDataRecovered!$B:$B,$A41,RawDataRecovered!BN:BN)</f>
        <v>0</v>
      </c>
      <c r="BL41">
        <f>SUMIF(RawDataRecovered!$B:$B,$A41,RawDataRecovered!BO:BO)</f>
        <v>0</v>
      </c>
      <c r="BM41">
        <f>SUMIF(RawDataRecovered!$B:$B,$A41,RawDataRecovered!BP:BP)</f>
        <v>0</v>
      </c>
      <c r="BN41">
        <f>SUMIF(RawDataRecovered!$B:$B,$A41,RawDataRecovered!BQ:BQ)</f>
        <v>0</v>
      </c>
      <c r="BO41">
        <f>SUMIF(RawDataRecovered!$B:$B,$A41,RawDataRecovered!BR:BR)</f>
        <v>0</v>
      </c>
      <c r="BP41">
        <f>SUMIF(RawDataRecovered!$B:$B,$A41,RawDataRecovered!BS:BS)</f>
        <v>0</v>
      </c>
      <c r="BQ41">
        <f>SUMIF(RawDataRecovered!$B:$B,$A41,RawDataRecovered!BT:BT)</f>
        <v>0</v>
      </c>
      <c r="BR41">
        <f>SUMIF(RawDataRecovered!$B:$B,$A41,RawDataRecovered!BU:BU)</f>
        <v>0</v>
      </c>
      <c r="BS41">
        <f>SUMIF(RawDataRecovered!$B:$B,$A41,RawDataRecovered!BV:BV)</f>
        <v>0</v>
      </c>
      <c r="BT41">
        <f>SUMIF(RawDataRecovered!$B:$B,$A41,RawDataRecovered!BW:BW)</f>
        <v>0</v>
      </c>
    </row>
    <row r="42" spans="1:72" ht="15" thickBot="1" x14ac:dyDescent="0.35">
      <c r="A42" s="4" t="s">
        <v>117</v>
      </c>
      <c r="B42">
        <f>SUMIF(RawDataRecovered!$B:$B,$A42,RawDataRecovered!E:E)</f>
        <v>0</v>
      </c>
      <c r="C42">
        <f>SUMIF(RawDataRecovered!$B:$B,$A42,RawDataRecovered!F:F)</f>
        <v>0</v>
      </c>
      <c r="D42">
        <f>SUMIF(RawDataRecovered!$B:$B,$A42,RawDataRecovered!G:G)</f>
        <v>0</v>
      </c>
      <c r="E42">
        <f>SUMIF(RawDataRecovered!$B:$B,$A42,RawDataRecovered!H:H)</f>
        <v>0</v>
      </c>
      <c r="F42">
        <f>SUMIF(RawDataRecovered!$B:$B,$A42,RawDataRecovered!I:I)</f>
        <v>0</v>
      </c>
      <c r="G42">
        <f>SUMIF(RawDataRecovered!$B:$B,$A42,RawDataRecovered!J:J)</f>
        <v>0</v>
      </c>
      <c r="H42">
        <f>SUMIF(RawDataRecovered!$B:$B,$A42,RawDataRecovered!K:K)</f>
        <v>0</v>
      </c>
      <c r="I42">
        <f>SUMIF(RawDataRecovered!$B:$B,$A42,RawDataRecovered!L:L)</f>
        <v>0</v>
      </c>
      <c r="J42">
        <f>SUMIF(RawDataRecovered!$B:$B,$A42,RawDataRecovered!M:M)</f>
        <v>0</v>
      </c>
      <c r="K42">
        <f>SUMIF(RawDataRecovered!$B:$B,$A42,RawDataRecovered!N:N)</f>
        <v>0</v>
      </c>
      <c r="L42">
        <f>SUMIF(RawDataRecovered!$B:$B,$A42,RawDataRecovered!O:O)</f>
        <v>0</v>
      </c>
      <c r="M42">
        <f>SUMIF(RawDataRecovered!$B:$B,$A42,RawDataRecovered!P:P)</f>
        <v>0</v>
      </c>
      <c r="N42">
        <f>SUMIF(RawDataRecovered!$B:$B,$A42,RawDataRecovered!Q:Q)</f>
        <v>0</v>
      </c>
      <c r="O42">
        <f>SUMIF(RawDataRecovered!$B:$B,$A42,RawDataRecovered!R:R)</f>
        <v>0</v>
      </c>
      <c r="P42">
        <f>SUMIF(RawDataRecovered!$B:$B,$A42,RawDataRecovered!S:S)</f>
        <v>0</v>
      </c>
      <c r="Q42">
        <f>SUMIF(RawDataRecovered!$B:$B,$A42,RawDataRecovered!T:T)</f>
        <v>0</v>
      </c>
      <c r="R42">
        <f>SUMIF(RawDataRecovered!$B:$B,$A42,RawDataRecovered!U:U)</f>
        <v>0</v>
      </c>
      <c r="S42">
        <f>SUMIF(RawDataRecovered!$B:$B,$A42,RawDataRecovered!V:V)</f>
        <v>0</v>
      </c>
      <c r="T42">
        <f>SUMIF(RawDataRecovered!$B:$B,$A42,RawDataRecovered!W:W)</f>
        <v>0</v>
      </c>
      <c r="U42">
        <f>SUMIF(RawDataRecovered!$B:$B,$A42,RawDataRecovered!X:X)</f>
        <v>0</v>
      </c>
      <c r="V42">
        <f>SUMIF(RawDataRecovered!$B:$B,$A42,RawDataRecovered!Y:Y)</f>
        <v>0</v>
      </c>
      <c r="W42">
        <f>SUMIF(RawDataRecovered!$B:$B,$A42,RawDataRecovered!Z:Z)</f>
        <v>0</v>
      </c>
      <c r="X42">
        <f>SUMIF(RawDataRecovered!$B:$B,$A42,RawDataRecovered!AA:AA)</f>
        <v>0</v>
      </c>
      <c r="Y42">
        <f>SUMIF(RawDataRecovered!$B:$B,$A42,RawDataRecovered!AB:AB)</f>
        <v>0</v>
      </c>
      <c r="Z42">
        <f>SUMIF(RawDataRecovered!$B:$B,$A42,RawDataRecovered!AC:AC)</f>
        <v>0</v>
      </c>
      <c r="AA42">
        <f>SUMIF(RawDataRecovered!$B:$B,$A42,RawDataRecovered!AD:AD)</f>
        <v>0</v>
      </c>
      <c r="AB42">
        <f>SUMIF(RawDataRecovered!$B:$B,$A42,RawDataRecovered!AE:AE)</f>
        <v>0</v>
      </c>
      <c r="AC42">
        <f>SUMIF(RawDataRecovered!$B:$B,$A42,RawDataRecovered!AF:AF)</f>
        <v>0</v>
      </c>
      <c r="AD42">
        <f>SUMIF(RawDataRecovered!$B:$B,$A42,RawDataRecovered!AG:AG)</f>
        <v>0</v>
      </c>
      <c r="AE42">
        <f>SUMIF(RawDataRecovered!$B:$B,$A42,RawDataRecovered!AH:AH)</f>
        <v>0</v>
      </c>
      <c r="AF42">
        <f>SUMIF(RawDataRecovered!$B:$B,$A42,RawDataRecovered!AI:AI)</f>
        <v>0</v>
      </c>
      <c r="AG42">
        <f>SUMIF(RawDataRecovered!$B:$B,$A42,RawDataRecovered!AJ:AJ)</f>
        <v>0</v>
      </c>
      <c r="AH42">
        <f>SUMIF(RawDataRecovered!$B:$B,$A42,RawDataRecovered!AK:AK)</f>
        <v>0</v>
      </c>
      <c r="AI42">
        <f>SUMIF(RawDataRecovered!$B:$B,$A42,RawDataRecovered!AL:AL)</f>
        <v>0</v>
      </c>
      <c r="AJ42">
        <f>SUMIF(RawDataRecovered!$B:$B,$A42,RawDataRecovered!AM:AM)</f>
        <v>0</v>
      </c>
      <c r="AK42">
        <f>SUMIF(RawDataRecovered!$B:$B,$A42,RawDataRecovered!AN:AN)</f>
        <v>0</v>
      </c>
      <c r="AL42">
        <f>SUMIF(RawDataRecovered!$B:$B,$A42,RawDataRecovered!AO:AO)</f>
        <v>0</v>
      </c>
      <c r="AM42">
        <f>SUMIF(RawDataRecovered!$B:$B,$A42,RawDataRecovered!AP:AP)</f>
        <v>0</v>
      </c>
      <c r="AN42">
        <f>SUMIF(RawDataRecovered!$B:$B,$A42,RawDataRecovered!AQ:AQ)</f>
        <v>0</v>
      </c>
      <c r="AO42">
        <f>SUMIF(RawDataRecovered!$B:$B,$A42,RawDataRecovered!AR:AR)</f>
        <v>0</v>
      </c>
      <c r="AP42">
        <f>SUMIF(RawDataRecovered!$B:$B,$A42,RawDataRecovered!AS:AS)</f>
        <v>0</v>
      </c>
      <c r="AQ42">
        <f>SUMIF(RawDataRecovered!$B:$B,$A42,RawDataRecovered!AT:AT)</f>
        <v>0</v>
      </c>
      <c r="AR42">
        <f>SUMIF(RawDataRecovered!$B:$B,$A42,RawDataRecovered!AU:AU)</f>
        <v>0</v>
      </c>
      <c r="AS42">
        <f>SUMIF(RawDataRecovered!$B:$B,$A42,RawDataRecovered!AV:AV)</f>
        <v>0</v>
      </c>
      <c r="AT42">
        <f>SUMIF(RawDataRecovered!$B:$B,$A42,RawDataRecovered!AW:AW)</f>
        <v>0</v>
      </c>
      <c r="AU42">
        <f>SUMIF(RawDataRecovered!$B:$B,$A42,RawDataRecovered!AX:AX)</f>
        <v>0</v>
      </c>
      <c r="AV42">
        <f>SUMIF(RawDataRecovered!$B:$B,$A42,RawDataRecovered!AY:AY)</f>
        <v>0</v>
      </c>
      <c r="AW42">
        <f>SUMIF(RawDataRecovered!$B:$B,$A42,RawDataRecovered!AZ:AZ)</f>
        <v>0</v>
      </c>
      <c r="AX42">
        <f>SUMIF(RawDataRecovered!$B:$B,$A42,RawDataRecovered!BA:BA)</f>
        <v>0</v>
      </c>
      <c r="AY42">
        <f>SUMIF(RawDataRecovered!$B:$B,$A42,RawDataRecovered!BB:BB)</f>
        <v>0</v>
      </c>
      <c r="AZ42">
        <f>SUMIF(RawDataRecovered!$B:$B,$A42,RawDataRecovered!BC:BC)</f>
        <v>0</v>
      </c>
      <c r="BA42">
        <f>SUMIF(RawDataRecovered!$B:$B,$A42,RawDataRecovered!BD:BD)</f>
        <v>0</v>
      </c>
      <c r="BB42">
        <f>SUMIF(RawDataRecovered!$B:$B,$A42,RawDataRecovered!BE:BE)</f>
        <v>4</v>
      </c>
      <c r="BC42">
        <f>SUMIF(RawDataRecovered!$B:$B,$A42,RawDataRecovered!BF:BF)</f>
        <v>4</v>
      </c>
      <c r="BD42">
        <f>SUMIF(RawDataRecovered!$B:$B,$A42,RawDataRecovered!BG:BG)</f>
        <v>4</v>
      </c>
      <c r="BE42">
        <f>SUMIF(RawDataRecovered!$B:$B,$A42,RawDataRecovered!BH:BH)</f>
        <v>4</v>
      </c>
      <c r="BF42">
        <f>SUMIF(RawDataRecovered!$B:$B,$A42,RawDataRecovered!BI:BI)</f>
        <v>0</v>
      </c>
      <c r="BG42">
        <f>SUMIF(RawDataRecovered!$B:$B,$A42,RawDataRecovered!BJ:BJ)</f>
        <v>0</v>
      </c>
      <c r="BH42">
        <f>SUMIF(RawDataRecovered!$B:$B,$A42,RawDataRecovered!BK:BK)</f>
        <v>0</v>
      </c>
      <c r="BI42">
        <f>SUMIF(RawDataRecovered!$B:$B,$A42,RawDataRecovered!BL:BL)</f>
        <v>0</v>
      </c>
      <c r="BJ42">
        <f>SUMIF(RawDataRecovered!$B:$B,$A42,RawDataRecovered!BM:BM)</f>
        <v>0</v>
      </c>
      <c r="BK42">
        <f>SUMIF(RawDataRecovered!$B:$B,$A42,RawDataRecovered!BN:BN)</f>
        <v>0</v>
      </c>
      <c r="BL42">
        <f>SUMIF(RawDataRecovered!$B:$B,$A42,RawDataRecovered!BO:BO)</f>
        <v>0</v>
      </c>
      <c r="BM42">
        <f>SUMIF(RawDataRecovered!$B:$B,$A42,RawDataRecovered!BP:BP)</f>
        <v>0</v>
      </c>
      <c r="BN42">
        <f>SUMIF(RawDataRecovered!$B:$B,$A42,RawDataRecovered!BQ:BQ)</f>
        <v>0</v>
      </c>
      <c r="BO42">
        <f>SUMIF(RawDataRecovered!$B:$B,$A42,RawDataRecovered!BR:BR)</f>
        <v>0</v>
      </c>
      <c r="BP42">
        <f>SUMIF(RawDataRecovered!$B:$B,$A42,RawDataRecovered!BS:BS)</f>
        <v>0</v>
      </c>
      <c r="BQ42">
        <f>SUMIF(RawDataRecovered!$B:$B,$A42,RawDataRecovered!BT:BT)</f>
        <v>0</v>
      </c>
      <c r="BR42">
        <f>SUMIF(RawDataRecovered!$B:$B,$A42,RawDataRecovered!BU:BU)</f>
        <v>0</v>
      </c>
      <c r="BS42">
        <f>SUMIF(RawDataRecovered!$B:$B,$A42,RawDataRecovered!BV:BV)</f>
        <v>0</v>
      </c>
      <c r="BT42">
        <f>SUMIF(RawDataRecovered!$B:$B,$A42,RawDataRecovered!BW:BW)</f>
        <v>0</v>
      </c>
    </row>
    <row r="43" spans="1:72" ht="15" thickBot="1" x14ac:dyDescent="0.35">
      <c r="A43" s="4" t="s">
        <v>115</v>
      </c>
      <c r="B43">
        <f>SUMIF(RawDataRecovered!$B:$B,$A43,RawDataRecovered!E:E)</f>
        <v>0</v>
      </c>
      <c r="C43">
        <f>SUMIF(RawDataRecovered!$B:$B,$A43,RawDataRecovered!F:F)</f>
        <v>0</v>
      </c>
      <c r="D43">
        <f>SUMIF(RawDataRecovered!$B:$B,$A43,RawDataRecovered!G:G)</f>
        <v>0</v>
      </c>
      <c r="E43">
        <f>SUMIF(RawDataRecovered!$B:$B,$A43,RawDataRecovered!H:H)</f>
        <v>0</v>
      </c>
      <c r="F43">
        <f>SUMIF(RawDataRecovered!$B:$B,$A43,RawDataRecovered!I:I)</f>
        <v>0</v>
      </c>
      <c r="G43">
        <f>SUMIF(RawDataRecovered!$B:$B,$A43,RawDataRecovered!J:J)</f>
        <v>0</v>
      </c>
      <c r="H43">
        <f>SUMIF(RawDataRecovered!$B:$B,$A43,RawDataRecovered!K:K)</f>
        <v>0</v>
      </c>
      <c r="I43">
        <f>SUMIF(RawDataRecovered!$B:$B,$A43,RawDataRecovered!L:L)</f>
        <v>0</v>
      </c>
      <c r="J43">
        <f>SUMIF(RawDataRecovered!$B:$B,$A43,RawDataRecovered!M:M)</f>
        <v>0</v>
      </c>
      <c r="K43">
        <f>SUMIF(RawDataRecovered!$B:$B,$A43,RawDataRecovered!N:N)</f>
        <v>0</v>
      </c>
      <c r="L43">
        <f>SUMIF(RawDataRecovered!$B:$B,$A43,RawDataRecovered!O:O)</f>
        <v>0</v>
      </c>
      <c r="M43">
        <f>SUMIF(RawDataRecovered!$B:$B,$A43,RawDataRecovered!P:P)</f>
        <v>0</v>
      </c>
      <c r="N43">
        <f>SUMIF(RawDataRecovered!$B:$B,$A43,RawDataRecovered!Q:Q)</f>
        <v>0</v>
      </c>
      <c r="O43">
        <f>SUMIF(RawDataRecovered!$B:$B,$A43,RawDataRecovered!R:R)</f>
        <v>0</v>
      </c>
      <c r="P43">
        <f>SUMIF(RawDataRecovered!$B:$B,$A43,RawDataRecovered!S:S)</f>
        <v>0</v>
      </c>
      <c r="Q43">
        <f>SUMIF(RawDataRecovered!$B:$B,$A43,RawDataRecovered!T:T)</f>
        <v>0</v>
      </c>
      <c r="R43">
        <f>SUMIF(RawDataRecovered!$B:$B,$A43,RawDataRecovered!U:U)</f>
        <v>0</v>
      </c>
      <c r="S43">
        <f>SUMIF(RawDataRecovered!$B:$B,$A43,RawDataRecovered!V:V)</f>
        <v>0</v>
      </c>
      <c r="T43">
        <f>SUMIF(RawDataRecovered!$B:$B,$A43,RawDataRecovered!W:W)</f>
        <v>0</v>
      </c>
      <c r="U43">
        <f>SUMIF(RawDataRecovered!$B:$B,$A43,RawDataRecovered!X:X)</f>
        <v>0</v>
      </c>
      <c r="V43">
        <f>SUMIF(RawDataRecovered!$B:$B,$A43,RawDataRecovered!Y:Y)</f>
        <v>0</v>
      </c>
      <c r="W43">
        <f>SUMIF(RawDataRecovered!$B:$B,$A43,RawDataRecovered!Z:Z)</f>
        <v>0</v>
      </c>
      <c r="X43">
        <f>SUMIF(RawDataRecovered!$B:$B,$A43,RawDataRecovered!AA:AA)</f>
        <v>0</v>
      </c>
      <c r="Y43">
        <f>SUMIF(RawDataRecovered!$B:$B,$A43,RawDataRecovered!AB:AB)</f>
        <v>0</v>
      </c>
      <c r="Z43">
        <f>SUMIF(RawDataRecovered!$B:$B,$A43,RawDataRecovered!AC:AC)</f>
        <v>0</v>
      </c>
      <c r="AA43">
        <f>SUMIF(RawDataRecovered!$B:$B,$A43,RawDataRecovered!AD:AD)</f>
        <v>0</v>
      </c>
      <c r="AB43">
        <f>SUMIF(RawDataRecovered!$B:$B,$A43,RawDataRecovered!AE:AE)</f>
        <v>0</v>
      </c>
      <c r="AC43">
        <f>SUMIF(RawDataRecovered!$B:$B,$A43,RawDataRecovered!AF:AF)</f>
        <v>0</v>
      </c>
      <c r="AD43">
        <f>SUMIF(RawDataRecovered!$B:$B,$A43,RawDataRecovered!AG:AG)</f>
        <v>0</v>
      </c>
      <c r="AE43">
        <f>SUMIF(RawDataRecovered!$B:$B,$A43,RawDataRecovered!AH:AH)</f>
        <v>0</v>
      </c>
      <c r="AF43">
        <f>SUMIF(RawDataRecovered!$B:$B,$A43,RawDataRecovered!AI:AI)</f>
        <v>0</v>
      </c>
      <c r="AG43">
        <f>SUMIF(RawDataRecovered!$B:$B,$A43,RawDataRecovered!AJ:AJ)</f>
        <v>0</v>
      </c>
      <c r="AH43">
        <f>SUMIF(RawDataRecovered!$B:$B,$A43,RawDataRecovered!AK:AK)</f>
        <v>0</v>
      </c>
      <c r="AI43">
        <f>SUMIF(RawDataRecovered!$B:$B,$A43,RawDataRecovered!AL:AL)</f>
        <v>0</v>
      </c>
      <c r="AJ43">
        <f>SUMIF(RawDataRecovered!$B:$B,$A43,RawDataRecovered!AM:AM)</f>
        <v>0</v>
      </c>
      <c r="AK43">
        <f>SUMIF(RawDataRecovered!$B:$B,$A43,RawDataRecovered!AN:AN)</f>
        <v>0</v>
      </c>
      <c r="AL43">
        <f>SUMIF(RawDataRecovered!$B:$B,$A43,RawDataRecovered!AO:AO)</f>
        <v>0</v>
      </c>
      <c r="AM43">
        <f>SUMIF(RawDataRecovered!$B:$B,$A43,RawDataRecovered!AP:AP)</f>
        <v>0</v>
      </c>
      <c r="AN43">
        <f>SUMIF(RawDataRecovered!$B:$B,$A43,RawDataRecovered!AQ:AQ)</f>
        <v>0</v>
      </c>
      <c r="AO43">
        <f>SUMIF(RawDataRecovered!$B:$B,$A43,RawDataRecovered!AR:AR)</f>
        <v>0</v>
      </c>
      <c r="AP43">
        <f>SUMIF(RawDataRecovered!$B:$B,$A43,RawDataRecovered!AS:AS)</f>
        <v>0</v>
      </c>
      <c r="AQ43">
        <f>SUMIF(RawDataRecovered!$B:$B,$A43,RawDataRecovered!AT:AT)</f>
        <v>0</v>
      </c>
      <c r="AR43">
        <f>SUMIF(RawDataRecovered!$B:$B,$A43,RawDataRecovered!AU:AU)</f>
        <v>0</v>
      </c>
      <c r="AS43">
        <f>SUMIF(RawDataRecovered!$B:$B,$A43,RawDataRecovered!AV:AV)</f>
        <v>0</v>
      </c>
      <c r="AT43">
        <f>SUMIF(RawDataRecovered!$B:$B,$A43,RawDataRecovered!AW:AW)</f>
        <v>0</v>
      </c>
      <c r="AU43">
        <f>SUMIF(RawDataRecovered!$B:$B,$A43,RawDataRecovered!AX:AX)</f>
        <v>0</v>
      </c>
      <c r="AV43">
        <f>SUMIF(RawDataRecovered!$B:$B,$A43,RawDataRecovered!AY:AY)</f>
        <v>0</v>
      </c>
      <c r="AW43">
        <f>SUMIF(RawDataRecovered!$B:$B,$A43,RawDataRecovered!AZ:AZ)</f>
        <v>0</v>
      </c>
      <c r="AX43">
        <f>SUMIF(RawDataRecovered!$B:$B,$A43,RawDataRecovered!BA:BA)</f>
        <v>0</v>
      </c>
      <c r="AY43">
        <f>SUMIF(RawDataRecovered!$B:$B,$A43,RawDataRecovered!BB:BB)</f>
        <v>0</v>
      </c>
      <c r="AZ43">
        <f>SUMIF(RawDataRecovered!$B:$B,$A43,RawDataRecovered!BC:BC)</f>
        <v>0</v>
      </c>
      <c r="BA43">
        <f>SUMIF(RawDataRecovered!$B:$B,$A43,RawDataRecovered!BD:BD)</f>
        <v>0</v>
      </c>
      <c r="BB43">
        <f>SUMIF(RawDataRecovered!$B:$B,$A43,RawDataRecovered!BE:BE)</f>
        <v>0</v>
      </c>
      <c r="BC43">
        <f>SUMIF(RawDataRecovered!$B:$B,$A43,RawDataRecovered!BF:BF)</f>
        <v>1</v>
      </c>
      <c r="BD43">
        <f>SUMIF(RawDataRecovered!$B:$B,$A43,RawDataRecovered!BG:BG)</f>
        <v>1</v>
      </c>
      <c r="BE43">
        <f>SUMIF(RawDataRecovered!$B:$B,$A43,RawDataRecovered!BH:BH)</f>
        <v>1</v>
      </c>
      <c r="BF43">
        <f>SUMIF(RawDataRecovered!$B:$B,$A43,RawDataRecovered!BI:BI)</f>
        <v>0</v>
      </c>
      <c r="BG43">
        <f>SUMIF(RawDataRecovered!$B:$B,$A43,RawDataRecovered!BJ:BJ)</f>
        <v>0</v>
      </c>
      <c r="BH43">
        <f>SUMIF(RawDataRecovered!$B:$B,$A43,RawDataRecovered!BK:BK)</f>
        <v>0</v>
      </c>
      <c r="BI43">
        <f>SUMIF(RawDataRecovered!$B:$B,$A43,RawDataRecovered!BL:BL)</f>
        <v>0</v>
      </c>
      <c r="BJ43">
        <f>SUMIF(RawDataRecovered!$B:$B,$A43,RawDataRecovered!BM:BM)</f>
        <v>0</v>
      </c>
      <c r="BK43">
        <f>SUMIF(RawDataRecovered!$B:$B,$A43,RawDataRecovered!BN:BN)</f>
        <v>0</v>
      </c>
      <c r="BL43">
        <f>SUMIF(RawDataRecovered!$B:$B,$A43,RawDataRecovered!BO:BO)</f>
        <v>0</v>
      </c>
      <c r="BM43">
        <f>SUMIF(RawDataRecovered!$B:$B,$A43,RawDataRecovered!BP:BP)</f>
        <v>0</v>
      </c>
      <c r="BN43">
        <f>SUMIF(RawDataRecovered!$B:$B,$A43,RawDataRecovered!BQ:BQ)</f>
        <v>0</v>
      </c>
      <c r="BO43">
        <f>SUMIF(RawDataRecovered!$B:$B,$A43,RawDataRecovered!BR:BR)</f>
        <v>0</v>
      </c>
      <c r="BP43">
        <f>SUMIF(RawDataRecovered!$B:$B,$A43,RawDataRecovered!BS:BS)</f>
        <v>0</v>
      </c>
      <c r="BQ43">
        <f>SUMIF(RawDataRecovered!$B:$B,$A43,RawDataRecovered!BT:BT)</f>
        <v>0</v>
      </c>
      <c r="BR43">
        <f>SUMIF(RawDataRecovered!$B:$B,$A43,RawDataRecovered!BU:BU)</f>
        <v>0</v>
      </c>
      <c r="BS43">
        <f>SUMIF(RawDataRecovered!$B:$B,$A43,RawDataRecovered!BV:BV)</f>
        <v>0</v>
      </c>
      <c r="BT43">
        <f>SUMIF(RawDataRecovered!$B:$B,$A43,RawDataRecovered!BW:BW)</f>
        <v>0</v>
      </c>
    </row>
    <row r="44" spans="1:72" ht="15" thickBot="1" x14ac:dyDescent="0.35">
      <c r="A44" s="4" t="s">
        <v>94</v>
      </c>
      <c r="B44">
        <f>SUMIF(RawDataRecovered!$B:$B,$A44,RawDataRecovered!E:E)</f>
        <v>0</v>
      </c>
      <c r="C44">
        <f>SUMIF(RawDataRecovered!$B:$B,$A44,RawDataRecovered!F:F)</f>
        <v>0</v>
      </c>
      <c r="D44">
        <f>SUMIF(RawDataRecovered!$B:$B,$A44,RawDataRecovered!G:G)</f>
        <v>0</v>
      </c>
      <c r="E44">
        <f>SUMIF(RawDataRecovered!$B:$B,$A44,RawDataRecovered!H:H)</f>
        <v>0</v>
      </c>
      <c r="F44">
        <f>SUMIF(RawDataRecovered!$B:$B,$A44,RawDataRecovered!I:I)</f>
        <v>0</v>
      </c>
      <c r="G44">
        <f>SUMIF(RawDataRecovered!$B:$B,$A44,RawDataRecovered!J:J)</f>
        <v>0</v>
      </c>
      <c r="H44">
        <f>SUMIF(RawDataRecovered!$B:$B,$A44,RawDataRecovered!K:K)</f>
        <v>0</v>
      </c>
      <c r="I44">
        <f>SUMIF(RawDataRecovered!$B:$B,$A44,RawDataRecovered!L:L)</f>
        <v>0</v>
      </c>
      <c r="J44">
        <f>SUMIF(RawDataRecovered!$B:$B,$A44,RawDataRecovered!M:M)</f>
        <v>0</v>
      </c>
      <c r="K44">
        <f>SUMIF(RawDataRecovered!$B:$B,$A44,RawDataRecovered!N:N)</f>
        <v>0</v>
      </c>
      <c r="L44">
        <f>SUMIF(RawDataRecovered!$B:$B,$A44,RawDataRecovered!O:O)</f>
        <v>0</v>
      </c>
      <c r="M44">
        <f>SUMIF(RawDataRecovered!$B:$B,$A44,RawDataRecovered!P:P)</f>
        <v>0</v>
      </c>
      <c r="N44">
        <f>SUMIF(RawDataRecovered!$B:$B,$A44,RawDataRecovered!Q:Q)</f>
        <v>0</v>
      </c>
      <c r="O44">
        <f>SUMIF(RawDataRecovered!$B:$B,$A44,RawDataRecovered!R:R)</f>
        <v>0</v>
      </c>
      <c r="P44">
        <f>SUMIF(RawDataRecovered!$B:$B,$A44,RawDataRecovered!S:S)</f>
        <v>0</v>
      </c>
      <c r="Q44">
        <f>SUMIF(RawDataRecovered!$B:$B,$A44,RawDataRecovered!T:T)</f>
        <v>0</v>
      </c>
      <c r="R44">
        <f>SUMIF(RawDataRecovered!$B:$B,$A44,RawDataRecovered!U:U)</f>
        <v>0</v>
      </c>
      <c r="S44">
        <f>SUMIF(RawDataRecovered!$B:$B,$A44,RawDataRecovered!V:V)</f>
        <v>0</v>
      </c>
      <c r="T44">
        <f>SUMIF(RawDataRecovered!$B:$B,$A44,RawDataRecovered!W:W)</f>
        <v>0</v>
      </c>
      <c r="U44">
        <f>SUMIF(RawDataRecovered!$B:$B,$A44,RawDataRecovered!X:X)</f>
        <v>0</v>
      </c>
      <c r="V44">
        <f>SUMIF(RawDataRecovered!$B:$B,$A44,RawDataRecovered!Y:Y)</f>
        <v>0</v>
      </c>
      <c r="W44">
        <f>SUMIF(RawDataRecovered!$B:$B,$A44,RawDataRecovered!Z:Z)</f>
        <v>0</v>
      </c>
      <c r="X44">
        <f>SUMIF(RawDataRecovered!$B:$B,$A44,RawDataRecovered!AA:AA)</f>
        <v>0</v>
      </c>
      <c r="Y44">
        <f>SUMIF(RawDataRecovered!$B:$B,$A44,RawDataRecovered!AB:AB)</f>
        <v>0</v>
      </c>
      <c r="Z44">
        <f>SUMIF(RawDataRecovered!$B:$B,$A44,RawDataRecovered!AC:AC)</f>
        <v>0</v>
      </c>
      <c r="AA44">
        <f>SUMIF(RawDataRecovered!$B:$B,$A44,RawDataRecovered!AD:AD)</f>
        <v>0</v>
      </c>
      <c r="AB44">
        <f>SUMIF(RawDataRecovered!$B:$B,$A44,RawDataRecovered!AE:AE)</f>
        <v>0</v>
      </c>
      <c r="AC44">
        <f>SUMIF(RawDataRecovered!$B:$B,$A44,RawDataRecovered!AF:AF)</f>
        <v>0</v>
      </c>
      <c r="AD44">
        <f>SUMIF(RawDataRecovered!$B:$B,$A44,RawDataRecovered!AG:AG)</f>
        <v>0</v>
      </c>
      <c r="AE44">
        <f>SUMIF(RawDataRecovered!$B:$B,$A44,RawDataRecovered!AH:AH)</f>
        <v>0</v>
      </c>
      <c r="AF44">
        <f>SUMIF(RawDataRecovered!$B:$B,$A44,RawDataRecovered!AI:AI)</f>
        <v>0</v>
      </c>
      <c r="AG44">
        <f>SUMIF(RawDataRecovered!$B:$B,$A44,RawDataRecovered!AJ:AJ)</f>
        <v>0</v>
      </c>
      <c r="AH44">
        <f>SUMIF(RawDataRecovered!$B:$B,$A44,RawDataRecovered!AK:AK)</f>
        <v>0</v>
      </c>
      <c r="AI44">
        <f>SUMIF(RawDataRecovered!$B:$B,$A44,RawDataRecovered!AL:AL)</f>
        <v>0</v>
      </c>
      <c r="AJ44">
        <f>SUMIF(RawDataRecovered!$B:$B,$A44,RawDataRecovered!AM:AM)</f>
        <v>0</v>
      </c>
      <c r="AK44">
        <f>SUMIF(RawDataRecovered!$B:$B,$A44,RawDataRecovered!AN:AN)</f>
        <v>0</v>
      </c>
      <c r="AL44">
        <f>SUMIF(RawDataRecovered!$B:$B,$A44,RawDataRecovered!AO:AO)</f>
        <v>0</v>
      </c>
      <c r="AM44">
        <f>SUMIF(RawDataRecovered!$B:$B,$A44,RawDataRecovered!AP:AP)</f>
        <v>0</v>
      </c>
      <c r="AN44">
        <f>SUMIF(RawDataRecovered!$B:$B,$A44,RawDataRecovered!AQ:AQ)</f>
        <v>0</v>
      </c>
      <c r="AO44">
        <f>SUMIF(RawDataRecovered!$B:$B,$A44,RawDataRecovered!AR:AR)</f>
        <v>0</v>
      </c>
      <c r="AP44">
        <f>SUMIF(RawDataRecovered!$B:$B,$A44,RawDataRecovered!AS:AS)</f>
        <v>0</v>
      </c>
      <c r="AQ44">
        <f>SUMIF(RawDataRecovered!$B:$B,$A44,RawDataRecovered!AT:AT)</f>
        <v>0</v>
      </c>
      <c r="AR44">
        <f>SUMIF(RawDataRecovered!$B:$B,$A44,RawDataRecovered!AU:AU)</f>
        <v>1</v>
      </c>
      <c r="AS44">
        <f>SUMIF(RawDataRecovered!$B:$B,$A44,RawDataRecovered!AV:AV)</f>
        <v>1</v>
      </c>
      <c r="AT44">
        <f>SUMIF(RawDataRecovered!$B:$B,$A44,RawDataRecovered!AW:AW)</f>
        <v>1</v>
      </c>
      <c r="AU44">
        <f>SUMIF(RawDataRecovered!$B:$B,$A44,RawDataRecovered!AX:AX)</f>
        <v>1</v>
      </c>
      <c r="AV44">
        <f>SUMIF(RawDataRecovered!$B:$B,$A44,RawDataRecovered!AY:AY)</f>
        <v>1</v>
      </c>
      <c r="AW44">
        <f>SUMIF(RawDataRecovered!$B:$B,$A44,RawDataRecovered!AZ:AZ)</f>
        <v>1</v>
      </c>
      <c r="AX44">
        <f>SUMIF(RawDataRecovered!$B:$B,$A44,RawDataRecovered!BA:BA)</f>
        <v>1</v>
      </c>
      <c r="AY44">
        <f>SUMIF(RawDataRecovered!$B:$B,$A44,RawDataRecovered!BB:BB)</f>
        <v>1</v>
      </c>
      <c r="AZ44">
        <f>SUMIF(RawDataRecovered!$B:$B,$A44,RawDataRecovered!BC:BC)</f>
        <v>1</v>
      </c>
      <c r="BA44">
        <f>SUMIF(RawDataRecovered!$B:$B,$A44,RawDataRecovered!BD:BD)</f>
        <v>1</v>
      </c>
      <c r="BB44">
        <f>SUMIF(RawDataRecovered!$B:$B,$A44,RawDataRecovered!BE:BE)</f>
        <v>1</v>
      </c>
      <c r="BC44">
        <f>SUMIF(RawDataRecovered!$B:$B,$A44,RawDataRecovered!BF:BF)</f>
        <v>1</v>
      </c>
      <c r="BD44">
        <f>SUMIF(RawDataRecovered!$B:$B,$A44,RawDataRecovered!BG:BG)</f>
        <v>1</v>
      </c>
      <c r="BE44">
        <f>SUMIF(RawDataRecovered!$B:$B,$A44,RawDataRecovered!BH:BH)</f>
        <v>3</v>
      </c>
      <c r="BF44">
        <f>SUMIF(RawDataRecovered!$B:$B,$A44,RawDataRecovered!BI:BI)</f>
        <v>0</v>
      </c>
      <c r="BG44">
        <f>SUMIF(RawDataRecovered!$B:$B,$A44,RawDataRecovered!BJ:BJ)</f>
        <v>0</v>
      </c>
      <c r="BH44">
        <f>SUMIF(RawDataRecovered!$B:$B,$A44,RawDataRecovered!BK:BK)</f>
        <v>0</v>
      </c>
      <c r="BI44">
        <f>SUMIF(RawDataRecovered!$B:$B,$A44,RawDataRecovered!BL:BL)</f>
        <v>0</v>
      </c>
      <c r="BJ44">
        <f>SUMIF(RawDataRecovered!$B:$B,$A44,RawDataRecovered!BM:BM)</f>
        <v>0</v>
      </c>
      <c r="BK44">
        <f>SUMIF(RawDataRecovered!$B:$B,$A44,RawDataRecovered!BN:BN)</f>
        <v>0</v>
      </c>
      <c r="BL44">
        <f>SUMIF(RawDataRecovered!$B:$B,$A44,RawDataRecovered!BO:BO)</f>
        <v>0</v>
      </c>
      <c r="BM44">
        <f>SUMIF(RawDataRecovered!$B:$B,$A44,RawDataRecovered!BP:BP)</f>
        <v>0</v>
      </c>
      <c r="BN44">
        <f>SUMIF(RawDataRecovered!$B:$B,$A44,RawDataRecovered!BQ:BQ)</f>
        <v>0</v>
      </c>
      <c r="BO44">
        <f>SUMIF(RawDataRecovered!$B:$B,$A44,RawDataRecovered!BR:BR)</f>
        <v>0</v>
      </c>
      <c r="BP44">
        <f>SUMIF(RawDataRecovered!$B:$B,$A44,RawDataRecovered!BS:BS)</f>
        <v>0</v>
      </c>
      <c r="BQ44">
        <f>SUMIF(RawDataRecovered!$B:$B,$A44,RawDataRecovered!BT:BT)</f>
        <v>0</v>
      </c>
      <c r="BR44">
        <f>SUMIF(RawDataRecovered!$B:$B,$A44,RawDataRecovered!BU:BU)</f>
        <v>0</v>
      </c>
      <c r="BS44">
        <f>SUMIF(RawDataRecovered!$B:$B,$A44,RawDataRecovered!BV:BV)</f>
        <v>0</v>
      </c>
      <c r="BT44">
        <f>SUMIF(RawDataRecovered!$B:$B,$A44,RawDataRecovered!BW:BW)</f>
        <v>0</v>
      </c>
    </row>
    <row r="45" spans="1:72" ht="15" thickBot="1" x14ac:dyDescent="0.35">
      <c r="A45" s="3" t="s">
        <v>62</v>
      </c>
      <c r="B45">
        <f>SUMIF(RawDataRecovered!$B:$B,$A45,RawDataRecovered!E:E)</f>
        <v>0</v>
      </c>
      <c r="C45">
        <f>SUMIF(RawDataRecovered!$B:$B,$A45,RawDataRecovered!F:F)</f>
        <v>0</v>
      </c>
      <c r="D45">
        <f>SUMIF(RawDataRecovered!$B:$B,$A45,RawDataRecovered!G:G)</f>
        <v>0</v>
      </c>
      <c r="E45">
        <f>SUMIF(RawDataRecovered!$B:$B,$A45,RawDataRecovered!H:H)</f>
        <v>0</v>
      </c>
      <c r="F45">
        <f>SUMIF(RawDataRecovered!$B:$B,$A45,RawDataRecovered!I:I)</f>
        <v>2</v>
      </c>
      <c r="G45">
        <f>SUMIF(RawDataRecovered!$B:$B,$A45,RawDataRecovered!J:J)</f>
        <v>2</v>
      </c>
      <c r="H45">
        <f>SUMIF(RawDataRecovered!$B:$B,$A45,RawDataRecovered!K:K)</f>
        <v>5</v>
      </c>
      <c r="I45">
        <f>SUMIF(RawDataRecovered!$B:$B,$A45,RawDataRecovered!L:L)</f>
        <v>5</v>
      </c>
      <c r="J45">
        <f>SUMIF(RawDataRecovered!$B:$B,$A45,RawDataRecovered!M:M)</f>
        <v>5</v>
      </c>
      <c r="K45">
        <f>SUMIF(RawDataRecovered!$B:$B,$A45,RawDataRecovered!N:N)</f>
        <v>5</v>
      </c>
      <c r="L45">
        <f>SUMIF(RawDataRecovered!$B:$B,$A45,RawDataRecovered!O:O)</f>
        <v>5</v>
      </c>
      <c r="M45">
        <f>SUMIF(RawDataRecovered!$B:$B,$A45,RawDataRecovered!P:P)</f>
        <v>5</v>
      </c>
      <c r="N45">
        <f>SUMIF(RawDataRecovered!$B:$B,$A45,RawDataRecovered!Q:Q)</f>
        <v>5</v>
      </c>
      <c r="O45">
        <f>SUMIF(RawDataRecovered!$B:$B,$A45,RawDataRecovered!R:R)</f>
        <v>5</v>
      </c>
      <c r="P45">
        <f>SUMIF(RawDataRecovered!$B:$B,$A45,RawDataRecovered!S:S)</f>
        <v>5</v>
      </c>
      <c r="Q45">
        <f>SUMIF(RawDataRecovered!$B:$B,$A45,RawDataRecovered!T:T)</f>
        <v>5</v>
      </c>
      <c r="R45">
        <f>SUMIF(RawDataRecovered!$B:$B,$A45,RawDataRecovered!U:U)</f>
        <v>5</v>
      </c>
      <c r="S45">
        <f>SUMIF(RawDataRecovered!$B:$B,$A45,RawDataRecovered!V:V)</f>
        <v>10</v>
      </c>
      <c r="T45">
        <f>SUMIF(RawDataRecovered!$B:$B,$A45,RawDataRecovered!W:W)</f>
        <v>10</v>
      </c>
      <c r="U45">
        <f>SUMIF(RawDataRecovered!$B:$B,$A45,RawDataRecovered!X:X)</f>
        <v>10</v>
      </c>
      <c r="V45">
        <f>SUMIF(RawDataRecovered!$B:$B,$A45,RawDataRecovered!Y:Y)</f>
        <v>10</v>
      </c>
      <c r="W45">
        <f>SUMIF(RawDataRecovered!$B:$B,$A45,RawDataRecovered!Z:Z)</f>
        <v>10</v>
      </c>
      <c r="X45">
        <f>SUMIF(RawDataRecovered!$B:$B,$A45,RawDataRecovered!AA:AA)</f>
        <v>12</v>
      </c>
      <c r="Y45">
        <f>SUMIF(RawDataRecovered!$B:$B,$A45,RawDataRecovered!AB:AB)</f>
        <v>12</v>
      </c>
      <c r="Z45">
        <f>SUMIF(RawDataRecovered!$B:$B,$A45,RawDataRecovered!AC:AC)</f>
        <v>12</v>
      </c>
      <c r="AA45">
        <f>SUMIF(RawDataRecovered!$B:$B,$A45,RawDataRecovered!AD:AD)</f>
        <v>14</v>
      </c>
      <c r="AB45">
        <f>SUMIF(RawDataRecovered!$B:$B,$A45,RawDataRecovered!AE:AE)</f>
        <v>15</v>
      </c>
      <c r="AC45">
        <f>SUMIF(RawDataRecovered!$B:$B,$A45,RawDataRecovered!AF:AF)</f>
        <v>15</v>
      </c>
      <c r="AD45">
        <f>SUMIF(RawDataRecovered!$B:$B,$A45,RawDataRecovered!AG:AG)</f>
        <v>15</v>
      </c>
      <c r="AE45">
        <f>SUMIF(RawDataRecovered!$B:$B,$A45,RawDataRecovered!AH:AH)</f>
        <v>15</v>
      </c>
      <c r="AF45">
        <f>SUMIF(RawDataRecovered!$B:$B,$A45,RawDataRecovered!AI:AI)</f>
        <v>17</v>
      </c>
      <c r="AG45">
        <f>SUMIF(RawDataRecovered!$B:$B,$A45,RawDataRecovered!AJ:AJ)</f>
        <v>17</v>
      </c>
      <c r="AH45">
        <f>SUMIF(RawDataRecovered!$B:$B,$A45,RawDataRecovered!AK:AK)</f>
        <v>21</v>
      </c>
      <c r="AI45">
        <f>SUMIF(RawDataRecovered!$B:$B,$A45,RawDataRecovered!AL:AL)</f>
        <v>21</v>
      </c>
      <c r="AJ45">
        <f>SUMIF(RawDataRecovered!$B:$B,$A45,RawDataRecovered!AM:AM)</f>
        <v>22</v>
      </c>
      <c r="AK45">
        <f>SUMIF(RawDataRecovered!$B:$B,$A45,RawDataRecovered!AN:AN)</f>
        <v>22</v>
      </c>
      <c r="AL45">
        <f>SUMIF(RawDataRecovered!$B:$B,$A45,RawDataRecovered!AO:AO)</f>
        <v>22</v>
      </c>
      <c r="AM45">
        <f>SUMIF(RawDataRecovered!$B:$B,$A45,RawDataRecovered!AP:AP)</f>
        <v>28</v>
      </c>
      <c r="AN45">
        <f>SUMIF(RawDataRecovered!$B:$B,$A45,RawDataRecovered!AQ:AQ)</f>
        <v>28</v>
      </c>
      <c r="AO45">
        <f>SUMIF(RawDataRecovered!$B:$B,$A45,RawDataRecovered!AR:AR)</f>
        <v>28</v>
      </c>
      <c r="AP45">
        <f>SUMIF(RawDataRecovered!$B:$B,$A45,RawDataRecovered!AS:AS)</f>
        <v>31</v>
      </c>
      <c r="AQ45">
        <f>SUMIF(RawDataRecovered!$B:$B,$A45,RawDataRecovered!AT:AT)</f>
        <v>31</v>
      </c>
      <c r="AR45">
        <f>SUMIF(RawDataRecovered!$B:$B,$A45,RawDataRecovered!AU:AU)</f>
        <v>31</v>
      </c>
      <c r="AS45">
        <f>SUMIF(RawDataRecovered!$B:$B,$A45,RawDataRecovered!AV:AV)</f>
        <v>31</v>
      </c>
      <c r="AT45">
        <f>SUMIF(RawDataRecovered!$B:$B,$A45,RawDataRecovered!AW:AW)</f>
        <v>31</v>
      </c>
      <c r="AU45">
        <f>SUMIF(RawDataRecovered!$B:$B,$A45,RawDataRecovered!AX:AX)</f>
        <v>31</v>
      </c>
      <c r="AV45">
        <f>SUMIF(RawDataRecovered!$B:$B,$A45,RawDataRecovered!AY:AY)</f>
        <v>31</v>
      </c>
      <c r="AW45">
        <f>SUMIF(RawDataRecovered!$B:$B,$A45,RawDataRecovered!AZ:AZ)</f>
        <v>31</v>
      </c>
      <c r="AX45">
        <f>SUMIF(RawDataRecovered!$B:$B,$A45,RawDataRecovered!BA:BA)</f>
        <v>33</v>
      </c>
      <c r="AY45">
        <f>SUMIF(RawDataRecovered!$B:$B,$A45,RawDataRecovered!BB:BB)</f>
        <v>34</v>
      </c>
      <c r="AZ45">
        <f>SUMIF(RawDataRecovered!$B:$B,$A45,RawDataRecovered!BC:BC)</f>
        <v>34</v>
      </c>
      <c r="BA45">
        <f>SUMIF(RawDataRecovered!$B:$B,$A45,RawDataRecovered!BD:BD)</f>
        <v>35</v>
      </c>
      <c r="BB45">
        <f>SUMIF(RawDataRecovered!$B:$B,$A45,RawDataRecovered!BE:BE)</f>
        <v>35</v>
      </c>
      <c r="BC45">
        <f>SUMIF(RawDataRecovered!$B:$B,$A45,RawDataRecovered!BF:BF)</f>
        <v>35</v>
      </c>
      <c r="BD45">
        <f>SUMIF(RawDataRecovered!$B:$B,$A45,RawDataRecovered!BG:BG)</f>
        <v>35</v>
      </c>
      <c r="BE45">
        <f>SUMIF(RawDataRecovered!$B:$B,$A45,RawDataRecovered!BH:BH)</f>
        <v>41</v>
      </c>
      <c r="BF45">
        <f>SUMIF(RawDataRecovered!$B:$B,$A45,RawDataRecovered!BI:BI)</f>
        <v>0</v>
      </c>
      <c r="BG45">
        <f>SUMIF(RawDataRecovered!$B:$B,$A45,RawDataRecovered!BJ:BJ)</f>
        <v>0</v>
      </c>
      <c r="BH45">
        <f>SUMIF(RawDataRecovered!$B:$B,$A45,RawDataRecovered!BK:BK)</f>
        <v>0</v>
      </c>
      <c r="BI45">
        <f>SUMIF(RawDataRecovered!$B:$B,$A45,RawDataRecovered!BL:BL)</f>
        <v>0</v>
      </c>
      <c r="BJ45">
        <f>SUMIF(RawDataRecovered!$B:$B,$A45,RawDataRecovered!BM:BM)</f>
        <v>0</v>
      </c>
      <c r="BK45">
        <f>SUMIF(RawDataRecovered!$B:$B,$A45,RawDataRecovered!BN:BN)</f>
        <v>0</v>
      </c>
      <c r="BL45">
        <f>SUMIF(RawDataRecovered!$B:$B,$A45,RawDataRecovered!BO:BO)</f>
        <v>0</v>
      </c>
      <c r="BM45">
        <f>SUMIF(RawDataRecovered!$B:$B,$A45,RawDataRecovered!BP:BP)</f>
        <v>0</v>
      </c>
      <c r="BN45">
        <f>SUMIF(RawDataRecovered!$B:$B,$A45,RawDataRecovered!BQ:BQ)</f>
        <v>0</v>
      </c>
      <c r="BO45">
        <f>SUMIF(RawDataRecovered!$B:$B,$A45,RawDataRecovered!BR:BR)</f>
        <v>0</v>
      </c>
      <c r="BP45">
        <f>SUMIF(RawDataRecovered!$B:$B,$A45,RawDataRecovered!BS:BS)</f>
        <v>0</v>
      </c>
      <c r="BQ45">
        <f>SUMIF(RawDataRecovered!$B:$B,$A45,RawDataRecovered!BT:BT)</f>
        <v>0</v>
      </c>
      <c r="BR45">
        <f>SUMIF(RawDataRecovered!$B:$B,$A45,RawDataRecovered!BU:BU)</f>
        <v>0</v>
      </c>
      <c r="BS45">
        <f>SUMIF(RawDataRecovered!$B:$B,$A45,RawDataRecovered!BV:BV)</f>
        <v>0</v>
      </c>
      <c r="BT45">
        <f>SUMIF(RawDataRecovered!$B:$B,$A45,RawDataRecovered!BW:BW)</f>
        <v>0</v>
      </c>
    </row>
    <row r="46" spans="1:72" ht="15" thickBot="1" x14ac:dyDescent="0.35">
      <c r="A46" s="4" t="s">
        <v>134</v>
      </c>
      <c r="B46">
        <f>SUMIF(RawDataRecovered!$B:$B,$A46,RawDataRecovered!E:E)</f>
        <v>0</v>
      </c>
      <c r="C46">
        <f>SUMIF(RawDataRecovered!$B:$B,$A46,RawDataRecovered!F:F)</f>
        <v>0</v>
      </c>
      <c r="D46">
        <f>SUMIF(RawDataRecovered!$B:$B,$A46,RawDataRecovered!G:G)</f>
        <v>0</v>
      </c>
      <c r="E46">
        <f>SUMIF(RawDataRecovered!$B:$B,$A46,RawDataRecovered!H:H)</f>
        <v>0</v>
      </c>
      <c r="F46">
        <f>SUMIF(RawDataRecovered!$B:$B,$A46,RawDataRecovered!I:I)</f>
        <v>0</v>
      </c>
      <c r="G46">
        <f>SUMIF(RawDataRecovered!$B:$B,$A46,RawDataRecovered!J:J)</f>
        <v>0</v>
      </c>
      <c r="H46">
        <f>SUMIF(RawDataRecovered!$B:$B,$A46,RawDataRecovered!K:K)</f>
        <v>0</v>
      </c>
      <c r="I46">
        <f>SUMIF(RawDataRecovered!$B:$B,$A46,RawDataRecovered!L:L)</f>
        <v>0</v>
      </c>
      <c r="J46">
        <f>SUMIF(RawDataRecovered!$B:$B,$A46,RawDataRecovered!M:M)</f>
        <v>0</v>
      </c>
      <c r="K46">
        <f>SUMIF(RawDataRecovered!$B:$B,$A46,RawDataRecovered!N:N)</f>
        <v>0</v>
      </c>
      <c r="L46">
        <f>SUMIF(RawDataRecovered!$B:$B,$A46,RawDataRecovered!O:O)</f>
        <v>0</v>
      </c>
      <c r="M46">
        <f>SUMIF(RawDataRecovered!$B:$B,$A46,RawDataRecovered!P:P)</f>
        <v>0</v>
      </c>
      <c r="N46">
        <f>SUMIF(RawDataRecovered!$B:$B,$A46,RawDataRecovered!Q:Q)</f>
        <v>0</v>
      </c>
      <c r="O46">
        <f>SUMIF(RawDataRecovered!$B:$B,$A46,RawDataRecovered!R:R)</f>
        <v>0</v>
      </c>
      <c r="P46">
        <f>SUMIF(RawDataRecovered!$B:$B,$A46,RawDataRecovered!S:S)</f>
        <v>0</v>
      </c>
      <c r="Q46">
        <f>SUMIF(RawDataRecovered!$B:$B,$A46,RawDataRecovered!T:T)</f>
        <v>0</v>
      </c>
      <c r="R46">
        <f>SUMIF(RawDataRecovered!$B:$B,$A46,RawDataRecovered!U:U)</f>
        <v>0</v>
      </c>
      <c r="S46">
        <f>SUMIF(RawDataRecovered!$B:$B,$A46,RawDataRecovered!V:V)</f>
        <v>0</v>
      </c>
      <c r="T46">
        <f>SUMIF(RawDataRecovered!$B:$B,$A46,RawDataRecovered!W:W)</f>
        <v>0</v>
      </c>
      <c r="U46">
        <f>SUMIF(RawDataRecovered!$B:$B,$A46,RawDataRecovered!X:X)</f>
        <v>0</v>
      </c>
      <c r="V46">
        <f>SUMIF(RawDataRecovered!$B:$B,$A46,RawDataRecovered!Y:Y)</f>
        <v>0</v>
      </c>
      <c r="W46">
        <f>SUMIF(RawDataRecovered!$B:$B,$A46,RawDataRecovered!Z:Z)</f>
        <v>0</v>
      </c>
      <c r="X46">
        <f>SUMIF(RawDataRecovered!$B:$B,$A46,RawDataRecovered!AA:AA)</f>
        <v>0</v>
      </c>
      <c r="Y46">
        <f>SUMIF(RawDataRecovered!$B:$B,$A46,RawDataRecovered!AB:AB)</f>
        <v>0</v>
      </c>
      <c r="Z46">
        <f>SUMIF(RawDataRecovered!$B:$B,$A46,RawDataRecovered!AC:AC)</f>
        <v>0</v>
      </c>
      <c r="AA46">
        <f>SUMIF(RawDataRecovered!$B:$B,$A46,RawDataRecovered!AD:AD)</f>
        <v>0</v>
      </c>
      <c r="AB46">
        <f>SUMIF(RawDataRecovered!$B:$B,$A46,RawDataRecovered!AE:AE)</f>
        <v>0</v>
      </c>
      <c r="AC46">
        <f>SUMIF(RawDataRecovered!$B:$B,$A46,RawDataRecovered!AF:AF)</f>
        <v>0</v>
      </c>
      <c r="AD46">
        <f>SUMIF(RawDataRecovered!$B:$B,$A46,RawDataRecovered!AG:AG)</f>
        <v>0</v>
      </c>
      <c r="AE46">
        <f>SUMIF(RawDataRecovered!$B:$B,$A46,RawDataRecovered!AH:AH)</f>
        <v>0</v>
      </c>
      <c r="AF46">
        <f>SUMIF(RawDataRecovered!$B:$B,$A46,RawDataRecovered!AI:AI)</f>
        <v>0</v>
      </c>
      <c r="AG46">
        <f>SUMIF(RawDataRecovered!$B:$B,$A46,RawDataRecovered!AJ:AJ)</f>
        <v>0</v>
      </c>
      <c r="AH46">
        <f>SUMIF(RawDataRecovered!$B:$B,$A46,RawDataRecovered!AK:AK)</f>
        <v>0</v>
      </c>
      <c r="AI46">
        <f>SUMIF(RawDataRecovered!$B:$B,$A46,RawDataRecovered!AL:AL)</f>
        <v>0</v>
      </c>
      <c r="AJ46">
        <f>SUMIF(RawDataRecovered!$B:$B,$A46,RawDataRecovered!AM:AM)</f>
        <v>0</v>
      </c>
      <c r="AK46">
        <f>SUMIF(RawDataRecovered!$B:$B,$A46,RawDataRecovered!AN:AN)</f>
        <v>0</v>
      </c>
      <c r="AL46">
        <f>SUMIF(RawDataRecovered!$B:$B,$A46,RawDataRecovered!AO:AO)</f>
        <v>0</v>
      </c>
      <c r="AM46">
        <f>SUMIF(RawDataRecovered!$B:$B,$A46,RawDataRecovered!AP:AP)</f>
        <v>0</v>
      </c>
      <c r="AN46">
        <f>SUMIF(RawDataRecovered!$B:$B,$A46,RawDataRecovered!AQ:AQ)</f>
        <v>0</v>
      </c>
      <c r="AO46">
        <f>SUMIF(RawDataRecovered!$B:$B,$A46,RawDataRecovered!AR:AR)</f>
        <v>0</v>
      </c>
      <c r="AP46">
        <f>SUMIF(RawDataRecovered!$B:$B,$A46,RawDataRecovered!AS:AS)</f>
        <v>0</v>
      </c>
      <c r="AQ46">
        <f>SUMIF(RawDataRecovered!$B:$B,$A46,RawDataRecovered!AT:AT)</f>
        <v>0</v>
      </c>
      <c r="AR46">
        <f>SUMIF(RawDataRecovered!$B:$B,$A46,RawDataRecovered!AU:AU)</f>
        <v>0</v>
      </c>
      <c r="AS46">
        <f>SUMIF(RawDataRecovered!$B:$B,$A46,RawDataRecovered!AV:AV)</f>
        <v>0</v>
      </c>
      <c r="AT46">
        <f>SUMIF(RawDataRecovered!$B:$B,$A46,RawDataRecovered!AW:AW)</f>
        <v>0</v>
      </c>
      <c r="AU46">
        <f>SUMIF(RawDataRecovered!$B:$B,$A46,RawDataRecovered!AX:AX)</f>
        <v>0</v>
      </c>
      <c r="AV46">
        <f>SUMIF(RawDataRecovered!$B:$B,$A46,RawDataRecovered!AY:AY)</f>
        <v>0</v>
      </c>
      <c r="AW46">
        <f>SUMIF(RawDataRecovered!$B:$B,$A46,RawDataRecovered!AZ:AZ)</f>
        <v>0</v>
      </c>
      <c r="AX46">
        <f>SUMIF(RawDataRecovered!$B:$B,$A46,RawDataRecovered!BA:BA)</f>
        <v>2</v>
      </c>
      <c r="AY46">
        <f>SUMIF(RawDataRecovered!$B:$B,$A46,RawDataRecovered!BB:BB)</f>
        <v>2</v>
      </c>
      <c r="AZ46">
        <f>SUMIF(RawDataRecovered!$B:$B,$A46,RawDataRecovered!BC:BC)</f>
        <v>2</v>
      </c>
      <c r="BA46">
        <f>SUMIF(RawDataRecovered!$B:$B,$A46,RawDataRecovered!BD:BD)</f>
        <v>2</v>
      </c>
      <c r="BB46">
        <f>SUMIF(RawDataRecovered!$B:$B,$A46,RawDataRecovered!BE:BE)</f>
        <v>8</v>
      </c>
      <c r="BC46">
        <f>SUMIF(RawDataRecovered!$B:$B,$A46,RawDataRecovered!BF:BF)</f>
        <v>8</v>
      </c>
      <c r="BD46">
        <f>SUMIF(RawDataRecovered!$B:$B,$A46,RawDataRecovered!BG:BG)</f>
        <v>8</v>
      </c>
      <c r="BE46">
        <f>SUMIF(RawDataRecovered!$B:$B,$A46,RawDataRecovered!BH:BH)</f>
        <v>8</v>
      </c>
      <c r="BF46">
        <f>SUMIF(RawDataRecovered!$B:$B,$A46,RawDataRecovered!BI:BI)</f>
        <v>0</v>
      </c>
      <c r="BG46">
        <f>SUMIF(RawDataRecovered!$B:$B,$A46,RawDataRecovered!BJ:BJ)</f>
        <v>0</v>
      </c>
      <c r="BH46">
        <f>SUMIF(RawDataRecovered!$B:$B,$A46,RawDataRecovered!BK:BK)</f>
        <v>0</v>
      </c>
      <c r="BI46">
        <f>SUMIF(RawDataRecovered!$B:$B,$A46,RawDataRecovered!BL:BL)</f>
        <v>0</v>
      </c>
      <c r="BJ46">
        <f>SUMIF(RawDataRecovered!$B:$B,$A46,RawDataRecovered!BM:BM)</f>
        <v>0</v>
      </c>
      <c r="BK46">
        <f>SUMIF(RawDataRecovered!$B:$B,$A46,RawDataRecovered!BN:BN)</f>
        <v>0</v>
      </c>
      <c r="BL46">
        <f>SUMIF(RawDataRecovered!$B:$B,$A46,RawDataRecovered!BO:BO)</f>
        <v>0</v>
      </c>
      <c r="BM46">
        <f>SUMIF(RawDataRecovered!$B:$B,$A46,RawDataRecovered!BP:BP)</f>
        <v>0</v>
      </c>
      <c r="BN46">
        <f>SUMIF(RawDataRecovered!$B:$B,$A46,RawDataRecovered!BQ:BQ)</f>
        <v>0</v>
      </c>
      <c r="BO46">
        <f>SUMIF(RawDataRecovered!$B:$B,$A46,RawDataRecovered!BR:BR)</f>
        <v>0</v>
      </c>
      <c r="BP46">
        <f>SUMIF(RawDataRecovered!$B:$B,$A46,RawDataRecovered!BS:BS)</f>
        <v>0</v>
      </c>
      <c r="BQ46">
        <f>SUMIF(RawDataRecovered!$B:$B,$A46,RawDataRecovered!BT:BT)</f>
        <v>0</v>
      </c>
      <c r="BR46">
        <f>SUMIF(RawDataRecovered!$B:$B,$A46,RawDataRecovered!BU:BU)</f>
        <v>0</v>
      </c>
      <c r="BS46">
        <f>SUMIF(RawDataRecovered!$B:$B,$A46,RawDataRecovered!BV:BV)</f>
        <v>0</v>
      </c>
      <c r="BT46">
        <f>SUMIF(RawDataRecovered!$B:$B,$A46,RawDataRecovered!BW:BW)</f>
        <v>0</v>
      </c>
    </row>
    <row r="47" spans="1:72" ht="15" thickBot="1" x14ac:dyDescent="0.35">
      <c r="A47" s="3" t="s">
        <v>164</v>
      </c>
      <c r="B47">
        <f>SUMIF(RawDataRecovered!$B:$B,$A47,RawDataRecovered!E:E)</f>
        <v>0</v>
      </c>
      <c r="C47">
        <f>SUMIF(RawDataRecovered!$B:$B,$A47,RawDataRecovered!F:F)</f>
        <v>0</v>
      </c>
      <c r="D47">
        <f>SUMIF(RawDataRecovered!$B:$B,$A47,RawDataRecovered!G:G)</f>
        <v>0</v>
      </c>
      <c r="E47">
        <f>SUMIF(RawDataRecovered!$B:$B,$A47,RawDataRecovered!H:H)</f>
        <v>0</v>
      </c>
      <c r="F47">
        <f>SUMIF(RawDataRecovered!$B:$B,$A47,RawDataRecovered!I:I)</f>
        <v>0</v>
      </c>
      <c r="G47">
        <f>SUMIF(RawDataRecovered!$B:$B,$A47,RawDataRecovered!J:J)</f>
        <v>0</v>
      </c>
      <c r="H47">
        <f>SUMIF(RawDataRecovered!$B:$B,$A47,RawDataRecovered!K:K)</f>
        <v>0</v>
      </c>
      <c r="I47">
        <f>SUMIF(RawDataRecovered!$B:$B,$A47,RawDataRecovered!L:L)</f>
        <v>0</v>
      </c>
      <c r="J47">
        <f>SUMIF(RawDataRecovered!$B:$B,$A47,RawDataRecovered!M:M)</f>
        <v>0</v>
      </c>
      <c r="K47">
        <f>SUMIF(RawDataRecovered!$B:$B,$A47,RawDataRecovered!N:N)</f>
        <v>0</v>
      </c>
      <c r="L47">
        <f>SUMIF(RawDataRecovered!$B:$B,$A47,RawDataRecovered!O:O)</f>
        <v>0</v>
      </c>
      <c r="M47">
        <f>SUMIF(RawDataRecovered!$B:$B,$A47,RawDataRecovered!P:P)</f>
        <v>0</v>
      </c>
      <c r="N47">
        <f>SUMIF(RawDataRecovered!$B:$B,$A47,RawDataRecovered!Q:Q)</f>
        <v>0</v>
      </c>
      <c r="O47">
        <f>SUMIF(RawDataRecovered!$B:$B,$A47,RawDataRecovered!R:R)</f>
        <v>0</v>
      </c>
      <c r="P47">
        <f>SUMIF(RawDataRecovered!$B:$B,$A47,RawDataRecovered!S:S)</f>
        <v>0</v>
      </c>
      <c r="Q47">
        <f>SUMIF(RawDataRecovered!$B:$B,$A47,RawDataRecovered!T:T)</f>
        <v>0</v>
      </c>
      <c r="R47">
        <f>SUMIF(RawDataRecovered!$B:$B,$A47,RawDataRecovered!U:U)</f>
        <v>0</v>
      </c>
      <c r="S47">
        <f>SUMIF(RawDataRecovered!$B:$B,$A47,RawDataRecovered!V:V)</f>
        <v>0</v>
      </c>
      <c r="T47">
        <f>SUMIF(RawDataRecovered!$B:$B,$A47,RawDataRecovered!W:W)</f>
        <v>0</v>
      </c>
      <c r="U47">
        <f>SUMIF(RawDataRecovered!$B:$B,$A47,RawDataRecovered!X:X)</f>
        <v>0</v>
      </c>
      <c r="V47">
        <f>SUMIF(RawDataRecovered!$B:$B,$A47,RawDataRecovered!Y:Y)</f>
        <v>0</v>
      </c>
      <c r="W47">
        <f>SUMIF(RawDataRecovered!$B:$B,$A47,RawDataRecovered!Z:Z)</f>
        <v>0</v>
      </c>
      <c r="X47">
        <f>SUMIF(RawDataRecovered!$B:$B,$A47,RawDataRecovered!AA:AA)</f>
        <v>0</v>
      </c>
      <c r="Y47">
        <f>SUMIF(RawDataRecovered!$B:$B,$A47,RawDataRecovered!AB:AB)</f>
        <v>0</v>
      </c>
      <c r="Z47">
        <f>SUMIF(RawDataRecovered!$B:$B,$A47,RawDataRecovered!AC:AC)</f>
        <v>0</v>
      </c>
      <c r="AA47">
        <f>SUMIF(RawDataRecovered!$B:$B,$A47,RawDataRecovered!AD:AD)</f>
        <v>0</v>
      </c>
      <c r="AB47">
        <f>SUMIF(RawDataRecovered!$B:$B,$A47,RawDataRecovered!AE:AE)</f>
        <v>0</v>
      </c>
      <c r="AC47">
        <f>SUMIF(RawDataRecovered!$B:$B,$A47,RawDataRecovered!AF:AF)</f>
        <v>0</v>
      </c>
      <c r="AD47">
        <f>SUMIF(RawDataRecovered!$B:$B,$A47,RawDataRecovered!AG:AG)</f>
        <v>0</v>
      </c>
      <c r="AE47">
        <f>SUMIF(RawDataRecovered!$B:$B,$A47,RawDataRecovered!AH:AH)</f>
        <v>0</v>
      </c>
      <c r="AF47">
        <f>SUMIF(RawDataRecovered!$B:$B,$A47,RawDataRecovered!AI:AI)</f>
        <v>0</v>
      </c>
      <c r="AG47">
        <f>SUMIF(RawDataRecovered!$B:$B,$A47,RawDataRecovered!AJ:AJ)</f>
        <v>0</v>
      </c>
      <c r="AH47">
        <f>SUMIF(RawDataRecovered!$B:$B,$A47,RawDataRecovered!AK:AK)</f>
        <v>0</v>
      </c>
      <c r="AI47">
        <f>SUMIF(RawDataRecovered!$B:$B,$A47,RawDataRecovered!AL:AL)</f>
        <v>0</v>
      </c>
      <c r="AJ47">
        <f>SUMIF(RawDataRecovered!$B:$B,$A47,RawDataRecovered!AM:AM)</f>
        <v>0</v>
      </c>
      <c r="AK47">
        <f>SUMIF(RawDataRecovered!$B:$B,$A47,RawDataRecovered!AN:AN)</f>
        <v>0</v>
      </c>
      <c r="AL47">
        <f>SUMIF(RawDataRecovered!$B:$B,$A47,RawDataRecovered!AO:AO)</f>
        <v>0</v>
      </c>
      <c r="AM47">
        <f>SUMIF(RawDataRecovered!$B:$B,$A47,RawDataRecovered!AP:AP)</f>
        <v>0</v>
      </c>
      <c r="AN47">
        <f>SUMIF(RawDataRecovered!$B:$B,$A47,RawDataRecovered!AQ:AQ)</f>
        <v>0</v>
      </c>
      <c r="AO47">
        <f>SUMIF(RawDataRecovered!$B:$B,$A47,RawDataRecovered!AR:AR)</f>
        <v>0</v>
      </c>
      <c r="AP47">
        <f>SUMIF(RawDataRecovered!$B:$B,$A47,RawDataRecovered!AS:AS)</f>
        <v>0</v>
      </c>
      <c r="AQ47">
        <f>SUMIF(RawDataRecovered!$B:$B,$A47,RawDataRecovered!AT:AT)</f>
        <v>0</v>
      </c>
      <c r="AR47">
        <f>SUMIF(RawDataRecovered!$B:$B,$A47,RawDataRecovered!AU:AU)</f>
        <v>0</v>
      </c>
      <c r="AS47">
        <f>SUMIF(RawDataRecovered!$B:$B,$A47,RawDataRecovered!AV:AV)</f>
        <v>0</v>
      </c>
      <c r="AT47">
        <f>SUMIF(RawDataRecovered!$B:$B,$A47,RawDataRecovered!AW:AW)</f>
        <v>0</v>
      </c>
      <c r="AU47">
        <f>SUMIF(RawDataRecovered!$B:$B,$A47,RawDataRecovered!AX:AX)</f>
        <v>0</v>
      </c>
      <c r="AV47">
        <f>SUMIF(RawDataRecovered!$B:$B,$A47,RawDataRecovered!AY:AY)</f>
        <v>0</v>
      </c>
      <c r="AW47">
        <f>SUMIF(RawDataRecovered!$B:$B,$A47,RawDataRecovered!AZ:AZ)</f>
        <v>0</v>
      </c>
      <c r="AX47">
        <f>SUMIF(RawDataRecovered!$B:$B,$A47,RawDataRecovered!BA:BA)</f>
        <v>0</v>
      </c>
      <c r="AY47">
        <f>SUMIF(RawDataRecovered!$B:$B,$A47,RawDataRecovered!BB:BB)</f>
        <v>0</v>
      </c>
      <c r="AZ47">
        <f>SUMIF(RawDataRecovered!$B:$B,$A47,RawDataRecovered!BC:BC)</f>
        <v>0</v>
      </c>
      <c r="BA47">
        <f>SUMIF(RawDataRecovered!$B:$B,$A47,RawDataRecovered!BD:BD)</f>
        <v>0</v>
      </c>
      <c r="BB47">
        <f>SUMIF(RawDataRecovered!$B:$B,$A47,RawDataRecovered!BE:BE)</f>
        <v>0</v>
      </c>
      <c r="BC47">
        <f>SUMIF(RawDataRecovered!$B:$B,$A47,RawDataRecovered!BF:BF)</f>
        <v>0</v>
      </c>
      <c r="BD47">
        <f>SUMIF(RawDataRecovered!$B:$B,$A47,RawDataRecovered!BG:BG)</f>
        <v>13</v>
      </c>
      <c r="BE47">
        <f>SUMIF(RawDataRecovered!$B:$B,$A47,RawDataRecovered!BH:BH)</f>
        <v>13</v>
      </c>
      <c r="BF47">
        <f>SUMIF(RawDataRecovered!$B:$B,$A47,RawDataRecovered!BI:BI)</f>
        <v>0</v>
      </c>
      <c r="BG47">
        <f>SUMIF(RawDataRecovered!$B:$B,$A47,RawDataRecovered!BJ:BJ)</f>
        <v>0</v>
      </c>
      <c r="BH47">
        <f>SUMIF(RawDataRecovered!$B:$B,$A47,RawDataRecovered!BK:BK)</f>
        <v>0</v>
      </c>
      <c r="BI47">
        <f>SUMIF(RawDataRecovered!$B:$B,$A47,RawDataRecovered!BL:BL)</f>
        <v>0</v>
      </c>
      <c r="BJ47">
        <f>SUMIF(RawDataRecovered!$B:$B,$A47,RawDataRecovered!BM:BM)</f>
        <v>0</v>
      </c>
      <c r="BK47">
        <f>SUMIF(RawDataRecovered!$B:$B,$A47,RawDataRecovered!BN:BN)</f>
        <v>0</v>
      </c>
      <c r="BL47">
        <f>SUMIF(RawDataRecovered!$B:$B,$A47,RawDataRecovered!BO:BO)</f>
        <v>0</v>
      </c>
      <c r="BM47">
        <f>SUMIF(RawDataRecovered!$B:$B,$A47,RawDataRecovered!BP:BP)</f>
        <v>0</v>
      </c>
      <c r="BN47">
        <f>SUMIF(RawDataRecovered!$B:$B,$A47,RawDataRecovered!BQ:BQ)</f>
        <v>0</v>
      </c>
      <c r="BO47">
        <f>SUMIF(RawDataRecovered!$B:$B,$A47,RawDataRecovered!BR:BR)</f>
        <v>0</v>
      </c>
      <c r="BP47">
        <f>SUMIF(RawDataRecovered!$B:$B,$A47,RawDataRecovered!BS:BS)</f>
        <v>0</v>
      </c>
      <c r="BQ47">
        <f>SUMIF(RawDataRecovered!$B:$B,$A47,RawDataRecovered!BT:BT)</f>
        <v>0</v>
      </c>
      <c r="BR47">
        <f>SUMIF(RawDataRecovered!$B:$B,$A47,RawDataRecovered!BU:BU)</f>
        <v>0</v>
      </c>
      <c r="BS47">
        <f>SUMIF(RawDataRecovered!$B:$B,$A47,RawDataRecovered!BV:BV)</f>
        <v>0</v>
      </c>
      <c r="BT47">
        <f>SUMIF(RawDataRecovered!$B:$B,$A47,RawDataRecovered!BW:BW)</f>
        <v>0</v>
      </c>
    </row>
    <row r="48" spans="1:72" ht="15" thickBot="1" x14ac:dyDescent="0.35">
      <c r="A48" s="3" t="s">
        <v>83</v>
      </c>
      <c r="B48">
        <f>SUMIF(RawDataRecovered!$B:$B,$A48,RawDataRecovered!E:E)</f>
        <v>0</v>
      </c>
      <c r="C48">
        <f>SUMIF(RawDataRecovered!$B:$B,$A48,RawDataRecovered!F:F)</f>
        <v>0</v>
      </c>
      <c r="D48">
        <f>SUMIF(RawDataRecovered!$B:$B,$A48,RawDataRecovered!G:G)</f>
        <v>0</v>
      </c>
      <c r="E48">
        <f>SUMIF(RawDataRecovered!$B:$B,$A48,RawDataRecovered!H:H)</f>
        <v>0</v>
      </c>
      <c r="F48">
        <f>SUMIF(RawDataRecovered!$B:$B,$A48,RawDataRecovered!I:I)</f>
        <v>0</v>
      </c>
      <c r="G48">
        <f>SUMIF(RawDataRecovered!$B:$B,$A48,RawDataRecovered!J:J)</f>
        <v>0</v>
      </c>
      <c r="H48">
        <f>SUMIF(RawDataRecovered!$B:$B,$A48,RawDataRecovered!K:K)</f>
        <v>0</v>
      </c>
      <c r="I48">
        <f>SUMIF(RawDataRecovered!$B:$B,$A48,RawDataRecovered!L:L)</f>
        <v>0</v>
      </c>
      <c r="J48">
        <f>SUMIF(RawDataRecovered!$B:$B,$A48,RawDataRecovered!M:M)</f>
        <v>0</v>
      </c>
      <c r="K48">
        <f>SUMIF(RawDataRecovered!$B:$B,$A48,RawDataRecovered!N:N)</f>
        <v>0</v>
      </c>
      <c r="L48">
        <f>SUMIF(RawDataRecovered!$B:$B,$A48,RawDataRecovered!O:O)</f>
        <v>0</v>
      </c>
      <c r="M48">
        <f>SUMIF(RawDataRecovered!$B:$B,$A48,RawDataRecovered!P:P)</f>
        <v>0</v>
      </c>
      <c r="N48">
        <f>SUMIF(RawDataRecovered!$B:$B,$A48,RawDataRecovered!Q:Q)</f>
        <v>0</v>
      </c>
      <c r="O48">
        <f>SUMIF(RawDataRecovered!$B:$B,$A48,RawDataRecovered!R:R)</f>
        <v>0</v>
      </c>
      <c r="P48">
        <f>SUMIF(RawDataRecovered!$B:$B,$A48,RawDataRecovered!S:S)</f>
        <v>0</v>
      </c>
      <c r="Q48">
        <f>SUMIF(RawDataRecovered!$B:$B,$A48,RawDataRecovered!T:T)</f>
        <v>0</v>
      </c>
      <c r="R48">
        <f>SUMIF(RawDataRecovered!$B:$B,$A48,RawDataRecovered!U:U)</f>
        <v>0</v>
      </c>
      <c r="S48">
        <f>SUMIF(RawDataRecovered!$B:$B,$A48,RawDataRecovered!V:V)</f>
        <v>0</v>
      </c>
      <c r="T48">
        <f>SUMIF(RawDataRecovered!$B:$B,$A48,RawDataRecovered!W:W)</f>
        <v>0</v>
      </c>
      <c r="U48">
        <f>SUMIF(RawDataRecovered!$B:$B,$A48,RawDataRecovered!X:X)</f>
        <v>0</v>
      </c>
      <c r="V48">
        <f>SUMIF(RawDataRecovered!$B:$B,$A48,RawDataRecovered!Y:Y)</f>
        <v>0</v>
      </c>
      <c r="W48">
        <f>SUMIF(RawDataRecovered!$B:$B,$A48,RawDataRecovered!Z:Z)</f>
        <v>1</v>
      </c>
      <c r="X48">
        <f>SUMIF(RawDataRecovered!$B:$B,$A48,RawDataRecovered!AA:AA)</f>
        <v>1</v>
      </c>
      <c r="Y48">
        <f>SUMIF(RawDataRecovered!$B:$B,$A48,RawDataRecovered!AB:AB)</f>
        <v>1</v>
      </c>
      <c r="Z48">
        <f>SUMIF(RawDataRecovered!$B:$B,$A48,RawDataRecovered!AC:AC)</f>
        <v>1</v>
      </c>
      <c r="AA48">
        <f>SUMIF(RawDataRecovered!$B:$B,$A48,RawDataRecovered!AD:AD)</f>
        <v>1</v>
      </c>
      <c r="AB48">
        <f>SUMIF(RawDataRecovered!$B:$B,$A48,RawDataRecovered!AE:AE)</f>
        <v>1</v>
      </c>
      <c r="AC48">
        <f>SUMIF(RawDataRecovered!$B:$B,$A48,RawDataRecovered!AF:AF)</f>
        <v>1</v>
      </c>
      <c r="AD48">
        <f>SUMIF(RawDataRecovered!$B:$B,$A48,RawDataRecovered!AG:AG)</f>
        <v>1</v>
      </c>
      <c r="AE48">
        <f>SUMIF(RawDataRecovered!$B:$B,$A48,RawDataRecovered!AH:AH)</f>
        <v>1</v>
      </c>
      <c r="AF48">
        <f>SUMIF(RawDataRecovered!$B:$B,$A48,RawDataRecovered!AI:AI)</f>
        <v>1</v>
      </c>
      <c r="AG48">
        <f>SUMIF(RawDataRecovered!$B:$B,$A48,RawDataRecovered!AJ:AJ)</f>
        <v>1</v>
      </c>
      <c r="AH48">
        <f>SUMIF(RawDataRecovered!$B:$B,$A48,RawDataRecovered!AK:AK)</f>
        <v>1</v>
      </c>
      <c r="AI48">
        <f>SUMIF(RawDataRecovered!$B:$B,$A48,RawDataRecovered!AL:AL)</f>
        <v>1</v>
      </c>
      <c r="AJ48">
        <f>SUMIF(RawDataRecovered!$B:$B,$A48,RawDataRecovered!AM:AM)</f>
        <v>1</v>
      </c>
      <c r="AK48">
        <f>SUMIF(RawDataRecovered!$B:$B,$A48,RawDataRecovered!AN:AN)</f>
        <v>1</v>
      </c>
      <c r="AL48">
        <f>SUMIF(RawDataRecovered!$B:$B,$A48,RawDataRecovered!AO:AO)</f>
        <v>1</v>
      </c>
      <c r="AM48">
        <f>SUMIF(RawDataRecovered!$B:$B,$A48,RawDataRecovered!AP:AP)</f>
        <v>1</v>
      </c>
      <c r="AN48">
        <f>SUMIF(RawDataRecovered!$B:$B,$A48,RawDataRecovered!AQ:AQ)</f>
        <v>1</v>
      </c>
      <c r="AO48">
        <f>SUMIF(RawDataRecovered!$B:$B,$A48,RawDataRecovered!AR:AR)</f>
        <v>1</v>
      </c>
      <c r="AP48">
        <f>SUMIF(RawDataRecovered!$B:$B,$A48,RawDataRecovered!AS:AS)</f>
        <v>1</v>
      </c>
      <c r="AQ48">
        <f>SUMIF(RawDataRecovered!$B:$B,$A48,RawDataRecovered!AT:AT)</f>
        <v>1</v>
      </c>
      <c r="AR48">
        <f>SUMIF(RawDataRecovered!$B:$B,$A48,RawDataRecovered!AU:AU)</f>
        <v>1</v>
      </c>
      <c r="AS48">
        <f>SUMIF(RawDataRecovered!$B:$B,$A48,RawDataRecovered!AV:AV)</f>
        <v>1</v>
      </c>
      <c r="AT48">
        <f>SUMIF(RawDataRecovered!$B:$B,$A48,RawDataRecovered!AW:AW)</f>
        <v>1</v>
      </c>
      <c r="AU48">
        <f>SUMIF(RawDataRecovered!$B:$B,$A48,RawDataRecovered!AX:AX)</f>
        <v>1</v>
      </c>
      <c r="AV48">
        <f>SUMIF(RawDataRecovered!$B:$B,$A48,RawDataRecovered!AY:AY)</f>
        <v>1</v>
      </c>
      <c r="AW48">
        <f>SUMIF(RawDataRecovered!$B:$B,$A48,RawDataRecovered!AZ:AZ)</f>
        <v>1</v>
      </c>
      <c r="AX48">
        <f>SUMIF(RawDataRecovered!$B:$B,$A48,RawDataRecovered!BA:BA)</f>
        <v>2</v>
      </c>
      <c r="AY48">
        <f>SUMIF(RawDataRecovered!$B:$B,$A48,RawDataRecovered!BB:BB)</f>
        <v>2</v>
      </c>
      <c r="AZ48">
        <f>SUMIF(RawDataRecovered!$B:$B,$A48,RawDataRecovered!BC:BC)</f>
        <v>2</v>
      </c>
      <c r="BA48">
        <f>SUMIF(RawDataRecovered!$B:$B,$A48,RawDataRecovered!BD:BD)</f>
        <v>2</v>
      </c>
      <c r="BB48">
        <f>SUMIF(RawDataRecovered!$B:$B,$A48,RawDataRecovered!BE:BE)</f>
        <v>2</v>
      </c>
      <c r="BC48">
        <f>SUMIF(RawDataRecovered!$B:$B,$A48,RawDataRecovered!BF:BF)</f>
        <v>2</v>
      </c>
      <c r="BD48">
        <f>SUMIF(RawDataRecovered!$B:$B,$A48,RawDataRecovered!BG:BG)</f>
        <v>2</v>
      </c>
      <c r="BE48">
        <f>SUMIF(RawDataRecovered!$B:$B,$A48,RawDataRecovered!BH:BH)</f>
        <v>5</v>
      </c>
      <c r="BF48">
        <f>SUMIF(RawDataRecovered!$B:$B,$A48,RawDataRecovered!BI:BI)</f>
        <v>0</v>
      </c>
      <c r="BG48">
        <f>SUMIF(RawDataRecovered!$B:$B,$A48,RawDataRecovered!BJ:BJ)</f>
        <v>0</v>
      </c>
      <c r="BH48">
        <f>SUMIF(RawDataRecovered!$B:$B,$A48,RawDataRecovered!BK:BK)</f>
        <v>0</v>
      </c>
      <c r="BI48">
        <f>SUMIF(RawDataRecovered!$B:$B,$A48,RawDataRecovered!BL:BL)</f>
        <v>0</v>
      </c>
      <c r="BJ48">
        <f>SUMIF(RawDataRecovered!$B:$B,$A48,RawDataRecovered!BM:BM)</f>
        <v>0</v>
      </c>
      <c r="BK48">
        <f>SUMIF(RawDataRecovered!$B:$B,$A48,RawDataRecovered!BN:BN)</f>
        <v>0</v>
      </c>
      <c r="BL48">
        <f>SUMIF(RawDataRecovered!$B:$B,$A48,RawDataRecovered!BO:BO)</f>
        <v>0</v>
      </c>
      <c r="BM48">
        <f>SUMIF(RawDataRecovered!$B:$B,$A48,RawDataRecovered!BP:BP)</f>
        <v>0</v>
      </c>
      <c r="BN48">
        <f>SUMIF(RawDataRecovered!$B:$B,$A48,RawDataRecovered!BQ:BQ)</f>
        <v>0</v>
      </c>
      <c r="BO48">
        <f>SUMIF(RawDataRecovered!$B:$B,$A48,RawDataRecovered!BR:BR)</f>
        <v>0</v>
      </c>
      <c r="BP48">
        <f>SUMIF(RawDataRecovered!$B:$B,$A48,RawDataRecovered!BS:BS)</f>
        <v>0</v>
      </c>
      <c r="BQ48">
        <f>SUMIF(RawDataRecovered!$B:$B,$A48,RawDataRecovered!BT:BT)</f>
        <v>0</v>
      </c>
      <c r="BR48">
        <f>SUMIF(RawDataRecovered!$B:$B,$A48,RawDataRecovered!BU:BU)</f>
        <v>0</v>
      </c>
      <c r="BS48">
        <f>SUMIF(RawDataRecovered!$B:$B,$A48,RawDataRecovered!BV:BV)</f>
        <v>0</v>
      </c>
      <c r="BT48">
        <f>SUMIF(RawDataRecovered!$B:$B,$A48,RawDataRecovered!BW:BW)</f>
        <v>0</v>
      </c>
    </row>
    <row r="49" spans="1:72" ht="15" thickBot="1" x14ac:dyDescent="0.35">
      <c r="A49" s="3" t="s">
        <v>370</v>
      </c>
      <c r="B49">
        <f>SUMIF(RawDataRecovered!$B:$B,$A49,RawDataRecovered!E:E)</f>
        <v>0</v>
      </c>
      <c r="C49">
        <f>SUMIF(RawDataRecovered!$B:$B,$A49,RawDataRecovered!F:F)</f>
        <v>0</v>
      </c>
      <c r="D49">
        <f>SUMIF(RawDataRecovered!$B:$B,$A49,RawDataRecovered!G:G)</f>
        <v>0</v>
      </c>
      <c r="E49">
        <f>SUMIF(RawDataRecovered!$B:$B,$A49,RawDataRecovered!H:H)</f>
        <v>0</v>
      </c>
      <c r="F49">
        <f>SUMIF(RawDataRecovered!$B:$B,$A49,RawDataRecovered!I:I)</f>
        <v>0</v>
      </c>
      <c r="G49">
        <f>SUMIF(RawDataRecovered!$B:$B,$A49,RawDataRecovered!J:J)</f>
        <v>0</v>
      </c>
      <c r="H49">
        <f>SUMIF(RawDataRecovered!$B:$B,$A49,RawDataRecovered!K:K)</f>
        <v>0</v>
      </c>
      <c r="I49">
        <f>SUMIF(RawDataRecovered!$B:$B,$A49,RawDataRecovered!L:L)</f>
        <v>0</v>
      </c>
      <c r="J49">
        <f>SUMIF(RawDataRecovered!$B:$B,$A49,RawDataRecovered!M:M)</f>
        <v>0</v>
      </c>
      <c r="K49">
        <f>SUMIF(RawDataRecovered!$B:$B,$A49,RawDataRecovered!N:N)</f>
        <v>0</v>
      </c>
      <c r="L49">
        <f>SUMIF(RawDataRecovered!$B:$B,$A49,RawDataRecovered!O:O)</f>
        <v>0</v>
      </c>
      <c r="M49">
        <f>SUMIF(RawDataRecovered!$B:$B,$A49,RawDataRecovered!P:P)</f>
        <v>0</v>
      </c>
      <c r="N49">
        <f>SUMIF(RawDataRecovered!$B:$B,$A49,RawDataRecovered!Q:Q)</f>
        <v>0</v>
      </c>
      <c r="O49">
        <f>SUMIF(RawDataRecovered!$B:$B,$A49,RawDataRecovered!R:R)</f>
        <v>0</v>
      </c>
      <c r="P49">
        <f>SUMIF(RawDataRecovered!$B:$B,$A49,RawDataRecovered!S:S)</f>
        <v>0</v>
      </c>
      <c r="Q49">
        <f>SUMIF(RawDataRecovered!$B:$B,$A49,RawDataRecovered!T:T)</f>
        <v>1</v>
      </c>
      <c r="R49">
        <f>SUMIF(RawDataRecovered!$B:$B,$A49,RawDataRecovered!U:U)</f>
        <v>1</v>
      </c>
      <c r="S49">
        <f>SUMIF(RawDataRecovered!$B:$B,$A49,RawDataRecovered!V:V)</f>
        <v>1</v>
      </c>
      <c r="T49">
        <f>SUMIF(RawDataRecovered!$B:$B,$A49,RawDataRecovered!W:W)</f>
        <v>1</v>
      </c>
      <c r="U49">
        <f>SUMIF(RawDataRecovered!$B:$B,$A49,RawDataRecovered!X:X)</f>
        <v>1</v>
      </c>
      <c r="V49">
        <f>SUMIF(RawDataRecovered!$B:$B,$A49,RawDataRecovered!Y:Y)</f>
        <v>1</v>
      </c>
      <c r="W49">
        <f>SUMIF(RawDataRecovered!$B:$B,$A49,RawDataRecovered!Z:Z)</f>
        <v>1</v>
      </c>
      <c r="X49">
        <f>SUMIF(RawDataRecovered!$B:$B,$A49,RawDataRecovered!AA:AA)</f>
        <v>1</v>
      </c>
      <c r="Y49">
        <f>SUMIF(RawDataRecovered!$B:$B,$A49,RawDataRecovered!AB:AB)</f>
        <v>2</v>
      </c>
      <c r="Z49">
        <f>SUMIF(RawDataRecovered!$B:$B,$A49,RawDataRecovered!AC:AC)</f>
        <v>2</v>
      </c>
      <c r="AA49">
        <f>SUMIF(RawDataRecovered!$B:$B,$A49,RawDataRecovered!AD:AD)</f>
        <v>2</v>
      </c>
      <c r="AB49">
        <f>SUMIF(RawDataRecovered!$B:$B,$A49,RawDataRecovered!AE:AE)</f>
        <v>2</v>
      </c>
      <c r="AC49">
        <f>SUMIF(RawDataRecovered!$B:$B,$A49,RawDataRecovered!AF:AF)</f>
        <v>2</v>
      </c>
      <c r="AD49">
        <f>SUMIF(RawDataRecovered!$B:$B,$A49,RawDataRecovered!AG:AG)</f>
        <v>2</v>
      </c>
      <c r="AE49">
        <f>SUMIF(RawDataRecovered!$B:$B,$A49,RawDataRecovered!AH:AH)</f>
        <v>2</v>
      </c>
      <c r="AF49">
        <f>SUMIF(RawDataRecovered!$B:$B,$A49,RawDataRecovered!AI:AI)</f>
        <v>2</v>
      </c>
      <c r="AG49">
        <f>SUMIF(RawDataRecovered!$B:$B,$A49,RawDataRecovered!AJ:AJ)</f>
        <v>2</v>
      </c>
      <c r="AH49">
        <f>SUMIF(RawDataRecovered!$B:$B,$A49,RawDataRecovered!AK:AK)</f>
        <v>2</v>
      </c>
      <c r="AI49">
        <f>SUMIF(RawDataRecovered!$B:$B,$A49,RawDataRecovered!AL:AL)</f>
        <v>5</v>
      </c>
      <c r="AJ49">
        <f>SUMIF(RawDataRecovered!$B:$B,$A49,RawDataRecovered!AM:AM)</f>
        <v>5</v>
      </c>
      <c r="AK49">
        <f>SUMIF(RawDataRecovered!$B:$B,$A49,RawDataRecovered!AN:AN)</f>
        <v>5</v>
      </c>
      <c r="AL49">
        <f>SUMIF(RawDataRecovered!$B:$B,$A49,RawDataRecovered!AO:AO)</f>
        <v>5</v>
      </c>
      <c r="AM49">
        <f>SUMIF(RawDataRecovered!$B:$B,$A49,RawDataRecovered!AP:AP)</f>
        <v>6</v>
      </c>
      <c r="AN49">
        <f>SUMIF(RawDataRecovered!$B:$B,$A49,RawDataRecovered!AQ:AQ)</f>
        <v>9</v>
      </c>
      <c r="AO49">
        <f>SUMIF(RawDataRecovered!$B:$B,$A49,RawDataRecovered!AR:AR)</f>
        <v>9</v>
      </c>
      <c r="AP49">
        <f>SUMIF(RawDataRecovered!$B:$B,$A49,RawDataRecovered!AS:AS)</f>
        <v>12</v>
      </c>
      <c r="AQ49">
        <f>SUMIF(RawDataRecovered!$B:$B,$A49,RawDataRecovered!AT:AT)</f>
        <v>12</v>
      </c>
      <c r="AR49">
        <f>SUMIF(RawDataRecovered!$B:$B,$A49,RawDataRecovered!AU:AU)</f>
        <v>12</v>
      </c>
      <c r="AS49">
        <f>SUMIF(RawDataRecovered!$B:$B,$A49,RawDataRecovered!AV:AV)</f>
        <v>12</v>
      </c>
      <c r="AT49">
        <f>SUMIF(RawDataRecovered!$B:$B,$A49,RawDataRecovered!AW:AW)</f>
        <v>12</v>
      </c>
      <c r="AU49">
        <f>SUMIF(RawDataRecovered!$B:$B,$A49,RawDataRecovered!AX:AX)</f>
        <v>12</v>
      </c>
      <c r="AV49">
        <f>SUMIF(RawDataRecovered!$B:$B,$A49,RawDataRecovered!AY:AY)</f>
        <v>13</v>
      </c>
      <c r="AW49">
        <f>SUMIF(RawDataRecovered!$B:$B,$A49,RawDataRecovered!AZ:AZ)</f>
        <v>15</v>
      </c>
      <c r="AX49">
        <f>SUMIF(RawDataRecovered!$B:$B,$A49,RawDataRecovered!BA:BA)</f>
        <v>17</v>
      </c>
      <c r="AY49">
        <f>SUMIF(RawDataRecovered!$B:$B,$A49,RawDataRecovered!BB:BB)</f>
        <v>17</v>
      </c>
      <c r="AZ49">
        <f>SUMIF(RawDataRecovered!$B:$B,$A49,RawDataRecovered!BC:BC)</f>
        <v>20</v>
      </c>
      <c r="BA49">
        <f>SUMIF(RawDataRecovered!$B:$B,$A49,RawDataRecovered!BD:BD)</f>
        <v>20</v>
      </c>
      <c r="BB49">
        <f>SUMIF(RawDataRecovered!$B:$B,$A49,RawDataRecovered!BE:BE)</f>
        <v>20</v>
      </c>
      <c r="BC49">
        <f>SUMIF(RawDataRecovered!$B:$B,$A49,RawDataRecovered!BF:BF)</f>
        <v>20</v>
      </c>
      <c r="BD49">
        <f>SUMIF(RawDataRecovered!$B:$B,$A49,RawDataRecovered!BG:BG)</f>
        <v>20</v>
      </c>
      <c r="BE49">
        <f>SUMIF(RawDataRecovered!$B:$B,$A49,RawDataRecovered!BH:BH)</f>
        <v>22</v>
      </c>
      <c r="BF49">
        <f>SUMIF(RawDataRecovered!$B:$B,$A49,RawDataRecovered!BI:BI)</f>
        <v>0</v>
      </c>
      <c r="BG49">
        <f>SUMIF(RawDataRecovered!$B:$B,$A49,RawDataRecovered!BJ:BJ)</f>
        <v>0</v>
      </c>
      <c r="BH49">
        <f>SUMIF(RawDataRecovered!$B:$B,$A49,RawDataRecovered!BK:BK)</f>
        <v>0</v>
      </c>
      <c r="BI49">
        <f>SUMIF(RawDataRecovered!$B:$B,$A49,RawDataRecovered!BL:BL)</f>
        <v>0</v>
      </c>
      <c r="BJ49">
        <f>SUMIF(RawDataRecovered!$B:$B,$A49,RawDataRecovered!BM:BM)</f>
        <v>0</v>
      </c>
      <c r="BK49">
        <f>SUMIF(RawDataRecovered!$B:$B,$A49,RawDataRecovered!BN:BN)</f>
        <v>0</v>
      </c>
      <c r="BL49">
        <f>SUMIF(RawDataRecovered!$B:$B,$A49,RawDataRecovered!BO:BO)</f>
        <v>0</v>
      </c>
      <c r="BM49">
        <f>SUMIF(RawDataRecovered!$B:$B,$A49,RawDataRecovered!BP:BP)</f>
        <v>0</v>
      </c>
      <c r="BN49">
        <f>SUMIF(RawDataRecovered!$B:$B,$A49,RawDataRecovered!BQ:BQ)</f>
        <v>0</v>
      </c>
      <c r="BO49">
        <f>SUMIF(RawDataRecovered!$B:$B,$A49,RawDataRecovered!BR:BR)</f>
        <v>0</v>
      </c>
      <c r="BP49">
        <f>SUMIF(RawDataRecovered!$B:$B,$A49,RawDataRecovered!BS:BS)</f>
        <v>0</v>
      </c>
      <c r="BQ49">
        <f>SUMIF(RawDataRecovered!$B:$B,$A49,RawDataRecovered!BT:BT)</f>
        <v>0</v>
      </c>
      <c r="BR49">
        <f>SUMIF(RawDataRecovered!$B:$B,$A49,RawDataRecovered!BU:BU)</f>
        <v>0</v>
      </c>
      <c r="BS49">
        <f>SUMIF(RawDataRecovered!$B:$B,$A49,RawDataRecovered!BV:BV)</f>
        <v>0</v>
      </c>
      <c r="BT49">
        <f>SUMIF(RawDataRecovered!$B:$B,$A49,RawDataRecovered!BW:BW)</f>
        <v>0</v>
      </c>
    </row>
    <row r="50" spans="1:72" ht="15" thickBot="1" x14ac:dyDescent="0.35">
      <c r="A50" s="4" t="s">
        <v>371</v>
      </c>
      <c r="B50">
        <f>SUMIF(RawDataRecovered!$B:$B,$A50,RawDataRecovered!E:E)</f>
        <v>0</v>
      </c>
      <c r="C50">
        <f>SUMIF(RawDataRecovered!$B:$B,$A50,RawDataRecovered!F:F)</f>
        <v>0</v>
      </c>
      <c r="D50">
        <f>SUMIF(RawDataRecovered!$B:$B,$A50,RawDataRecovered!G:G)</f>
        <v>0</v>
      </c>
      <c r="E50">
        <f>SUMIF(RawDataRecovered!$B:$B,$A50,RawDataRecovered!H:H)</f>
        <v>0</v>
      </c>
      <c r="F50">
        <f>SUMIF(RawDataRecovered!$B:$B,$A50,RawDataRecovered!I:I)</f>
        <v>0</v>
      </c>
      <c r="G50">
        <f>SUMIF(RawDataRecovered!$B:$B,$A50,RawDataRecovered!J:J)</f>
        <v>0</v>
      </c>
      <c r="H50">
        <f>SUMIF(RawDataRecovered!$B:$B,$A50,RawDataRecovered!K:K)</f>
        <v>0</v>
      </c>
      <c r="I50">
        <f>SUMIF(RawDataRecovered!$B:$B,$A50,RawDataRecovered!L:L)</f>
        <v>0</v>
      </c>
      <c r="J50">
        <f>SUMIF(RawDataRecovered!$B:$B,$A50,RawDataRecovered!M:M)</f>
        <v>0</v>
      </c>
      <c r="K50">
        <f>SUMIF(RawDataRecovered!$B:$B,$A50,RawDataRecovered!N:N)</f>
        <v>0</v>
      </c>
      <c r="L50">
        <f>SUMIF(RawDataRecovered!$B:$B,$A50,RawDataRecovered!O:O)</f>
        <v>1</v>
      </c>
      <c r="M50">
        <f>SUMIF(RawDataRecovered!$B:$B,$A50,RawDataRecovered!P:P)</f>
        <v>1</v>
      </c>
      <c r="N50">
        <f>SUMIF(RawDataRecovered!$B:$B,$A50,RawDataRecovered!Q:Q)</f>
        <v>1</v>
      </c>
      <c r="O50">
        <f>SUMIF(RawDataRecovered!$B:$B,$A50,RawDataRecovered!R:R)</f>
        <v>1</v>
      </c>
      <c r="P50">
        <f>SUMIF(RawDataRecovered!$B:$B,$A50,RawDataRecovered!S:S)</f>
        <v>1</v>
      </c>
      <c r="Q50">
        <f>SUMIF(RawDataRecovered!$B:$B,$A50,RawDataRecovered!T:T)</f>
        <v>1</v>
      </c>
      <c r="R50">
        <f>SUMIF(RawDataRecovered!$B:$B,$A50,RawDataRecovered!U:U)</f>
        <v>1</v>
      </c>
      <c r="S50">
        <f>SUMIF(RawDataRecovered!$B:$B,$A50,RawDataRecovered!V:V)</f>
        <v>1</v>
      </c>
      <c r="T50">
        <f>SUMIF(RawDataRecovered!$B:$B,$A50,RawDataRecovered!W:W)</f>
        <v>1</v>
      </c>
      <c r="U50">
        <f>SUMIF(RawDataRecovered!$B:$B,$A50,RawDataRecovered!X:X)</f>
        <v>1</v>
      </c>
      <c r="V50">
        <f>SUMIF(RawDataRecovered!$B:$B,$A50,RawDataRecovered!Y:Y)</f>
        <v>6</v>
      </c>
      <c r="W50">
        <f>SUMIF(RawDataRecovered!$B:$B,$A50,RawDataRecovered!Z:Z)</f>
        <v>6</v>
      </c>
      <c r="X50">
        <f>SUMIF(RawDataRecovered!$B:$B,$A50,RawDataRecovered!AA:AA)</f>
        <v>7</v>
      </c>
      <c r="Y50">
        <f>SUMIF(RawDataRecovered!$B:$B,$A50,RawDataRecovered!AB:AB)</f>
        <v>7</v>
      </c>
      <c r="Z50">
        <f>SUMIF(RawDataRecovered!$B:$B,$A50,RawDataRecovered!AC:AC)</f>
        <v>7</v>
      </c>
      <c r="AA50">
        <f>SUMIF(RawDataRecovered!$B:$B,$A50,RawDataRecovered!AD:AD)</f>
        <v>7</v>
      </c>
      <c r="AB50">
        <f>SUMIF(RawDataRecovered!$B:$B,$A50,RawDataRecovered!AE:AE)</f>
        <v>7</v>
      </c>
      <c r="AC50">
        <f>SUMIF(RawDataRecovered!$B:$B,$A50,RawDataRecovered!AF:AF)</f>
        <v>7</v>
      </c>
      <c r="AD50">
        <f>SUMIF(RawDataRecovered!$B:$B,$A50,RawDataRecovered!AG:AG)</f>
        <v>7</v>
      </c>
      <c r="AE50">
        <f>SUMIF(RawDataRecovered!$B:$B,$A50,RawDataRecovered!AH:AH)</f>
        <v>7</v>
      </c>
      <c r="AF50">
        <f>SUMIF(RawDataRecovered!$B:$B,$A50,RawDataRecovered!AI:AI)</f>
        <v>14</v>
      </c>
      <c r="AG50">
        <f>SUMIF(RawDataRecovered!$B:$B,$A50,RawDataRecovered!AJ:AJ)</f>
        <v>14</v>
      </c>
      <c r="AH50">
        <f>SUMIF(RawDataRecovered!$B:$B,$A50,RawDataRecovered!AK:AK)</f>
        <v>14</v>
      </c>
      <c r="AI50">
        <f>SUMIF(RawDataRecovered!$B:$B,$A50,RawDataRecovered!AL:AL)</f>
        <v>14</v>
      </c>
      <c r="AJ50">
        <f>SUMIF(RawDataRecovered!$B:$B,$A50,RawDataRecovered!AM:AM)</f>
        <v>16</v>
      </c>
      <c r="AK50">
        <f>SUMIF(RawDataRecovered!$B:$B,$A50,RawDataRecovered!AN:AN)</f>
        <v>16</v>
      </c>
      <c r="AL50">
        <f>SUMIF(RawDataRecovered!$B:$B,$A50,RawDataRecovered!AO:AO)</f>
        <v>16</v>
      </c>
      <c r="AM50">
        <f>SUMIF(RawDataRecovered!$B:$B,$A50,RawDataRecovered!AP:AP)</f>
        <v>16</v>
      </c>
      <c r="AN50">
        <f>SUMIF(RawDataRecovered!$B:$B,$A50,RawDataRecovered!AQ:AQ)</f>
        <v>16</v>
      </c>
      <c r="AO50">
        <f>SUMIF(RawDataRecovered!$B:$B,$A50,RawDataRecovered!AR:AR)</f>
        <v>16</v>
      </c>
      <c r="AP50">
        <f>SUMIF(RawDataRecovered!$B:$B,$A50,RawDataRecovered!AS:AS)</f>
        <v>16</v>
      </c>
      <c r="AQ50">
        <f>SUMIF(RawDataRecovered!$B:$B,$A50,RawDataRecovered!AT:AT)</f>
        <v>16</v>
      </c>
      <c r="AR50">
        <f>SUMIF(RawDataRecovered!$B:$B,$A50,RawDataRecovered!AU:AU)</f>
        <v>16</v>
      </c>
      <c r="AS50">
        <f>SUMIF(RawDataRecovered!$B:$B,$A50,RawDataRecovered!AV:AV)</f>
        <v>16</v>
      </c>
      <c r="AT50">
        <f>SUMIF(RawDataRecovered!$B:$B,$A50,RawDataRecovered!AW:AW)</f>
        <v>16</v>
      </c>
      <c r="AU50">
        <f>SUMIF(RawDataRecovered!$B:$B,$A50,RawDataRecovered!AX:AX)</f>
        <v>16</v>
      </c>
      <c r="AV50">
        <f>SUMIF(RawDataRecovered!$B:$B,$A50,RawDataRecovered!AY:AY)</f>
        <v>16</v>
      </c>
      <c r="AW50">
        <f>SUMIF(RawDataRecovered!$B:$B,$A50,RawDataRecovered!AZ:AZ)</f>
        <v>16</v>
      </c>
      <c r="AX50">
        <f>SUMIF(RawDataRecovered!$B:$B,$A50,RawDataRecovered!BA:BA)</f>
        <v>16</v>
      </c>
      <c r="AY50">
        <f>SUMIF(RawDataRecovered!$B:$B,$A50,RawDataRecovered!BB:BB)</f>
        <v>16</v>
      </c>
      <c r="AZ50">
        <f>SUMIF(RawDataRecovered!$B:$B,$A50,RawDataRecovered!BC:BC)</f>
        <v>16</v>
      </c>
      <c r="BA50">
        <f>SUMIF(RawDataRecovered!$B:$B,$A50,RawDataRecovered!BD:BD)</f>
        <v>16</v>
      </c>
      <c r="BB50">
        <f>SUMIF(RawDataRecovered!$B:$B,$A50,RawDataRecovered!BE:BE)</f>
        <v>16</v>
      </c>
      <c r="BC50">
        <f>SUMIF(RawDataRecovered!$B:$B,$A50,RawDataRecovered!BF:BF)</f>
        <v>16</v>
      </c>
      <c r="BD50">
        <f>SUMIF(RawDataRecovered!$B:$B,$A50,RawDataRecovered!BG:BG)</f>
        <v>16</v>
      </c>
      <c r="BE50">
        <f>SUMIF(RawDataRecovered!$B:$B,$A50,RawDataRecovered!BH:BH)</f>
        <v>16</v>
      </c>
      <c r="BF50">
        <f>SUMIF(RawDataRecovered!$B:$B,$A50,RawDataRecovered!BI:BI)</f>
        <v>0</v>
      </c>
      <c r="BG50">
        <f>SUMIF(RawDataRecovered!$B:$B,$A50,RawDataRecovered!BJ:BJ)</f>
        <v>0</v>
      </c>
      <c r="BH50">
        <f>SUMIF(RawDataRecovered!$B:$B,$A50,RawDataRecovered!BK:BK)</f>
        <v>0</v>
      </c>
      <c r="BI50">
        <f>SUMIF(RawDataRecovered!$B:$B,$A50,RawDataRecovered!BL:BL)</f>
        <v>0</v>
      </c>
      <c r="BJ50">
        <f>SUMIF(RawDataRecovered!$B:$B,$A50,RawDataRecovered!BM:BM)</f>
        <v>0</v>
      </c>
      <c r="BK50">
        <f>SUMIF(RawDataRecovered!$B:$B,$A50,RawDataRecovered!BN:BN)</f>
        <v>0</v>
      </c>
      <c r="BL50">
        <f>SUMIF(RawDataRecovered!$B:$B,$A50,RawDataRecovered!BO:BO)</f>
        <v>0</v>
      </c>
      <c r="BM50">
        <f>SUMIF(RawDataRecovered!$B:$B,$A50,RawDataRecovered!BP:BP)</f>
        <v>0</v>
      </c>
      <c r="BN50">
        <f>SUMIF(RawDataRecovered!$B:$B,$A50,RawDataRecovered!BQ:BQ)</f>
        <v>0</v>
      </c>
      <c r="BO50">
        <f>SUMIF(RawDataRecovered!$B:$B,$A50,RawDataRecovered!BR:BR)</f>
        <v>0</v>
      </c>
      <c r="BP50">
        <f>SUMIF(RawDataRecovered!$B:$B,$A50,RawDataRecovered!BS:BS)</f>
        <v>0</v>
      </c>
      <c r="BQ50">
        <f>SUMIF(RawDataRecovered!$B:$B,$A50,RawDataRecovered!BT:BT)</f>
        <v>0</v>
      </c>
      <c r="BR50">
        <f>SUMIF(RawDataRecovered!$B:$B,$A50,RawDataRecovered!BU:BU)</f>
        <v>0</v>
      </c>
      <c r="BS50">
        <f>SUMIF(RawDataRecovered!$B:$B,$A50,RawDataRecovered!BV:BV)</f>
        <v>0</v>
      </c>
      <c r="BT50">
        <f>SUMIF(RawDataRecovered!$B:$B,$A50,RawDataRecovered!BW:BW)</f>
        <v>0</v>
      </c>
    </row>
    <row r="51" spans="1:72" ht="15" thickBot="1" x14ac:dyDescent="0.35">
      <c r="A51" s="3" t="s">
        <v>372</v>
      </c>
      <c r="B51">
        <f>SUMIF(RawDataRecovered!$B:$B,$A51,RawDataRecovered!E:E)</f>
        <v>0</v>
      </c>
      <c r="C51">
        <f>SUMIF(RawDataRecovered!$B:$B,$A51,RawDataRecovered!F:F)</f>
        <v>0</v>
      </c>
      <c r="D51">
        <f>SUMIF(RawDataRecovered!$B:$B,$A51,RawDataRecovered!G:G)</f>
        <v>0</v>
      </c>
      <c r="E51">
        <f>SUMIF(RawDataRecovered!$B:$B,$A51,RawDataRecovered!H:H)</f>
        <v>0</v>
      </c>
      <c r="F51">
        <f>SUMIF(RawDataRecovered!$B:$B,$A51,RawDataRecovered!I:I)</f>
        <v>0</v>
      </c>
      <c r="G51">
        <f>SUMIF(RawDataRecovered!$B:$B,$A51,RawDataRecovered!J:J)</f>
        <v>0</v>
      </c>
      <c r="H51">
        <f>SUMIF(RawDataRecovered!$B:$B,$A51,RawDataRecovered!K:K)</f>
        <v>0</v>
      </c>
      <c r="I51">
        <f>SUMIF(RawDataRecovered!$B:$B,$A51,RawDataRecovered!L:L)</f>
        <v>0</v>
      </c>
      <c r="J51">
        <f>SUMIF(RawDataRecovered!$B:$B,$A51,RawDataRecovered!M:M)</f>
        <v>0</v>
      </c>
      <c r="K51">
        <f>SUMIF(RawDataRecovered!$B:$B,$A51,RawDataRecovered!N:N)</f>
        <v>0</v>
      </c>
      <c r="L51">
        <f>SUMIF(RawDataRecovered!$B:$B,$A51,RawDataRecovered!O:O)</f>
        <v>0</v>
      </c>
      <c r="M51">
        <f>SUMIF(RawDataRecovered!$B:$B,$A51,RawDataRecovered!P:P)</f>
        <v>0</v>
      </c>
      <c r="N51">
        <f>SUMIF(RawDataRecovered!$B:$B,$A51,RawDataRecovered!Q:Q)</f>
        <v>0</v>
      </c>
      <c r="O51">
        <f>SUMIF(RawDataRecovered!$B:$B,$A51,RawDataRecovered!R:R)</f>
        <v>0</v>
      </c>
      <c r="P51">
        <f>SUMIF(RawDataRecovered!$B:$B,$A51,RawDataRecovered!S:S)</f>
        <v>0</v>
      </c>
      <c r="Q51">
        <f>SUMIF(RawDataRecovered!$B:$B,$A51,RawDataRecovered!T:T)</f>
        <v>0</v>
      </c>
      <c r="R51">
        <f>SUMIF(RawDataRecovered!$B:$B,$A51,RawDataRecovered!U:U)</f>
        <v>0</v>
      </c>
      <c r="S51">
        <f>SUMIF(RawDataRecovered!$B:$B,$A51,RawDataRecovered!V:V)</f>
        <v>0</v>
      </c>
      <c r="T51">
        <f>SUMIF(RawDataRecovered!$B:$B,$A51,RawDataRecovered!W:W)</f>
        <v>0</v>
      </c>
      <c r="U51">
        <f>SUMIF(RawDataRecovered!$B:$B,$A51,RawDataRecovered!X:X)</f>
        <v>0</v>
      </c>
      <c r="V51">
        <f>SUMIF(RawDataRecovered!$B:$B,$A51,RawDataRecovered!Y:Y)</f>
        <v>0</v>
      </c>
      <c r="W51">
        <f>SUMIF(RawDataRecovered!$B:$B,$A51,RawDataRecovered!Z:Z)</f>
        <v>2</v>
      </c>
      <c r="X51">
        <f>SUMIF(RawDataRecovered!$B:$B,$A51,RawDataRecovered!AA:AA)</f>
        <v>2</v>
      </c>
      <c r="Y51">
        <f>SUMIF(RawDataRecovered!$B:$B,$A51,RawDataRecovered!AB:AB)</f>
        <v>2</v>
      </c>
      <c r="Z51">
        <f>SUMIF(RawDataRecovered!$B:$B,$A51,RawDataRecovered!AC:AC)</f>
        <v>2</v>
      </c>
      <c r="AA51">
        <f>SUMIF(RawDataRecovered!$B:$B,$A51,RawDataRecovered!AD:AD)</f>
        <v>2</v>
      </c>
      <c r="AB51">
        <f>SUMIF(RawDataRecovered!$B:$B,$A51,RawDataRecovered!AE:AE)</f>
        <v>2</v>
      </c>
      <c r="AC51">
        <f>SUMIF(RawDataRecovered!$B:$B,$A51,RawDataRecovered!AF:AF)</f>
        <v>2</v>
      </c>
      <c r="AD51">
        <f>SUMIF(RawDataRecovered!$B:$B,$A51,RawDataRecovered!AG:AG)</f>
        <v>2</v>
      </c>
      <c r="AE51">
        <f>SUMIF(RawDataRecovered!$B:$B,$A51,RawDataRecovered!AH:AH)</f>
        <v>2</v>
      </c>
      <c r="AF51">
        <f>SUMIF(RawDataRecovered!$B:$B,$A51,RawDataRecovered!AI:AI)</f>
        <v>2</v>
      </c>
      <c r="AG51">
        <f>SUMIF(RawDataRecovered!$B:$B,$A51,RawDataRecovered!AJ:AJ)</f>
        <v>2</v>
      </c>
      <c r="AH51">
        <f>SUMIF(RawDataRecovered!$B:$B,$A51,RawDataRecovered!AK:AK)</f>
        <v>2</v>
      </c>
      <c r="AI51">
        <f>SUMIF(RawDataRecovered!$B:$B,$A51,RawDataRecovered!AL:AL)</f>
        <v>2</v>
      </c>
      <c r="AJ51">
        <f>SUMIF(RawDataRecovered!$B:$B,$A51,RawDataRecovered!AM:AM)</f>
        <v>2</v>
      </c>
      <c r="AK51">
        <f>SUMIF(RawDataRecovered!$B:$B,$A51,RawDataRecovered!AN:AN)</f>
        <v>2</v>
      </c>
      <c r="AL51">
        <f>SUMIF(RawDataRecovered!$B:$B,$A51,RawDataRecovered!AO:AO)</f>
        <v>2</v>
      </c>
      <c r="AM51">
        <f>SUMIF(RawDataRecovered!$B:$B,$A51,RawDataRecovered!AP:AP)</f>
        <v>2</v>
      </c>
      <c r="AN51">
        <f>SUMIF(RawDataRecovered!$B:$B,$A51,RawDataRecovered!AQ:AQ)</f>
        <v>2</v>
      </c>
      <c r="AO51">
        <f>SUMIF(RawDataRecovered!$B:$B,$A51,RawDataRecovered!AR:AR)</f>
        <v>2</v>
      </c>
      <c r="AP51">
        <f>SUMIF(RawDataRecovered!$B:$B,$A51,RawDataRecovered!AS:AS)</f>
        <v>2</v>
      </c>
      <c r="AQ51">
        <f>SUMIF(RawDataRecovered!$B:$B,$A51,RawDataRecovered!AT:AT)</f>
        <v>2</v>
      </c>
      <c r="AR51">
        <f>SUMIF(RawDataRecovered!$B:$B,$A51,RawDataRecovered!AU:AU)</f>
        <v>2</v>
      </c>
      <c r="AS51">
        <f>SUMIF(RawDataRecovered!$B:$B,$A51,RawDataRecovered!AV:AV)</f>
        <v>2</v>
      </c>
      <c r="AT51">
        <f>SUMIF(RawDataRecovered!$B:$B,$A51,RawDataRecovered!AW:AW)</f>
        <v>2</v>
      </c>
      <c r="AU51">
        <f>SUMIF(RawDataRecovered!$B:$B,$A51,RawDataRecovered!AX:AX)</f>
        <v>2</v>
      </c>
      <c r="AV51">
        <f>SUMIF(RawDataRecovered!$B:$B,$A51,RawDataRecovered!AY:AY)</f>
        <v>3</v>
      </c>
      <c r="AW51">
        <f>SUMIF(RawDataRecovered!$B:$B,$A51,RawDataRecovered!AZ:AZ)</f>
        <v>3</v>
      </c>
      <c r="AX51">
        <f>SUMIF(RawDataRecovered!$B:$B,$A51,RawDataRecovered!BA:BA)</f>
        <v>3</v>
      </c>
      <c r="AY51">
        <f>SUMIF(RawDataRecovered!$B:$B,$A51,RawDataRecovered!BB:BB)</f>
        <v>3</v>
      </c>
      <c r="AZ51">
        <f>SUMIF(RawDataRecovered!$B:$B,$A51,RawDataRecovered!BC:BC)</f>
        <v>3</v>
      </c>
      <c r="BA51">
        <f>SUMIF(RawDataRecovered!$B:$B,$A51,RawDataRecovered!BD:BD)</f>
        <v>3</v>
      </c>
      <c r="BB51">
        <f>SUMIF(RawDataRecovered!$B:$B,$A51,RawDataRecovered!BE:BE)</f>
        <v>8</v>
      </c>
      <c r="BC51">
        <f>SUMIF(RawDataRecovered!$B:$B,$A51,RawDataRecovered!BF:BF)</f>
        <v>8</v>
      </c>
      <c r="BD51">
        <f>SUMIF(RawDataRecovered!$B:$B,$A51,RawDataRecovered!BG:BG)</f>
        <v>8</v>
      </c>
      <c r="BE51">
        <f>SUMIF(RawDataRecovered!$B:$B,$A51,RawDataRecovered!BH:BH)</f>
        <v>8</v>
      </c>
      <c r="BF51">
        <f>SUMIF(RawDataRecovered!$B:$B,$A51,RawDataRecovered!BI:BI)</f>
        <v>0</v>
      </c>
      <c r="BG51">
        <f>SUMIF(RawDataRecovered!$B:$B,$A51,RawDataRecovered!BJ:BJ)</f>
        <v>0</v>
      </c>
      <c r="BH51">
        <f>SUMIF(RawDataRecovered!$B:$B,$A51,RawDataRecovered!BK:BK)</f>
        <v>0</v>
      </c>
      <c r="BI51">
        <f>SUMIF(RawDataRecovered!$B:$B,$A51,RawDataRecovered!BL:BL)</f>
        <v>0</v>
      </c>
      <c r="BJ51">
        <f>SUMIF(RawDataRecovered!$B:$B,$A51,RawDataRecovered!BM:BM)</f>
        <v>0</v>
      </c>
      <c r="BK51">
        <f>SUMIF(RawDataRecovered!$B:$B,$A51,RawDataRecovered!BN:BN)</f>
        <v>0</v>
      </c>
      <c r="BL51">
        <f>SUMIF(RawDataRecovered!$B:$B,$A51,RawDataRecovered!BO:BO)</f>
        <v>0</v>
      </c>
      <c r="BM51">
        <f>SUMIF(RawDataRecovered!$B:$B,$A51,RawDataRecovered!BP:BP)</f>
        <v>0</v>
      </c>
      <c r="BN51">
        <f>SUMIF(RawDataRecovered!$B:$B,$A51,RawDataRecovered!BQ:BQ)</f>
        <v>0</v>
      </c>
      <c r="BO51">
        <f>SUMIF(RawDataRecovered!$B:$B,$A51,RawDataRecovered!BR:BR)</f>
        <v>0</v>
      </c>
      <c r="BP51">
        <f>SUMIF(RawDataRecovered!$B:$B,$A51,RawDataRecovered!BS:BS)</f>
        <v>0</v>
      </c>
      <c r="BQ51">
        <f>SUMIF(RawDataRecovered!$B:$B,$A51,RawDataRecovered!BT:BT)</f>
        <v>0</v>
      </c>
      <c r="BR51">
        <f>SUMIF(RawDataRecovered!$B:$B,$A51,RawDataRecovered!BU:BU)</f>
        <v>0</v>
      </c>
      <c r="BS51">
        <f>SUMIF(RawDataRecovered!$B:$B,$A51,RawDataRecovered!BV:BV)</f>
        <v>0</v>
      </c>
      <c r="BT51">
        <f>SUMIF(RawDataRecovered!$B:$B,$A51,RawDataRecovered!BW:BW)</f>
        <v>0</v>
      </c>
    </row>
    <row r="52" spans="1:72" ht="15" thickBot="1" x14ac:dyDescent="0.35">
      <c r="A52" s="3" t="s">
        <v>151</v>
      </c>
      <c r="B52">
        <f>SUMIF(RawDataRecovered!$B:$B,$A52,RawDataRecovered!E:E)</f>
        <v>0</v>
      </c>
      <c r="C52">
        <f>SUMIF(RawDataRecovered!$B:$B,$A52,RawDataRecovered!F:F)</f>
        <v>0</v>
      </c>
      <c r="D52">
        <f>SUMIF(RawDataRecovered!$B:$B,$A52,RawDataRecovered!G:G)</f>
        <v>0</v>
      </c>
      <c r="E52">
        <f>SUMIF(RawDataRecovered!$B:$B,$A52,RawDataRecovered!H:H)</f>
        <v>0</v>
      </c>
      <c r="F52">
        <f>SUMIF(RawDataRecovered!$B:$B,$A52,RawDataRecovered!I:I)</f>
        <v>0</v>
      </c>
      <c r="G52">
        <f>SUMIF(RawDataRecovered!$B:$B,$A52,RawDataRecovered!J:J)</f>
        <v>0</v>
      </c>
      <c r="H52">
        <f>SUMIF(RawDataRecovered!$B:$B,$A52,RawDataRecovered!K:K)</f>
        <v>0</v>
      </c>
      <c r="I52">
        <f>SUMIF(RawDataRecovered!$B:$B,$A52,RawDataRecovered!L:L)</f>
        <v>0</v>
      </c>
      <c r="J52">
        <f>SUMIF(RawDataRecovered!$B:$B,$A52,RawDataRecovered!M:M)</f>
        <v>0</v>
      </c>
      <c r="K52">
        <f>SUMIF(RawDataRecovered!$B:$B,$A52,RawDataRecovered!N:N)</f>
        <v>0</v>
      </c>
      <c r="L52">
        <f>SUMIF(RawDataRecovered!$B:$B,$A52,RawDataRecovered!O:O)</f>
        <v>0</v>
      </c>
      <c r="M52">
        <f>SUMIF(RawDataRecovered!$B:$B,$A52,RawDataRecovered!P:P)</f>
        <v>0</v>
      </c>
      <c r="N52">
        <f>SUMIF(RawDataRecovered!$B:$B,$A52,RawDataRecovered!Q:Q)</f>
        <v>0</v>
      </c>
      <c r="O52">
        <f>SUMIF(RawDataRecovered!$B:$B,$A52,RawDataRecovered!R:R)</f>
        <v>0</v>
      </c>
      <c r="P52">
        <f>SUMIF(RawDataRecovered!$B:$B,$A52,RawDataRecovered!S:S)</f>
        <v>0</v>
      </c>
      <c r="Q52">
        <f>SUMIF(RawDataRecovered!$B:$B,$A52,RawDataRecovered!T:T)</f>
        <v>0</v>
      </c>
      <c r="R52">
        <f>SUMIF(RawDataRecovered!$B:$B,$A52,RawDataRecovered!U:U)</f>
        <v>0</v>
      </c>
      <c r="S52">
        <f>SUMIF(RawDataRecovered!$B:$B,$A52,RawDataRecovered!V:V)</f>
        <v>0</v>
      </c>
      <c r="T52">
        <f>SUMIF(RawDataRecovered!$B:$B,$A52,RawDataRecovered!W:W)</f>
        <v>0</v>
      </c>
      <c r="U52">
        <f>SUMIF(RawDataRecovered!$B:$B,$A52,RawDataRecovered!X:X)</f>
        <v>0</v>
      </c>
      <c r="V52">
        <f>SUMIF(RawDataRecovered!$B:$B,$A52,RawDataRecovered!Y:Y)</f>
        <v>0</v>
      </c>
      <c r="W52">
        <f>SUMIF(RawDataRecovered!$B:$B,$A52,RawDataRecovered!Z:Z)</f>
        <v>0</v>
      </c>
      <c r="X52">
        <f>SUMIF(RawDataRecovered!$B:$B,$A52,RawDataRecovered!AA:AA)</f>
        <v>0</v>
      </c>
      <c r="Y52">
        <f>SUMIF(RawDataRecovered!$B:$B,$A52,RawDataRecovered!AB:AB)</f>
        <v>0</v>
      </c>
      <c r="Z52">
        <f>SUMIF(RawDataRecovered!$B:$B,$A52,RawDataRecovered!AC:AC)</f>
        <v>0</v>
      </c>
      <c r="AA52">
        <f>SUMIF(RawDataRecovered!$B:$B,$A52,RawDataRecovered!AD:AD)</f>
        <v>0</v>
      </c>
      <c r="AB52">
        <f>SUMIF(RawDataRecovered!$B:$B,$A52,RawDataRecovered!AE:AE)</f>
        <v>0</v>
      </c>
      <c r="AC52">
        <f>SUMIF(RawDataRecovered!$B:$B,$A52,RawDataRecovered!AF:AF)</f>
        <v>0</v>
      </c>
      <c r="AD52">
        <f>SUMIF(RawDataRecovered!$B:$B,$A52,RawDataRecovered!AG:AG)</f>
        <v>0</v>
      </c>
      <c r="AE52">
        <f>SUMIF(RawDataRecovered!$B:$B,$A52,RawDataRecovered!AH:AH)</f>
        <v>0</v>
      </c>
      <c r="AF52">
        <f>SUMIF(RawDataRecovered!$B:$B,$A52,RawDataRecovered!AI:AI)</f>
        <v>0</v>
      </c>
      <c r="AG52">
        <f>SUMIF(RawDataRecovered!$B:$B,$A52,RawDataRecovered!AJ:AJ)</f>
        <v>0</v>
      </c>
      <c r="AH52">
        <f>SUMIF(RawDataRecovered!$B:$B,$A52,RawDataRecovered!AK:AK)</f>
        <v>0</v>
      </c>
      <c r="AI52">
        <f>SUMIF(RawDataRecovered!$B:$B,$A52,RawDataRecovered!AL:AL)</f>
        <v>0</v>
      </c>
      <c r="AJ52">
        <f>SUMIF(RawDataRecovered!$B:$B,$A52,RawDataRecovered!AM:AM)</f>
        <v>0</v>
      </c>
      <c r="AK52">
        <f>SUMIF(RawDataRecovered!$B:$B,$A52,RawDataRecovered!AN:AN)</f>
        <v>0</v>
      </c>
      <c r="AL52">
        <f>SUMIF(RawDataRecovered!$B:$B,$A52,RawDataRecovered!AO:AO)</f>
        <v>0</v>
      </c>
      <c r="AM52">
        <f>SUMIF(RawDataRecovered!$B:$B,$A52,RawDataRecovered!AP:AP)</f>
        <v>0</v>
      </c>
      <c r="AN52">
        <f>SUMIF(RawDataRecovered!$B:$B,$A52,RawDataRecovered!AQ:AQ)</f>
        <v>0</v>
      </c>
      <c r="AO52">
        <f>SUMIF(RawDataRecovered!$B:$B,$A52,RawDataRecovered!AR:AR)</f>
        <v>0</v>
      </c>
      <c r="AP52">
        <f>SUMIF(RawDataRecovered!$B:$B,$A52,RawDataRecovered!AS:AS)</f>
        <v>0</v>
      </c>
      <c r="AQ52">
        <f>SUMIF(RawDataRecovered!$B:$B,$A52,RawDataRecovered!AT:AT)</f>
        <v>0</v>
      </c>
      <c r="AR52">
        <f>SUMIF(RawDataRecovered!$B:$B,$A52,RawDataRecovered!AU:AU)</f>
        <v>0</v>
      </c>
      <c r="AS52">
        <f>SUMIF(RawDataRecovered!$B:$B,$A52,RawDataRecovered!AV:AV)</f>
        <v>0</v>
      </c>
      <c r="AT52">
        <f>SUMIF(RawDataRecovered!$B:$B,$A52,RawDataRecovered!AW:AW)</f>
        <v>0</v>
      </c>
      <c r="AU52">
        <f>SUMIF(RawDataRecovered!$B:$B,$A52,RawDataRecovered!AX:AX)</f>
        <v>0</v>
      </c>
      <c r="AV52">
        <f>SUMIF(RawDataRecovered!$B:$B,$A52,RawDataRecovered!AY:AY)</f>
        <v>0</v>
      </c>
      <c r="AW52">
        <f>SUMIF(RawDataRecovered!$B:$B,$A52,RawDataRecovered!AZ:AZ)</f>
        <v>0</v>
      </c>
      <c r="AX52">
        <f>SUMIF(RawDataRecovered!$B:$B,$A52,RawDataRecovered!BA:BA)</f>
        <v>0</v>
      </c>
      <c r="AY52">
        <f>SUMIF(RawDataRecovered!$B:$B,$A52,RawDataRecovered!BB:BB)</f>
        <v>0</v>
      </c>
      <c r="AZ52">
        <f>SUMIF(RawDataRecovered!$B:$B,$A52,RawDataRecovered!BC:BC)</f>
        <v>0</v>
      </c>
      <c r="BA52">
        <f>SUMIF(RawDataRecovered!$B:$B,$A52,RawDataRecovered!BD:BD)</f>
        <v>0</v>
      </c>
      <c r="BB52">
        <f>SUMIF(RawDataRecovered!$B:$B,$A52,RawDataRecovered!BE:BE)</f>
        <v>0</v>
      </c>
      <c r="BC52">
        <f>SUMIF(RawDataRecovered!$B:$B,$A52,RawDataRecovered!BF:BF)</f>
        <v>0</v>
      </c>
      <c r="BD52">
        <f>SUMIF(RawDataRecovered!$B:$B,$A52,RawDataRecovered!BG:BG)</f>
        <v>0</v>
      </c>
      <c r="BE52">
        <f>SUMIF(RawDataRecovered!$B:$B,$A52,RawDataRecovered!BH:BH)</f>
        <v>0</v>
      </c>
      <c r="BF52">
        <f>SUMIF(RawDataRecovered!$B:$B,$A52,RawDataRecovered!BI:BI)</f>
        <v>0</v>
      </c>
      <c r="BG52">
        <f>SUMIF(RawDataRecovered!$B:$B,$A52,RawDataRecovered!BJ:BJ)</f>
        <v>0</v>
      </c>
      <c r="BH52">
        <f>SUMIF(RawDataRecovered!$B:$B,$A52,RawDataRecovered!BK:BK)</f>
        <v>0</v>
      </c>
      <c r="BI52">
        <f>SUMIF(RawDataRecovered!$B:$B,$A52,RawDataRecovered!BL:BL)</f>
        <v>0</v>
      </c>
      <c r="BJ52">
        <f>SUMIF(RawDataRecovered!$B:$B,$A52,RawDataRecovered!BM:BM)</f>
        <v>0</v>
      </c>
      <c r="BK52">
        <f>SUMIF(RawDataRecovered!$B:$B,$A52,RawDataRecovered!BN:BN)</f>
        <v>0</v>
      </c>
      <c r="BL52">
        <f>SUMIF(RawDataRecovered!$B:$B,$A52,RawDataRecovered!BO:BO)</f>
        <v>0</v>
      </c>
      <c r="BM52">
        <f>SUMIF(RawDataRecovered!$B:$B,$A52,RawDataRecovered!BP:BP)</f>
        <v>0</v>
      </c>
      <c r="BN52">
        <f>SUMIF(RawDataRecovered!$B:$B,$A52,RawDataRecovered!BQ:BQ)</f>
        <v>0</v>
      </c>
      <c r="BO52">
        <f>SUMIF(RawDataRecovered!$B:$B,$A52,RawDataRecovered!BR:BR)</f>
        <v>0</v>
      </c>
      <c r="BP52">
        <f>SUMIF(RawDataRecovered!$B:$B,$A52,RawDataRecovered!BS:BS)</f>
        <v>0</v>
      </c>
      <c r="BQ52">
        <f>SUMIF(RawDataRecovered!$B:$B,$A52,RawDataRecovered!BT:BT)</f>
        <v>0</v>
      </c>
      <c r="BR52">
        <f>SUMIF(RawDataRecovered!$B:$B,$A52,RawDataRecovered!BU:BU)</f>
        <v>0</v>
      </c>
      <c r="BS52">
        <f>SUMIF(RawDataRecovered!$B:$B,$A52,RawDataRecovered!BV:BV)</f>
        <v>0</v>
      </c>
      <c r="BT52">
        <f>SUMIF(RawDataRecovered!$B:$B,$A52,RawDataRecovered!BW:BW)</f>
        <v>0</v>
      </c>
    </row>
    <row r="53" spans="1:72" ht="15" thickBot="1" x14ac:dyDescent="0.35">
      <c r="A53" s="4" t="s">
        <v>260</v>
      </c>
      <c r="B53">
        <f>SUMIF(RawDataRecovered!$B:$B,$A53,RawDataRecovered!E:E)</f>
        <v>0</v>
      </c>
      <c r="C53">
        <f>SUMIF(RawDataRecovered!$B:$B,$A53,RawDataRecovered!F:F)</f>
        <v>0</v>
      </c>
      <c r="D53">
        <f>SUMIF(RawDataRecovered!$B:$B,$A53,RawDataRecovered!G:G)</f>
        <v>0</v>
      </c>
      <c r="E53">
        <f>SUMIF(RawDataRecovered!$B:$B,$A53,RawDataRecovered!H:H)</f>
        <v>0</v>
      </c>
      <c r="F53">
        <f>SUMIF(RawDataRecovered!$B:$B,$A53,RawDataRecovered!I:I)</f>
        <v>0</v>
      </c>
      <c r="G53">
        <f>SUMIF(RawDataRecovered!$B:$B,$A53,RawDataRecovered!J:J)</f>
        <v>0</v>
      </c>
      <c r="H53">
        <f>SUMIF(RawDataRecovered!$B:$B,$A53,RawDataRecovered!K:K)</f>
        <v>0</v>
      </c>
      <c r="I53">
        <f>SUMIF(RawDataRecovered!$B:$B,$A53,RawDataRecovered!L:L)</f>
        <v>0</v>
      </c>
      <c r="J53">
        <f>SUMIF(RawDataRecovered!$B:$B,$A53,RawDataRecovered!M:M)</f>
        <v>0</v>
      </c>
      <c r="K53">
        <f>SUMIF(RawDataRecovered!$B:$B,$A53,RawDataRecovered!N:N)</f>
        <v>0</v>
      </c>
      <c r="L53">
        <f>SUMIF(RawDataRecovered!$B:$B,$A53,RawDataRecovered!O:O)</f>
        <v>0</v>
      </c>
      <c r="M53">
        <f>SUMIF(RawDataRecovered!$B:$B,$A53,RawDataRecovered!P:P)</f>
        <v>0</v>
      </c>
      <c r="N53">
        <f>SUMIF(RawDataRecovered!$B:$B,$A53,RawDataRecovered!Q:Q)</f>
        <v>0</v>
      </c>
      <c r="O53">
        <f>SUMIF(RawDataRecovered!$B:$B,$A53,RawDataRecovered!R:R)</f>
        <v>0</v>
      </c>
      <c r="P53">
        <f>SUMIF(RawDataRecovered!$B:$B,$A53,RawDataRecovered!S:S)</f>
        <v>0</v>
      </c>
      <c r="Q53">
        <f>SUMIF(RawDataRecovered!$B:$B,$A53,RawDataRecovered!T:T)</f>
        <v>0</v>
      </c>
      <c r="R53">
        <f>SUMIF(RawDataRecovered!$B:$B,$A53,RawDataRecovered!U:U)</f>
        <v>0</v>
      </c>
      <c r="S53">
        <f>SUMIF(RawDataRecovered!$B:$B,$A53,RawDataRecovered!V:V)</f>
        <v>0</v>
      </c>
      <c r="T53">
        <f>SUMIF(RawDataRecovered!$B:$B,$A53,RawDataRecovered!W:W)</f>
        <v>0</v>
      </c>
      <c r="U53">
        <f>SUMIF(RawDataRecovered!$B:$B,$A53,RawDataRecovered!X:X)</f>
        <v>0</v>
      </c>
      <c r="V53">
        <f>SUMIF(RawDataRecovered!$B:$B,$A53,RawDataRecovered!Y:Y)</f>
        <v>0</v>
      </c>
      <c r="W53">
        <f>SUMIF(RawDataRecovered!$B:$B,$A53,RawDataRecovered!Z:Z)</f>
        <v>0</v>
      </c>
      <c r="X53">
        <f>SUMIF(RawDataRecovered!$B:$B,$A53,RawDataRecovered!AA:AA)</f>
        <v>0</v>
      </c>
      <c r="Y53">
        <f>SUMIF(RawDataRecovered!$B:$B,$A53,RawDataRecovered!AB:AB)</f>
        <v>0</v>
      </c>
      <c r="Z53">
        <f>SUMIF(RawDataRecovered!$B:$B,$A53,RawDataRecovered!AC:AC)</f>
        <v>0</v>
      </c>
      <c r="AA53">
        <f>SUMIF(RawDataRecovered!$B:$B,$A53,RawDataRecovered!AD:AD)</f>
        <v>0</v>
      </c>
      <c r="AB53">
        <f>SUMIF(RawDataRecovered!$B:$B,$A53,RawDataRecovered!AE:AE)</f>
        <v>0</v>
      </c>
      <c r="AC53">
        <f>SUMIF(RawDataRecovered!$B:$B,$A53,RawDataRecovered!AF:AF)</f>
        <v>0</v>
      </c>
      <c r="AD53">
        <f>SUMIF(RawDataRecovered!$B:$B,$A53,RawDataRecovered!AG:AG)</f>
        <v>0</v>
      </c>
      <c r="AE53">
        <f>SUMIF(RawDataRecovered!$B:$B,$A53,RawDataRecovered!AH:AH)</f>
        <v>0</v>
      </c>
      <c r="AF53">
        <f>SUMIF(RawDataRecovered!$B:$B,$A53,RawDataRecovered!AI:AI)</f>
        <v>0</v>
      </c>
      <c r="AG53">
        <f>SUMIF(RawDataRecovered!$B:$B,$A53,RawDataRecovered!AJ:AJ)</f>
        <v>0</v>
      </c>
      <c r="AH53">
        <f>SUMIF(RawDataRecovered!$B:$B,$A53,RawDataRecovered!AK:AK)</f>
        <v>0</v>
      </c>
      <c r="AI53">
        <f>SUMIF(RawDataRecovered!$B:$B,$A53,RawDataRecovered!AL:AL)</f>
        <v>0</v>
      </c>
      <c r="AJ53">
        <f>SUMIF(RawDataRecovered!$B:$B,$A53,RawDataRecovered!AM:AM)</f>
        <v>0</v>
      </c>
      <c r="AK53">
        <f>SUMIF(RawDataRecovered!$B:$B,$A53,RawDataRecovered!AN:AN)</f>
        <v>0</v>
      </c>
      <c r="AL53">
        <f>SUMIF(RawDataRecovered!$B:$B,$A53,RawDataRecovered!AO:AO)</f>
        <v>0</v>
      </c>
      <c r="AM53">
        <f>SUMIF(RawDataRecovered!$B:$B,$A53,RawDataRecovered!AP:AP)</f>
        <v>0</v>
      </c>
      <c r="AN53">
        <f>SUMIF(RawDataRecovered!$B:$B,$A53,RawDataRecovered!AQ:AQ)</f>
        <v>0</v>
      </c>
      <c r="AO53">
        <f>SUMIF(RawDataRecovered!$B:$B,$A53,RawDataRecovered!AR:AR)</f>
        <v>0</v>
      </c>
      <c r="AP53">
        <f>SUMIF(RawDataRecovered!$B:$B,$A53,RawDataRecovered!AS:AS)</f>
        <v>0</v>
      </c>
      <c r="AQ53">
        <f>SUMIF(RawDataRecovered!$B:$B,$A53,RawDataRecovered!AT:AT)</f>
        <v>0</v>
      </c>
      <c r="AR53">
        <f>SUMIF(RawDataRecovered!$B:$B,$A53,RawDataRecovered!AU:AU)</f>
        <v>0</v>
      </c>
      <c r="AS53">
        <f>SUMIF(RawDataRecovered!$B:$B,$A53,RawDataRecovered!AV:AV)</f>
        <v>0</v>
      </c>
      <c r="AT53">
        <f>SUMIF(RawDataRecovered!$B:$B,$A53,RawDataRecovered!AW:AW)</f>
        <v>0</v>
      </c>
      <c r="AU53">
        <f>SUMIF(RawDataRecovered!$B:$B,$A53,RawDataRecovered!AX:AX)</f>
        <v>0</v>
      </c>
      <c r="AV53">
        <f>SUMIF(RawDataRecovered!$B:$B,$A53,RawDataRecovered!AY:AY)</f>
        <v>0</v>
      </c>
      <c r="AW53">
        <f>SUMIF(RawDataRecovered!$B:$B,$A53,RawDataRecovered!AZ:AZ)</f>
        <v>0</v>
      </c>
      <c r="AX53">
        <f>SUMIF(RawDataRecovered!$B:$B,$A53,RawDataRecovered!BA:BA)</f>
        <v>0</v>
      </c>
      <c r="AY53">
        <f>SUMIF(RawDataRecovered!$B:$B,$A53,RawDataRecovered!BB:BB)</f>
        <v>0</v>
      </c>
      <c r="AZ53">
        <f>SUMIF(RawDataRecovered!$B:$B,$A53,RawDataRecovered!BC:BC)</f>
        <v>0</v>
      </c>
      <c r="BA53">
        <f>SUMIF(RawDataRecovered!$B:$B,$A53,RawDataRecovered!BD:BD)</f>
        <v>0</v>
      </c>
      <c r="BB53">
        <f>SUMIF(RawDataRecovered!$B:$B,$A53,RawDataRecovered!BE:BE)</f>
        <v>0</v>
      </c>
      <c r="BC53">
        <f>SUMIF(RawDataRecovered!$B:$B,$A53,RawDataRecovered!BF:BF)</f>
        <v>0</v>
      </c>
      <c r="BD53">
        <f>SUMIF(RawDataRecovered!$B:$B,$A53,RawDataRecovered!BG:BG)</f>
        <v>0</v>
      </c>
      <c r="BE53">
        <f>SUMIF(RawDataRecovered!$B:$B,$A53,RawDataRecovered!BH:BH)</f>
        <v>0</v>
      </c>
      <c r="BF53">
        <f>SUMIF(RawDataRecovered!$B:$B,$A53,RawDataRecovered!BI:BI)</f>
        <v>0</v>
      </c>
      <c r="BG53">
        <f>SUMIF(RawDataRecovered!$B:$B,$A53,RawDataRecovered!BJ:BJ)</f>
        <v>0</v>
      </c>
      <c r="BH53">
        <f>SUMIF(RawDataRecovered!$B:$B,$A53,RawDataRecovered!BK:BK)</f>
        <v>0</v>
      </c>
      <c r="BI53">
        <f>SUMIF(RawDataRecovered!$B:$B,$A53,RawDataRecovered!BL:BL)</f>
        <v>0</v>
      </c>
      <c r="BJ53">
        <f>SUMIF(RawDataRecovered!$B:$B,$A53,RawDataRecovered!BM:BM)</f>
        <v>0</v>
      </c>
      <c r="BK53">
        <f>SUMIF(RawDataRecovered!$B:$B,$A53,RawDataRecovered!BN:BN)</f>
        <v>0</v>
      </c>
      <c r="BL53">
        <f>SUMIF(RawDataRecovered!$B:$B,$A53,RawDataRecovered!BO:BO)</f>
        <v>0</v>
      </c>
      <c r="BM53">
        <f>SUMIF(RawDataRecovered!$B:$B,$A53,RawDataRecovered!BP:BP)</f>
        <v>0</v>
      </c>
      <c r="BN53">
        <f>SUMIF(RawDataRecovered!$B:$B,$A53,RawDataRecovered!BQ:BQ)</f>
        <v>0</v>
      </c>
      <c r="BO53">
        <f>SUMIF(RawDataRecovered!$B:$B,$A53,RawDataRecovered!BR:BR)</f>
        <v>0</v>
      </c>
      <c r="BP53">
        <f>SUMIF(RawDataRecovered!$B:$B,$A53,RawDataRecovered!BS:BS)</f>
        <v>0</v>
      </c>
      <c r="BQ53">
        <f>SUMIF(RawDataRecovered!$B:$B,$A53,RawDataRecovered!BT:BT)</f>
        <v>0</v>
      </c>
      <c r="BR53">
        <f>SUMIF(RawDataRecovered!$B:$B,$A53,RawDataRecovered!BU:BU)</f>
        <v>0</v>
      </c>
      <c r="BS53">
        <f>SUMIF(RawDataRecovered!$B:$B,$A53,RawDataRecovered!BV:BV)</f>
        <v>0</v>
      </c>
      <c r="BT53">
        <f>SUMIF(RawDataRecovered!$B:$B,$A53,RawDataRecovered!BW:BW)</f>
        <v>0</v>
      </c>
    </row>
    <row r="54" spans="1:72" ht="15" thickBot="1" x14ac:dyDescent="0.35">
      <c r="A54" s="3" t="s">
        <v>188</v>
      </c>
      <c r="B54">
        <f>SUMIF(RawDataRecovered!$B:$B,$A54,RawDataRecovered!E:E)</f>
        <v>0</v>
      </c>
      <c r="C54">
        <f>SUMIF(RawDataRecovered!$B:$B,$A54,RawDataRecovered!F:F)</f>
        <v>0</v>
      </c>
      <c r="D54">
        <f>SUMIF(RawDataRecovered!$B:$B,$A54,RawDataRecovered!G:G)</f>
        <v>0</v>
      </c>
      <c r="E54">
        <f>SUMIF(RawDataRecovered!$B:$B,$A54,RawDataRecovered!H:H)</f>
        <v>0</v>
      </c>
      <c r="F54">
        <f>SUMIF(RawDataRecovered!$B:$B,$A54,RawDataRecovered!I:I)</f>
        <v>0</v>
      </c>
      <c r="G54">
        <f>SUMIF(RawDataRecovered!$B:$B,$A54,RawDataRecovered!J:J)</f>
        <v>0</v>
      </c>
      <c r="H54">
        <f>SUMIF(RawDataRecovered!$B:$B,$A54,RawDataRecovered!K:K)</f>
        <v>0</v>
      </c>
      <c r="I54">
        <f>SUMIF(RawDataRecovered!$B:$B,$A54,RawDataRecovered!L:L)</f>
        <v>0</v>
      </c>
      <c r="J54">
        <f>SUMIF(RawDataRecovered!$B:$B,$A54,RawDataRecovered!M:M)</f>
        <v>0</v>
      </c>
      <c r="K54">
        <f>SUMIF(RawDataRecovered!$B:$B,$A54,RawDataRecovered!N:N)</f>
        <v>0</v>
      </c>
      <c r="L54">
        <f>SUMIF(RawDataRecovered!$B:$B,$A54,RawDataRecovered!O:O)</f>
        <v>0</v>
      </c>
      <c r="M54">
        <f>SUMIF(RawDataRecovered!$B:$B,$A54,RawDataRecovered!P:P)</f>
        <v>0</v>
      </c>
      <c r="N54">
        <f>SUMIF(RawDataRecovered!$B:$B,$A54,RawDataRecovered!Q:Q)</f>
        <v>0</v>
      </c>
      <c r="O54">
        <f>SUMIF(RawDataRecovered!$B:$B,$A54,RawDataRecovered!R:R)</f>
        <v>0</v>
      </c>
      <c r="P54">
        <f>SUMIF(RawDataRecovered!$B:$B,$A54,RawDataRecovered!S:S)</f>
        <v>0</v>
      </c>
      <c r="Q54">
        <f>SUMIF(RawDataRecovered!$B:$B,$A54,RawDataRecovered!T:T)</f>
        <v>0</v>
      </c>
      <c r="R54">
        <f>SUMIF(RawDataRecovered!$B:$B,$A54,RawDataRecovered!U:U)</f>
        <v>0</v>
      </c>
      <c r="S54">
        <f>SUMIF(RawDataRecovered!$B:$B,$A54,RawDataRecovered!V:V)</f>
        <v>0</v>
      </c>
      <c r="T54">
        <f>SUMIF(RawDataRecovered!$B:$B,$A54,RawDataRecovered!W:W)</f>
        <v>0</v>
      </c>
      <c r="U54">
        <f>SUMIF(RawDataRecovered!$B:$B,$A54,RawDataRecovered!X:X)</f>
        <v>0</v>
      </c>
      <c r="V54">
        <f>SUMIF(RawDataRecovered!$B:$B,$A54,RawDataRecovered!Y:Y)</f>
        <v>0</v>
      </c>
      <c r="W54">
        <f>SUMIF(RawDataRecovered!$B:$B,$A54,RawDataRecovered!Z:Z)</f>
        <v>0</v>
      </c>
      <c r="X54">
        <f>SUMIF(RawDataRecovered!$B:$B,$A54,RawDataRecovered!AA:AA)</f>
        <v>0</v>
      </c>
      <c r="Y54">
        <f>SUMIF(RawDataRecovered!$B:$B,$A54,RawDataRecovered!AB:AB)</f>
        <v>0</v>
      </c>
      <c r="Z54">
        <f>SUMIF(RawDataRecovered!$B:$B,$A54,RawDataRecovered!AC:AC)</f>
        <v>0</v>
      </c>
      <c r="AA54">
        <f>SUMIF(RawDataRecovered!$B:$B,$A54,RawDataRecovered!AD:AD)</f>
        <v>0</v>
      </c>
      <c r="AB54">
        <f>SUMIF(RawDataRecovered!$B:$B,$A54,RawDataRecovered!AE:AE)</f>
        <v>0</v>
      </c>
      <c r="AC54">
        <f>SUMIF(RawDataRecovered!$B:$B,$A54,RawDataRecovered!AF:AF)</f>
        <v>0</v>
      </c>
      <c r="AD54">
        <f>SUMIF(RawDataRecovered!$B:$B,$A54,RawDataRecovered!AG:AG)</f>
        <v>0</v>
      </c>
      <c r="AE54">
        <f>SUMIF(RawDataRecovered!$B:$B,$A54,RawDataRecovered!AH:AH)</f>
        <v>0</v>
      </c>
      <c r="AF54">
        <f>SUMIF(RawDataRecovered!$B:$B,$A54,RawDataRecovered!AI:AI)</f>
        <v>0</v>
      </c>
      <c r="AG54">
        <f>SUMIF(RawDataRecovered!$B:$B,$A54,RawDataRecovered!AJ:AJ)</f>
        <v>0</v>
      </c>
      <c r="AH54">
        <f>SUMIF(RawDataRecovered!$B:$B,$A54,RawDataRecovered!AK:AK)</f>
        <v>0</v>
      </c>
      <c r="AI54">
        <f>SUMIF(RawDataRecovered!$B:$B,$A54,RawDataRecovered!AL:AL)</f>
        <v>0</v>
      </c>
      <c r="AJ54">
        <f>SUMIF(RawDataRecovered!$B:$B,$A54,RawDataRecovered!AM:AM)</f>
        <v>0</v>
      </c>
      <c r="AK54">
        <f>SUMIF(RawDataRecovered!$B:$B,$A54,RawDataRecovered!AN:AN)</f>
        <v>0</v>
      </c>
      <c r="AL54">
        <f>SUMIF(RawDataRecovered!$B:$B,$A54,RawDataRecovered!AO:AO)</f>
        <v>0</v>
      </c>
      <c r="AM54">
        <f>SUMIF(RawDataRecovered!$B:$B,$A54,RawDataRecovered!AP:AP)</f>
        <v>0</v>
      </c>
      <c r="AN54">
        <f>SUMIF(RawDataRecovered!$B:$B,$A54,RawDataRecovered!AQ:AQ)</f>
        <v>0</v>
      </c>
      <c r="AO54">
        <f>SUMIF(RawDataRecovered!$B:$B,$A54,RawDataRecovered!AR:AR)</f>
        <v>0</v>
      </c>
      <c r="AP54">
        <f>SUMIF(RawDataRecovered!$B:$B,$A54,RawDataRecovered!AS:AS)</f>
        <v>0</v>
      </c>
      <c r="AQ54">
        <f>SUMIF(RawDataRecovered!$B:$B,$A54,RawDataRecovered!AT:AT)</f>
        <v>0</v>
      </c>
      <c r="AR54">
        <f>SUMIF(RawDataRecovered!$B:$B,$A54,RawDataRecovered!AU:AU)</f>
        <v>0</v>
      </c>
      <c r="AS54">
        <f>SUMIF(RawDataRecovered!$B:$B,$A54,RawDataRecovered!AV:AV)</f>
        <v>0</v>
      </c>
      <c r="AT54">
        <f>SUMIF(RawDataRecovered!$B:$B,$A54,RawDataRecovered!AW:AW)</f>
        <v>0</v>
      </c>
      <c r="AU54">
        <f>SUMIF(RawDataRecovered!$B:$B,$A54,RawDataRecovered!AX:AX)</f>
        <v>0</v>
      </c>
      <c r="AV54">
        <f>SUMIF(RawDataRecovered!$B:$B,$A54,RawDataRecovered!AY:AY)</f>
        <v>0</v>
      </c>
      <c r="AW54">
        <f>SUMIF(RawDataRecovered!$B:$B,$A54,RawDataRecovered!AZ:AZ)</f>
        <v>0</v>
      </c>
      <c r="AX54">
        <f>SUMIF(RawDataRecovered!$B:$B,$A54,RawDataRecovered!BA:BA)</f>
        <v>0</v>
      </c>
      <c r="AY54">
        <f>SUMIF(RawDataRecovered!$B:$B,$A54,RawDataRecovered!BB:BB)</f>
        <v>0</v>
      </c>
      <c r="AZ54">
        <f>SUMIF(RawDataRecovered!$B:$B,$A54,RawDataRecovered!BC:BC)</f>
        <v>0</v>
      </c>
      <c r="BA54">
        <f>SUMIF(RawDataRecovered!$B:$B,$A54,RawDataRecovered!BD:BD)</f>
        <v>0</v>
      </c>
      <c r="BB54">
        <f>SUMIF(RawDataRecovered!$B:$B,$A54,RawDataRecovered!BE:BE)</f>
        <v>0</v>
      </c>
      <c r="BC54">
        <f>SUMIF(RawDataRecovered!$B:$B,$A54,RawDataRecovered!BF:BF)</f>
        <v>0</v>
      </c>
      <c r="BD54">
        <f>SUMIF(RawDataRecovered!$B:$B,$A54,RawDataRecovered!BG:BG)</f>
        <v>1</v>
      </c>
      <c r="BE54">
        <f>SUMIF(RawDataRecovered!$B:$B,$A54,RawDataRecovered!BH:BH)</f>
        <v>1</v>
      </c>
      <c r="BF54">
        <f>SUMIF(RawDataRecovered!$B:$B,$A54,RawDataRecovered!BI:BI)</f>
        <v>0</v>
      </c>
      <c r="BG54">
        <f>SUMIF(RawDataRecovered!$B:$B,$A54,RawDataRecovered!BJ:BJ)</f>
        <v>0</v>
      </c>
      <c r="BH54">
        <f>SUMIF(RawDataRecovered!$B:$B,$A54,RawDataRecovered!BK:BK)</f>
        <v>0</v>
      </c>
      <c r="BI54">
        <f>SUMIF(RawDataRecovered!$B:$B,$A54,RawDataRecovered!BL:BL)</f>
        <v>0</v>
      </c>
      <c r="BJ54">
        <f>SUMIF(RawDataRecovered!$B:$B,$A54,RawDataRecovered!BM:BM)</f>
        <v>0</v>
      </c>
      <c r="BK54">
        <f>SUMIF(RawDataRecovered!$B:$B,$A54,RawDataRecovered!BN:BN)</f>
        <v>0</v>
      </c>
      <c r="BL54">
        <f>SUMIF(RawDataRecovered!$B:$B,$A54,RawDataRecovered!BO:BO)</f>
        <v>0</v>
      </c>
      <c r="BM54">
        <f>SUMIF(RawDataRecovered!$B:$B,$A54,RawDataRecovered!BP:BP)</f>
        <v>0</v>
      </c>
      <c r="BN54">
        <f>SUMIF(RawDataRecovered!$B:$B,$A54,RawDataRecovered!BQ:BQ)</f>
        <v>0</v>
      </c>
      <c r="BO54">
        <f>SUMIF(RawDataRecovered!$B:$B,$A54,RawDataRecovered!BR:BR)</f>
        <v>0</v>
      </c>
      <c r="BP54">
        <f>SUMIF(RawDataRecovered!$B:$B,$A54,RawDataRecovered!BS:BS)</f>
        <v>0</v>
      </c>
      <c r="BQ54">
        <f>SUMIF(RawDataRecovered!$B:$B,$A54,RawDataRecovered!BT:BT)</f>
        <v>0</v>
      </c>
      <c r="BR54">
        <f>SUMIF(RawDataRecovered!$B:$B,$A54,RawDataRecovered!BU:BU)</f>
        <v>0</v>
      </c>
      <c r="BS54">
        <f>SUMIF(RawDataRecovered!$B:$B,$A54,RawDataRecovered!BV:BV)</f>
        <v>0</v>
      </c>
      <c r="BT54">
        <f>SUMIF(RawDataRecovered!$B:$B,$A54,RawDataRecovered!BW:BW)</f>
        <v>0</v>
      </c>
    </row>
    <row r="55" spans="1:72" ht="15" thickBot="1" x14ac:dyDescent="0.35">
      <c r="A55" s="3" t="s">
        <v>126</v>
      </c>
      <c r="B55">
        <f>SUMIF(RawDataRecovered!$B:$B,$A55,RawDataRecovered!E:E)</f>
        <v>0</v>
      </c>
      <c r="C55">
        <f>SUMIF(RawDataRecovered!$B:$B,$A55,RawDataRecovered!F:F)</f>
        <v>0</v>
      </c>
      <c r="D55">
        <f>SUMIF(RawDataRecovered!$B:$B,$A55,RawDataRecovered!G:G)</f>
        <v>0</v>
      </c>
      <c r="E55">
        <f>SUMIF(RawDataRecovered!$B:$B,$A55,RawDataRecovered!H:H)</f>
        <v>0</v>
      </c>
      <c r="F55">
        <f>SUMIF(RawDataRecovered!$B:$B,$A55,RawDataRecovered!I:I)</f>
        <v>0</v>
      </c>
      <c r="G55">
        <f>SUMIF(RawDataRecovered!$B:$B,$A55,RawDataRecovered!J:J)</f>
        <v>0</v>
      </c>
      <c r="H55">
        <f>SUMIF(RawDataRecovered!$B:$B,$A55,RawDataRecovered!K:K)</f>
        <v>0</v>
      </c>
      <c r="I55">
        <f>SUMIF(RawDataRecovered!$B:$B,$A55,RawDataRecovered!L:L)</f>
        <v>0</v>
      </c>
      <c r="J55">
        <f>SUMIF(RawDataRecovered!$B:$B,$A55,RawDataRecovered!M:M)</f>
        <v>0</v>
      </c>
      <c r="K55">
        <f>SUMIF(RawDataRecovered!$B:$B,$A55,RawDataRecovered!N:N)</f>
        <v>0</v>
      </c>
      <c r="L55">
        <f>SUMIF(RawDataRecovered!$B:$B,$A55,RawDataRecovered!O:O)</f>
        <v>0</v>
      </c>
      <c r="M55">
        <f>SUMIF(RawDataRecovered!$B:$B,$A55,RawDataRecovered!P:P)</f>
        <v>0</v>
      </c>
      <c r="N55">
        <f>SUMIF(RawDataRecovered!$B:$B,$A55,RawDataRecovered!Q:Q)</f>
        <v>0</v>
      </c>
      <c r="O55">
        <f>SUMIF(RawDataRecovered!$B:$B,$A55,RawDataRecovered!R:R)</f>
        <v>0</v>
      </c>
      <c r="P55">
        <f>SUMIF(RawDataRecovered!$B:$B,$A55,RawDataRecovered!S:S)</f>
        <v>0</v>
      </c>
      <c r="Q55">
        <f>SUMIF(RawDataRecovered!$B:$B,$A55,RawDataRecovered!T:T)</f>
        <v>0</v>
      </c>
      <c r="R55">
        <f>SUMIF(RawDataRecovered!$B:$B,$A55,RawDataRecovered!U:U)</f>
        <v>0</v>
      </c>
      <c r="S55">
        <f>SUMIF(RawDataRecovered!$B:$B,$A55,RawDataRecovered!V:V)</f>
        <v>0</v>
      </c>
      <c r="T55">
        <f>SUMIF(RawDataRecovered!$B:$B,$A55,RawDataRecovered!W:W)</f>
        <v>0</v>
      </c>
      <c r="U55">
        <f>SUMIF(RawDataRecovered!$B:$B,$A55,RawDataRecovered!X:X)</f>
        <v>0</v>
      </c>
      <c r="V55">
        <f>SUMIF(RawDataRecovered!$B:$B,$A55,RawDataRecovered!Y:Y)</f>
        <v>0</v>
      </c>
      <c r="W55">
        <f>SUMIF(RawDataRecovered!$B:$B,$A55,RawDataRecovered!Z:Z)</f>
        <v>0</v>
      </c>
      <c r="X55">
        <f>SUMIF(RawDataRecovered!$B:$B,$A55,RawDataRecovered!AA:AA)</f>
        <v>0</v>
      </c>
      <c r="Y55">
        <f>SUMIF(RawDataRecovered!$B:$B,$A55,RawDataRecovered!AB:AB)</f>
        <v>0</v>
      </c>
      <c r="Z55">
        <f>SUMIF(RawDataRecovered!$B:$B,$A55,RawDataRecovered!AC:AC)</f>
        <v>0</v>
      </c>
      <c r="AA55">
        <f>SUMIF(RawDataRecovered!$B:$B,$A55,RawDataRecovered!AD:AD)</f>
        <v>0</v>
      </c>
      <c r="AB55">
        <f>SUMIF(RawDataRecovered!$B:$B,$A55,RawDataRecovered!AE:AE)</f>
        <v>0</v>
      </c>
      <c r="AC55">
        <f>SUMIF(RawDataRecovered!$B:$B,$A55,RawDataRecovered!AF:AF)</f>
        <v>0</v>
      </c>
      <c r="AD55">
        <f>SUMIF(RawDataRecovered!$B:$B,$A55,RawDataRecovered!AG:AG)</f>
        <v>0</v>
      </c>
      <c r="AE55">
        <f>SUMIF(RawDataRecovered!$B:$B,$A55,RawDataRecovered!AH:AH)</f>
        <v>0</v>
      </c>
      <c r="AF55">
        <f>SUMIF(RawDataRecovered!$B:$B,$A55,RawDataRecovered!AI:AI)</f>
        <v>0</v>
      </c>
      <c r="AG55">
        <f>SUMIF(RawDataRecovered!$B:$B,$A55,RawDataRecovered!AJ:AJ)</f>
        <v>0</v>
      </c>
      <c r="AH55">
        <f>SUMIF(RawDataRecovered!$B:$B,$A55,RawDataRecovered!AK:AK)</f>
        <v>0</v>
      </c>
      <c r="AI55">
        <f>SUMIF(RawDataRecovered!$B:$B,$A55,RawDataRecovered!AL:AL)</f>
        <v>0</v>
      </c>
      <c r="AJ55">
        <f>SUMIF(RawDataRecovered!$B:$B,$A55,RawDataRecovered!AM:AM)</f>
        <v>0</v>
      </c>
      <c r="AK55">
        <f>SUMIF(RawDataRecovered!$B:$B,$A55,RawDataRecovered!AN:AN)</f>
        <v>0</v>
      </c>
      <c r="AL55">
        <f>SUMIF(RawDataRecovered!$B:$B,$A55,RawDataRecovered!AO:AO)</f>
        <v>0</v>
      </c>
      <c r="AM55">
        <f>SUMIF(RawDataRecovered!$B:$B,$A55,RawDataRecovered!AP:AP)</f>
        <v>0</v>
      </c>
      <c r="AN55">
        <f>SUMIF(RawDataRecovered!$B:$B,$A55,RawDataRecovered!AQ:AQ)</f>
        <v>0</v>
      </c>
      <c r="AO55">
        <f>SUMIF(RawDataRecovered!$B:$B,$A55,RawDataRecovered!AR:AR)</f>
        <v>0</v>
      </c>
      <c r="AP55">
        <f>SUMIF(RawDataRecovered!$B:$B,$A55,RawDataRecovered!AS:AS)</f>
        <v>0</v>
      </c>
      <c r="AQ55">
        <f>SUMIF(RawDataRecovered!$B:$B,$A55,RawDataRecovered!AT:AT)</f>
        <v>0</v>
      </c>
      <c r="AR55">
        <f>SUMIF(RawDataRecovered!$B:$B,$A55,RawDataRecovered!AU:AU)</f>
        <v>0</v>
      </c>
      <c r="AS55">
        <f>SUMIF(RawDataRecovered!$B:$B,$A55,RawDataRecovered!AV:AV)</f>
        <v>0</v>
      </c>
      <c r="AT55">
        <f>SUMIF(RawDataRecovered!$B:$B,$A55,RawDataRecovered!AW:AW)</f>
        <v>0</v>
      </c>
      <c r="AU55">
        <f>SUMIF(RawDataRecovered!$B:$B,$A55,RawDataRecovered!AX:AX)</f>
        <v>0</v>
      </c>
      <c r="AV55">
        <f>SUMIF(RawDataRecovered!$B:$B,$A55,RawDataRecovered!AY:AY)</f>
        <v>0</v>
      </c>
      <c r="AW55">
        <f>SUMIF(RawDataRecovered!$B:$B,$A55,RawDataRecovered!AZ:AZ)</f>
        <v>0</v>
      </c>
      <c r="AX55">
        <f>SUMIF(RawDataRecovered!$B:$B,$A55,RawDataRecovered!BA:BA)</f>
        <v>0</v>
      </c>
      <c r="AY55">
        <f>SUMIF(RawDataRecovered!$B:$B,$A55,RawDataRecovered!BB:BB)</f>
        <v>0</v>
      </c>
      <c r="AZ55">
        <f>SUMIF(RawDataRecovered!$B:$B,$A55,RawDataRecovered!BC:BC)</f>
        <v>0</v>
      </c>
      <c r="BA55">
        <f>SUMIF(RawDataRecovered!$B:$B,$A55,RawDataRecovered!BD:BD)</f>
        <v>0</v>
      </c>
      <c r="BB55">
        <f>SUMIF(RawDataRecovered!$B:$B,$A55,RawDataRecovered!BE:BE)</f>
        <v>0</v>
      </c>
      <c r="BC55">
        <f>SUMIF(RawDataRecovered!$B:$B,$A55,RawDataRecovered!BF:BF)</f>
        <v>0</v>
      </c>
      <c r="BD55">
        <f>SUMIF(RawDataRecovered!$B:$B,$A55,RawDataRecovered!BG:BG)</f>
        <v>0</v>
      </c>
      <c r="BE55">
        <f>SUMIF(RawDataRecovered!$B:$B,$A55,RawDataRecovered!BH:BH)</f>
        <v>0</v>
      </c>
      <c r="BF55">
        <f>SUMIF(RawDataRecovered!$B:$B,$A55,RawDataRecovered!BI:BI)</f>
        <v>0</v>
      </c>
      <c r="BG55">
        <f>SUMIF(RawDataRecovered!$B:$B,$A55,RawDataRecovered!BJ:BJ)</f>
        <v>0</v>
      </c>
      <c r="BH55">
        <f>SUMIF(RawDataRecovered!$B:$B,$A55,RawDataRecovered!BK:BK)</f>
        <v>0</v>
      </c>
      <c r="BI55">
        <f>SUMIF(RawDataRecovered!$B:$B,$A55,RawDataRecovered!BL:BL)</f>
        <v>0</v>
      </c>
      <c r="BJ55">
        <f>SUMIF(RawDataRecovered!$B:$B,$A55,RawDataRecovered!BM:BM)</f>
        <v>0</v>
      </c>
      <c r="BK55">
        <f>SUMIF(RawDataRecovered!$B:$B,$A55,RawDataRecovered!BN:BN)</f>
        <v>0</v>
      </c>
      <c r="BL55">
        <f>SUMIF(RawDataRecovered!$B:$B,$A55,RawDataRecovered!BO:BO)</f>
        <v>0</v>
      </c>
      <c r="BM55">
        <f>SUMIF(RawDataRecovered!$B:$B,$A55,RawDataRecovered!BP:BP)</f>
        <v>0</v>
      </c>
      <c r="BN55">
        <f>SUMIF(RawDataRecovered!$B:$B,$A55,RawDataRecovered!BQ:BQ)</f>
        <v>0</v>
      </c>
      <c r="BO55">
        <f>SUMIF(RawDataRecovered!$B:$B,$A55,RawDataRecovered!BR:BR)</f>
        <v>0</v>
      </c>
      <c r="BP55">
        <f>SUMIF(RawDataRecovered!$B:$B,$A55,RawDataRecovered!BS:BS)</f>
        <v>0</v>
      </c>
      <c r="BQ55">
        <f>SUMIF(RawDataRecovered!$B:$B,$A55,RawDataRecovered!BT:BT)</f>
        <v>0</v>
      </c>
      <c r="BR55">
        <f>SUMIF(RawDataRecovered!$B:$B,$A55,RawDataRecovered!BU:BU)</f>
        <v>0</v>
      </c>
      <c r="BS55">
        <f>SUMIF(RawDataRecovered!$B:$B,$A55,RawDataRecovered!BV:BV)</f>
        <v>0</v>
      </c>
      <c r="BT55">
        <f>SUMIF(RawDataRecovered!$B:$B,$A55,RawDataRecovered!BW:BW)</f>
        <v>0</v>
      </c>
    </row>
    <row r="56" spans="1:72" ht="15" thickBot="1" x14ac:dyDescent="0.35">
      <c r="A56" s="4" t="s">
        <v>257</v>
      </c>
      <c r="B56">
        <f>SUMIF(RawDataRecovered!$B:$B,$A56,RawDataRecovered!E:E)</f>
        <v>0</v>
      </c>
      <c r="C56">
        <f>SUMIF(RawDataRecovered!$B:$B,$A56,RawDataRecovered!F:F)</f>
        <v>0</v>
      </c>
      <c r="D56">
        <f>SUMIF(RawDataRecovered!$B:$B,$A56,RawDataRecovered!G:G)</f>
        <v>0</v>
      </c>
      <c r="E56">
        <f>SUMIF(RawDataRecovered!$B:$B,$A56,RawDataRecovered!H:H)</f>
        <v>0</v>
      </c>
      <c r="F56">
        <f>SUMIF(RawDataRecovered!$B:$B,$A56,RawDataRecovered!I:I)</f>
        <v>0</v>
      </c>
      <c r="G56">
        <f>SUMIF(RawDataRecovered!$B:$B,$A56,RawDataRecovered!J:J)</f>
        <v>0</v>
      </c>
      <c r="H56">
        <f>SUMIF(RawDataRecovered!$B:$B,$A56,RawDataRecovered!K:K)</f>
        <v>0</v>
      </c>
      <c r="I56">
        <f>SUMIF(RawDataRecovered!$B:$B,$A56,RawDataRecovered!L:L)</f>
        <v>0</v>
      </c>
      <c r="J56">
        <f>SUMIF(RawDataRecovered!$B:$B,$A56,RawDataRecovered!M:M)</f>
        <v>0</v>
      </c>
      <c r="K56">
        <f>SUMIF(RawDataRecovered!$B:$B,$A56,RawDataRecovered!N:N)</f>
        <v>0</v>
      </c>
      <c r="L56">
        <f>SUMIF(RawDataRecovered!$B:$B,$A56,RawDataRecovered!O:O)</f>
        <v>0</v>
      </c>
      <c r="M56">
        <f>SUMIF(RawDataRecovered!$B:$B,$A56,RawDataRecovered!P:P)</f>
        <v>0</v>
      </c>
      <c r="N56">
        <f>SUMIF(RawDataRecovered!$B:$B,$A56,RawDataRecovered!Q:Q)</f>
        <v>0</v>
      </c>
      <c r="O56">
        <f>SUMIF(RawDataRecovered!$B:$B,$A56,RawDataRecovered!R:R)</f>
        <v>0</v>
      </c>
      <c r="P56">
        <f>SUMIF(RawDataRecovered!$B:$B,$A56,RawDataRecovered!S:S)</f>
        <v>0</v>
      </c>
      <c r="Q56">
        <f>SUMIF(RawDataRecovered!$B:$B,$A56,RawDataRecovered!T:T)</f>
        <v>0</v>
      </c>
      <c r="R56">
        <f>SUMIF(RawDataRecovered!$B:$B,$A56,RawDataRecovered!U:U)</f>
        <v>0</v>
      </c>
      <c r="S56">
        <f>SUMIF(RawDataRecovered!$B:$B,$A56,RawDataRecovered!V:V)</f>
        <v>0</v>
      </c>
      <c r="T56">
        <f>SUMIF(RawDataRecovered!$B:$B,$A56,RawDataRecovered!W:W)</f>
        <v>0</v>
      </c>
      <c r="U56">
        <f>SUMIF(RawDataRecovered!$B:$B,$A56,RawDataRecovered!X:X)</f>
        <v>0</v>
      </c>
      <c r="V56">
        <f>SUMIF(RawDataRecovered!$B:$B,$A56,RawDataRecovered!Y:Y)</f>
        <v>0</v>
      </c>
      <c r="W56">
        <f>SUMIF(RawDataRecovered!$B:$B,$A56,RawDataRecovered!Z:Z)</f>
        <v>0</v>
      </c>
      <c r="X56">
        <f>SUMIF(RawDataRecovered!$B:$B,$A56,RawDataRecovered!AA:AA)</f>
        <v>0</v>
      </c>
      <c r="Y56">
        <f>SUMIF(RawDataRecovered!$B:$B,$A56,RawDataRecovered!AB:AB)</f>
        <v>0</v>
      </c>
      <c r="Z56">
        <f>SUMIF(RawDataRecovered!$B:$B,$A56,RawDataRecovered!AC:AC)</f>
        <v>0</v>
      </c>
      <c r="AA56">
        <f>SUMIF(RawDataRecovered!$B:$B,$A56,RawDataRecovered!AD:AD)</f>
        <v>0</v>
      </c>
      <c r="AB56">
        <f>SUMIF(RawDataRecovered!$B:$B,$A56,RawDataRecovered!AE:AE)</f>
        <v>0</v>
      </c>
      <c r="AC56">
        <f>SUMIF(RawDataRecovered!$B:$B,$A56,RawDataRecovered!AF:AF)</f>
        <v>0</v>
      </c>
      <c r="AD56">
        <f>SUMIF(RawDataRecovered!$B:$B,$A56,RawDataRecovered!AG:AG)</f>
        <v>0</v>
      </c>
      <c r="AE56">
        <f>SUMIF(RawDataRecovered!$B:$B,$A56,RawDataRecovered!AH:AH)</f>
        <v>0</v>
      </c>
      <c r="AF56">
        <f>SUMIF(RawDataRecovered!$B:$B,$A56,RawDataRecovered!AI:AI)</f>
        <v>0</v>
      </c>
      <c r="AG56">
        <f>SUMIF(RawDataRecovered!$B:$B,$A56,RawDataRecovered!AJ:AJ)</f>
        <v>0</v>
      </c>
      <c r="AH56">
        <f>SUMIF(RawDataRecovered!$B:$B,$A56,RawDataRecovered!AK:AK)</f>
        <v>0</v>
      </c>
      <c r="AI56">
        <f>SUMIF(RawDataRecovered!$B:$B,$A56,RawDataRecovered!AL:AL)</f>
        <v>0</v>
      </c>
      <c r="AJ56">
        <f>SUMIF(RawDataRecovered!$B:$B,$A56,RawDataRecovered!AM:AM)</f>
        <v>0</v>
      </c>
      <c r="AK56">
        <f>SUMIF(RawDataRecovered!$B:$B,$A56,RawDataRecovered!AN:AN)</f>
        <v>0</v>
      </c>
      <c r="AL56">
        <f>SUMIF(RawDataRecovered!$B:$B,$A56,RawDataRecovered!AO:AO)</f>
        <v>0</v>
      </c>
      <c r="AM56">
        <f>SUMIF(RawDataRecovered!$B:$B,$A56,RawDataRecovered!AP:AP)</f>
        <v>0</v>
      </c>
      <c r="AN56">
        <f>SUMIF(RawDataRecovered!$B:$B,$A56,RawDataRecovered!AQ:AQ)</f>
        <v>0</v>
      </c>
      <c r="AO56">
        <f>SUMIF(RawDataRecovered!$B:$B,$A56,RawDataRecovered!AR:AR)</f>
        <v>0</v>
      </c>
      <c r="AP56">
        <f>SUMIF(RawDataRecovered!$B:$B,$A56,RawDataRecovered!AS:AS)</f>
        <v>0</v>
      </c>
      <c r="AQ56">
        <f>SUMIF(RawDataRecovered!$B:$B,$A56,RawDataRecovered!AT:AT)</f>
        <v>0</v>
      </c>
      <c r="AR56">
        <f>SUMIF(RawDataRecovered!$B:$B,$A56,RawDataRecovered!AU:AU)</f>
        <v>0</v>
      </c>
      <c r="AS56">
        <f>SUMIF(RawDataRecovered!$B:$B,$A56,RawDataRecovered!AV:AV)</f>
        <v>0</v>
      </c>
      <c r="AT56">
        <f>SUMIF(RawDataRecovered!$B:$B,$A56,RawDataRecovered!AW:AW)</f>
        <v>0</v>
      </c>
      <c r="AU56">
        <f>SUMIF(RawDataRecovered!$B:$B,$A56,RawDataRecovered!AX:AX)</f>
        <v>0</v>
      </c>
      <c r="AV56">
        <f>SUMIF(RawDataRecovered!$B:$B,$A56,RawDataRecovered!AY:AY)</f>
        <v>0</v>
      </c>
      <c r="AW56">
        <f>SUMIF(RawDataRecovered!$B:$B,$A56,RawDataRecovered!AZ:AZ)</f>
        <v>0</v>
      </c>
      <c r="AX56">
        <f>SUMIF(RawDataRecovered!$B:$B,$A56,RawDataRecovered!BA:BA)</f>
        <v>0</v>
      </c>
      <c r="AY56">
        <f>SUMIF(RawDataRecovered!$B:$B,$A56,RawDataRecovered!BB:BB)</f>
        <v>0</v>
      </c>
      <c r="AZ56">
        <f>SUMIF(RawDataRecovered!$B:$B,$A56,RawDataRecovered!BC:BC)</f>
        <v>0</v>
      </c>
      <c r="BA56">
        <f>SUMIF(RawDataRecovered!$B:$B,$A56,RawDataRecovered!BD:BD)</f>
        <v>0</v>
      </c>
      <c r="BB56">
        <f>SUMIF(RawDataRecovered!$B:$B,$A56,RawDataRecovered!BE:BE)</f>
        <v>0</v>
      </c>
      <c r="BC56">
        <f>SUMIF(RawDataRecovered!$B:$B,$A56,RawDataRecovered!BF:BF)</f>
        <v>0</v>
      </c>
      <c r="BD56">
        <f>SUMIF(RawDataRecovered!$B:$B,$A56,RawDataRecovered!BG:BG)</f>
        <v>0</v>
      </c>
      <c r="BE56">
        <f>SUMIF(RawDataRecovered!$B:$B,$A56,RawDataRecovered!BH:BH)</f>
        <v>0</v>
      </c>
      <c r="BF56">
        <f>SUMIF(RawDataRecovered!$B:$B,$A56,RawDataRecovered!BI:BI)</f>
        <v>0</v>
      </c>
      <c r="BG56">
        <f>SUMIF(RawDataRecovered!$B:$B,$A56,RawDataRecovered!BJ:BJ)</f>
        <v>0</v>
      </c>
      <c r="BH56">
        <f>SUMIF(RawDataRecovered!$B:$B,$A56,RawDataRecovered!BK:BK)</f>
        <v>0</v>
      </c>
      <c r="BI56">
        <f>SUMIF(RawDataRecovered!$B:$B,$A56,RawDataRecovered!BL:BL)</f>
        <v>0</v>
      </c>
      <c r="BJ56">
        <f>SUMIF(RawDataRecovered!$B:$B,$A56,RawDataRecovered!BM:BM)</f>
        <v>0</v>
      </c>
      <c r="BK56">
        <f>SUMIF(RawDataRecovered!$B:$B,$A56,RawDataRecovered!BN:BN)</f>
        <v>0</v>
      </c>
      <c r="BL56">
        <f>SUMIF(RawDataRecovered!$B:$B,$A56,RawDataRecovered!BO:BO)</f>
        <v>0</v>
      </c>
      <c r="BM56">
        <f>SUMIF(RawDataRecovered!$B:$B,$A56,RawDataRecovered!BP:BP)</f>
        <v>0</v>
      </c>
      <c r="BN56">
        <f>SUMIF(RawDataRecovered!$B:$B,$A56,RawDataRecovered!BQ:BQ)</f>
        <v>0</v>
      </c>
      <c r="BO56">
        <f>SUMIF(RawDataRecovered!$B:$B,$A56,RawDataRecovered!BR:BR)</f>
        <v>0</v>
      </c>
      <c r="BP56">
        <f>SUMIF(RawDataRecovered!$B:$B,$A56,RawDataRecovered!BS:BS)</f>
        <v>0</v>
      </c>
      <c r="BQ56">
        <f>SUMIF(RawDataRecovered!$B:$B,$A56,RawDataRecovered!BT:BT)</f>
        <v>0</v>
      </c>
      <c r="BR56">
        <f>SUMIF(RawDataRecovered!$B:$B,$A56,RawDataRecovered!BU:BU)</f>
        <v>0</v>
      </c>
      <c r="BS56">
        <f>SUMIF(RawDataRecovered!$B:$B,$A56,RawDataRecovered!BV:BV)</f>
        <v>0</v>
      </c>
      <c r="BT56">
        <f>SUMIF(RawDataRecovered!$B:$B,$A56,RawDataRecovered!BW:BW)</f>
        <v>0</v>
      </c>
    </row>
    <row r="57" spans="1:72" ht="15" thickBot="1" x14ac:dyDescent="0.35">
      <c r="A57" s="3" t="s">
        <v>103</v>
      </c>
      <c r="B57">
        <f>SUMIF(RawDataRecovered!$B:$B,$A57,RawDataRecovered!E:E)</f>
        <v>0</v>
      </c>
      <c r="C57">
        <f>SUMIF(RawDataRecovered!$B:$B,$A57,RawDataRecovered!F:F)</f>
        <v>0</v>
      </c>
      <c r="D57">
        <f>SUMIF(RawDataRecovered!$B:$B,$A57,RawDataRecovered!G:G)</f>
        <v>0</v>
      </c>
      <c r="E57">
        <f>SUMIF(RawDataRecovered!$B:$B,$A57,RawDataRecovered!H:H)</f>
        <v>0</v>
      </c>
      <c r="F57">
        <f>SUMIF(RawDataRecovered!$B:$B,$A57,RawDataRecovered!I:I)</f>
        <v>0</v>
      </c>
      <c r="G57">
        <f>SUMIF(RawDataRecovered!$B:$B,$A57,RawDataRecovered!J:J)</f>
        <v>0</v>
      </c>
      <c r="H57">
        <f>SUMIF(RawDataRecovered!$B:$B,$A57,RawDataRecovered!K:K)</f>
        <v>0</v>
      </c>
      <c r="I57">
        <f>SUMIF(RawDataRecovered!$B:$B,$A57,RawDataRecovered!L:L)</f>
        <v>0</v>
      </c>
      <c r="J57">
        <f>SUMIF(RawDataRecovered!$B:$B,$A57,RawDataRecovered!M:M)</f>
        <v>0</v>
      </c>
      <c r="K57">
        <f>SUMIF(RawDataRecovered!$B:$B,$A57,RawDataRecovered!N:N)</f>
        <v>0</v>
      </c>
      <c r="L57">
        <f>SUMIF(RawDataRecovered!$B:$B,$A57,RawDataRecovered!O:O)</f>
        <v>0</v>
      </c>
      <c r="M57">
        <f>SUMIF(RawDataRecovered!$B:$B,$A57,RawDataRecovered!P:P)</f>
        <v>0</v>
      </c>
      <c r="N57">
        <f>SUMIF(RawDataRecovered!$B:$B,$A57,RawDataRecovered!Q:Q)</f>
        <v>0</v>
      </c>
      <c r="O57">
        <f>SUMIF(RawDataRecovered!$B:$B,$A57,RawDataRecovered!R:R)</f>
        <v>0</v>
      </c>
      <c r="P57">
        <f>SUMIF(RawDataRecovered!$B:$B,$A57,RawDataRecovered!S:S)</f>
        <v>0</v>
      </c>
      <c r="Q57">
        <f>SUMIF(RawDataRecovered!$B:$B,$A57,RawDataRecovered!T:T)</f>
        <v>0</v>
      </c>
      <c r="R57">
        <f>SUMIF(RawDataRecovered!$B:$B,$A57,RawDataRecovered!U:U)</f>
        <v>0</v>
      </c>
      <c r="S57">
        <f>SUMIF(RawDataRecovered!$B:$B,$A57,RawDataRecovered!V:V)</f>
        <v>0</v>
      </c>
      <c r="T57">
        <f>SUMIF(RawDataRecovered!$B:$B,$A57,RawDataRecovered!W:W)</f>
        <v>0</v>
      </c>
      <c r="U57">
        <f>SUMIF(RawDataRecovered!$B:$B,$A57,RawDataRecovered!X:X)</f>
        <v>0</v>
      </c>
      <c r="V57">
        <f>SUMIF(RawDataRecovered!$B:$B,$A57,RawDataRecovered!Y:Y)</f>
        <v>0</v>
      </c>
      <c r="W57">
        <f>SUMIF(RawDataRecovered!$B:$B,$A57,RawDataRecovered!Z:Z)</f>
        <v>0</v>
      </c>
      <c r="X57">
        <f>SUMIF(RawDataRecovered!$B:$B,$A57,RawDataRecovered!AA:AA)</f>
        <v>0</v>
      </c>
      <c r="Y57">
        <f>SUMIF(RawDataRecovered!$B:$B,$A57,RawDataRecovered!AB:AB)</f>
        <v>0</v>
      </c>
      <c r="Z57">
        <f>SUMIF(RawDataRecovered!$B:$B,$A57,RawDataRecovered!AC:AC)</f>
        <v>0</v>
      </c>
      <c r="AA57">
        <f>SUMIF(RawDataRecovered!$B:$B,$A57,RawDataRecovered!AD:AD)</f>
        <v>0</v>
      </c>
      <c r="AB57">
        <f>SUMIF(RawDataRecovered!$B:$B,$A57,RawDataRecovered!AE:AE)</f>
        <v>0</v>
      </c>
      <c r="AC57">
        <f>SUMIF(RawDataRecovered!$B:$B,$A57,RawDataRecovered!AF:AF)</f>
        <v>0</v>
      </c>
      <c r="AD57">
        <f>SUMIF(RawDataRecovered!$B:$B,$A57,RawDataRecovered!AG:AG)</f>
        <v>0</v>
      </c>
      <c r="AE57">
        <f>SUMIF(RawDataRecovered!$B:$B,$A57,RawDataRecovered!AH:AH)</f>
        <v>0</v>
      </c>
      <c r="AF57">
        <f>SUMIF(RawDataRecovered!$B:$B,$A57,RawDataRecovered!AI:AI)</f>
        <v>0</v>
      </c>
      <c r="AG57">
        <f>SUMIF(RawDataRecovered!$B:$B,$A57,RawDataRecovered!AJ:AJ)</f>
        <v>0</v>
      </c>
      <c r="AH57">
        <f>SUMIF(RawDataRecovered!$B:$B,$A57,RawDataRecovered!AK:AK)</f>
        <v>0</v>
      </c>
      <c r="AI57">
        <f>SUMIF(RawDataRecovered!$B:$B,$A57,RawDataRecovered!AL:AL)</f>
        <v>0</v>
      </c>
      <c r="AJ57">
        <f>SUMIF(RawDataRecovered!$B:$B,$A57,RawDataRecovered!AM:AM)</f>
        <v>0</v>
      </c>
      <c r="AK57">
        <f>SUMIF(RawDataRecovered!$B:$B,$A57,RawDataRecovered!AN:AN)</f>
        <v>0</v>
      </c>
      <c r="AL57">
        <f>SUMIF(RawDataRecovered!$B:$B,$A57,RawDataRecovered!AO:AO)</f>
        <v>0</v>
      </c>
      <c r="AM57">
        <f>SUMIF(RawDataRecovered!$B:$B,$A57,RawDataRecovered!AP:AP)</f>
        <v>0</v>
      </c>
      <c r="AN57">
        <f>SUMIF(RawDataRecovered!$B:$B,$A57,RawDataRecovered!AQ:AQ)</f>
        <v>0</v>
      </c>
      <c r="AO57">
        <f>SUMIF(RawDataRecovered!$B:$B,$A57,RawDataRecovered!AR:AR)</f>
        <v>0</v>
      </c>
      <c r="AP57">
        <f>SUMIF(RawDataRecovered!$B:$B,$A57,RawDataRecovered!AS:AS)</f>
        <v>0</v>
      </c>
      <c r="AQ57">
        <f>SUMIF(RawDataRecovered!$B:$B,$A57,RawDataRecovered!AT:AT)</f>
        <v>0</v>
      </c>
      <c r="AR57">
        <f>SUMIF(RawDataRecovered!$B:$B,$A57,RawDataRecovered!AU:AU)</f>
        <v>0</v>
      </c>
      <c r="AS57">
        <f>SUMIF(RawDataRecovered!$B:$B,$A57,RawDataRecovered!AV:AV)</f>
        <v>0</v>
      </c>
      <c r="AT57">
        <f>SUMIF(RawDataRecovered!$B:$B,$A57,RawDataRecovered!AW:AW)</f>
        <v>0</v>
      </c>
      <c r="AU57">
        <f>SUMIF(RawDataRecovered!$B:$B,$A57,RawDataRecovered!AX:AX)</f>
        <v>0</v>
      </c>
      <c r="AV57">
        <f>SUMIF(RawDataRecovered!$B:$B,$A57,RawDataRecovered!AY:AY)</f>
        <v>0</v>
      </c>
      <c r="AW57">
        <f>SUMIF(RawDataRecovered!$B:$B,$A57,RawDataRecovered!AZ:AZ)</f>
        <v>0</v>
      </c>
      <c r="AX57">
        <f>SUMIF(RawDataRecovered!$B:$B,$A57,RawDataRecovered!BA:BA)</f>
        <v>0</v>
      </c>
      <c r="AY57">
        <f>SUMIF(RawDataRecovered!$B:$B,$A57,RawDataRecovered!BB:BB)</f>
        <v>0</v>
      </c>
      <c r="AZ57">
        <f>SUMIF(RawDataRecovered!$B:$B,$A57,RawDataRecovered!BC:BC)</f>
        <v>0</v>
      </c>
      <c r="BA57">
        <f>SUMIF(RawDataRecovered!$B:$B,$A57,RawDataRecovered!BD:BD)</f>
        <v>1</v>
      </c>
      <c r="BB57">
        <f>SUMIF(RawDataRecovered!$B:$B,$A57,RawDataRecovered!BE:BE)</f>
        <v>1</v>
      </c>
      <c r="BC57">
        <f>SUMIF(RawDataRecovered!$B:$B,$A57,RawDataRecovered!BF:BF)</f>
        <v>1</v>
      </c>
      <c r="BD57">
        <f>SUMIF(RawDataRecovered!$B:$B,$A57,RawDataRecovered!BG:BG)</f>
        <v>2</v>
      </c>
      <c r="BE57">
        <f>SUMIF(RawDataRecovered!$B:$B,$A57,RawDataRecovered!BH:BH)</f>
        <v>4</v>
      </c>
      <c r="BF57">
        <f>SUMIF(RawDataRecovered!$B:$B,$A57,RawDataRecovered!BI:BI)</f>
        <v>0</v>
      </c>
      <c r="BG57">
        <f>SUMIF(RawDataRecovered!$B:$B,$A57,RawDataRecovered!BJ:BJ)</f>
        <v>0</v>
      </c>
      <c r="BH57">
        <f>SUMIF(RawDataRecovered!$B:$B,$A57,RawDataRecovered!BK:BK)</f>
        <v>0</v>
      </c>
      <c r="BI57">
        <f>SUMIF(RawDataRecovered!$B:$B,$A57,RawDataRecovered!BL:BL)</f>
        <v>0</v>
      </c>
      <c r="BJ57">
        <f>SUMIF(RawDataRecovered!$B:$B,$A57,RawDataRecovered!BM:BM)</f>
        <v>0</v>
      </c>
      <c r="BK57">
        <f>SUMIF(RawDataRecovered!$B:$B,$A57,RawDataRecovered!BN:BN)</f>
        <v>0</v>
      </c>
      <c r="BL57">
        <f>SUMIF(RawDataRecovered!$B:$B,$A57,RawDataRecovered!BO:BO)</f>
        <v>0</v>
      </c>
      <c r="BM57">
        <f>SUMIF(RawDataRecovered!$B:$B,$A57,RawDataRecovered!BP:BP)</f>
        <v>0</v>
      </c>
      <c r="BN57">
        <f>SUMIF(RawDataRecovered!$B:$B,$A57,RawDataRecovered!BQ:BQ)</f>
        <v>0</v>
      </c>
      <c r="BO57">
        <f>SUMIF(RawDataRecovered!$B:$B,$A57,RawDataRecovered!BR:BR)</f>
        <v>0</v>
      </c>
      <c r="BP57">
        <f>SUMIF(RawDataRecovered!$B:$B,$A57,RawDataRecovered!BS:BS)</f>
        <v>0</v>
      </c>
      <c r="BQ57">
        <f>SUMIF(RawDataRecovered!$B:$B,$A57,RawDataRecovered!BT:BT)</f>
        <v>0</v>
      </c>
      <c r="BR57">
        <f>SUMIF(RawDataRecovered!$B:$B,$A57,RawDataRecovered!BU:BU)</f>
        <v>0</v>
      </c>
      <c r="BS57">
        <f>SUMIF(RawDataRecovered!$B:$B,$A57,RawDataRecovered!BV:BV)</f>
        <v>0</v>
      </c>
      <c r="BT57">
        <f>SUMIF(RawDataRecovered!$B:$B,$A57,RawDataRecovered!BW:BW)</f>
        <v>0</v>
      </c>
    </row>
    <row r="58" spans="1:72" ht="15" thickBot="1" x14ac:dyDescent="0.35">
      <c r="A58" s="4" t="s">
        <v>189</v>
      </c>
      <c r="B58">
        <f>SUMIF(RawDataRecovered!$B:$B,$A58,RawDataRecovered!E:E)</f>
        <v>0</v>
      </c>
      <c r="C58">
        <f>SUMIF(RawDataRecovered!$B:$B,$A58,RawDataRecovered!F:F)</f>
        <v>0</v>
      </c>
      <c r="D58">
        <f>SUMIF(RawDataRecovered!$B:$B,$A58,RawDataRecovered!G:G)</f>
        <v>0</v>
      </c>
      <c r="E58">
        <f>SUMIF(RawDataRecovered!$B:$B,$A58,RawDataRecovered!H:H)</f>
        <v>0</v>
      </c>
      <c r="F58">
        <f>SUMIF(RawDataRecovered!$B:$B,$A58,RawDataRecovered!I:I)</f>
        <v>0</v>
      </c>
      <c r="G58">
        <f>SUMIF(RawDataRecovered!$B:$B,$A58,RawDataRecovered!J:J)</f>
        <v>0</v>
      </c>
      <c r="H58">
        <f>SUMIF(RawDataRecovered!$B:$B,$A58,RawDataRecovered!K:K)</f>
        <v>0</v>
      </c>
      <c r="I58">
        <f>SUMIF(RawDataRecovered!$B:$B,$A58,RawDataRecovered!L:L)</f>
        <v>0</v>
      </c>
      <c r="J58">
        <f>SUMIF(RawDataRecovered!$B:$B,$A58,RawDataRecovered!M:M)</f>
        <v>0</v>
      </c>
      <c r="K58">
        <f>SUMIF(RawDataRecovered!$B:$B,$A58,RawDataRecovered!N:N)</f>
        <v>0</v>
      </c>
      <c r="L58">
        <f>SUMIF(RawDataRecovered!$B:$B,$A58,RawDataRecovered!O:O)</f>
        <v>0</v>
      </c>
      <c r="M58">
        <f>SUMIF(RawDataRecovered!$B:$B,$A58,RawDataRecovered!P:P)</f>
        <v>0</v>
      </c>
      <c r="N58">
        <f>SUMIF(RawDataRecovered!$B:$B,$A58,RawDataRecovered!Q:Q)</f>
        <v>0</v>
      </c>
      <c r="O58">
        <f>SUMIF(RawDataRecovered!$B:$B,$A58,RawDataRecovered!R:R)</f>
        <v>0</v>
      </c>
      <c r="P58">
        <f>SUMIF(RawDataRecovered!$B:$B,$A58,RawDataRecovered!S:S)</f>
        <v>0</v>
      </c>
      <c r="Q58">
        <f>SUMIF(RawDataRecovered!$B:$B,$A58,RawDataRecovered!T:T)</f>
        <v>0</v>
      </c>
      <c r="R58">
        <f>SUMIF(RawDataRecovered!$B:$B,$A58,RawDataRecovered!U:U)</f>
        <v>0</v>
      </c>
      <c r="S58">
        <f>SUMIF(RawDataRecovered!$B:$B,$A58,RawDataRecovered!V:V)</f>
        <v>0</v>
      </c>
      <c r="T58">
        <f>SUMIF(RawDataRecovered!$B:$B,$A58,RawDataRecovered!W:W)</f>
        <v>0</v>
      </c>
      <c r="U58">
        <f>SUMIF(RawDataRecovered!$B:$B,$A58,RawDataRecovered!X:X)</f>
        <v>0</v>
      </c>
      <c r="V58">
        <f>SUMIF(RawDataRecovered!$B:$B,$A58,RawDataRecovered!Y:Y)</f>
        <v>0</v>
      </c>
      <c r="W58">
        <f>SUMIF(RawDataRecovered!$B:$B,$A58,RawDataRecovered!Z:Z)</f>
        <v>0</v>
      </c>
      <c r="X58">
        <f>SUMIF(RawDataRecovered!$B:$B,$A58,RawDataRecovered!AA:AA)</f>
        <v>0</v>
      </c>
      <c r="Y58">
        <f>SUMIF(RawDataRecovered!$B:$B,$A58,RawDataRecovered!AB:AB)</f>
        <v>0</v>
      </c>
      <c r="Z58">
        <f>SUMIF(RawDataRecovered!$B:$B,$A58,RawDataRecovered!AC:AC)</f>
        <v>0</v>
      </c>
      <c r="AA58">
        <f>SUMIF(RawDataRecovered!$B:$B,$A58,RawDataRecovered!AD:AD)</f>
        <v>0</v>
      </c>
      <c r="AB58">
        <f>SUMIF(RawDataRecovered!$B:$B,$A58,RawDataRecovered!AE:AE)</f>
        <v>0</v>
      </c>
      <c r="AC58">
        <f>SUMIF(RawDataRecovered!$B:$B,$A58,RawDataRecovered!AF:AF)</f>
        <v>0</v>
      </c>
      <c r="AD58">
        <f>SUMIF(RawDataRecovered!$B:$B,$A58,RawDataRecovered!AG:AG)</f>
        <v>0</v>
      </c>
      <c r="AE58">
        <f>SUMIF(RawDataRecovered!$B:$B,$A58,RawDataRecovered!AH:AH)</f>
        <v>0</v>
      </c>
      <c r="AF58">
        <f>SUMIF(RawDataRecovered!$B:$B,$A58,RawDataRecovered!AI:AI)</f>
        <v>0</v>
      </c>
      <c r="AG58">
        <f>SUMIF(RawDataRecovered!$B:$B,$A58,RawDataRecovered!AJ:AJ)</f>
        <v>0</v>
      </c>
      <c r="AH58">
        <f>SUMIF(RawDataRecovered!$B:$B,$A58,RawDataRecovered!AK:AK)</f>
        <v>0</v>
      </c>
      <c r="AI58">
        <f>SUMIF(RawDataRecovered!$B:$B,$A58,RawDataRecovered!AL:AL)</f>
        <v>0</v>
      </c>
      <c r="AJ58">
        <f>SUMIF(RawDataRecovered!$B:$B,$A58,RawDataRecovered!AM:AM)</f>
        <v>0</v>
      </c>
      <c r="AK58">
        <f>SUMIF(RawDataRecovered!$B:$B,$A58,RawDataRecovered!AN:AN)</f>
        <v>0</v>
      </c>
      <c r="AL58">
        <f>SUMIF(RawDataRecovered!$B:$B,$A58,RawDataRecovered!AO:AO)</f>
        <v>0</v>
      </c>
      <c r="AM58">
        <f>SUMIF(RawDataRecovered!$B:$B,$A58,RawDataRecovered!AP:AP)</f>
        <v>0</v>
      </c>
      <c r="AN58">
        <f>SUMIF(RawDataRecovered!$B:$B,$A58,RawDataRecovered!AQ:AQ)</f>
        <v>0</v>
      </c>
      <c r="AO58">
        <f>SUMIF(RawDataRecovered!$B:$B,$A58,RawDataRecovered!AR:AR)</f>
        <v>0</v>
      </c>
      <c r="AP58">
        <f>SUMIF(RawDataRecovered!$B:$B,$A58,RawDataRecovered!AS:AS)</f>
        <v>0</v>
      </c>
      <c r="AQ58">
        <f>SUMIF(RawDataRecovered!$B:$B,$A58,RawDataRecovered!AT:AT)</f>
        <v>0</v>
      </c>
      <c r="AR58">
        <f>SUMIF(RawDataRecovered!$B:$B,$A58,RawDataRecovered!AU:AU)</f>
        <v>0</v>
      </c>
      <c r="AS58">
        <f>SUMIF(RawDataRecovered!$B:$B,$A58,RawDataRecovered!AV:AV)</f>
        <v>0</v>
      </c>
      <c r="AT58">
        <f>SUMIF(RawDataRecovered!$B:$B,$A58,RawDataRecovered!AW:AW)</f>
        <v>0</v>
      </c>
      <c r="AU58">
        <f>SUMIF(RawDataRecovered!$B:$B,$A58,RawDataRecovered!AX:AX)</f>
        <v>0</v>
      </c>
      <c r="AV58">
        <f>SUMIF(RawDataRecovered!$B:$B,$A58,RawDataRecovered!AY:AY)</f>
        <v>0</v>
      </c>
      <c r="AW58">
        <f>SUMIF(RawDataRecovered!$B:$B,$A58,RawDataRecovered!AZ:AZ)</f>
        <v>0</v>
      </c>
      <c r="AX58">
        <f>SUMIF(RawDataRecovered!$B:$B,$A58,RawDataRecovered!BA:BA)</f>
        <v>0</v>
      </c>
      <c r="AY58">
        <f>SUMIF(RawDataRecovered!$B:$B,$A58,RawDataRecovered!BB:BB)</f>
        <v>0</v>
      </c>
      <c r="AZ58">
        <f>SUMIF(RawDataRecovered!$B:$B,$A58,RawDataRecovered!BC:BC)</f>
        <v>0</v>
      </c>
      <c r="BA58">
        <f>SUMIF(RawDataRecovered!$B:$B,$A58,RawDataRecovered!BD:BD)</f>
        <v>0</v>
      </c>
      <c r="BB58">
        <f>SUMIF(RawDataRecovered!$B:$B,$A58,RawDataRecovered!BE:BE)</f>
        <v>0</v>
      </c>
      <c r="BC58">
        <f>SUMIF(RawDataRecovered!$B:$B,$A58,RawDataRecovered!BF:BF)</f>
        <v>0</v>
      </c>
      <c r="BD58">
        <f>SUMIF(RawDataRecovered!$B:$B,$A58,RawDataRecovered!BG:BG)</f>
        <v>0</v>
      </c>
      <c r="BE58">
        <f>SUMIF(RawDataRecovered!$B:$B,$A58,RawDataRecovered!BH:BH)</f>
        <v>0</v>
      </c>
      <c r="BF58">
        <f>SUMIF(RawDataRecovered!$B:$B,$A58,RawDataRecovered!BI:BI)</f>
        <v>0</v>
      </c>
      <c r="BG58">
        <f>SUMIF(RawDataRecovered!$B:$B,$A58,RawDataRecovered!BJ:BJ)</f>
        <v>0</v>
      </c>
      <c r="BH58">
        <f>SUMIF(RawDataRecovered!$B:$B,$A58,RawDataRecovered!BK:BK)</f>
        <v>0</v>
      </c>
      <c r="BI58">
        <f>SUMIF(RawDataRecovered!$B:$B,$A58,RawDataRecovered!BL:BL)</f>
        <v>0</v>
      </c>
      <c r="BJ58">
        <f>SUMIF(RawDataRecovered!$B:$B,$A58,RawDataRecovered!BM:BM)</f>
        <v>0</v>
      </c>
      <c r="BK58">
        <f>SUMIF(RawDataRecovered!$B:$B,$A58,RawDataRecovered!BN:BN)</f>
        <v>0</v>
      </c>
      <c r="BL58">
        <f>SUMIF(RawDataRecovered!$B:$B,$A58,RawDataRecovered!BO:BO)</f>
        <v>0</v>
      </c>
      <c r="BM58">
        <f>SUMIF(RawDataRecovered!$B:$B,$A58,RawDataRecovered!BP:BP)</f>
        <v>0</v>
      </c>
      <c r="BN58">
        <f>SUMIF(RawDataRecovered!$B:$B,$A58,RawDataRecovered!BQ:BQ)</f>
        <v>0</v>
      </c>
      <c r="BO58">
        <f>SUMIF(RawDataRecovered!$B:$B,$A58,RawDataRecovered!BR:BR)</f>
        <v>0</v>
      </c>
      <c r="BP58">
        <f>SUMIF(RawDataRecovered!$B:$B,$A58,RawDataRecovered!BS:BS)</f>
        <v>0</v>
      </c>
      <c r="BQ58">
        <f>SUMIF(RawDataRecovered!$B:$B,$A58,RawDataRecovered!BT:BT)</f>
        <v>0</v>
      </c>
      <c r="BR58">
        <f>SUMIF(RawDataRecovered!$B:$B,$A58,RawDataRecovered!BU:BU)</f>
        <v>0</v>
      </c>
      <c r="BS58">
        <f>SUMIF(RawDataRecovered!$B:$B,$A58,RawDataRecovered!BV:BV)</f>
        <v>0</v>
      </c>
      <c r="BT58">
        <f>SUMIF(RawDataRecovered!$B:$B,$A58,RawDataRecovered!BW:BW)</f>
        <v>0</v>
      </c>
    </row>
    <row r="59" spans="1:72" ht="15" thickBot="1" x14ac:dyDescent="0.35">
      <c r="A59" s="4" t="s">
        <v>150</v>
      </c>
      <c r="B59">
        <f>SUMIF(RawDataRecovered!$B:$B,$A59,RawDataRecovered!E:E)</f>
        <v>0</v>
      </c>
      <c r="C59">
        <f>SUMIF(RawDataRecovered!$B:$B,$A59,RawDataRecovered!F:F)</f>
        <v>0</v>
      </c>
      <c r="D59">
        <f>SUMIF(RawDataRecovered!$B:$B,$A59,RawDataRecovered!G:G)</f>
        <v>0</v>
      </c>
      <c r="E59">
        <f>SUMIF(RawDataRecovered!$B:$B,$A59,RawDataRecovered!H:H)</f>
        <v>0</v>
      </c>
      <c r="F59">
        <f>SUMIF(RawDataRecovered!$B:$B,$A59,RawDataRecovered!I:I)</f>
        <v>0</v>
      </c>
      <c r="G59">
        <f>SUMIF(RawDataRecovered!$B:$B,$A59,RawDataRecovered!J:J)</f>
        <v>0</v>
      </c>
      <c r="H59">
        <f>SUMIF(RawDataRecovered!$B:$B,$A59,RawDataRecovered!K:K)</f>
        <v>0</v>
      </c>
      <c r="I59">
        <f>SUMIF(RawDataRecovered!$B:$B,$A59,RawDataRecovered!L:L)</f>
        <v>0</v>
      </c>
      <c r="J59">
        <f>SUMIF(RawDataRecovered!$B:$B,$A59,RawDataRecovered!M:M)</f>
        <v>0</v>
      </c>
      <c r="K59">
        <f>SUMIF(RawDataRecovered!$B:$B,$A59,RawDataRecovered!N:N)</f>
        <v>0</v>
      </c>
      <c r="L59">
        <f>SUMIF(RawDataRecovered!$B:$B,$A59,RawDataRecovered!O:O)</f>
        <v>0</v>
      </c>
      <c r="M59">
        <f>SUMIF(RawDataRecovered!$B:$B,$A59,RawDataRecovered!P:P)</f>
        <v>0</v>
      </c>
      <c r="N59">
        <f>SUMIF(RawDataRecovered!$B:$B,$A59,RawDataRecovered!Q:Q)</f>
        <v>0</v>
      </c>
      <c r="O59">
        <f>SUMIF(RawDataRecovered!$B:$B,$A59,RawDataRecovered!R:R)</f>
        <v>0</v>
      </c>
      <c r="P59">
        <f>SUMIF(RawDataRecovered!$B:$B,$A59,RawDataRecovered!S:S)</f>
        <v>0</v>
      </c>
      <c r="Q59">
        <f>SUMIF(RawDataRecovered!$B:$B,$A59,RawDataRecovered!T:T)</f>
        <v>0</v>
      </c>
      <c r="R59">
        <f>SUMIF(RawDataRecovered!$B:$B,$A59,RawDataRecovered!U:U)</f>
        <v>0</v>
      </c>
      <c r="S59">
        <f>SUMIF(RawDataRecovered!$B:$B,$A59,RawDataRecovered!V:V)</f>
        <v>0</v>
      </c>
      <c r="T59">
        <f>SUMIF(RawDataRecovered!$B:$B,$A59,RawDataRecovered!W:W)</f>
        <v>0</v>
      </c>
      <c r="U59">
        <f>SUMIF(RawDataRecovered!$B:$B,$A59,RawDataRecovered!X:X)</f>
        <v>0</v>
      </c>
      <c r="V59">
        <f>SUMIF(RawDataRecovered!$B:$B,$A59,RawDataRecovered!Y:Y)</f>
        <v>0</v>
      </c>
      <c r="W59">
        <f>SUMIF(RawDataRecovered!$B:$B,$A59,RawDataRecovered!Z:Z)</f>
        <v>0</v>
      </c>
      <c r="X59">
        <f>SUMIF(RawDataRecovered!$B:$B,$A59,RawDataRecovered!AA:AA)</f>
        <v>0</v>
      </c>
      <c r="Y59">
        <f>SUMIF(RawDataRecovered!$B:$B,$A59,RawDataRecovered!AB:AB)</f>
        <v>0</v>
      </c>
      <c r="Z59">
        <f>SUMIF(RawDataRecovered!$B:$B,$A59,RawDataRecovered!AC:AC)</f>
        <v>0</v>
      </c>
      <c r="AA59">
        <f>SUMIF(RawDataRecovered!$B:$B,$A59,RawDataRecovered!AD:AD)</f>
        <v>0</v>
      </c>
      <c r="AB59">
        <f>SUMIF(RawDataRecovered!$B:$B,$A59,RawDataRecovered!AE:AE)</f>
        <v>0</v>
      </c>
      <c r="AC59">
        <f>SUMIF(RawDataRecovered!$B:$B,$A59,RawDataRecovered!AF:AF)</f>
        <v>0</v>
      </c>
      <c r="AD59">
        <f>SUMIF(RawDataRecovered!$B:$B,$A59,RawDataRecovered!AG:AG)</f>
        <v>0</v>
      </c>
      <c r="AE59">
        <f>SUMIF(RawDataRecovered!$B:$B,$A59,RawDataRecovered!AH:AH)</f>
        <v>0</v>
      </c>
      <c r="AF59">
        <f>SUMIF(RawDataRecovered!$B:$B,$A59,RawDataRecovered!AI:AI)</f>
        <v>0</v>
      </c>
      <c r="AG59">
        <f>SUMIF(RawDataRecovered!$B:$B,$A59,RawDataRecovered!AJ:AJ)</f>
        <v>0</v>
      </c>
      <c r="AH59">
        <f>SUMIF(RawDataRecovered!$B:$B,$A59,RawDataRecovered!AK:AK)</f>
        <v>0</v>
      </c>
      <c r="AI59">
        <f>SUMIF(RawDataRecovered!$B:$B,$A59,RawDataRecovered!AL:AL)</f>
        <v>0</v>
      </c>
      <c r="AJ59">
        <f>SUMIF(RawDataRecovered!$B:$B,$A59,RawDataRecovered!AM:AM)</f>
        <v>0</v>
      </c>
      <c r="AK59">
        <f>SUMIF(RawDataRecovered!$B:$B,$A59,RawDataRecovered!AN:AN)</f>
        <v>0</v>
      </c>
      <c r="AL59">
        <f>SUMIF(RawDataRecovered!$B:$B,$A59,RawDataRecovered!AO:AO)</f>
        <v>0</v>
      </c>
      <c r="AM59">
        <f>SUMIF(RawDataRecovered!$B:$B,$A59,RawDataRecovered!AP:AP)</f>
        <v>0</v>
      </c>
      <c r="AN59">
        <f>SUMIF(RawDataRecovered!$B:$B,$A59,RawDataRecovered!AQ:AQ)</f>
        <v>0</v>
      </c>
      <c r="AO59">
        <f>SUMIF(RawDataRecovered!$B:$B,$A59,RawDataRecovered!AR:AR)</f>
        <v>0</v>
      </c>
      <c r="AP59">
        <f>SUMIF(RawDataRecovered!$B:$B,$A59,RawDataRecovered!AS:AS)</f>
        <v>0</v>
      </c>
      <c r="AQ59">
        <f>SUMIF(RawDataRecovered!$B:$B,$A59,RawDataRecovered!AT:AT)</f>
        <v>0</v>
      </c>
      <c r="AR59">
        <f>SUMIF(RawDataRecovered!$B:$B,$A59,RawDataRecovered!AU:AU)</f>
        <v>0</v>
      </c>
      <c r="AS59">
        <f>SUMIF(RawDataRecovered!$B:$B,$A59,RawDataRecovered!AV:AV)</f>
        <v>0</v>
      </c>
      <c r="AT59">
        <f>SUMIF(RawDataRecovered!$B:$B,$A59,RawDataRecovered!AW:AW)</f>
        <v>0</v>
      </c>
      <c r="AU59">
        <f>SUMIF(RawDataRecovered!$B:$B,$A59,RawDataRecovered!AX:AX)</f>
        <v>0</v>
      </c>
      <c r="AV59">
        <f>SUMIF(RawDataRecovered!$B:$B,$A59,RawDataRecovered!AY:AY)</f>
        <v>0</v>
      </c>
      <c r="AW59">
        <f>SUMIF(RawDataRecovered!$B:$B,$A59,RawDataRecovered!AZ:AZ)</f>
        <v>0</v>
      </c>
      <c r="AX59">
        <f>SUMIF(RawDataRecovered!$B:$B,$A59,RawDataRecovered!BA:BA)</f>
        <v>0</v>
      </c>
      <c r="AY59">
        <f>SUMIF(RawDataRecovered!$B:$B,$A59,RawDataRecovered!BB:BB)</f>
        <v>0</v>
      </c>
      <c r="AZ59">
        <f>SUMIF(RawDataRecovered!$B:$B,$A59,RawDataRecovered!BC:BC)</f>
        <v>0</v>
      </c>
      <c r="BA59">
        <f>SUMIF(RawDataRecovered!$B:$B,$A59,RawDataRecovered!BD:BD)</f>
        <v>0</v>
      </c>
      <c r="BB59">
        <f>SUMIF(RawDataRecovered!$B:$B,$A59,RawDataRecovered!BE:BE)</f>
        <v>1</v>
      </c>
      <c r="BC59">
        <f>SUMIF(RawDataRecovered!$B:$B,$A59,RawDataRecovered!BF:BF)</f>
        <v>1</v>
      </c>
      <c r="BD59">
        <f>SUMIF(RawDataRecovered!$B:$B,$A59,RawDataRecovered!BG:BG)</f>
        <v>1</v>
      </c>
      <c r="BE59">
        <f>SUMIF(RawDataRecovered!$B:$B,$A59,RawDataRecovered!BH:BH)</f>
        <v>3</v>
      </c>
      <c r="BF59">
        <f>SUMIF(RawDataRecovered!$B:$B,$A59,RawDataRecovered!BI:BI)</f>
        <v>0</v>
      </c>
      <c r="BG59">
        <f>SUMIF(RawDataRecovered!$B:$B,$A59,RawDataRecovered!BJ:BJ)</f>
        <v>0</v>
      </c>
      <c r="BH59">
        <f>SUMIF(RawDataRecovered!$B:$B,$A59,RawDataRecovered!BK:BK)</f>
        <v>0</v>
      </c>
      <c r="BI59">
        <f>SUMIF(RawDataRecovered!$B:$B,$A59,RawDataRecovered!BL:BL)</f>
        <v>0</v>
      </c>
      <c r="BJ59">
        <f>SUMIF(RawDataRecovered!$B:$B,$A59,RawDataRecovered!BM:BM)</f>
        <v>0</v>
      </c>
      <c r="BK59">
        <f>SUMIF(RawDataRecovered!$B:$B,$A59,RawDataRecovered!BN:BN)</f>
        <v>0</v>
      </c>
      <c r="BL59">
        <f>SUMIF(RawDataRecovered!$B:$B,$A59,RawDataRecovered!BO:BO)</f>
        <v>0</v>
      </c>
      <c r="BM59">
        <f>SUMIF(RawDataRecovered!$B:$B,$A59,RawDataRecovered!BP:BP)</f>
        <v>0</v>
      </c>
      <c r="BN59">
        <f>SUMIF(RawDataRecovered!$B:$B,$A59,RawDataRecovered!BQ:BQ)</f>
        <v>0</v>
      </c>
      <c r="BO59">
        <f>SUMIF(RawDataRecovered!$B:$B,$A59,RawDataRecovered!BR:BR)</f>
        <v>0</v>
      </c>
      <c r="BP59">
        <f>SUMIF(RawDataRecovered!$B:$B,$A59,RawDataRecovered!BS:BS)</f>
        <v>0</v>
      </c>
      <c r="BQ59">
        <f>SUMIF(RawDataRecovered!$B:$B,$A59,RawDataRecovered!BT:BT)</f>
        <v>0</v>
      </c>
      <c r="BR59">
        <f>SUMIF(RawDataRecovered!$B:$B,$A59,RawDataRecovered!BU:BU)</f>
        <v>0</v>
      </c>
      <c r="BS59">
        <f>SUMIF(RawDataRecovered!$B:$B,$A59,RawDataRecovered!BV:BV)</f>
        <v>0</v>
      </c>
      <c r="BT59">
        <f>SUMIF(RawDataRecovered!$B:$B,$A59,RawDataRecovered!BW:BW)</f>
        <v>0</v>
      </c>
    </row>
    <row r="60" spans="1:72" ht="15" thickBot="1" x14ac:dyDescent="0.35">
      <c r="A60" s="3" t="s">
        <v>107</v>
      </c>
      <c r="B60">
        <f>SUMIF(RawDataRecovered!$B:$B,$A60,RawDataRecovered!E:E)</f>
        <v>0</v>
      </c>
      <c r="C60">
        <f>SUMIF(RawDataRecovered!$B:$B,$A60,RawDataRecovered!F:F)</f>
        <v>0</v>
      </c>
      <c r="D60">
        <f>SUMIF(RawDataRecovered!$B:$B,$A60,RawDataRecovered!G:G)</f>
        <v>0</v>
      </c>
      <c r="E60">
        <f>SUMIF(RawDataRecovered!$B:$B,$A60,RawDataRecovered!H:H)</f>
        <v>0</v>
      </c>
      <c r="F60">
        <f>SUMIF(RawDataRecovered!$B:$B,$A60,RawDataRecovered!I:I)</f>
        <v>0</v>
      </c>
      <c r="G60">
        <f>SUMIF(RawDataRecovered!$B:$B,$A60,RawDataRecovered!J:J)</f>
        <v>0</v>
      </c>
      <c r="H60">
        <f>SUMIF(RawDataRecovered!$B:$B,$A60,RawDataRecovered!K:K)</f>
        <v>0</v>
      </c>
      <c r="I60">
        <f>SUMIF(RawDataRecovered!$B:$B,$A60,RawDataRecovered!L:L)</f>
        <v>0</v>
      </c>
      <c r="J60">
        <f>SUMIF(RawDataRecovered!$B:$B,$A60,RawDataRecovered!M:M)</f>
        <v>0</v>
      </c>
      <c r="K60">
        <f>SUMIF(RawDataRecovered!$B:$B,$A60,RawDataRecovered!N:N)</f>
        <v>0</v>
      </c>
      <c r="L60">
        <f>SUMIF(RawDataRecovered!$B:$B,$A60,RawDataRecovered!O:O)</f>
        <v>0</v>
      </c>
      <c r="M60">
        <f>SUMIF(RawDataRecovered!$B:$B,$A60,RawDataRecovered!P:P)</f>
        <v>0</v>
      </c>
      <c r="N60">
        <f>SUMIF(RawDataRecovered!$B:$B,$A60,RawDataRecovered!Q:Q)</f>
        <v>0</v>
      </c>
      <c r="O60">
        <f>SUMIF(RawDataRecovered!$B:$B,$A60,RawDataRecovered!R:R)</f>
        <v>0</v>
      </c>
      <c r="P60">
        <f>SUMIF(RawDataRecovered!$B:$B,$A60,RawDataRecovered!S:S)</f>
        <v>0</v>
      </c>
      <c r="Q60">
        <f>SUMIF(RawDataRecovered!$B:$B,$A60,RawDataRecovered!T:T)</f>
        <v>0</v>
      </c>
      <c r="R60">
        <f>SUMIF(RawDataRecovered!$B:$B,$A60,RawDataRecovered!U:U)</f>
        <v>0</v>
      </c>
      <c r="S60">
        <f>SUMIF(RawDataRecovered!$B:$B,$A60,RawDataRecovered!V:V)</f>
        <v>0</v>
      </c>
      <c r="T60">
        <f>SUMIF(RawDataRecovered!$B:$B,$A60,RawDataRecovered!W:W)</f>
        <v>0</v>
      </c>
      <c r="U60">
        <f>SUMIF(RawDataRecovered!$B:$B,$A60,RawDataRecovered!X:X)</f>
        <v>0</v>
      </c>
      <c r="V60">
        <f>SUMIF(RawDataRecovered!$B:$B,$A60,RawDataRecovered!Y:Y)</f>
        <v>0</v>
      </c>
      <c r="W60">
        <f>SUMIF(RawDataRecovered!$B:$B,$A60,RawDataRecovered!Z:Z)</f>
        <v>0</v>
      </c>
      <c r="X60">
        <f>SUMIF(RawDataRecovered!$B:$B,$A60,RawDataRecovered!AA:AA)</f>
        <v>0</v>
      </c>
      <c r="Y60">
        <f>SUMIF(RawDataRecovered!$B:$B,$A60,RawDataRecovered!AB:AB)</f>
        <v>0</v>
      </c>
      <c r="Z60">
        <f>SUMIF(RawDataRecovered!$B:$B,$A60,RawDataRecovered!AC:AC)</f>
        <v>0</v>
      </c>
      <c r="AA60">
        <f>SUMIF(RawDataRecovered!$B:$B,$A60,RawDataRecovered!AD:AD)</f>
        <v>0</v>
      </c>
      <c r="AB60">
        <f>SUMIF(RawDataRecovered!$B:$B,$A60,RawDataRecovered!AE:AE)</f>
        <v>0</v>
      </c>
      <c r="AC60">
        <f>SUMIF(RawDataRecovered!$B:$B,$A60,RawDataRecovered!AF:AF)</f>
        <v>0</v>
      </c>
      <c r="AD60">
        <f>SUMIF(RawDataRecovered!$B:$B,$A60,RawDataRecovered!AG:AG)</f>
        <v>0</v>
      </c>
      <c r="AE60">
        <f>SUMIF(RawDataRecovered!$B:$B,$A60,RawDataRecovered!AH:AH)</f>
        <v>0</v>
      </c>
      <c r="AF60">
        <f>SUMIF(RawDataRecovered!$B:$B,$A60,RawDataRecovered!AI:AI)</f>
        <v>0</v>
      </c>
      <c r="AG60">
        <f>SUMIF(RawDataRecovered!$B:$B,$A60,RawDataRecovered!AJ:AJ)</f>
        <v>0</v>
      </c>
      <c r="AH60">
        <f>SUMIF(RawDataRecovered!$B:$B,$A60,RawDataRecovered!AK:AK)</f>
        <v>0</v>
      </c>
      <c r="AI60">
        <f>SUMIF(RawDataRecovered!$B:$B,$A60,RawDataRecovered!AL:AL)</f>
        <v>0</v>
      </c>
      <c r="AJ60">
        <f>SUMIF(RawDataRecovered!$B:$B,$A60,RawDataRecovered!AM:AM)</f>
        <v>0</v>
      </c>
      <c r="AK60">
        <f>SUMIF(RawDataRecovered!$B:$B,$A60,RawDataRecovered!AN:AN)</f>
        <v>0</v>
      </c>
      <c r="AL60">
        <f>SUMIF(RawDataRecovered!$B:$B,$A60,RawDataRecovered!AO:AO)</f>
        <v>0</v>
      </c>
      <c r="AM60">
        <f>SUMIF(RawDataRecovered!$B:$B,$A60,RawDataRecovered!AP:AP)</f>
        <v>0</v>
      </c>
      <c r="AN60">
        <f>SUMIF(RawDataRecovered!$B:$B,$A60,RawDataRecovered!AQ:AQ)</f>
        <v>0</v>
      </c>
      <c r="AO60">
        <f>SUMIF(RawDataRecovered!$B:$B,$A60,RawDataRecovered!AR:AR)</f>
        <v>0</v>
      </c>
      <c r="AP60">
        <f>SUMIF(RawDataRecovered!$B:$B,$A60,RawDataRecovered!AS:AS)</f>
        <v>0</v>
      </c>
      <c r="AQ60">
        <f>SUMIF(RawDataRecovered!$B:$B,$A60,RawDataRecovered!AT:AT)</f>
        <v>0</v>
      </c>
      <c r="AR60">
        <f>SUMIF(RawDataRecovered!$B:$B,$A60,RawDataRecovered!AU:AU)</f>
        <v>0</v>
      </c>
      <c r="AS60">
        <f>SUMIF(RawDataRecovered!$B:$B,$A60,RawDataRecovered!AV:AV)</f>
        <v>0</v>
      </c>
      <c r="AT60">
        <f>SUMIF(RawDataRecovered!$B:$B,$A60,RawDataRecovered!AW:AW)</f>
        <v>0</v>
      </c>
      <c r="AU60">
        <f>SUMIF(RawDataRecovered!$B:$B,$A60,RawDataRecovered!AX:AX)</f>
        <v>0</v>
      </c>
      <c r="AV60">
        <f>SUMIF(RawDataRecovered!$B:$B,$A60,RawDataRecovered!AY:AY)</f>
        <v>1</v>
      </c>
      <c r="AW60">
        <f>SUMIF(RawDataRecovered!$B:$B,$A60,RawDataRecovered!AZ:AZ)</f>
        <v>1</v>
      </c>
      <c r="AX60">
        <f>SUMIF(RawDataRecovered!$B:$B,$A60,RawDataRecovered!BA:BA)</f>
        <v>1</v>
      </c>
      <c r="AY60">
        <f>SUMIF(RawDataRecovered!$B:$B,$A60,RawDataRecovered!BB:BB)</f>
        <v>2</v>
      </c>
      <c r="AZ60">
        <f>SUMIF(RawDataRecovered!$B:$B,$A60,RawDataRecovered!BC:BC)</f>
        <v>2</v>
      </c>
      <c r="BA60">
        <f>SUMIF(RawDataRecovered!$B:$B,$A60,RawDataRecovered!BD:BD)</f>
        <v>2</v>
      </c>
      <c r="BB60">
        <f>SUMIF(RawDataRecovered!$B:$B,$A60,RawDataRecovered!BE:BE)</f>
        <v>2</v>
      </c>
      <c r="BC60">
        <f>SUMIF(RawDataRecovered!$B:$B,$A60,RawDataRecovered!BF:BF)</f>
        <v>2</v>
      </c>
      <c r="BD60">
        <f>SUMIF(RawDataRecovered!$B:$B,$A60,RawDataRecovered!BG:BG)</f>
        <v>2</v>
      </c>
      <c r="BE60">
        <f>SUMIF(RawDataRecovered!$B:$B,$A60,RawDataRecovered!BH:BH)</f>
        <v>2</v>
      </c>
      <c r="BF60">
        <f>SUMIF(RawDataRecovered!$B:$B,$A60,RawDataRecovered!BI:BI)</f>
        <v>0</v>
      </c>
      <c r="BG60">
        <f>SUMIF(RawDataRecovered!$B:$B,$A60,RawDataRecovered!BJ:BJ)</f>
        <v>0</v>
      </c>
      <c r="BH60">
        <f>SUMIF(RawDataRecovered!$B:$B,$A60,RawDataRecovered!BK:BK)</f>
        <v>0</v>
      </c>
      <c r="BI60">
        <f>SUMIF(RawDataRecovered!$B:$B,$A60,RawDataRecovered!BL:BL)</f>
        <v>0</v>
      </c>
      <c r="BJ60">
        <f>SUMIF(RawDataRecovered!$B:$B,$A60,RawDataRecovered!BM:BM)</f>
        <v>0</v>
      </c>
      <c r="BK60">
        <f>SUMIF(RawDataRecovered!$B:$B,$A60,RawDataRecovered!BN:BN)</f>
        <v>0</v>
      </c>
      <c r="BL60">
        <f>SUMIF(RawDataRecovered!$B:$B,$A60,RawDataRecovered!BO:BO)</f>
        <v>0</v>
      </c>
      <c r="BM60">
        <f>SUMIF(RawDataRecovered!$B:$B,$A60,RawDataRecovered!BP:BP)</f>
        <v>0</v>
      </c>
      <c r="BN60">
        <f>SUMIF(RawDataRecovered!$B:$B,$A60,RawDataRecovered!BQ:BQ)</f>
        <v>0</v>
      </c>
      <c r="BO60">
        <f>SUMIF(RawDataRecovered!$B:$B,$A60,RawDataRecovered!BR:BR)</f>
        <v>0</v>
      </c>
      <c r="BP60">
        <f>SUMIF(RawDataRecovered!$B:$B,$A60,RawDataRecovered!BS:BS)</f>
        <v>0</v>
      </c>
      <c r="BQ60">
        <f>SUMIF(RawDataRecovered!$B:$B,$A60,RawDataRecovered!BT:BT)</f>
        <v>0</v>
      </c>
      <c r="BR60">
        <f>SUMIF(RawDataRecovered!$B:$B,$A60,RawDataRecovered!BU:BU)</f>
        <v>0</v>
      </c>
      <c r="BS60">
        <f>SUMIF(RawDataRecovered!$B:$B,$A60,RawDataRecovered!BV:BV)</f>
        <v>0</v>
      </c>
      <c r="BT60">
        <f>SUMIF(RawDataRecovered!$B:$B,$A60,RawDataRecovered!BW:BW)</f>
        <v>0</v>
      </c>
    </row>
    <row r="61" spans="1:72" ht="15" thickBot="1" x14ac:dyDescent="0.35">
      <c r="A61" s="4" t="s">
        <v>187</v>
      </c>
      <c r="B61">
        <f>SUMIF(RawDataRecovered!$B:$B,$A61,RawDataRecovered!E:E)</f>
        <v>0</v>
      </c>
      <c r="C61">
        <f>SUMIF(RawDataRecovered!$B:$B,$A61,RawDataRecovered!F:F)</f>
        <v>0</v>
      </c>
      <c r="D61">
        <f>SUMIF(RawDataRecovered!$B:$B,$A61,RawDataRecovered!G:G)</f>
        <v>0</v>
      </c>
      <c r="E61">
        <f>SUMIF(RawDataRecovered!$B:$B,$A61,RawDataRecovered!H:H)</f>
        <v>0</v>
      </c>
      <c r="F61">
        <f>SUMIF(RawDataRecovered!$B:$B,$A61,RawDataRecovered!I:I)</f>
        <v>0</v>
      </c>
      <c r="G61">
        <f>SUMIF(RawDataRecovered!$B:$B,$A61,RawDataRecovered!J:J)</f>
        <v>0</v>
      </c>
      <c r="H61">
        <f>SUMIF(RawDataRecovered!$B:$B,$A61,RawDataRecovered!K:K)</f>
        <v>0</v>
      </c>
      <c r="I61">
        <f>SUMIF(RawDataRecovered!$B:$B,$A61,RawDataRecovered!L:L)</f>
        <v>0</v>
      </c>
      <c r="J61">
        <f>SUMIF(RawDataRecovered!$B:$B,$A61,RawDataRecovered!M:M)</f>
        <v>0</v>
      </c>
      <c r="K61">
        <f>SUMIF(RawDataRecovered!$B:$B,$A61,RawDataRecovered!N:N)</f>
        <v>0</v>
      </c>
      <c r="L61">
        <f>SUMIF(RawDataRecovered!$B:$B,$A61,RawDataRecovered!O:O)</f>
        <v>0</v>
      </c>
      <c r="M61">
        <f>SUMIF(RawDataRecovered!$B:$B,$A61,RawDataRecovered!P:P)</f>
        <v>0</v>
      </c>
      <c r="N61">
        <f>SUMIF(RawDataRecovered!$B:$B,$A61,RawDataRecovered!Q:Q)</f>
        <v>0</v>
      </c>
      <c r="O61">
        <f>SUMIF(RawDataRecovered!$B:$B,$A61,RawDataRecovered!R:R)</f>
        <v>0</v>
      </c>
      <c r="P61">
        <f>SUMIF(RawDataRecovered!$B:$B,$A61,RawDataRecovered!S:S)</f>
        <v>0</v>
      </c>
      <c r="Q61">
        <f>SUMIF(RawDataRecovered!$B:$B,$A61,RawDataRecovered!T:T)</f>
        <v>0</v>
      </c>
      <c r="R61">
        <f>SUMIF(RawDataRecovered!$B:$B,$A61,RawDataRecovered!U:U)</f>
        <v>0</v>
      </c>
      <c r="S61">
        <f>SUMIF(RawDataRecovered!$B:$B,$A61,RawDataRecovered!V:V)</f>
        <v>0</v>
      </c>
      <c r="T61">
        <f>SUMIF(RawDataRecovered!$B:$B,$A61,RawDataRecovered!W:W)</f>
        <v>0</v>
      </c>
      <c r="U61">
        <f>SUMIF(RawDataRecovered!$B:$B,$A61,RawDataRecovered!X:X)</f>
        <v>0</v>
      </c>
      <c r="V61">
        <f>SUMIF(RawDataRecovered!$B:$B,$A61,RawDataRecovered!Y:Y)</f>
        <v>0</v>
      </c>
      <c r="W61">
        <f>SUMIF(RawDataRecovered!$B:$B,$A61,RawDataRecovered!Z:Z)</f>
        <v>0</v>
      </c>
      <c r="X61">
        <f>SUMIF(RawDataRecovered!$B:$B,$A61,RawDataRecovered!AA:AA)</f>
        <v>0</v>
      </c>
      <c r="Y61">
        <f>SUMIF(RawDataRecovered!$B:$B,$A61,RawDataRecovered!AB:AB)</f>
        <v>0</v>
      </c>
      <c r="Z61">
        <f>SUMIF(RawDataRecovered!$B:$B,$A61,RawDataRecovered!AC:AC)</f>
        <v>0</v>
      </c>
      <c r="AA61">
        <f>SUMIF(RawDataRecovered!$B:$B,$A61,RawDataRecovered!AD:AD)</f>
        <v>0</v>
      </c>
      <c r="AB61">
        <f>SUMIF(RawDataRecovered!$B:$B,$A61,RawDataRecovered!AE:AE)</f>
        <v>0</v>
      </c>
      <c r="AC61">
        <f>SUMIF(RawDataRecovered!$B:$B,$A61,RawDataRecovered!AF:AF)</f>
        <v>0</v>
      </c>
      <c r="AD61">
        <f>SUMIF(RawDataRecovered!$B:$B,$A61,RawDataRecovered!AG:AG)</f>
        <v>0</v>
      </c>
      <c r="AE61">
        <f>SUMIF(RawDataRecovered!$B:$B,$A61,RawDataRecovered!AH:AH)</f>
        <v>0</v>
      </c>
      <c r="AF61">
        <f>SUMIF(RawDataRecovered!$B:$B,$A61,RawDataRecovered!AI:AI)</f>
        <v>0</v>
      </c>
      <c r="AG61">
        <f>SUMIF(RawDataRecovered!$B:$B,$A61,RawDataRecovered!AJ:AJ)</f>
        <v>0</v>
      </c>
      <c r="AH61">
        <f>SUMIF(RawDataRecovered!$B:$B,$A61,RawDataRecovered!AK:AK)</f>
        <v>0</v>
      </c>
      <c r="AI61">
        <f>SUMIF(RawDataRecovered!$B:$B,$A61,RawDataRecovered!AL:AL)</f>
        <v>0</v>
      </c>
      <c r="AJ61">
        <f>SUMIF(RawDataRecovered!$B:$B,$A61,RawDataRecovered!AM:AM)</f>
        <v>0</v>
      </c>
      <c r="AK61">
        <f>SUMIF(RawDataRecovered!$B:$B,$A61,RawDataRecovered!AN:AN)</f>
        <v>0</v>
      </c>
      <c r="AL61">
        <f>SUMIF(RawDataRecovered!$B:$B,$A61,RawDataRecovered!AO:AO)</f>
        <v>0</v>
      </c>
      <c r="AM61">
        <f>SUMIF(RawDataRecovered!$B:$B,$A61,RawDataRecovered!AP:AP)</f>
        <v>0</v>
      </c>
      <c r="AN61">
        <f>SUMIF(RawDataRecovered!$B:$B,$A61,RawDataRecovered!AQ:AQ)</f>
        <v>0</v>
      </c>
      <c r="AO61">
        <f>SUMIF(RawDataRecovered!$B:$B,$A61,RawDataRecovered!AR:AR)</f>
        <v>0</v>
      </c>
      <c r="AP61">
        <f>SUMIF(RawDataRecovered!$B:$B,$A61,RawDataRecovered!AS:AS)</f>
        <v>0</v>
      </c>
      <c r="AQ61">
        <f>SUMIF(RawDataRecovered!$B:$B,$A61,RawDataRecovered!AT:AT)</f>
        <v>0</v>
      </c>
      <c r="AR61">
        <f>SUMIF(RawDataRecovered!$B:$B,$A61,RawDataRecovered!AU:AU)</f>
        <v>0</v>
      </c>
      <c r="AS61">
        <f>SUMIF(RawDataRecovered!$B:$B,$A61,RawDataRecovered!AV:AV)</f>
        <v>0</v>
      </c>
      <c r="AT61">
        <f>SUMIF(RawDataRecovered!$B:$B,$A61,RawDataRecovered!AW:AW)</f>
        <v>0</v>
      </c>
      <c r="AU61">
        <f>SUMIF(RawDataRecovered!$B:$B,$A61,RawDataRecovered!AX:AX)</f>
        <v>0</v>
      </c>
      <c r="AV61">
        <f>SUMIF(RawDataRecovered!$B:$B,$A61,RawDataRecovered!AY:AY)</f>
        <v>0</v>
      </c>
      <c r="AW61">
        <f>SUMIF(RawDataRecovered!$B:$B,$A61,RawDataRecovered!AZ:AZ)</f>
        <v>0</v>
      </c>
      <c r="AX61">
        <f>SUMIF(RawDataRecovered!$B:$B,$A61,RawDataRecovered!BA:BA)</f>
        <v>0</v>
      </c>
      <c r="AY61">
        <f>SUMIF(RawDataRecovered!$B:$B,$A61,RawDataRecovered!BB:BB)</f>
        <v>0</v>
      </c>
      <c r="AZ61">
        <f>SUMIF(RawDataRecovered!$B:$B,$A61,RawDataRecovered!BC:BC)</f>
        <v>0</v>
      </c>
      <c r="BA61">
        <f>SUMIF(RawDataRecovered!$B:$B,$A61,RawDataRecovered!BD:BD)</f>
        <v>0</v>
      </c>
      <c r="BB61">
        <f>SUMIF(RawDataRecovered!$B:$B,$A61,RawDataRecovered!BE:BE)</f>
        <v>0</v>
      </c>
      <c r="BC61">
        <f>SUMIF(RawDataRecovered!$B:$B,$A61,RawDataRecovered!BF:BF)</f>
        <v>0</v>
      </c>
      <c r="BD61">
        <f>SUMIF(RawDataRecovered!$B:$B,$A61,RawDataRecovered!BG:BG)</f>
        <v>0</v>
      </c>
      <c r="BE61">
        <f>SUMIF(RawDataRecovered!$B:$B,$A61,RawDataRecovered!BH:BH)</f>
        <v>1</v>
      </c>
      <c r="BF61">
        <f>SUMIF(RawDataRecovered!$B:$B,$A61,RawDataRecovered!BI:BI)</f>
        <v>0</v>
      </c>
      <c r="BG61">
        <f>SUMIF(RawDataRecovered!$B:$B,$A61,RawDataRecovered!BJ:BJ)</f>
        <v>0</v>
      </c>
      <c r="BH61">
        <f>SUMIF(RawDataRecovered!$B:$B,$A61,RawDataRecovered!BK:BK)</f>
        <v>0</v>
      </c>
      <c r="BI61">
        <f>SUMIF(RawDataRecovered!$B:$B,$A61,RawDataRecovered!BL:BL)</f>
        <v>0</v>
      </c>
      <c r="BJ61">
        <f>SUMIF(RawDataRecovered!$B:$B,$A61,RawDataRecovered!BM:BM)</f>
        <v>0</v>
      </c>
      <c r="BK61">
        <f>SUMIF(RawDataRecovered!$B:$B,$A61,RawDataRecovered!BN:BN)</f>
        <v>0</v>
      </c>
      <c r="BL61">
        <f>SUMIF(RawDataRecovered!$B:$B,$A61,RawDataRecovered!BO:BO)</f>
        <v>0</v>
      </c>
      <c r="BM61">
        <f>SUMIF(RawDataRecovered!$B:$B,$A61,RawDataRecovered!BP:BP)</f>
        <v>0</v>
      </c>
      <c r="BN61">
        <f>SUMIF(RawDataRecovered!$B:$B,$A61,RawDataRecovered!BQ:BQ)</f>
        <v>0</v>
      </c>
      <c r="BO61">
        <f>SUMIF(RawDataRecovered!$B:$B,$A61,RawDataRecovered!BR:BR)</f>
        <v>0</v>
      </c>
      <c r="BP61">
        <f>SUMIF(RawDataRecovered!$B:$B,$A61,RawDataRecovered!BS:BS)</f>
        <v>0</v>
      </c>
      <c r="BQ61">
        <f>SUMIF(RawDataRecovered!$B:$B,$A61,RawDataRecovered!BT:BT)</f>
        <v>0</v>
      </c>
      <c r="BR61">
        <f>SUMIF(RawDataRecovered!$B:$B,$A61,RawDataRecovered!BU:BU)</f>
        <v>0</v>
      </c>
      <c r="BS61">
        <f>SUMIF(RawDataRecovered!$B:$B,$A61,RawDataRecovered!BV:BV)</f>
        <v>0</v>
      </c>
      <c r="BT61">
        <f>SUMIF(RawDataRecovered!$B:$B,$A61,RawDataRecovered!BW:BW)</f>
        <v>0</v>
      </c>
    </row>
    <row r="62" spans="1:72" ht="15" thickBot="1" x14ac:dyDescent="0.35">
      <c r="A62" s="3" t="s">
        <v>118</v>
      </c>
      <c r="B62">
        <f>SUMIF(RawDataRecovered!$B:$B,$A62,RawDataRecovered!E:E)</f>
        <v>0</v>
      </c>
      <c r="C62">
        <f>SUMIF(RawDataRecovered!$B:$B,$A62,RawDataRecovered!F:F)</f>
        <v>0</v>
      </c>
      <c r="D62">
        <f>SUMIF(RawDataRecovered!$B:$B,$A62,RawDataRecovered!G:G)</f>
        <v>0</v>
      </c>
      <c r="E62">
        <f>SUMIF(RawDataRecovered!$B:$B,$A62,RawDataRecovered!H:H)</f>
        <v>0</v>
      </c>
      <c r="F62">
        <f>SUMIF(RawDataRecovered!$B:$B,$A62,RawDataRecovered!I:I)</f>
        <v>0</v>
      </c>
      <c r="G62">
        <f>SUMIF(RawDataRecovered!$B:$B,$A62,RawDataRecovered!J:J)</f>
        <v>0</v>
      </c>
      <c r="H62">
        <f>SUMIF(RawDataRecovered!$B:$B,$A62,RawDataRecovered!K:K)</f>
        <v>0</v>
      </c>
      <c r="I62">
        <f>SUMIF(RawDataRecovered!$B:$B,$A62,RawDataRecovered!L:L)</f>
        <v>0</v>
      </c>
      <c r="J62">
        <f>SUMIF(RawDataRecovered!$B:$B,$A62,RawDataRecovered!M:M)</f>
        <v>0</v>
      </c>
      <c r="K62">
        <f>SUMIF(RawDataRecovered!$B:$B,$A62,RawDataRecovered!N:N)</f>
        <v>0</v>
      </c>
      <c r="L62">
        <f>SUMIF(RawDataRecovered!$B:$B,$A62,RawDataRecovered!O:O)</f>
        <v>0</v>
      </c>
      <c r="M62">
        <f>SUMIF(RawDataRecovered!$B:$B,$A62,RawDataRecovered!P:P)</f>
        <v>0</v>
      </c>
      <c r="N62">
        <f>SUMIF(RawDataRecovered!$B:$B,$A62,RawDataRecovered!Q:Q)</f>
        <v>0</v>
      </c>
      <c r="O62">
        <f>SUMIF(RawDataRecovered!$B:$B,$A62,RawDataRecovered!R:R)</f>
        <v>0</v>
      </c>
      <c r="P62">
        <f>SUMIF(RawDataRecovered!$B:$B,$A62,RawDataRecovered!S:S)</f>
        <v>0</v>
      </c>
      <c r="Q62">
        <f>SUMIF(RawDataRecovered!$B:$B,$A62,RawDataRecovered!T:T)</f>
        <v>0</v>
      </c>
      <c r="R62">
        <f>SUMIF(RawDataRecovered!$B:$B,$A62,RawDataRecovered!U:U)</f>
        <v>0</v>
      </c>
      <c r="S62">
        <f>SUMIF(RawDataRecovered!$B:$B,$A62,RawDataRecovered!V:V)</f>
        <v>0</v>
      </c>
      <c r="T62">
        <f>SUMIF(RawDataRecovered!$B:$B,$A62,RawDataRecovered!W:W)</f>
        <v>0</v>
      </c>
      <c r="U62">
        <f>SUMIF(RawDataRecovered!$B:$B,$A62,RawDataRecovered!X:X)</f>
        <v>0</v>
      </c>
      <c r="V62">
        <f>SUMIF(RawDataRecovered!$B:$B,$A62,RawDataRecovered!Y:Y)</f>
        <v>0</v>
      </c>
      <c r="W62">
        <f>SUMIF(RawDataRecovered!$B:$B,$A62,RawDataRecovered!Z:Z)</f>
        <v>0</v>
      </c>
      <c r="X62">
        <f>SUMIF(RawDataRecovered!$B:$B,$A62,RawDataRecovered!AA:AA)</f>
        <v>0</v>
      </c>
      <c r="Y62">
        <f>SUMIF(RawDataRecovered!$B:$B,$A62,RawDataRecovered!AB:AB)</f>
        <v>0</v>
      </c>
      <c r="Z62">
        <f>SUMIF(RawDataRecovered!$B:$B,$A62,RawDataRecovered!AC:AC)</f>
        <v>0</v>
      </c>
      <c r="AA62">
        <f>SUMIF(RawDataRecovered!$B:$B,$A62,RawDataRecovered!AD:AD)</f>
        <v>0</v>
      </c>
      <c r="AB62">
        <f>SUMIF(RawDataRecovered!$B:$B,$A62,RawDataRecovered!AE:AE)</f>
        <v>0</v>
      </c>
      <c r="AC62">
        <f>SUMIF(RawDataRecovered!$B:$B,$A62,RawDataRecovered!AF:AF)</f>
        <v>0</v>
      </c>
      <c r="AD62">
        <f>SUMIF(RawDataRecovered!$B:$B,$A62,RawDataRecovered!AG:AG)</f>
        <v>0</v>
      </c>
      <c r="AE62">
        <f>SUMIF(RawDataRecovered!$B:$B,$A62,RawDataRecovered!AH:AH)</f>
        <v>0</v>
      </c>
      <c r="AF62">
        <f>SUMIF(RawDataRecovered!$B:$B,$A62,RawDataRecovered!AI:AI)</f>
        <v>0</v>
      </c>
      <c r="AG62">
        <f>SUMIF(RawDataRecovered!$B:$B,$A62,RawDataRecovered!AJ:AJ)</f>
        <v>0</v>
      </c>
      <c r="AH62">
        <f>SUMIF(RawDataRecovered!$B:$B,$A62,RawDataRecovered!AK:AK)</f>
        <v>0</v>
      </c>
      <c r="AI62">
        <f>SUMIF(RawDataRecovered!$B:$B,$A62,RawDataRecovered!AL:AL)</f>
        <v>0</v>
      </c>
      <c r="AJ62">
        <f>SUMIF(RawDataRecovered!$B:$B,$A62,RawDataRecovered!AM:AM)</f>
        <v>0</v>
      </c>
      <c r="AK62">
        <f>SUMIF(RawDataRecovered!$B:$B,$A62,RawDataRecovered!AN:AN)</f>
        <v>0</v>
      </c>
      <c r="AL62">
        <f>SUMIF(RawDataRecovered!$B:$B,$A62,RawDataRecovered!AO:AO)</f>
        <v>0</v>
      </c>
      <c r="AM62">
        <f>SUMIF(RawDataRecovered!$B:$B,$A62,RawDataRecovered!AP:AP)</f>
        <v>0</v>
      </c>
      <c r="AN62">
        <f>SUMIF(RawDataRecovered!$B:$B,$A62,RawDataRecovered!AQ:AQ)</f>
        <v>0</v>
      </c>
      <c r="AO62">
        <f>SUMIF(RawDataRecovered!$B:$B,$A62,RawDataRecovered!AR:AR)</f>
        <v>0</v>
      </c>
      <c r="AP62">
        <f>SUMIF(RawDataRecovered!$B:$B,$A62,RawDataRecovered!AS:AS)</f>
        <v>0</v>
      </c>
      <c r="AQ62">
        <f>SUMIF(RawDataRecovered!$B:$B,$A62,RawDataRecovered!AT:AT)</f>
        <v>0</v>
      </c>
      <c r="AR62">
        <f>SUMIF(RawDataRecovered!$B:$B,$A62,RawDataRecovered!AU:AU)</f>
        <v>0</v>
      </c>
      <c r="AS62">
        <f>SUMIF(RawDataRecovered!$B:$B,$A62,RawDataRecovered!AV:AV)</f>
        <v>0</v>
      </c>
      <c r="AT62">
        <f>SUMIF(RawDataRecovered!$B:$B,$A62,RawDataRecovered!AW:AW)</f>
        <v>0</v>
      </c>
      <c r="AU62">
        <f>SUMIF(RawDataRecovered!$B:$B,$A62,RawDataRecovered!AX:AX)</f>
        <v>0</v>
      </c>
      <c r="AV62">
        <f>SUMIF(RawDataRecovered!$B:$B,$A62,RawDataRecovered!AY:AY)</f>
        <v>0</v>
      </c>
      <c r="AW62">
        <f>SUMIF(RawDataRecovered!$B:$B,$A62,RawDataRecovered!AZ:AZ)</f>
        <v>1</v>
      </c>
      <c r="AX62">
        <f>SUMIF(RawDataRecovered!$B:$B,$A62,RawDataRecovered!BA:BA)</f>
        <v>3</v>
      </c>
      <c r="AY62">
        <f>SUMIF(RawDataRecovered!$B:$B,$A62,RawDataRecovered!BB:BB)</f>
        <v>3</v>
      </c>
      <c r="AZ62">
        <f>SUMIF(RawDataRecovered!$B:$B,$A62,RawDataRecovered!BC:BC)</f>
        <v>3</v>
      </c>
      <c r="BA62">
        <f>SUMIF(RawDataRecovered!$B:$B,$A62,RawDataRecovered!BD:BD)</f>
        <v>3</v>
      </c>
      <c r="BB62">
        <f>SUMIF(RawDataRecovered!$B:$B,$A62,RawDataRecovered!BE:BE)</f>
        <v>3</v>
      </c>
      <c r="BC62">
        <f>SUMIF(RawDataRecovered!$B:$B,$A62,RawDataRecovered!BF:BF)</f>
        <v>3</v>
      </c>
      <c r="BD62">
        <f>SUMIF(RawDataRecovered!$B:$B,$A62,RawDataRecovered!BG:BG)</f>
        <v>3</v>
      </c>
      <c r="BE62">
        <f>SUMIF(RawDataRecovered!$B:$B,$A62,RawDataRecovered!BH:BH)</f>
        <v>3</v>
      </c>
      <c r="BF62">
        <f>SUMIF(RawDataRecovered!$B:$B,$A62,RawDataRecovered!BI:BI)</f>
        <v>0</v>
      </c>
      <c r="BG62">
        <f>SUMIF(RawDataRecovered!$B:$B,$A62,RawDataRecovered!BJ:BJ)</f>
        <v>0</v>
      </c>
      <c r="BH62">
        <f>SUMIF(RawDataRecovered!$B:$B,$A62,RawDataRecovered!BK:BK)</f>
        <v>0</v>
      </c>
      <c r="BI62">
        <f>SUMIF(RawDataRecovered!$B:$B,$A62,RawDataRecovered!BL:BL)</f>
        <v>0</v>
      </c>
      <c r="BJ62">
        <f>SUMIF(RawDataRecovered!$B:$B,$A62,RawDataRecovered!BM:BM)</f>
        <v>0</v>
      </c>
      <c r="BK62">
        <f>SUMIF(RawDataRecovered!$B:$B,$A62,RawDataRecovered!BN:BN)</f>
        <v>0</v>
      </c>
      <c r="BL62">
        <f>SUMIF(RawDataRecovered!$B:$B,$A62,RawDataRecovered!BO:BO)</f>
        <v>0</v>
      </c>
      <c r="BM62">
        <f>SUMIF(RawDataRecovered!$B:$B,$A62,RawDataRecovered!BP:BP)</f>
        <v>0</v>
      </c>
      <c r="BN62">
        <f>SUMIF(RawDataRecovered!$B:$B,$A62,RawDataRecovered!BQ:BQ)</f>
        <v>0</v>
      </c>
      <c r="BO62">
        <f>SUMIF(RawDataRecovered!$B:$B,$A62,RawDataRecovered!BR:BR)</f>
        <v>0</v>
      </c>
      <c r="BP62">
        <f>SUMIF(RawDataRecovered!$B:$B,$A62,RawDataRecovered!BS:BS)</f>
        <v>0</v>
      </c>
      <c r="BQ62">
        <f>SUMIF(RawDataRecovered!$B:$B,$A62,RawDataRecovered!BT:BT)</f>
        <v>0</v>
      </c>
      <c r="BR62">
        <f>SUMIF(RawDataRecovered!$B:$B,$A62,RawDataRecovered!BU:BU)</f>
        <v>0</v>
      </c>
      <c r="BS62">
        <f>SUMIF(RawDataRecovered!$B:$B,$A62,RawDataRecovered!BV:BV)</f>
        <v>0</v>
      </c>
      <c r="BT62">
        <f>SUMIF(RawDataRecovered!$B:$B,$A62,RawDataRecovered!BW:BW)</f>
        <v>0</v>
      </c>
    </row>
    <row r="63" spans="1:72" ht="15" thickBot="1" x14ac:dyDescent="0.35">
      <c r="A63" s="3" t="s">
        <v>310</v>
      </c>
      <c r="B63">
        <f>SUMIF(RawDataRecovered!$B:$B,$A63,RawDataRecovered!E:E)</f>
        <v>0</v>
      </c>
      <c r="C63">
        <f>SUMIF(RawDataRecovered!$B:$B,$A63,RawDataRecovered!F:F)</f>
        <v>0</v>
      </c>
      <c r="D63">
        <f>SUMIF(RawDataRecovered!$B:$B,$A63,RawDataRecovered!G:G)</f>
        <v>0</v>
      </c>
      <c r="E63">
        <f>SUMIF(RawDataRecovered!$B:$B,$A63,RawDataRecovered!H:H)</f>
        <v>0</v>
      </c>
      <c r="F63">
        <f>SUMIF(RawDataRecovered!$B:$B,$A63,RawDataRecovered!I:I)</f>
        <v>0</v>
      </c>
      <c r="G63">
        <f>SUMIF(RawDataRecovered!$B:$B,$A63,RawDataRecovered!J:J)</f>
        <v>0</v>
      </c>
      <c r="H63">
        <f>SUMIF(RawDataRecovered!$B:$B,$A63,RawDataRecovered!K:K)</f>
        <v>0</v>
      </c>
      <c r="I63">
        <f>SUMIF(RawDataRecovered!$B:$B,$A63,RawDataRecovered!L:L)</f>
        <v>0</v>
      </c>
      <c r="J63">
        <f>SUMIF(RawDataRecovered!$B:$B,$A63,RawDataRecovered!M:M)</f>
        <v>0</v>
      </c>
      <c r="K63">
        <f>SUMIF(RawDataRecovered!$B:$B,$A63,RawDataRecovered!N:N)</f>
        <v>0</v>
      </c>
      <c r="L63">
        <f>SUMIF(RawDataRecovered!$B:$B,$A63,RawDataRecovered!O:O)</f>
        <v>0</v>
      </c>
      <c r="M63">
        <f>SUMIF(RawDataRecovered!$B:$B,$A63,RawDataRecovered!P:P)</f>
        <v>0</v>
      </c>
      <c r="N63">
        <f>SUMIF(RawDataRecovered!$B:$B,$A63,RawDataRecovered!Q:Q)</f>
        <v>0</v>
      </c>
      <c r="O63">
        <f>SUMIF(RawDataRecovered!$B:$B,$A63,RawDataRecovered!R:R)</f>
        <v>0</v>
      </c>
      <c r="P63">
        <f>SUMIF(RawDataRecovered!$B:$B,$A63,RawDataRecovered!S:S)</f>
        <v>0</v>
      </c>
      <c r="Q63">
        <f>SUMIF(RawDataRecovered!$B:$B,$A63,RawDataRecovered!T:T)</f>
        <v>0</v>
      </c>
      <c r="R63">
        <f>SUMIF(RawDataRecovered!$B:$B,$A63,RawDataRecovered!U:U)</f>
        <v>0</v>
      </c>
      <c r="S63">
        <f>SUMIF(RawDataRecovered!$B:$B,$A63,RawDataRecovered!V:V)</f>
        <v>0</v>
      </c>
      <c r="T63">
        <f>SUMIF(RawDataRecovered!$B:$B,$A63,RawDataRecovered!W:W)</f>
        <v>0</v>
      </c>
      <c r="U63">
        <f>SUMIF(RawDataRecovered!$B:$B,$A63,RawDataRecovered!X:X)</f>
        <v>0</v>
      </c>
      <c r="V63">
        <f>SUMIF(RawDataRecovered!$B:$B,$A63,RawDataRecovered!Y:Y)</f>
        <v>0</v>
      </c>
      <c r="W63">
        <f>SUMIF(RawDataRecovered!$B:$B,$A63,RawDataRecovered!Z:Z)</f>
        <v>0</v>
      </c>
      <c r="X63">
        <f>SUMIF(RawDataRecovered!$B:$B,$A63,RawDataRecovered!AA:AA)</f>
        <v>0</v>
      </c>
      <c r="Y63">
        <f>SUMIF(RawDataRecovered!$B:$B,$A63,RawDataRecovered!AB:AB)</f>
        <v>0</v>
      </c>
      <c r="Z63">
        <f>SUMIF(RawDataRecovered!$B:$B,$A63,RawDataRecovered!AC:AC)</f>
        <v>0</v>
      </c>
      <c r="AA63">
        <f>SUMIF(RawDataRecovered!$B:$B,$A63,RawDataRecovered!AD:AD)</f>
        <v>0</v>
      </c>
      <c r="AB63">
        <f>SUMIF(RawDataRecovered!$B:$B,$A63,RawDataRecovered!AE:AE)</f>
        <v>0</v>
      </c>
      <c r="AC63">
        <f>SUMIF(RawDataRecovered!$B:$B,$A63,RawDataRecovered!AF:AF)</f>
        <v>0</v>
      </c>
      <c r="AD63">
        <f>SUMIF(RawDataRecovered!$B:$B,$A63,RawDataRecovered!AG:AG)</f>
        <v>0</v>
      </c>
      <c r="AE63">
        <f>SUMIF(RawDataRecovered!$B:$B,$A63,RawDataRecovered!AH:AH)</f>
        <v>0</v>
      </c>
      <c r="AF63">
        <f>SUMIF(RawDataRecovered!$B:$B,$A63,RawDataRecovered!AI:AI)</f>
        <v>0</v>
      </c>
      <c r="AG63">
        <f>SUMIF(RawDataRecovered!$B:$B,$A63,RawDataRecovered!AJ:AJ)</f>
        <v>0</v>
      </c>
      <c r="AH63">
        <f>SUMIF(RawDataRecovered!$B:$B,$A63,RawDataRecovered!AK:AK)</f>
        <v>0</v>
      </c>
      <c r="AI63">
        <f>SUMIF(RawDataRecovered!$B:$B,$A63,RawDataRecovered!AL:AL)</f>
        <v>0</v>
      </c>
      <c r="AJ63">
        <f>SUMIF(RawDataRecovered!$B:$B,$A63,RawDataRecovered!AM:AM)</f>
        <v>0</v>
      </c>
      <c r="AK63">
        <f>SUMIF(RawDataRecovered!$B:$B,$A63,RawDataRecovered!AN:AN)</f>
        <v>0</v>
      </c>
      <c r="AL63">
        <f>SUMIF(RawDataRecovered!$B:$B,$A63,RawDataRecovered!AO:AO)</f>
        <v>0</v>
      </c>
      <c r="AM63">
        <f>SUMIF(RawDataRecovered!$B:$B,$A63,RawDataRecovered!AP:AP)</f>
        <v>0</v>
      </c>
      <c r="AN63">
        <f>SUMIF(RawDataRecovered!$B:$B,$A63,RawDataRecovered!AQ:AQ)</f>
        <v>0</v>
      </c>
      <c r="AO63">
        <f>SUMIF(RawDataRecovered!$B:$B,$A63,RawDataRecovered!AR:AR)</f>
        <v>0</v>
      </c>
      <c r="AP63">
        <f>SUMIF(RawDataRecovered!$B:$B,$A63,RawDataRecovered!AS:AS)</f>
        <v>0</v>
      </c>
      <c r="AQ63">
        <f>SUMIF(RawDataRecovered!$B:$B,$A63,RawDataRecovered!AT:AT)</f>
        <v>0</v>
      </c>
      <c r="AR63">
        <f>SUMIF(RawDataRecovered!$B:$B,$A63,RawDataRecovered!AU:AU)</f>
        <v>0</v>
      </c>
      <c r="AS63">
        <f>SUMIF(RawDataRecovered!$B:$B,$A63,RawDataRecovered!AV:AV)</f>
        <v>0</v>
      </c>
      <c r="AT63">
        <f>SUMIF(RawDataRecovered!$B:$B,$A63,RawDataRecovered!AW:AW)</f>
        <v>0</v>
      </c>
      <c r="AU63">
        <f>SUMIF(RawDataRecovered!$B:$B,$A63,RawDataRecovered!AX:AX)</f>
        <v>0</v>
      </c>
      <c r="AV63">
        <f>SUMIF(RawDataRecovered!$B:$B,$A63,RawDataRecovered!AY:AY)</f>
        <v>0</v>
      </c>
      <c r="AW63">
        <f>SUMIF(RawDataRecovered!$B:$B,$A63,RawDataRecovered!AZ:AZ)</f>
        <v>0</v>
      </c>
      <c r="AX63">
        <f>SUMIF(RawDataRecovered!$B:$B,$A63,RawDataRecovered!BA:BA)</f>
        <v>0</v>
      </c>
      <c r="AY63">
        <f>SUMIF(RawDataRecovered!$B:$B,$A63,RawDataRecovered!BB:BB)</f>
        <v>0</v>
      </c>
      <c r="AZ63">
        <f>SUMIF(RawDataRecovered!$B:$B,$A63,RawDataRecovered!BC:BC)</f>
        <v>0</v>
      </c>
      <c r="BA63">
        <f>SUMIF(RawDataRecovered!$B:$B,$A63,RawDataRecovered!BD:BD)</f>
        <v>0</v>
      </c>
      <c r="BB63">
        <f>SUMIF(RawDataRecovered!$B:$B,$A63,RawDataRecovered!BE:BE)</f>
        <v>0</v>
      </c>
      <c r="BC63">
        <f>SUMIF(RawDataRecovered!$B:$B,$A63,RawDataRecovered!BF:BF)</f>
        <v>0</v>
      </c>
      <c r="BD63">
        <f>SUMIF(RawDataRecovered!$B:$B,$A63,RawDataRecovered!BG:BG)</f>
        <v>0</v>
      </c>
      <c r="BE63">
        <f>SUMIF(RawDataRecovered!$B:$B,$A63,RawDataRecovered!BH:BH)</f>
        <v>0</v>
      </c>
      <c r="BF63">
        <f>SUMIF(RawDataRecovered!$B:$B,$A63,RawDataRecovered!BI:BI)</f>
        <v>0</v>
      </c>
      <c r="BG63">
        <f>SUMIF(RawDataRecovered!$B:$B,$A63,RawDataRecovered!BJ:BJ)</f>
        <v>0</v>
      </c>
      <c r="BH63">
        <f>SUMIF(RawDataRecovered!$B:$B,$A63,RawDataRecovered!BK:BK)</f>
        <v>0</v>
      </c>
      <c r="BI63">
        <f>SUMIF(RawDataRecovered!$B:$B,$A63,RawDataRecovered!BL:BL)</f>
        <v>0</v>
      </c>
      <c r="BJ63">
        <f>SUMIF(RawDataRecovered!$B:$B,$A63,RawDataRecovered!BM:BM)</f>
        <v>0</v>
      </c>
      <c r="BK63">
        <f>SUMIF(RawDataRecovered!$B:$B,$A63,RawDataRecovered!BN:BN)</f>
        <v>0</v>
      </c>
      <c r="BL63">
        <f>SUMIF(RawDataRecovered!$B:$B,$A63,RawDataRecovered!BO:BO)</f>
        <v>0</v>
      </c>
      <c r="BM63">
        <f>SUMIF(RawDataRecovered!$B:$B,$A63,RawDataRecovered!BP:BP)</f>
        <v>0</v>
      </c>
      <c r="BN63">
        <f>SUMIF(RawDataRecovered!$B:$B,$A63,RawDataRecovered!BQ:BQ)</f>
        <v>0</v>
      </c>
      <c r="BO63">
        <f>SUMIF(RawDataRecovered!$B:$B,$A63,RawDataRecovered!BR:BR)</f>
        <v>0</v>
      </c>
      <c r="BP63">
        <f>SUMIF(RawDataRecovered!$B:$B,$A63,RawDataRecovered!BS:BS)</f>
        <v>0</v>
      </c>
      <c r="BQ63">
        <f>SUMIF(RawDataRecovered!$B:$B,$A63,RawDataRecovered!BT:BT)</f>
        <v>0</v>
      </c>
      <c r="BR63">
        <f>SUMIF(RawDataRecovered!$B:$B,$A63,RawDataRecovered!BU:BU)</f>
        <v>0</v>
      </c>
      <c r="BS63">
        <f>SUMIF(RawDataRecovered!$B:$B,$A63,RawDataRecovered!BV:BV)</f>
        <v>0</v>
      </c>
      <c r="BT63">
        <f>SUMIF(RawDataRecovered!$B:$B,$A63,RawDataRecovered!BW:BW)</f>
        <v>0</v>
      </c>
    </row>
    <row r="64" spans="1:72" ht="15" thickBot="1" x14ac:dyDescent="0.35">
      <c r="A64" s="4" t="s">
        <v>102</v>
      </c>
      <c r="B64">
        <f>SUMIF(RawDataRecovered!$B:$B,$A64,RawDataRecovered!E:E)</f>
        <v>0</v>
      </c>
      <c r="C64">
        <f>SUMIF(RawDataRecovered!$B:$B,$A64,RawDataRecovered!F:F)</f>
        <v>0</v>
      </c>
      <c r="D64">
        <f>SUMIF(RawDataRecovered!$B:$B,$A64,RawDataRecovered!G:G)</f>
        <v>0</v>
      </c>
      <c r="E64">
        <f>SUMIF(RawDataRecovered!$B:$B,$A64,RawDataRecovered!H:H)</f>
        <v>0</v>
      </c>
      <c r="F64">
        <f>SUMIF(RawDataRecovered!$B:$B,$A64,RawDataRecovered!I:I)</f>
        <v>0</v>
      </c>
      <c r="G64">
        <f>SUMIF(RawDataRecovered!$B:$B,$A64,RawDataRecovered!J:J)</f>
        <v>0</v>
      </c>
      <c r="H64">
        <f>SUMIF(RawDataRecovered!$B:$B,$A64,RawDataRecovered!K:K)</f>
        <v>0</v>
      </c>
      <c r="I64">
        <f>SUMIF(RawDataRecovered!$B:$B,$A64,RawDataRecovered!L:L)</f>
        <v>0</v>
      </c>
      <c r="J64">
        <f>SUMIF(RawDataRecovered!$B:$B,$A64,RawDataRecovered!M:M)</f>
        <v>0</v>
      </c>
      <c r="K64">
        <f>SUMIF(RawDataRecovered!$B:$B,$A64,RawDataRecovered!N:N)</f>
        <v>0</v>
      </c>
      <c r="L64">
        <f>SUMIF(RawDataRecovered!$B:$B,$A64,RawDataRecovered!O:O)</f>
        <v>0</v>
      </c>
      <c r="M64">
        <f>SUMIF(RawDataRecovered!$B:$B,$A64,RawDataRecovered!P:P)</f>
        <v>0</v>
      </c>
      <c r="N64">
        <f>SUMIF(RawDataRecovered!$B:$B,$A64,RawDataRecovered!Q:Q)</f>
        <v>0</v>
      </c>
      <c r="O64">
        <f>SUMIF(RawDataRecovered!$B:$B,$A64,RawDataRecovered!R:R)</f>
        <v>0</v>
      </c>
      <c r="P64">
        <f>SUMIF(RawDataRecovered!$B:$B,$A64,RawDataRecovered!S:S)</f>
        <v>0</v>
      </c>
      <c r="Q64">
        <f>SUMIF(RawDataRecovered!$B:$B,$A64,RawDataRecovered!T:T)</f>
        <v>0</v>
      </c>
      <c r="R64">
        <f>SUMIF(RawDataRecovered!$B:$B,$A64,RawDataRecovered!U:U)</f>
        <v>0</v>
      </c>
      <c r="S64">
        <f>SUMIF(RawDataRecovered!$B:$B,$A64,RawDataRecovered!V:V)</f>
        <v>0</v>
      </c>
      <c r="T64">
        <f>SUMIF(RawDataRecovered!$B:$B,$A64,RawDataRecovered!W:W)</f>
        <v>0</v>
      </c>
      <c r="U64">
        <f>SUMIF(RawDataRecovered!$B:$B,$A64,RawDataRecovered!X:X)</f>
        <v>0</v>
      </c>
      <c r="V64">
        <f>SUMIF(RawDataRecovered!$B:$B,$A64,RawDataRecovered!Y:Y)</f>
        <v>0</v>
      </c>
      <c r="W64">
        <f>SUMIF(RawDataRecovered!$B:$B,$A64,RawDataRecovered!Z:Z)</f>
        <v>0</v>
      </c>
      <c r="X64">
        <f>SUMIF(RawDataRecovered!$B:$B,$A64,RawDataRecovered!AA:AA)</f>
        <v>0</v>
      </c>
      <c r="Y64">
        <f>SUMIF(RawDataRecovered!$B:$B,$A64,RawDataRecovered!AB:AB)</f>
        <v>0</v>
      </c>
      <c r="Z64">
        <f>SUMIF(RawDataRecovered!$B:$B,$A64,RawDataRecovered!AC:AC)</f>
        <v>0</v>
      </c>
      <c r="AA64">
        <f>SUMIF(RawDataRecovered!$B:$B,$A64,RawDataRecovered!AD:AD)</f>
        <v>0</v>
      </c>
      <c r="AB64">
        <f>SUMIF(RawDataRecovered!$B:$B,$A64,RawDataRecovered!AE:AE)</f>
        <v>0</v>
      </c>
      <c r="AC64">
        <f>SUMIF(RawDataRecovered!$B:$B,$A64,RawDataRecovered!AF:AF)</f>
        <v>0</v>
      </c>
      <c r="AD64">
        <f>SUMIF(RawDataRecovered!$B:$B,$A64,RawDataRecovered!AG:AG)</f>
        <v>0</v>
      </c>
      <c r="AE64">
        <f>SUMIF(RawDataRecovered!$B:$B,$A64,RawDataRecovered!AH:AH)</f>
        <v>0</v>
      </c>
      <c r="AF64">
        <f>SUMIF(RawDataRecovered!$B:$B,$A64,RawDataRecovered!AI:AI)</f>
        <v>0</v>
      </c>
      <c r="AG64">
        <f>SUMIF(RawDataRecovered!$B:$B,$A64,RawDataRecovered!AJ:AJ)</f>
        <v>0</v>
      </c>
      <c r="AH64">
        <f>SUMIF(RawDataRecovered!$B:$B,$A64,RawDataRecovered!AK:AK)</f>
        <v>0</v>
      </c>
      <c r="AI64">
        <f>SUMIF(RawDataRecovered!$B:$B,$A64,RawDataRecovered!AL:AL)</f>
        <v>0</v>
      </c>
      <c r="AJ64">
        <f>SUMIF(RawDataRecovered!$B:$B,$A64,RawDataRecovered!AM:AM)</f>
        <v>0</v>
      </c>
      <c r="AK64">
        <f>SUMIF(RawDataRecovered!$B:$B,$A64,RawDataRecovered!AN:AN)</f>
        <v>0</v>
      </c>
      <c r="AL64">
        <f>SUMIF(RawDataRecovered!$B:$B,$A64,RawDataRecovered!AO:AO)</f>
        <v>0</v>
      </c>
      <c r="AM64">
        <f>SUMIF(RawDataRecovered!$B:$B,$A64,RawDataRecovered!AP:AP)</f>
        <v>0</v>
      </c>
      <c r="AN64">
        <f>SUMIF(RawDataRecovered!$B:$B,$A64,RawDataRecovered!AQ:AQ)</f>
        <v>0</v>
      </c>
      <c r="AO64">
        <f>SUMIF(RawDataRecovered!$B:$B,$A64,RawDataRecovered!AR:AR)</f>
        <v>0</v>
      </c>
      <c r="AP64">
        <f>SUMIF(RawDataRecovered!$B:$B,$A64,RawDataRecovered!AS:AS)</f>
        <v>0</v>
      </c>
      <c r="AQ64">
        <f>SUMIF(RawDataRecovered!$B:$B,$A64,RawDataRecovered!AT:AT)</f>
        <v>0</v>
      </c>
      <c r="AR64">
        <f>SUMIF(RawDataRecovered!$B:$B,$A64,RawDataRecovered!AU:AU)</f>
        <v>0</v>
      </c>
      <c r="AS64">
        <f>SUMIF(RawDataRecovered!$B:$B,$A64,RawDataRecovered!AV:AV)</f>
        <v>0</v>
      </c>
      <c r="AT64">
        <f>SUMIF(RawDataRecovered!$B:$B,$A64,RawDataRecovered!AW:AW)</f>
        <v>0</v>
      </c>
      <c r="AU64">
        <f>SUMIF(RawDataRecovered!$B:$B,$A64,RawDataRecovered!AX:AX)</f>
        <v>0</v>
      </c>
      <c r="AV64">
        <f>SUMIF(RawDataRecovered!$B:$B,$A64,RawDataRecovered!AY:AY)</f>
        <v>0</v>
      </c>
      <c r="AW64">
        <f>SUMIF(RawDataRecovered!$B:$B,$A64,RawDataRecovered!AZ:AZ)</f>
        <v>0</v>
      </c>
      <c r="AX64">
        <f>SUMIF(RawDataRecovered!$B:$B,$A64,RawDataRecovered!BA:BA)</f>
        <v>0</v>
      </c>
      <c r="AY64">
        <f>SUMIF(RawDataRecovered!$B:$B,$A64,RawDataRecovered!BB:BB)</f>
        <v>0</v>
      </c>
      <c r="AZ64">
        <f>SUMIF(RawDataRecovered!$B:$B,$A64,RawDataRecovered!BC:BC)</f>
        <v>8</v>
      </c>
      <c r="BA64">
        <f>SUMIF(RawDataRecovered!$B:$B,$A64,RawDataRecovered!BD:BD)</f>
        <v>8</v>
      </c>
      <c r="BB64">
        <f>SUMIF(RawDataRecovered!$B:$B,$A64,RawDataRecovered!BE:BE)</f>
        <v>12</v>
      </c>
      <c r="BC64">
        <f>SUMIF(RawDataRecovered!$B:$B,$A64,RawDataRecovered!BF:BF)</f>
        <v>12</v>
      </c>
      <c r="BD64">
        <f>SUMIF(RawDataRecovered!$B:$B,$A64,RawDataRecovered!BG:BG)</f>
        <v>12</v>
      </c>
      <c r="BE64">
        <f>SUMIF(RawDataRecovered!$B:$B,$A64,RawDataRecovered!BH:BH)</f>
        <v>12</v>
      </c>
      <c r="BF64">
        <f>SUMIF(RawDataRecovered!$B:$B,$A64,RawDataRecovered!BI:BI)</f>
        <v>0</v>
      </c>
      <c r="BG64">
        <f>SUMIF(RawDataRecovered!$B:$B,$A64,RawDataRecovered!BJ:BJ)</f>
        <v>0</v>
      </c>
      <c r="BH64">
        <f>SUMIF(RawDataRecovered!$B:$B,$A64,RawDataRecovered!BK:BK)</f>
        <v>0</v>
      </c>
      <c r="BI64">
        <f>SUMIF(RawDataRecovered!$B:$B,$A64,RawDataRecovered!BL:BL)</f>
        <v>0</v>
      </c>
      <c r="BJ64">
        <f>SUMIF(RawDataRecovered!$B:$B,$A64,RawDataRecovered!BM:BM)</f>
        <v>0</v>
      </c>
      <c r="BK64">
        <f>SUMIF(RawDataRecovered!$B:$B,$A64,RawDataRecovered!BN:BN)</f>
        <v>0</v>
      </c>
      <c r="BL64">
        <f>SUMIF(RawDataRecovered!$B:$B,$A64,RawDataRecovered!BO:BO)</f>
        <v>0</v>
      </c>
      <c r="BM64">
        <f>SUMIF(RawDataRecovered!$B:$B,$A64,RawDataRecovered!BP:BP)</f>
        <v>0</v>
      </c>
      <c r="BN64">
        <f>SUMIF(RawDataRecovered!$B:$B,$A64,RawDataRecovered!BQ:BQ)</f>
        <v>0</v>
      </c>
      <c r="BO64">
        <f>SUMIF(RawDataRecovered!$B:$B,$A64,RawDataRecovered!BR:BR)</f>
        <v>0</v>
      </c>
      <c r="BP64">
        <f>SUMIF(RawDataRecovered!$B:$B,$A64,RawDataRecovered!BS:BS)</f>
        <v>0</v>
      </c>
      <c r="BQ64">
        <f>SUMIF(RawDataRecovered!$B:$B,$A64,RawDataRecovered!BT:BT)</f>
        <v>0</v>
      </c>
      <c r="BR64">
        <f>SUMIF(RawDataRecovered!$B:$B,$A64,RawDataRecovered!BU:BU)</f>
        <v>0</v>
      </c>
      <c r="BS64">
        <f>SUMIF(RawDataRecovered!$B:$B,$A64,RawDataRecovered!BV:BV)</f>
        <v>0</v>
      </c>
      <c r="BT64">
        <f>SUMIF(RawDataRecovered!$B:$B,$A64,RawDataRecovered!BW:BW)</f>
        <v>0</v>
      </c>
    </row>
    <row r="65" spans="1:72" ht="15" thickBot="1" x14ac:dyDescent="0.35">
      <c r="A65" s="3" t="s">
        <v>109</v>
      </c>
      <c r="B65">
        <f>SUMIF(RawDataRecovered!$B:$B,$A65,RawDataRecovered!E:E)</f>
        <v>0</v>
      </c>
      <c r="C65">
        <f>SUMIF(RawDataRecovered!$B:$B,$A65,RawDataRecovered!F:F)</f>
        <v>0</v>
      </c>
      <c r="D65">
        <f>SUMIF(RawDataRecovered!$B:$B,$A65,RawDataRecovered!G:G)</f>
        <v>0</v>
      </c>
      <c r="E65">
        <f>SUMIF(RawDataRecovered!$B:$B,$A65,RawDataRecovered!H:H)</f>
        <v>0</v>
      </c>
      <c r="F65">
        <f>SUMIF(RawDataRecovered!$B:$B,$A65,RawDataRecovered!I:I)</f>
        <v>0</v>
      </c>
      <c r="G65">
        <f>SUMIF(RawDataRecovered!$B:$B,$A65,RawDataRecovered!J:J)</f>
        <v>0</v>
      </c>
      <c r="H65">
        <f>SUMIF(RawDataRecovered!$B:$B,$A65,RawDataRecovered!K:K)</f>
        <v>0</v>
      </c>
      <c r="I65">
        <f>SUMIF(RawDataRecovered!$B:$B,$A65,RawDataRecovered!L:L)</f>
        <v>0</v>
      </c>
      <c r="J65">
        <f>SUMIF(RawDataRecovered!$B:$B,$A65,RawDataRecovered!M:M)</f>
        <v>0</v>
      </c>
      <c r="K65">
        <f>SUMIF(RawDataRecovered!$B:$B,$A65,RawDataRecovered!N:N)</f>
        <v>0</v>
      </c>
      <c r="L65">
        <f>SUMIF(RawDataRecovered!$B:$B,$A65,RawDataRecovered!O:O)</f>
        <v>0</v>
      </c>
      <c r="M65">
        <f>SUMIF(RawDataRecovered!$B:$B,$A65,RawDataRecovered!P:P)</f>
        <v>0</v>
      </c>
      <c r="N65">
        <f>SUMIF(RawDataRecovered!$B:$B,$A65,RawDataRecovered!Q:Q)</f>
        <v>0</v>
      </c>
      <c r="O65">
        <f>SUMIF(RawDataRecovered!$B:$B,$A65,RawDataRecovered!R:R)</f>
        <v>0</v>
      </c>
      <c r="P65">
        <f>SUMIF(RawDataRecovered!$B:$B,$A65,RawDataRecovered!S:S)</f>
        <v>0</v>
      </c>
      <c r="Q65">
        <f>SUMIF(RawDataRecovered!$B:$B,$A65,RawDataRecovered!T:T)</f>
        <v>0</v>
      </c>
      <c r="R65">
        <f>SUMIF(RawDataRecovered!$B:$B,$A65,RawDataRecovered!U:U)</f>
        <v>0</v>
      </c>
      <c r="S65">
        <f>SUMIF(RawDataRecovered!$B:$B,$A65,RawDataRecovered!V:V)</f>
        <v>0</v>
      </c>
      <c r="T65">
        <f>SUMIF(RawDataRecovered!$B:$B,$A65,RawDataRecovered!W:W)</f>
        <v>0</v>
      </c>
      <c r="U65">
        <f>SUMIF(RawDataRecovered!$B:$B,$A65,RawDataRecovered!X:X)</f>
        <v>0</v>
      </c>
      <c r="V65">
        <f>SUMIF(RawDataRecovered!$B:$B,$A65,RawDataRecovered!Y:Y)</f>
        <v>0</v>
      </c>
      <c r="W65">
        <f>SUMIF(RawDataRecovered!$B:$B,$A65,RawDataRecovered!Z:Z)</f>
        <v>0</v>
      </c>
      <c r="X65">
        <f>SUMIF(RawDataRecovered!$B:$B,$A65,RawDataRecovered!AA:AA)</f>
        <v>0</v>
      </c>
      <c r="Y65">
        <f>SUMIF(RawDataRecovered!$B:$B,$A65,RawDataRecovered!AB:AB)</f>
        <v>0</v>
      </c>
      <c r="Z65">
        <f>SUMIF(RawDataRecovered!$B:$B,$A65,RawDataRecovered!AC:AC)</f>
        <v>0</v>
      </c>
      <c r="AA65">
        <f>SUMIF(RawDataRecovered!$B:$B,$A65,RawDataRecovered!AD:AD)</f>
        <v>0</v>
      </c>
      <c r="AB65">
        <f>SUMIF(RawDataRecovered!$B:$B,$A65,RawDataRecovered!AE:AE)</f>
        <v>0</v>
      </c>
      <c r="AC65">
        <f>SUMIF(RawDataRecovered!$B:$B,$A65,RawDataRecovered!AF:AF)</f>
        <v>0</v>
      </c>
      <c r="AD65">
        <f>SUMIF(RawDataRecovered!$B:$B,$A65,RawDataRecovered!AG:AG)</f>
        <v>0</v>
      </c>
      <c r="AE65">
        <f>SUMIF(RawDataRecovered!$B:$B,$A65,RawDataRecovered!AH:AH)</f>
        <v>0</v>
      </c>
      <c r="AF65">
        <f>SUMIF(RawDataRecovered!$B:$B,$A65,RawDataRecovered!AI:AI)</f>
        <v>0</v>
      </c>
      <c r="AG65">
        <f>SUMIF(RawDataRecovered!$B:$B,$A65,RawDataRecovered!AJ:AJ)</f>
        <v>0</v>
      </c>
      <c r="AH65">
        <f>SUMIF(RawDataRecovered!$B:$B,$A65,RawDataRecovered!AK:AK)</f>
        <v>0</v>
      </c>
      <c r="AI65">
        <f>SUMIF(RawDataRecovered!$B:$B,$A65,RawDataRecovered!AL:AL)</f>
        <v>0</v>
      </c>
      <c r="AJ65">
        <f>SUMIF(RawDataRecovered!$B:$B,$A65,RawDataRecovered!AM:AM)</f>
        <v>0</v>
      </c>
      <c r="AK65">
        <f>SUMIF(RawDataRecovered!$B:$B,$A65,RawDataRecovered!AN:AN)</f>
        <v>0</v>
      </c>
      <c r="AL65">
        <f>SUMIF(RawDataRecovered!$B:$B,$A65,RawDataRecovered!AO:AO)</f>
        <v>0</v>
      </c>
      <c r="AM65">
        <f>SUMIF(RawDataRecovered!$B:$B,$A65,RawDataRecovered!AP:AP)</f>
        <v>0</v>
      </c>
      <c r="AN65">
        <f>SUMIF(RawDataRecovered!$B:$B,$A65,RawDataRecovered!AQ:AQ)</f>
        <v>0</v>
      </c>
      <c r="AO65">
        <f>SUMIF(RawDataRecovered!$B:$B,$A65,RawDataRecovered!AR:AR)</f>
        <v>0</v>
      </c>
      <c r="AP65">
        <f>SUMIF(RawDataRecovered!$B:$B,$A65,RawDataRecovered!AS:AS)</f>
        <v>0</v>
      </c>
      <c r="AQ65">
        <f>SUMIF(RawDataRecovered!$B:$B,$A65,RawDataRecovered!AT:AT)</f>
        <v>0</v>
      </c>
      <c r="AR65">
        <f>SUMIF(RawDataRecovered!$B:$B,$A65,RawDataRecovered!AU:AU)</f>
        <v>0</v>
      </c>
      <c r="AS65">
        <f>SUMIF(RawDataRecovered!$B:$B,$A65,RawDataRecovered!AV:AV)</f>
        <v>0</v>
      </c>
      <c r="AT65">
        <f>SUMIF(RawDataRecovered!$B:$B,$A65,RawDataRecovered!AW:AW)</f>
        <v>0</v>
      </c>
      <c r="AU65">
        <f>SUMIF(RawDataRecovered!$B:$B,$A65,RawDataRecovered!AX:AX)</f>
        <v>0</v>
      </c>
      <c r="AV65">
        <f>SUMIF(RawDataRecovered!$B:$B,$A65,RawDataRecovered!AY:AY)</f>
        <v>0</v>
      </c>
      <c r="AW65">
        <f>SUMIF(RawDataRecovered!$B:$B,$A65,RawDataRecovered!AZ:AZ)</f>
        <v>0</v>
      </c>
      <c r="AX65">
        <f>SUMIF(RawDataRecovered!$B:$B,$A65,RawDataRecovered!BA:BA)</f>
        <v>0</v>
      </c>
      <c r="AY65">
        <f>SUMIF(RawDataRecovered!$B:$B,$A65,RawDataRecovered!BB:BB)</f>
        <v>0</v>
      </c>
      <c r="AZ65">
        <f>SUMIF(RawDataRecovered!$B:$B,$A65,RawDataRecovered!BC:BC)</f>
        <v>0</v>
      </c>
      <c r="BA65">
        <f>SUMIF(RawDataRecovered!$B:$B,$A65,RawDataRecovered!BD:BD)</f>
        <v>0</v>
      </c>
      <c r="BB65">
        <f>SUMIF(RawDataRecovered!$B:$B,$A65,RawDataRecovered!BE:BE)</f>
        <v>0</v>
      </c>
      <c r="BC65">
        <f>SUMIF(RawDataRecovered!$B:$B,$A65,RawDataRecovered!BF:BF)</f>
        <v>0</v>
      </c>
      <c r="BD65">
        <f>SUMIF(RawDataRecovered!$B:$B,$A65,RawDataRecovered!BG:BG)</f>
        <v>1</v>
      </c>
      <c r="BE65">
        <f>SUMIF(RawDataRecovered!$B:$B,$A65,RawDataRecovered!BH:BH)</f>
        <v>1</v>
      </c>
      <c r="BF65">
        <f>SUMIF(RawDataRecovered!$B:$B,$A65,RawDataRecovered!BI:BI)</f>
        <v>0</v>
      </c>
      <c r="BG65">
        <f>SUMIF(RawDataRecovered!$B:$B,$A65,RawDataRecovered!BJ:BJ)</f>
        <v>0</v>
      </c>
      <c r="BH65">
        <f>SUMIF(RawDataRecovered!$B:$B,$A65,RawDataRecovered!BK:BK)</f>
        <v>0</v>
      </c>
      <c r="BI65">
        <f>SUMIF(RawDataRecovered!$B:$B,$A65,RawDataRecovered!BL:BL)</f>
        <v>0</v>
      </c>
      <c r="BJ65">
        <f>SUMIF(RawDataRecovered!$B:$B,$A65,RawDataRecovered!BM:BM)</f>
        <v>0</v>
      </c>
      <c r="BK65">
        <f>SUMIF(RawDataRecovered!$B:$B,$A65,RawDataRecovered!BN:BN)</f>
        <v>0</v>
      </c>
      <c r="BL65">
        <f>SUMIF(RawDataRecovered!$B:$B,$A65,RawDataRecovered!BO:BO)</f>
        <v>0</v>
      </c>
      <c r="BM65">
        <f>SUMIF(RawDataRecovered!$B:$B,$A65,RawDataRecovered!BP:BP)</f>
        <v>0</v>
      </c>
      <c r="BN65">
        <f>SUMIF(RawDataRecovered!$B:$B,$A65,RawDataRecovered!BQ:BQ)</f>
        <v>0</v>
      </c>
      <c r="BO65">
        <f>SUMIF(RawDataRecovered!$B:$B,$A65,RawDataRecovered!BR:BR)</f>
        <v>0</v>
      </c>
      <c r="BP65">
        <f>SUMIF(RawDataRecovered!$B:$B,$A65,RawDataRecovered!BS:BS)</f>
        <v>0</v>
      </c>
      <c r="BQ65">
        <f>SUMIF(RawDataRecovered!$B:$B,$A65,RawDataRecovered!BT:BT)</f>
        <v>0</v>
      </c>
      <c r="BR65">
        <f>SUMIF(RawDataRecovered!$B:$B,$A65,RawDataRecovered!BU:BU)</f>
        <v>0</v>
      </c>
      <c r="BS65">
        <f>SUMIF(RawDataRecovered!$B:$B,$A65,RawDataRecovered!BV:BV)</f>
        <v>0</v>
      </c>
      <c r="BT65">
        <f>SUMIF(RawDataRecovered!$B:$B,$A65,RawDataRecovered!BW:BW)</f>
        <v>0</v>
      </c>
    </row>
    <row r="66" spans="1:72" ht="15" thickBot="1" x14ac:dyDescent="0.35">
      <c r="A66" s="3" t="s">
        <v>172</v>
      </c>
      <c r="B66">
        <f>SUMIF(RawDataRecovered!$B:$B,$A66,RawDataRecovered!E:E)</f>
        <v>0</v>
      </c>
      <c r="C66">
        <f>SUMIF(RawDataRecovered!$B:$B,$A66,RawDataRecovered!F:F)</f>
        <v>0</v>
      </c>
      <c r="D66">
        <f>SUMIF(RawDataRecovered!$B:$B,$A66,RawDataRecovered!G:G)</f>
        <v>0</v>
      </c>
      <c r="E66">
        <f>SUMIF(RawDataRecovered!$B:$B,$A66,RawDataRecovered!H:H)</f>
        <v>0</v>
      </c>
      <c r="F66">
        <f>SUMIF(RawDataRecovered!$B:$B,$A66,RawDataRecovered!I:I)</f>
        <v>0</v>
      </c>
      <c r="G66">
        <f>SUMIF(RawDataRecovered!$B:$B,$A66,RawDataRecovered!J:J)</f>
        <v>0</v>
      </c>
      <c r="H66">
        <f>SUMIF(RawDataRecovered!$B:$B,$A66,RawDataRecovered!K:K)</f>
        <v>0</v>
      </c>
      <c r="I66">
        <f>SUMIF(RawDataRecovered!$B:$B,$A66,RawDataRecovered!L:L)</f>
        <v>0</v>
      </c>
      <c r="J66">
        <f>SUMIF(RawDataRecovered!$B:$B,$A66,RawDataRecovered!M:M)</f>
        <v>0</v>
      </c>
      <c r="K66">
        <f>SUMIF(RawDataRecovered!$B:$B,$A66,RawDataRecovered!N:N)</f>
        <v>0</v>
      </c>
      <c r="L66">
        <f>SUMIF(RawDataRecovered!$B:$B,$A66,RawDataRecovered!O:O)</f>
        <v>0</v>
      </c>
      <c r="M66">
        <f>SUMIF(RawDataRecovered!$B:$B,$A66,RawDataRecovered!P:P)</f>
        <v>0</v>
      </c>
      <c r="N66">
        <f>SUMIF(RawDataRecovered!$B:$B,$A66,RawDataRecovered!Q:Q)</f>
        <v>0</v>
      </c>
      <c r="O66">
        <f>SUMIF(RawDataRecovered!$B:$B,$A66,RawDataRecovered!R:R)</f>
        <v>0</v>
      </c>
      <c r="P66">
        <f>SUMIF(RawDataRecovered!$B:$B,$A66,RawDataRecovered!S:S)</f>
        <v>0</v>
      </c>
      <c r="Q66">
        <f>SUMIF(RawDataRecovered!$B:$B,$A66,RawDataRecovered!T:T)</f>
        <v>0</v>
      </c>
      <c r="R66">
        <f>SUMIF(RawDataRecovered!$B:$B,$A66,RawDataRecovered!U:U)</f>
        <v>0</v>
      </c>
      <c r="S66">
        <f>SUMIF(RawDataRecovered!$B:$B,$A66,RawDataRecovered!V:V)</f>
        <v>0</v>
      </c>
      <c r="T66">
        <f>SUMIF(RawDataRecovered!$B:$B,$A66,RawDataRecovered!W:W)</f>
        <v>0</v>
      </c>
      <c r="U66">
        <f>SUMIF(RawDataRecovered!$B:$B,$A66,RawDataRecovered!X:X)</f>
        <v>0</v>
      </c>
      <c r="V66">
        <f>SUMIF(RawDataRecovered!$B:$B,$A66,RawDataRecovered!Y:Y)</f>
        <v>0</v>
      </c>
      <c r="W66">
        <f>SUMIF(RawDataRecovered!$B:$B,$A66,RawDataRecovered!Z:Z)</f>
        <v>0</v>
      </c>
      <c r="X66">
        <f>SUMIF(RawDataRecovered!$B:$B,$A66,RawDataRecovered!AA:AA)</f>
        <v>0</v>
      </c>
      <c r="Y66">
        <f>SUMIF(RawDataRecovered!$B:$B,$A66,RawDataRecovered!AB:AB)</f>
        <v>0</v>
      </c>
      <c r="Z66">
        <f>SUMIF(RawDataRecovered!$B:$B,$A66,RawDataRecovered!AC:AC)</f>
        <v>0</v>
      </c>
      <c r="AA66">
        <f>SUMIF(RawDataRecovered!$B:$B,$A66,RawDataRecovered!AD:AD)</f>
        <v>0</v>
      </c>
      <c r="AB66">
        <f>SUMIF(RawDataRecovered!$B:$B,$A66,RawDataRecovered!AE:AE)</f>
        <v>0</v>
      </c>
      <c r="AC66">
        <f>SUMIF(RawDataRecovered!$B:$B,$A66,RawDataRecovered!AF:AF)</f>
        <v>0</v>
      </c>
      <c r="AD66">
        <f>SUMIF(RawDataRecovered!$B:$B,$A66,RawDataRecovered!AG:AG)</f>
        <v>0</v>
      </c>
      <c r="AE66">
        <f>SUMIF(RawDataRecovered!$B:$B,$A66,RawDataRecovered!AH:AH)</f>
        <v>0</v>
      </c>
      <c r="AF66">
        <f>SUMIF(RawDataRecovered!$B:$B,$A66,RawDataRecovered!AI:AI)</f>
        <v>0</v>
      </c>
      <c r="AG66">
        <f>SUMIF(RawDataRecovered!$B:$B,$A66,RawDataRecovered!AJ:AJ)</f>
        <v>0</v>
      </c>
      <c r="AH66">
        <f>SUMIF(RawDataRecovered!$B:$B,$A66,RawDataRecovered!AK:AK)</f>
        <v>0</v>
      </c>
      <c r="AI66">
        <f>SUMIF(RawDataRecovered!$B:$B,$A66,RawDataRecovered!AL:AL)</f>
        <v>0</v>
      </c>
      <c r="AJ66">
        <f>SUMIF(RawDataRecovered!$B:$B,$A66,RawDataRecovered!AM:AM)</f>
        <v>0</v>
      </c>
      <c r="AK66">
        <f>SUMIF(RawDataRecovered!$B:$B,$A66,RawDataRecovered!AN:AN)</f>
        <v>0</v>
      </c>
      <c r="AL66">
        <f>SUMIF(RawDataRecovered!$B:$B,$A66,RawDataRecovered!AO:AO)</f>
        <v>0</v>
      </c>
      <c r="AM66">
        <f>SUMIF(RawDataRecovered!$B:$B,$A66,RawDataRecovered!AP:AP)</f>
        <v>0</v>
      </c>
      <c r="AN66">
        <f>SUMIF(RawDataRecovered!$B:$B,$A66,RawDataRecovered!AQ:AQ)</f>
        <v>0</v>
      </c>
      <c r="AO66">
        <f>SUMIF(RawDataRecovered!$B:$B,$A66,RawDataRecovered!AR:AR)</f>
        <v>0</v>
      </c>
      <c r="AP66">
        <f>SUMIF(RawDataRecovered!$B:$B,$A66,RawDataRecovered!AS:AS)</f>
        <v>0</v>
      </c>
      <c r="AQ66">
        <f>SUMIF(RawDataRecovered!$B:$B,$A66,RawDataRecovered!AT:AT)</f>
        <v>0</v>
      </c>
      <c r="AR66">
        <f>SUMIF(RawDataRecovered!$B:$B,$A66,RawDataRecovered!AU:AU)</f>
        <v>0</v>
      </c>
      <c r="AS66">
        <f>SUMIF(RawDataRecovered!$B:$B,$A66,RawDataRecovered!AV:AV)</f>
        <v>0</v>
      </c>
      <c r="AT66">
        <f>SUMIF(RawDataRecovered!$B:$B,$A66,RawDataRecovered!AW:AW)</f>
        <v>0</v>
      </c>
      <c r="AU66">
        <f>SUMIF(RawDataRecovered!$B:$B,$A66,RawDataRecovered!AX:AX)</f>
        <v>0</v>
      </c>
      <c r="AV66">
        <f>SUMIF(RawDataRecovered!$B:$B,$A66,RawDataRecovered!AY:AY)</f>
        <v>0</v>
      </c>
      <c r="AW66">
        <f>SUMIF(RawDataRecovered!$B:$B,$A66,RawDataRecovered!AZ:AZ)</f>
        <v>0</v>
      </c>
      <c r="AX66">
        <f>SUMIF(RawDataRecovered!$B:$B,$A66,RawDataRecovered!BA:BA)</f>
        <v>0</v>
      </c>
      <c r="AY66">
        <f>SUMIF(RawDataRecovered!$B:$B,$A66,RawDataRecovered!BB:BB)</f>
        <v>0</v>
      </c>
      <c r="AZ66">
        <f>SUMIF(RawDataRecovered!$B:$B,$A66,RawDataRecovered!BC:BC)</f>
        <v>0</v>
      </c>
      <c r="BA66">
        <f>SUMIF(RawDataRecovered!$B:$B,$A66,RawDataRecovered!BD:BD)</f>
        <v>0</v>
      </c>
      <c r="BB66">
        <f>SUMIF(RawDataRecovered!$B:$B,$A66,RawDataRecovered!BE:BE)</f>
        <v>0</v>
      </c>
      <c r="BC66">
        <f>SUMIF(RawDataRecovered!$B:$B,$A66,RawDataRecovered!BF:BF)</f>
        <v>0</v>
      </c>
      <c r="BD66">
        <f>SUMIF(RawDataRecovered!$B:$B,$A66,RawDataRecovered!BG:BG)</f>
        <v>0</v>
      </c>
      <c r="BE66">
        <f>SUMIF(RawDataRecovered!$B:$B,$A66,RawDataRecovered!BH:BH)</f>
        <v>0</v>
      </c>
      <c r="BF66">
        <f>SUMIF(RawDataRecovered!$B:$B,$A66,RawDataRecovered!BI:BI)</f>
        <v>0</v>
      </c>
      <c r="BG66">
        <f>SUMIF(RawDataRecovered!$B:$B,$A66,RawDataRecovered!BJ:BJ)</f>
        <v>0</v>
      </c>
      <c r="BH66">
        <f>SUMIF(RawDataRecovered!$B:$B,$A66,RawDataRecovered!BK:BK)</f>
        <v>0</v>
      </c>
      <c r="BI66">
        <f>SUMIF(RawDataRecovered!$B:$B,$A66,RawDataRecovered!BL:BL)</f>
        <v>0</v>
      </c>
      <c r="BJ66">
        <f>SUMIF(RawDataRecovered!$B:$B,$A66,RawDataRecovered!BM:BM)</f>
        <v>0</v>
      </c>
      <c r="BK66">
        <f>SUMIF(RawDataRecovered!$B:$B,$A66,RawDataRecovered!BN:BN)</f>
        <v>0</v>
      </c>
      <c r="BL66">
        <f>SUMIF(RawDataRecovered!$B:$B,$A66,RawDataRecovered!BO:BO)</f>
        <v>0</v>
      </c>
      <c r="BM66">
        <f>SUMIF(RawDataRecovered!$B:$B,$A66,RawDataRecovered!BP:BP)</f>
        <v>0</v>
      </c>
      <c r="BN66">
        <f>SUMIF(RawDataRecovered!$B:$B,$A66,RawDataRecovered!BQ:BQ)</f>
        <v>0</v>
      </c>
      <c r="BO66">
        <f>SUMIF(RawDataRecovered!$B:$B,$A66,RawDataRecovered!BR:BR)</f>
        <v>0</v>
      </c>
      <c r="BP66">
        <f>SUMIF(RawDataRecovered!$B:$B,$A66,RawDataRecovered!BS:BS)</f>
        <v>0</v>
      </c>
      <c r="BQ66">
        <f>SUMIF(RawDataRecovered!$B:$B,$A66,RawDataRecovered!BT:BT)</f>
        <v>0</v>
      </c>
      <c r="BR66">
        <f>SUMIF(RawDataRecovered!$B:$B,$A66,RawDataRecovered!BU:BU)</f>
        <v>0</v>
      </c>
      <c r="BS66">
        <f>SUMIF(RawDataRecovered!$B:$B,$A66,RawDataRecovered!BV:BV)</f>
        <v>0</v>
      </c>
      <c r="BT66">
        <f>SUMIF(RawDataRecovered!$B:$B,$A66,RawDataRecovered!BW:BW)</f>
        <v>0</v>
      </c>
    </row>
    <row r="67" spans="1:72" ht="15" thickBot="1" x14ac:dyDescent="0.35">
      <c r="A67" s="3" t="s">
        <v>226</v>
      </c>
      <c r="B67">
        <f>SUMIF(RawDataRecovered!$B:$B,$A67,RawDataRecovered!E:E)</f>
        <v>0</v>
      </c>
      <c r="C67">
        <f>SUMIF(RawDataRecovered!$B:$B,$A67,RawDataRecovered!F:F)</f>
        <v>0</v>
      </c>
      <c r="D67">
        <f>SUMIF(RawDataRecovered!$B:$B,$A67,RawDataRecovered!G:G)</f>
        <v>0</v>
      </c>
      <c r="E67">
        <f>SUMIF(RawDataRecovered!$B:$B,$A67,RawDataRecovered!H:H)</f>
        <v>0</v>
      </c>
      <c r="F67">
        <f>SUMIF(RawDataRecovered!$B:$B,$A67,RawDataRecovered!I:I)</f>
        <v>0</v>
      </c>
      <c r="G67">
        <f>SUMIF(RawDataRecovered!$B:$B,$A67,RawDataRecovered!J:J)</f>
        <v>0</v>
      </c>
      <c r="H67">
        <f>SUMIF(RawDataRecovered!$B:$B,$A67,RawDataRecovered!K:K)</f>
        <v>0</v>
      </c>
      <c r="I67">
        <f>SUMIF(RawDataRecovered!$B:$B,$A67,RawDataRecovered!L:L)</f>
        <v>0</v>
      </c>
      <c r="J67">
        <f>SUMIF(RawDataRecovered!$B:$B,$A67,RawDataRecovered!M:M)</f>
        <v>0</v>
      </c>
      <c r="K67">
        <f>SUMIF(RawDataRecovered!$B:$B,$A67,RawDataRecovered!N:N)</f>
        <v>0</v>
      </c>
      <c r="L67">
        <f>SUMIF(RawDataRecovered!$B:$B,$A67,RawDataRecovered!O:O)</f>
        <v>0</v>
      </c>
      <c r="M67">
        <f>SUMIF(RawDataRecovered!$B:$B,$A67,RawDataRecovered!P:P)</f>
        <v>0</v>
      </c>
      <c r="N67">
        <f>SUMIF(RawDataRecovered!$B:$B,$A67,RawDataRecovered!Q:Q)</f>
        <v>0</v>
      </c>
      <c r="O67">
        <f>SUMIF(RawDataRecovered!$B:$B,$A67,RawDataRecovered!R:R)</f>
        <v>0</v>
      </c>
      <c r="P67">
        <f>SUMIF(RawDataRecovered!$B:$B,$A67,RawDataRecovered!S:S)</f>
        <v>0</v>
      </c>
      <c r="Q67">
        <f>SUMIF(RawDataRecovered!$B:$B,$A67,RawDataRecovered!T:T)</f>
        <v>0</v>
      </c>
      <c r="R67">
        <f>SUMIF(RawDataRecovered!$B:$B,$A67,RawDataRecovered!U:U)</f>
        <v>0</v>
      </c>
      <c r="S67">
        <f>SUMIF(RawDataRecovered!$B:$B,$A67,RawDataRecovered!V:V)</f>
        <v>0</v>
      </c>
      <c r="T67">
        <f>SUMIF(RawDataRecovered!$B:$B,$A67,RawDataRecovered!W:W)</f>
        <v>0</v>
      </c>
      <c r="U67">
        <f>SUMIF(RawDataRecovered!$B:$B,$A67,RawDataRecovered!X:X)</f>
        <v>0</v>
      </c>
      <c r="V67">
        <f>SUMIF(RawDataRecovered!$B:$B,$A67,RawDataRecovered!Y:Y)</f>
        <v>0</v>
      </c>
      <c r="W67">
        <f>SUMIF(RawDataRecovered!$B:$B,$A67,RawDataRecovered!Z:Z)</f>
        <v>0</v>
      </c>
      <c r="X67">
        <f>SUMIF(RawDataRecovered!$B:$B,$A67,RawDataRecovered!AA:AA)</f>
        <v>0</v>
      </c>
      <c r="Y67">
        <f>SUMIF(RawDataRecovered!$B:$B,$A67,RawDataRecovered!AB:AB)</f>
        <v>0</v>
      </c>
      <c r="Z67">
        <f>SUMIF(RawDataRecovered!$B:$B,$A67,RawDataRecovered!AC:AC)</f>
        <v>0</v>
      </c>
      <c r="AA67">
        <f>SUMIF(RawDataRecovered!$B:$B,$A67,RawDataRecovered!AD:AD)</f>
        <v>0</v>
      </c>
      <c r="AB67">
        <f>SUMIF(RawDataRecovered!$B:$B,$A67,RawDataRecovered!AE:AE)</f>
        <v>0</v>
      </c>
      <c r="AC67">
        <f>SUMIF(RawDataRecovered!$B:$B,$A67,RawDataRecovered!AF:AF)</f>
        <v>0</v>
      </c>
      <c r="AD67">
        <f>SUMIF(RawDataRecovered!$B:$B,$A67,RawDataRecovered!AG:AG)</f>
        <v>0</v>
      </c>
      <c r="AE67">
        <f>SUMIF(RawDataRecovered!$B:$B,$A67,RawDataRecovered!AH:AH)</f>
        <v>0</v>
      </c>
      <c r="AF67">
        <f>SUMIF(RawDataRecovered!$B:$B,$A67,RawDataRecovered!AI:AI)</f>
        <v>0</v>
      </c>
      <c r="AG67">
        <f>SUMIF(RawDataRecovered!$B:$B,$A67,RawDataRecovered!AJ:AJ)</f>
        <v>0</v>
      </c>
      <c r="AH67">
        <f>SUMIF(RawDataRecovered!$B:$B,$A67,RawDataRecovered!AK:AK)</f>
        <v>0</v>
      </c>
      <c r="AI67">
        <f>SUMIF(RawDataRecovered!$B:$B,$A67,RawDataRecovered!AL:AL)</f>
        <v>0</v>
      </c>
      <c r="AJ67">
        <f>SUMIF(RawDataRecovered!$B:$B,$A67,RawDataRecovered!AM:AM)</f>
        <v>0</v>
      </c>
      <c r="AK67">
        <f>SUMIF(RawDataRecovered!$B:$B,$A67,RawDataRecovered!AN:AN)</f>
        <v>0</v>
      </c>
      <c r="AL67">
        <f>SUMIF(RawDataRecovered!$B:$B,$A67,RawDataRecovered!AO:AO)</f>
        <v>0</v>
      </c>
      <c r="AM67">
        <f>SUMIF(RawDataRecovered!$B:$B,$A67,RawDataRecovered!AP:AP)</f>
        <v>0</v>
      </c>
      <c r="AN67">
        <f>SUMIF(RawDataRecovered!$B:$B,$A67,RawDataRecovered!AQ:AQ)</f>
        <v>0</v>
      </c>
      <c r="AO67">
        <f>SUMIF(RawDataRecovered!$B:$B,$A67,RawDataRecovered!AR:AR)</f>
        <v>0</v>
      </c>
      <c r="AP67">
        <f>SUMIF(RawDataRecovered!$B:$B,$A67,RawDataRecovered!AS:AS)</f>
        <v>0</v>
      </c>
      <c r="AQ67">
        <f>SUMIF(RawDataRecovered!$B:$B,$A67,RawDataRecovered!AT:AT)</f>
        <v>0</v>
      </c>
      <c r="AR67">
        <f>SUMIF(RawDataRecovered!$B:$B,$A67,RawDataRecovered!AU:AU)</f>
        <v>0</v>
      </c>
      <c r="AS67">
        <f>SUMIF(RawDataRecovered!$B:$B,$A67,RawDataRecovered!AV:AV)</f>
        <v>0</v>
      </c>
      <c r="AT67">
        <f>SUMIF(RawDataRecovered!$B:$B,$A67,RawDataRecovered!AW:AW)</f>
        <v>0</v>
      </c>
      <c r="AU67">
        <f>SUMIF(RawDataRecovered!$B:$B,$A67,RawDataRecovered!AX:AX)</f>
        <v>0</v>
      </c>
      <c r="AV67">
        <f>SUMIF(RawDataRecovered!$B:$B,$A67,RawDataRecovered!AY:AY)</f>
        <v>0</v>
      </c>
      <c r="AW67">
        <f>SUMIF(RawDataRecovered!$B:$B,$A67,RawDataRecovered!AZ:AZ)</f>
        <v>0</v>
      </c>
      <c r="AX67">
        <f>SUMIF(RawDataRecovered!$B:$B,$A67,RawDataRecovered!BA:BA)</f>
        <v>0</v>
      </c>
      <c r="AY67">
        <f>SUMIF(RawDataRecovered!$B:$B,$A67,RawDataRecovered!BB:BB)</f>
        <v>0</v>
      </c>
      <c r="AZ67">
        <f>SUMIF(RawDataRecovered!$B:$B,$A67,RawDataRecovered!BC:BC)</f>
        <v>0</v>
      </c>
      <c r="BA67">
        <f>SUMIF(RawDataRecovered!$B:$B,$A67,RawDataRecovered!BD:BD)</f>
        <v>0</v>
      </c>
      <c r="BB67">
        <f>SUMIF(RawDataRecovered!$B:$B,$A67,RawDataRecovered!BE:BE)</f>
        <v>0</v>
      </c>
      <c r="BC67">
        <f>SUMIF(RawDataRecovered!$B:$B,$A67,RawDataRecovered!BF:BF)</f>
        <v>0</v>
      </c>
      <c r="BD67">
        <f>SUMIF(RawDataRecovered!$B:$B,$A67,RawDataRecovered!BG:BG)</f>
        <v>0</v>
      </c>
      <c r="BE67">
        <f>SUMIF(RawDataRecovered!$B:$B,$A67,RawDataRecovered!BH:BH)</f>
        <v>0</v>
      </c>
      <c r="BF67">
        <f>SUMIF(RawDataRecovered!$B:$B,$A67,RawDataRecovered!BI:BI)</f>
        <v>0</v>
      </c>
      <c r="BG67">
        <f>SUMIF(RawDataRecovered!$B:$B,$A67,RawDataRecovered!BJ:BJ)</f>
        <v>0</v>
      </c>
      <c r="BH67">
        <f>SUMIF(RawDataRecovered!$B:$B,$A67,RawDataRecovered!BK:BK)</f>
        <v>0</v>
      </c>
      <c r="BI67">
        <f>SUMIF(RawDataRecovered!$B:$B,$A67,RawDataRecovered!BL:BL)</f>
        <v>0</v>
      </c>
      <c r="BJ67">
        <f>SUMIF(RawDataRecovered!$B:$B,$A67,RawDataRecovered!BM:BM)</f>
        <v>0</v>
      </c>
      <c r="BK67">
        <f>SUMIF(RawDataRecovered!$B:$B,$A67,RawDataRecovered!BN:BN)</f>
        <v>0</v>
      </c>
      <c r="BL67">
        <f>SUMIF(RawDataRecovered!$B:$B,$A67,RawDataRecovered!BO:BO)</f>
        <v>0</v>
      </c>
      <c r="BM67">
        <f>SUMIF(RawDataRecovered!$B:$B,$A67,RawDataRecovered!BP:BP)</f>
        <v>0</v>
      </c>
      <c r="BN67">
        <f>SUMIF(RawDataRecovered!$B:$B,$A67,RawDataRecovered!BQ:BQ)</f>
        <v>0</v>
      </c>
      <c r="BO67">
        <f>SUMIF(RawDataRecovered!$B:$B,$A67,RawDataRecovered!BR:BR)</f>
        <v>0</v>
      </c>
      <c r="BP67">
        <f>SUMIF(RawDataRecovered!$B:$B,$A67,RawDataRecovered!BS:BS)</f>
        <v>0</v>
      </c>
      <c r="BQ67">
        <f>SUMIF(RawDataRecovered!$B:$B,$A67,RawDataRecovered!BT:BT)</f>
        <v>0</v>
      </c>
      <c r="BR67">
        <f>SUMIF(RawDataRecovered!$B:$B,$A67,RawDataRecovered!BU:BU)</f>
        <v>0</v>
      </c>
      <c r="BS67">
        <f>SUMIF(RawDataRecovered!$B:$B,$A67,RawDataRecovered!BV:BV)</f>
        <v>0</v>
      </c>
      <c r="BT67">
        <f>SUMIF(RawDataRecovered!$B:$B,$A67,RawDataRecovered!BW:BW)</f>
        <v>0</v>
      </c>
    </row>
    <row r="68" spans="1:72" ht="15" thickBot="1" x14ac:dyDescent="0.35">
      <c r="A68" s="3" t="s">
        <v>186</v>
      </c>
      <c r="B68">
        <f>SUMIF(RawDataRecovered!$B:$B,$A68,RawDataRecovered!E:E)</f>
        <v>0</v>
      </c>
      <c r="C68">
        <f>SUMIF(RawDataRecovered!$B:$B,$A68,RawDataRecovered!F:F)</f>
        <v>0</v>
      </c>
      <c r="D68">
        <f>SUMIF(RawDataRecovered!$B:$B,$A68,RawDataRecovered!G:G)</f>
        <v>0</v>
      </c>
      <c r="E68">
        <f>SUMIF(RawDataRecovered!$B:$B,$A68,RawDataRecovered!H:H)</f>
        <v>0</v>
      </c>
      <c r="F68">
        <f>SUMIF(RawDataRecovered!$B:$B,$A68,RawDataRecovered!I:I)</f>
        <v>0</v>
      </c>
      <c r="G68">
        <f>SUMIF(RawDataRecovered!$B:$B,$A68,RawDataRecovered!J:J)</f>
        <v>0</v>
      </c>
      <c r="H68">
        <f>SUMIF(RawDataRecovered!$B:$B,$A68,RawDataRecovered!K:K)</f>
        <v>0</v>
      </c>
      <c r="I68">
        <f>SUMIF(RawDataRecovered!$B:$B,$A68,RawDataRecovered!L:L)</f>
        <v>0</v>
      </c>
      <c r="J68">
        <f>SUMIF(RawDataRecovered!$B:$B,$A68,RawDataRecovered!M:M)</f>
        <v>0</v>
      </c>
      <c r="K68">
        <f>SUMIF(RawDataRecovered!$B:$B,$A68,RawDataRecovered!N:N)</f>
        <v>0</v>
      </c>
      <c r="L68">
        <f>SUMIF(RawDataRecovered!$B:$B,$A68,RawDataRecovered!O:O)</f>
        <v>0</v>
      </c>
      <c r="M68">
        <f>SUMIF(RawDataRecovered!$B:$B,$A68,RawDataRecovered!P:P)</f>
        <v>0</v>
      </c>
      <c r="N68">
        <f>SUMIF(RawDataRecovered!$B:$B,$A68,RawDataRecovered!Q:Q)</f>
        <v>0</v>
      </c>
      <c r="O68">
        <f>SUMIF(RawDataRecovered!$B:$B,$A68,RawDataRecovered!R:R)</f>
        <v>0</v>
      </c>
      <c r="P68">
        <f>SUMIF(RawDataRecovered!$B:$B,$A68,RawDataRecovered!S:S)</f>
        <v>0</v>
      </c>
      <c r="Q68">
        <f>SUMIF(RawDataRecovered!$B:$B,$A68,RawDataRecovered!T:T)</f>
        <v>0</v>
      </c>
      <c r="R68">
        <f>SUMIF(RawDataRecovered!$B:$B,$A68,RawDataRecovered!U:U)</f>
        <v>0</v>
      </c>
      <c r="S68">
        <f>SUMIF(RawDataRecovered!$B:$B,$A68,RawDataRecovered!V:V)</f>
        <v>0</v>
      </c>
      <c r="T68">
        <f>SUMIF(RawDataRecovered!$B:$B,$A68,RawDataRecovered!W:W)</f>
        <v>0</v>
      </c>
      <c r="U68">
        <f>SUMIF(RawDataRecovered!$B:$B,$A68,RawDataRecovered!X:X)</f>
        <v>0</v>
      </c>
      <c r="V68">
        <f>SUMIF(RawDataRecovered!$B:$B,$A68,RawDataRecovered!Y:Y)</f>
        <v>0</v>
      </c>
      <c r="W68">
        <f>SUMIF(RawDataRecovered!$B:$B,$A68,RawDataRecovered!Z:Z)</f>
        <v>0</v>
      </c>
      <c r="X68">
        <f>SUMIF(RawDataRecovered!$B:$B,$A68,RawDataRecovered!AA:AA)</f>
        <v>0</v>
      </c>
      <c r="Y68">
        <f>SUMIF(RawDataRecovered!$B:$B,$A68,RawDataRecovered!AB:AB)</f>
        <v>0</v>
      </c>
      <c r="Z68">
        <f>SUMIF(RawDataRecovered!$B:$B,$A68,RawDataRecovered!AC:AC)</f>
        <v>0</v>
      </c>
      <c r="AA68">
        <f>SUMIF(RawDataRecovered!$B:$B,$A68,RawDataRecovered!AD:AD)</f>
        <v>0</v>
      </c>
      <c r="AB68">
        <f>SUMIF(RawDataRecovered!$B:$B,$A68,RawDataRecovered!AE:AE)</f>
        <v>0</v>
      </c>
      <c r="AC68">
        <f>SUMIF(RawDataRecovered!$B:$B,$A68,RawDataRecovered!AF:AF)</f>
        <v>0</v>
      </c>
      <c r="AD68">
        <f>SUMIF(RawDataRecovered!$B:$B,$A68,RawDataRecovered!AG:AG)</f>
        <v>0</v>
      </c>
      <c r="AE68">
        <f>SUMIF(RawDataRecovered!$B:$B,$A68,RawDataRecovered!AH:AH)</f>
        <v>0</v>
      </c>
      <c r="AF68">
        <f>SUMIF(RawDataRecovered!$B:$B,$A68,RawDataRecovered!AI:AI)</f>
        <v>0</v>
      </c>
      <c r="AG68">
        <f>SUMIF(RawDataRecovered!$B:$B,$A68,RawDataRecovered!AJ:AJ)</f>
        <v>0</v>
      </c>
      <c r="AH68">
        <f>SUMIF(RawDataRecovered!$B:$B,$A68,RawDataRecovered!AK:AK)</f>
        <v>0</v>
      </c>
      <c r="AI68">
        <f>SUMIF(RawDataRecovered!$B:$B,$A68,RawDataRecovered!AL:AL)</f>
        <v>0</v>
      </c>
      <c r="AJ68">
        <f>SUMIF(RawDataRecovered!$B:$B,$A68,RawDataRecovered!AM:AM)</f>
        <v>0</v>
      </c>
      <c r="AK68">
        <f>SUMIF(RawDataRecovered!$B:$B,$A68,RawDataRecovered!AN:AN)</f>
        <v>0</v>
      </c>
      <c r="AL68">
        <f>SUMIF(RawDataRecovered!$B:$B,$A68,RawDataRecovered!AO:AO)</f>
        <v>0</v>
      </c>
      <c r="AM68">
        <f>SUMIF(RawDataRecovered!$B:$B,$A68,RawDataRecovered!AP:AP)</f>
        <v>0</v>
      </c>
      <c r="AN68">
        <f>SUMIF(RawDataRecovered!$B:$B,$A68,RawDataRecovered!AQ:AQ)</f>
        <v>0</v>
      </c>
      <c r="AO68">
        <f>SUMIF(RawDataRecovered!$B:$B,$A68,RawDataRecovered!AR:AR)</f>
        <v>0</v>
      </c>
      <c r="AP68">
        <f>SUMIF(RawDataRecovered!$B:$B,$A68,RawDataRecovered!AS:AS)</f>
        <v>0</v>
      </c>
      <c r="AQ68">
        <f>SUMIF(RawDataRecovered!$B:$B,$A68,RawDataRecovered!AT:AT)</f>
        <v>0</v>
      </c>
      <c r="AR68">
        <f>SUMIF(RawDataRecovered!$B:$B,$A68,RawDataRecovered!AU:AU)</f>
        <v>0</v>
      </c>
      <c r="AS68">
        <f>SUMIF(RawDataRecovered!$B:$B,$A68,RawDataRecovered!AV:AV)</f>
        <v>0</v>
      </c>
      <c r="AT68">
        <f>SUMIF(RawDataRecovered!$B:$B,$A68,RawDataRecovered!AW:AW)</f>
        <v>0</v>
      </c>
      <c r="AU68">
        <f>SUMIF(RawDataRecovered!$B:$B,$A68,RawDataRecovered!AX:AX)</f>
        <v>0</v>
      </c>
      <c r="AV68">
        <f>SUMIF(RawDataRecovered!$B:$B,$A68,RawDataRecovered!AY:AY)</f>
        <v>0</v>
      </c>
      <c r="AW68">
        <f>SUMIF(RawDataRecovered!$B:$B,$A68,RawDataRecovered!AZ:AZ)</f>
        <v>0</v>
      </c>
      <c r="AX68">
        <f>SUMIF(RawDataRecovered!$B:$B,$A68,RawDataRecovered!BA:BA)</f>
        <v>0</v>
      </c>
      <c r="AY68">
        <f>SUMIF(RawDataRecovered!$B:$B,$A68,RawDataRecovered!BB:BB)</f>
        <v>0</v>
      </c>
      <c r="AZ68">
        <f>SUMIF(RawDataRecovered!$B:$B,$A68,RawDataRecovered!BC:BC)</f>
        <v>0</v>
      </c>
      <c r="BA68">
        <f>SUMIF(RawDataRecovered!$B:$B,$A68,RawDataRecovered!BD:BD)</f>
        <v>0</v>
      </c>
      <c r="BB68">
        <f>SUMIF(RawDataRecovered!$B:$B,$A68,RawDataRecovered!BE:BE)</f>
        <v>0</v>
      </c>
      <c r="BC68">
        <f>SUMIF(RawDataRecovered!$B:$B,$A68,RawDataRecovered!BF:BF)</f>
        <v>0</v>
      </c>
      <c r="BD68">
        <f>SUMIF(RawDataRecovered!$B:$B,$A68,RawDataRecovered!BG:BG)</f>
        <v>0</v>
      </c>
      <c r="BE68">
        <f>SUMIF(RawDataRecovered!$B:$B,$A68,RawDataRecovered!BH:BH)</f>
        <v>0</v>
      </c>
      <c r="BF68">
        <f>SUMIF(RawDataRecovered!$B:$B,$A68,RawDataRecovered!BI:BI)</f>
        <v>0</v>
      </c>
      <c r="BG68">
        <f>SUMIF(RawDataRecovered!$B:$B,$A68,RawDataRecovered!BJ:BJ)</f>
        <v>0</v>
      </c>
      <c r="BH68">
        <f>SUMIF(RawDataRecovered!$B:$B,$A68,RawDataRecovered!BK:BK)</f>
        <v>0</v>
      </c>
      <c r="BI68">
        <f>SUMIF(RawDataRecovered!$B:$B,$A68,RawDataRecovered!BL:BL)</f>
        <v>0</v>
      </c>
      <c r="BJ68">
        <f>SUMIF(RawDataRecovered!$B:$B,$A68,RawDataRecovered!BM:BM)</f>
        <v>0</v>
      </c>
      <c r="BK68">
        <f>SUMIF(RawDataRecovered!$B:$B,$A68,RawDataRecovered!BN:BN)</f>
        <v>0</v>
      </c>
      <c r="BL68">
        <f>SUMIF(RawDataRecovered!$B:$B,$A68,RawDataRecovered!BO:BO)</f>
        <v>0</v>
      </c>
      <c r="BM68">
        <f>SUMIF(RawDataRecovered!$B:$B,$A68,RawDataRecovered!BP:BP)</f>
        <v>0</v>
      </c>
      <c r="BN68">
        <f>SUMIF(RawDataRecovered!$B:$B,$A68,RawDataRecovered!BQ:BQ)</f>
        <v>0</v>
      </c>
      <c r="BO68">
        <f>SUMIF(RawDataRecovered!$B:$B,$A68,RawDataRecovered!BR:BR)</f>
        <v>0</v>
      </c>
      <c r="BP68">
        <f>SUMIF(RawDataRecovered!$B:$B,$A68,RawDataRecovered!BS:BS)</f>
        <v>0</v>
      </c>
      <c r="BQ68">
        <f>SUMIF(RawDataRecovered!$B:$B,$A68,RawDataRecovered!BT:BT)</f>
        <v>0</v>
      </c>
      <c r="BR68">
        <f>SUMIF(RawDataRecovered!$B:$B,$A68,RawDataRecovered!BU:BU)</f>
        <v>0</v>
      </c>
      <c r="BS68">
        <f>SUMIF(RawDataRecovered!$B:$B,$A68,RawDataRecovered!BV:BV)</f>
        <v>0</v>
      </c>
      <c r="BT68">
        <f>SUMIF(RawDataRecovered!$B:$B,$A68,RawDataRecovered!BW:BW)</f>
        <v>0</v>
      </c>
    </row>
    <row r="69" spans="1:72" ht="15" thickBot="1" x14ac:dyDescent="0.35">
      <c r="A69" s="4" t="s">
        <v>159</v>
      </c>
      <c r="B69">
        <f>SUMIF(RawDataRecovered!$B:$B,$A69,RawDataRecovered!E:E)</f>
        <v>0</v>
      </c>
      <c r="C69">
        <f>SUMIF(RawDataRecovered!$B:$B,$A69,RawDataRecovered!F:F)</f>
        <v>0</v>
      </c>
      <c r="D69">
        <f>SUMIF(RawDataRecovered!$B:$B,$A69,RawDataRecovered!G:G)</f>
        <v>0</v>
      </c>
      <c r="E69">
        <f>SUMIF(RawDataRecovered!$B:$B,$A69,RawDataRecovered!H:H)</f>
        <v>0</v>
      </c>
      <c r="F69">
        <f>SUMIF(RawDataRecovered!$B:$B,$A69,RawDataRecovered!I:I)</f>
        <v>0</v>
      </c>
      <c r="G69">
        <f>SUMIF(RawDataRecovered!$B:$B,$A69,RawDataRecovered!J:J)</f>
        <v>0</v>
      </c>
      <c r="H69">
        <f>SUMIF(RawDataRecovered!$B:$B,$A69,RawDataRecovered!K:K)</f>
        <v>0</v>
      </c>
      <c r="I69">
        <f>SUMIF(RawDataRecovered!$B:$B,$A69,RawDataRecovered!L:L)</f>
        <v>0</v>
      </c>
      <c r="J69">
        <f>SUMIF(RawDataRecovered!$B:$B,$A69,RawDataRecovered!M:M)</f>
        <v>0</v>
      </c>
      <c r="K69">
        <f>SUMIF(RawDataRecovered!$B:$B,$A69,RawDataRecovered!N:N)</f>
        <v>0</v>
      </c>
      <c r="L69">
        <f>SUMIF(RawDataRecovered!$B:$B,$A69,RawDataRecovered!O:O)</f>
        <v>0</v>
      </c>
      <c r="M69">
        <f>SUMIF(RawDataRecovered!$B:$B,$A69,RawDataRecovered!P:P)</f>
        <v>0</v>
      </c>
      <c r="N69">
        <f>SUMIF(RawDataRecovered!$B:$B,$A69,RawDataRecovered!Q:Q)</f>
        <v>0</v>
      </c>
      <c r="O69">
        <f>SUMIF(RawDataRecovered!$B:$B,$A69,RawDataRecovered!R:R)</f>
        <v>0</v>
      </c>
      <c r="P69">
        <f>SUMIF(RawDataRecovered!$B:$B,$A69,RawDataRecovered!S:S)</f>
        <v>0</v>
      </c>
      <c r="Q69">
        <f>SUMIF(RawDataRecovered!$B:$B,$A69,RawDataRecovered!T:T)</f>
        <v>0</v>
      </c>
      <c r="R69">
        <f>SUMIF(RawDataRecovered!$B:$B,$A69,RawDataRecovered!U:U)</f>
        <v>0</v>
      </c>
      <c r="S69">
        <f>SUMIF(RawDataRecovered!$B:$B,$A69,RawDataRecovered!V:V)</f>
        <v>0</v>
      </c>
      <c r="T69">
        <f>SUMIF(RawDataRecovered!$B:$B,$A69,RawDataRecovered!W:W)</f>
        <v>0</v>
      </c>
      <c r="U69">
        <f>SUMIF(RawDataRecovered!$B:$B,$A69,RawDataRecovered!X:X)</f>
        <v>0</v>
      </c>
      <c r="V69">
        <f>SUMIF(RawDataRecovered!$B:$B,$A69,RawDataRecovered!Y:Y)</f>
        <v>0</v>
      </c>
      <c r="W69">
        <f>SUMIF(RawDataRecovered!$B:$B,$A69,RawDataRecovered!Z:Z)</f>
        <v>0</v>
      </c>
      <c r="X69">
        <f>SUMIF(RawDataRecovered!$B:$B,$A69,RawDataRecovered!AA:AA)</f>
        <v>0</v>
      </c>
      <c r="Y69">
        <f>SUMIF(RawDataRecovered!$B:$B,$A69,RawDataRecovered!AB:AB)</f>
        <v>0</v>
      </c>
      <c r="Z69">
        <f>SUMIF(RawDataRecovered!$B:$B,$A69,RawDataRecovered!AC:AC)</f>
        <v>0</v>
      </c>
      <c r="AA69">
        <f>SUMIF(RawDataRecovered!$B:$B,$A69,RawDataRecovered!AD:AD)</f>
        <v>0</v>
      </c>
      <c r="AB69">
        <f>SUMIF(RawDataRecovered!$B:$B,$A69,RawDataRecovered!AE:AE)</f>
        <v>0</v>
      </c>
      <c r="AC69">
        <f>SUMIF(RawDataRecovered!$B:$B,$A69,RawDataRecovered!AF:AF)</f>
        <v>0</v>
      </c>
      <c r="AD69">
        <f>SUMIF(RawDataRecovered!$B:$B,$A69,RawDataRecovered!AG:AG)</f>
        <v>0</v>
      </c>
      <c r="AE69">
        <f>SUMIF(RawDataRecovered!$B:$B,$A69,RawDataRecovered!AH:AH)</f>
        <v>0</v>
      </c>
      <c r="AF69">
        <f>SUMIF(RawDataRecovered!$B:$B,$A69,RawDataRecovered!AI:AI)</f>
        <v>0</v>
      </c>
      <c r="AG69">
        <f>SUMIF(RawDataRecovered!$B:$B,$A69,RawDataRecovered!AJ:AJ)</f>
        <v>0</v>
      </c>
      <c r="AH69">
        <f>SUMIF(RawDataRecovered!$B:$B,$A69,RawDataRecovered!AK:AK)</f>
        <v>0</v>
      </c>
      <c r="AI69">
        <f>SUMIF(RawDataRecovered!$B:$B,$A69,RawDataRecovered!AL:AL)</f>
        <v>0</v>
      </c>
      <c r="AJ69">
        <f>SUMIF(RawDataRecovered!$B:$B,$A69,RawDataRecovered!AM:AM)</f>
        <v>0</v>
      </c>
      <c r="AK69">
        <f>SUMIF(RawDataRecovered!$B:$B,$A69,RawDataRecovered!AN:AN)</f>
        <v>0</v>
      </c>
      <c r="AL69">
        <f>SUMIF(RawDataRecovered!$B:$B,$A69,RawDataRecovered!AO:AO)</f>
        <v>0</v>
      </c>
      <c r="AM69">
        <f>SUMIF(RawDataRecovered!$B:$B,$A69,RawDataRecovered!AP:AP)</f>
        <v>0</v>
      </c>
      <c r="AN69">
        <f>SUMIF(RawDataRecovered!$B:$B,$A69,RawDataRecovered!AQ:AQ)</f>
        <v>0</v>
      </c>
      <c r="AO69">
        <f>SUMIF(RawDataRecovered!$B:$B,$A69,RawDataRecovered!AR:AR)</f>
        <v>0</v>
      </c>
      <c r="AP69">
        <f>SUMIF(RawDataRecovered!$B:$B,$A69,RawDataRecovered!AS:AS)</f>
        <v>0</v>
      </c>
      <c r="AQ69">
        <f>SUMIF(RawDataRecovered!$B:$B,$A69,RawDataRecovered!AT:AT)</f>
        <v>0</v>
      </c>
      <c r="AR69">
        <f>SUMIF(RawDataRecovered!$B:$B,$A69,RawDataRecovered!AU:AU)</f>
        <v>0</v>
      </c>
      <c r="AS69">
        <f>SUMIF(RawDataRecovered!$B:$B,$A69,RawDataRecovered!AV:AV)</f>
        <v>0</v>
      </c>
      <c r="AT69">
        <f>SUMIF(RawDataRecovered!$B:$B,$A69,RawDataRecovered!AW:AW)</f>
        <v>0</v>
      </c>
      <c r="AU69">
        <f>SUMIF(RawDataRecovered!$B:$B,$A69,RawDataRecovered!AX:AX)</f>
        <v>0</v>
      </c>
      <c r="AV69">
        <f>SUMIF(RawDataRecovered!$B:$B,$A69,RawDataRecovered!AY:AY)</f>
        <v>0</v>
      </c>
      <c r="AW69">
        <f>SUMIF(RawDataRecovered!$B:$B,$A69,RawDataRecovered!AZ:AZ)</f>
        <v>0</v>
      </c>
      <c r="AX69">
        <f>SUMIF(RawDataRecovered!$B:$B,$A69,RawDataRecovered!BA:BA)</f>
        <v>0</v>
      </c>
      <c r="AY69">
        <f>SUMIF(RawDataRecovered!$B:$B,$A69,RawDataRecovered!BB:BB)</f>
        <v>0</v>
      </c>
      <c r="AZ69">
        <f>SUMIF(RawDataRecovered!$B:$B,$A69,RawDataRecovered!BC:BC)</f>
        <v>0</v>
      </c>
      <c r="BA69">
        <f>SUMIF(RawDataRecovered!$B:$B,$A69,RawDataRecovered!BD:BD)</f>
        <v>0</v>
      </c>
      <c r="BB69">
        <f>SUMIF(RawDataRecovered!$B:$B,$A69,RawDataRecovered!BE:BE)</f>
        <v>1</v>
      </c>
      <c r="BC69">
        <f>SUMIF(RawDataRecovered!$B:$B,$A69,RawDataRecovered!BF:BF)</f>
        <v>1</v>
      </c>
      <c r="BD69">
        <f>SUMIF(RawDataRecovered!$B:$B,$A69,RawDataRecovered!BG:BG)</f>
        <v>1</v>
      </c>
      <c r="BE69">
        <f>SUMIF(RawDataRecovered!$B:$B,$A69,RawDataRecovered!BH:BH)</f>
        <v>2</v>
      </c>
      <c r="BF69">
        <f>SUMIF(RawDataRecovered!$B:$B,$A69,RawDataRecovered!BI:BI)</f>
        <v>0</v>
      </c>
      <c r="BG69">
        <f>SUMIF(RawDataRecovered!$B:$B,$A69,RawDataRecovered!BJ:BJ)</f>
        <v>0</v>
      </c>
      <c r="BH69">
        <f>SUMIF(RawDataRecovered!$B:$B,$A69,RawDataRecovered!BK:BK)</f>
        <v>0</v>
      </c>
      <c r="BI69">
        <f>SUMIF(RawDataRecovered!$B:$B,$A69,RawDataRecovered!BL:BL)</f>
        <v>0</v>
      </c>
      <c r="BJ69">
        <f>SUMIF(RawDataRecovered!$B:$B,$A69,RawDataRecovered!BM:BM)</f>
        <v>0</v>
      </c>
      <c r="BK69">
        <f>SUMIF(RawDataRecovered!$B:$B,$A69,RawDataRecovered!BN:BN)</f>
        <v>0</v>
      </c>
      <c r="BL69">
        <f>SUMIF(RawDataRecovered!$B:$B,$A69,RawDataRecovered!BO:BO)</f>
        <v>0</v>
      </c>
      <c r="BM69">
        <f>SUMIF(RawDataRecovered!$B:$B,$A69,RawDataRecovered!BP:BP)</f>
        <v>0</v>
      </c>
      <c r="BN69">
        <f>SUMIF(RawDataRecovered!$B:$B,$A69,RawDataRecovered!BQ:BQ)</f>
        <v>0</v>
      </c>
      <c r="BO69">
        <f>SUMIF(RawDataRecovered!$B:$B,$A69,RawDataRecovered!BR:BR)</f>
        <v>0</v>
      </c>
      <c r="BP69">
        <f>SUMIF(RawDataRecovered!$B:$B,$A69,RawDataRecovered!BS:BS)</f>
        <v>0</v>
      </c>
      <c r="BQ69">
        <f>SUMIF(RawDataRecovered!$B:$B,$A69,RawDataRecovered!BT:BT)</f>
        <v>0</v>
      </c>
      <c r="BR69">
        <f>SUMIF(RawDataRecovered!$B:$B,$A69,RawDataRecovered!BU:BU)</f>
        <v>0</v>
      </c>
      <c r="BS69">
        <f>SUMIF(RawDataRecovered!$B:$B,$A69,RawDataRecovered!BV:BV)</f>
        <v>0</v>
      </c>
      <c r="BT69">
        <f>SUMIF(RawDataRecovered!$B:$B,$A69,RawDataRecovered!BW:BW)</f>
        <v>0</v>
      </c>
    </row>
    <row r="70" spans="1:72" ht="15" thickBot="1" x14ac:dyDescent="0.35">
      <c r="A70" s="4" t="s">
        <v>98</v>
      </c>
      <c r="B70">
        <f>SUMIF(RawDataRecovered!$B:$B,$A70,RawDataRecovered!E:E)</f>
        <v>0</v>
      </c>
      <c r="C70">
        <f>SUMIF(RawDataRecovered!$B:$B,$A70,RawDataRecovered!F:F)</f>
        <v>0</v>
      </c>
      <c r="D70">
        <f>SUMIF(RawDataRecovered!$B:$B,$A70,RawDataRecovered!G:G)</f>
        <v>0</v>
      </c>
      <c r="E70">
        <f>SUMIF(RawDataRecovered!$B:$B,$A70,RawDataRecovered!H:H)</f>
        <v>0</v>
      </c>
      <c r="F70">
        <f>SUMIF(RawDataRecovered!$B:$B,$A70,RawDataRecovered!I:I)</f>
        <v>0</v>
      </c>
      <c r="G70">
        <f>SUMIF(RawDataRecovered!$B:$B,$A70,RawDataRecovered!J:J)</f>
        <v>0</v>
      </c>
      <c r="H70">
        <f>SUMIF(RawDataRecovered!$B:$B,$A70,RawDataRecovered!K:K)</f>
        <v>0</v>
      </c>
      <c r="I70">
        <f>SUMIF(RawDataRecovered!$B:$B,$A70,RawDataRecovered!L:L)</f>
        <v>0</v>
      </c>
      <c r="J70">
        <f>SUMIF(RawDataRecovered!$B:$B,$A70,RawDataRecovered!M:M)</f>
        <v>0</v>
      </c>
      <c r="K70">
        <f>SUMIF(RawDataRecovered!$B:$B,$A70,RawDataRecovered!N:N)</f>
        <v>0</v>
      </c>
      <c r="L70">
        <f>SUMIF(RawDataRecovered!$B:$B,$A70,RawDataRecovered!O:O)</f>
        <v>0</v>
      </c>
      <c r="M70">
        <f>SUMIF(RawDataRecovered!$B:$B,$A70,RawDataRecovered!P:P)</f>
        <v>0</v>
      </c>
      <c r="N70">
        <f>SUMIF(RawDataRecovered!$B:$B,$A70,RawDataRecovered!Q:Q)</f>
        <v>0</v>
      </c>
      <c r="O70">
        <f>SUMIF(RawDataRecovered!$B:$B,$A70,RawDataRecovered!R:R)</f>
        <v>0</v>
      </c>
      <c r="P70">
        <f>SUMIF(RawDataRecovered!$B:$B,$A70,RawDataRecovered!S:S)</f>
        <v>0</v>
      </c>
      <c r="Q70">
        <f>SUMIF(RawDataRecovered!$B:$B,$A70,RawDataRecovered!T:T)</f>
        <v>0</v>
      </c>
      <c r="R70">
        <f>SUMIF(RawDataRecovered!$B:$B,$A70,RawDataRecovered!U:U)</f>
        <v>0</v>
      </c>
      <c r="S70">
        <f>SUMIF(RawDataRecovered!$B:$B,$A70,RawDataRecovered!V:V)</f>
        <v>0</v>
      </c>
      <c r="T70">
        <f>SUMIF(RawDataRecovered!$B:$B,$A70,RawDataRecovered!W:W)</f>
        <v>0</v>
      </c>
      <c r="U70">
        <f>SUMIF(RawDataRecovered!$B:$B,$A70,RawDataRecovered!X:X)</f>
        <v>0</v>
      </c>
      <c r="V70">
        <f>SUMIF(RawDataRecovered!$B:$B,$A70,RawDataRecovered!Y:Y)</f>
        <v>0</v>
      </c>
      <c r="W70">
        <f>SUMIF(RawDataRecovered!$B:$B,$A70,RawDataRecovered!Z:Z)</f>
        <v>0</v>
      </c>
      <c r="X70">
        <f>SUMIF(RawDataRecovered!$B:$B,$A70,RawDataRecovered!AA:AA)</f>
        <v>0</v>
      </c>
      <c r="Y70">
        <f>SUMIF(RawDataRecovered!$B:$B,$A70,RawDataRecovered!AB:AB)</f>
        <v>0</v>
      </c>
      <c r="Z70">
        <f>SUMIF(RawDataRecovered!$B:$B,$A70,RawDataRecovered!AC:AC)</f>
        <v>0</v>
      </c>
      <c r="AA70">
        <f>SUMIF(RawDataRecovered!$B:$B,$A70,RawDataRecovered!AD:AD)</f>
        <v>0</v>
      </c>
      <c r="AB70">
        <f>SUMIF(RawDataRecovered!$B:$B,$A70,RawDataRecovered!AE:AE)</f>
        <v>0</v>
      </c>
      <c r="AC70">
        <f>SUMIF(RawDataRecovered!$B:$B,$A70,RawDataRecovered!AF:AF)</f>
        <v>0</v>
      </c>
      <c r="AD70">
        <f>SUMIF(RawDataRecovered!$B:$B,$A70,RawDataRecovered!AG:AG)</f>
        <v>0</v>
      </c>
      <c r="AE70">
        <f>SUMIF(RawDataRecovered!$B:$B,$A70,RawDataRecovered!AH:AH)</f>
        <v>0</v>
      </c>
      <c r="AF70">
        <f>SUMIF(RawDataRecovered!$B:$B,$A70,RawDataRecovered!AI:AI)</f>
        <v>0</v>
      </c>
      <c r="AG70">
        <f>SUMIF(RawDataRecovered!$B:$B,$A70,RawDataRecovered!AJ:AJ)</f>
        <v>0</v>
      </c>
      <c r="AH70">
        <f>SUMIF(RawDataRecovered!$B:$B,$A70,RawDataRecovered!AK:AK)</f>
        <v>0</v>
      </c>
      <c r="AI70">
        <f>SUMIF(RawDataRecovered!$B:$B,$A70,RawDataRecovered!AL:AL)</f>
        <v>0</v>
      </c>
      <c r="AJ70">
        <f>SUMIF(RawDataRecovered!$B:$B,$A70,RawDataRecovered!AM:AM)</f>
        <v>0</v>
      </c>
      <c r="AK70">
        <f>SUMIF(RawDataRecovered!$B:$B,$A70,RawDataRecovered!AN:AN)</f>
        <v>0</v>
      </c>
      <c r="AL70">
        <f>SUMIF(RawDataRecovered!$B:$B,$A70,RawDataRecovered!AO:AO)</f>
        <v>0</v>
      </c>
      <c r="AM70">
        <f>SUMIF(RawDataRecovered!$B:$B,$A70,RawDataRecovered!AP:AP)</f>
        <v>0</v>
      </c>
      <c r="AN70">
        <f>SUMIF(RawDataRecovered!$B:$B,$A70,RawDataRecovered!AQ:AQ)</f>
        <v>1</v>
      </c>
      <c r="AO70">
        <f>SUMIF(RawDataRecovered!$B:$B,$A70,RawDataRecovered!AR:AR)</f>
        <v>1</v>
      </c>
      <c r="AP70">
        <f>SUMIF(RawDataRecovered!$B:$B,$A70,RawDataRecovered!AS:AS)</f>
        <v>1</v>
      </c>
      <c r="AQ70">
        <f>SUMIF(RawDataRecovered!$B:$B,$A70,RawDataRecovered!AT:AT)</f>
        <v>2</v>
      </c>
      <c r="AR70">
        <f>SUMIF(RawDataRecovered!$B:$B,$A70,RawDataRecovered!AU:AU)</f>
        <v>2</v>
      </c>
      <c r="AS70">
        <f>SUMIF(RawDataRecovered!$B:$B,$A70,RawDataRecovered!AV:AV)</f>
        <v>2</v>
      </c>
      <c r="AT70">
        <f>SUMIF(RawDataRecovered!$B:$B,$A70,RawDataRecovered!AW:AW)</f>
        <v>2</v>
      </c>
      <c r="AU70">
        <f>SUMIF(RawDataRecovered!$B:$B,$A70,RawDataRecovered!AX:AX)</f>
        <v>2</v>
      </c>
      <c r="AV70">
        <f>SUMIF(RawDataRecovered!$B:$B,$A70,RawDataRecovered!AY:AY)</f>
        <v>2</v>
      </c>
      <c r="AW70">
        <f>SUMIF(RawDataRecovered!$B:$B,$A70,RawDataRecovered!AZ:AZ)</f>
        <v>2</v>
      </c>
      <c r="AX70">
        <f>SUMIF(RawDataRecovered!$B:$B,$A70,RawDataRecovered!BA:BA)</f>
        <v>9</v>
      </c>
      <c r="AY70">
        <f>SUMIF(RawDataRecovered!$B:$B,$A70,RawDataRecovered!BB:BB)</f>
        <v>9</v>
      </c>
      <c r="AZ70">
        <f>SUMIF(RawDataRecovered!$B:$B,$A70,RawDataRecovered!BC:BC)</f>
        <v>9</v>
      </c>
      <c r="BA70">
        <f>SUMIF(RawDataRecovered!$B:$B,$A70,RawDataRecovered!BD:BD)</f>
        <v>9</v>
      </c>
      <c r="BB70">
        <f>SUMIF(RawDataRecovered!$B:$B,$A70,RawDataRecovered!BE:BE)</f>
        <v>9</v>
      </c>
      <c r="BC70">
        <f>SUMIF(RawDataRecovered!$B:$B,$A70,RawDataRecovered!BF:BF)</f>
        <v>9</v>
      </c>
      <c r="BD70">
        <f>SUMIF(RawDataRecovered!$B:$B,$A70,RawDataRecovered!BG:BG)</f>
        <v>9</v>
      </c>
      <c r="BE70">
        <f>SUMIF(RawDataRecovered!$B:$B,$A70,RawDataRecovered!BH:BH)</f>
        <v>9</v>
      </c>
      <c r="BF70">
        <f>SUMIF(RawDataRecovered!$B:$B,$A70,RawDataRecovered!BI:BI)</f>
        <v>0</v>
      </c>
      <c r="BG70">
        <f>SUMIF(RawDataRecovered!$B:$B,$A70,RawDataRecovered!BJ:BJ)</f>
        <v>0</v>
      </c>
      <c r="BH70">
        <f>SUMIF(RawDataRecovered!$B:$B,$A70,RawDataRecovered!BK:BK)</f>
        <v>0</v>
      </c>
      <c r="BI70">
        <f>SUMIF(RawDataRecovered!$B:$B,$A70,RawDataRecovered!BL:BL)</f>
        <v>0</v>
      </c>
      <c r="BJ70">
        <f>SUMIF(RawDataRecovered!$B:$B,$A70,RawDataRecovered!BM:BM)</f>
        <v>0</v>
      </c>
      <c r="BK70">
        <f>SUMIF(RawDataRecovered!$B:$B,$A70,RawDataRecovered!BN:BN)</f>
        <v>0</v>
      </c>
      <c r="BL70">
        <f>SUMIF(RawDataRecovered!$B:$B,$A70,RawDataRecovered!BO:BO)</f>
        <v>0</v>
      </c>
      <c r="BM70">
        <f>SUMIF(RawDataRecovered!$B:$B,$A70,RawDataRecovered!BP:BP)</f>
        <v>0</v>
      </c>
      <c r="BN70">
        <f>SUMIF(RawDataRecovered!$B:$B,$A70,RawDataRecovered!BQ:BQ)</f>
        <v>0</v>
      </c>
      <c r="BO70">
        <f>SUMIF(RawDataRecovered!$B:$B,$A70,RawDataRecovered!BR:BR)</f>
        <v>0</v>
      </c>
      <c r="BP70">
        <f>SUMIF(RawDataRecovered!$B:$B,$A70,RawDataRecovered!BS:BS)</f>
        <v>0</v>
      </c>
      <c r="BQ70">
        <f>SUMIF(RawDataRecovered!$B:$B,$A70,RawDataRecovered!BT:BT)</f>
        <v>0</v>
      </c>
      <c r="BR70">
        <f>SUMIF(RawDataRecovered!$B:$B,$A70,RawDataRecovered!BU:BU)</f>
        <v>0</v>
      </c>
      <c r="BS70">
        <f>SUMIF(RawDataRecovered!$B:$B,$A70,RawDataRecovered!BV:BV)</f>
        <v>0</v>
      </c>
      <c r="BT70">
        <f>SUMIF(RawDataRecovered!$B:$B,$A70,RawDataRecovered!BW:BW)</f>
        <v>0</v>
      </c>
    </row>
    <row r="71" spans="1:72" ht="15" thickBot="1" x14ac:dyDescent="0.35">
      <c r="A71" s="4" t="s">
        <v>130</v>
      </c>
      <c r="B71">
        <f>SUMIF(RawDataRecovered!$B:$B,$A71,RawDataRecovered!E:E)</f>
        <v>0</v>
      </c>
      <c r="C71">
        <f>SUMIF(RawDataRecovered!$B:$B,$A71,RawDataRecovered!F:F)</f>
        <v>0</v>
      </c>
      <c r="D71">
        <f>SUMIF(RawDataRecovered!$B:$B,$A71,RawDataRecovered!G:G)</f>
        <v>0</v>
      </c>
      <c r="E71">
        <f>SUMIF(RawDataRecovered!$B:$B,$A71,RawDataRecovered!H:H)</f>
        <v>0</v>
      </c>
      <c r="F71">
        <f>SUMIF(RawDataRecovered!$B:$B,$A71,RawDataRecovered!I:I)</f>
        <v>0</v>
      </c>
      <c r="G71">
        <f>SUMIF(RawDataRecovered!$B:$B,$A71,RawDataRecovered!J:J)</f>
        <v>0</v>
      </c>
      <c r="H71">
        <f>SUMIF(RawDataRecovered!$B:$B,$A71,RawDataRecovered!K:K)</f>
        <v>0</v>
      </c>
      <c r="I71">
        <f>SUMIF(RawDataRecovered!$B:$B,$A71,RawDataRecovered!L:L)</f>
        <v>0</v>
      </c>
      <c r="J71">
        <f>SUMIF(RawDataRecovered!$B:$B,$A71,RawDataRecovered!M:M)</f>
        <v>0</v>
      </c>
      <c r="K71">
        <f>SUMIF(RawDataRecovered!$B:$B,$A71,RawDataRecovered!N:N)</f>
        <v>0</v>
      </c>
      <c r="L71">
        <f>SUMIF(RawDataRecovered!$B:$B,$A71,RawDataRecovered!O:O)</f>
        <v>0</v>
      </c>
      <c r="M71">
        <f>SUMIF(RawDataRecovered!$B:$B,$A71,RawDataRecovered!P:P)</f>
        <v>0</v>
      </c>
      <c r="N71">
        <f>SUMIF(RawDataRecovered!$B:$B,$A71,RawDataRecovered!Q:Q)</f>
        <v>0</v>
      </c>
      <c r="O71">
        <f>SUMIF(RawDataRecovered!$B:$B,$A71,RawDataRecovered!R:R)</f>
        <v>0</v>
      </c>
      <c r="P71">
        <f>SUMIF(RawDataRecovered!$B:$B,$A71,RawDataRecovered!S:S)</f>
        <v>0</v>
      </c>
      <c r="Q71">
        <f>SUMIF(RawDataRecovered!$B:$B,$A71,RawDataRecovered!T:T)</f>
        <v>0</v>
      </c>
      <c r="R71">
        <f>SUMIF(RawDataRecovered!$B:$B,$A71,RawDataRecovered!U:U)</f>
        <v>0</v>
      </c>
      <c r="S71">
        <f>SUMIF(RawDataRecovered!$B:$B,$A71,RawDataRecovered!V:V)</f>
        <v>0</v>
      </c>
      <c r="T71">
        <f>SUMIF(RawDataRecovered!$B:$B,$A71,RawDataRecovered!W:W)</f>
        <v>0</v>
      </c>
      <c r="U71">
        <f>SUMIF(RawDataRecovered!$B:$B,$A71,RawDataRecovered!X:X)</f>
        <v>0</v>
      </c>
      <c r="V71">
        <f>SUMIF(RawDataRecovered!$B:$B,$A71,RawDataRecovered!Y:Y)</f>
        <v>0</v>
      </c>
      <c r="W71">
        <f>SUMIF(RawDataRecovered!$B:$B,$A71,RawDataRecovered!Z:Z)</f>
        <v>0</v>
      </c>
      <c r="X71">
        <f>SUMIF(RawDataRecovered!$B:$B,$A71,RawDataRecovered!AA:AA)</f>
        <v>0</v>
      </c>
      <c r="Y71">
        <f>SUMIF(RawDataRecovered!$B:$B,$A71,RawDataRecovered!AB:AB)</f>
        <v>0</v>
      </c>
      <c r="Z71">
        <f>SUMIF(RawDataRecovered!$B:$B,$A71,RawDataRecovered!AC:AC)</f>
        <v>0</v>
      </c>
      <c r="AA71">
        <f>SUMIF(RawDataRecovered!$B:$B,$A71,RawDataRecovered!AD:AD)</f>
        <v>0</v>
      </c>
      <c r="AB71">
        <f>SUMIF(RawDataRecovered!$B:$B,$A71,RawDataRecovered!AE:AE)</f>
        <v>0</v>
      </c>
      <c r="AC71">
        <f>SUMIF(RawDataRecovered!$B:$B,$A71,RawDataRecovered!AF:AF)</f>
        <v>0</v>
      </c>
      <c r="AD71">
        <f>SUMIF(RawDataRecovered!$B:$B,$A71,RawDataRecovered!AG:AG)</f>
        <v>0</v>
      </c>
      <c r="AE71">
        <f>SUMIF(RawDataRecovered!$B:$B,$A71,RawDataRecovered!AH:AH)</f>
        <v>0</v>
      </c>
      <c r="AF71">
        <f>SUMIF(RawDataRecovered!$B:$B,$A71,RawDataRecovered!AI:AI)</f>
        <v>0</v>
      </c>
      <c r="AG71">
        <f>SUMIF(RawDataRecovered!$B:$B,$A71,RawDataRecovered!AJ:AJ)</f>
        <v>0</v>
      </c>
      <c r="AH71">
        <f>SUMIF(RawDataRecovered!$B:$B,$A71,RawDataRecovered!AK:AK)</f>
        <v>0</v>
      </c>
      <c r="AI71">
        <f>SUMIF(RawDataRecovered!$B:$B,$A71,RawDataRecovered!AL:AL)</f>
        <v>0</v>
      </c>
      <c r="AJ71">
        <f>SUMIF(RawDataRecovered!$B:$B,$A71,RawDataRecovered!AM:AM)</f>
        <v>0</v>
      </c>
      <c r="AK71">
        <f>SUMIF(RawDataRecovered!$B:$B,$A71,RawDataRecovered!AN:AN)</f>
        <v>0</v>
      </c>
      <c r="AL71">
        <f>SUMIF(RawDataRecovered!$B:$B,$A71,RawDataRecovered!AO:AO)</f>
        <v>0</v>
      </c>
      <c r="AM71">
        <f>SUMIF(RawDataRecovered!$B:$B,$A71,RawDataRecovered!AP:AP)</f>
        <v>0</v>
      </c>
      <c r="AN71">
        <f>SUMIF(RawDataRecovered!$B:$B,$A71,RawDataRecovered!AQ:AQ)</f>
        <v>0</v>
      </c>
      <c r="AO71">
        <f>SUMIF(RawDataRecovered!$B:$B,$A71,RawDataRecovered!AR:AR)</f>
        <v>0</v>
      </c>
      <c r="AP71">
        <f>SUMIF(RawDataRecovered!$B:$B,$A71,RawDataRecovered!AS:AS)</f>
        <v>0</v>
      </c>
      <c r="AQ71">
        <f>SUMIF(RawDataRecovered!$B:$B,$A71,RawDataRecovered!AT:AT)</f>
        <v>0</v>
      </c>
      <c r="AR71">
        <f>SUMIF(RawDataRecovered!$B:$B,$A71,RawDataRecovered!AU:AU)</f>
        <v>0</v>
      </c>
      <c r="AS71">
        <f>SUMIF(RawDataRecovered!$B:$B,$A71,RawDataRecovered!AV:AV)</f>
        <v>0</v>
      </c>
      <c r="AT71">
        <f>SUMIF(RawDataRecovered!$B:$B,$A71,RawDataRecovered!AW:AW)</f>
        <v>0</v>
      </c>
      <c r="AU71">
        <f>SUMIF(RawDataRecovered!$B:$B,$A71,RawDataRecovered!AX:AX)</f>
        <v>0</v>
      </c>
      <c r="AV71">
        <f>SUMIF(RawDataRecovered!$B:$B,$A71,RawDataRecovered!AY:AY)</f>
        <v>0</v>
      </c>
      <c r="AW71">
        <f>SUMIF(RawDataRecovered!$B:$B,$A71,RawDataRecovered!AZ:AZ)</f>
        <v>0</v>
      </c>
      <c r="AX71">
        <f>SUMIF(RawDataRecovered!$B:$B,$A71,RawDataRecovered!BA:BA)</f>
        <v>0</v>
      </c>
      <c r="AY71">
        <f>SUMIF(RawDataRecovered!$B:$B,$A71,RawDataRecovered!BB:BB)</f>
        <v>0</v>
      </c>
      <c r="AZ71">
        <f>SUMIF(RawDataRecovered!$B:$B,$A71,RawDataRecovered!BC:BC)</f>
        <v>0</v>
      </c>
      <c r="BA71">
        <f>SUMIF(RawDataRecovered!$B:$B,$A71,RawDataRecovered!BD:BD)</f>
        <v>0</v>
      </c>
      <c r="BB71">
        <f>SUMIF(RawDataRecovered!$B:$B,$A71,RawDataRecovered!BE:BE)</f>
        <v>0</v>
      </c>
      <c r="BC71">
        <f>SUMIF(RawDataRecovered!$B:$B,$A71,RawDataRecovered!BF:BF)</f>
        <v>0</v>
      </c>
      <c r="BD71">
        <f>SUMIF(RawDataRecovered!$B:$B,$A71,RawDataRecovered!BG:BG)</f>
        <v>0</v>
      </c>
      <c r="BE71">
        <f>SUMIF(RawDataRecovered!$B:$B,$A71,RawDataRecovered!BH:BH)</f>
        <v>0</v>
      </c>
      <c r="BF71">
        <f>SUMIF(RawDataRecovered!$B:$B,$A71,RawDataRecovered!BI:BI)</f>
        <v>0</v>
      </c>
      <c r="BG71">
        <f>SUMIF(RawDataRecovered!$B:$B,$A71,RawDataRecovered!BJ:BJ)</f>
        <v>0</v>
      </c>
      <c r="BH71">
        <f>SUMIF(RawDataRecovered!$B:$B,$A71,RawDataRecovered!BK:BK)</f>
        <v>0</v>
      </c>
      <c r="BI71">
        <f>SUMIF(RawDataRecovered!$B:$B,$A71,RawDataRecovered!BL:BL)</f>
        <v>0</v>
      </c>
      <c r="BJ71">
        <f>SUMIF(RawDataRecovered!$B:$B,$A71,RawDataRecovered!BM:BM)</f>
        <v>0</v>
      </c>
      <c r="BK71">
        <f>SUMIF(RawDataRecovered!$B:$B,$A71,RawDataRecovered!BN:BN)</f>
        <v>0</v>
      </c>
      <c r="BL71">
        <f>SUMIF(RawDataRecovered!$B:$B,$A71,RawDataRecovered!BO:BO)</f>
        <v>0</v>
      </c>
      <c r="BM71">
        <f>SUMIF(RawDataRecovered!$B:$B,$A71,RawDataRecovered!BP:BP)</f>
        <v>0</v>
      </c>
      <c r="BN71">
        <f>SUMIF(RawDataRecovered!$B:$B,$A71,RawDataRecovered!BQ:BQ)</f>
        <v>0</v>
      </c>
      <c r="BO71">
        <f>SUMIF(RawDataRecovered!$B:$B,$A71,RawDataRecovered!BR:BR)</f>
        <v>0</v>
      </c>
      <c r="BP71">
        <f>SUMIF(RawDataRecovered!$B:$B,$A71,RawDataRecovered!BS:BS)</f>
        <v>0</v>
      </c>
      <c r="BQ71">
        <f>SUMIF(RawDataRecovered!$B:$B,$A71,RawDataRecovered!BT:BT)</f>
        <v>0</v>
      </c>
      <c r="BR71">
        <f>SUMIF(RawDataRecovered!$B:$B,$A71,RawDataRecovered!BU:BU)</f>
        <v>0</v>
      </c>
      <c r="BS71">
        <f>SUMIF(RawDataRecovered!$B:$B,$A71,RawDataRecovered!BV:BV)</f>
        <v>0</v>
      </c>
      <c r="BT71">
        <f>SUMIF(RawDataRecovered!$B:$B,$A71,RawDataRecovered!BW:BW)</f>
        <v>0</v>
      </c>
    </row>
    <row r="72" spans="1:72" ht="15" thickBot="1" x14ac:dyDescent="0.35">
      <c r="A72" s="4" t="s">
        <v>138</v>
      </c>
      <c r="B72">
        <f>SUMIF(RawDataRecovered!$B:$B,$A72,RawDataRecovered!E:E)</f>
        <v>0</v>
      </c>
      <c r="C72">
        <f>SUMIF(RawDataRecovered!$B:$B,$A72,RawDataRecovered!F:F)</f>
        <v>0</v>
      </c>
      <c r="D72">
        <f>SUMIF(RawDataRecovered!$B:$B,$A72,RawDataRecovered!G:G)</f>
        <v>0</v>
      </c>
      <c r="E72">
        <f>SUMIF(RawDataRecovered!$B:$B,$A72,RawDataRecovered!H:H)</f>
        <v>0</v>
      </c>
      <c r="F72">
        <f>SUMIF(RawDataRecovered!$B:$B,$A72,RawDataRecovered!I:I)</f>
        <v>0</v>
      </c>
      <c r="G72">
        <f>SUMIF(RawDataRecovered!$B:$B,$A72,RawDataRecovered!J:J)</f>
        <v>0</v>
      </c>
      <c r="H72">
        <f>SUMIF(RawDataRecovered!$B:$B,$A72,RawDataRecovered!K:K)</f>
        <v>0</v>
      </c>
      <c r="I72">
        <f>SUMIF(RawDataRecovered!$B:$B,$A72,RawDataRecovered!L:L)</f>
        <v>0</v>
      </c>
      <c r="J72">
        <f>SUMIF(RawDataRecovered!$B:$B,$A72,RawDataRecovered!M:M)</f>
        <v>0</v>
      </c>
      <c r="K72">
        <f>SUMIF(RawDataRecovered!$B:$B,$A72,RawDataRecovered!N:N)</f>
        <v>0</v>
      </c>
      <c r="L72">
        <f>SUMIF(RawDataRecovered!$B:$B,$A72,RawDataRecovered!O:O)</f>
        <v>0</v>
      </c>
      <c r="M72">
        <f>SUMIF(RawDataRecovered!$B:$B,$A72,RawDataRecovered!P:P)</f>
        <v>0</v>
      </c>
      <c r="N72">
        <f>SUMIF(RawDataRecovered!$B:$B,$A72,RawDataRecovered!Q:Q)</f>
        <v>0</v>
      </c>
      <c r="O72">
        <f>SUMIF(RawDataRecovered!$B:$B,$A72,RawDataRecovered!R:R)</f>
        <v>0</v>
      </c>
      <c r="P72">
        <f>SUMIF(RawDataRecovered!$B:$B,$A72,RawDataRecovered!S:S)</f>
        <v>0</v>
      </c>
      <c r="Q72">
        <f>SUMIF(RawDataRecovered!$B:$B,$A72,RawDataRecovered!T:T)</f>
        <v>0</v>
      </c>
      <c r="R72">
        <f>SUMIF(RawDataRecovered!$B:$B,$A72,RawDataRecovered!U:U)</f>
        <v>0</v>
      </c>
      <c r="S72">
        <f>SUMIF(RawDataRecovered!$B:$B,$A72,RawDataRecovered!V:V)</f>
        <v>0</v>
      </c>
      <c r="T72">
        <f>SUMIF(RawDataRecovered!$B:$B,$A72,RawDataRecovered!W:W)</f>
        <v>0</v>
      </c>
      <c r="U72">
        <f>SUMIF(RawDataRecovered!$B:$B,$A72,RawDataRecovered!X:X)</f>
        <v>0</v>
      </c>
      <c r="V72">
        <f>SUMIF(RawDataRecovered!$B:$B,$A72,RawDataRecovered!Y:Y)</f>
        <v>0</v>
      </c>
      <c r="W72">
        <f>SUMIF(RawDataRecovered!$B:$B,$A72,RawDataRecovered!Z:Z)</f>
        <v>0</v>
      </c>
      <c r="X72">
        <f>SUMIF(RawDataRecovered!$B:$B,$A72,RawDataRecovered!AA:AA)</f>
        <v>0</v>
      </c>
      <c r="Y72">
        <f>SUMIF(RawDataRecovered!$B:$B,$A72,RawDataRecovered!AB:AB)</f>
        <v>0</v>
      </c>
      <c r="Z72">
        <f>SUMIF(RawDataRecovered!$B:$B,$A72,RawDataRecovered!AC:AC)</f>
        <v>0</v>
      </c>
      <c r="AA72">
        <f>SUMIF(RawDataRecovered!$B:$B,$A72,RawDataRecovered!AD:AD)</f>
        <v>0</v>
      </c>
      <c r="AB72">
        <f>SUMIF(RawDataRecovered!$B:$B,$A72,RawDataRecovered!AE:AE)</f>
        <v>0</v>
      </c>
      <c r="AC72">
        <f>SUMIF(RawDataRecovered!$B:$B,$A72,RawDataRecovered!AF:AF)</f>
        <v>0</v>
      </c>
      <c r="AD72">
        <f>SUMIF(RawDataRecovered!$B:$B,$A72,RawDataRecovered!AG:AG)</f>
        <v>0</v>
      </c>
      <c r="AE72">
        <f>SUMIF(RawDataRecovered!$B:$B,$A72,RawDataRecovered!AH:AH)</f>
        <v>0</v>
      </c>
      <c r="AF72">
        <f>SUMIF(RawDataRecovered!$B:$B,$A72,RawDataRecovered!AI:AI)</f>
        <v>0</v>
      </c>
      <c r="AG72">
        <f>SUMIF(RawDataRecovered!$B:$B,$A72,RawDataRecovered!AJ:AJ)</f>
        <v>0</v>
      </c>
      <c r="AH72">
        <f>SUMIF(RawDataRecovered!$B:$B,$A72,RawDataRecovered!AK:AK)</f>
        <v>0</v>
      </c>
      <c r="AI72">
        <f>SUMIF(RawDataRecovered!$B:$B,$A72,RawDataRecovered!AL:AL)</f>
        <v>0</v>
      </c>
      <c r="AJ72">
        <f>SUMIF(RawDataRecovered!$B:$B,$A72,RawDataRecovered!AM:AM)</f>
        <v>0</v>
      </c>
      <c r="AK72">
        <f>SUMIF(RawDataRecovered!$B:$B,$A72,RawDataRecovered!AN:AN)</f>
        <v>0</v>
      </c>
      <c r="AL72">
        <f>SUMIF(RawDataRecovered!$B:$B,$A72,RawDataRecovered!AO:AO)</f>
        <v>0</v>
      </c>
      <c r="AM72">
        <f>SUMIF(RawDataRecovered!$B:$B,$A72,RawDataRecovered!AP:AP)</f>
        <v>0</v>
      </c>
      <c r="AN72">
        <f>SUMIF(RawDataRecovered!$B:$B,$A72,RawDataRecovered!AQ:AQ)</f>
        <v>0</v>
      </c>
      <c r="AO72">
        <f>SUMIF(RawDataRecovered!$B:$B,$A72,RawDataRecovered!AR:AR)</f>
        <v>0</v>
      </c>
      <c r="AP72">
        <f>SUMIF(RawDataRecovered!$B:$B,$A72,RawDataRecovered!AS:AS)</f>
        <v>0</v>
      </c>
      <c r="AQ72">
        <f>SUMIF(RawDataRecovered!$B:$B,$A72,RawDataRecovered!AT:AT)</f>
        <v>0</v>
      </c>
      <c r="AR72">
        <f>SUMIF(RawDataRecovered!$B:$B,$A72,RawDataRecovered!AU:AU)</f>
        <v>0</v>
      </c>
      <c r="AS72">
        <f>SUMIF(RawDataRecovered!$B:$B,$A72,RawDataRecovered!AV:AV)</f>
        <v>0</v>
      </c>
      <c r="AT72">
        <f>SUMIF(RawDataRecovered!$B:$B,$A72,RawDataRecovered!AW:AW)</f>
        <v>0</v>
      </c>
      <c r="AU72">
        <f>SUMIF(RawDataRecovered!$B:$B,$A72,RawDataRecovered!AX:AX)</f>
        <v>0</v>
      </c>
      <c r="AV72">
        <f>SUMIF(RawDataRecovered!$B:$B,$A72,RawDataRecovered!AY:AY)</f>
        <v>0</v>
      </c>
      <c r="AW72">
        <f>SUMIF(RawDataRecovered!$B:$B,$A72,RawDataRecovered!AZ:AZ)</f>
        <v>0</v>
      </c>
      <c r="AX72">
        <f>SUMIF(RawDataRecovered!$B:$B,$A72,RawDataRecovered!BA:BA)</f>
        <v>1</v>
      </c>
      <c r="AY72">
        <f>SUMIF(RawDataRecovered!$B:$B,$A72,RawDataRecovered!BB:BB)</f>
        <v>1</v>
      </c>
      <c r="AZ72">
        <f>SUMIF(RawDataRecovered!$B:$B,$A72,RawDataRecovered!BC:BC)</f>
        <v>1</v>
      </c>
      <c r="BA72">
        <f>SUMIF(RawDataRecovered!$B:$B,$A72,RawDataRecovered!BD:BD)</f>
        <v>1</v>
      </c>
      <c r="BB72">
        <f>SUMIF(RawDataRecovered!$B:$B,$A72,RawDataRecovered!BE:BE)</f>
        <v>1</v>
      </c>
      <c r="BC72">
        <f>SUMIF(RawDataRecovered!$B:$B,$A72,RawDataRecovered!BF:BF)</f>
        <v>1</v>
      </c>
      <c r="BD72">
        <f>SUMIF(RawDataRecovered!$B:$B,$A72,RawDataRecovered!BG:BG)</f>
        <v>1</v>
      </c>
      <c r="BE72">
        <f>SUMIF(RawDataRecovered!$B:$B,$A72,RawDataRecovered!BH:BH)</f>
        <v>1</v>
      </c>
      <c r="BF72">
        <f>SUMIF(RawDataRecovered!$B:$B,$A72,RawDataRecovered!BI:BI)</f>
        <v>0</v>
      </c>
      <c r="BG72">
        <f>SUMIF(RawDataRecovered!$B:$B,$A72,RawDataRecovered!BJ:BJ)</f>
        <v>0</v>
      </c>
      <c r="BH72">
        <f>SUMIF(RawDataRecovered!$B:$B,$A72,RawDataRecovered!BK:BK)</f>
        <v>0</v>
      </c>
      <c r="BI72">
        <f>SUMIF(RawDataRecovered!$B:$B,$A72,RawDataRecovered!BL:BL)</f>
        <v>0</v>
      </c>
      <c r="BJ72">
        <f>SUMIF(RawDataRecovered!$B:$B,$A72,RawDataRecovered!BM:BM)</f>
        <v>0</v>
      </c>
      <c r="BK72">
        <f>SUMIF(RawDataRecovered!$B:$B,$A72,RawDataRecovered!BN:BN)</f>
        <v>0</v>
      </c>
      <c r="BL72">
        <f>SUMIF(RawDataRecovered!$B:$B,$A72,RawDataRecovered!BO:BO)</f>
        <v>0</v>
      </c>
      <c r="BM72">
        <f>SUMIF(RawDataRecovered!$B:$B,$A72,RawDataRecovered!BP:BP)</f>
        <v>0</v>
      </c>
      <c r="BN72">
        <f>SUMIF(RawDataRecovered!$B:$B,$A72,RawDataRecovered!BQ:BQ)</f>
        <v>0</v>
      </c>
      <c r="BO72">
        <f>SUMIF(RawDataRecovered!$B:$B,$A72,RawDataRecovered!BR:BR)</f>
        <v>0</v>
      </c>
      <c r="BP72">
        <f>SUMIF(RawDataRecovered!$B:$B,$A72,RawDataRecovered!BS:BS)</f>
        <v>0</v>
      </c>
      <c r="BQ72">
        <f>SUMIF(RawDataRecovered!$B:$B,$A72,RawDataRecovered!BT:BT)</f>
        <v>0</v>
      </c>
      <c r="BR72">
        <f>SUMIF(RawDataRecovered!$B:$B,$A72,RawDataRecovered!BU:BU)</f>
        <v>0</v>
      </c>
      <c r="BS72">
        <f>SUMIF(RawDataRecovered!$B:$B,$A72,RawDataRecovered!BV:BV)</f>
        <v>0</v>
      </c>
      <c r="BT72">
        <f>SUMIF(RawDataRecovered!$B:$B,$A72,RawDataRecovered!BW:BW)</f>
        <v>0</v>
      </c>
    </row>
    <row r="73" spans="1:72" ht="15" thickBot="1" x14ac:dyDescent="0.35">
      <c r="A73" s="4" t="s">
        <v>165</v>
      </c>
      <c r="B73">
        <f>SUMIF(RawDataRecovered!$B:$B,$A73,RawDataRecovered!E:E)</f>
        <v>0</v>
      </c>
      <c r="C73">
        <f>SUMIF(RawDataRecovered!$B:$B,$A73,RawDataRecovered!F:F)</f>
        <v>0</v>
      </c>
      <c r="D73">
        <f>SUMIF(RawDataRecovered!$B:$B,$A73,RawDataRecovered!G:G)</f>
        <v>0</v>
      </c>
      <c r="E73">
        <f>SUMIF(RawDataRecovered!$B:$B,$A73,RawDataRecovered!H:H)</f>
        <v>0</v>
      </c>
      <c r="F73">
        <f>SUMIF(RawDataRecovered!$B:$B,$A73,RawDataRecovered!I:I)</f>
        <v>0</v>
      </c>
      <c r="G73">
        <f>SUMIF(RawDataRecovered!$B:$B,$A73,RawDataRecovered!J:J)</f>
        <v>0</v>
      </c>
      <c r="H73">
        <f>SUMIF(RawDataRecovered!$B:$B,$A73,RawDataRecovered!K:K)</f>
        <v>0</v>
      </c>
      <c r="I73">
        <f>SUMIF(RawDataRecovered!$B:$B,$A73,RawDataRecovered!L:L)</f>
        <v>0</v>
      </c>
      <c r="J73">
        <f>SUMIF(RawDataRecovered!$B:$B,$A73,RawDataRecovered!M:M)</f>
        <v>0</v>
      </c>
      <c r="K73">
        <f>SUMIF(RawDataRecovered!$B:$B,$A73,RawDataRecovered!N:N)</f>
        <v>0</v>
      </c>
      <c r="L73">
        <f>SUMIF(RawDataRecovered!$B:$B,$A73,RawDataRecovered!O:O)</f>
        <v>0</v>
      </c>
      <c r="M73">
        <f>SUMIF(RawDataRecovered!$B:$B,$A73,RawDataRecovered!P:P)</f>
        <v>0</v>
      </c>
      <c r="N73">
        <f>SUMIF(RawDataRecovered!$B:$B,$A73,RawDataRecovered!Q:Q)</f>
        <v>0</v>
      </c>
      <c r="O73">
        <f>SUMIF(RawDataRecovered!$B:$B,$A73,RawDataRecovered!R:R)</f>
        <v>0</v>
      </c>
      <c r="P73">
        <f>SUMIF(RawDataRecovered!$B:$B,$A73,RawDataRecovered!S:S)</f>
        <v>0</v>
      </c>
      <c r="Q73">
        <f>SUMIF(RawDataRecovered!$B:$B,$A73,RawDataRecovered!T:T)</f>
        <v>0</v>
      </c>
      <c r="R73">
        <f>SUMIF(RawDataRecovered!$B:$B,$A73,RawDataRecovered!U:U)</f>
        <v>0</v>
      </c>
      <c r="S73">
        <f>SUMIF(RawDataRecovered!$B:$B,$A73,RawDataRecovered!V:V)</f>
        <v>0</v>
      </c>
      <c r="T73">
        <f>SUMIF(RawDataRecovered!$B:$B,$A73,RawDataRecovered!W:W)</f>
        <v>0</v>
      </c>
      <c r="U73">
        <f>SUMIF(RawDataRecovered!$B:$B,$A73,RawDataRecovered!X:X)</f>
        <v>0</v>
      </c>
      <c r="V73">
        <f>SUMIF(RawDataRecovered!$B:$B,$A73,RawDataRecovered!Y:Y)</f>
        <v>0</v>
      </c>
      <c r="W73">
        <f>SUMIF(RawDataRecovered!$B:$B,$A73,RawDataRecovered!Z:Z)</f>
        <v>0</v>
      </c>
      <c r="X73">
        <f>SUMIF(RawDataRecovered!$B:$B,$A73,RawDataRecovered!AA:AA)</f>
        <v>0</v>
      </c>
      <c r="Y73">
        <f>SUMIF(RawDataRecovered!$B:$B,$A73,RawDataRecovered!AB:AB)</f>
        <v>0</v>
      </c>
      <c r="Z73">
        <f>SUMIF(RawDataRecovered!$B:$B,$A73,RawDataRecovered!AC:AC)</f>
        <v>0</v>
      </c>
      <c r="AA73">
        <f>SUMIF(RawDataRecovered!$B:$B,$A73,RawDataRecovered!AD:AD)</f>
        <v>0</v>
      </c>
      <c r="AB73">
        <f>SUMIF(RawDataRecovered!$B:$B,$A73,RawDataRecovered!AE:AE)</f>
        <v>0</v>
      </c>
      <c r="AC73">
        <f>SUMIF(RawDataRecovered!$B:$B,$A73,RawDataRecovered!AF:AF)</f>
        <v>0</v>
      </c>
      <c r="AD73">
        <f>SUMIF(RawDataRecovered!$B:$B,$A73,RawDataRecovered!AG:AG)</f>
        <v>0</v>
      </c>
      <c r="AE73">
        <f>SUMIF(RawDataRecovered!$B:$B,$A73,RawDataRecovered!AH:AH)</f>
        <v>0</v>
      </c>
      <c r="AF73">
        <f>SUMIF(RawDataRecovered!$B:$B,$A73,RawDataRecovered!AI:AI)</f>
        <v>0</v>
      </c>
      <c r="AG73">
        <f>SUMIF(RawDataRecovered!$B:$B,$A73,RawDataRecovered!AJ:AJ)</f>
        <v>0</v>
      </c>
      <c r="AH73">
        <f>SUMIF(RawDataRecovered!$B:$B,$A73,RawDataRecovered!AK:AK)</f>
        <v>0</v>
      </c>
      <c r="AI73">
        <f>SUMIF(RawDataRecovered!$B:$B,$A73,RawDataRecovered!AL:AL)</f>
        <v>0</v>
      </c>
      <c r="AJ73">
        <f>SUMIF(RawDataRecovered!$B:$B,$A73,RawDataRecovered!AM:AM)</f>
        <v>0</v>
      </c>
      <c r="AK73">
        <f>SUMIF(RawDataRecovered!$B:$B,$A73,RawDataRecovered!AN:AN)</f>
        <v>0</v>
      </c>
      <c r="AL73">
        <f>SUMIF(RawDataRecovered!$B:$B,$A73,RawDataRecovered!AO:AO)</f>
        <v>0</v>
      </c>
      <c r="AM73">
        <f>SUMIF(RawDataRecovered!$B:$B,$A73,RawDataRecovered!AP:AP)</f>
        <v>0</v>
      </c>
      <c r="AN73">
        <f>SUMIF(RawDataRecovered!$B:$B,$A73,RawDataRecovered!AQ:AQ)</f>
        <v>0</v>
      </c>
      <c r="AO73">
        <f>SUMIF(RawDataRecovered!$B:$B,$A73,RawDataRecovered!AR:AR)</f>
        <v>0</v>
      </c>
      <c r="AP73">
        <f>SUMIF(RawDataRecovered!$B:$B,$A73,RawDataRecovered!AS:AS)</f>
        <v>0</v>
      </c>
      <c r="AQ73">
        <f>SUMIF(RawDataRecovered!$B:$B,$A73,RawDataRecovered!AT:AT)</f>
        <v>0</v>
      </c>
      <c r="AR73">
        <f>SUMIF(RawDataRecovered!$B:$B,$A73,RawDataRecovered!AU:AU)</f>
        <v>0</v>
      </c>
      <c r="AS73">
        <f>SUMIF(RawDataRecovered!$B:$B,$A73,RawDataRecovered!AV:AV)</f>
        <v>0</v>
      </c>
      <c r="AT73">
        <f>SUMIF(RawDataRecovered!$B:$B,$A73,RawDataRecovered!AW:AW)</f>
        <v>0</v>
      </c>
      <c r="AU73">
        <f>SUMIF(RawDataRecovered!$B:$B,$A73,RawDataRecovered!AX:AX)</f>
        <v>0</v>
      </c>
      <c r="AV73">
        <f>SUMIF(RawDataRecovered!$B:$B,$A73,RawDataRecovered!AY:AY)</f>
        <v>0</v>
      </c>
      <c r="AW73">
        <f>SUMIF(RawDataRecovered!$B:$B,$A73,RawDataRecovered!AZ:AZ)</f>
        <v>0</v>
      </c>
      <c r="AX73">
        <f>SUMIF(RawDataRecovered!$B:$B,$A73,RawDataRecovered!BA:BA)</f>
        <v>0</v>
      </c>
      <c r="AY73">
        <f>SUMIF(RawDataRecovered!$B:$B,$A73,RawDataRecovered!BB:BB)</f>
        <v>0</v>
      </c>
      <c r="AZ73">
        <f>SUMIF(RawDataRecovered!$B:$B,$A73,RawDataRecovered!BC:BC)</f>
        <v>0</v>
      </c>
      <c r="BA73">
        <f>SUMIF(RawDataRecovered!$B:$B,$A73,RawDataRecovered!BD:BD)</f>
        <v>0</v>
      </c>
      <c r="BB73">
        <f>SUMIF(RawDataRecovered!$B:$B,$A73,RawDataRecovered!BE:BE)</f>
        <v>0</v>
      </c>
      <c r="BC73">
        <f>SUMIF(RawDataRecovered!$B:$B,$A73,RawDataRecovered!BF:BF)</f>
        <v>0</v>
      </c>
      <c r="BD73">
        <f>SUMIF(RawDataRecovered!$B:$B,$A73,RawDataRecovered!BG:BG)</f>
        <v>0</v>
      </c>
      <c r="BE73">
        <f>SUMIF(RawDataRecovered!$B:$B,$A73,RawDataRecovered!BH:BH)</f>
        <v>0</v>
      </c>
      <c r="BF73">
        <f>SUMIF(RawDataRecovered!$B:$B,$A73,RawDataRecovered!BI:BI)</f>
        <v>0</v>
      </c>
      <c r="BG73">
        <f>SUMIF(RawDataRecovered!$B:$B,$A73,RawDataRecovered!BJ:BJ)</f>
        <v>0</v>
      </c>
      <c r="BH73">
        <f>SUMIF(RawDataRecovered!$B:$B,$A73,RawDataRecovered!BK:BK)</f>
        <v>0</v>
      </c>
      <c r="BI73">
        <f>SUMIF(RawDataRecovered!$B:$B,$A73,RawDataRecovered!BL:BL)</f>
        <v>0</v>
      </c>
      <c r="BJ73">
        <f>SUMIF(RawDataRecovered!$B:$B,$A73,RawDataRecovered!BM:BM)</f>
        <v>0</v>
      </c>
      <c r="BK73">
        <f>SUMIF(RawDataRecovered!$B:$B,$A73,RawDataRecovered!BN:BN)</f>
        <v>0</v>
      </c>
      <c r="BL73">
        <f>SUMIF(RawDataRecovered!$B:$B,$A73,RawDataRecovered!BO:BO)</f>
        <v>0</v>
      </c>
      <c r="BM73">
        <f>SUMIF(RawDataRecovered!$B:$B,$A73,RawDataRecovered!BP:BP)</f>
        <v>0</v>
      </c>
      <c r="BN73">
        <f>SUMIF(RawDataRecovered!$B:$B,$A73,RawDataRecovered!BQ:BQ)</f>
        <v>0</v>
      </c>
      <c r="BO73">
        <f>SUMIF(RawDataRecovered!$B:$B,$A73,RawDataRecovered!BR:BR)</f>
        <v>0</v>
      </c>
      <c r="BP73">
        <f>SUMIF(RawDataRecovered!$B:$B,$A73,RawDataRecovered!BS:BS)</f>
        <v>0</v>
      </c>
      <c r="BQ73">
        <f>SUMIF(RawDataRecovered!$B:$B,$A73,RawDataRecovered!BT:BT)</f>
        <v>0</v>
      </c>
      <c r="BR73">
        <f>SUMIF(RawDataRecovered!$B:$B,$A73,RawDataRecovered!BU:BU)</f>
        <v>0</v>
      </c>
      <c r="BS73">
        <f>SUMIF(RawDataRecovered!$B:$B,$A73,RawDataRecovered!BV:BV)</f>
        <v>0</v>
      </c>
      <c r="BT73">
        <f>SUMIF(RawDataRecovered!$B:$B,$A73,RawDataRecovered!BW:BW)</f>
        <v>0</v>
      </c>
    </row>
    <row r="74" spans="1:72" ht="15" thickBot="1" x14ac:dyDescent="0.35">
      <c r="A74" s="3" t="s">
        <v>131</v>
      </c>
      <c r="B74">
        <f>SUMIF(RawDataRecovered!$B:$B,$A74,RawDataRecovered!E:E)</f>
        <v>0</v>
      </c>
      <c r="C74">
        <f>SUMIF(RawDataRecovered!$B:$B,$A74,RawDataRecovered!F:F)</f>
        <v>0</v>
      </c>
      <c r="D74">
        <f>SUMIF(RawDataRecovered!$B:$B,$A74,RawDataRecovered!G:G)</f>
        <v>0</v>
      </c>
      <c r="E74">
        <f>SUMIF(RawDataRecovered!$B:$B,$A74,RawDataRecovered!H:H)</f>
        <v>0</v>
      </c>
      <c r="F74">
        <f>SUMIF(RawDataRecovered!$B:$B,$A74,RawDataRecovered!I:I)</f>
        <v>0</v>
      </c>
      <c r="G74">
        <f>SUMIF(RawDataRecovered!$B:$B,$A74,RawDataRecovered!J:J)</f>
        <v>0</v>
      </c>
      <c r="H74">
        <f>SUMIF(RawDataRecovered!$B:$B,$A74,RawDataRecovered!K:K)</f>
        <v>0</v>
      </c>
      <c r="I74">
        <f>SUMIF(RawDataRecovered!$B:$B,$A74,RawDataRecovered!L:L)</f>
        <v>0</v>
      </c>
      <c r="J74">
        <f>SUMIF(RawDataRecovered!$B:$B,$A74,RawDataRecovered!M:M)</f>
        <v>0</v>
      </c>
      <c r="K74">
        <f>SUMIF(RawDataRecovered!$B:$B,$A74,RawDataRecovered!N:N)</f>
        <v>0</v>
      </c>
      <c r="L74">
        <f>SUMIF(RawDataRecovered!$B:$B,$A74,RawDataRecovered!O:O)</f>
        <v>0</v>
      </c>
      <c r="M74">
        <f>SUMIF(RawDataRecovered!$B:$B,$A74,RawDataRecovered!P:P)</f>
        <v>0</v>
      </c>
      <c r="N74">
        <f>SUMIF(RawDataRecovered!$B:$B,$A74,RawDataRecovered!Q:Q)</f>
        <v>0</v>
      </c>
      <c r="O74">
        <f>SUMIF(RawDataRecovered!$B:$B,$A74,RawDataRecovered!R:R)</f>
        <v>0</v>
      </c>
      <c r="P74">
        <f>SUMIF(RawDataRecovered!$B:$B,$A74,RawDataRecovered!S:S)</f>
        <v>0</v>
      </c>
      <c r="Q74">
        <f>SUMIF(RawDataRecovered!$B:$B,$A74,RawDataRecovered!T:T)</f>
        <v>0</v>
      </c>
      <c r="R74">
        <f>SUMIF(RawDataRecovered!$B:$B,$A74,RawDataRecovered!U:U)</f>
        <v>0</v>
      </c>
      <c r="S74">
        <f>SUMIF(RawDataRecovered!$B:$B,$A74,RawDataRecovered!V:V)</f>
        <v>0</v>
      </c>
      <c r="T74">
        <f>SUMIF(RawDataRecovered!$B:$B,$A74,RawDataRecovered!W:W)</f>
        <v>0</v>
      </c>
      <c r="U74">
        <f>SUMIF(RawDataRecovered!$B:$B,$A74,RawDataRecovered!X:X)</f>
        <v>0</v>
      </c>
      <c r="V74">
        <f>SUMIF(RawDataRecovered!$B:$B,$A74,RawDataRecovered!Y:Y)</f>
        <v>0</v>
      </c>
      <c r="W74">
        <f>SUMIF(RawDataRecovered!$B:$B,$A74,RawDataRecovered!Z:Z)</f>
        <v>0</v>
      </c>
      <c r="X74">
        <f>SUMIF(RawDataRecovered!$B:$B,$A74,RawDataRecovered!AA:AA)</f>
        <v>0</v>
      </c>
      <c r="Y74">
        <f>SUMIF(RawDataRecovered!$B:$B,$A74,RawDataRecovered!AB:AB)</f>
        <v>0</v>
      </c>
      <c r="Z74">
        <f>SUMIF(RawDataRecovered!$B:$B,$A74,RawDataRecovered!AC:AC)</f>
        <v>0</v>
      </c>
      <c r="AA74">
        <f>SUMIF(RawDataRecovered!$B:$B,$A74,RawDataRecovered!AD:AD)</f>
        <v>0</v>
      </c>
      <c r="AB74">
        <f>SUMIF(RawDataRecovered!$B:$B,$A74,RawDataRecovered!AE:AE)</f>
        <v>0</v>
      </c>
      <c r="AC74">
        <f>SUMIF(RawDataRecovered!$B:$B,$A74,RawDataRecovered!AF:AF)</f>
        <v>0</v>
      </c>
      <c r="AD74">
        <f>SUMIF(RawDataRecovered!$B:$B,$A74,RawDataRecovered!AG:AG)</f>
        <v>0</v>
      </c>
      <c r="AE74">
        <f>SUMIF(RawDataRecovered!$B:$B,$A74,RawDataRecovered!AH:AH)</f>
        <v>0</v>
      </c>
      <c r="AF74">
        <f>SUMIF(RawDataRecovered!$B:$B,$A74,RawDataRecovered!AI:AI)</f>
        <v>0</v>
      </c>
      <c r="AG74">
        <f>SUMIF(RawDataRecovered!$B:$B,$A74,RawDataRecovered!AJ:AJ)</f>
        <v>0</v>
      </c>
      <c r="AH74">
        <f>SUMIF(RawDataRecovered!$B:$B,$A74,RawDataRecovered!AK:AK)</f>
        <v>0</v>
      </c>
      <c r="AI74">
        <f>SUMIF(RawDataRecovered!$B:$B,$A74,RawDataRecovered!AL:AL)</f>
        <v>0</v>
      </c>
      <c r="AJ74">
        <f>SUMIF(RawDataRecovered!$B:$B,$A74,RawDataRecovered!AM:AM)</f>
        <v>0</v>
      </c>
      <c r="AK74">
        <f>SUMIF(RawDataRecovered!$B:$B,$A74,RawDataRecovered!AN:AN)</f>
        <v>0</v>
      </c>
      <c r="AL74">
        <f>SUMIF(RawDataRecovered!$B:$B,$A74,RawDataRecovered!AO:AO)</f>
        <v>0</v>
      </c>
      <c r="AM74">
        <f>SUMIF(RawDataRecovered!$B:$B,$A74,RawDataRecovered!AP:AP)</f>
        <v>0</v>
      </c>
      <c r="AN74">
        <f>SUMIF(RawDataRecovered!$B:$B,$A74,RawDataRecovered!AQ:AQ)</f>
        <v>0</v>
      </c>
      <c r="AO74">
        <f>SUMIF(RawDataRecovered!$B:$B,$A74,RawDataRecovered!AR:AR)</f>
        <v>0</v>
      </c>
      <c r="AP74">
        <f>SUMIF(RawDataRecovered!$B:$B,$A74,RawDataRecovered!AS:AS)</f>
        <v>0</v>
      </c>
      <c r="AQ74">
        <f>SUMIF(RawDataRecovered!$B:$B,$A74,RawDataRecovered!AT:AT)</f>
        <v>0</v>
      </c>
      <c r="AR74">
        <f>SUMIF(RawDataRecovered!$B:$B,$A74,RawDataRecovered!AU:AU)</f>
        <v>0</v>
      </c>
      <c r="AS74">
        <f>SUMIF(RawDataRecovered!$B:$B,$A74,RawDataRecovered!AV:AV)</f>
        <v>0</v>
      </c>
      <c r="AT74">
        <f>SUMIF(RawDataRecovered!$B:$B,$A74,RawDataRecovered!AW:AW)</f>
        <v>0</v>
      </c>
      <c r="AU74">
        <f>SUMIF(RawDataRecovered!$B:$B,$A74,RawDataRecovered!AX:AX)</f>
        <v>0</v>
      </c>
      <c r="AV74">
        <f>SUMIF(RawDataRecovered!$B:$B,$A74,RawDataRecovered!AY:AY)</f>
        <v>0</v>
      </c>
      <c r="AW74">
        <f>SUMIF(RawDataRecovered!$B:$B,$A74,RawDataRecovered!AZ:AZ)</f>
        <v>0</v>
      </c>
      <c r="AX74">
        <f>SUMIF(RawDataRecovered!$B:$B,$A74,RawDataRecovered!BA:BA)</f>
        <v>0</v>
      </c>
      <c r="AY74">
        <f>SUMIF(RawDataRecovered!$B:$B,$A74,RawDataRecovered!BB:BB)</f>
        <v>3</v>
      </c>
      <c r="AZ74">
        <f>SUMIF(RawDataRecovered!$B:$B,$A74,RawDataRecovered!BC:BC)</f>
        <v>3</v>
      </c>
      <c r="BA74">
        <f>SUMIF(RawDataRecovered!$B:$B,$A74,RawDataRecovered!BD:BD)</f>
        <v>3</v>
      </c>
      <c r="BB74">
        <f>SUMIF(RawDataRecovered!$B:$B,$A74,RawDataRecovered!BE:BE)</f>
        <v>3</v>
      </c>
      <c r="BC74">
        <f>SUMIF(RawDataRecovered!$B:$B,$A74,RawDataRecovered!BF:BF)</f>
        <v>6</v>
      </c>
      <c r="BD74">
        <f>SUMIF(RawDataRecovered!$B:$B,$A74,RawDataRecovered!BG:BG)</f>
        <v>6</v>
      </c>
      <c r="BE74">
        <f>SUMIF(RawDataRecovered!$B:$B,$A74,RawDataRecovered!BH:BH)</f>
        <v>6</v>
      </c>
      <c r="BF74">
        <f>SUMIF(RawDataRecovered!$B:$B,$A74,RawDataRecovered!BI:BI)</f>
        <v>0</v>
      </c>
      <c r="BG74">
        <f>SUMIF(RawDataRecovered!$B:$B,$A74,RawDataRecovered!BJ:BJ)</f>
        <v>0</v>
      </c>
      <c r="BH74">
        <f>SUMIF(RawDataRecovered!$B:$B,$A74,RawDataRecovered!BK:BK)</f>
        <v>0</v>
      </c>
      <c r="BI74">
        <f>SUMIF(RawDataRecovered!$B:$B,$A74,RawDataRecovered!BL:BL)</f>
        <v>0</v>
      </c>
      <c r="BJ74">
        <f>SUMIF(RawDataRecovered!$B:$B,$A74,RawDataRecovered!BM:BM)</f>
        <v>0</v>
      </c>
      <c r="BK74">
        <f>SUMIF(RawDataRecovered!$B:$B,$A74,RawDataRecovered!BN:BN)</f>
        <v>0</v>
      </c>
      <c r="BL74">
        <f>SUMIF(RawDataRecovered!$B:$B,$A74,RawDataRecovered!BO:BO)</f>
        <v>0</v>
      </c>
      <c r="BM74">
        <f>SUMIF(RawDataRecovered!$B:$B,$A74,RawDataRecovered!BP:BP)</f>
        <v>0</v>
      </c>
      <c r="BN74">
        <f>SUMIF(RawDataRecovered!$B:$B,$A74,RawDataRecovered!BQ:BQ)</f>
        <v>0</v>
      </c>
      <c r="BO74">
        <f>SUMIF(RawDataRecovered!$B:$B,$A74,RawDataRecovered!BR:BR)</f>
        <v>0</v>
      </c>
      <c r="BP74">
        <f>SUMIF(RawDataRecovered!$B:$B,$A74,RawDataRecovered!BS:BS)</f>
        <v>0</v>
      </c>
      <c r="BQ74">
        <f>SUMIF(RawDataRecovered!$B:$B,$A74,RawDataRecovered!BT:BT)</f>
        <v>0</v>
      </c>
      <c r="BR74">
        <f>SUMIF(RawDataRecovered!$B:$B,$A74,RawDataRecovered!BU:BU)</f>
        <v>0</v>
      </c>
      <c r="BS74">
        <f>SUMIF(RawDataRecovered!$B:$B,$A74,RawDataRecovered!BV:BV)</f>
        <v>0</v>
      </c>
      <c r="BT74">
        <f>SUMIF(RawDataRecovered!$B:$B,$A74,RawDataRecovered!BW:BW)</f>
        <v>0</v>
      </c>
    </row>
    <row r="75" spans="1:72" ht="15" thickBot="1" x14ac:dyDescent="0.35">
      <c r="A75" s="3" t="s">
        <v>258</v>
      </c>
      <c r="B75">
        <f>SUMIF(RawDataRecovered!$B:$B,$A75,RawDataRecovered!E:E)</f>
        <v>0</v>
      </c>
      <c r="C75">
        <f>SUMIF(RawDataRecovered!$B:$B,$A75,RawDataRecovered!F:F)</f>
        <v>0</v>
      </c>
      <c r="D75">
        <f>SUMIF(RawDataRecovered!$B:$B,$A75,RawDataRecovered!G:G)</f>
        <v>0</v>
      </c>
      <c r="E75">
        <f>SUMIF(RawDataRecovered!$B:$B,$A75,RawDataRecovered!H:H)</f>
        <v>0</v>
      </c>
      <c r="F75">
        <f>SUMIF(RawDataRecovered!$B:$B,$A75,RawDataRecovered!I:I)</f>
        <v>0</v>
      </c>
      <c r="G75">
        <f>SUMIF(RawDataRecovered!$B:$B,$A75,RawDataRecovered!J:J)</f>
        <v>0</v>
      </c>
      <c r="H75">
        <f>SUMIF(RawDataRecovered!$B:$B,$A75,RawDataRecovered!K:K)</f>
        <v>0</v>
      </c>
      <c r="I75">
        <f>SUMIF(RawDataRecovered!$B:$B,$A75,RawDataRecovered!L:L)</f>
        <v>0</v>
      </c>
      <c r="J75">
        <f>SUMIF(RawDataRecovered!$B:$B,$A75,RawDataRecovered!M:M)</f>
        <v>0</v>
      </c>
      <c r="K75">
        <f>SUMIF(RawDataRecovered!$B:$B,$A75,RawDataRecovered!N:N)</f>
        <v>0</v>
      </c>
      <c r="L75">
        <f>SUMIF(RawDataRecovered!$B:$B,$A75,RawDataRecovered!O:O)</f>
        <v>0</v>
      </c>
      <c r="M75">
        <f>SUMIF(RawDataRecovered!$B:$B,$A75,RawDataRecovered!P:P)</f>
        <v>0</v>
      </c>
      <c r="N75">
        <f>SUMIF(RawDataRecovered!$B:$B,$A75,RawDataRecovered!Q:Q)</f>
        <v>0</v>
      </c>
      <c r="O75">
        <f>SUMIF(RawDataRecovered!$B:$B,$A75,RawDataRecovered!R:R)</f>
        <v>0</v>
      </c>
      <c r="P75">
        <f>SUMIF(RawDataRecovered!$B:$B,$A75,RawDataRecovered!S:S)</f>
        <v>0</v>
      </c>
      <c r="Q75">
        <f>SUMIF(RawDataRecovered!$B:$B,$A75,RawDataRecovered!T:T)</f>
        <v>0</v>
      </c>
      <c r="R75">
        <f>SUMIF(RawDataRecovered!$B:$B,$A75,RawDataRecovered!U:U)</f>
        <v>0</v>
      </c>
      <c r="S75">
        <f>SUMIF(RawDataRecovered!$B:$B,$A75,RawDataRecovered!V:V)</f>
        <v>0</v>
      </c>
      <c r="T75">
        <f>SUMIF(RawDataRecovered!$B:$B,$A75,RawDataRecovered!W:W)</f>
        <v>0</v>
      </c>
      <c r="U75">
        <f>SUMIF(RawDataRecovered!$B:$B,$A75,RawDataRecovered!X:X)</f>
        <v>0</v>
      </c>
      <c r="V75">
        <f>SUMIF(RawDataRecovered!$B:$B,$A75,RawDataRecovered!Y:Y)</f>
        <v>0</v>
      </c>
      <c r="W75">
        <f>SUMIF(RawDataRecovered!$B:$B,$A75,RawDataRecovered!Z:Z)</f>
        <v>0</v>
      </c>
      <c r="X75">
        <f>SUMIF(RawDataRecovered!$B:$B,$A75,RawDataRecovered!AA:AA)</f>
        <v>0</v>
      </c>
      <c r="Y75">
        <f>SUMIF(RawDataRecovered!$B:$B,$A75,RawDataRecovered!AB:AB)</f>
        <v>0</v>
      </c>
      <c r="Z75">
        <f>SUMIF(RawDataRecovered!$B:$B,$A75,RawDataRecovered!AC:AC)</f>
        <v>0</v>
      </c>
      <c r="AA75">
        <f>SUMIF(RawDataRecovered!$B:$B,$A75,RawDataRecovered!AD:AD)</f>
        <v>0</v>
      </c>
      <c r="AB75">
        <f>SUMIF(RawDataRecovered!$B:$B,$A75,RawDataRecovered!AE:AE)</f>
        <v>0</v>
      </c>
      <c r="AC75">
        <f>SUMIF(RawDataRecovered!$B:$B,$A75,RawDataRecovered!AF:AF)</f>
        <v>0</v>
      </c>
      <c r="AD75">
        <f>SUMIF(RawDataRecovered!$B:$B,$A75,RawDataRecovered!AG:AG)</f>
        <v>0</v>
      </c>
      <c r="AE75">
        <f>SUMIF(RawDataRecovered!$B:$B,$A75,RawDataRecovered!AH:AH)</f>
        <v>0</v>
      </c>
      <c r="AF75">
        <f>SUMIF(RawDataRecovered!$B:$B,$A75,RawDataRecovered!AI:AI)</f>
        <v>0</v>
      </c>
      <c r="AG75">
        <f>SUMIF(RawDataRecovered!$B:$B,$A75,RawDataRecovered!AJ:AJ)</f>
        <v>0</v>
      </c>
      <c r="AH75">
        <f>SUMIF(RawDataRecovered!$B:$B,$A75,RawDataRecovered!AK:AK)</f>
        <v>0</v>
      </c>
      <c r="AI75">
        <f>SUMIF(RawDataRecovered!$B:$B,$A75,RawDataRecovered!AL:AL)</f>
        <v>0</v>
      </c>
      <c r="AJ75">
        <f>SUMIF(RawDataRecovered!$B:$B,$A75,RawDataRecovered!AM:AM)</f>
        <v>0</v>
      </c>
      <c r="AK75">
        <f>SUMIF(RawDataRecovered!$B:$B,$A75,RawDataRecovered!AN:AN)</f>
        <v>0</v>
      </c>
      <c r="AL75">
        <f>SUMIF(RawDataRecovered!$B:$B,$A75,RawDataRecovered!AO:AO)</f>
        <v>0</v>
      </c>
      <c r="AM75">
        <f>SUMIF(RawDataRecovered!$B:$B,$A75,RawDataRecovered!AP:AP)</f>
        <v>0</v>
      </c>
      <c r="AN75">
        <f>SUMIF(RawDataRecovered!$B:$B,$A75,RawDataRecovered!AQ:AQ)</f>
        <v>0</v>
      </c>
      <c r="AO75">
        <f>SUMIF(RawDataRecovered!$B:$B,$A75,RawDataRecovered!AR:AR)</f>
        <v>0</v>
      </c>
      <c r="AP75">
        <f>SUMIF(RawDataRecovered!$B:$B,$A75,RawDataRecovered!AS:AS)</f>
        <v>0</v>
      </c>
      <c r="AQ75">
        <f>SUMIF(RawDataRecovered!$B:$B,$A75,RawDataRecovered!AT:AT)</f>
        <v>0</v>
      </c>
      <c r="AR75">
        <f>SUMIF(RawDataRecovered!$B:$B,$A75,RawDataRecovered!AU:AU)</f>
        <v>0</v>
      </c>
      <c r="AS75">
        <f>SUMIF(RawDataRecovered!$B:$B,$A75,RawDataRecovered!AV:AV)</f>
        <v>0</v>
      </c>
      <c r="AT75">
        <f>SUMIF(RawDataRecovered!$B:$B,$A75,RawDataRecovered!AW:AW)</f>
        <v>0</v>
      </c>
      <c r="AU75">
        <f>SUMIF(RawDataRecovered!$B:$B,$A75,RawDataRecovered!AX:AX)</f>
        <v>0</v>
      </c>
      <c r="AV75">
        <f>SUMIF(RawDataRecovered!$B:$B,$A75,RawDataRecovered!AY:AY)</f>
        <v>0</v>
      </c>
      <c r="AW75">
        <f>SUMIF(RawDataRecovered!$B:$B,$A75,RawDataRecovered!AZ:AZ)</f>
        <v>0</v>
      </c>
      <c r="AX75">
        <f>SUMIF(RawDataRecovered!$B:$B,$A75,RawDataRecovered!BA:BA)</f>
        <v>0</v>
      </c>
      <c r="AY75">
        <f>SUMIF(RawDataRecovered!$B:$B,$A75,RawDataRecovered!BB:BB)</f>
        <v>0</v>
      </c>
      <c r="AZ75">
        <f>SUMIF(RawDataRecovered!$B:$B,$A75,RawDataRecovered!BC:BC)</f>
        <v>0</v>
      </c>
      <c r="BA75">
        <f>SUMIF(RawDataRecovered!$B:$B,$A75,RawDataRecovered!BD:BD)</f>
        <v>0</v>
      </c>
      <c r="BB75">
        <f>SUMIF(RawDataRecovered!$B:$B,$A75,RawDataRecovered!BE:BE)</f>
        <v>0</v>
      </c>
      <c r="BC75">
        <f>SUMIF(RawDataRecovered!$B:$B,$A75,RawDataRecovered!BF:BF)</f>
        <v>0</v>
      </c>
      <c r="BD75">
        <f>SUMIF(RawDataRecovered!$B:$B,$A75,RawDataRecovered!BG:BG)</f>
        <v>0</v>
      </c>
      <c r="BE75">
        <f>SUMIF(RawDataRecovered!$B:$B,$A75,RawDataRecovered!BH:BH)</f>
        <v>0</v>
      </c>
      <c r="BF75">
        <f>SUMIF(RawDataRecovered!$B:$B,$A75,RawDataRecovered!BI:BI)</f>
        <v>0</v>
      </c>
      <c r="BG75">
        <f>SUMIF(RawDataRecovered!$B:$B,$A75,RawDataRecovered!BJ:BJ)</f>
        <v>0</v>
      </c>
      <c r="BH75">
        <f>SUMIF(RawDataRecovered!$B:$B,$A75,RawDataRecovered!BK:BK)</f>
        <v>0</v>
      </c>
      <c r="BI75">
        <f>SUMIF(RawDataRecovered!$B:$B,$A75,RawDataRecovered!BL:BL)</f>
        <v>0</v>
      </c>
      <c r="BJ75">
        <f>SUMIF(RawDataRecovered!$B:$B,$A75,RawDataRecovered!BM:BM)</f>
        <v>0</v>
      </c>
      <c r="BK75">
        <f>SUMIF(RawDataRecovered!$B:$B,$A75,RawDataRecovered!BN:BN)</f>
        <v>0</v>
      </c>
      <c r="BL75">
        <f>SUMIF(RawDataRecovered!$B:$B,$A75,RawDataRecovered!BO:BO)</f>
        <v>0</v>
      </c>
      <c r="BM75">
        <f>SUMIF(RawDataRecovered!$B:$B,$A75,RawDataRecovered!BP:BP)</f>
        <v>0</v>
      </c>
      <c r="BN75">
        <f>SUMIF(RawDataRecovered!$B:$B,$A75,RawDataRecovered!BQ:BQ)</f>
        <v>0</v>
      </c>
      <c r="BO75">
        <f>SUMIF(RawDataRecovered!$B:$B,$A75,RawDataRecovered!BR:BR)</f>
        <v>0</v>
      </c>
      <c r="BP75">
        <f>SUMIF(RawDataRecovered!$B:$B,$A75,RawDataRecovered!BS:BS)</f>
        <v>0</v>
      </c>
      <c r="BQ75">
        <f>SUMIF(RawDataRecovered!$B:$B,$A75,RawDataRecovered!BT:BT)</f>
        <v>0</v>
      </c>
      <c r="BR75">
        <f>SUMIF(RawDataRecovered!$B:$B,$A75,RawDataRecovered!BU:BU)</f>
        <v>0</v>
      </c>
      <c r="BS75">
        <f>SUMIF(RawDataRecovered!$B:$B,$A75,RawDataRecovered!BV:BV)</f>
        <v>0</v>
      </c>
      <c r="BT75">
        <f>SUMIF(RawDataRecovered!$B:$B,$A75,RawDataRecovered!BW:BW)</f>
        <v>0</v>
      </c>
    </row>
    <row r="76" spans="1:72" ht="15" thickBot="1" x14ac:dyDescent="0.35">
      <c r="A76" s="3" t="s">
        <v>111</v>
      </c>
      <c r="B76">
        <f>SUMIF(RawDataRecovered!$B:$B,$A76,RawDataRecovered!E:E)</f>
        <v>0</v>
      </c>
      <c r="C76">
        <f>SUMIF(RawDataRecovered!$B:$B,$A76,RawDataRecovered!F:F)</f>
        <v>0</v>
      </c>
      <c r="D76">
        <f>SUMIF(RawDataRecovered!$B:$B,$A76,RawDataRecovered!G:G)</f>
        <v>0</v>
      </c>
      <c r="E76">
        <f>SUMIF(RawDataRecovered!$B:$B,$A76,RawDataRecovered!H:H)</f>
        <v>0</v>
      </c>
      <c r="F76">
        <f>SUMIF(RawDataRecovered!$B:$B,$A76,RawDataRecovered!I:I)</f>
        <v>0</v>
      </c>
      <c r="G76">
        <f>SUMIF(RawDataRecovered!$B:$B,$A76,RawDataRecovered!J:J)</f>
        <v>0</v>
      </c>
      <c r="H76">
        <f>SUMIF(RawDataRecovered!$B:$B,$A76,RawDataRecovered!K:K)</f>
        <v>0</v>
      </c>
      <c r="I76">
        <f>SUMIF(RawDataRecovered!$B:$B,$A76,RawDataRecovered!L:L)</f>
        <v>0</v>
      </c>
      <c r="J76">
        <f>SUMIF(RawDataRecovered!$B:$B,$A76,RawDataRecovered!M:M)</f>
        <v>0</v>
      </c>
      <c r="K76">
        <f>SUMIF(RawDataRecovered!$B:$B,$A76,RawDataRecovered!N:N)</f>
        <v>0</v>
      </c>
      <c r="L76">
        <f>SUMIF(RawDataRecovered!$B:$B,$A76,RawDataRecovered!O:O)</f>
        <v>0</v>
      </c>
      <c r="M76">
        <f>SUMIF(RawDataRecovered!$B:$B,$A76,RawDataRecovered!P:P)</f>
        <v>0</v>
      </c>
      <c r="N76">
        <f>SUMIF(RawDataRecovered!$B:$B,$A76,RawDataRecovered!Q:Q)</f>
        <v>0</v>
      </c>
      <c r="O76">
        <f>SUMIF(RawDataRecovered!$B:$B,$A76,RawDataRecovered!R:R)</f>
        <v>0</v>
      </c>
      <c r="P76">
        <f>SUMIF(RawDataRecovered!$B:$B,$A76,RawDataRecovered!S:S)</f>
        <v>0</v>
      </c>
      <c r="Q76">
        <f>SUMIF(RawDataRecovered!$B:$B,$A76,RawDataRecovered!T:T)</f>
        <v>0</v>
      </c>
      <c r="R76">
        <f>SUMIF(RawDataRecovered!$B:$B,$A76,RawDataRecovered!U:U)</f>
        <v>0</v>
      </c>
      <c r="S76">
        <f>SUMIF(RawDataRecovered!$B:$B,$A76,RawDataRecovered!V:V)</f>
        <v>0</v>
      </c>
      <c r="T76">
        <f>SUMIF(RawDataRecovered!$B:$B,$A76,RawDataRecovered!W:W)</f>
        <v>0</v>
      </c>
      <c r="U76">
        <f>SUMIF(RawDataRecovered!$B:$B,$A76,RawDataRecovered!X:X)</f>
        <v>0</v>
      </c>
      <c r="V76">
        <f>SUMIF(RawDataRecovered!$B:$B,$A76,RawDataRecovered!Y:Y)</f>
        <v>0</v>
      </c>
      <c r="W76">
        <f>SUMIF(RawDataRecovered!$B:$B,$A76,RawDataRecovered!Z:Z)</f>
        <v>0</v>
      </c>
      <c r="X76">
        <f>SUMIF(RawDataRecovered!$B:$B,$A76,RawDataRecovered!AA:AA)</f>
        <v>0</v>
      </c>
      <c r="Y76">
        <f>SUMIF(RawDataRecovered!$B:$B,$A76,RawDataRecovered!AB:AB)</f>
        <v>0</v>
      </c>
      <c r="Z76">
        <f>SUMIF(RawDataRecovered!$B:$B,$A76,RawDataRecovered!AC:AC)</f>
        <v>0</v>
      </c>
      <c r="AA76">
        <f>SUMIF(RawDataRecovered!$B:$B,$A76,RawDataRecovered!AD:AD)</f>
        <v>0</v>
      </c>
      <c r="AB76">
        <f>SUMIF(RawDataRecovered!$B:$B,$A76,RawDataRecovered!AE:AE)</f>
        <v>0</v>
      </c>
      <c r="AC76">
        <f>SUMIF(RawDataRecovered!$B:$B,$A76,RawDataRecovered!AF:AF)</f>
        <v>0</v>
      </c>
      <c r="AD76">
        <f>SUMIF(RawDataRecovered!$B:$B,$A76,RawDataRecovered!AG:AG)</f>
        <v>0</v>
      </c>
      <c r="AE76">
        <f>SUMIF(RawDataRecovered!$B:$B,$A76,RawDataRecovered!AH:AH)</f>
        <v>0</v>
      </c>
      <c r="AF76">
        <f>SUMIF(RawDataRecovered!$B:$B,$A76,RawDataRecovered!AI:AI)</f>
        <v>0</v>
      </c>
      <c r="AG76">
        <f>SUMIF(RawDataRecovered!$B:$B,$A76,RawDataRecovered!AJ:AJ)</f>
        <v>0</v>
      </c>
      <c r="AH76">
        <f>SUMIF(RawDataRecovered!$B:$B,$A76,RawDataRecovered!AK:AK)</f>
        <v>0</v>
      </c>
      <c r="AI76">
        <f>SUMIF(RawDataRecovered!$B:$B,$A76,RawDataRecovered!AL:AL)</f>
        <v>0</v>
      </c>
      <c r="AJ76">
        <f>SUMIF(RawDataRecovered!$B:$B,$A76,RawDataRecovered!AM:AM)</f>
        <v>0</v>
      </c>
      <c r="AK76">
        <f>SUMIF(RawDataRecovered!$B:$B,$A76,RawDataRecovered!AN:AN)</f>
        <v>0</v>
      </c>
      <c r="AL76">
        <f>SUMIF(RawDataRecovered!$B:$B,$A76,RawDataRecovered!AO:AO)</f>
        <v>0</v>
      </c>
      <c r="AM76">
        <f>SUMIF(RawDataRecovered!$B:$B,$A76,RawDataRecovered!AP:AP)</f>
        <v>0</v>
      </c>
      <c r="AN76">
        <f>SUMIF(RawDataRecovered!$B:$B,$A76,RawDataRecovered!AQ:AQ)</f>
        <v>0</v>
      </c>
      <c r="AO76">
        <f>SUMIF(RawDataRecovered!$B:$B,$A76,RawDataRecovered!AR:AR)</f>
        <v>0</v>
      </c>
      <c r="AP76">
        <f>SUMIF(RawDataRecovered!$B:$B,$A76,RawDataRecovered!AS:AS)</f>
        <v>0</v>
      </c>
      <c r="AQ76">
        <f>SUMIF(RawDataRecovered!$B:$B,$A76,RawDataRecovered!AT:AT)</f>
        <v>0</v>
      </c>
      <c r="AR76">
        <f>SUMIF(RawDataRecovered!$B:$B,$A76,RawDataRecovered!AU:AU)</f>
        <v>0</v>
      </c>
      <c r="AS76">
        <f>SUMIF(RawDataRecovered!$B:$B,$A76,RawDataRecovered!AV:AV)</f>
        <v>0</v>
      </c>
      <c r="AT76">
        <f>SUMIF(RawDataRecovered!$B:$B,$A76,RawDataRecovered!AW:AW)</f>
        <v>0</v>
      </c>
      <c r="AU76">
        <f>SUMIF(RawDataRecovered!$B:$B,$A76,RawDataRecovered!AX:AX)</f>
        <v>0</v>
      </c>
      <c r="AV76">
        <f>SUMIF(RawDataRecovered!$B:$B,$A76,RawDataRecovered!AY:AY)</f>
        <v>0</v>
      </c>
      <c r="AW76">
        <f>SUMIF(RawDataRecovered!$B:$B,$A76,RawDataRecovered!AZ:AZ)</f>
        <v>0</v>
      </c>
      <c r="AX76">
        <f>SUMIF(RawDataRecovered!$B:$B,$A76,RawDataRecovered!BA:BA)</f>
        <v>0</v>
      </c>
      <c r="AY76">
        <f>SUMIF(RawDataRecovered!$B:$B,$A76,RawDataRecovered!BB:BB)</f>
        <v>0</v>
      </c>
      <c r="AZ76">
        <f>SUMIF(RawDataRecovered!$B:$B,$A76,RawDataRecovered!BC:BC)</f>
        <v>0</v>
      </c>
      <c r="BA76">
        <f>SUMIF(RawDataRecovered!$B:$B,$A76,RawDataRecovered!BD:BD)</f>
        <v>1</v>
      </c>
      <c r="BB76">
        <f>SUMIF(RawDataRecovered!$B:$B,$A76,RawDataRecovered!BE:BE)</f>
        <v>1</v>
      </c>
      <c r="BC76">
        <f>SUMIF(RawDataRecovered!$B:$B,$A76,RawDataRecovered!BF:BF)</f>
        <v>1</v>
      </c>
      <c r="BD76">
        <f>SUMIF(RawDataRecovered!$B:$B,$A76,RawDataRecovered!BG:BG)</f>
        <v>1</v>
      </c>
      <c r="BE76">
        <f>SUMIF(RawDataRecovered!$B:$B,$A76,RawDataRecovered!BH:BH)</f>
        <v>1</v>
      </c>
      <c r="BF76">
        <f>SUMIF(RawDataRecovered!$B:$B,$A76,RawDataRecovered!BI:BI)</f>
        <v>0</v>
      </c>
      <c r="BG76">
        <f>SUMIF(RawDataRecovered!$B:$B,$A76,RawDataRecovered!BJ:BJ)</f>
        <v>0</v>
      </c>
      <c r="BH76">
        <f>SUMIF(RawDataRecovered!$B:$B,$A76,RawDataRecovered!BK:BK)</f>
        <v>0</v>
      </c>
      <c r="BI76">
        <f>SUMIF(RawDataRecovered!$B:$B,$A76,RawDataRecovered!BL:BL)</f>
        <v>0</v>
      </c>
      <c r="BJ76">
        <f>SUMIF(RawDataRecovered!$B:$B,$A76,RawDataRecovered!BM:BM)</f>
        <v>0</v>
      </c>
      <c r="BK76">
        <f>SUMIF(RawDataRecovered!$B:$B,$A76,RawDataRecovered!BN:BN)</f>
        <v>0</v>
      </c>
      <c r="BL76">
        <f>SUMIF(RawDataRecovered!$B:$B,$A76,RawDataRecovered!BO:BO)</f>
        <v>0</v>
      </c>
      <c r="BM76">
        <f>SUMIF(RawDataRecovered!$B:$B,$A76,RawDataRecovered!BP:BP)</f>
        <v>0</v>
      </c>
      <c r="BN76">
        <f>SUMIF(RawDataRecovered!$B:$B,$A76,RawDataRecovered!BQ:BQ)</f>
        <v>0</v>
      </c>
      <c r="BO76">
        <f>SUMIF(RawDataRecovered!$B:$B,$A76,RawDataRecovered!BR:BR)</f>
        <v>0</v>
      </c>
      <c r="BP76">
        <f>SUMIF(RawDataRecovered!$B:$B,$A76,RawDataRecovered!BS:BS)</f>
        <v>0</v>
      </c>
      <c r="BQ76">
        <f>SUMIF(RawDataRecovered!$B:$B,$A76,RawDataRecovered!BT:BT)</f>
        <v>0</v>
      </c>
      <c r="BR76">
        <f>SUMIF(RawDataRecovered!$B:$B,$A76,RawDataRecovered!BU:BU)</f>
        <v>0</v>
      </c>
      <c r="BS76">
        <f>SUMIF(RawDataRecovered!$B:$B,$A76,RawDataRecovered!BV:BV)</f>
        <v>0</v>
      </c>
      <c r="BT76">
        <f>SUMIF(RawDataRecovered!$B:$B,$A76,RawDataRecovered!BW:BW)</f>
        <v>0</v>
      </c>
    </row>
    <row r="77" spans="1:72" ht="15" thickBot="1" x14ac:dyDescent="0.35">
      <c r="A77" s="3" t="s">
        <v>167</v>
      </c>
      <c r="B77">
        <f>SUMIF(RawDataRecovered!$B:$B,$A77,RawDataRecovered!E:E)</f>
        <v>0</v>
      </c>
      <c r="C77">
        <f>SUMIF(RawDataRecovered!$B:$B,$A77,RawDataRecovered!F:F)</f>
        <v>0</v>
      </c>
      <c r="D77">
        <f>SUMIF(RawDataRecovered!$B:$B,$A77,RawDataRecovered!G:G)</f>
        <v>0</v>
      </c>
      <c r="E77">
        <f>SUMIF(RawDataRecovered!$B:$B,$A77,RawDataRecovered!H:H)</f>
        <v>0</v>
      </c>
      <c r="F77">
        <f>SUMIF(RawDataRecovered!$B:$B,$A77,RawDataRecovered!I:I)</f>
        <v>0</v>
      </c>
      <c r="G77">
        <f>SUMIF(RawDataRecovered!$B:$B,$A77,RawDataRecovered!J:J)</f>
        <v>0</v>
      </c>
      <c r="H77">
        <f>SUMIF(RawDataRecovered!$B:$B,$A77,RawDataRecovered!K:K)</f>
        <v>0</v>
      </c>
      <c r="I77">
        <f>SUMIF(RawDataRecovered!$B:$B,$A77,RawDataRecovered!L:L)</f>
        <v>0</v>
      </c>
      <c r="J77">
        <f>SUMIF(RawDataRecovered!$B:$B,$A77,RawDataRecovered!M:M)</f>
        <v>0</v>
      </c>
      <c r="K77">
        <f>SUMIF(RawDataRecovered!$B:$B,$A77,RawDataRecovered!N:N)</f>
        <v>0</v>
      </c>
      <c r="L77">
        <f>SUMIF(RawDataRecovered!$B:$B,$A77,RawDataRecovered!O:O)</f>
        <v>0</v>
      </c>
      <c r="M77">
        <f>SUMIF(RawDataRecovered!$B:$B,$A77,RawDataRecovered!P:P)</f>
        <v>0</v>
      </c>
      <c r="N77">
        <f>SUMIF(RawDataRecovered!$B:$B,$A77,RawDataRecovered!Q:Q)</f>
        <v>0</v>
      </c>
      <c r="O77">
        <f>SUMIF(RawDataRecovered!$B:$B,$A77,RawDataRecovered!R:R)</f>
        <v>0</v>
      </c>
      <c r="P77">
        <f>SUMIF(RawDataRecovered!$B:$B,$A77,RawDataRecovered!S:S)</f>
        <v>0</v>
      </c>
      <c r="Q77">
        <f>SUMIF(RawDataRecovered!$B:$B,$A77,RawDataRecovered!T:T)</f>
        <v>0</v>
      </c>
      <c r="R77">
        <f>SUMIF(RawDataRecovered!$B:$B,$A77,RawDataRecovered!U:U)</f>
        <v>0</v>
      </c>
      <c r="S77">
        <f>SUMIF(RawDataRecovered!$B:$B,$A77,RawDataRecovered!V:V)</f>
        <v>0</v>
      </c>
      <c r="T77">
        <f>SUMIF(RawDataRecovered!$B:$B,$A77,RawDataRecovered!W:W)</f>
        <v>0</v>
      </c>
      <c r="U77">
        <f>SUMIF(RawDataRecovered!$B:$B,$A77,RawDataRecovered!X:X)</f>
        <v>0</v>
      </c>
      <c r="V77">
        <f>SUMIF(RawDataRecovered!$B:$B,$A77,RawDataRecovered!Y:Y)</f>
        <v>0</v>
      </c>
      <c r="W77">
        <f>SUMIF(RawDataRecovered!$B:$B,$A77,RawDataRecovered!Z:Z)</f>
        <v>0</v>
      </c>
      <c r="X77">
        <f>SUMIF(RawDataRecovered!$B:$B,$A77,RawDataRecovered!AA:AA)</f>
        <v>0</v>
      </c>
      <c r="Y77">
        <f>SUMIF(RawDataRecovered!$B:$B,$A77,RawDataRecovered!AB:AB)</f>
        <v>0</v>
      </c>
      <c r="Z77">
        <f>SUMIF(RawDataRecovered!$B:$B,$A77,RawDataRecovered!AC:AC)</f>
        <v>0</v>
      </c>
      <c r="AA77">
        <f>SUMIF(RawDataRecovered!$B:$B,$A77,RawDataRecovered!AD:AD)</f>
        <v>0</v>
      </c>
      <c r="AB77">
        <f>SUMIF(RawDataRecovered!$B:$B,$A77,RawDataRecovered!AE:AE)</f>
        <v>0</v>
      </c>
      <c r="AC77">
        <f>SUMIF(RawDataRecovered!$B:$B,$A77,RawDataRecovered!AF:AF)</f>
        <v>0</v>
      </c>
      <c r="AD77">
        <f>SUMIF(RawDataRecovered!$B:$B,$A77,RawDataRecovered!AG:AG)</f>
        <v>0</v>
      </c>
      <c r="AE77">
        <f>SUMIF(RawDataRecovered!$B:$B,$A77,RawDataRecovered!AH:AH)</f>
        <v>0</v>
      </c>
      <c r="AF77">
        <f>SUMIF(RawDataRecovered!$B:$B,$A77,RawDataRecovered!AI:AI)</f>
        <v>0</v>
      </c>
      <c r="AG77">
        <f>SUMIF(RawDataRecovered!$B:$B,$A77,RawDataRecovered!AJ:AJ)</f>
        <v>0</v>
      </c>
      <c r="AH77">
        <f>SUMIF(RawDataRecovered!$B:$B,$A77,RawDataRecovered!AK:AK)</f>
        <v>0</v>
      </c>
      <c r="AI77">
        <f>SUMIF(RawDataRecovered!$B:$B,$A77,RawDataRecovered!AL:AL)</f>
        <v>0</v>
      </c>
      <c r="AJ77">
        <f>SUMIF(RawDataRecovered!$B:$B,$A77,RawDataRecovered!AM:AM)</f>
        <v>0</v>
      </c>
      <c r="AK77">
        <f>SUMIF(RawDataRecovered!$B:$B,$A77,RawDataRecovered!AN:AN)</f>
        <v>0</v>
      </c>
      <c r="AL77">
        <f>SUMIF(RawDataRecovered!$B:$B,$A77,RawDataRecovered!AO:AO)</f>
        <v>0</v>
      </c>
      <c r="AM77">
        <f>SUMIF(RawDataRecovered!$B:$B,$A77,RawDataRecovered!AP:AP)</f>
        <v>0</v>
      </c>
      <c r="AN77">
        <f>SUMIF(RawDataRecovered!$B:$B,$A77,RawDataRecovered!AQ:AQ)</f>
        <v>0</v>
      </c>
      <c r="AO77">
        <f>SUMIF(RawDataRecovered!$B:$B,$A77,RawDataRecovered!AR:AR)</f>
        <v>0</v>
      </c>
      <c r="AP77">
        <f>SUMIF(RawDataRecovered!$B:$B,$A77,RawDataRecovered!AS:AS)</f>
        <v>0</v>
      </c>
      <c r="AQ77">
        <f>SUMIF(RawDataRecovered!$B:$B,$A77,RawDataRecovered!AT:AT)</f>
        <v>0</v>
      </c>
      <c r="AR77">
        <f>SUMIF(RawDataRecovered!$B:$B,$A77,RawDataRecovered!AU:AU)</f>
        <v>0</v>
      </c>
      <c r="AS77">
        <f>SUMIF(RawDataRecovered!$B:$B,$A77,RawDataRecovered!AV:AV)</f>
        <v>0</v>
      </c>
      <c r="AT77">
        <f>SUMIF(RawDataRecovered!$B:$B,$A77,RawDataRecovered!AW:AW)</f>
        <v>0</v>
      </c>
      <c r="AU77">
        <f>SUMIF(RawDataRecovered!$B:$B,$A77,RawDataRecovered!AX:AX)</f>
        <v>0</v>
      </c>
      <c r="AV77">
        <f>SUMIF(RawDataRecovered!$B:$B,$A77,RawDataRecovered!AY:AY)</f>
        <v>0</v>
      </c>
      <c r="AW77">
        <f>SUMIF(RawDataRecovered!$B:$B,$A77,RawDataRecovered!AZ:AZ)</f>
        <v>0</v>
      </c>
      <c r="AX77">
        <f>SUMIF(RawDataRecovered!$B:$B,$A77,RawDataRecovered!BA:BA)</f>
        <v>0</v>
      </c>
      <c r="AY77">
        <f>SUMIF(RawDataRecovered!$B:$B,$A77,RawDataRecovered!BB:BB)</f>
        <v>0</v>
      </c>
      <c r="AZ77">
        <f>SUMIF(RawDataRecovered!$B:$B,$A77,RawDataRecovered!BC:BC)</f>
        <v>0</v>
      </c>
      <c r="BA77">
        <f>SUMIF(RawDataRecovered!$B:$B,$A77,RawDataRecovered!BD:BD)</f>
        <v>0</v>
      </c>
      <c r="BB77">
        <f>SUMIF(RawDataRecovered!$B:$B,$A77,RawDataRecovered!BE:BE)</f>
        <v>0</v>
      </c>
      <c r="BC77">
        <f>SUMIF(RawDataRecovered!$B:$B,$A77,RawDataRecovered!BF:BF)</f>
        <v>0</v>
      </c>
      <c r="BD77">
        <f>SUMIF(RawDataRecovered!$B:$B,$A77,RawDataRecovered!BG:BG)</f>
        <v>0</v>
      </c>
      <c r="BE77">
        <f>SUMIF(RawDataRecovered!$B:$B,$A77,RawDataRecovered!BH:BH)</f>
        <v>2</v>
      </c>
      <c r="BF77">
        <f>SUMIF(RawDataRecovered!$B:$B,$A77,RawDataRecovered!BI:BI)</f>
        <v>0</v>
      </c>
      <c r="BG77">
        <f>SUMIF(RawDataRecovered!$B:$B,$A77,RawDataRecovered!BJ:BJ)</f>
        <v>0</v>
      </c>
      <c r="BH77">
        <f>SUMIF(RawDataRecovered!$B:$B,$A77,RawDataRecovered!BK:BK)</f>
        <v>0</v>
      </c>
      <c r="BI77">
        <f>SUMIF(RawDataRecovered!$B:$B,$A77,RawDataRecovered!BL:BL)</f>
        <v>0</v>
      </c>
      <c r="BJ77">
        <f>SUMIF(RawDataRecovered!$B:$B,$A77,RawDataRecovered!BM:BM)</f>
        <v>0</v>
      </c>
      <c r="BK77">
        <f>SUMIF(RawDataRecovered!$B:$B,$A77,RawDataRecovered!BN:BN)</f>
        <v>0</v>
      </c>
      <c r="BL77">
        <f>SUMIF(RawDataRecovered!$B:$B,$A77,RawDataRecovered!BO:BO)</f>
        <v>0</v>
      </c>
      <c r="BM77">
        <f>SUMIF(RawDataRecovered!$B:$B,$A77,RawDataRecovered!BP:BP)</f>
        <v>0</v>
      </c>
      <c r="BN77">
        <f>SUMIF(RawDataRecovered!$B:$B,$A77,RawDataRecovered!BQ:BQ)</f>
        <v>0</v>
      </c>
      <c r="BO77">
        <f>SUMIF(RawDataRecovered!$B:$B,$A77,RawDataRecovered!BR:BR)</f>
        <v>0</v>
      </c>
      <c r="BP77">
        <f>SUMIF(RawDataRecovered!$B:$B,$A77,RawDataRecovered!BS:BS)</f>
        <v>0</v>
      </c>
      <c r="BQ77">
        <f>SUMIF(RawDataRecovered!$B:$B,$A77,RawDataRecovered!BT:BT)</f>
        <v>0</v>
      </c>
      <c r="BR77">
        <f>SUMIF(RawDataRecovered!$B:$B,$A77,RawDataRecovered!BU:BU)</f>
        <v>0</v>
      </c>
      <c r="BS77">
        <f>SUMIF(RawDataRecovered!$B:$B,$A77,RawDataRecovered!BV:BV)</f>
        <v>0</v>
      </c>
      <c r="BT77">
        <f>SUMIF(RawDataRecovered!$B:$B,$A77,RawDataRecovered!BW:BW)</f>
        <v>0</v>
      </c>
    </row>
    <row r="78" spans="1:72" ht="15" thickBot="1" x14ac:dyDescent="0.35">
      <c r="A78" s="4" t="s">
        <v>185</v>
      </c>
      <c r="B78">
        <f>SUMIF(RawDataRecovered!$B:$B,$A78,RawDataRecovered!E:E)</f>
        <v>0</v>
      </c>
      <c r="C78">
        <f>SUMIF(RawDataRecovered!$B:$B,$A78,RawDataRecovered!F:F)</f>
        <v>0</v>
      </c>
      <c r="D78">
        <f>SUMIF(RawDataRecovered!$B:$B,$A78,RawDataRecovered!G:G)</f>
        <v>0</v>
      </c>
      <c r="E78">
        <f>SUMIF(RawDataRecovered!$B:$B,$A78,RawDataRecovered!H:H)</f>
        <v>0</v>
      </c>
      <c r="F78">
        <f>SUMIF(RawDataRecovered!$B:$B,$A78,RawDataRecovered!I:I)</f>
        <v>0</v>
      </c>
      <c r="G78">
        <f>SUMIF(RawDataRecovered!$B:$B,$A78,RawDataRecovered!J:J)</f>
        <v>0</v>
      </c>
      <c r="H78">
        <f>SUMIF(RawDataRecovered!$B:$B,$A78,RawDataRecovered!K:K)</f>
        <v>0</v>
      </c>
      <c r="I78">
        <f>SUMIF(RawDataRecovered!$B:$B,$A78,RawDataRecovered!L:L)</f>
        <v>0</v>
      </c>
      <c r="J78">
        <f>SUMIF(RawDataRecovered!$B:$B,$A78,RawDataRecovered!M:M)</f>
        <v>0</v>
      </c>
      <c r="K78">
        <f>SUMIF(RawDataRecovered!$B:$B,$A78,RawDataRecovered!N:N)</f>
        <v>0</v>
      </c>
      <c r="L78">
        <f>SUMIF(RawDataRecovered!$B:$B,$A78,RawDataRecovered!O:O)</f>
        <v>0</v>
      </c>
      <c r="M78">
        <f>SUMIF(RawDataRecovered!$B:$B,$A78,RawDataRecovered!P:P)</f>
        <v>0</v>
      </c>
      <c r="N78">
        <f>SUMIF(RawDataRecovered!$B:$B,$A78,RawDataRecovered!Q:Q)</f>
        <v>0</v>
      </c>
      <c r="O78">
        <f>SUMIF(RawDataRecovered!$B:$B,$A78,RawDataRecovered!R:R)</f>
        <v>0</v>
      </c>
      <c r="P78">
        <f>SUMIF(RawDataRecovered!$B:$B,$A78,RawDataRecovered!S:S)</f>
        <v>0</v>
      </c>
      <c r="Q78">
        <f>SUMIF(RawDataRecovered!$B:$B,$A78,RawDataRecovered!T:T)</f>
        <v>0</v>
      </c>
      <c r="R78">
        <f>SUMIF(RawDataRecovered!$B:$B,$A78,RawDataRecovered!U:U)</f>
        <v>0</v>
      </c>
      <c r="S78">
        <f>SUMIF(RawDataRecovered!$B:$B,$A78,RawDataRecovered!V:V)</f>
        <v>0</v>
      </c>
      <c r="T78">
        <f>SUMIF(RawDataRecovered!$B:$B,$A78,RawDataRecovered!W:W)</f>
        <v>0</v>
      </c>
      <c r="U78">
        <f>SUMIF(RawDataRecovered!$B:$B,$A78,RawDataRecovered!X:X)</f>
        <v>0</v>
      </c>
      <c r="V78">
        <f>SUMIF(RawDataRecovered!$B:$B,$A78,RawDataRecovered!Y:Y)</f>
        <v>0</v>
      </c>
      <c r="W78">
        <f>SUMIF(RawDataRecovered!$B:$B,$A78,RawDataRecovered!Z:Z)</f>
        <v>0</v>
      </c>
      <c r="X78">
        <f>SUMIF(RawDataRecovered!$B:$B,$A78,RawDataRecovered!AA:AA)</f>
        <v>0</v>
      </c>
      <c r="Y78">
        <f>SUMIF(RawDataRecovered!$B:$B,$A78,RawDataRecovered!AB:AB)</f>
        <v>0</v>
      </c>
      <c r="Z78">
        <f>SUMIF(RawDataRecovered!$B:$B,$A78,RawDataRecovered!AC:AC)</f>
        <v>0</v>
      </c>
      <c r="AA78">
        <f>SUMIF(RawDataRecovered!$B:$B,$A78,RawDataRecovered!AD:AD)</f>
        <v>0</v>
      </c>
      <c r="AB78">
        <f>SUMIF(RawDataRecovered!$B:$B,$A78,RawDataRecovered!AE:AE)</f>
        <v>0</v>
      </c>
      <c r="AC78">
        <f>SUMIF(RawDataRecovered!$B:$B,$A78,RawDataRecovered!AF:AF)</f>
        <v>0</v>
      </c>
      <c r="AD78">
        <f>SUMIF(RawDataRecovered!$B:$B,$A78,RawDataRecovered!AG:AG)</f>
        <v>0</v>
      </c>
      <c r="AE78">
        <f>SUMIF(RawDataRecovered!$B:$B,$A78,RawDataRecovered!AH:AH)</f>
        <v>0</v>
      </c>
      <c r="AF78">
        <f>SUMIF(RawDataRecovered!$B:$B,$A78,RawDataRecovered!AI:AI)</f>
        <v>0</v>
      </c>
      <c r="AG78">
        <f>SUMIF(RawDataRecovered!$B:$B,$A78,RawDataRecovered!AJ:AJ)</f>
        <v>0</v>
      </c>
      <c r="AH78">
        <f>SUMIF(RawDataRecovered!$B:$B,$A78,RawDataRecovered!AK:AK)</f>
        <v>0</v>
      </c>
      <c r="AI78">
        <f>SUMIF(RawDataRecovered!$B:$B,$A78,RawDataRecovered!AL:AL)</f>
        <v>0</v>
      </c>
      <c r="AJ78">
        <f>SUMIF(RawDataRecovered!$B:$B,$A78,RawDataRecovered!AM:AM)</f>
        <v>0</v>
      </c>
      <c r="AK78">
        <f>SUMIF(RawDataRecovered!$B:$B,$A78,RawDataRecovered!AN:AN)</f>
        <v>0</v>
      </c>
      <c r="AL78">
        <f>SUMIF(RawDataRecovered!$B:$B,$A78,RawDataRecovered!AO:AO)</f>
        <v>0</v>
      </c>
      <c r="AM78">
        <f>SUMIF(RawDataRecovered!$B:$B,$A78,RawDataRecovered!AP:AP)</f>
        <v>0</v>
      </c>
      <c r="AN78">
        <f>SUMIF(RawDataRecovered!$B:$B,$A78,RawDataRecovered!AQ:AQ)</f>
        <v>0</v>
      </c>
      <c r="AO78">
        <f>SUMIF(RawDataRecovered!$B:$B,$A78,RawDataRecovered!AR:AR)</f>
        <v>0</v>
      </c>
      <c r="AP78">
        <f>SUMIF(RawDataRecovered!$B:$B,$A78,RawDataRecovered!AS:AS)</f>
        <v>0</v>
      </c>
      <c r="AQ78">
        <f>SUMIF(RawDataRecovered!$B:$B,$A78,RawDataRecovered!AT:AT)</f>
        <v>0</v>
      </c>
      <c r="AR78">
        <f>SUMIF(RawDataRecovered!$B:$B,$A78,RawDataRecovered!AU:AU)</f>
        <v>0</v>
      </c>
      <c r="AS78">
        <f>SUMIF(RawDataRecovered!$B:$B,$A78,RawDataRecovered!AV:AV)</f>
        <v>0</v>
      </c>
      <c r="AT78">
        <f>SUMIF(RawDataRecovered!$B:$B,$A78,RawDataRecovered!AW:AW)</f>
        <v>0</v>
      </c>
      <c r="AU78">
        <f>SUMIF(RawDataRecovered!$B:$B,$A78,RawDataRecovered!AX:AX)</f>
        <v>0</v>
      </c>
      <c r="AV78">
        <f>SUMIF(RawDataRecovered!$B:$B,$A78,RawDataRecovered!AY:AY)</f>
        <v>0</v>
      </c>
      <c r="AW78">
        <f>SUMIF(RawDataRecovered!$B:$B,$A78,RawDataRecovered!AZ:AZ)</f>
        <v>0</v>
      </c>
      <c r="AX78">
        <f>SUMIF(RawDataRecovered!$B:$B,$A78,RawDataRecovered!BA:BA)</f>
        <v>0</v>
      </c>
      <c r="AY78">
        <f>SUMIF(RawDataRecovered!$B:$B,$A78,RawDataRecovered!BB:BB)</f>
        <v>0</v>
      </c>
      <c r="AZ78">
        <f>SUMIF(RawDataRecovered!$B:$B,$A78,RawDataRecovered!BC:BC)</f>
        <v>0</v>
      </c>
      <c r="BA78">
        <f>SUMIF(RawDataRecovered!$B:$B,$A78,RawDataRecovered!BD:BD)</f>
        <v>0</v>
      </c>
      <c r="BB78">
        <f>SUMIF(RawDataRecovered!$B:$B,$A78,RawDataRecovered!BE:BE)</f>
        <v>0</v>
      </c>
      <c r="BC78">
        <f>SUMIF(RawDataRecovered!$B:$B,$A78,RawDataRecovered!BF:BF)</f>
        <v>0</v>
      </c>
      <c r="BD78">
        <f>SUMIF(RawDataRecovered!$B:$B,$A78,RawDataRecovered!BG:BG)</f>
        <v>0</v>
      </c>
      <c r="BE78">
        <f>SUMIF(RawDataRecovered!$B:$B,$A78,RawDataRecovered!BH:BH)</f>
        <v>1</v>
      </c>
      <c r="BF78">
        <f>SUMIF(RawDataRecovered!$B:$B,$A78,RawDataRecovered!BI:BI)</f>
        <v>0</v>
      </c>
      <c r="BG78">
        <f>SUMIF(RawDataRecovered!$B:$B,$A78,RawDataRecovered!BJ:BJ)</f>
        <v>0</v>
      </c>
      <c r="BH78">
        <f>SUMIF(RawDataRecovered!$B:$B,$A78,RawDataRecovered!BK:BK)</f>
        <v>0</v>
      </c>
      <c r="BI78">
        <f>SUMIF(RawDataRecovered!$B:$B,$A78,RawDataRecovered!BL:BL)</f>
        <v>0</v>
      </c>
      <c r="BJ78">
        <f>SUMIF(RawDataRecovered!$B:$B,$A78,RawDataRecovered!BM:BM)</f>
        <v>0</v>
      </c>
      <c r="BK78">
        <f>SUMIF(RawDataRecovered!$B:$B,$A78,RawDataRecovered!BN:BN)</f>
        <v>0</v>
      </c>
      <c r="BL78">
        <f>SUMIF(RawDataRecovered!$B:$B,$A78,RawDataRecovered!BO:BO)</f>
        <v>0</v>
      </c>
      <c r="BM78">
        <f>SUMIF(RawDataRecovered!$B:$B,$A78,RawDataRecovered!BP:BP)</f>
        <v>0</v>
      </c>
      <c r="BN78">
        <f>SUMIF(RawDataRecovered!$B:$B,$A78,RawDataRecovered!BQ:BQ)</f>
        <v>0</v>
      </c>
      <c r="BO78">
        <f>SUMIF(RawDataRecovered!$B:$B,$A78,RawDataRecovered!BR:BR)</f>
        <v>0</v>
      </c>
      <c r="BP78">
        <f>SUMIF(RawDataRecovered!$B:$B,$A78,RawDataRecovered!BS:BS)</f>
        <v>0</v>
      </c>
      <c r="BQ78">
        <f>SUMIF(RawDataRecovered!$B:$B,$A78,RawDataRecovered!BT:BT)</f>
        <v>0</v>
      </c>
      <c r="BR78">
        <f>SUMIF(RawDataRecovered!$B:$B,$A78,RawDataRecovered!BU:BU)</f>
        <v>0</v>
      </c>
      <c r="BS78">
        <f>SUMIF(RawDataRecovered!$B:$B,$A78,RawDataRecovered!BV:BV)</f>
        <v>0</v>
      </c>
      <c r="BT78">
        <f>SUMIF(RawDataRecovered!$B:$B,$A78,RawDataRecovered!BW:BW)</f>
        <v>0</v>
      </c>
    </row>
    <row r="79" spans="1:72" ht="15" thickBot="1" x14ac:dyDescent="0.35">
      <c r="A79" s="3" t="s">
        <v>204</v>
      </c>
      <c r="B79">
        <f>SUMIF(RawDataRecovered!$B:$B,$A79,RawDataRecovered!E:E)</f>
        <v>0</v>
      </c>
      <c r="C79">
        <f>SUMIF(RawDataRecovered!$B:$B,$A79,RawDataRecovered!F:F)</f>
        <v>0</v>
      </c>
      <c r="D79">
        <f>SUMIF(RawDataRecovered!$B:$B,$A79,RawDataRecovered!G:G)</f>
        <v>0</v>
      </c>
      <c r="E79">
        <f>SUMIF(RawDataRecovered!$B:$B,$A79,RawDataRecovered!H:H)</f>
        <v>0</v>
      </c>
      <c r="F79">
        <f>SUMIF(RawDataRecovered!$B:$B,$A79,RawDataRecovered!I:I)</f>
        <v>0</v>
      </c>
      <c r="G79">
        <f>SUMIF(RawDataRecovered!$B:$B,$A79,RawDataRecovered!J:J)</f>
        <v>0</v>
      </c>
      <c r="H79">
        <f>SUMIF(RawDataRecovered!$B:$B,$A79,RawDataRecovered!K:K)</f>
        <v>0</v>
      </c>
      <c r="I79">
        <f>SUMIF(RawDataRecovered!$B:$B,$A79,RawDataRecovered!L:L)</f>
        <v>0</v>
      </c>
      <c r="J79">
        <f>SUMIF(RawDataRecovered!$B:$B,$A79,RawDataRecovered!M:M)</f>
        <v>0</v>
      </c>
      <c r="K79">
        <f>SUMIF(RawDataRecovered!$B:$B,$A79,RawDataRecovered!N:N)</f>
        <v>0</v>
      </c>
      <c r="L79">
        <f>SUMIF(RawDataRecovered!$B:$B,$A79,RawDataRecovered!O:O)</f>
        <v>0</v>
      </c>
      <c r="M79">
        <f>SUMIF(RawDataRecovered!$B:$B,$A79,RawDataRecovered!P:P)</f>
        <v>0</v>
      </c>
      <c r="N79">
        <f>SUMIF(RawDataRecovered!$B:$B,$A79,RawDataRecovered!Q:Q)</f>
        <v>0</v>
      </c>
      <c r="O79">
        <f>SUMIF(RawDataRecovered!$B:$B,$A79,RawDataRecovered!R:R)</f>
        <v>0</v>
      </c>
      <c r="P79">
        <f>SUMIF(RawDataRecovered!$B:$B,$A79,RawDataRecovered!S:S)</f>
        <v>0</v>
      </c>
      <c r="Q79">
        <f>SUMIF(RawDataRecovered!$B:$B,$A79,RawDataRecovered!T:T)</f>
        <v>0</v>
      </c>
      <c r="R79">
        <f>SUMIF(RawDataRecovered!$B:$B,$A79,RawDataRecovered!U:U)</f>
        <v>0</v>
      </c>
      <c r="S79">
        <f>SUMIF(RawDataRecovered!$B:$B,$A79,RawDataRecovered!V:V)</f>
        <v>0</v>
      </c>
      <c r="T79">
        <f>SUMIF(RawDataRecovered!$B:$B,$A79,RawDataRecovered!W:W)</f>
        <v>0</v>
      </c>
      <c r="U79">
        <f>SUMIF(RawDataRecovered!$B:$B,$A79,RawDataRecovered!X:X)</f>
        <v>0</v>
      </c>
      <c r="V79">
        <f>SUMIF(RawDataRecovered!$B:$B,$A79,RawDataRecovered!Y:Y)</f>
        <v>0</v>
      </c>
      <c r="W79">
        <f>SUMIF(RawDataRecovered!$B:$B,$A79,RawDataRecovered!Z:Z)</f>
        <v>0</v>
      </c>
      <c r="X79">
        <f>SUMIF(RawDataRecovered!$B:$B,$A79,RawDataRecovered!AA:AA)</f>
        <v>0</v>
      </c>
      <c r="Y79">
        <f>SUMIF(RawDataRecovered!$B:$B,$A79,RawDataRecovered!AB:AB)</f>
        <v>0</v>
      </c>
      <c r="Z79">
        <f>SUMIF(RawDataRecovered!$B:$B,$A79,RawDataRecovered!AC:AC)</f>
        <v>0</v>
      </c>
      <c r="AA79">
        <f>SUMIF(RawDataRecovered!$B:$B,$A79,RawDataRecovered!AD:AD)</f>
        <v>0</v>
      </c>
      <c r="AB79">
        <f>SUMIF(RawDataRecovered!$B:$B,$A79,RawDataRecovered!AE:AE)</f>
        <v>0</v>
      </c>
      <c r="AC79">
        <f>SUMIF(RawDataRecovered!$B:$B,$A79,RawDataRecovered!AF:AF)</f>
        <v>0</v>
      </c>
      <c r="AD79">
        <f>SUMIF(RawDataRecovered!$B:$B,$A79,RawDataRecovered!AG:AG)</f>
        <v>0</v>
      </c>
      <c r="AE79">
        <f>SUMIF(RawDataRecovered!$B:$B,$A79,RawDataRecovered!AH:AH)</f>
        <v>0</v>
      </c>
      <c r="AF79">
        <f>SUMIF(RawDataRecovered!$B:$B,$A79,RawDataRecovered!AI:AI)</f>
        <v>0</v>
      </c>
      <c r="AG79">
        <f>SUMIF(RawDataRecovered!$B:$B,$A79,RawDataRecovered!AJ:AJ)</f>
        <v>0</v>
      </c>
      <c r="AH79">
        <f>SUMIF(RawDataRecovered!$B:$B,$A79,RawDataRecovered!AK:AK)</f>
        <v>0</v>
      </c>
      <c r="AI79">
        <f>SUMIF(RawDataRecovered!$B:$B,$A79,RawDataRecovered!AL:AL)</f>
        <v>0</v>
      </c>
      <c r="AJ79">
        <f>SUMIF(RawDataRecovered!$B:$B,$A79,RawDataRecovered!AM:AM)</f>
        <v>0</v>
      </c>
      <c r="AK79">
        <f>SUMIF(RawDataRecovered!$B:$B,$A79,RawDataRecovered!AN:AN)</f>
        <v>0</v>
      </c>
      <c r="AL79">
        <f>SUMIF(RawDataRecovered!$B:$B,$A79,RawDataRecovered!AO:AO)</f>
        <v>0</v>
      </c>
      <c r="AM79">
        <f>SUMIF(RawDataRecovered!$B:$B,$A79,RawDataRecovered!AP:AP)</f>
        <v>0</v>
      </c>
      <c r="AN79">
        <f>SUMIF(RawDataRecovered!$B:$B,$A79,RawDataRecovered!AQ:AQ)</f>
        <v>0</v>
      </c>
      <c r="AO79">
        <f>SUMIF(RawDataRecovered!$B:$B,$A79,RawDataRecovered!AR:AR)</f>
        <v>0</v>
      </c>
      <c r="AP79">
        <f>SUMIF(RawDataRecovered!$B:$B,$A79,RawDataRecovered!AS:AS)</f>
        <v>0</v>
      </c>
      <c r="AQ79">
        <f>SUMIF(RawDataRecovered!$B:$B,$A79,RawDataRecovered!AT:AT)</f>
        <v>0</v>
      </c>
      <c r="AR79">
        <f>SUMIF(RawDataRecovered!$B:$B,$A79,RawDataRecovered!AU:AU)</f>
        <v>0</v>
      </c>
      <c r="AS79">
        <f>SUMIF(RawDataRecovered!$B:$B,$A79,RawDataRecovered!AV:AV)</f>
        <v>0</v>
      </c>
      <c r="AT79">
        <f>SUMIF(RawDataRecovered!$B:$B,$A79,RawDataRecovered!AW:AW)</f>
        <v>0</v>
      </c>
      <c r="AU79">
        <f>SUMIF(RawDataRecovered!$B:$B,$A79,RawDataRecovered!AX:AX)</f>
        <v>0</v>
      </c>
      <c r="AV79">
        <f>SUMIF(RawDataRecovered!$B:$B,$A79,RawDataRecovered!AY:AY)</f>
        <v>0</v>
      </c>
      <c r="AW79">
        <f>SUMIF(RawDataRecovered!$B:$B,$A79,RawDataRecovered!AZ:AZ)</f>
        <v>0</v>
      </c>
      <c r="AX79">
        <f>SUMIF(RawDataRecovered!$B:$B,$A79,RawDataRecovered!BA:BA)</f>
        <v>0</v>
      </c>
      <c r="AY79">
        <f>SUMIF(RawDataRecovered!$B:$B,$A79,RawDataRecovered!BB:BB)</f>
        <v>0</v>
      </c>
      <c r="AZ79">
        <f>SUMIF(RawDataRecovered!$B:$B,$A79,RawDataRecovered!BC:BC)</f>
        <v>0</v>
      </c>
      <c r="BA79">
        <f>SUMIF(RawDataRecovered!$B:$B,$A79,RawDataRecovered!BD:BD)</f>
        <v>1</v>
      </c>
      <c r="BB79">
        <f>SUMIF(RawDataRecovered!$B:$B,$A79,RawDataRecovered!BE:BE)</f>
        <v>1</v>
      </c>
      <c r="BC79">
        <f>SUMIF(RawDataRecovered!$B:$B,$A79,RawDataRecovered!BF:BF)</f>
        <v>1</v>
      </c>
      <c r="BD79">
        <f>SUMIF(RawDataRecovered!$B:$B,$A79,RawDataRecovered!BG:BG)</f>
        <v>2</v>
      </c>
      <c r="BE79">
        <f>SUMIF(RawDataRecovered!$B:$B,$A79,RawDataRecovered!BH:BH)</f>
        <v>2</v>
      </c>
      <c r="BF79">
        <f>SUMIF(RawDataRecovered!$B:$B,$A79,RawDataRecovered!BI:BI)</f>
        <v>0</v>
      </c>
      <c r="BG79">
        <f>SUMIF(RawDataRecovered!$B:$B,$A79,RawDataRecovered!BJ:BJ)</f>
        <v>0</v>
      </c>
      <c r="BH79">
        <f>SUMIF(RawDataRecovered!$B:$B,$A79,RawDataRecovered!BK:BK)</f>
        <v>0</v>
      </c>
      <c r="BI79">
        <f>SUMIF(RawDataRecovered!$B:$B,$A79,RawDataRecovered!BL:BL)</f>
        <v>0</v>
      </c>
      <c r="BJ79">
        <f>SUMIF(RawDataRecovered!$B:$B,$A79,RawDataRecovered!BM:BM)</f>
        <v>0</v>
      </c>
      <c r="BK79">
        <f>SUMIF(RawDataRecovered!$B:$B,$A79,RawDataRecovered!BN:BN)</f>
        <v>0</v>
      </c>
      <c r="BL79">
        <f>SUMIF(RawDataRecovered!$B:$B,$A79,RawDataRecovered!BO:BO)</f>
        <v>0</v>
      </c>
      <c r="BM79">
        <f>SUMIF(RawDataRecovered!$B:$B,$A79,RawDataRecovered!BP:BP)</f>
        <v>0</v>
      </c>
      <c r="BN79">
        <f>SUMIF(RawDataRecovered!$B:$B,$A79,RawDataRecovered!BQ:BQ)</f>
        <v>0</v>
      </c>
      <c r="BO79">
        <f>SUMIF(RawDataRecovered!$B:$B,$A79,RawDataRecovered!BR:BR)</f>
        <v>0</v>
      </c>
      <c r="BP79">
        <f>SUMIF(RawDataRecovered!$B:$B,$A79,RawDataRecovered!BS:BS)</f>
        <v>0</v>
      </c>
      <c r="BQ79">
        <f>SUMIF(RawDataRecovered!$B:$B,$A79,RawDataRecovered!BT:BT)</f>
        <v>0</v>
      </c>
      <c r="BR79">
        <f>SUMIF(RawDataRecovered!$B:$B,$A79,RawDataRecovered!BU:BU)</f>
        <v>0</v>
      </c>
      <c r="BS79">
        <f>SUMIF(RawDataRecovered!$B:$B,$A79,RawDataRecovered!BV:BV)</f>
        <v>0</v>
      </c>
      <c r="BT79">
        <f>SUMIF(RawDataRecovered!$B:$B,$A79,RawDataRecovered!BW:BW)</f>
        <v>0</v>
      </c>
    </row>
    <row r="80" spans="1:72" ht="15" thickBot="1" x14ac:dyDescent="0.35">
      <c r="A80" s="4" t="s">
        <v>121</v>
      </c>
      <c r="B80">
        <f>SUMIF(RawDataRecovered!$B:$B,$A80,RawDataRecovered!E:E)</f>
        <v>0</v>
      </c>
      <c r="C80">
        <f>SUMIF(RawDataRecovered!$B:$B,$A80,RawDataRecovered!F:F)</f>
        <v>0</v>
      </c>
      <c r="D80">
        <f>SUMIF(RawDataRecovered!$B:$B,$A80,RawDataRecovered!G:G)</f>
        <v>0</v>
      </c>
      <c r="E80">
        <f>SUMIF(RawDataRecovered!$B:$B,$A80,RawDataRecovered!H:H)</f>
        <v>0</v>
      </c>
      <c r="F80">
        <f>SUMIF(RawDataRecovered!$B:$B,$A80,RawDataRecovered!I:I)</f>
        <v>0</v>
      </c>
      <c r="G80">
        <f>SUMIF(RawDataRecovered!$B:$B,$A80,RawDataRecovered!J:J)</f>
        <v>0</v>
      </c>
      <c r="H80">
        <f>SUMIF(RawDataRecovered!$B:$B,$A80,RawDataRecovered!K:K)</f>
        <v>0</v>
      </c>
      <c r="I80">
        <f>SUMIF(RawDataRecovered!$B:$B,$A80,RawDataRecovered!L:L)</f>
        <v>0</v>
      </c>
      <c r="J80">
        <f>SUMIF(RawDataRecovered!$B:$B,$A80,RawDataRecovered!M:M)</f>
        <v>0</v>
      </c>
      <c r="K80">
        <f>SUMIF(RawDataRecovered!$B:$B,$A80,RawDataRecovered!N:N)</f>
        <v>0</v>
      </c>
      <c r="L80">
        <f>SUMIF(RawDataRecovered!$B:$B,$A80,RawDataRecovered!O:O)</f>
        <v>0</v>
      </c>
      <c r="M80">
        <f>SUMIF(RawDataRecovered!$B:$B,$A80,RawDataRecovered!P:P)</f>
        <v>0</v>
      </c>
      <c r="N80">
        <f>SUMIF(RawDataRecovered!$B:$B,$A80,RawDataRecovered!Q:Q)</f>
        <v>0</v>
      </c>
      <c r="O80">
        <f>SUMIF(RawDataRecovered!$B:$B,$A80,RawDataRecovered!R:R)</f>
        <v>0</v>
      </c>
      <c r="P80">
        <f>SUMIF(RawDataRecovered!$B:$B,$A80,RawDataRecovered!S:S)</f>
        <v>0</v>
      </c>
      <c r="Q80">
        <f>SUMIF(RawDataRecovered!$B:$B,$A80,RawDataRecovered!T:T)</f>
        <v>0</v>
      </c>
      <c r="R80">
        <f>SUMIF(RawDataRecovered!$B:$B,$A80,RawDataRecovered!U:U)</f>
        <v>0</v>
      </c>
      <c r="S80">
        <f>SUMIF(RawDataRecovered!$B:$B,$A80,RawDataRecovered!V:V)</f>
        <v>0</v>
      </c>
      <c r="T80">
        <f>SUMIF(RawDataRecovered!$B:$B,$A80,RawDataRecovered!W:W)</f>
        <v>0</v>
      </c>
      <c r="U80">
        <f>SUMIF(RawDataRecovered!$B:$B,$A80,RawDataRecovered!X:X)</f>
        <v>0</v>
      </c>
      <c r="V80">
        <f>SUMIF(RawDataRecovered!$B:$B,$A80,RawDataRecovered!Y:Y)</f>
        <v>0</v>
      </c>
      <c r="W80">
        <f>SUMIF(RawDataRecovered!$B:$B,$A80,RawDataRecovered!Z:Z)</f>
        <v>0</v>
      </c>
      <c r="X80">
        <f>SUMIF(RawDataRecovered!$B:$B,$A80,RawDataRecovered!AA:AA)</f>
        <v>0</v>
      </c>
      <c r="Y80">
        <f>SUMIF(RawDataRecovered!$B:$B,$A80,RawDataRecovered!AB:AB)</f>
        <v>0</v>
      </c>
      <c r="Z80">
        <f>SUMIF(RawDataRecovered!$B:$B,$A80,RawDataRecovered!AC:AC)</f>
        <v>0</v>
      </c>
      <c r="AA80">
        <f>SUMIF(RawDataRecovered!$B:$B,$A80,RawDataRecovered!AD:AD)</f>
        <v>0</v>
      </c>
      <c r="AB80">
        <f>SUMIF(RawDataRecovered!$B:$B,$A80,RawDataRecovered!AE:AE)</f>
        <v>0</v>
      </c>
      <c r="AC80">
        <f>SUMIF(RawDataRecovered!$B:$B,$A80,RawDataRecovered!AF:AF)</f>
        <v>0</v>
      </c>
      <c r="AD80">
        <f>SUMIF(RawDataRecovered!$B:$B,$A80,RawDataRecovered!AG:AG)</f>
        <v>0</v>
      </c>
      <c r="AE80">
        <f>SUMIF(RawDataRecovered!$B:$B,$A80,RawDataRecovered!AH:AH)</f>
        <v>0</v>
      </c>
      <c r="AF80">
        <f>SUMIF(RawDataRecovered!$B:$B,$A80,RawDataRecovered!AI:AI)</f>
        <v>0</v>
      </c>
      <c r="AG80">
        <f>SUMIF(RawDataRecovered!$B:$B,$A80,RawDataRecovered!AJ:AJ)</f>
        <v>0</v>
      </c>
      <c r="AH80">
        <f>SUMIF(RawDataRecovered!$B:$B,$A80,RawDataRecovered!AK:AK)</f>
        <v>0</v>
      </c>
      <c r="AI80">
        <f>SUMIF(RawDataRecovered!$B:$B,$A80,RawDataRecovered!AL:AL)</f>
        <v>0</v>
      </c>
      <c r="AJ80">
        <f>SUMIF(RawDataRecovered!$B:$B,$A80,RawDataRecovered!AM:AM)</f>
        <v>0</v>
      </c>
      <c r="AK80">
        <f>SUMIF(RawDataRecovered!$B:$B,$A80,RawDataRecovered!AN:AN)</f>
        <v>0</v>
      </c>
      <c r="AL80">
        <f>SUMIF(RawDataRecovered!$B:$B,$A80,RawDataRecovered!AO:AO)</f>
        <v>0</v>
      </c>
      <c r="AM80">
        <f>SUMIF(RawDataRecovered!$B:$B,$A80,RawDataRecovered!AP:AP)</f>
        <v>0</v>
      </c>
      <c r="AN80">
        <f>SUMIF(RawDataRecovered!$B:$B,$A80,RawDataRecovered!AQ:AQ)</f>
        <v>0</v>
      </c>
      <c r="AO80">
        <f>SUMIF(RawDataRecovered!$B:$B,$A80,RawDataRecovered!AR:AR)</f>
        <v>0</v>
      </c>
      <c r="AP80">
        <f>SUMIF(RawDataRecovered!$B:$B,$A80,RawDataRecovered!AS:AS)</f>
        <v>0</v>
      </c>
      <c r="AQ80">
        <f>SUMIF(RawDataRecovered!$B:$B,$A80,RawDataRecovered!AT:AT)</f>
        <v>1</v>
      </c>
      <c r="AR80">
        <f>SUMIF(RawDataRecovered!$B:$B,$A80,RawDataRecovered!AU:AU)</f>
        <v>1</v>
      </c>
      <c r="AS80">
        <f>SUMIF(RawDataRecovered!$B:$B,$A80,RawDataRecovered!AV:AV)</f>
        <v>1</v>
      </c>
      <c r="AT80">
        <f>SUMIF(RawDataRecovered!$B:$B,$A80,RawDataRecovered!AW:AW)</f>
        <v>1</v>
      </c>
      <c r="AU80">
        <f>SUMIF(RawDataRecovered!$B:$B,$A80,RawDataRecovered!AX:AX)</f>
        <v>1</v>
      </c>
      <c r="AV80">
        <f>SUMIF(RawDataRecovered!$B:$B,$A80,RawDataRecovered!AY:AY)</f>
        <v>1</v>
      </c>
      <c r="AW80">
        <f>SUMIF(RawDataRecovered!$B:$B,$A80,RawDataRecovered!AZ:AZ)</f>
        <v>1</v>
      </c>
      <c r="AX80">
        <f>SUMIF(RawDataRecovered!$B:$B,$A80,RawDataRecovered!BA:BA)</f>
        <v>4</v>
      </c>
      <c r="AY80">
        <f>SUMIF(RawDataRecovered!$B:$B,$A80,RawDataRecovered!BB:BB)</f>
        <v>4</v>
      </c>
      <c r="AZ80">
        <f>SUMIF(RawDataRecovered!$B:$B,$A80,RawDataRecovered!BC:BC)</f>
        <v>4</v>
      </c>
      <c r="BA80">
        <f>SUMIF(RawDataRecovered!$B:$B,$A80,RawDataRecovered!BD:BD)</f>
        <v>4</v>
      </c>
      <c r="BB80">
        <f>SUMIF(RawDataRecovered!$B:$B,$A80,RawDataRecovered!BE:BE)</f>
        <v>4</v>
      </c>
      <c r="BC80">
        <f>SUMIF(RawDataRecovered!$B:$B,$A80,RawDataRecovered!BF:BF)</f>
        <v>4</v>
      </c>
      <c r="BD80">
        <f>SUMIF(RawDataRecovered!$B:$B,$A80,RawDataRecovered!BG:BG)</f>
        <v>4</v>
      </c>
      <c r="BE80">
        <f>SUMIF(RawDataRecovered!$B:$B,$A80,RawDataRecovered!BH:BH)</f>
        <v>4</v>
      </c>
      <c r="BF80">
        <f>SUMIF(RawDataRecovered!$B:$B,$A80,RawDataRecovered!BI:BI)</f>
        <v>0</v>
      </c>
      <c r="BG80">
        <f>SUMIF(RawDataRecovered!$B:$B,$A80,RawDataRecovered!BJ:BJ)</f>
        <v>0</v>
      </c>
      <c r="BH80">
        <f>SUMIF(RawDataRecovered!$B:$B,$A80,RawDataRecovered!BK:BK)</f>
        <v>0</v>
      </c>
      <c r="BI80">
        <f>SUMIF(RawDataRecovered!$B:$B,$A80,RawDataRecovered!BL:BL)</f>
        <v>0</v>
      </c>
      <c r="BJ80">
        <f>SUMIF(RawDataRecovered!$B:$B,$A80,RawDataRecovered!BM:BM)</f>
        <v>0</v>
      </c>
      <c r="BK80">
        <f>SUMIF(RawDataRecovered!$B:$B,$A80,RawDataRecovered!BN:BN)</f>
        <v>0</v>
      </c>
      <c r="BL80">
        <f>SUMIF(RawDataRecovered!$B:$B,$A80,RawDataRecovered!BO:BO)</f>
        <v>0</v>
      </c>
      <c r="BM80">
        <f>SUMIF(RawDataRecovered!$B:$B,$A80,RawDataRecovered!BP:BP)</f>
        <v>0</v>
      </c>
      <c r="BN80">
        <f>SUMIF(RawDataRecovered!$B:$B,$A80,RawDataRecovered!BQ:BQ)</f>
        <v>0</v>
      </c>
      <c r="BO80">
        <f>SUMIF(RawDataRecovered!$B:$B,$A80,RawDataRecovered!BR:BR)</f>
        <v>0</v>
      </c>
      <c r="BP80">
        <f>SUMIF(RawDataRecovered!$B:$B,$A80,RawDataRecovered!BS:BS)</f>
        <v>0</v>
      </c>
      <c r="BQ80">
        <f>SUMIF(RawDataRecovered!$B:$B,$A80,RawDataRecovered!BT:BT)</f>
        <v>0</v>
      </c>
      <c r="BR80">
        <f>SUMIF(RawDataRecovered!$B:$B,$A80,RawDataRecovered!BU:BU)</f>
        <v>0</v>
      </c>
      <c r="BS80">
        <f>SUMIF(RawDataRecovered!$B:$B,$A80,RawDataRecovered!BV:BV)</f>
        <v>0</v>
      </c>
      <c r="BT80">
        <f>SUMIF(RawDataRecovered!$B:$B,$A80,RawDataRecovered!BW:BW)</f>
        <v>0</v>
      </c>
    </row>
    <row r="81" spans="1:72" ht="15" thickBot="1" x14ac:dyDescent="0.35">
      <c r="A81" s="3" t="s">
        <v>141</v>
      </c>
      <c r="B81">
        <f>SUMIF(RawDataRecovered!$B:$B,$A81,RawDataRecovered!E:E)</f>
        <v>0</v>
      </c>
      <c r="C81">
        <f>SUMIF(RawDataRecovered!$B:$B,$A81,RawDataRecovered!F:F)</f>
        <v>0</v>
      </c>
      <c r="D81">
        <f>SUMIF(RawDataRecovered!$B:$B,$A81,RawDataRecovered!G:G)</f>
        <v>0</v>
      </c>
      <c r="E81">
        <f>SUMIF(RawDataRecovered!$B:$B,$A81,RawDataRecovered!H:H)</f>
        <v>0</v>
      </c>
      <c r="F81">
        <f>SUMIF(RawDataRecovered!$B:$B,$A81,RawDataRecovered!I:I)</f>
        <v>0</v>
      </c>
      <c r="G81">
        <f>SUMIF(RawDataRecovered!$B:$B,$A81,RawDataRecovered!J:J)</f>
        <v>0</v>
      </c>
      <c r="H81">
        <f>SUMIF(RawDataRecovered!$B:$B,$A81,RawDataRecovered!K:K)</f>
        <v>0</v>
      </c>
      <c r="I81">
        <f>SUMIF(RawDataRecovered!$B:$B,$A81,RawDataRecovered!L:L)</f>
        <v>0</v>
      </c>
      <c r="J81">
        <f>SUMIF(RawDataRecovered!$B:$B,$A81,RawDataRecovered!M:M)</f>
        <v>0</v>
      </c>
      <c r="K81">
        <f>SUMIF(RawDataRecovered!$B:$B,$A81,RawDataRecovered!N:N)</f>
        <v>0</v>
      </c>
      <c r="L81">
        <f>SUMIF(RawDataRecovered!$B:$B,$A81,RawDataRecovered!O:O)</f>
        <v>0</v>
      </c>
      <c r="M81">
        <f>SUMIF(RawDataRecovered!$B:$B,$A81,RawDataRecovered!P:P)</f>
        <v>0</v>
      </c>
      <c r="N81">
        <f>SUMIF(RawDataRecovered!$B:$B,$A81,RawDataRecovered!Q:Q)</f>
        <v>0</v>
      </c>
      <c r="O81">
        <f>SUMIF(RawDataRecovered!$B:$B,$A81,RawDataRecovered!R:R)</f>
        <v>0</v>
      </c>
      <c r="P81">
        <f>SUMIF(RawDataRecovered!$B:$B,$A81,RawDataRecovered!S:S)</f>
        <v>0</v>
      </c>
      <c r="Q81">
        <f>SUMIF(RawDataRecovered!$B:$B,$A81,RawDataRecovered!T:T)</f>
        <v>0</v>
      </c>
      <c r="R81">
        <f>SUMIF(RawDataRecovered!$B:$B,$A81,RawDataRecovered!U:U)</f>
        <v>0</v>
      </c>
      <c r="S81">
        <f>SUMIF(RawDataRecovered!$B:$B,$A81,RawDataRecovered!V:V)</f>
        <v>0</v>
      </c>
      <c r="T81">
        <f>SUMIF(RawDataRecovered!$B:$B,$A81,RawDataRecovered!W:W)</f>
        <v>0</v>
      </c>
      <c r="U81">
        <f>SUMIF(RawDataRecovered!$B:$B,$A81,RawDataRecovered!X:X)</f>
        <v>0</v>
      </c>
      <c r="V81">
        <f>SUMIF(RawDataRecovered!$B:$B,$A81,RawDataRecovered!Y:Y)</f>
        <v>0</v>
      </c>
      <c r="W81">
        <f>SUMIF(RawDataRecovered!$B:$B,$A81,RawDataRecovered!Z:Z)</f>
        <v>0</v>
      </c>
      <c r="X81">
        <f>SUMIF(RawDataRecovered!$B:$B,$A81,RawDataRecovered!AA:AA)</f>
        <v>0</v>
      </c>
      <c r="Y81">
        <f>SUMIF(RawDataRecovered!$B:$B,$A81,RawDataRecovered!AB:AB)</f>
        <v>0</v>
      </c>
      <c r="Z81">
        <f>SUMIF(RawDataRecovered!$B:$B,$A81,RawDataRecovered!AC:AC)</f>
        <v>0</v>
      </c>
      <c r="AA81">
        <f>SUMIF(RawDataRecovered!$B:$B,$A81,RawDataRecovered!AD:AD)</f>
        <v>0</v>
      </c>
      <c r="AB81">
        <f>SUMIF(RawDataRecovered!$B:$B,$A81,RawDataRecovered!AE:AE)</f>
        <v>0</v>
      </c>
      <c r="AC81">
        <f>SUMIF(RawDataRecovered!$B:$B,$A81,RawDataRecovered!AF:AF)</f>
        <v>0</v>
      </c>
      <c r="AD81">
        <f>SUMIF(RawDataRecovered!$B:$B,$A81,RawDataRecovered!AG:AG)</f>
        <v>0</v>
      </c>
      <c r="AE81">
        <f>SUMIF(RawDataRecovered!$B:$B,$A81,RawDataRecovered!AH:AH)</f>
        <v>0</v>
      </c>
      <c r="AF81">
        <f>SUMIF(RawDataRecovered!$B:$B,$A81,RawDataRecovered!AI:AI)</f>
        <v>0</v>
      </c>
      <c r="AG81">
        <f>SUMIF(RawDataRecovered!$B:$B,$A81,RawDataRecovered!AJ:AJ)</f>
        <v>0</v>
      </c>
      <c r="AH81">
        <f>SUMIF(RawDataRecovered!$B:$B,$A81,RawDataRecovered!AK:AK)</f>
        <v>0</v>
      </c>
      <c r="AI81">
        <f>SUMIF(RawDataRecovered!$B:$B,$A81,RawDataRecovered!AL:AL)</f>
        <v>0</v>
      </c>
      <c r="AJ81">
        <f>SUMIF(RawDataRecovered!$B:$B,$A81,RawDataRecovered!AM:AM)</f>
        <v>0</v>
      </c>
      <c r="AK81">
        <f>SUMIF(RawDataRecovered!$B:$B,$A81,RawDataRecovered!AN:AN)</f>
        <v>0</v>
      </c>
      <c r="AL81">
        <f>SUMIF(RawDataRecovered!$B:$B,$A81,RawDataRecovered!AO:AO)</f>
        <v>0</v>
      </c>
      <c r="AM81">
        <f>SUMIF(RawDataRecovered!$B:$B,$A81,RawDataRecovered!AP:AP)</f>
        <v>0</v>
      </c>
      <c r="AN81">
        <f>SUMIF(RawDataRecovered!$B:$B,$A81,RawDataRecovered!AQ:AQ)</f>
        <v>0</v>
      </c>
      <c r="AO81">
        <f>SUMIF(RawDataRecovered!$B:$B,$A81,RawDataRecovered!AR:AR)</f>
        <v>0</v>
      </c>
      <c r="AP81">
        <f>SUMIF(RawDataRecovered!$B:$B,$A81,RawDataRecovered!AS:AS)</f>
        <v>0</v>
      </c>
      <c r="AQ81">
        <f>SUMIF(RawDataRecovered!$B:$B,$A81,RawDataRecovered!AT:AT)</f>
        <v>0</v>
      </c>
      <c r="AR81">
        <f>SUMIF(RawDataRecovered!$B:$B,$A81,RawDataRecovered!AU:AU)</f>
        <v>0</v>
      </c>
      <c r="AS81">
        <f>SUMIF(RawDataRecovered!$B:$B,$A81,RawDataRecovered!AV:AV)</f>
        <v>0</v>
      </c>
      <c r="AT81">
        <f>SUMIF(RawDataRecovered!$B:$B,$A81,RawDataRecovered!AW:AW)</f>
        <v>0</v>
      </c>
      <c r="AU81">
        <f>SUMIF(RawDataRecovered!$B:$B,$A81,RawDataRecovered!AX:AX)</f>
        <v>0</v>
      </c>
      <c r="AV81">
        <f>SUMIF(RawDataRecovered!$B:$B,$A81,RawDataRecovered!AY:AY)</f>
        <v>1</v>
      </c>
      <c r="AW81">
        <f>SUMIF(RawDataRecovered!$B:$B,$A81,RawDataRecovered!AZ:AZ)</f>
        <v>1</v>
      </c>
      <c r="AX81">
        <f>SUMIF(RawDataRecovered!$B:$B,$A81,RawDataRecovered!BA:BA)</f>
        <v>1</v>
      </c>
      <c r="AY81">
        <f>SUMIF(RawDataRecovered!$B:$B,$A81,RawDataRecovered!BB:BB)</f>
        <v>1</v>
      </c>
      <c r="AZ81">
        <f>SUMIF(RawDataRecovered!$B:$B,$A81,RawDataRecovered!BC:BC)</f>
        <v>1</v>
      </c>
      <c r="BA81">
        <f>SUMIF(RawDataRecovered!$B:$B,$A81,RawDataRecovered!BD:BD)</f>
        <v>1</v>
      </c>
      <c r="BB81">
        <f>SUMIF(RawDataRecovered!$B:$B,$A81,RawDataRecovered!BE:BE)</f>
        <v>1</v>
      </c>
      <c r="BC81">
        <f>SUMIF(RawDataRecovered!$B:$B,$A81,RawDataRecovered!BF:BF)</f>
        <v>1</v>
      </c>
      <c r="BD81">
        <f>SUMIF(RawDataRecovered!$B:$B,$A81,RawDataRecovered!BG:BG)</f>
        <v>2</v>
      </c>
      <c r="BE81">
        <f>SUMIF(RawDataRecovered!$B:$B,$A81,RawDataRecovered!BH:BH)</f>
        <v>2</v>
      </c>
      <c r="BF81">
        <f>SUMIF(RawDataRecovered!$B:$B,$A81,RawDataRecovered!BI:BI)</f>
        <v>0</v>
      </c>
      <c r="BG81">
        <f>SUMIF(RawDataRecovered!$B:$B,$A81,RawDataRecovered!BJ:BJ)</f>
        <v>0</v>
      </c>
      <c r="BH81">
        <f>SUMIF(RawDataRecovered!$B:$B,$A81,RawDataRecovered!BK:BK)</f>
        <v>0</v>
      </c>
      <c r="BI81">
        <f>SUMIF(RawDataRecovered!$B:$B,$A81,RawDataRecovered!BL:BL)</f>
        <v>0</v>
      </c>
      <c r="BJ81">
        <f>SUMIF(RawDataRecovered!$B:$B,$A81,RawDataRecovered!BM:BM)</f>
        <v>0</v>
      </c>
      <c r="BK81">
        <f>SUMIF(RawDataRecovered!$B:$B,$A81,RawDataRecovered!BN:BN)</f>
        <v>0</v>
      </c>
      <c r="BL81">
        <f>SUMIF(RawDataRecovered!$B:$B,$A81,RawDataRecovered!BO:BO)</f>
        <v>0</v>
      </c>
      <c r="BM81">
        <f>SUMIF(RawDataRecovered!$B:$B,$A81,RawDataRecovered!BP:BP)</f>
        <v>0</v>
      </c>
      <c r="BN81">
        <f>SUMIF(RawDataRecovered!$B:$B,$A81,RawDataRecovered!BQ:BQ)</f>
        <v>0</v>
      </c>
      <c r="BO81">
        <f>SUMIF(RawDataRecovered!$B:$B,$A81,RawDataRecovered!BR:BR)</f>
        <v>0</v>
      </c>
      <c r="BP81">
        <f>SUMIF(RawDataRecovered!$B:$B,$A81,RawDataRecovered!BS:BS)</f>
        <v>0</v>
      </c>
      <c r="BQ81">
        <f>SUMIF(RawDataRecovered!$B:$B,$A81,RawDataRecovered!BT:BT)</f>
        <v>0</v>
      </c>
      <c r="BR81">
        <f>SUMIF(RawDataRecovered!$B:$B,$A81,RawDataRecovered!BU:BU)</f>
        <v>0</v>
      </c>
      <c r="BS81">
        <f>SUMIF(RawDataRecovered!$B:$B,$A81,RawDataRecovered!BV:BV)</f>
        <v>0</v>
      </c>
      <c r="BT81">
        <f>SUMIF(RawDataRecovered!$B:$B,$A81,RawDataRecovered!BW:BW)</f>
        <v>0</v>
      </c>
    </row>
    <row r="82" spans="1:72" ht="15" thickBot="1" x14ac:dyDescent="0.35">
      <c r="A82" s="4" t="s">
        <v>227</v>
      </c>
      <c r="B82">
        <f>SUMIF(RawDataRecovered!$B:$B,$A82,RawDataRecovered!E:E)</f>
        <v>0</v>
      </c>
      <c r="C82">
        <f>SUMIF(RawDataRecovered!$B:$B,$A82,RawDataRecovered!F:F)</f>
        <v>0</v>
      </c>
      <c r="D82">
        <f>SUMIF(RawDataRecovered!$B:$B,$A82,RawDataRecovered!G:G)</f>
        <v>0</v>
      </c>
      <c r="E82">
        <f>SUMIF(RawDataRecovered!$B:$B,$A82,RawDataRecovered!H:H)</f>
        <v>0</v>
      </c>
      <c r="F82">
        <f>SUMIF(RawDataRecovered!$B:$B,$A82,RawDataRecovered!I:I)</f>
        <v>0</v>
      </c>
      <c r="G82">
        <f>SUMIF(RawDataRecovered!$B:$B,$A82,RawDataRecovered!J:J)</f>
        <v>0</v>
      </c>
      <c r="H82">
        <f>SUMIF(RawDataRecovered!$B:$B,$A82,RawDataRecovered!K:K)</f>
        <v>0</v>
      </c>
      <c r="I82">
        <f>SUMIF(RawDataRecovered!$B:$B,$A82,RawDataRecovered!L:L)</f>
        <v>0</v>
      </c>
      <c r="J82">
        <f>SUMIF(RawDataRecovered!$B:$B,$A82,RawDataRecovered!M:M)</f>
        <v>0</v>
      </c>
      <c r="K82">
        <f>SUMIF(RawDataRecovered!$B:$B,$A82,RawDataRecovered!N:N)</f>
        <v>0</v>
      </c>
      <c r="L82">
        <f>SUMIF(RawDataRecovered!$B:$B,$A82,RawDataRecovered!O:O)</f>
        <v>0</v>
      </c>
      <c r="M82">
        <f>SUMIF(RawDataRecovered!$B:$B,$A82,RawDataRecovered!P:P)</f>
        <v>0</v>
      </c>
      <c r="N82">
        <f>SUMIF(RawDataRecovered!$B:$B,$A82,RawDataRecovered!Q:Q)</f>
        <v>0</v>
      </c>
      <c r="O82">
        <f>SUMIF(RawDataRecovered!$B:$B,$A82,RawDataRecovered!R:R)</f>
        <v>0</v>
      </c>
      <c r="P82">
        <f>SUMIF(RawDataRecovered!$B:$B,$A82,RawDataRecovered!S:S)</f>
        <v>0</v>
      </c>
      <c r="Q82">
        <f>SUMIF(RawDataRecovered!$B:$B,$A82,RawDataRecovered!T:T)</f>
        <v>0</v>
      </c>
      <c r="R82">
        <f>SUMIF(RawDataRecovered!$B:$B,$A82,RawDataRecovered!U:U)</f>
        <v>0</v>
      </c>
      <c r="S82">
        <f>SUMIF(RawDataRecovered!$B:$B,$A82,RawDataRecovered!V:V)</f>
        <v>0</v>
      </c>
      <c r="T82">
        <f>SUMIF(RawDataRecovered!$B:$B,$A82,RawDataRecovered!W:W)</f>
        <v>0</v>
      </c>
      <c r="U82">
        <f>SUMIF(RawDataRecovered!$B:$B,$A82,RawDataRecovered!X:X)</f>
        <v>0</v>
      </c>
      <c r="V82">
        <f>SUMIF(RawDataRecovered!$B:$B,$A82,RawDataRecovered!Y:Y)</f>
        <v>0</v>
      </c>
      <c r="W82">
        <f>SUMIF(RawDataRecovered!$B:$B,$A82,RawDataRecovered!Z:Z)</f>
        <v>0</v>
      </c>
      <c r="X82">
        <f>SUMIF(RawDataRecovered!$B:$B,$A82,RawDataRecovered!AA:AA)</f>
        <v>0</v>
      </c>
      <c r="Y82">
        <f>SUMIF(RawDataRecovered!$B:$B,$A82,RawDataRecovered!AB:AB)</f>
        <v>0</v>
      </c>
      <c r="Z82">
        <f>SUMIF(RawDataRecovered!$B:$B,$A82,RawDataRecovered!AC:AC)</f>
        <v>0</v>
      </c>
      <c r="AA82">
        <f>SUMIF(RawDataRecovered!$B:$B,$A82,RawDataRecovered!AD:AD)</f>
        <v>0</v>
      </c>
      <c r="AB82">
        <f>SUMIF(RawDataRecovered!$B:$B,$A82,RawDataRecovered!AE:AE)</f>
        <v>0</v>
      </c>
      <c r="AC82">
        <f>SUMIF(RawDataRecovered!$B:$B,$A82,RawDataRecovered!AF:AF)</f>
        <v>0</v>
      </c>
      <c r="AD82">
        <f>SUMIF(RawDataRecovered!$B:$B,$A82,RawDataRecovered!AG:AG)</f>
        <v>0</v>
      </c>
      <c r="AE82">
        <f>SUMIF(RawDataRecovered!$B:$B,$A82,RawDataRecovered!AH:AH)</f>
        <v>0</v>
      </c>
      <c r="AF82">
        <f>SUMIF(RawDataRecovered!$B:$B,$A82,RawDataRecovered!AI:AI)</f>
        <v>0</v>
      </c>
      <c r="AG82">
        <f>SUMIF(RawDataRecovered!$B:$B,$A82,RawDataRecovered!AJ:AJ)</f>
        <v>0</v>
      </c>
      <c r="AH82">
        <f>SUMIF(RawDataRecovered!$B:$B,$A82,RawDataRecovered!AK:AK)</f>
        <v>0</v>
      </c>
      <c r="AI82">
        <f>SUMIF(RawDataRecovered!$B:$B,$A82,RawDataRecovered!AL:AL)</f>
        <v>0</v>
      </c>
      <c r="AJ82">
        <f>SUMIF(RawDataRecovered!$B:$B,$A82,RawDataRecovered!AM:AM)</f>
        <v>0</v>
      </c>
      <c r="AK82">
        <f>SUMIF(RawDataRecovered!$B:$B,$A82,RawDataRecovered!AN:AN)</f>
        <v>0</v>
      </c>
      <c r="AL82">
        <f>SUMIF(RawDataRecovered!$B:$B,$A82,RawDataRecovered!AO:AO)</f>
        <v>0</v>
      </c>
      <c r="AM82">
        <f>SUMIF(RawDataRecovered!$B:$B,$A82,RawDataRecovered!AP:AP)</f>
        <v>0</v>
      </c>
      <c r="AN82">
        <f>SUMIF(RawDataRecovered!$B:$B,$A82,RawDataRecovered!AQ:AQ)</f>
        <v>0</v>
      </c>
      <c r="AO82">
        <f>SUMIF(RawDataRecovered!$B:$B,$A82,RawDataRecovered!AR:AR)</f>
        <v>0</v>
      </c>
      <c r="AP82">
        <f>SUMIF(RawDataRecovered!$B:$B,$A82,RawDataRecovered!AS:AS)</f>
        <v>0</v>
      </c>
      <c r="AQ82">
        <f>SUMIF(RawDataRecovered!$B:$B,$A82,RawDataRecovered!AT:AT)</f>
        <v>0</v>
      </c>
      <c r="AR82">
        <f>SUMIF(RawDataRecovered!$B:$B,$A82,RawDataRecovered!AU:AU)</f>
        <v>0</v>
      </c>
      <c r="AS82">
        <f>SUMIF(RawDataRecovered!$B:$B,$A82,RawDataRecovered!AV:AV)</f>
        <v>0</v>
      </c>
      <c r="AT82">
        <f>SUMIF(RawDataRecovered!$B:$B,$A82,RawDataRecovered!AW:AW)</f>
        <v>0</v>
      </c>
      <c r="AU82">
        <f>SUMIF(RawDataRecovered!$B:$B,$A82,RawDataRecovered!AX:AX)</f>
        <v>0</v>
      </c>
      <c r="AV82">
        <f>SUMIF(RawDataRecovered!$B:$B,$A82,RawDataRecovered!AY:AY)</f>
        <v>0</v>
      </c>
      <c r="AW82">
        <f>SUMIF(RawDataRecovered!$B:$B,$A82,RawDataRecovered!AZ:AZ)</f>
        <v>0</v>
      </c>
      <c r="AX82">
        <f>SUMIF(RawDataRecovered!$B:$B,$A82,RawDataRecovered!BA:BA)</f>
        <v>0</v>
      </c>
      <c r="AY82">
        <f>SUMIF(RawDataRecovered!$B:$B,$A82,RawDataRecovered!BB:BB)</f>
        <v>0</v>
      </c>
      <c r="AZ82">
        <f>SUMIF(RawDataRecovered!$B:$B,$A82,RawDataRecovered!BC:BC)</f>
        <v>0</v>
      </c>
      <c r="BA82">
        <f>SUMIF(RawDataRecovered!$B:$B,$A82,RawDataRecovered!BD:BD)</f>
        <v>0</v>
      </c>
      <c r="BB82">
        <f>SUMIF(RawDataRecovered!$B:$B,$A82,RawDataRecovered!BE:BE)</f>
        <v>0</v>
      </c>
      <c r="BC82">
        <f>SUMIF(RawDataRecovered!$B:$B,$A82,RawDataRecovered!BF:BF)</f>
        <v>0</v>
      </c>
      <c r="BD82">
        <f>SUMIF(RawDataRecovered!$B:$B,$A82,RawDataRecovered!BG:BG)</f>
        <v>0</v>
      </c>
      <c r="BE82">
        <f>SUMIF(RawDataRecovered!$B:$B,$A82,RawDataRecovered!BH:BH)</f>
        <v>0</v>
      </c>
      <c r="BF82">
        <f>SUMIF(RawDataRecovered!$B:$B,$A82,RawDataRecovered!BI:BI)</f>
        <v>0</v>
      </c>
      <c r="BG82">
        <f>SUMIF(RawDataRecovered!$B:$B,$A82,RawDataRecovered!BJ:BJ)</f>
        <v>0</v>
      </c>
      <c r="BH82">
        <f>SUMIF(RawDataRecovered!$B:$B,$A82,RawDataRecovered!BK:BK)</f>
        <v>0</v>
      </c>
      <c r="BI82">
        <f>SUMIF(RawDataRecovered!$B:$B,$A82,RawDataRecovered!BL:BL)</f>
        <v>0</v>
      </c>
      <c r="BJ82">
        <f>SUMIF(RawDataRecovered!$B:$B,$A82,RawDataRecovered!BM:BM)</f>
        <v>0</v>
      </c>
      <c r="BK82">
        <f>SUMIF(RawDataRecovered!$B:$B,$A82,RawDataRecovered!BN:BN)</f>
        <v>0</v>
      </c>
      <c r="BL82">
        <f>SUMIF(RawDataRecovered!$B:$B,$A82,RawDataRecovered!BO:BO)</f>
        <v>0</v>
      </c>
      <c r="BM82">
        <f>SUMIF(RawDataRecovered!$B:$B,$A82,RawDataRecovered!BP:BP)</f>
        <v>0</v>
      </c>
      <c r="BN82">
        <f>SUMIF(RawDataRecovered!$B:$B,$A82,RawDataRecovered!BQ:BQ)</f>
        <v>0</v>
      </c>
      <c r="BO82">
        <f>SUMIF(RawDataRecovered!$B:$B,$A82,RawDataRecovered!BR:BR)</f>
        <v>0</v>
      </c>
      <c r="BP82">
        <f>SUMIF(RawDataRecovered!$B:$B,$A82,RawDataRecovered!BS:BS)</f>
        <v>0</v>
      </c>
      <c r="BQ82">
        <f>SUMIF(RawDataRecovered!$B:$B,$A82,RawDataRecovered!BT:BT)</f>
        <v>0</v>
      </c>
      <c r="BR82">
        <f>SUMIF(RawDataRecovered!$B:$B,$A82,RawDataRecovered!BU:BU)</f>
        <v>0</v>
      </c>
      <c r="BS82">
        <f>SUMIF(RawDataRecovered!$B:$B,$A82,RawDataRecovered!BV:BV)</f>
        <v>0</v>
      </c>
      <c r="BT82">
        <f>SUMIF(RawDataRecovered!$B:$B,$A82,RawDataRecovered!BW:BW)</f>
        <v>0</v>
      </c>
    </row>
    <row r="83" spans="1:72" ht="15" thickBot="1" x14ac:dyDescent="0.35">
      <c r="A83" s="4" t="s">
        <v>132</v>
      </c>
      <c r="B83">
        <f>SUMIF(RawDataRecovered!$B:$B,$A83,RawDataRecovered!E:E)</f>
        <v>0</v>
      </c>
      <c r="C83">
        <f>SUMIF(RawDataRecovered!$B:$B,$A83,RawDataRecovered!F:F)</f>
        <v>0</v>
      </c>
      <c r="D83">
        <f>SUMIF(RawDataRecovered!$B:$B,$A83,RawDataRecovered!G:G)</f>
        <v>0</v>
      </c>
      <c r="E83">
        <f>SUMIF(RawDataRecovered!$B:$B,$A83,RawDataRecovered!H:H)</f>
        <v>0</v>
      </c>
      <c r="F83">
        <f>SUMIF(RawDataRecovered!$B:$B,$A83,RawDataRecovered!I:I)</f>
        <v>0</v>
      </c>
      <c r="G83">
        <f>SUMIF(RawDataRecovered!$B:$B,$A83,RawDataRecovered!J:J)</f>
        <v>0</v>
      </c>
      <c r="H83">
        <f>SUMIF(RawDataRecovered!$B:$B,$A83,RawDataRecovered!K:K)</f>
        <v>0</v>
      </c>
      <c r="I83">
        <f>SUMIF(RawDataRecovered!$B:$B,$A83,RawDataRecovered!L:L)</f>
        <v>0</v>
      </c>
      <c r="J83">
        <f>SUMIF(RawDataRecovered!$B:$B,$A83,RawDataRecovered!M:M)</f>
        <v>0</v>
      </c>
      <c r="K83">
        <f>SUMIF(RawDataRecovered!$B:$B,$A83,RawDataRecovered!N:N)</f>
        <v>0</v>
      </c>
      <c r="L83">
        <f>SUMIF(RawDataRecovered!$B:$B,$A83,RawDataRecovered!O:O)</f>
        <v>0</v>
      </c>
      <c r="M83">
        <f>SUMIF(RawDataRecovered!$B:$B,$A83,RawDataRecovered!P:P)</f>
        <v>0</v>
      </c>
      <c r="N83">
        <f>SUMIF(RawDataRecovered!$B:$B,$A83,RawDataRecovered!Q:Q)</f>
        <v>0</v>
      </c>
      <c r="O83">
        <f>SUMIF(RawDataRecovered!$B:$B,$A83,RawDataRecovered!R:R)</f>
        <v>0</v>
      </c>
      <c r="P83">
        <f>SUMIF(RawDataRecovered!$B:$B,$A83,RawDataRecovered!S:S)</f>
        <v>0</v>
      </c>
      <c r="Q83">
        <f>SUMIF(RawDataRecovered!$B:$B,$A83,RawDataRecovered!T:T)</f>
        <v>0</v>
      </c>
      <c r="R83">
        <f>SUMIF(RawDataRecovered!$B:$B,$A83,RawDataRecovered!U:U)</f>
        <v>0</v>
      </c>
      <c r="S83">
        <f>SUMIF(RawDataRecovered!$B:$B,$A83,RawDataRecovered!V:V)</f>
        <v>0</v>
      </c>
      <c r="T83">
        <f>SUMIF(RawDataRecovered!$B:$B,$A83,RawDataRecovered!W:W)</f>
        <v>0</v>
      </c>
      <c r="U83">
        <f>SUMIF(RawDataRecovered!$B:$B,$A83,RawDataRecovered!X:X)</f>
        <v>0</v>
      </c>
      <c r="V83">
        <f>SUMIF(RawDataRecovered!$B:$B,$A83,RawDataRecovered!Y:Y)</f>
        <v>0</v>
      </c>
      <c r="W83">
        <f>SUMIF(RawDataRecovered!$B:$B,$A83,RawDataRecovered!Z:Z)</f>
        <v>0</v>
      </c>
      <c r="X83">
        <f>SUMIF(RawDataRecovered!$B:$B,$A83,RawDataRecovered!AA:AA)</f>
        <v>0</v>
      </c>
      <c r="Y83">
        <f>SUMIF(RawDataRecovered!$B:$B,$A83,RawDataRecovered!AB:AB)</f>
        <v>0</v>
      </c>
      <c r="Z83">
        <f>SUMIF(RawDataRecovered!$B:$B,$A83,RawDataRecovered!AC:AC)</f>
        <v>0</v>
      </c>
      <c r="AA83">
        <f>SUMIF(RawDataRecovered!$B:$B,$A83,RawDataRecovered!AD:AD)</f>
        <v>0</v>
      </c>
      <c r="AB83">
        <f>SUMIF(RawDataRecovered!$B:$B,$A83,RawDataRecovered!AE:AE)</f>
        <v>0</v>
      </c>
      <c r="AC83">
        <f>SUMIF(RawDataRecovered!$B:$B,$A83,RawDataRecovered!AF:AF)</f>
        <v>0</v>
      </c>
      <c r="AD83">
        <f>SUMIF(RawDataRecovered!$B:$B,$A83,RawDataRecovered!AG:AG)</f>
        <v>0</v>
      </c>
      <c r="AE83">
        <f>SUMIF(RawDataRecovered!$B:$B,$A83,RawDataRecovered!AH:AH)</f>
        <v>0</v>
      </c>
      <c r="AF83">
        <f>SUMIF(RawDataRecovered!$B:$B,$A83,RawDataRecovered!AI:AI)</f>
        <v>0</v>
      </c>
      <c r="AG83">
        <f>SUMIF(RawDataRecovered!$B:$B,$A83,RawDataRecovered!AJ:AJ)</f>
        <v>0</v>
      </c>
      <c r="AH83">
        <f>SUMIF(RawDataRecovered!$B:$B,$A83,RawDataRecovered!AK:AK)</f>
        <v>0</v>
      </c>
      <c r="AI83">
        <f>SUMIF(RawDataRecovered!$B:$B,$A83,RawDataRecovered!AL:AL)</f>
        <v>0</v>
      </c>
      <c r="AJ83">
        <f>SUMIF(RawDataRecovered!$B:$B,$A83,RawDataRecovered!AM:AM)</f>
        <v>0</v>
      </c>
      <c r="AK83">
        <f>SUMIF(RawDataRecovered!$B:$B,$A83,RawDataRecovered!AN:AN)</f>
        <v>0</v>
      </c>
      <c r="AL83">
        <f>SUMIF(RawDataRecovered!$B:$B,$A83,RawDataRecovered!AO:AO)</f>
        <v>0</v>
      </c>
      <c r="AM83">
        <f>SUMIF(RawDataRecovered!$B:$B,$A83,RawDataRecovered!AP:AP)</f>
        <v>0</v>
      </c>
      <c r="AN83">
        <f>SUMIF(RawDataRecovered!$B:$B,$A83,RawDataRecovered!AQ:AQ)</f>
        <v>0</v>
      </c>
      <c r="AO83">
        <f>SUMIF(RawDataRecovered!$B:$B,$A83,RawDataRecovered!AR:AR)</f>
        <v>0</v>
      </c>
      <c r="AP83">
        <f>SUMIF(RawDataRecovered!$B:$B,$A83,RawDataRecovered!AS:AS)</f>
        <v>0</v>
      </c>
      <c r="AQ83">
        <f>SUMIF(RawDataRecovered!$B:$B,$A83,RawDataRecovered!AT:AT)</f>
        <v>0</v>
      </c>
      <c r="AR83">
        <f>SUMIF(RawDataRecovered!$B:$B,$A83,RawDataRecovered!AU:AU)</f>
        <v>0</v>
      </c>
      <c r="AS83">
        <f>SUMIF(RawDataRecovered!$B:$B,$A83,RawDataRecovered!AV:AV)</f>
        <v>0</v>
      </c>
      <c r="AT83">
        <f>SUMIF(RawDataRecovered!$B:$B,$A83,RawDataRecovered!AW:AW)</f>
        <v>0</v>
      </c>
      <c r="AU83">
        <f>SUMIF(RawDataRecovered!$B:$B,$A83,RawDataRecovered!AX:AX)</f>
        <v>0</v>
      </c>
      <c r="AV83">
        <f>SUMIF(RawDataRecovered!$B:$B,$A83,RawDataRecovered!AY:AY)</f>
        <v>0</v>
      </c>
      <c r="AW83">
        <f>SUMIF(RawDataRecovered!$B:$B,$A83,RawDataRecovered!AZ:AZ)</f>
        <v>0</v>
      </c>
      <c r="AX83">
        <f>SUMIF(RawDataRecovered!$B:$B,$A83,RawDataRecovered!BA:BA)</f>
        <v>0</v>
      </c>
      <c r="AY83">
        <f>SUMIF(RawDataRecovered!$B:$B,$A83,RawDataRecovered!BB:BB)</f>
        <v>0</v>
      </c>
      <c r="AZ83">
        <f>SUMIF(RawDataRecovered!$B:$B,$A83,RawDataRecovered!BC:BC)</f>
        <v>0</v>
      </c>
      <c r="BA83">
        <f>SUMIF(RawDataRecovered!$B:$B,$A83,RawDataRecovered!BD:BD)</f>
        <v>0</v>
      </c>
      <c r="BB83">
        <f>SUMIF(RawDataRecovered!$B:$B,$A83,RawDataRecovered!BE:BE)</f>
        <v>0</v>
      </c>
      <c r="BC83">
        <f>SUMIF(RawDataRecovered!$B:$B,$A83,RawDataRecovered!BF:BF)</f>
        <v>0</v>
      </c>
      <c r="BD83">
        <f>SUMIF(RawDataRecovered!$B:$B,$A83,RawDataRecovered!BG:BG)</f>
        <v>0</v>
      </c>
      <c r="BE83">
        <f>SUMIF(RawDataRecovered!$B:$B,$A83,RawDataRecovered!BH:BH)</f>
        <v>1</v>
      </c>
      <c r="BF83">
        <f>SUMIF(RawDataRecovered!$B:$B,$A83,RawDataRecovered!BI:BI)</f>
        <v>0</v>
      </c>
      <c r="BG83">
        <f>SUMIF(RawDataRecovered!$B:$B,$A83,RawDataRecovered!BJ:BJ)</f>
        <v>0</v>
      </c>
      <c r="BH83">
        <f>SUMIF(RawDataRecovered!$B:$B,$A83,RawDataRecovered!BK:BK)</f>
        <v>0</v>
      </c>
      <c r="BI83">
        <f>SUMIF(RawDataRecovered!$B:$B,$A83,RawDataRecovered!BL:BL)</f>
        <v>0</v>
      </c>
      <c r="BJ83">
        <f>SUMIF(RawDataRecovered!$B:$B,$A83,RawDataRecovered!BM:BM)</f>
        <v>0</v>
      </c>
      <c r="BK83">
        <f>SUMIF(RawDataRecovered!$B:$B,$A83,RawDataRecovered!BN:BN)</f>
        <v>0</v>
      </c>
      <c r="BL83">
        <f>SUMIF(RawDataRecovered!$B:$B,$A83,RawDataRecovered!BO:BO)</f>
        <v>0</v>
      </c>
      <c r="BM83">
        <f>SUMIF(RawDataRecovered!$B:$B,$A83,RawDataRecovered!BP:BP)</f>
        <v>0</v>
      </c>
      <c r="BN83">
        <f>SUMIF(RawDataRecovered!$B:$B,$A83,RawDataRecovered!BQ:BQ)</f>
        <v>0</v>
      </c>
      <c r="BO83">
        <f>SUMIF(RawDataRecovered!$B:$B,$A83,RawDataRecovered!BR:BR)</f>
        <v>0</v>
      </c>
      <c r="BP83">
        <f>SUMIF(RawDataRecovered!$B:$B,$A83,RawDataRecovered!BS:BS)</f>
        <v>0</v>
      </c>
      <c r="BQ83">
        <f>SUMIF(RawDataRecovered!$B:$B,$A83,RawDataRecovered!BT:BT)</f>
        <v>0</v>
      </c>
      <c r="BR83">
        <f>SUMIF(RawDataRecovered!$B:$B,$A83,RawDataRecovered!BU:BU)</f>
        <v>0</v>
      </c>
      <c r="BS83">
        <f>SUMIF(RawDataRecovered!$B:$B,$A83,RawDataRecovered!BV:BV)</f>
        <v>0</v>
      </c>
      <c r="BT83">
        <f>SUMIF(RawDataRecovered!$B:$B,$A83,RawDataRecovered!BW:BW)</f>
        <v>0</v>
      </c>
    </row>
    <row r="84" spans="1:72" ht="15" thickBot="1" x14ac:dyDescent="0.35">
      <c r="A84" s="3" t="s">
        <v>381</v>
      </c>
      <c r="B84">
        <f>SUMIF(RawDataRecovered!$B:$B,$A84,RawDataRecovered!E:E)</f>
        <v>0</v>
      </c>
      <c r="C84">
        <f>SUMIF(RawDataRecovered!$B:$B,$A84,RawDataRecovered!F:F)</f>
        <v>0</v>
      </c>
      <c r="D84">
        <f>SUMIF(RawDataRecovered!$B:$B,$A84,RawDataRecovered!G:G)</f>
        <v>0</v>
      </c>
      <c r="E84">
        <f>SUMIF(RawDataRecovered!$B:$B,$A84,RawDataRecovered!H:H)</f>
        <v>0</v>
      </c>
      <c r="F84">
        <f>SUMIF(RawDataRecovered!$B:$B,$A84,RawDataRecovered!I:I)</f>
        <v>0</v>
      </c>
      <c r="G84">
        <f>SUMIF(RawDataRecovered!$B:$B,$A84,RawDataRecovered!J:J)</f>
        <v>0</v>
      </c>
      <c r="H84">
        <f>SUMIF(RawDataRecovered!$B:$B,$A84,RawDataRecovered!K:K)</f>
        <v>0</v>
      </c>
      <c r="I84">
        <f>SUMIF(RawDataRecovered!$B:$B,$A84,RawDataRecovered!L:L)</f>
        <v>0</v>
      </c>
      <c r="J84">
        <f>SUMIF(RawDataRecovered!$B:$B,$A84,RawDataRecovered!M:M)</f>
        <v>0</v>
      </c>
      <c r="K84">
        <f>SUMIF(RawDataRecovered!$B:$B,$A84,RawDataRecovered!N:N)</f>
        <v>0</v>
      </c>
      <c r="L84">
        <f>SUMIF(RawDataRecovered!$B:$B,$A84,RawDataRecovered!O:O)</f>
        <v>0</v>
      </c>
      <c r="M84">
        <f>SUMIF(RawDataRecovered!$B:$B,$A84,RawDataRecovered!P:P)</f>
        <v>0</v>
      </c>
      <c r="N84">
        <f>SUMIF(RawDataRecovered!$B:$B,$A84,RawDataRecovered!Q:Q)</f>
        <v>0</v>
      </c>
      <c r="O84">
        <f>SUMIF(RawDataRecovered!$B:$B,$A84,RawDataRecovered!R:R)</f>
        <v>0</v>
      </c>
      <c r="P84">
        <f>SUMIF(RawDataRecovered!$B:$B,$A84,RawDataRecovered!S:S)</f>
        <v>0</v>
      </c>
      <c r="Q84">
        <f>SUMIF(RawDataRecovered!$B:$B,$A84,RawDataRecovered!T:T)</f>
        <v>0</v>
      </c>
      <c r="R84">
        <f>SUMIF(RawDataRecovered!$B:$B,$A84,RawDataRecovered!U:U)</f>
        <v>0</v>
      </c>
      <c r="S84">
        <f>SUMIF(RawDataRecovered!$B:$B,$A84,RawDataRecovered!V:V)</f>
        <v>0</v>
      </c>
      <c r="T84">
        <f>SUMIF(RawDataRecovered!$B:$B,$A84,RawDataRecovered!W:W)</f>
        <v>0</v>
      </c>
      <c r="U84">
        <f>SUMIF(RawDataRecovered!$B:$B,$A84,RawDataRecovered!X:X)</f>
        <v>0</v>
      </c>
      <c r="V84">
        <f>SUMIF(RawDataRecovered!$B:$B,$A84,RawDataRecovered!Y:Y)</f>
        <v>0</v>
      </c>
      <c r="W84">
        <f>SUMIF(RawDataRecovered!$B:$B,$A84,RawDataRecovered!Z:Z)</f>
        <v>0</v>
      </c>
      <c r="X84">
        <f>SUMIF(RawDataRecovered!$B:$B,$A84,RawDataRecovered!AA:AA)</f>
        <v>0</v>
      </c>
      <c r="Y84">
        <f>SUMIF(RawDataRecovered!$B:$B,$A84,RawDataRecovered!AB:AB)</f>
        <v>0</v>
      </c>
      <c r="Z84">
        <f>SUMIF(RawDataRecovered!$B:$B,$A84,RawDataRecovered!AC:AC)</f>
        <v>0</v>
      </c>
      <c r="AA84">
        <f>SUMIF(RawDataRecovered!$B:$B,$A84,RawDataRecovered!AD:AD)</f>
        <v>0</v>
      </c>
      <c r="AB84">
        <f>SUMIF(RawDataRecovered!$B:$B,$A84,RawDataRecovered!AE:AE)</f>
        <v>0</v>
      </c>
      <c r="AC84">
        <f>SUMIF(RawDataRecovered!$B:$B,$A84,RawDataRecovered!AF:AF)</f>
        <v>0</v>
      </c>
      <c r="AD84">
        <f>SUMIF(RawDataRecovered!$B:$B,$A84,RawDataRecovered!AG:AG)</f>
        <v>0</v>
      </c>
      <c r="AE84">
        <f>SUMIF(RawDataRecovered!$B:$B,$A84,RawDataRecovered!AH:AH)</f>
        <v>0</v>
      </c>
      <c r="AF84">
        <f>SUMIF(RawDataRecovered!$B:$B,$A84,RawDataRecovered!AI:AI)</f>
        <v>0</v>
      </c>
      <c r="AG84">
        <f>SUMIF(RawDataRecovered!$B:$B,$A84,RawDataRecovered!AJ:AJ)</f>
        <v>0</v>
      </c>
      <c r="AH84">
        <f>SUMIF(RawDataRecovered!$B:$B,$A84,RawDataRecovered!AK:AK)</f>
        <v>0</v>
      </c>
      <c r="AI84">
        <f>SUMIF(RawDataRecovered!$B:$B,$A84,RawDataRecovered!AL:AL)</f>
        <v>0</v>
      </c>
      <c r="AJ84">
        <f>SUMIF(RawDataRecovered!$B:$B,$A84,RawDataRecovered!AM:AM)</f>
        <v>0</v>
      </c>
      <c r="AK84">
        <f>SUMIF(RawDataRecovered!$B:$B,$A84,RawDataRecovered!AN:AN)</f>
        <v>0</v>
      </c>
      <c r="AL84">
        <f>SUMIF(RawDataRecovered!$B:$B,$A84,RawDataRecovered!AO:AO)</f>
        <v>0</v>
      </c>
      <c r="AM84">
        <f>SUMIF(RawDataRecovered!$B:$B,$A84,RawDataRecovered!AP:AP)</f>
        <v>0</v>
      </c>
      <c r="AN84">
        <f>SUMIF(RawDataRecovered!$B:$B,$A84,RawDataRecovered!AQ:AQ)</f>
        <v>0</v>
      </c>
      <c r="AO84">
        <f>SUMIF(RawDataRecovered!$B:$B,$A84,RawDataRecovered!AR:AR)</f>
        <v>0</v>
      </c>
      <c r="AP84">
        <f>SUMIF(RawDataRecovered!$B:$B,$A84,RawDataRecovered!AS:AS)</f>
        <v>0</v>
      </c>
      <c r="AQ84">
        <f>SUMIF(RawDataRecovered!$B:$B,$A84,RawDataRecovered!AT:AT)</f>
        <v>0</v>
      </c>
      <c r="AR84">
        <f>SUMIF(RawDataRecovered!$B:$B,$A84,RawDataRecovered!AU:AU)</f>
        <v>0</v>
      </c>
      <c r="AS84">
        <f>SUMIF(RawDataRecovered!$B:$B,$A84,RawDataRecovered!AV:AV)</f>
        <v>0</v>
      </c>
      <c r="AT84">
        <f>SUMIF(RawDataRecovered!$B:$B,$A84,RawDataRecovered!AW:AW)</f>
        <v>0</v>
      </c>
      <c r="AU84">
        <f>SUMIF(RawDataRecovered!$B:$B,$A84,RawDataRecovered!AX:AX)</f>
        <v>0</v>
      </c>
      <c r="AV84">
        <f>SUMIF(RawDataRecovered!$B:$B,$A84,RawDataRecovered!AY:AY)</f>
        <v>0</v>
      </c>
      <c r="AW84">
        <f>SUMIF(RawDataRecovered!$B:$B,$A84,RawDataRecovered!AZ:AZ)</f>
        <v>0</v>
      </c>
      <c r="AX84">
        <f>SUMIF(RawDataRecovered!$B:$B,$A84,RawDataRecovered!BA:BA)</f>
        <v>0</v>
      </c>
      <c r="AY84">
        <f>SUMIF(RawDataRecovered!$B:$B,$A84,RawDataRecovered!BB:BB)</f>
        <v>0</v>
      </c>
      <c r="AZ84">
        <f>SUMIF(RawDataRecovered!$B:$B,$A84,RawDataRecovered!BC:BC)</f>
        <v>0</v>
      </c>
      <c r="BA84">
        <f>SUMIF(RawDataRecovered!$B:$B,$A84,RawDataRecovered!BD:BD)</f>
        <v>0</v>
      </c>
      <c r="BB84">
        <f>SUMIF(RawDataRecovered!$B:$B,$A84,RawDataRecovered!BE:BE)</f>
        <v>0</v>
      </c>
      <c r="BC84">
        <f>SUMIF(RawDataRecovered!$B:$B,$A84,RawDataRecovered!BF:BF)</f>
        <v>0</v>
      </c>
      <c r="BD84">
        <f>SUMIF(RawDataRecovered!$B:$B,$A84,RawDataRecovered!BG:BG)</f>
        <v>2</v>
      </c>
      <c r="BE84">
        <f>SUMIF(RawDataRecovered!$B:$B,$A84,RawDataRecovered!BH:BH)</f>
        <v>2</v>
      </c>
      <c r="BF84">
        <f>SUMIF(RawDataRecovered!$B:$B,$A84,RawDataRecovered!BI:BI)</f>
        <v>0</v>
      </c>
      <c r="BG84">
        <f>SUMIF(RawDataRecovered!$B:$B,$A84,RawDataRecovered!BJ:BJ)</f>
        <v>0</v>
      </c>
      <c r="BH84">
        <f>SUMIF(RawDataRecovered!$B:$B,$A84,RawDataRecovered!BK:BK)</f>
        <v>0</v>
      </c>
      <c r="BI84">
        <f>SUMIF(RawDataRecovered!$B:$B,$A84,RawDataRecovered!BL:BL)</f>
        <v>0</v>
      </c>
      <c r="BJ84">
        <f>SUMIF(RawDataRecovered!$B:$B,$A84,RawDataRecovered!BM:BM)</f>
        <v>0</v>
      </c>
      <c r="BK84">
        <f>SUMIF(RawDataRecovered!$B:$B,$A84,RawDataRecovered!BN:BN)</f>
        <v>0</v>
      </c>
      <c r="BL84">
        <f>SUMIF(RawDataRecovered!$B:$B,$A84,RawDataRecovered!BO:BO)</f>
        <v>0</v>
      </c>
      <c r="BM84">
        <f>SUMIF(RawDataRecovered!$B:$B,$A84,RawDataRecovered!BP:BP)</f>
        <v>0</v>
      </c>
      <c r="BN84">
        <f>SUMIF(RawDataRecovered!$B:$B,$A84,RawDataRecovered!BQ:BQ)</f>
        <v>0</v>
      </c>
      <c r="BO84">
        <f>SUMIF(RawDataRecovered!$B:$B,$A84,RawDataRecovered!BR:BR)</f>
        <v>0</v>
      </c>
      <c r="BP84">
        <f>SUMIF(RawDataRecovered!$B:$B,$A84,RawDataRecovered!BS:BS)</f>
        <v>0</v>
      </c>
      <c r="BQ84">
        <f>SUMIF(RawDataRecovered!$B:$B,$A84,RawDataRecovered!BT:BT)</f>
        <v>0</v>
      </c>
      <c r="BR84">
        <f>SUMIF(RawDataRecovered!$B:$B,$A84,RawDataRecovered!BU:BU)</f>
        <v>0</v>
      </c>
      <c r="BS84">
        <f>SUMIF(RawDataRecovered!$B:$B,$A84,RawDataRecovered!BV:BV)</f>
        <v>0</v>
      </c>
      <c r="BT84">
        <f>SUMIF(RawDataRecovered!$B:$B,$A84,RawDataRecovered!BW:BW)</f>
        <v>0</v>
      </c>
    </row>
    <row r="85" spans="1:72" ht="15" thickBot="1" x14ac:dyDescent="0.35">
      <c r="A85" s="3" t="s">
        <v>99</v>
      </c>
      <c r="B85">
        <f>SUMIF(RawDataRecovered!$B:$B,$A85,RawDataRecovered!E:E)</f>
        <v>0</v>
      </c>
      <c r="C85">
        <f>SUMIF(RawDataRecovered!$B:$B,$A85,RawDataRecovered!F:F)</f>
        <v>0</v>
      </c>
      <c r="D85">
        <f>SUMIF(RawDataRecovered!$B:$B,$A85,RawDataRecovered!G:G)</f>
        <v>0</v>
      </c>
      <c r="E85">
        <f>SUMIF(RawDataRecovered!$B:$B,$A85,RawDataRecovered!H:H)</f>
        <v>0</v>
      </c>
      <c r="F85">
        <f>SUMIF(RawDataRecovered!$B:$B,$A85,RawDataRecovered!I:I)</f>
        <v>0</v>
      </c>
      <c r="G85">
        <f>SUMIF(RawDataRecovered!$B:$B,$A85,RawDataRecovered!J:J)</f>
        <v>0</v>
      </c>
      <c r="H85">
        <f>SUMIF(RawDataRecovered!$B:$B,$A85,RawDataRecovered!K:K)</f>
        <v>0</v>
      </c>
      <c r="I85">
        <f>SUMIF(RawDataRecovered!$B:$B,$A85,RawDataRecovered!L:L)</f>
        <v>0</v>
      </c>
      <c r="J85">
        <f>SUMIF(RawDataRecovered!$B:$B,$A85,RawDataRecovered!M:M)</f>
        <v>0</v>
      </c>
      <c r="K85">
        <f>SUMIF(RawDataRecovered!$B:$B,$A85,RawDataRecovered!N:N)</f>
        <v>0</v>
      </c>
      <c r="L85">
        <f>SUMIF(RawDataRecovered!$B:$B,$A85,RawDataRecovered!O:O)</f>
        <v>0</v>
      </c>
      <c r="M85">
        <f>SUMIF(RawDataRecovered!$B:$B,$A85,RawDataRecovered!P:P)</f>
        <v>0</v>
      </c>
      <c r="N85">
        <f>SUMIF(RawDataRecovered!$B:$B,$A85,RawDataRecovered!Q:Q)</f>
        <v>0</v>
      </c>
      <c r="O85">
        <f>SUMIF(RawDataRecovered!$B:$B,$A85,RawDataRecovered!R:R)</f>
        <v>0</v>
      </c>
      <c r="P85">
        <f>SUMIF(RawDataRecovered!$B:$B,$A85,RawDataRecovered!S:S)</f>
        <v>0</v>
      </c>
      <c r="Q85">
        <f>SUMIF(RawDataRecovered!$B:$B,$A85,RawDataRecovered!T:T)</f>
        <v>0</v>
      </c>
      <c r="R85">
        <f>SUMIF(RawDataRecovered!$B:$B,$A85,RawDataRecovered!U:U)</f>
        <v>0</v>
      </c>
      <c r="S85">
        <f>SUMIF(RawDataRecovered!$B:$B,$A85,RawDataRecovered!V:V)</f>
        <v>0</v>
      </c>
      <c r="T85">
        <f>SUMIF(RawDataRecovered!$B:$B,$A85,RawDataRecovered!W:W)</f>
        <v>0</v>
      </c>
      <c r="U85">
        <f>SUMIF(RawDataRecovered!$B:$B,$A85,RawDataRecovered!X:X)</f>
        <v>0</v>
      </c>
      <c r="V85">
        <f>SUMIF(RawDataRecovered!$B:$B,$A85,RawDataRecovered!Y:Y)</f>
        <v>0</v>
      </c>
      <c r="W85">
        <f>SUMIF(RawDataRecovered!$B:$B,$A85,RawDataRecovered!Z:Z)</f>
        <v>0</v>
      </c>
      <c r="X85">
        <f>SUMIF(RawDataRecovered!$B:$B,$A85,RawDataRecovered!AA:AA)</f>
        <v>0</v>
      </c>
      <c r="Y85">
        <f>SUMIF(RawDataRecovered!$B:$B,$A85,RawDataRecovered!AB:AB)</f>
        <v>0</v>
      </c>
      <c r="Z85">
        <f>SUMIF(RawDataRecovered!$B:$B,$A85,RawDataRecovered!AC:AC)</f>
        <v>0</v>
      </c>
      <c r="AA85">
        <f>SUMIF(RawDataRecovered!$B:$B,$A85,RawDataRecovered!AD:AD)</f>
        <v>0</v>
      </c>
      <c r="AB85">
        <f>SUMIF(RawDataRecovered!$B:$B,$A85,RawDataRecovered!AE:AE)</f>
        <v>0</v>
      </c>
      <c r="AC85">
        <f>SUMIF(RawDataRecovered!$B:$B,$A85,RawDataRecovered!AF:AF)</f>
        <v>0</v>
      </c>
      <c r="AD85">
        <f>SUMIF(RawDataRecovered!$B:$B,$A85,RawDataRecovered!AG:AG)</f>
        <v>0</v>
      </c>
      <c r="AE85">
        <f>SUMIF(RawDataRecovered!$B:$B,$A85,RawDataRecovered!AH:AH)</f>
        <v>0</v>
      </c>
      <c r="AF85">
        <f>SUMIF(RawDataRecovered!$B:$B,$A85,RawDataRecovered!AI:AI)</f>
        <v>0</v>
      </c>
      <c r="AG85">
        <f>SUMIF(RawDataRecovered!$B:$B,$A85,RawDataRecovered!AJ:AJ)</f>
        <v>0</v>
      </c>
      <c r="AH85">
        <f>SUMIF(RawDataRecovered!$B:$B,$A85,RawDataRecovered!AK:AK)</f>
        <v>0</v>
      </c>
      <c r="AI85">
        <f>SUMIF(RawDataRecovered!$B:$B,$A85,RawDataRecovered!AL:AL)</f>
        <v>0</v>
      </c>
      <c r="AJ85">
        <f>SUMIF(RawDataRecovered!$B:$B,$A85,RawDataRecovered!AM:AM)</f>
        <v>0</v>
      </c>
      <c r="AK85">
        <f>SUMIF(RawDataRecovered!$B:$B,$A85,RawDataRecovered!AN:AN)</f>
        <v>0</v>
      </c>
      <c r="AL85">
        <f>SUMIF(RawDataRecovered!$B:$B,$A85,RawDataRecovered!AO:AO)</f>
        <v>0</v>
      </c>
      <c r="AM85">
        <f>SUMIF(RawDataRecovered!$B:$B,$A85,RawDataRecovered!AP:AP)</f>
        <v>0</v>
      </c>
      <c r="AN85">
        <f>SUMIF(RawDataRecovered!$B:$B,$A85,RawDataRecovered!AQ:AQ)</f>
        <v>0</v>
      </c>
      <c r="AO85">
        <f>SUMIF(RawDataRecovered!$B:$B,$A85,RawDataRecovered!AR:AR)</f>
        <v>0</v>
      </c>
      <c r="AP85">
        <f>SUMIF(RawDataRecovered!$B:$B,$A85,RawDataRecovered!AS:AS)</f>
        <v>0</v>
      </c>
      <c r="AQ85">
        <f>SUMIF(RawDataRecovered!$B:$B,$A85,RawDataRecovered!AT:AT)</f>
        <v>0</v>
      </c>
      <c r="AR85">
        <f>SUMIF(RawDataRecovered!$B:$B,$A85,RawDataRecovered!AU:AU)</f>
        <v>0</v>
      </c>
      <c r="AS85">
        <f>SUMIF(RawDataRecovered!$B:$B,$A85,RawDataRecovered!AV:AV)</f>
        <v>0</v>
      </c>
      <c r="AT85">
        <f>SUMIF(RawDataRecovered!$B:$B,$A85,RawDataRecovered!AW:AW)</f>
        <v>0</v>
      </c>
      <c r="AU85">
        <f>SUMIF(RawDataRecovered!$B:$B,$A85,RawDataRecovered!AX:AX)</f>
        <v>0</v>
      </c>
      <c r="AV85">
        <f>SUMIF(RawDataRecovered!$B:$B,$A85,RawDataRecovered!AY:AY)</f>
        <v>0</v>
      </c>
      <c r="AW85">
        <f>SUMIF(RawDataRecovered!$B:$B,$A85,RawDataRecovered!AZ:AZ)</f>
        <v>0</v>
      </c>
      <c r="AX85">
        <f>SUMIF(RawDataRecovered!$B:$B,$A85,RawDataRecovered!BA:BA)</f>
        <v>0</v>
      </c>
      <c r="AY85">
        <f>SUMIF(RawDataRecovered!$B:$B,$A85,RawDataRecovered!BB:BB)</f>
        <v>0</v>
      </c>
      <c r="AZ85">
        <f>SUMIF(RawDataRecovered!$B:$B,$A85,RawDataRecovered!BC:BC)</f>
        <v>0</v>
      </c>
      <c r="BA85">
        <f>SUMIF(RawDataRecovered!$B:$B,$A85,RawDataRecovered!BD:BD)</f>
        <v>0</v>
      </c>
      <c r="BB85">
        <f>SUMIF(RawDataRecovered!$B:$B,$A85,RawDataRecovered!BE:BE)</f>
        <v>0</v>
      </c>
      <c r="BC85">
        <f>SUMIF(RawDataRecovered!$B:$B,$A85,RawDataRecovered!BF:BF)</f>
        <v>0</v>
      </c>
      <c r="BD85">
        <f>SUMIF(RawDataRecovered!$B:$B,$A85,RawDataRecovered!BG:BG)</f>
        <v>1</v>
      </c>
      <c r="BE85">
        <f>SUMIF(RawDataRecovered!$B:$B,$A85,RawDataRecovered!BH:BH)</f>
        <v>1</v>
      </c>
      <c r="BF85">
        <f>SUMIF(RawDataRecovered!$B:$B,$A85,RawDataRecovered!BI:BI)</f>
        <v>0</v>
      </c>
      <c r="BG85">
        <f>SUMIF(RawDataRecovered!$B:$B,$A85,RawDataRecovered!BJ:BJ)</f>
        <v>0</v>
      </c>
      <c r="BH85">
        <f>SUMIF(RawDataRecovered!$B:$B,$A85,RawDataRecovered!BK:BK)</f>
        <v>0</v>
      </c>
      <c r="BI85">
        <f>SUMIF(RawDataRecovered!$B:$B,$A85,RawDataRecovered!BL:BL)</f>
        <v>0</v>
      </c>
      <c r="BJ85">
        <f>SUMIF(RawDataRecovered!$B:$B,$A85,RawDataRecovered!BM:BM)</f>
        <v>0</v>
      </c>
      <c r="BK85">
        <f>SUMIF(RawDataRecovered!$B:$B,$A85,RawDataRecovered!BN:BN)</f>
        <v>0</v>
      </c>
      <c r="BL85">
        <f>SUMIF(RawDataRecovered!$B:$B,$A85,RawDataRecovered!BO:BO)</f>
        <v>0</v>
      </c>
      <c r="BM85">
        <f>SUMIF(RawDataRecovered!$B:$B,$A85,RawDataRecovered!BP:BP)</f>
        <v>0</v>
      </c>
      <c r="BN85">
        <f>SUMIF(RawDataRecovered!$B:$B,$A85,RawDataRecovered!BQ:BQ)</f>
        <v>0</v>
      </c>
      <c r="BO85">
        <f>SUMIF(RawDataRecovered!$B:$B,$A85,RawDataRecovered!BR:BR)</f>
        <v>0</v>
      </c>
      <c r="BP85">
        <f>SUMIF(RawDataRecovered!$B:$B,$A85,RawDataRecovered!BS:BS)</f>
        <v>0</v>
      </c>
      <c r="BQ85">
        <f>SUMIF(RawDataRecovered!$B:$B,$A85,RawDataRecovered!BT:BT)</f>
        <v>0</v>
      </c>
      <c r="BR85">
        <f>SUMIF(RawDataRecovered!$B:$B,$A85,RawDataRecovered!BU:BU)</f>
        <v>0</v>
      </c>
      <c r="BS85">
        <f>SUMIF(RawDataRecovered!$B:$B,$A85,RawDataRecovered!BV:BV)</f>
        <v>0</v>
      </c>
      <c r="BT85">
        <f>SUMIF(RawDataRecovered!$B:$B,$A85,RawDataRecovered!BW:BW)</f>
        <v>0</v>
      </c>
    </row>
    <row r="86" spans="1:72" ht="15" thickBot="1" x14ac:dyDescent="0.35">
      <c r="A86" s="3" t="s">
        <v>139</v>
      </c>
      <c r="B86">
        <f>SUMIF(RawDataRecovered!$B:$B,$A86,RawDataRecovered!E:E)</f>
        <v>0</v>
      </c>
      <c r="C86">
        <f>SUMIF(RawDataRecovered!$B:$B,$A86,RawDataRecovered!F:F)</f>
        <v>0</v>
      </c>
      <c r="D86">
        <f>SUMIF(RawDataRecovered!$B:$B,$A86,RawDataRecovered!G:G)</f>
        <v>0</v>
      </c>
      <c r="E86">
        <f>SUMIF(RawDataRecovered!$B:$B,$A86,RawDataRecovered!H:H)</f>
        <v>0</v>
      </c>
      <c r="F86">
        <f>SUMIF(RawDataRecovered!$B:$B,$A86,RawDataRecovered!I:I)</f>
        <v>0</v>
      </c>
      <c r="G86">
        <f>SUMIF(RawDataRecovered!$B:$B,$A86,RawDataRecovered!J:J)</f>
        <v>0</v>
      </c>
      <c r="H86">
        <f>SUMIF(RawDataRecovered!$B:$B,$A86,RawDataRecovered!K:K)</f>
        <v>0</v>
      </c>
      <c r="I86">
        <f>SUMIF(RawDataRecovered!$B:$B,$A86,RawDataRecovered!L:L)</f>
        <v>0</v>
      </c>
      <c r="J86">
        <f>SUMIF(RawDataRecovered!$B:$B,$A86,RawDataRecovered!M:M)</f>
        <v>0</v>
      </c>
      <c r="K86">
        <f>SUMIF(RawDataRecovered!$B:$B,$A86,RawDataRecovered!N:N)</f>
        <v>0</v>
      </c>
      <c r="L86">
        <f>SUMIF(RawDataRecovered!$B:$B,$A86,RawDataRecovered!O:O)</f>
        <v>0</v>
      </c>
      <c r="M86">
        <f>SUMIF(RawDataRecovered!$B:$B,$A86,RawDataRecovered!P:P)</f>
        <v>0</v>
      </c>
      <c r="N86">
        <f>SUMIF(RawDataRecovered!$B:$B,$A86,RawDataRecovered!Q:Q)</f>
        <v>0</v>
      </c>
      <c r="O86">
        <f>SUMIF(RawDataRecovered!$B:$B,$A86,RawDataRecovered!R:R)</f>
        <v>0</v>
      </c>
      <c r="P86">
        <f>SUMIF(RawDataRecovered!$B:$B,$A86,RawDataRecovered!S:S)</f>
        <v>0</v>
      </c>
      <c r="Q86">
        <f>SUMIF(RawDataRecovered!$B:$B,$A86,RawDataRecovered!T:T)</f>
        <v>0</v>
      </c>
      <c r="R86">
        <f>SUMIF(RawDataRecovered!$B:$B,$A86,RawDataRecovered!U:U)</f>
        <v>0</v>
      </c>
      <c r="S86">
        <f>SUMIF(RawDataRecovered!$B:$B,$A86,RawDataRecovered!V:V)</f>
        <v>0</v>
      </c>
      <c r="T86">
        <f>SUMIF(RawDataRecovered!$B:$B,$A86,RawDataRecovered!W:W)</f>
        <v>0</v>
      </c>
      <c r="U86">
        <f>SUMIF(RawDataRecovered!$B:$B,$A86,RawDataRecovered!X:X)</f>
        <v>0</v>
      </c>
      <c r="V86">
        <f>SUMIF(RawDataRecovered!$B:$B,$A86,RawDataRecovered!Y:Y)</f>
        <v>0</v>
      </c>
      <c r="W86">
        <f>SUMIF(RawDataRecovered!$B:$B,$A86,RawDataRecovered!Z:Z)</f>
        <v>0</v>
      </c>
      <c r="X86">
        <f>SUMIF(RawDataRecovered!$B:$B,$A86,RawDataRecovered!AA:AA)</f>
        <v>0</v>
      </c>
      <c r="Y86">
        <f>SUMIF(RawDataRecovered!$B:$B,$A86,RawDataRecovered!AB:AB)</f>
        <v>0</v>
      </c>
      <c r="Z86">
        <f>SUMIF(RawDataRecovered!$B:$B,$A86,RawDataRecovered!AC:AC)</f>
        <v>0</v>
      </c>
      <c r="AA86">
        <f>SUMIF(RawDataRecovered!$B:$B,$A86,RawDataRecovered!AD:AD)</f>
        <v>0</v>
      </c>
      <c r="AB86">
        <f>SUMIF(RawDataRecovered!$B:$B,$A86,RawDataRecovered!AE:AE)</f>
        <v>0</v>
      </c>
      <c r="AC86">
        <f>SUMIF(RawDataRecovered!$B:$B,$A86,RawDataRecovered!AF:AF)</f>
        <v>0</v>
      </c>
      <c r="AD86">
        <f>SUMIF(RawDataRecovered!$B:$B,$A86,RawDataRecovered!AG:AG)</f>
        <v>0</v>
      </c>
      <c r="AE86">
        <f>SUMIF(RawDataRecovered!$B:$B,$A86,RawDataRecovered!AH:AH)</f>
        <v>0</v>
      </c>
      <c r="AF86">
        <f>SUMIF(RawDataRecovered!$B:$B,$A86,RawDataRecovered!AI:AI)</f>
        <v>0</v>
      </c>
      <c r="AG86">
        <f>SUMIF(RawDataRecovered!$B:$B,$A86,RawDataRecovered!AJ:AJ)</f>
        <v>0</v>
      </c>
      <c r="AH86">
        <f>SUMIF(RawDataRecovered!$B:$B,$A86,RawDataRecovered!AK:AK)</f>
        <v>0</v>
      </c>
      <c r="AI86">
        <f>SUMIF(RawDataRecovered!$B:$B,$A86,RawDataRecovered!AL:AL)</f>
        <v>0</v>
      </c>
      <c r="AJ86">
        <f>SUMIF(RawDataRecovered!$B:$B,$A86,RawDataRecovered!AM:AM)</f>
        <v>0</v>
      </c>
      <c r="AK86">
        <f>SUMIF(RawDataRecovered!$B:$B,$A86,RawDataRecovered!AN:AN)</f>
        <v>0</v>
      </c>
      <c r="AL86">
        <f>SUMIF(RawDataRecovered!$B:$B,$A86,RawDataRecovered!AO:AO)</f>
        <v>0</v>
      </c>
      <c r="AM86">
        <f>SUMIF(RawDataRecovered!$B:$B,$A86,RawDataRecovered!AP:AP)</f>
        <v>0</v>
      </c>
      <c r="AN86">
        <f>SUMIF(RawDataRecovered!$B:$B,$A86,RawDataRecovered!AQ:AQ)</f>
        <v>0</v>
      </c>
      <c r="AO86">
        <f>SUMIF(RawDataRecovered!$B:$B,$A86,RawDataRecovered!AR:AR)</f>
        <v>0</v>
      </c>
      <c r="AP86">
        <f>SUMIF(RawDataRecovered!$B:$B,$A86,RawDataRecovered!AS:AS)</f>
        <v>0</v>
      </c>
      <c r="AQ86">
        <f>SUMIF(RawDataRecovered!$B:$B,$A86,RawDataRecovered!AT:AT)</f>
        <v>0</v>
      </c>
      <c r="AR86">
        <f>SUMIF(RawDataRecovered!$B:$B,$A86,RawDataRecovered!AU:AU)</f>
        <v>0</v>
      </c>
      <c r="AS86">
        <f>SUMIF(RawDataRecovered!$B:$B,$A86,RawDataRecovered!AV:AV)</f>
        <v>0</v>
      </c>
      <c r="AT86">
        <f>SUMIF(RawDataRecovered!$B:$B,$A86,RawDataRecovered!AW:AW)</f>
        <v>0</v>
      </c>
      <c r="AU86">
        <f>SUMIF(RawDataRecovered!$B:$B,$A86,RawDataRecovered!AX:AX)</f>
        <v>0</v>
      </c>
      <c r="AV86">
        <f>SUMIF(RawDataRecovered!$B:$B,$A86,RawDataRecovered!AY:AY)</f>
        <v>0</v>
      </c>
      <c r="AW86">
        <f>SUMIF(RawDataRecovered!$B:$B,$A86,RawDataRecovered!AZ:AZ)</f>
        <v>0</v>
      </c>
      <c r="AX86">
        <f>SUMIF(RawDataRecovered!$B:$B,$A86,RawDataRecovered!BA:BA)</f>
        <v>0</v>
      </c>
      <c r="AY86">
        <f>SUMIF(RawDataRecovered!$B:$B,$A86,RawDataRecovered!BB:BB)</f>
        <v>0</v>
      </c>
      <c r="AZ86">
        <f>SUMIF(RawDataRecovered!$B:$B,$A86,RawDataRecovered!BC:BC)</f>
        <v>0</v>
      </c>
      <c r="BA86">
        <f>SUMIF(RawDataRecovered!$B:$B,$A86,RawDataRecovered!BD:BD)</f>
        <v>1</v>
      </c>
      <c r="BB86">
        <f>SUMIF(RawDataRecovered!$B:$B,$A86,RawDataRecovered!BE:BE)</f>
        <v>1</v>
      </c>
      <c r="BC86">
        <f>SUMIF(RawDataRecovered!$B:$B,$A86,RawDataRecovered!BF:BF)</f>
        <v>1</v>
      </c>
      <c r="BD86">
        <f>SUMIF(RawDataRecovered!$B:$B,$A86,RawDataRecovered!BG:BG)</f>
        <v>1</v>
      </c>
      <c r="BE86">
        <f>SUMIF(RawDataRecovered!$B:$B,$A86,RawDataRecovered!BH:BH)</f>
        <v>1</v>
      </c>
      <c r="BF86">
        <f>SUMIF(RawDataRecovered!$B:$B,$A86,RawDataRecovered!BI:BI)</f>
        <v>0</v>
      </c>
      <c r="BG86">
        <f>SUMIF(RawDataRecovered!$B:$B,$A86,RawDataRecovered!BJ:BJ)</f>
        <v>0</v>
      </c>
      <c r="BH86">
        <f>SUMIF(RawDataRecovered!$B:$B,$A86,RawDataRecovered!BK:BK)</f>
        <v>0</v>
      </c>
      <c r="BI86">
        <f>SUMIF(RawDataRecovered!$B:$B,$A86,RawDataRecovered!BL:BL)</f>
        <v>0</v>
      </c>
      <c r="BJ86">
        <f>SUMIF(RawDataRecovered!$B:$B,$A86,RawDataRecovered!BM:BM)</f>
        <v>0</v>
      </c>
      <c r="BK86">
        <f>SUMIF(RawDataRecovered!$B:$B,$A86,RawDataRecovered!BN:BN)</f>
        <v>0</v>
      </c>
      <c r="BL86">
        <f>SUMIF(RawDataRecovered!$B:$B,$A86,RawDataRecovered!BO:BO)</f>
        <v>0</v>
      </c>
      <c r="BM86">
        <f>SUMIF(RawDataRecovered!$B:$B,$A86,RawDataRecovered!BP:BP)</f>
        <v>0</v>
      </c>
      <c r="BN86">
        <f>SUMIF(RawDataRecovered!$B:$B,$A86,RawDataRecovered!BQ:BQ)</f>
        <v>0</v>
      </c>
      <c r="BO86">
        <f>SUMIF(RawDataRecovered!$B:$B,$A86,RawDataRecovered!BR:BR)</f>
        <v>0</v>
      </c>
      <c r="BP86">
        <f>SUMIF(RawDataRecovered!$B:$B,$A86,RawDataRecovered!BS:BS)</f>
        <v>0</v>
      </c>
      <c r="BQ86">
        <f>SUMIF(RawDataRecovered!$B:$B,$A86,RawDataRecovered!BT:BT)</f>
        <v>0</v>
      </c>
      <c r="BR86">
        <f>SUMIF(RawDataRecovered!$B:$B,$A86,RawDataRecovered!BU:BU)</f>
        <v>0</v>
      </c>
      <c r="BS86">
        <f>SUMIF(RawDataRecovered!$B:$B,$A86,RawDataRecovered!BV:BV)</f>
        <v>0</v>
      </c>
      <c r="BT86">
        <f>SUMIF(RawDataRecovered!$B:$B,$A86,RawDataRecovered!BW:BW)</f>
        <v>0</v>
      </c>
    </row>
    <row r="87" spans="1:72" ht="15" thickBot="1" x14ac:dyDescent="0.35">
      <c r="A87" s="3" t="s">
        <v>120</v>
      </c>
      <c r="B87">
        <f>SUMIF(RawDataRecovered!$B:$B,$A87,RawDataRecovered!E:E)</f>
        <v>0</v>
      </c>
      <c r="C87">
        <f>SUMIF(RawDataRecovered!$B:$B,$A87,RawDataRecovered!F:F)</f>
        <v>0</v>
      </c>
      <c r="D87">
        <f>SUMIF(RawDataRecovered!$B:$B,$A87,RawDataRecovered!G:G)</f>
        <v>0</v>
      </c>
      <c r="E87">
        <f>SUMIF(RawDataRecovered!$B:$B,$A87,RawDataRecovered!H:H)</f>
        <v>0</v>
      </c>
      <c r="F87">
        <f>SUMIF(RawDataRecovered!$B:$B,$A87,RawDataRecovered!I:I)</f>
        <v>0</v>
      </c>
      <c r="G87">
        <f>SUMIF(RawDataRecovered!$B:$B,$A87,RawDataRecovered!J:J)</f>
        <v>0</v>
      </c>
      <c r="H87">
        <f>SUMIF(RawDataRecovered!$B:$B,$A87,RawDataRecovered!K:K)</f>
        <v>0</v>
      </c>
      <c r="I87">
        <f>SUMIF(RawDataRecovered!$B:$B,$A87,RawDataRecovered!L:L)</f>
        <v>0</v>
      </c>
      <c r="J87">
        <f>SUMIF(RawDataRecovered!$B:$B,$A87,RawDataRecovered!M:M)</f>
        <v>0</v>
      </c>
      <c r="K87">
        <f>SUMIF(RawDataRecovered!$B:$B,$A87,RawDataRecovered!N:N)</f>
        <v>0</v>
      </c>
      <c r="L87">
        <f>SUMIF(RawDataRecovered!$B:$B,$A87,RawDataRecovered!O:O)</f>
        <v>0</v>
      </c>
      <c r="M87">
        <f>SUMIF(RawDataRecovered!$B:$B,$A87,RawDataRecovered!P:P)</f>
        <v>0</v>
      </c>
      <c r="N87">
        <f>SUMIF(RawDataRecovered!$B:$B,$A87,RawDataRecovered!Q:Q)</f>
        <v>0</v>
      </c>
      <c r="O87">
        <f>SUMIF(RawDataRecovered!$B:$B,$A87,RawDataRecovered!R:R)</f>
        <v>0</v>
      </c>
      <c r="P87">
        <f>SUMIF(RawDataRecovered!$B:$B,$A87,RawDataRecovered!S:S)</f>
        <v>0</v>
      </c>
      <c r="Q87">
        <f>SUMIF(RawDataRecovered!$B:$B,$A87,RawDataRecovered!T:T)</f>
        <v>0</v>
      </c>
      <c r="R87">
        <f>SUMIF(RawDataRecovered!$B:$B,$A87,RawDataRecovered!U:U)</f>
        <v>0</v>
      </c>
      <c r="S87">
        <f>SUMIF(RawDataRecovered!$B:$B,$A87,RawDataRecovered!V:V)</f>
        <v>0</v>
      </c>
      <c r="T87">
        <f>SUMIF(RawDataRecovered!$B:$B,$A87,RawDataRecovered!W:W)</f>
        <v>0</v>
      </c>
      <c r="U87">
        <f>SUMIF(RawDataRecovered!$B:$B,$A87,RawDataRecovered!X:X)</f>
        <v>0</v>
      </c>
      <c r="V87">
        <f>SUMIF(RawDataRecovered!$B:$B,$A87,RawDataRecovered!Y:Y)</f>
        <v>0</v>
      </c>
      <c r="W87">
        <f>SUMIF(RawDataRecovered!$B:$B,$A87,RawDataRecovered!Z:Z)</f>
        <v>0</v>
      </c>
      <c r="X87">
        <f>SUMIF(RawDataRecovered!$B:$B,$A87,RawDataRecovered!AA:AA)</f>
        <v>0</v>
      </c>
      <c r="Y87">
        <f>SUMIF(RawDataRecovered!$B:$B,$A87,RawDataRecovered!AB:AB)</f>
        <v>0</v>
      </c>
      <c r="Z87">
        <f>SUMIF(RawDataRecovered!$B:$B,$A87,RawDataRecovered!AC:AC)</f>
        <v>0</v>
      </c>
      <c r="AA87">
        <f>SUMIF(RawDataRecovered!$B:$B,$A87,RawDataRecovered!AD:AD)</f>
        <v>0</v>
      </c>
      <c r="AB87">
        <f>SUMIF(RawDataRecovered!$B:$B,$A87,RawDataRecovered!AE:AE)</f>
        <v>0</v>
      </c>
      <c r="AC87">
        <f>SUMIF(RawDataRecovered!$B:$B,$A87,RawDataRecovered!AF:AF)</f>
        <v>0</v>
      </c>
      <c r="AD87">
        <f>SUMIF(RawDataRecovered!$B:$B,$A87,RawDataRecovered!AG:AG)</f>
        <v>0</v>
      </c>
      <c r="AE87">
        <f>SUMIF(RawDataRecovered!$B:$B,$A87,RawDataRecovered!AH:AH)</f>
        <v>0</v>
      </c>
      <c r="AF87">
        <f>SUMIF(RawDataRecovered!$B:$B,$A87,RawDataRecovered!AI:AI)</f>
        <v>0</v>
      </c>
      <c r="AG87">
        <f>SUMIF(RawDataRecovered!$B:$B,$A87,RawDataRecovered!AJ:AJ)</f>
        <v>0</v>
      </c>
      <c r="AH87">
        <f>SUMIF(RawDataRecovered!$B:$B,$A87,RawDataRecovered!AK:AK)</f>
        <v>0</v>
      </c>
      <c r="AI87">
        <f>SUMIF(RawDataRecovered!$B:$B,$A87,RawDataRecovered!AL:AL)</f>
        <v>0</v>
      </c>
      <c r="AJ87">
        <f>SUMIF(RawDataRecovered!$B:$B,$A87,RawDataRecovered!AM:AM)</f>
        <v>0</v>
      </c>
      <c r="AK87">
        <f>SUMIF(RawDataRecovered!$B:$B,$A87,RawDataRecovered!AN:AN)</f>
        <v>0</v>
      </c>
      <c r="AL87">
        <f>SUMIF(RawDataRecovered!$B:$B,$A87,RawDataRecovered!AO:AO)</f>
        <v>0</v>
      </c>
      <c r="AM87">
        <f>SUMIF(RawDataRecovered!$B:$B,$A87,RawDataRecovered!AP:AP)</f>
        <v>0</v>
      </c>
      <c r="AN87">
        <f>SUMIF(RawDataRecovered!$B:$B,$A87,RawDataRecovered!AQ:AQ)</f>
        <v>0</v>
      </c>
      <c r="AO87">
        <f>SUMIF(RawDataRecovered!$B:$B,$A87,RawDataRecovered!AR:AR)</f>
        <v>0</v>
      </c>
      <c r="AP87">
        <f>SUMIF(RawDataRecovered!$B:$B,$A87,RawDataRecovered!AS:AS)</f>
        <v>0</v>
      </c>
      <c r="AQ87">
        <f>SUMIF(RawDataRecovered!$B:$B,$A87,RawDataRecovered!AT:AT)</f>
        <v>0</v>
      </c>
      <c r="AR87">
        <f>SUMIF(RawDataRecovered!$B:$B,$A87,RawDataRecovered!AU:AU)</f>
        <v>0</v>
      </c>
      <c r="AS87">
        <f>SUMIF(RawDataRecovered!$B:$B,$A87,RawDataRecovered!AV:AV)</f>
        <v>0</v>
      </c>
      <c r="AT87">
        <f>SUMIF(RawDataRecovered!$B:$B,$A87,RawDataRecovered!AW:AW)</f>
        <v>0</v>
      </c>
      <c r="AU87">
        <f>SUMIF(RawDataRecovered!$B:$B,$A87,RawDataRecovered!AX:AX)</f>
        <v>0</v>
      </c>
      <c r="AV87">
        <f>SUMIF(RawDataRecovered!$B:$B,$A87,RawDataRecovered!AY:AY)</f>
        <v>0</v>
      </c>
      <c r="AW87">
        <f>SUMIF(RawDataRecovered!$B:$B,$A87,RawDataRecovered!AZ:AZ)</f>
        <v>0</v>
      </c>
      <c r="AX87">
        <f>SUMIF(RawDataRecovered!$B:$B,$A87,RawDataRecovered!BA:BA)</f>
        <v>0</v>
      </c>
      <c r="AY87">
        <f>SUMIF(RawDataRecovered!$B:$B,$A87,RawDataRecovered!BB:BB)</f>
        <v>0</v>
      </c>
      <c r="AZ87">
        <f>SUMIF(RawDataRecovered!$B:$B,$A87,RawDataRecovered!BC:BC)</f>
        <v>0</v>
      </c>
      <c r="BA87">
        <f>SUMIF(RawDataRecovered!$B:$B,$A87,RawDataRecovered!BD:BD)</f>
        <v>0</v>
      </c>
      <c r="BB87">
        <f>SUMIF(RawDataRecovered!$B:$B,$A87,RawDataRecovered!BE:BE)</f>
        <v>0</v>
      </c>
      <c r="BC87">
        <f>SUMIF(RawDataRecovered!$B:$B,$A87,RawDataRecovered!BF:BF)</f>
        <v>1</v>
      </c>
      <c r="BD87">
        <f>SUMIF(RawDataRecovered!$B:$B,$A87,RawDataRecovered!BG:BG)</f>
        <v>1</v>
      </c>
      <c r="BE87">
        <f>SUMIF(RawDataRecovered!$B:$B,$A87,RawDataRecovered!BH:BH)</f>
        <v>1</v>
      </c>
      <c r="BF87">
        <f>SUMIF(RawDataRecovered!$B:$B,$A87,RawDataRecovered!BI:BI)</f>
        <v>0</v>
      </c>
      <c r="BG87">
        <f>SUMIF(RawDataRecovered!$B:$B,$A87,RawDataRecovered!BJ:BJ)</f>
        <v>0</v>
      </c>
      <c r="BH87">
        <f>SUMIF(RawDataRecovered!$B:$B,$A87,RawDataRecovered!BK:BK)</f>
        <v>0</v>
      </c>
      <c r="BI87">
        <f>SUMIF(RawDataRecovered!$B:$B,$A87,RawDataRecovered!BL:BL)</f>
        <v>0</v>
      </c>
      <c r="BJ87">
        <f>SUMIF(RawDataRecovered!$B:$B,$A87,RawDataRecovered!BM:BM)</f>
        <v>0</v>
      </c>
      <c r="BK87">
        <f>SUMIF(RawDataRecovered!$B:$B,$A87,RawDataRecovered!BN:BN)</f>
        <v>0</v>
      </c>
      <c r="BL87">
        <f>SUMIF(RawDataRecovered!$B:$B,$A87,RawDataRecovered!BO:BO)</f>
        <v>0</v>
      </c>
      <c r="BM87">
        <f>SUMIF(RawDataRecovered!$B:$B,$A87,RawDataRecovered!BP:BP)</f>
        <v>0</v>
      </c>
      <c r="BN87">
        <f>SUMIF(RawDataRecovered!$B:$B,$A87,RawDataRecovered!BQ:BQ)</f>
        <v>0</v>
      </c>
      <c r="BO87">
        <f>SUMIF(RawDataRecovered!$B:$B,$A87,RawDataRecovered!BR:BR)</f>
        <v>0</v>
      </c>
      <c r="BP87">
        <f>SUMIF(RawDataRecovered!$B:$B,$A87,RawDataRecovered!BS:BS)</f>
        <v>0</v>
      </c>
      <c r="BQ87">
        <f>SUMIF(RawDataRecovered!$B:$B,$A87,RawDataRecovered!BT:BT)</f>
        <v>0</v>
      </c>
      <c r="BR87">
        <f>SUMIF(RawDataRecovered!$B:$B,$A87,RawDataRecovered!BU:BU)</f>
        <v>0</v>
      </c>
      <c r="BS87">
        <f>SUMIF(RawDataRecovered!$B:$B,$A87,RawDataRecovered!BV:BV)</f>
        <v>0</v>
      </c>
      <c r="BT87">
        <f>SUMIF(RawDataRecovered!$B:$B,$A87,RawDataRecovered!BW:BW)</f>
        <v>0</v>
      </c>
    </row>
    <row r="88" spans="1:72" ht="15" thickBot="1" x14ac:dyDescent="0.35">
      <c r="A88" s="4" t="s">
        <v>373</v>
      </c>
      <c r="B88">
        <f>SUMIF(RawDataRecovered!$B:$B,$A88,RawDataRecovered!E:E)</f>
        <v>0</v>
      </c>
      <c r="C88">
        <f>SUMIF(RawDataRecovered!$B:$B,$A88,RawDataRecovered!F:F)</f>
        <v>0</v>
      </c>
      <c r="D88">
        <f>SUMIF(RawDataRecovered!$B:$B,$A88,RawDataRecovered!G:G)</f>
        <v>0</v>
      </c>
      <c r="E88">
        <f>SUMIF(RawDataRecovered!$B:$B,$A88,RawDataRecovered!H:H)</f>
        <v>0</v>
      </c>
      <c r="F88">
        <f>SUMIF(RawDataRecovered!$B:$B,$A88,RawDataRecovered!I:I)</f>
        <v>0</v>
      </c>
      <c r="G88">
        <f>SUMIF(RawDataRecovered!$B:$B,$A88,RawDataRecovered!J:J)</f>
        <v>0</v>
      </c>
      <c r="H88">
        <f>SUMIF(RawDataRecovered!$B:$B,$A88,RawDataRecovered!K:K)</f>
        <v>0</v>
      </c>
      <c r="I88">
        <f>SUMIF(RawDataRecovered!$B:$B,$A88,RawDataRecovered!L:L)</f>
        <v>0</v>
      </c>
      <c r="J88">
        <f>SUMIF(RawDataRecovered!$B:$B,$A88,RawDataRecovered!M:M)</f>
        <v>0</v>
      </c>
      <c r="K88">
        <f>SUMIF(RawDataRecovered!$B:$B,$A88,RawDataRecovered!N:N)</f>
        <v>0</v>
      </c>
      <c r="L88">
        <f>SUMIF(RawDataRecovered!$B:$B,$A88,RawDataRecovered!O:O)</f>
        <v>0</v>
      </c>
      <c r="M88">
        <f>SUMIF(RawDataRecovered!$B:$B,$A88,RawDataRecovered!P:P)</f>
        <v>0</v>
      </c>
      <c r="N88">
        <f>SUMIF(RawDataRecovered!$B:$B,$A88,RawDataRecovered!Q:Q)</f>
        <v>0</v>
      </c>
      <c r="O88">
        <f>SUMIF(RawDataRecovered!$B:$B,$A88,RawDataRecovered!R:R)</f>
        <v>0</v>
      </c>
      <c r="P88">
        <f>SUMIF(RawDataRecovered!$B:$B,$A88,RawDataRecovered!S:S)</f>
        <v>0</v>
      </c>
      <c r="Q88">
        <f>SUMIF(RawDataRecovered!$B:$B,$A88,RawDataRecovered!T:T)</f>
        <v>0</v>
      </c>
      <c r="R88">
        <f>SUMIF(RawDataRecovered!$B:$B,$A88,RawDataRecovered!U:U)</f>
        <v>0</v>
      </c>
      <c r="S88">
        <f>SUMIF(RawDataRecovered!$B:$B,$A88,RawDataRecovered!V:V)</f>
        <v>0</v>
      </c>
      <c r="T88">
        <f>SUMIF(RawDataRecovered!$B:$B,$A88,RawDataRecovered!W:W)</f>
        <v>0</v>
      </c>
      <c r="U88">
        <f>SUMIF(RawDataRecovered!$B:$B,$A88,RawDataRecovered!X:X)</f>
        <v>0</v>
      </c>
      <c r="V88">
        <f>SUMIF(RawDataRecovered!$B:$B,$A88,RawDataRecovered!Y:Y)</f>
        <v>0</v>
      </c>
      <c r="W88">
        <f>SUMIF(RawDataRecovered!$B:$B,$A88,RawDataRecovered!Z:Z)</f>
        <v>0</v>
      </c>
      <c r="X88">
        <f>SUMIF(RawDataRecovered!$B:$B,$A88,RawDataRecovered!AA:AA)</f>
        <v>0</v>
      </c>
      <c r="Y88">
        <f>SUMIF(RawDataRecovered!$B:$B,$A88,RawDataRecovered!AB:AB)</f>
        <v>0</v>
      </c>
      <c r="Z88">
        <f>SUMIF(RawDataRecovered!$B:$B,$A88,RawDataRecovered!AC:AC)</f>
        <v>0</v>
      </c>
      <c r="AA88">
        <f>SUMIF(RawDataRecovered!$B:$B,$A88,RawDataRecovered!AD:AD)</f>
        <v>0</v>
      </c>
      <c r="AB88">
        <f>SUMIF(RawDataRecovered!$B:$B,$A88,RawDataRecovered!AE:AE)</f>
        <v>0</v>
      </c>
      <c r="AC88">
        <f>SUMIF(RawDataRecovered!$B:$B,$A88,RawDataRecovered!AF:AF)</f>
        <v>0</v>
      </c>
      <c r="AD88">
        <f>SUMIF(RawDataRecovered!$B:$B,$A88,RawDataRecovered!AG:AG)</f>
        <v>0</v>
      </c>
      <c r="AE88">
        <f>SUMIF(RawDataRecovered!$B:$B,$A88,RawDataRecovered!AH:AH)</f>
        <v>0</v>
      </c>
      <c r="AF88">
        <f>SUMIF(RawDataRecovered!$B:$B,$A88,RawDataRecovered!AI:AI)</f>
        <v>0</v>
      </c>
      <c r="AG88">
        <f>SUMIF(RawDataRecovered!$B:$B,$A88,RawDataRecovered!AJ:AJ)</f>
        <v>0</v>
      </c>
      <c r="AH88">
        <f>SUMIF(RawDataRecovered!$B:$B,$A88,RawDataRecovered!AK:AK)</f>
        <v>0</v>
      </c>
      <c r="AI88">
        <f>SUMIF(RawDataRecovered!$B:$B,$A88,RawDataRecovered!AL:AL)</f>
        <v>0</v>
      </c>
      <c r="AJ88">
        <f>SUMIF(RawDataRecovered!$B:$B,$A88,RawDataRecovered!AM:AM)</f>
        <v>0</v>
      </c>
      <c r="AK88">
        <f>SUMIF(RawDataRecovered!$B:$B,$A88,RawDataRecovered!AN:AN)</f>
        <v>0</v>
      </c>
      <c r="AL88">
        <f>SUMIF(RawDataRecovered!$B:$B,$A88,RawDataRecovered!AO:AO)</f>
        <v>0</v>
      </c>
      <c r="AM88">
        <f>SUMIF(RawDataRecovered!$B:$B,$A88,RawDataRecovered!AP:AP)</f>
        <v>0</v>
      </c>
      <c r="AN88">
        <f>SUMIF(RawDataRecovered!$B:$B,$A88,RawDataRecovered!AQ:AQ)</f>
        <v>0</v>
      </c>
      <c r="AO88">
        <f>SUMIF(RawDataRecovered!$B:$B,$A88,RawDataRecovered!AR:AR)</f>
        <v>0</v>
      </c>
      <c r="AP88">
        <f>SUMIF(RawDataRecovered!$B:$B,$A88,RawDataRecovered!AS:AS)</f>
        <v>0</v>
      </c>
      <c r="AQ88">
        <f>SUMIF(RawDataRecovered!$B:$B,$A88,RawDataRecovered!AT:AT)</f>
        <v>0</v>
      </c>
      <c r="AR88">
        <f>SUMIF(RawDataRecovered!$B:$B,$A88,RawDataRecovered!AU:AU)</f>
        <v>0</v>
      </c>
      <c r="AS88">
        <f>SUMIF(RawDataRecovered!$B:$B,$A88,RawDataRecovered!AV:AV)</f>
        <v>0</v>
      </c>
      <c r="AT88">
        <f>SUMIF(RawDataRecovered!$B:$B,$A88,RawDataRecovered!AW:AW)</f>
        <v>0</v>
      </c>
      <c r="AU88">
        <f>SUMIF(RawDataRecovered!$B:$B,$A88,RawDataRecovered!AX:AX)</f>
        <v>0</v>
      </c>
      <c r="AV88">
        <f>SUMIF(RawDataRecovered!$B:$B,$A88,RawDataRecovered!AY:AY)</f>
        <v>0</v>
      </c>
      <c r="AW88">
        <f>SUMIF(RawDataRecovered!$B:$B,$A88,RawDataRecovered!AZ:AZ)</f>
        <v>0</v>
      </c>
      <c r="AX88">
        <f>SUMIF(RawDataRecovered!$B:$B,$A88,RawDataRecovered!BA:BA)</f>
        <v>0</v>
      </c>
      <c r="AY88">
        <f>SUMIF(RawDataRecovered!$B:$B,$A88,RawDataRecovered!BB:BB)</f>
        <v>0</v>
      </c>
      <c r="AZ88">
        <f>SUMIF(RawDataRecovered!$B:$B,$A88,RawDataRecovered!BC:BC)</f>
        <v>0</v>
      </c>
      <c r="BA88">
        <f>SUMIF(RawDataRecovered!$B:$B,$A88,RawDataRecovered!BD:BD)</f>
        <v>0</v>
      </c>
      <c r="BB88">
        <f>SUMIF(RawDataRecovered!$B:$B,$A88,RawDataRecovered!BE:BE)</f>
        <v>0</v>
      </c>
      <c r="BC88">
        <f>SUMIF(RawDataRecovered!$B:$B,$A88,RawDataRecovered!BF:BF)</f>
        <v>0</v>
      </c>
      <c r="BD88">
        <f>SUMIF(RawDataRecovered!$B:$B,$A88,RawDataRecovered!BG:BG)</f>
        <v>0</v>
      </c>
      <c r="BE88">
        <f>SUMIF(RawDataRecovered!$B:$B,$A88,RawDataRecovered!BH:BH)</f>
        <v>1</v>
      </c>
      <c r="BF88">
        <f>SUMIF(RawDataRecovered!$B:$B,$A88,RawDataRecovered!BI:BI)</f>
        <v>0</v>
      </c>
      <c r="BG88">
        <f>SUMIF(RawDataRecovered!$B:$B,$A88,RawDataRecovered!BJ:BJ)</f>
        <v>0</v>
      </c>
      <c r="BH88">
        <f>SUMIF(RawDataRecovered!$B:$B,$A88,RawDataRecovered!BK:BK)</f>
        <v>0</v>
      </c>
      <c r="BI88">
        <f>SUMIF(RawDataRecovered!$B:$B,$A88,RawDataRecovered!BL:BL)</f>
        <v>0</v>
      </c>
      <c r="BJ88">
        <f>SUMIF(RawDataRecovered!$B:$B,$A88,RawDataRecovered!BM:BM)</f>
        <v>0</v>
      </c>
      <c r="BK88">
        <f>SUMIF(RawDataRecovered!$B:$B,$A88,RawDataRecovered!BN:BN)</f>
        <v>0</v>
      </c>
      <c r="BL88">
        <f>SUMIF(RawDataRecovered!$B:$B,$A88,RawDataRecovered!BO:BO)</f>
        <v>0</v>
      </c>
      <c r="BM88">
        <f>SUMIF(RawDataRecovered!$B:$B,$A88,RawDataRecovered!BP:BP)</f>
        <v>0</v>
      </c>
      <c r="BN88">
        <f>SUMIF(RawDataRecovered!$B:$B,$A88,RawDataRecovered!BQ:BQ)</f>
        <v>0</v>
      </c>
      <c r="BO88">
        <f>SUMIF(RawDataRecovered!$B:$B,$A88,RawDataRecovered!BR:BR)</f>
        <v>0</v>
      </c>
      <c r="BP88">
        <f>SUMIF(RawDataRecovered!$B:$B,$A88,RawDataRecovered!BS:BS)</f>
        <v>0</v>
      </c>
      <c r="BQ88">
        <f>SUMIF(RawDataRecovered!$B:$B,$A88,RawDataRecovered!BT:BT)</f>
        <v>0</v>
      </c>
      <c r="BR88">
        <f>SUMIF(RawDataRecovered!$B:$B,$A88,RawDataRecovered!BU:BU)</f>
        <v>0</v>
      </c>
      <c r="BS88">
        <f>SUMIF(RawDataRecovered!$B:$B,$A88,RawDataRecovered!BV:BV)</f>
        <v>0</v>
      </c>
      <c r="BT88">
        <f>SUMIF(RawDataRecovered!$B:$B,$A88,RawDataRecovered!BW:BW)</f>
        <v>0</v>
      </c>
    </row>
    <row r="89" spans="1:72" ht="15" thickBot="1" x14ac:dyDescent="0.35">
      <c r="A89" s="4" t="s">
        <v>233</v>
      </c>
      <c r="B89">
        <f>SUMIF(RawDataRecovered!$B:$B,$A89,RawDataRecovered!E:E)</f>
        <v>0</v>
      </c>
      <c r="C89">
        <f>SUMIF(RawDataRecovered!$B:$B,$A89,RawDataRecovered!F:F)</f>
        <v>0</v>
      </c>
      <c r="D89">
        <f>SUMIF(RawDataRecovered!$B:$B,$A89,RawDataRecovered!G:G)</f>
        <v>0</v>
      </c>
      <c r="E89">
        <f>SUMIF(RawDataRecovered!$B:$B,$A89,RawDataRecovered!H:H)</f>
        <v>0</v>
      </c>
      <c r="F89">
        <f>SUMIF(RawDataRecovered!$B:$B,$A89,RawDataRecovered!I:I)</f>
        <v>0</v>
      </c>
      <c r="G89">
        <f>SUMIF(RawDataRecovered!$B:$B,$A89,RawDataRecovered!J:J)</f>
        <v>0</v>
      </c>
      <c r="H89">
        <f>SUMIF(RawDataRecovered!$B:$B,$A89,RawDataRecovered!K:K)</f>
        <v>0</v>
      </c>
      <c r="I89">
        <f>SUMIF(RawDataRecovered!$B:$B,$A89,RawDataRecovered!L:L)</f>
        <v>0</v>
      </c>
      <c r="J89">
        <f>SUMIF(RawDataRecovered!$B:$B,$A89,RawDataRecovered!M:M)</f>
        <v>0</v>
      </c>
      <c r="K89">
        <f>SUMIF(RawDataRecovered!$B:$B,$A89,RawDataRecovered!N:N)</f>
        <v>0</v>
      </c>
      <c r="L89">
        <f>SUMIF(RawDataRecovered!$B:$B,$A89,RawDataRecovered!O:O)</f>
        <v>0</v>
      </c>
      <c r="M89">
        <f>SUMIF(RawDataRecovered!$B:$B,$A89,RawDataRecovered!P:P)</f>
        <v>0</v>
      </c>
      <c r="N89">
        <f>SUMIF(RawDataRecovered!$B:$B,$A89,RawDataRecovered!Q:Q)</f>
        <v>0</v>
      </c>
      <c r="O89">
        <f>SUMIF(RawDataRecovered!$B:$B,$A89,RawDataRecovered!R:R)</f>
        <v>0</v>
      </c>
      <c r="P89">
        <f>SUMIF(RawDataRecovered!$B:$B,$A89,RawDataRecovered!S:S)</f>
        <v>0</v>
      </c>
      <c r="Q89">
        <f>SUMIF(RawDataRecovered!$B:$B,$A89,RawDataRecovered!T:T)</f>
        <v>0</v>
      </c>
      <c r="R89">
        <f>SUMIF(RawDataRecovered!$B:$B,$A89,RawDataRecovered!U:U)</f>
        <v>0</v>
      </c>
      <c r="S89">
        <f>SUMIF(RawDataRecovered!$B:$B,$A89,RawDataRecovered!V:V)</f>
        <v>0</v>
      </c>
      <c r="T89">
        <f>SUMIF(RawDataRecovered!$B:$B,$A89,RawDataRecovered!W:W)</f>
        <v>0</v>
      </c>
      <c r="U89">
        <f>SUMIF(RawDataRecovered!$B:$B,$A89,RawDataRecovered!X:X)</f>
        <v>0</v>
      </c>
      <c r="V89">
        <f>SUMIF(RawDataRecovered!$B:$B,$A89,RawDataRecovered!Y:Y)</f>
        <v>0</v>
      </c>
      <c r="W89">
        <f>SUMIF(RawDataRecovered!$B:$B,$A89,RawDataRecovered!Z:Z)</f>
        <v>0</v>
      </c>
      <c r="X89">
        <f>SUMIF(RawDataRecovered!$B:$B,$A89,RawDataRecovered!AA:AA)</f>
        <v>0</v>
      </c>
      <c r="Y89">
        <f>SUMIF(RawDataRecovered!$B:$B,$A89,RawDataRecovered!AB:AB)</f>
        <v>0</v>
      </c>
      <c r="Z89">
        <f>SUMIF(RawDataRecovered!$B:$B,$A89,RawDataRecovered!AC:AC)</f>
        <v>0</v>
      </c>
      <c r="AA89">
        <f>SUMIF(RawDataRecovered!$B:$B,$A89,RawDataRecovered!AD:AD)</f>
        <v>0</v>
      </c>
      <c r="AB89">
        <f>SUMIF(RawDataRecovered!$B:$B,$A89,RawDataRecovered!AE:AE)</f>
        <v>0</v>
      </c>
      <c r="AC89">
        <f>SUMIF(RawDataRecovered!$B:$B,$A89,RawDataRecovered!AF:AF)</f>
        <v>0</v>
      </c>
      <c r="AD89">
        <f>SUMIF(RawDataRecovered!$B:$B,$A89,RawDataRecovered!AG:AG)</f>
        <v>0</v>
      </c>
      <c r="AE89">
        <f>SUMIF(RawDataRecovered!$B:$B,$A89,RawDataRecovered!AH:AH)</f>
        <v>0</v>
      </c>
      <c r="AF89">
        <f>SUMIF(RawDataRecovered!$B:$B,$A89,RawDataRecovered!AI:AI)</f>
        <v>0</v>
      </c>
      <c r="AG89">
        <f>SUMIF(RawDataRecovered!$B:$B,$A89,RawDataRecovered!AJ:AJ)</f>
        <v>0</v>
      </c>
      <c r="AH89">
        <f>SUMIF(RawDataRecovered!$B:$B,$A89,RawDataRecovered!AK:AK)</f>
        <v>0</v>
      </c>
      <c r="AI89">
        <f>SUMIF(RawDataRecovered!$B:$B,$A89,RawDataRecovered!AL:AL)</f>
        <v>0</v>
      </c>
      <c r="AJ89">
        <f>SUMIF(RawDataRecovered!$B:$B,$A89,RawDataRecovered!AM:AM)</f>
        <v>0</v>
      </c>
      <c r="AK89">
        <f>SUMIF(RawDataRecovered!$B:$B,$A89,RawDataRecovered!AN:AN)</f>
        <v>0</v>
      </c>
      <c r="AL89">
        <f>SUMIF(RawDataRecovered!$B:$B,$A89,RawDataRecovered!AO:AO)</f>
        <v>0</v>
      </c>
      <c r="AM89">
        <f>SUMIF(RawDataRecovered!$B:$B,$A89,RawDataRecovered!AP:AP)</f>
        <v>0</v>
      </c>
      <c r="AN89">
        <f>SUMIF(RawDataRecovered!$B:$B,$A89,RawDataRecovered!AQ:AQ)</f>
        <v>0</v>
      </c>
      <c r="AO89">
        <f>SUMIF(RawDataRecovered!$B:$B,$A89,RawDataRecovered!AR:AR)</f>
        <v>0</v>
      </c>
      <c r="AP89">
        <f>SUMIF(RawDataRecovered!$B:$B,$A89,RawDataRecovered!AS:AS)</f>
        <v>0</v>
      </c>
      <c r="AQ89">
        <f>SUMIF(RawDataRecovered!$B:$B,$A89,RawDataRecovered!AT:AT)</f>
        <v>0</v>
      </c>
      <c r="AR89">
        <f>SUMIF(RawDataRecovered!$B:$B,$A89,RawDataRecovered!AU:AU)</f>
        <v>0</v>
      </c>
      <c r="AS89">
        <f>SUMIF(RawDataRecovered!$B:$B,$A89,RawDataRecovered!AV:AV)</f>
        <v>0</v>
      </c>
      <c r="AT89">
        <f>SUMIF(RawDataRecovered!$B:$B,$A89,RawDataRecovered!AW:AW)</f>
        <v>0</v>
      </c>
      <c r="AU89">
        <f>SUMIF(RawDataRecovered!$B:$B,$A89,RawDataRecovered!AX:AX)</f>
        <v>0</v>
      </c>
      <c r="AV89">
        <f>SUMIF(RawDataRecovered!$B:$B,$A89,RawDataRecovered!AY:AY)</f>
        <v>0</v>
      </c>
      <c r="AW89">
        <f>SUMIF(RawDataRecovered!$B:$B,$A89,RawDataRecovered!AZ:AZ)</f>
        <v>0</v>
      </c>
      <c r="AX89">
        <f>SUMIF(RawDataRecovered!$B:$B,$A89,RawDataRecovered!BA:BA)</f>
        <v>0</v>
      </c>
      <c r="AY89">
        <f>SUMIF(RawDataRecovered!$B:$B,$A89,RawDataRecovered!BB:BB)</f>
        <v>0</v>
      </c>
      <c r="AZ89">
        <f>SUMIF(RawDataRecovered!$B:$B,$A89,RawDataRecovered!BC:BC)</f>
        <v>0</v>
      </c>
      <c r="BA89">
        <f>SUMIF(RawDataRecovered!$B:$B,$A89,RawDataRecovered!BD:BD)</f>
        <v>0</v>
      </c>
      <c r="BB89">
        <f>SUMIF(RawDataRecovered!$B:$B,$A89,RawDataRecovered!BE:BE)</f>
        <v>0</v>
      </c>
      <c r="BC89">
        <f>SUMIF(RawDataRecovered!$B:$B,$A89,RawDataRecovered!BF:BF)</f>
        <v>0</v>
      </c>
      <c r="BD89">
        <f>SUMIF(RawDataRecovered!$B:$B,$A89,RawDataRecovered!BG:BG)</f>
        <v>0</v>
      </c>
      <c r="BE89">
        <f>SUMIF(RawDataRecovered!$B:$B,$A89,RawDataRecovered!BH:BH)</f>
        <v>0</v>
      </c>
      <c r="BF89">
        <f>SUMIF(RawDataRecovered!$B:$B,$A89,RawDataRecovered!BI:BI)</f>
        <v>0</v>
      </c>
      <c r="BG89">
        <f>SUMIF(RawDataRecovered!$B:$B,$A89,RawDataRecovered!BJ:BJ)</f>
        <v>0</v>
      </c>
      <c r="BH89">
        <f>SUMIF(RawDataRecovered!$B:$B,$A89,RawDataRecovered!BK:BK)</f>
        <v>0</v>
      </c>
      <c r="BI89">
        <f>SUMIF(RawDataRecovered!$B:$B,$A89,RawDataRecovered!BL:BL)</f>
        <v>0</v>
      </c>
      <c r="BJ89">
        <f>SUMIF(RawDataRecovered!$B:$B,$A89,RawDataRecovered!BM:BM)</f>
        <v>0</v>
      </c>
      <c r="BK89">
        <f>SUMIF(RawDataRecovered!$B:$B,$A89,RawDataRecovered!BN:BN)</f>
        <v>0</v>
      </c>
      <c r="BL89">
        <f>SUMIF(RawDataRecovered!$B:$B,$A89,RawDataRecovered!BO:BO)</f>
        <v>0</v>
      </c>
      <c r="BM89">
        <f>SUMIF(RawDataRecovered!$B:$B,$A89,RawDataRecovered!BP:BP)</f>
        <v>0</v>
      </c>
      <c r="BN89">
        <f>SUMIF(RawDataRecovered!$B:$B,$A89,RawDataRecovered!BQ:BQ)</f>
        <v>0</v>
      </c>
      <c r="BO89">
        <f>SUMIF(RawDataRecovered!$B:$B,$A89,RawDataRecovered!BR:BR)</f>
        <v>0</v>
      </c>
      <c r="BP89">
        <f>SUMIF(RawDataRecovered!$B:$B,$A89,RawDataRecovered!BS:BS)</f>
        <v>0</v>
      </c>
      <c r="BQ89">
        <f>SUMIF(RawDataRecovered!$B:$B,$A89,RawDataRecovered!BT:BT)</f>
        <v>0</v>
      </c>
      <c r="BR89">
        <f>SUMIF(RawDataRecovered!$B:$B,$A89,RawDataRecovered!BU:BU)</f>
        <v>0</v>
      </c>
      <c r="BS89">
        <f>SUMIF(RawDataRecovered!$B:$B,$A89,RawDataRecovered!BV:BV)</f>
        <v>0</v>
      </c>
      <c r="BT89">
        <f>SUMIF(RawDataRecovered!$B:$B,$A89,RawDataRecovered!BW:BW)</f>
        <v>0</v>
      </c>
    </row>
    <row r="90" spans="1:72" ht="15" thickBot="1" x14ac:dyDescent="0.35">
      <c r="A90" s="3" t="s">
        <v>79</v>
      </c>
      <c r="B90">
        <f>SUMIF(RawDataRecovered!$B:$B,$A90,RawDataRecovered!E:E)</f>
        <v>0</v>
      </c>
      <c r="C90">
        <f>SUMIF(RawDataRecovered!$B:$B,$A90,RawDataRecovered!F:F)</f>
        <v>0</v>
      </c>
      <c r="D90">
        <f>SUMIF(RawDataRecovered!$B:$B,$A90,RawDataRecovered!G:G)</f>
        <v>0</v>
      </c>
      <c r="E90">
        <f>SUMIF(RawDataRecovered!$B:$B,$A90,RawDataRecovered!H:H)</f>
        <v>0</v>
      </c>
      <c r="F90">
        <f>SUMIF(RawDataRecovered!$B:$B,$A90,RawDataRecovered!I:I)</f>
        <v>0</v>
      </c>
      <c r="G90">
        <f>SUMIF(RawDataRecovered!$B:$B,$A90,RawDataRecovered!J:J)</f>
        <v>0</v>
      </c>
      <c r="H90">
        <f>SUMIF(RawDataRecovered!$B:$B,$A90,RawDataRecovered!K:K)</f>
        <v>0</v>
      </c>
      <c r="I90">
        <f>SUMIF(RawDataRecovered!$B:$B,$A90,RawDataRecovered!L:L)</f>
        <v>0</v>
      </c>
      <c r="J90">
        <f>SUMIF(RawDataRecovered!$B:$B,$A90,RawDataRecovered!M:M)</f>
        <v>0</v>
      </c>
      <c r="K90">
        <f>SUMIF(RawDataRecovered!$B:$B,$A90,RawDataRecovered!N:N)</f>
        <v>0</v>
      </c>
      <c r="L90">
        <f>SUMIF(RawDataRecovered!$B:$B,$A90,RawDataRecovered!O:O)</f>
        <v>0</v>
      </c>
      <c r="M90">
        <f>SUMIF(RawDataRecovered!$B:$B,$A90,RawDataRecovered!P:P)</f>
        <v>0</v>
      </c>
      <c r="N90">
        <f>SUMIF(RawDataRecovered!$B:$B,$A90,RawDataRecovered!Q:Q)</f>
        <v>0</v>
      </c>
      <c r="O90">
        <f>SUMIF(RawDataRecovered!$B:$B,$A90,RawDataRecovered!R:R)</f>
        <v>0</v>
      </c>
      <c r="P90">
        <f>SUMIF(RawDataRecovered!$B:$B,$A90,RawDataRecovered!S:S)</f>
        <v>0</v>
      </c>
      <c r="Q90">
        <f>SUMIF(RawDataRecovered!$B:$B,$A90,RawDataRecovered!T:T)</f>
        <v>0</v>
      </c>
      <c r="R90">
        <f>SUMIF(RawDataRecovered!$B:$B,$A90,RawDataRecovered!U:U)</f>
        <v>0</v>
      </c>
      <c r="S90">
        <f>SUMIF(RawDataRecovered!$B:$B,$A90,RawDataRecovered!V:V)</f>
        <v>1</v>
      </c>
      <c r="T90">
        <f>SUMIF(RawDataRecovered!$B:$B,$A90,RawDataRecovered!W:W)</f>
        <v>1</v>
      </c>
      <c r="U90">
        <f>SUMIF(RawDataRecovered!$B:$B,$A90,RawDataRecovered!X:X)</f>
        <v>1</v>
      </c>
      <c r="V90">
        <f>SUMIF(RawDataRecovered!$B:$B,$A90,RawDataRecovered!Y:Y)</f>
        <v>1</v>
      </c>
      <c r="W90">
        <f>SUMIF(RawDataRecovered!$B:$B,$A90,RawDataRecovered!Z:Z)</f>
        <v>1</v>
      </c>
      <c r="X90">
        <f>SUMIF(RawDataRecovered!$B:$B,$A90,RawDataRecovered!AA:AA)</f>
        <v>1</v>
      </c>
      <c r="Y90">
        <f>SUMIF(RawDataRecovered!$B:$B,$A90,RawDataRecovered!AB:AB)</f>
        <v>1</v>
      </c>
      <c r="Z90">
        <f>SUMIF(RawDataRecovered!$B:$B,$A90,RawDataRecovered!AC:AC)</f>
        <v>1</v>
      </c>
      <c r="AA90">
        <f>SUMIF(RawDataRecovered!$B:$B,$A90,RawDataRecovered!AD:AD)</f>
        <v>1</v>
      </c>
      <c r="AB90">
        <f>SUMIF(RawDataRecovered!$B:$B,$A90,RawDataRecovered!AE:AE)</f>
        <v>1</v>
      </c>
      <c r="AC90">
        <f>SUMIF(RawDataRecovered!$B:$B,$A90,RawDataRecovered!AF:AF)</f>
        <v>1</v>
      </c>
      <c r="AD90">
        <f>SUMIF(RawDataRecovered!$B:$B,$A90,RawDataRecovered!AG:AG)</f>
        <v>1</v>
      </c>
      <c r="AE90">
        <f>SUMIF(RawDataRecovered!$B:$B,$A90,RawDataRecovered!AH:AH)</f>
        <v>1</v>
      </c>
      <c r="AF90">
        <f>SUMIF(RawDataRecovered!$B:$B,$A90,RawDataRecovered!AI:AI)</f>
        <v>1</v>
      </c>
      <c r="AG90">
        <f>SUMIF(RawDataRecovered!$B:$B,$A90,RawDataRecovered!AJ:AJ)</f>
        <v>1</v>
      </c>
      <c r="AH90">
        <f>SUMIF(RawDataRecovered!$B:$B,$A90,RawDataRecovered!AK:AK)</f>
        <v>1</v>
      </c>
      <c r="AI90">
        <f>SUMIF(RawDataRecovered!$B:$B,$A90,RawDataRecovered!AL:AL)</f>
        <v>1</v>
      </c>
      <c r="AJ90">
        <f>SUMIF(RawDataRecovered!$B:$B,$A90,RawDataRecovered!AM:AM)</f>
        <v>1</v>
      </c>
      <c r="AK90">
        <f>SUMIF(RawDataRecovered!$B:$B,$A90,RawDataRecovered!AN:AN)</f>
        <v>1</v>
      </c>
      <c r="AL90">
        <f>SUMIF(RawDataRecovered!$B:$B,$A90,RawDataRecovered!AO:AO)</f>
        <v>1</v>
      </c>
      <c r="AM90">
        <f>SUMIF(RawDataRecovered!$B:$B,$A90,RawDataRecovered!AP:AP)</f>
        <v>1</v>
      </c>
      <c r="AN90">
        <f>SUMIF(RawDataRecovered!$B:$B,$A90,RawDataRecovered!AQ:AQ)</f>
        <v>1</v>
      </c>
      <c r="AO90">
        <f>SUMIF(RawDataRecovered!$B:$B,$A90,RawDataRecovered!AR:AR)</f>
        <v>1</v>
      </c>
      <c r="AP90">
        <f>SUMIF(RawDataRecovered!$B:$B,$A90,RawDataRecovered!AS:AS)</f>
        <v>1</v>
      </c>
      <c r="AQ90">
        <f>SUMIF(RawDataRecovered!$B:$B,$A90,RawDataRecovered!AT:AT)</f>
        <v>1</v>
      </c>
      <c r="AR90">
        <f>SUMIF(RawDataRecovered!$B:$B,$A90,RawDataRecovered!AU:AU)</f>
        <v>1</v>
      </c>
      <c r="AS90">
        <f>SUMIF(RawDataRecovered!$B:$B,$A90,RawDataRecovered!AV:AV)</f>
        <v>1</v>
      </c>
      <c r="AT90">
        <f>SUMIF(RawDataRecovered!$B:$B,$A90,RawDataRecovered!AW:AW)</f>
        <v>1</v>
      </c>
      <c r="AU90">
        <f>SUMIF(RawDataRecovered!$B:$B,$A90,RawDataRecovered!AX:AX)</f>
        <v>1</v>
      </c>
      <c r="AV90">
        <f>SUMIF(RawDataRecovered!$B:$B,$A90,RawDataRecovered!AY:AY)</f>
        <v>1</v>
      </c>
      <c r="AW90">
        <f>SUMIF(RawDataRecovered!$B:$B,$A90,RawDataRecovered!AZ:AZ)</f>
        <v>1</v>
      </c>
      <c r="AX90">
        <f>SUMIF(RawDataRecovered!$B:$B,$A90,RawDataRecovered!BA:BA)</f>
        <v>1</v>
      </c>
      <c r="AY90">
        <f>SUMIF(RawDataRecovered!$B:$B,$A90,RawDataRecovered!BB:BB)</f>
        <v>1</v>
      </c>
      <c r="AZ90">
        <f>SUMIF(RawDataRecovered!$B:$B,$A90,RawDataRecovered!BC:BC)</f>
        <v>1</v>
      </c>
      <c r="BA90">
        <f>SUMIF(RawDataRecovered!$B:$B,$A90,RawDataRecovered!BD:BD)</f>
        <v>1</v>
      </c>
      <c r="BB90">
        <f>SUMIF(RawDataRecovered!$B:$B,$A90,RawDataRecovered!BE:BE)</f>
        <v>1</v>
      </c>
      <c r="BC90">
        <f>SUMIF(RawDataRecovered!$B:$B,$A90,RawDataRecovered!BF:BF)</f>
        <v>1</v>
      </c>
      <c r="BD90">
        <f>SUMIF(RawDataRecovered!$B:$B,$A90,RawDataRecovered!BG:BG)</f>
        <v>1</v>
      </c>
      <c r="BE90">
        <f>SUMIF(RawDataRecovered!$B:$B,$A90,RawDataRecovered!BH:BH)</f>
        <v>1</v>
      </c>
      <c r="BF90">
        <f>SUMIF(RawDataRecovered!$B:$B,$A90,RawDataRecovered!BI:BI)</f>
        <v>0</v>
      </c>
      <c r="BG90">
        <f>SUMIF(RawDataRecovered!$B:$B,$A90,RawDataRecovered!BJ:BJ)</f>
        <v>0</v>
      </c>
      <c r="BH90">
        <f>SUMIF(RawDataRecovered!$B:$B,$A90,RawDataRecovered!BK:BK)</f>
        <v>0</v>
      </c>
      <c r="BI90">
        <f>SUMIF(RawDataRecovered!$B:$B,$A90,RawDataRecovered!BL:BL)</f>
        <v>0</v>
      </c>
      <c r="BJ90">
        <f>SUMIF(RawDataRecovered!$B:$B,$A90,RawDataRecovered!BM:BM)</f>
        <v>0</v>
      </c>
      <c r="BK90">
        <f>SUMIF(RawDataRecovered!$B:$B,$A90,RawDataRecovered!BN:BN)</f>
        <v>0</v>
      </c>
      <c r="BL90">
        <f>SUMIF(RawDataRecovered!$B:$B,$A90,RawDataRecovered!BO:BO)</f>
        <v>0</v>
      </c>
      <c r="BM90">
        <f>SUMIF(RawDataRecovered!$B:$B,$A90,RawDataRecovered!BP:BP)</f>
        <v>0</v>
      </c>
      <c r="BN90">
        <f>SUMIF(RawDataRecovered!$B:$B,$A90,RawDataRecovered!BQ:BQ)</f>
        <v>0</v>
      </c>
      <c r="BO90">
        <f>SUMIF(RawDataRecovered!$B:$B,$A90,RawDataRecovered!BR:BR)</f>
        <v>0</v>
      </c>
      <c r="BP90">
        <f>SUMIF(RawDataRecovered!$B:$B,$A90,RawDataRecovered!BS:BS)</f>
        <v>0</v>
      </c>
      <c r="BQ90">
        <f>SUMIF(RawDataRecovered!$B:$B,$A90,RawDataRecovered!BT:BT)</f>
        <v>0</v>
      </c>
      <c r="BR90">
        <f>SUMIF(RawDataRecovered!$B:$B,$A90,RawDataRecovered!BU:BU)</f>
        <v>0</v>
      </c>
      <c r="BS90">
        <f>SUMIF(RawDataRecovered!$B:$B,$A90,RawDataRecovered!BV:BV)</f>
        <v>0</v>
      </c>
      <c r="BT90">
        <f>SUMIF(RawDataRecovered!$B:$B,$A90,RawDataRecovered!BW:BW)</f>
        <v>0</v>
      </c>
    </row>
    <row r="91" spans="1:72" ht="15" thickBot="1" x14ac:dyDescent="0.35">
      <c r="A91" s="4" t="s">
        <v>78</v>
      </c>
      <c r="B91">
        <f>SUMIF(RawDataRecovered!$B:$B,$A91,RawDataRecovered!E:E)</f>
        <v>0</v>
      </c>
      <c r="C91">
        <f>SUMIF(RawDataRecovered!$B:$B,$A91,RawDataRecovered!F:F)</f>
        <v>0</v>
      </c>
      <c r="D91">
        <f>SUMIF(RawDataRecovered!$B:$B,$A91,RawDataRecovered!G:G)</f>
        <v>0</v>
      </c>
      <c r="E91">
        <f>SUMIF(RawDataRecovered!$B:$B,$A91,RawDataRecovered!H:H)</f>
        <v>0</v>
      </c>
      <c r="F91">
        <f>SUMIF(RawDataRecovered!$B:$B,$A91,RawDataRecovered!I:I)</f>
        <v>0</v>
      </c>
      <c r="G91">
        <f>SUMIF(RawDataRecovered!$B:$B,$A91,RawDataRecovered!J:J)</f>
        <v>0</v>
      </c>
      <c r="H91">
        <f>SUMIF(RawDataRecovered!$B:$B,$A91,RawDataRecovered!K:K)</f>
        <v>0</v>
      </c>
      <c r="I91">
        <f>SUMIF(RawDataRecovered!$B:$B,$A91,RawDataRecovered!L:L)</f>
        <v>0</v>
      </c>
      <c r="J91">
        <f>SUMIF(RawDataRecovered!$B:$B,$A91,RawDataRecovered!M:M)</f>
        <v>0</v>
      </c>
      <c r="K91">
        <f>SUMIF(RawDataRecovered!$B:$B,$A91,RawDataRecovered!N:N)</f>
        <v>0</v>
      </c>
      <c r="L91">
        <f>SUMIF(RawDataRecovered!$B:$B,$A91,RawDataRecovered!O:O)</f>
        <v>0</v>
      </c>
      <c r="M91">
        <f>SUMIF(RawDataRecovered!$B:$B,$A91,RawDataRecovered!P:P)</f>
        <v>0</v>
      </c>
      <c r="N91">
        <f>SUMIF(RawDataRecovered!$B:$B,$A91,RawDataRecovered!Q:Q)</f>
        <v>0</v>
      </c>
      <c r="O91">
        <f>SUMIF(RawDataRecovered!$B:$B,$A91,RawDataRecovered!R:R)</f>
        <v>0</v>
      </c>
      <c r="P91">
        <f>SUMIF(RawDataRecovered!$B:$B,$A91,RawDataRecovered!S:S)</f>
        <v>0</v>
      </c>
      <c r="Q91">
        <f>SUMIF(RawDataRecovered!$B:$B,$A91,RawDataRecovered!T:T)</f>
        <v>0</v>
      </c>
      <c r="R91">
        <f>SUMIF(RawDataRecovered!$B:$B,$A91,RawDataRecovered!U:U)</f>
        <v>0</v>
      </c>
      <c r="S91">
        <f>SUMIF(RawDataRecovered!$B:$B,$A91,RawDataRecovered!V:V)</f>
        <v>0</v>
      </c>
      <c r="T91">
        <f>SUMIF(RawDataRecovered!$B:$B,$A91,RawDataRecovered!W:W)</f>
        <v>0</v>
      </c>
      <c r="U91">
        <f>SUMIF(RawDataRecovered!$B:$B,$A91,RawDataRecovered!X:X)</f>
        <v>0</v>
      </c>
      <c r="V91">
        <f>SUMIF(RawDataRecovered!$B:$B,$A91,RawDataRecovered!Y:Y)</f>
        <v>0</v>
      </c>
      <c r="W91">
        <f>SUMIF(RawDataRecovered!$B:$B,$A91,RawDataRecovered!Z:Z)</f>
        <v>1</v>
      </c>
      <c r="X91">
        <f>SUMIF(RawDataRecovered!$B:$B,$A91,RawDataRecovered!AA:AA)</f>
        <v>1</v>
      </c>
      <c r="Y91">
        <f>SUMIF(RawDataRecovered!$B:$B,$A91,RawDataRecovered!AB:AB)</f>
        <v>1</v>
      </c>
      <c r="Z91">
        <f>SUMIF(RawDataRecovered!$B:$B,$A91,RawDataRecovered!AC:AC)</f>
        <v>1</v>
      </c>
      <c r="AA91">
        <f>SUMIF(RawDataRecovered!$B:$B,$A91,RawDataRecovered!AD:AD)</f>
        <v>1</v>
      </c>
      <c r="AB91">
        <f>SUMIF(RawDataRecovered!$B:$B,$A91,RawDataRecovered!AE:AE)</f>
        <v>1</v>
      </c>
      <c r="AC91">
        <f>SUMIF(RawDataRecovered!$B:$B,$A91,RawDataRecovered!AF:AF)</f>
        <v>1</v>
      </c>
      <c r="AD91">
        <f>SUMIF(RawDataRecovered!$B:$B,$A91,RawDataRecovered!AG:AG)</f>
        <v>1</v>
      </c>
      <c r="AE91">
        <f>SUMIF(RawDataRecovered!$B:$B,$A91,RawDataRecovered!AH:AH)</f>
        <v>1</v>
      </c>
      <c r="AF91">
        <f>SUMIF(RawDataRecovered!$B:$B,$A91,RawDataRecovered!AI:AI)</f>
        <v>1</v>
      </c>
      <c r="AG91">
        <f>SUMIF(RawDataRecovered!$B:$B,$A91,RawDataRecovered!AJ:AJ)</f>
        <v>1</v>
      </c>
      <c r="AH91">
        <f>SUMIF(RawDataRecovered!$B:$B,$A91,RawDataRecovered!AK:AK)</f>
        <v>1</v>
      </c>
      <c r="AI91">
        <f>SUMIF(RawDataRecovered!$B:$B,$A91,RawDataRecovered!AL:AL)</f>
        <v>1</v>
      </c>
      <c r="AJ91">
        <f>SUMIF(RawDataRecovered!$B:$B,$A91,RawDataRecovered!AM:AM)</f>
        <v>1</v>
      </c>
      <c r="AK91">
        <f>SUMIF(RawDataRecovered!$B:$B,$A91,RawDataRecovered!AN:AN)</f>
        <v>1</v>
      </c>
      <c r="AL91">
        <f>SUMIF(RawDataRecovered!$B:$B,$A91,RawDataRecovered!AO:AO)</f>
        <v>1</v>
      </c>
      <c r="AM91">
        <f>SUMIF(RawDataRecovered!$B:$B,$A91,RawDataRecovered!AP:AP)</f>
        <v>1</v>
      </c>
      <c r="AN91">
        <f>SUMIF(RawDataRecovered!$B:$B,$A91,RawDataRecovered!AQ:AQ)</f>
        <v>1</v>
      </c>
      <c r="AO91">
        <f>SUMIF(RawDataRecovered!$B:$B,$A91,RawDataRecovered!AR:AR)</f>
        <v>1</v>
      </c>
      <c r="AP91">
        <f>SUMIF(RawDataRecovered!$B:$B,$A91,RawDataRecovered!AS:AS)</f>
        <v>1</v>
      </c>
      <c r="AQ91">
        <f>SUMIF(RawDataRecovered!$B:$B,$A91,RawDataRecovered!AT:AT)</f>
        <v>1</v>
      </c>
      <c r="AR91">
        <f>SUMIF(RawDataRecovered!$B:$B,$A91,RawDataRecovered!AU:AU)</f>
        <v>1</v>
      </c>
      <c r="AS91">
        <f>SUMIF(RawDataRecovered!$B:$B,$A91,RawDataRecovered!AV:AV)</f>
        <v>1</v>
      </c>
      <c r="AT91">
        <f>SUMIF(RawDataRecovered!$B:$B,$A91,RawDataRecovered!AW:AW)</f>
        <v>1</v>
      </c>
      <c r="AU91">
        <f>SUMIF(RawDataRecovered!$B:$B,$A91,RawDataRecovered!AX:AX)</f>
        <v>1</v>
      </c>
      <c r="AV91">
        <f>SUMIF(RawDataRecovered!$B:$B,$A91,RawDataRecovered!AY:AY)</f>
        <v>1</v>
      </c>
      <c r="AW91">
        <f>SUMIF(RawDataRecovered!$B:$B,$A91,RawDataRecovered!AZ:AZ)</f>
        <v>1</v>
      </c>
      <c r="AX91">
        <f>SUMIF(RawDataRecovered!$B:$B,$A91,RawDataRecovered!BA:BA)</f>
        <v>1</v>
      </c>
      <c r="AY91">
        <f>SUMIF(RawDataRecovered!$B:$B,$A91,RawDataRecovered!BB:BB)</f>
        <v>1</v>
      </c>
      <c r="AZ91">
        <f>SUMIF(RawDataRecovered!$B:$B,$A91,RawDataRecovered!BC:BC)</f>
        <v>1</v>
      </c>
      <c r="BA91">
        <f>SUMIF(RawDataRecovered!$B:$B,$A91,RawDataRecovered!BD:BD)</f>
        <v>1</v>
      </c>
      <c r="BB91">
        <f>SUMIF(RawDataRecovered!$B:$B,$A91,RawDataRecovered!BE:BE)</f>
        <v>1</v>
      </c>
      <c r="BC91">
        <f>SUMIF(RawDataRecovered!$B:$B,$A91,RawDataRecovered!BF:BF)</f>
        <v>1</v>
      </c>
      <c r="BD91">
        <f>SUMIF(RawDataRecovered!$B:$B,$A91,RawDataRecovered!BG:BG)</f>
        <v>1</v>
      </c>
      <c r="BE91">
        <f>SUMIF(RawDataRecovered!$B:$B,$A91,RawDataRecovered!BH:BH)</f>
        <v>1</v>
      </c>
      <c r="BF91">
        <f>SUMIF(RawDataRecovered!$B:$B,$A91,RawDataRecovered!BI:BI)</f>
        <v>0</v>
      </c>
      <c r="BG91">
        <f>SUMIF(RawDataRecovered!$B:$B,$A91,RawDataRecovered!BJ:BJ)</f>
        <v>0</v>
      </c>
      <c r="BH91">
        <f>SUMIF(RawDataRecovered!$B:$B,$A91,RawDataRecovered!BK:BK)</f>
        <v>0</v>
      </c>
      <c r="BI91">
        <f>SUMIF(RawDataRecovered!$B:$B,$A91,RawDataRecovered!BL:BL)</f>
        <v>0</v>
      </c>
      <c r="BJ91">
        <f>SUMIF(RawDataRecovered!$B:$B,$A91,RawDataRecovered!BM:BM)</f>
        <v>0</v>
      </c>
      <c r="BK91">
        <f>SUMIF(RawDataRecovered!$B:$B,$A91,RawDataRecovered!BN:BN)</f>
        <v>0</v>
      </c>
      <c r="BL91">
        <f>SUMIF(RawDataRecovered!$B:$B,$A91,RawDataRecovered!BO:BO)</f>
        <v>0</v>
      </c>
      <c r="BM91">
        <f>SUMIF(RawDataRecovered!$B:$B,$A91,RawDataRecovered!BP:BP)</f>
        <v>0</v>
      </c>
      <c r="BN91">
        <f>SUMIF(RawDataRecovered!$B:$B,$A91,RawDataRecovered!BQ:BQ)</f>
        <v>0</v>
      </c>
      <c r="BO91">
        <f>SUMIF(RawDataRecovered!$B:$B,$A91,RawDataRecovered!BR:BR)</f>
        <v>0</v>
      </c>
      <c r="BP91">
        <f>SUMIF(RawDataRecovered!$B:$B,$A91,RawDataRecovered!BS:BS)</f>
        <v>0</v>
      </c>
      <c r="BQ91">
        <f>SUMIF(RawDataRecovered!$B:$B,$A91,RawDataRecovered!BT:BT)</f>
        <v>0</v>
      </c>
      <c r="BR91">
        <f>SUMIF(RawDataRecovered!$B:$B,$A91,RawDataRecovered!BU:BU)</f>
        <v>0</v>
      </c>
      <c r="BS91">
        <f>SUMIF(RawDataRecovered!$B:$B,$A91,RawDataRecovered!BV:BV)</f>
        <v>0</v>
      </c>
      <c r="BT91">
        <f>SUMIF(RawDataRecovered!$B:$B,$A91,RawDataRecovered!BW:BW)</f>
        <v>0</v>
      </c>
    </row>
    <row r="92" spans="1:72" ht="15" thickBot="1" x14ac:dyDescent="0.35">
      <c r="A92" s="3" t="s">
        <v>133</v>
      </c>
      <c r="B92">
        <f>SUMIF(RawDataRecovered!$B:$B,$A92,RawDataRecovered!E:E)</f>
        <v>0</v>
      </c>
      <c r="C92">
        <f>SUMIF(RawDataRecovered!$B:$B,$A92,RawDataRecovered!F:F)</f>
        <v>0</v>
      </c>
      <c r="D92">
        <f>SUMIF(RawDataRecovered!$B:$B,$A92,RawDataRecovered!G:G)</f>
        <v>0</v>
      </c>
      <c r="E92">
        <f>SUMIF(RawDataRecovered!$B:$B,$A92,RawDataRecovered!H:H)</f>
        <v>0</v>
      </c>
      <c r="F92">
        <f>SUMIF(RawDataRecovered!$B:$B,$A92,RawDataRecovered!I:I)</f>
        <v>0</v>
      </c>
      <c r="G92">
        <f>SUMIF(RawDataRecovered!$B:$B,$A92,RawDataRecovered!J:J)</f>
        <v>0</v>
      </c>
      <c r="H92">
        <f>SUMIF(RawDataRecovered!$B:$B,$A92,RawDataRecovered!K:K)</f>
        <v>0</v>
      </c>
      <c r="I92">
        <f>SUMIF(RawDataRecovered!$B:$B,$A92,RawDataRecovered!L:L)</f>
        <v>0</v>
      </c>
      <c r="J92">
        <f>SUMIF(RawDataRecovered!$B:$B,$A92,RawDataRecovered!M:M)</f>
        <v>0</v>
      </c>
      <c r="K92">
        <f>SUMIF(RawDataRecovered!$B:$B,$A92,RawDataRecovered!N:N)</f>
        <v>0</v>
      </c>
      <c r="L92">
        <f>SUMIF(RawDataRecovered!$B:$B,$A92,RawDataRecovered!O:O)</f>
        <v>0</v>
      </c>
      <c r="M92">
        <f>SUMIF(RawDataRecovered!$B:$B,$A92,RawDataRecovered!P:P)</f>
        <v>0</v>
      </c>
      <c r="N92">
        <f>SUMIF(RawDataRecovered!$B:$B,$A92,RawDataRecovered!Q:Q)</f>
        <v>0</v>
      </c>
      <c r="O92">
        <f>SUMIF(RawDataRecovered!$B:$B,$A92,RawDataRecovered!R:R)</f>
        <v>0</v>
      </c>
      <c r="P92">
        <f>SUMIF(RawDataRecovered!$B:$B,$A92,RawDataRecovered!S:S)</f>
        <v>0</v>
      </c>
      <c r="Q92">
        <f>SUMIF(RawDataRecovered!$B:$B,$A92,RawDataRecovered!T:T)</f>
        <v>0</v>
      </c>
      <c r="R92">
        <f>SUMIF(RawDataRecovered!$B:$B,$A92,RawDataRecovered!U:U)</f>
        <v>0</v>
      </c>
      <c r="S92">
        <f>SUMIF(RawDataRecovered!$B:$B,$A92,RawDataRecovered!V:V)</f>
        <v>0</v>
      </c>
      <c r="T92">
        <f>SUMIF(RawDataRecovered!$B:$B,$A92,RawDataRecovered!W:W)</f>
        <v>0</v>
      </c>
      <c r="U92">
        <f>SUMIF(RawDataRecovered!$B:$B,$A92,RawDataRecovered!X:X)</f>
        <v>0</v>
      </c>
      <c r="V92">
        <f>SUMIF(RawDataRecovered!$B:$B,$A92,RawDataRecovered!Y:Y)</f>
        <v>0</v>
      </c>
      <c r="W92">
        <f>SUMIF(RawDataRecovered!$B:$B,$A92,RawDataRecovered!Z:Z)</f>
        <v>0</v>
      </c>
      <c r="X92">
        <f>SUMIF(RawDataRecovered!$B:$B,$A92,RawDataRecovered!AA:AA)</f>
        <v>0</v>
      </c>
      <c r="Y92">
        <f>SUMIF(RawDataRecovered!$B:$B,$A92,RawDataRecovered!AB:AB)</f>
        <v>0</v>
      </c>
      <c r="Z92">
        <f>SUMIF(RawDataRecovered!$B:$B,$A92,RawDataRecovered!AC:AC)</f>
        <v>0</v>
      </c>
      <c r="AA92">
        <f>SUMIF(RawDataRecovered!$B:$B,$A92,RawDataRecovered!AD:AD)</f>
        <v>0</v>
      </c>
      <c r="AB92">
        <f>SUMIF(RawDataRecovered!$B:$B,$A92,RawDataRecovered!AE:AE)</f>
        <v>0</v>
      </c>
      <c r="AC92">
        <f>SUMIF(RawDataRecovered!$B:$B,$A92,RawDataRecovered!AF:AF)</f>
        <v>0</v>
      </c>
      <c r="AD92">
        <f>SUMIF(RawDataRecovered!$B:$B,$A92,RawDataRecovered!AG:AG)</f>
        <v>0</v>
      </c>
      <c r="AE92">
        <f>SUMIF(RawDataRecovered!$B:$B,$A92,RawDataRecovered!AH:AH)</f>
        <v>0</v>
      </c>
      <c r="AF92">
        <f>SUMIF(RawDataRecovered!$B:$B,$A92,RawDataRecovered!AI:AI)</f>
        <v>0</v>
      </c>
      <c r="AG92">
        <f>SUMIF(RawDataRecovered!$B:$B,$A92,RawDataRecovered!AJ:AJ)</f>
        <v>0</v>
      </c>
      <c r="AH92">
        <f>SUMIF(RawDataRecovered!$B:$B,$A92,RawDataRecovered!AK:AK)</f>
        <v>0</v>
      </c>
      <c r="AI92">
        <f>SUMIF(RawDataRecovered!$B:$B,$A92,RawDataRecovered!AL:AL)</f>
        <v>0</v>
      </c>
      <c r="AJ92">
        <f>SUMIF(RawDataRecovered!$B:$B,$A92,RawDataRecovered!AM:AM)</f>
        <v>0</v>
      </c>
      <c r="AK92">
        <f>SUMIF(RawDataRecovered!$B:$B,$A92,RawDataRecovered!AN:AN)</f>
        <v>0</v>
      </c>
      <c r="AL92">
        <f>SUMIF(RawDataRecovered!$B:$B,$A92,RawDataRecovered!AO:AO)</f>
        <v>0</v>
      </c>
      <c r="AM92">
        <f>SUMIF(RawDataRecovered!$B:$B,$A92,RawDataRecovered!AP:AP)</f>
        <v>0</v>
      </c>
      <c r="AN92">
        <f>SUMIF(RawDataRecovered!$B:$B,$A92,RawDataRecovered!AQ:AQ)</f>
        <v>0</v>
      </c>
      <c r="AO92">
        <f>SUMIF(RawDataRecovered!$B:$B,$A92,RawDataRecovered!AR:AR)</f>
        <v>0</v>
      </c>
      <c r="AP92">
        <f>SUMIF(RawDataRecovered!$B:$B,$A92,RawDataRecovered!AS:AS)</f>
        <v>0</v>
      </c>
      <c r="AQ92">
        <f>SUMIF(RawDataRecovered!$B:$B,$A92,RawDataRecovered!AT:AT)</f>
        <v>0</v>
      </c>
      <c r="AR92">
        <f>SUMIF(RawDataRecovered!$B:$B,$A92,RawDataRecovered!AU:AU)</f>
        <v>0</v>
      </c>
      <c r="AS92">
        <f>SUMIF(RawDataRecovered!$B:$B,$A92,RawDataRecovered!AV:AV)</f>
        <v>0</v>
      </c>
      <c r="AT92">
        <f>SUMIF(RawDataRecovered!$B:$B,$A92,RawDataRecovered!AW:AW)</f>
        <v>0</v>
      </c>
      <c r="AU92">
        <f>SUMIF(RawDataRecovered!$B:$B,$A92,RawDataRecovered!AX:AX)</f>
        <v>0</v>
      </c>
      <c r="AV92">
        <f>SUMIF(RawDataRecovered!$B:$B,$A92,RawDataRecovered!AY:AY)</f>
        <v>0</v>
      </c>
      <c r="AW92">
        <f>SUMIF(RawDataRecovered!$B:$B,$A92,RawDataRecovered!AZ:AZ)</f>
        <v>0</v>
      </c>
      <c r="AX92">
        <f>SUMIF(RawDataRecovered!$B:$B,$A92,RawDataRecovered!BA:BA)</f>
        <v>0</v>
      </c>
      <c r="AY92">
        <f>SUMIF(RawDataRecovered!$B:$B,$A92,RawDataRecovered!BB:BB)</f>
        <v>0</v>
      </c>
      <c r="AZ92">
        <f>SUMIF(RawDataRecovered!$B:$B,$A92,RawDataRecovered!BC:BC)</f>
        <v>0</v>
      </c>
      <c r="BA92">
        <f>SUMIF(RawDataRecovered!$B:$B,$A92,RawDataRecovered!BD:BD)</f>
        <v>0</v>
      </c>
      <c r="BB92">
        <f>SUMIF(RawDataRecovered!$B:$B,$A92,RawDataRecovered!BE:BE)</f>
        <v>0</v>
      </c>
      <c r="BC92">
        <f>SUMIF(RawDataRecovered!$B:$B,$A92,RawDataRecovered!BF:BF)</f>
        <v>0</v>
      </c>
      <c r="BD92">
        <f>SUMIF(RawDataRecovered!$B:$B,$A92,RawDataRecovered!BG:BG)</f>
        <v>0</v>
      </c>
      <c r="BE92">
        <f>SUMIF(RawDataRecovered!$B:$B,$A92,RawDataRecovered!BH:BH)</f>
        <v>0</v>
      </c>
      <c r="BF92">
        <f>SUMIF(RawDataRecovered!$B:$B,$A92,RawDataRecovered!BI:BI)</f>
        <v>0</v>
      </c>
      <c r="BG92">
        <f>SUMIF(RawDataRecovered!$B:$B,$A92,RawDataRecovered!BJ:BJ)</f>
        <v>0</v>
      </c>
      <c r="BH92">
        <f>SUMIF(RawDataRecovered!$B:$B,$A92,RawDataRecovered!BK:BK)</f>
        <v>0</v>
      </c>
      <c r="BI92">
        <f>SUMIF(RawDataRecovered!$B:$B,$A92,RawDataRecovered!BL:BL)</f>
        <v>0</v>
      </c>
      <c r="BJ92">
        <f>SUMIF(RawDataRecovered!$B:$B,$A92,RawDataRecovered!BM:BM)</f>
        <v>0</v>
      </c>
      <c r="BK92">
        <f>SUMIF(RawDataRecovered!$B:$B,$A92,RawDataRecovered!BN:BN)</f>
        <v>0</v>
      </c>
      <c r="BL92">
        <f>SUMIF(RawDataRecovered!$B:$B,$A92,RawDataRecovered!BO:BO)</f>
        <v>0</v>
      </c>
      <c r="BM92">
        <f>SUMIF(RawDataRecovered!$B:$B,$A92,RawDataRecovered!BP:BP)</f>
        <v>0</v>
      </c>
      <c r="BN92">
        <f>SUMIF(RawDataRecovered!$B:$B,$A92,RawDataRecovered!BQ:BQ)</f>
        <v>0</v>
      </c>
      <c r="BO92">
        <f>SUMIF(RawDataRecovered!$B:$B,$A92,RawDataRecovered!BR:BR)</f>
        <v>0</v>
      </c>
      <c r="BP92">
        <f>SUMIF(RawDataRecovered!$B:$B,$A92,RawDataRecovered!BS:BS)</f>
        <v>0</v>
      </c>
      <c r="BQ92">
        <f>SUMIF(RawDataRecovered!$B:$B,$A92,RawDataRecovered!BT:BT)</f>
        <v>0</v>
      </c>
      <c r="BR92">
        <f>SUMIF(RawDataRecovered!$B:$B,$A92,RawDataRecovered!BU:BU)</f>
        <v>0</v>
      </c>
      <c r="BS92">
        <f>SUMIF(RawDataRecovered!$B:$B,$A92,RawDataRecovered!BV:BV)</f>
        <v>0</v>
      </c>
      <c r="BT92">
        <f>SUMIF(RawDataRecovered!$B:$B,$A92,RawDataRecovered!BW:BW)</f>
        <v>0</v>
      </c>
    </row>
    <row r="93" spans="1:72" ht="15" thickBot="1" x14ac:dyDescent="0.35">
      <c r="A93" s="4" t="s">
        <v>203</v>
      </c>
      <c r="B93">
        <f>SUMIF(RawDataRecovered!$B:$B,$A93,RawDataRecovered!E:E)</f>
        <v>0</v>
      </c>
      <c r="C93">
        <f>SUMIF(RawDataRecovered!$B:$B,$A93,RawDataRecovered!F:F)</f>
        <v>0</v>
      </c>
      <c r="D93">
        <f>SUMIF(RawDataRecovered!$B:$B,$A93,RawDataRecovered!G:G)</f>
        <v>0</v>
      </c>
      <c r="E93">
        <f>SUMIF(RawDataRecovered!$B:$B,$A93,RawDataRecovered!H:H)</f>
        <v>0</v>
      </c>
      <c r="F93">
        <f>SUMIF(RawDataRecovered!$B:$B,$A93,RawDataRecovered!I:I)</f>
        <v>0</v>
      </c>
      <c r="G93">
        <f>SUMIF(RawDataRecovered!$B:$B,$A93,RawDataRecovered!J:J)</f>
        <v>0</v>
      </c>
      <c r="H93">
        <f>SUMIF(RawDataRecovered!$B:$B,$A93,RawDataRecovered!K:K)</f>
        <v>0</v>
      </c>
      <c r="I93">
        <f>SUMIF(RawDataRecovered!$B:$B,$A93,RawDataRecovered!L:L)</f>
        <v>0</v>
      </c>
      <c r="J93">
        <f>SUMIF(RawDataRecovered!$B:$B,$A93,RawDataRecovered!M:M)</f>
        <v>0</v>
      </c>
      <c r="K93">
        <f>SUMIF(RawDataRecovered!$B:$B,$A93,RawDataRecovered!N:N)</f>
        <v>0</v>
      </c>
      <c r="L93">
        <f>SUMIF(RawDataRecovered!$B:$B,$A93,RawDataRecovered!O:O)</f>
        <v>0</v>
      </c>
      <c r="M93">
        <f>SUMIF(RawDataRecovered!$B:$B,$A93,RawDataRecovered!P:P)</f>
        <v>0</v>
      </c>
      <c r="N93">
        <f>SUMIF(RawDataRecovered!$B:$B,$A93,RawDataRecovered!Q:Q)</f>
        <v>0</v>
      </c>
      <c r="O93">
        <f>SUMIF(RawDataRecovered!$B:$B,$A93,RawDataRecovered!R:R)</f>
        <v>0</v>
      </c>
      <c r="P93">
        <f>SUMIF(RawDataRecovered!$B:$B,$A93,RawDataRecovered!S:S)</f>
        <v>0</v>
      </c>
      <c r="Q93">
        <f>SUMIF(RawDataRecovered!$B:$B,$A93,RawDataRecovered!T:T)</f>
        <v>0</v>
      </c>
      <c r="R93">
        <f>SUMIF(RawDataRecovered!$B:$B,$A93,RawDataRecovered!U:U)</f>
        <v>0</v>
      </c>
      <c r="S93">
        <f>SUMIF(RawDataRecovered!$B:$B,$A93,RawDataRecovered!V:V)</f>
        <v>0</v>
      </c>
      <c r="T93">
        <f>SUMIF(RawDataRecovered!$B:$B,$A93,RawDataRecovered!W:W)</f>
        <v>0</v>
      </c>
      <c r="U93">
        <f>SUMIF(RawDataRecovered!$B:$B,$A93,RawDataRecovered!X:X)</f>
        <v>0</v>
      </c>
      <c r="V93">
        <f>SUMIF(RawDataRecovered!$B:$B,$A93,RawDataRecovered!Y:Y)</f>
        <v>0</v>
      </c>
      <c r="W93">
        <f>SUMIF(RawDataRecovered!$B:$B,$A93,RawDataRecovered!Z:Z)</f>
        <v>0</v>
      </c>
      <c r="X93">
        <f>SUMIF(RawDataRecovered!$B:$B,$A93,RawDataRecovered!AA:AA)</f>
        <v>0</v>
      </c>
      <c r="Y93">
        <f>SUMIF(RawDataRecovered!$B:$B,$A93,RawDataRecovered!AB:AB)</f>
        <v>0</v>
      </c>
      <c r="Z93">
        <f>SUMIF(RawDataRecovered!$B:$B,$A93,RawDataRecovered!AC:AC)</f>
        <v>0</v>
      </c>
      <c r="AA93">
        <f>SUMIF(RawDataRecovered!$B:$B,$A93,RawDataRecovered!AD:AD)</f>
        <v>0</v>
      </c>
      <c r="AB93">
        <f>SUMIF(RawDataRecovered!$B:$B,$A93,RawDataRecovered!AE:AE)</f>
        <v>0</v>
      </c>
      <c r="AC93">
        <f>SUMIF(RawDataRecovered!$B:$B,$A93,RawDataRecovered!AF:AF)</f>
        <v>0</v>
      </c>
      <c r="AD93">
        <f>SUMIF(RawDataRecovered!$B:$B,$A93,RawDataRecovered!AG:AG)</f>
        <v>0</v>
      </c>
      <c r="AE93">
        <f>SUMIF(RawDataRecovered!$B:$B,$A93,RawDataRecovered!AH:AH)</f>
        <v>0</v>
      </c>
      <c r="AF93">
        <f>SUMIF(RawDataRecovered!$B:$B,$A93,RawDataRecovered!AI:AI)</f>
        <v>0</v>
      </c>
      <c r="AG93">
        <f>SUMIF(RawDataRecovered!$B:$B,$A93,RawDataRecovered!AJ:AJ)</f>
        <v>0</v>
      </c>
      <c r="AH93">
        <f>SUMIF(RawDataRecovered!$B:$B,$A93,RawDataRecovered!AK:AK)</f>
        <v>0</v>
      </c>
      <c r="AI93">
        <f>SUMIF(RawDataRecovered!$B:$B,$A93,RawDataRecovered!AL:AL)</f>
        <v>0</v>
      </c>
      <c r="AJ93">
        <f>SUMIF(RawDataRecovered!$B:$B,$A93,RawDataRecovered!AM:AM)</f>
        <v>0</v>
      </c>
      <c r="AK93">
        <f>SUMIF(RawDataRecovered!$B:$B,$A93,RawDataRecovered!AN:AN)</f>
        <v>0</v>
      </c>
      <c r="AL93">
        <f>SUMIF(RawDataRecovered!$B:$B,$A93,RawDataRecovered!AO:AO)</f>
        <v>0</v>
      </c>
      <c r="AM93">
        <f>SUMIF(RawDataRecovered!$B:$B,$A93,RawDataRecovered!AP:AP)</f>
        <v>0</v>
      </c>
      <c r="AN93">
        <f>SUMIF(RawDataRecovered!$B:$B,$A93,RawDataRecovered!AQ:AQ)</f>
        <v>0</v>
      </c>
      <c r="AO93">
        <f>SUMIF(RawDataRecovered!$B:$B,$A93,RawDataRecovered!AR:AR)</f>
        <v>0</v>
      </c>
      <c r="AP93">
        <f>SUMIF(RawDataRecovered!$B:$B,$A93,RawDataRecovered!AS:AS)</f>
        <v>0</v>
      </c>
      <c r="AQ93">
        <f>SUMIF(RawDataRecovered!$B:$B,$A93,RawDataRecovered!AT:AT)</f>
        <v>0</v>
      </c>
      <c r="AR93">
        <f>SUMIF(RawDataRecovered!$B:$B,$A93,RawDataRecovered!AU:AU)</f>
        <v>0</v>
      </c>
      <c r="AS93">
        <f>SUMIF(RawDataRecovered!$B:$B,$A93,RawDataRecovered!AV:AV)</f>
        <v>0</v>
      </c>
      <c r="AT93">
        <f>SUMIF(RawDataRecovered!$B:$B,$A93,RawDataRecovered!AW:AW)</f>
        <v>0</v>
      </c>
      <c r="AU93">
        <f>SUMIF(RawDataRecovered!$B:$B,$A93,RawDataRecovered!AX:AX)</f>
        <v>0</v>
      </c>
      <c r="AV93">
        <f>SUMIF(RawDataRecovered!$B:$B,$A93,RawDataRecovered!AY:AY)</f>
        <v>0</v>
      </c>
      <c r="AW93">
        <f>SUMIF(RawDataRecovered!$B:$B,$A93,RawDataRecovered!AZ:AZ)</f>
        <v>0</v>
      </c>
      <c r="AX93">
        <f>SUMIF(RawDataRecovered!$B:$B,$A93,RawDataRecovered!BA:BA)</f>
        <v>0</v>
      </c>
      <c r="AY93">
        <f>SUMIF(RawDataRecovered!$B:$B,$A93,RawDataRecovered!BB:BB)</f>
        <v>0</v>
      </c>
      <c r="AZ93">
        <f>SUMIF(RawDataRecovered!$B:$B,$A93,RawDataRecovered!BC:BC)</f>
        <v>0</v>
      </c>
      <c r="BA93">
        <f>SUMIF(RawDataRecovered!$B:$B,$A93,RawDataRecovered!BD:BD)</f>
        <v>0</v>
      </c>
      <c r="BB93">
        <f>SUMIF(RawDataRecovered!$B:$B,$A93,RawDataRecovered!BE:BE)</f>
        <v>0</v>
      </c>
      <c r="BC93">
        <f>SUMIF(RawDataRecovered!$B:$B,$A93,RawDataRecovered!BF:BF)</f>
        <v>0</v>
      </c>
      <c r="BD93">
        <f>SUMIF(RawDataRecovered!$B:$B,$A93,RawDataRecovered!BG:BG)</f>
        <v>0</v>
      </c>
      <c r="BE93">
        <f>SUMIF(RawDataRecovered!$B:$B,$A93,RawDataRecovered!BH:BH)</f>
        <v>0</v>
      </c>
      <c r="BF93">
        <f>SUMIF(RawDataRecovered!$B:$B,$A93,RawDataRecovered!BI:BI)</f>
        <v>0</v>
      </c>
      <c r="BG93">
        <f>SUMIF(RawDataRecovered!$B:$B,$A93,RawDataRecovered!BJ:BJ)</f>
        <v>0</v>
      </c>
      <c r="BH93">
        <f>SUMIF(RawDataRecovered!$B:$B,$A93,RawDataRecovered!BK:BK)</f>
        <v>0</v>
      </c>
      <c r="BI93">
        <f>SUMIF(RawDataRecovered!$B:$B,$A93,RawDataRecovered!BL:BL)</f>
        <v>0</v>
      </c>
      <c r="BJ93">
        <f>SUMIF(RawDataRecovered!$B:$B,$A93,RawDataRecovered!BM:BM)</f>
        <v>0</v>
      </c>
      <c r="BK93">
        <f>SUMIF(RawDataRecovered!$B:$B,$A93,RawDataRecovered!BN:BN)</f>
        <v>0</v>
      </c>
      <c r="BL93">
        <f>SUMIF(RawDataRecovered!$B:$B,$A93,RawDataRecovered!BO:BO)</f>
        <v>0</v>
      </c>
      <c r="BM93">
        <f>SUMIF(RawDataRecovered!$B:$B,$A93,RawDataRecovered!BP:BP)</f>
        <v>0</v>
      </c>
      <c r="BN93">
        <f>SUMIF(RawDataRecovered!$B:$B,$A93,RawDataRecovered!BQ:BQ)</f>
        <v>0</v>
      </c>
      <c r="BO93">
        <f>SUMIF(RawDataRecovered!$B:$B,$A93,RawDataRecovered!BR:BR)</f>
        <v>0</v>
      </c>
      <c r="BP93">
        <f>SUMIF(RawDataRecovered!$B:$B,$A93,RawDataRecovered!BS:BS)</f>
        <v>0</v>
      </c>
      <c r="BQ93">
        <f>SUMIF(RawDataRecovered!$B:$B,$A93,RawDataRecovered!BT:BT)</f>
        <v>0</v>
      </c>
      <c r="BR93">
        <f>SUMIF(RawDataRecovered!$B:$B,$A93,RawDataRecovered!BU:BU)</f>
        <v>0</v>
      </c>
      <c r="BS93">
        <f>SUMIF(RawDataRecovered!$B:$B,$A93,RawDataRecovered!BV:BV)</f>
        <v>0</v>
      </c>
      <c r="BT93">
        <f>SUMIF(RawDataRecovered!$B:$B,$A93,RawDataRecovered!BW:BW)</f>
        <v>0</v>
      </c>
    </row>
    <row r="94" spans="1:72" ht="15" thickBot="1" x14ac:dyDescent="0.35">
      <c r="A94" s="3" t="s">
        <v>122</v>
      </c>
      <c r="B94">
        <f>SUMIF(RawDataRecovered!$B:$B,$A94,RawDataRecovered!E:E)</f>
        <v>0</v>
      </c>
      <c r="C94">
        <f>SUMIF(RawDataRecovered!$B:$B,$A94,RawDataRecovered!F:F)</f>
        <v>0</v>
      </c>
      <c r="D94">
        <f>SUMIF(RawDataRecovered!$B:$B,$A94,RawDataRecovered!G:G)</f>
        <v>0</v>
      </c>
      <c r="E94">
        <f>SUMIF(RawDataRecovered!$B:$B,$A94,RawDataRecovered!H:H)</f>
        <v>0</v>
      </c>
      <c r="F94">
        <f>SUMIF(RawDataRecovered!$B:$B,$A94,RawDataRecovered!I:I)</f>
        <v>0</v>
      </c>
      <c r="G94">
        <f>SUMIF(RawDataRecovered!$B:$B,$A94,RawDataRecovered!J:J)</f>
        <v>0</v>
      </c>
      <c r="H94">
        <f>SUMIF(RawDataRecovered!$B:$B,$A94,RawDataRecovered!K:K)</f>
        <v>0</v>
      </c>
      <c r="I94">
        <f>SUMIF(RawDataRecovered!$B:$B,$A94,RawDataRecovered!L:L)</f>
        <v>0</v>
      </c>
      <c r="J94">
        <f>SUMIF(RawDataRecovered!$B:$B,$A94,RawDataRecovered!M:M)</f>
        <v>0</v>
      </c>
      <c r="K94">
        <f>SUMIF(RawDataRecovered!$B:$B,$A94,RawDataRecovered!N:N)</f>
        <v>0</v>
      </c>
      <c r="L94">
        <f>SUMIF(RawDataRecovered!$B:$B,$A94,RawDataRecovered!O:O)</f>
        <v>0</v>
      </c>
      <c r="M94">
        <f>SUMIF(RawDataRecovered!$B:$B,$A94,RawDataRecovered!P:P)</f>
        <v>0</v>
      </c>
      <c r="N94">
        <f>SUMIF(RawDataRecovered!$B:$B,$A94,RawDataRecovered!Q:Q)</f>
        <v>0</v>
      </c>
      <c r="O94">
        <f>SUMIF(RawDataRecovered!$B:$B,$A94,RawDataRecovered!R:R)</f>
        <v>0</v>
      </c>
      <c r="P94">
        <f>SUMIF(RawDataRecovered!$B:$B,$A94,RawDataRecovered!S:S)</f>
        <v>0</v>
      </c>
      <c r="Q94">
        <f>SUMIF(RawDataRecovered!$B:$B,$A94,RawDataRecovered!T:T)</f>
        <v>0</v>
      </c>
      <c r="R94">
        <f>SUMIF(RawDataRecovered!$B:$B,$A94,RawDataRecovered!U:U)</f>
        <v>0</v>
      </c>
      <c r="S94">
        <f>SUMIF(RawDataRecovered!$B:$B,$A94,RawDataRecovered!V:V)</f>
        <v>0</v>
      </c>
      <c r="T94">
        <f>SUMIF(RawDataRecovered!$B:$B,$A94,RawDataRecovered!W:W)</f>
        <v>0</v>
      </c>
      <c r="U94">
        <f>SUMIF(RawDataRecovered!$B:$B,$A94,RawDataRecovered!X:X)</f>
        <v>0</v>
      </c>
      <c r="V94">
        <f>SUMIF(RawDataRecovered!$B:$B,$A94,RawDataRecovered!Y:Y)</f>
        <v>0</v>
      </c>
      <c r="W94">
        <f>SUMIF(RawDataRecovered!$B:$B,$A94,RawDataRecovered!Z:Z)</f>
        <v>0</v>
      </c>
      <c r="X94">
        <f>SUMIF(RawDataRecovered!$B:$B,$A94,RawDataRecovered!AA:AA)</f>
        <v>0</v>
      </c>
      <c r="Y94">
        <f>SUMIF(RawDataRecovered!$B:$B,$A94,RawDataRecovered!AB:AB)</f>
        <v>0</v>
      </c>
      <c r="Z94">
        <f>SUMIF(RawDataRecovered!$B:$B,$A94,RawDataRecovered!AC:AC)</f>
        <v>0</v>
      </c>
      <c r="AA94">
        <f>SUMIF(RawDataRecovered!$B:$B,$A94,RawDataRecovered!AD:AD)</f>
        <v>0</v>
      </c>
      <c r="AB94">
        <f>SUMIF(RawDataRecovered!$B:$B,$A94,RawDataRecovered!AE:AE)</f>
        <v>0</v>
      </c>
      <c r="AC94">
        <f>SUMIF(RawDataRecovered!$B:$B,$A94,RawDataRecovered!AF:AF)</f>
        <v>0</v>
      </c>
      <c r="AD94">
        <f>SUMIF(RawDataRecovered!$B:$B,$A94,RawDataRecovered!AG:AG)</f>
        <v>0</v>
      </c>
      <c r="AE94">
        <f>SUMIF(RawDataRecovered!$B:$B,$A94,RawDataRecovered!AH:AH)</f>
        <v>0</v>
      </c>
      <c r="AF94">
        <f>SUMIF(RawDataRecovered!$B:$B,$A94,RawDataRecovered!AI:AI)</f>
        <v>0</v>
      </c>
      <c r="AG94">
        <f>SUMIF(RawDataRecovered!$B:$B,$A94,RawDataRecovered!AJ:AJ)</f>
        <v>0</v>
      </c>
      <c r="AH94">
        <f>SUMIF(RawDataRecovered!$B:$B,$A94,RawDataRecovered!AK:AK)</f>
        <v>0</v>
      </c>
      <c r="AI94">
        <f>SUMIF(RawDataRecovered!$B:$B,$A94,RawDataRecovered!AL:AL)</f>
        <v>0</v>
      </c>
      <c r="AJ94">
        <f>SUMIF(RawDataRecovered!$B:$B,$A94,RawDataRecovered!AM:AM)</f>
        <v>0</v>
      </c>
      <c r="AK94">
        <f>SUMIF(RawDataRecovered!$B:$B,$A94,RawDataRecovered!AN:AN)</f>
        <v>0</v>
      </c>
      <c r="AL94">
        <f>SUMIF(RawDataRecovered!$B:$B,$A94,RawDataRecovered!AO:AO)</f>
        <v>0</v>
      </c>
      <c r="AM94">
        <f>SUMIF(RawDataRecovered!$B:$B,$A94,RawDataRecovered!AP:AP)</f>
        <v>0</v>
      </c>
      <c r="AN94">
        <f>SUMIF(RawDataRecovered!$B:$B,$A94,RawDataRecovered!AQ:AQ)</f>
        <v>0</v>
      </c>
      <c r="AO94">
        <f>SUMIF(RawDataRecovered!$B:$B,$A94,RawDataRecovered!AR:AR)</f>
        <v>0</v>
      </c>
      <c r="AP94">
        <f>SUMIF(RawDataRecovered!$B:$B,$A94,RawDataRecovered!AS:AS)</f>
        <v>0</v>
      </c>
      <c r="AQ94">
        <f>SUMIF(RawDataRecovered!$B:$B,$A94,RawDataRecovered!AT:AT)</f>
        <v>0</v>
      </c>
      <c r="AR94">
        <f>SUMIF(RawDataRecovered!$B:$B,$A94,RawDataRecovered!AU:AU)</f>
        <v>0</v>
      </c>
      <c r="AS94">
        <f>SUMIF(RawDataRecovered!$B:$B,$A94,RawDataRecovered!AV:AV)</f>
        <v>0</v>
      </c>
      <c r="AT94">
        <f>SUMIF(RawDataRecovered!$B:$B,$A94,RawDataRecovered!AW:AW)</f>
        <v>0</v>
      </c>
      <c r="AU94">
        <f>SUMIF(RawDataRecovered!$B:$B,$A94,RawDataRecovered!AX:AX)</f>
        <v>0</v>
      </c>
      <c r="AV94">
        <f>SUMIF(RawDataRecovered!$B:$B,$A94,RawDataRecovered!AY:AY)</f>
        <v>0</v>
      </c>
      <c r="AW94">
        <f>SUMIF(RawDataRecovered!$B:$B,$A94,RawDataRecovered!AZ:AZ)</f>
        <v>0</v>
      </c>
      <c r="AX94">
        <f>SUMIF(RawDataRecovered!$B:$B,$A94,RawDataRecovered!BA:BA)</f>
        <v>0</v>
      </c>
      <c r="AY94">
        <f>SUMIF(RawDataRecovered!$B:$B,$A94,RawDataRecovered!BB:BB)</f>
        <v>0</v>
      </c>
      <c r="AZ94">
        <f>SUMIF(RawDataRecovered!$B:$B,$A94,RawDataRecovered!BC:BC)</f>
        <v>0</v>
      </c>
      <c r="BA94">
        <f>SUMIF(RawDataRecovered!$B:$B,$A94,RawDataRecovered!BD:BD)</f>
        <v>0</v>
      </c>
      <c r="BB94">
        <f>SUMIF(RawDataRecovered!$B:$B,$A94,RawDataRecovered!BE:BE)</f>
        <v>0</v>
      </c>
      <c r="BC94">
        <f>SUMIF(RawDataRecovered!$B:$B,$A94,RawDataRecovered!BF:BF)</f>
        <v>0</v>
      </c>
      <c r="BD94">
        <f>SUMIF(RawDataRecovered!$B:$B,$A94,RawDataRecovered!BG:BG)</f>
        <v>0</v>
      </c>
      <c r="BE94">
        <f>SUMIF(RawDataRecovered!$B:$B,$A94,RawDataRecovered!BH:BH)</f>
        <v>0</v>
      </c>
      <c r="BF94">
        <f>SUMIF(RawDataRecovered!$B:$B,$A94,RawDataRecovered!BI:BI)</f>
        <v>0</v>
      </c>
      <c r="BG94">
        <f>SUMIF(RawDataRecovered!$B:$B,$A94,RawDataRecovered!BJ:BJ)</f>
        <v>0</v>
      </c>
      <c r="BH94">
        <f>SUMIF(RawDataRecovered!$B:$B,$A94,RawDataRecovered!BK:BK)</f>
        <v>0</v>
      </c>
      <c r="BI94">
        <f>SUMIF(RawDataRecovered!$B:$B,$A94,RawDataRecovered!BL:BL)</f>
        <v>0</v>
      </c>
      <c r="BJ94">
        <f>SUMIF(RawDataRecovered!$B:$B,$A94,RawDataRecovered!BM:BM)</f>
        <v>0</v>
      </c>
      <c r="BK94">
        <f>SUMIF(RawDataRecovered!$B:$B,$A94,RawDataRecovered!BN:BN)</f>
        <v>0</v>
      </c>
      <c r="BL94">
        <f>SUMIF(RawDataRecovered!$B:$B,$A94,RawDataRecovered!BO:BO)</f>
        <v>0</v>
      </c>
      <c r="BM94">
        <f>SUMIF(RawDataRecovered!$B:$B,$A94,RawDataRecovered!BP:BP)</f>
        <v>0</v>
      </c>
      <c r="BN94">
        <f>SUMIF(RawDataRecovered!$B:$B,$A94,RawDataRecovered!BQ:BQ)</f>
        <v>0</v>
      </c>
      <c r="BO94">
        <f>SUMIF(RawDataRecovered!$B:$B,$A94,RawDataRecovered!BR:BR)</f>
        <v>0</v>
      </c>
      <c r="BP94">
        <f>SUMIF(RawDataRecovered!$B:$B,$A94,RawDataRecovered!BS:BS)</f>
        <v>0</v>
      </c>
      <c r="BQ94">
        <f>SUMIF(RawDataRecovered!$B:$B,$A94,RawDataRecovered!BT:BT)</f>
        <v>0</v>
      </c>
      <c r="BR94">
        <f>SUMIF(RawDataRecovered!$B:$B,$A94,RawDataRecovered!BU:BU)</f>
        <v>0</v>
      </c>
      <c r="BS94">
        <f>SUMIF(RawDataRecovered!$B:$B,$A94,RawDataRecovered!BV:BV)</f>
        <v>0</v>
      </c>
      <c r="BT94">
        <f>SUMIF(RawDataRecovered!$B:$B,$A94,RawDataRecovered!BW:BW)</f>
        <v>0</v>
      </c>
    </row>
    <row r="95" spans="1:72" ht="15" thickBot="1" x14ac:dyDescent="0.35">
      <c r="A95" s="4" t="s">
        <v>382</v>
      </c>
      <c r="B95">
        <f>SUMIF(RawDataRecovered!$B:$B,$A95,RawDataRecovered!E:E)</f>
        <v>0</v>
      </c>
      <c r="C95">
        <f>SUMIF(RawDataRecovered!$B:$B,$A95,RawDataRecovered!F:F)</f>
        <v>0</v>
      </c>
      <c r="D95">
        <f>SUMIF(RawDataRecovered!$B:$B,$A95,RawDataRecovered!G:G)</f>
        <v>0</v>
      </c>
      <c r="E95">
        <f>SUMIF(RawDataRecovered!$B:$B,$A95,RawDataRecovered!H:H)</f>
        <v>0</v>
      </c>
      <c r="F95">
        <f>SUMIF(RawDataRecovered!$B:$B,$A95,RawDataRecovered!I:I)</f>
        <v>0</v>
      </c>
      <c r="G95">
        <f>SUMIF(RawDataRecovered!$B:$B,$A95,RawDataRecovered!J:J)</f>
        <v>0</v>
      </c>
      <c r="H95">
        <f>SUMIF(RawDataRecovered!$B:$B,$A95,RawDataRecovered!K:K)</f>
        <v>0</v>
      </c>
      <c r="I95">
        <f>SUMIF(RawDataRecovered!$B:$B,$A95,RawDataRecovered!L:L)</f>
        <v>0</v>
      </c>
      <c r="J95">
        <f>SUMIF(RawDataRecovered!$B:$B,$A95,RawDataRecovered!M:M)</f>
        <v>0</v>
      </c>
      <c r="K95">
        <f>SUMIF(RawDataRecovered!$B:$B,$A95,RawDataRecovered!N:N)</f>
        <v>0</v>
      </c>
      <c r="L95">
        <f>SUMIF(RawDataRecovered!$B:$B,$A95,RawDataRecovered!O:O)</f>
        <v>0</v>
      </c>
      <c r="M95">
        <f>SUMIF(RawDataRecovered!$B:$B,$A95,RawDataRecovered!P:P)</f>
        <v>0</v>
      </c>
      <c r="N95">
        <f>SUMIF(RawDataRecovered!$B:$B,$A95,RawDataRecovered!Q:Q)</f>
        <v>0</v>
      </c>
      <c r="O95">
        <f>SUMIF(RawDataRecovered!$B:$B,$A95,RawDataRecovered!R:R)</f>
        <v>0</v>
      </c>
      <c r="P95">
        <f>SUMIF(RawDataRecovered!$B:$B,$A95,RawDataRecovered!S:S)</f>
        <v>0</v>
      </c>
      <c r="Q95">
        <f>SUMIF(RawDataRecovered!$B:$B,$A95,RawDataRecovered!T:T)</f>
        <v>0</v>
      </c>
      <c r="R95">
        <f>SUMIF(RawDataRecovered!$B:$B,$A95,RawDataRecovered!U:U)</f>
        <v>0</v>
      </c>
      <c r="S95">
        <f>SUMIF(RawDataRecovered!$B:$B,$A95,RawDataRecovered!V:V)</f>
        <v>0</v>
      </c>
      <c r="T95">
        <f>SUMIF(RawDataRecovered!$B:$B,$A95,RawDataRecovered!W:W)</f>
        <v>0</v>
      </c>
      <c r="U95">
        <f>SUMIF(RawDataRecovered!$B:$B,$A95,RawDataRecovered!X:X)</f>
        <v>0</v>
      </c>
      <c r="V95">
        <f>SUMIF(RawDataRecovered!$B:$B,$A95,RawDataRecovered!Y:Y)</f>
        <v>0</v>
      </c>
      <c r="W95">
        <f>SUMIF(RawDataRecovered!$B:$B,$A95,RawDataRecovered!Z:Z)</f>
        <v>0</v>
      </c>
      <c r="X95">
        <f>SUMIF(RawDataRecovered!$B:$B,$A95,RawDataRecovered!AA:AA)</f>
        <v>0</v>
      </c>
      <c r="Y95">
        <f>SUMIF(RawDataRecovered!$B:$B,$A95,RawDataRecovered!AB:AB)</f>
        <v>0</v>
      </c>
      <c r="Z95">
        <f>SUMIF(RawDataRecovered!$B:$B,$A95,RawDataRecovered!AC:AC)</f>
        <v>0</v>
      </c>
      <c r="AA95">
        <f>SUMIF(RawDataRecovered!$B:$B,$A95,RawDataRecovered!AD:AD)</f>
        <v>0</v>
      </c>
      <c r="AB95">
        <f>SUMIF(RawDataRecovered!$B:$B,$A95,RawDataRecovered!AE:AE)</f>
        <v>0</v>
      </c>
      <c r="AC95">
        <f>SUMIF(RawDataRecovered!$B:$B,$A95,RawDataRecovered!AF:AF)</f>
        <v>0</v>
      </c>
      <c r="AD95">
        <f>SUMIF(RawDataRecovered!$B:$B,$A95,RawDataRecovered!AG:AG)</f>
        <v>0</v>
      </c>
      <c r="AE95">
        <f>SUMIF(RawDataRecovered!$B:$B,$A95,RawDataRecovered!AH:AH)</f>
        <v>0</v>
      </c>
      <c r="AF95">
        <f>SUMIF(RawDataRecovered!$B:$B,$A95,RawDataRecovered!AI:AI)</f>
        <v>0</v>
      </c>
      <c r="AG95">
        <f>SUMIF(RawDataRecovered!$B:$B,$A95,RawDataRecovered!AJ:AJ)</f>
        <v>0</v>
      </c>
      <c r="AH95">
        <f>SUMIF(RawDataRecovered!$B:$B,$A95,RawDataRecovered!AK:AK)</f>
        <v>0</v>
      </c>
      <c r="AI95">
        <f>SUMIF(RawDataRecovered!$B:$B,$A95,RawDataRecovered!AL:AL)</f>
        <v>0</v>
      </c>
      <c r="AJ95">
        <f>SUMIF(RawDataRecovered!$B:$B,$A95,RawDataRecovered!AM:AM)</f>
        <v>0</v>
      </c>
      <c r="AK95">
        <f>SUMIF(RawDataRecovered!$B:$B,$A95,RawDataRecovered!AN:AN)</f>
        <v>0</v>
      </c>
      <c r="AL95">
        <f>SUMIF(RawDataRecovered!$B:$B,$A95,RawDataRecovered!AO:AO)</f>
        <v>0</v>
      </c>
      <c r="AM95">
        <f>SUMIF(RawDataRecovered!$B:$B,$A95,RawDataRecovered!AP:AP)</f>
        <v>0</v>
      </c>
      <c r="AN95">
        <f>SUMIF(RawDataRecovered!$B:$B,$A95,RawDataRecovered!AQ:AQ)</f>
        <v>0</v>
      </c>
      <c r="AO95">
        <f>SUMIF(RawDataRecovered!$B:$B,$A95,RawDataRecovered!AR:AR)</f>
        <v>0</v>
      </c>
      <c r="AP95">
        <f>SUMIF(RawDataRecovered!$B:$B,$A95,RawDataRecovered!AS:AS)</f>
        <v>0</v>
      </c>
      <c r="AQ95">
        <f>SUMIF(RawDataRecovered!$B:$B,$A95,RawDataRecovered!AT:AT)</f>
        <v>0</v>
      </c>
      <c r="AR95">
        <f>SUMIF(RawDataRecovered!$B:$B,$A95,RawDataRecovered!AU:AU)</f>
        <v>0</v>
      </c>
      <c r="AS95">
        <f>SUMIF(RawDataRecovered!$B:$B,$A95,RawDataRecovered!AV:AV)</f>
        <v>0</v>
      </c>
      <c r="AT95">
        <f>SUMIF(RawDataRecovered!$B:$B,$A95,RawDataRecovered!AW:AW)</f>
        <v>0</v>
      </c>
      <c r="AU95">
        <f>SUMIF(RawDataRecovered!$B:$B,$A95,RawDataRecovered!AX:AX)</f>
        <v>0</v>
      </c>
      <c r="AV95">
        <f>SUMIF(RawDataRecovered!$B:$B,$A95,RawDataRecovered!AY:AY)</f>
        <v>0</v>
      </c>
      <c r="AW95">
        <f>SUMIF(RawDataRecovered!$B:$B,$A95,RawDataRecovered!AZ:AZ)</f>
        <v>0</v>
      </c>
      <c r="AX95">
        <f>SUMIF(RawDataRecovered!$B:$B,$A95,RawDataRecovered!BA:BA)</f>
        <v>0</v>
      </c>
      <c r="AY95">
        <f>SUMIF(RawDataRecovered!$B:$B,$A95,RawDataRecovered!BB:BB)</f>
        <v>0</v>
      </c>
      <c r="AZ95">
        <f>SUMIF(RawDataRecovered!$B:$B,$A95,RawDataRecovered!BC:BC)</f>
        <v>0</v>
      </c>
      <c r="BA95">
        <f>SUMIF(RawDataRecovered!$B:$B,$A95,RawDataRecovered!BD:BD)</f>
        <v>0</v>
      </c>
      <c r="BB95">
        <f>SUMIF(RawDataRecovered!$B:$B,$A95,RawDataRecovered!BE:BE)</f>
        <v>0</v>
      </c>
      <c r="BC95">
        <f>SUMIF(RawDataRecovered!$B:$B,$A95,RawDataRecovered!BF:BF)</f>
        <v>0</v>
      </c>
      <c r="BD95">
        <f>SUMIF(RawDataRecovered!$B:$B,$A95,RawDataRecovered!BG:BG)</f>
        <v>0</v>
      </c>
      <c r="BE95">
        <f>SUMIF(RawDataRecovered!$B:$B,$A95,RawDataRecovered!BH:BH)</f>
        <v>0</v>
      </c>
      <c r="BF95">
        <f>SUMIF(RawDataRecovered!$B:$B,$A95,RawDataRecovered!BI:BI)</f>
        <v>0</v>
      </c>
      <c r="BG95">
        <f>SUMIF(RawDataRecovered!$B:$B,$A95,RawDataRecovered!BJ:BJ)</f>
        <v>0</v>
      </c>
      <c r="BH95">
        <f>SUMIF(RawDataRecovered!$B:$B,$A95,RawDataRecovered!BK:BK)</f>
        <v>0</v>
      </c>
      <c r="BI95">
        <f>SUMIF(RawDataRecovered!$B:$B,$A95,RawDataRecovered!BL:BL)</f>
        <v>0</v>
      </c>
      <c r="BJ95">
        <f>SUMIF(RawDataRecovered!$B:$B,$A95,RawDataRecovered!BM:BM)</f>
        <v>0</v>
      </c>
      <c r="BK95">
        <f>SUMIF(RawDataRecovered!$B:$B,$A95,RawDataRecovered!BN:BN)</f>
        <v>0</v>
      </c>
      <c r="BL95">
        <f>SUMIF(RawDataRecovered!$B:$B,$A95,RawDataRecovered!BO:BO)</f>
        <v>0</v>
      </c>
      <c r="BM95">
        <f>SUMIF(RawDataRecovered!$B:$B,$A95,RawDataRecovered!BP:BP)</f>
        <v>0</v>
      </c>
      <c r="BN95">
        <f>SUMIF(RawDataRecovered!$B:$B,$A95,RawDataRecovered!BQ:BQ)</f>
        <v>0</v>
      </c>
      <c r="BO95">
        <f>SUMIF(RawDataRecovered!$B:$B,$A95,RawDataRecovered!BR:BR)</f>
        <v>0</v>
      </c>
      <c r="BP95">
        <f>SUMIF(RawDataRecovered!$B:$B,$A95,RawDataRecovered!BS:BS)</f>
        <v>0</v>
      </c>
      <c r="BQ95">
        <f>SUMIF(RawDataRecovered!$B:$B,$A95,RawDataRecovered!BT:BT)</f>
        <v>0</v>
      </c>
      <c r="BR95">
        <f>SUMIF(RawDataRecovered!$B:$B,$A95,RawDataRecovered!BU:BU)</f>
        <v>0</v>
      </c>
      <c r="BS95">
        <f>SUMIF(RawDataRecovered!$B:$B,$A95,RawDataRecovered!BV:BV)</f>
        <v>0</v>
      </c>
      <c r="BT95">
        <f>SUMIF(RawDataRecovered!$B:$B,$A95,RawDataRecovered!BW:BW)</f>
        <v>0</v>
      </c>
    </row>
    <row r="96" spans="1:72" ht="15" thickBot="1" x14ac:dyDescent="0.35">
      <c r="A96" s="3" t="s">
        <v>383</v>
      </c>
      <c r="B96">
        <f>SUMIF(RawDataRecovered!$B:$B,$A96,RawDataRecovered!E:E)</f>
        <v>0</v>
      </c>
      <c r="C96">
        <f>SUMIF(RawDataRecovered!$B:$B,$A96,RawDataRecovered!F:F)</f>
        <v>0</v>
      </c>
      <c r="D96">
        <f>SUMIF(RawDataRecovered!$B:$B,$A96,RawDataRecovered!G:G)</f>
        <v>0</v>
      </c>
      <c r="E96">
        <f>SUMIF(RawDataRecovered!$B:$B,$A96,RawDataRecovered!H:H)</f>
        <v>0</v>
      </c>
      <c r="F96">
        <f>SUMIF(RawDataRecovered!$B:$B,$A96,RawDataRecovered!I:I)</f>
        <v>0</v>
      </c>
      <c r="G96">
        <f>SUMIF(RawDataRecovered!$B:$B,$A96,RawDataRecovered!J:J)</f>
        <v>0</v>
      </c>
      <c r="H96">
        <f>SUMIF(RawDataRecovered!$B:$B,$A96,RawDataRecovered!K:K)</f>
        <v>0</v>
      </c>
      <c r="I96">
        <f>SUMIF(RawDataRecovered!$B:$B,$A96,RawDataRecovered!L:L)</f>
        <v>0</v>
      </c>
      <c r="J96">
        <f>SUMIF(RawDataRecovered!$B:$B,$A96,RawDataRecovered!M:M)</f>
        <v>0</v>
      </c>
      <c r="K96">
        <f>SUMIF(RawDataRecovered!$B:$B,$A96,RawDataRecovered!N:N)</f>
        <v>0</v>
      </c>
      <c r="L96">
        <f>SUMIF(RawDataRecovered!$B:$B,$A96,RawDataRecovered!O:O)</f>
        <v>0</v>
      </c>
      <c r="M96">
        <f>SUMIF(RawDataRecovered!$B:$B,$A96,RawDataRecovered!P:P)</f>
        <v>0</v>
      </c>
      <c r="N96">
        <f>SUMIF(RawDataRecovered!$B:$B,$A96,RawDataRecovered!Q:Q)</f>
        <v>0</v>
      </c>
      <c r="O96">
        <f>SUMIF(RawDataRecovered!$B:$B,$A96,RawDataRecovered!R:R)</f>
        <v>0</v>
      </c>
      <c r="P96">
        <f>SUMIF(RawDataRecovered!$B:$B,$A96,RawDataRecovered!S:S)</f>
        <v>0</v>
      </c>
      <c r="Q96">
        <f>SUMIF(RawDataRecovered!$B:$B,$A96,RawDataRecovered!T:T)</f>
        <v>0</v>
      </c>
      <c r="R96">
        <f>SUMIF(RawDataRecovered!$B:$B,$A96,RawDataRecovered!U:U)</f>
        <v>0</v>
      </c>
      <c r="S96">
        <f>SUMIF(RawDataRecovered!$B:$B,$A96,RawDataRecovered!V:V)</f>
        <v>0</v>
      </c>
      <c r="T96">
        <f>SUMIF(RawDataRecovered!$B:$B,$A96,RawDataRecovered!W:W)</f>
        <v>0</v>
      </c>
      <c r="U96">
        <f>SUMIF(RawDataRecovered!$B:$B,$A96,RawDataRecovered!X:X)</f>
        <v>0</v>
      </c>
      <c r="V96">
        <f>SUMIF(RawDataRecovered!$B:$B,$A96,RawDataRecovered!Y:Y)</f>
        <v>0</v>
      </c>
      <c r="W96">
        <f>SUMIF(RawDataRecovered!$B:$B,$A96,RawDataRecovered!Z:Z)</f>
        <v>0</v>
      </c>
      <c r="X96">
        <f>SUMIF(RawDataRecovered!$B:$B,$A96,RawDataRecovered!AA:AA)</f>
        <v>0</v>
      </c>
      <c r="Y96">
        <f>SUMIF(RawDataRecovered!$B:$B,$A96,RawDataRecovered!AB:AB)</f>
        <v>0</v>
      </c>
      <c r="Z96">
        <f>SUMIF(RawDataRecovered!$B:$B,$A96,RawDataRecovered!AC:AC)</f>
        <v>0</v>
      </c>
      <c r="AA96">
        <f>SUMIF(RawDataRecovered!$B:$B,$A96,RawDataRecovered!AD:AD)</f>
        <v>0</v>
      </c>
      <c r="AB96">
        <f>SUMIF(RawDataRecovered!$B:$B,$A96,RawDataRecovered!AE:AE)</f>
        <v>0</v>
      </c>
      <c r="AC96">
        <f>SUMIF(RawDataRecovered!$B:$B,$A96,RawDataRecovered!AF:AF)</f>
        <v>0</v>
      </c>
      <c r="AD96">
        <f>SUMIF(RawDataRecovered!$B:$B,$A96,RawDataRecovered!AG:AG)</f>
        <v>0</v>
      </c>
      <c r="AE96">
        <f>SUMIF(RawDataRecovered!$B:$B,$A96,RawDataRecovered!AH:AH)</f>
        <v>0</v>
      </c>
      <c r="AF96">
        <f>SUMIF(RawDataRecovered!$B:$B,$A96,RawDataRecovered!AI:AI)</f>
        <v>0</v>
      </c>
      <c r="AG96">
        <f>SUMIF(RawDataRecovered!$B:$B,$A96,RawDataRecovered!AJ:AJ)</f>
        <v>0</v>
      </c>
      <c r="AH96">
        <f>SUMIF(RawDataRecovered!$B:$B,$A96,RawDataRecovered!AK:AK)</f>
        <v>0</v>
      </c>
      <c r="AI96">
        <f>SUMIF(RawDataRecovered!$B:$B,$A96,RawDataRecovered!AL:AL)</f>
        <v>0</v>
      </c>
      <c r="AJ96">
        <f>SUMIF(RawDataRecovered!$B:$B,$A96,RawDataRecovered!AM:AM)</f>
        <v>0</v>
      </c>
      <c r="AK96">
        <f>SUMIF(RawDataRecovered!$B:$B,$A96,RawDataRecovered!AN:AN)</f>
        <v>0</v>
      </c>
      <c r="AL96">
        <f>SUMIF(RawDataRecovered!$B:$B,$A96,RawDataRecovered!AO:AO)</f>
        <v>0</v>
      </c>
      <c r="AM96">
        <f>SUMIF(RawDataRecovered!$B:$B,$A96,RawDataRecovered!AP:AP)</f>
        <v>0</v>
      </c>
      <c r="AN96">
        <f>SUMIF(RawDataRecovered!$B:$B,$A96,RawDataRecovered!AQ:AQ)</f>
        <v>0</v>
      </c>
      <c r="AO96">
        <f>SUMIF(RawDataRecovered!$B:$B,$A96,RawDataRecovered!AR:AR)</f>
        <v>0</v>
      </c>
      <c r="AP96">
        <f>SUMIF(RawDataRecovered!$B:$B,$A96,RawDataRecovered!AS:AS)</f>
        <v>0</v>
      </c>
      <c r="AQ96">
        <f>SUMIF(RawDataRecovered!$B:$B,$A96,RawDataRecovered!AT:AT)</f>
        <v>0</v>
      </c>
      <c r="AR96">
        <f>SUMIF(RawDataRecovered!$B:$B,$A96,RawDataRecovered!AU:AU)</f>
        <v>0</v>
      </c>
      <c r="AS96">
        <f>SUMIF(RawDataRecovered!$B:$B,$A96,RawDataRecovered!AV:AV)</f>
        <v>0</v>
      </c>
      <c r="AT96">
        <f>SUMIF(RawDataRecovered!$B:$B,$A96,RawDataRecovered!AW:AW)</f>
        <v>0</v>
      </c>
      <c r="AU96">
        <f>SUMIF(RawDataRecovered!$B:$B,$A96,RawDataRecovered!AX:AX)</f>
        <v>0</v>
      </c>
      <c r="AV96">
        <f>SUMIF(RawDataRecovered!$B:$B,$A96,RawDataRecovered!AY:AY)</f>
        <v>0</v>
      </c>
      <c r="AW96">
        <f>SUMIF(RawDataRecovered!$B:$B,$A96,RawDataRecovered!AZ:AZ)</f>
        <v>0</v>
      </c>
      <c r="AX96">
        <f>SUMIF(RawDataRecovered!$B:$B,$A96,RawDataRecovered!BA:BA)</f>
        <v>0</v>
      </c>
      <c r="AY96">
        <f>SUMIF(RawDataRecovered!$B:$B,$A96,RawDataRecovered!BB:BB)</f>
        <v>0</v>
      </c>
      <c r="AZ96">
        <f>SUMIF(RawDataRecovered!$B:$B,$A96,RawDataRecovered!BC:BC)</f>
        <v>0</v>
      </c>
      <c r="BA96">
        <f>SUMIF(RawDataRecovered!$B:$B,$A96,RawDataRecovered!BD:BD)</f>
        <v>0</v>
      </c>
      <c r="BB96">
        <f>SUMIF(RawDataRecovered!$B:$B,$A96,RawDataRecovered!BE:BE)</f>
        <v>0</v>
      </c>
      <c r="BC96">
        <f>SUMIF(RawDataRecovered!$B:$B,$A96,RawDataRecovered!BF:BF)</f>
        <v>0</v>
      </c>
      <c r="BD96">
        <f>SUMIF(RawDataRecovered!$B:$B,$A96,RawDataRecovered!BG:BG)</f>
        <v>0</v>
      </c>
      <c r="BE96">
        <f>SUMIF(RawDataRecovered!$B:$B,$A96,RawDataRecovered!BH:BH)</f>
        <v>0</v>
      </c>
      <c r="BF96">
        <f>SUMIF(RawDataRecovered!$B:$B,$A96,RawDataRecovered!BI:BI)</f>
        <v>0</v>
      </c>
      <c r="BG96">
        <f>SUMIF(RawDataRecovered!$B:$B,$A96,RawDataRecovered!BJ:BJ)</f>
        <v>0</v>
      </c>
      <c r="BH96">
        <f>SUMIF(RawDataRecovered!$B:$B,$A96,RawDataRecovered!BK:BK)</f>
        <v>0</v>
      </c>
      <c r="BI96">
        <f>SUMIF(RawDataRecovered!$B:$B,$A96,RawDataRecovered!BL:BL)</f>
        <v>0</v>
      </c>
      <c r="BJ96">
        <f>SUMIF(RawDataRecovered!$B:$B,$A96,RawDataRecovered!BM:BM)</f>
        <v>0</v>
      </c>
      <c r="BK96">
        <f>SUMIF(RawDataRecovered!$B:$B,$A96,RawDataRecovered!BN:BN)</f>
        <v>0</v>
      </c>
      <c r="BL96">
        <f>SUMIF(RawDataRecovered!$B:$B,$A96,RawDataRecovered!BO:BO)</f>
        <v>0</v>
      </c>
      <c r="BM96">
        <f>SUMIF(RawDataRecovered!$B:$B,$A96,RawDataRecovered!BP:BP)</f>
        <v>0</v>
      </c>
      <c r="BN96">
        <f>SUMIF(RawDataRecovered!$B:$B,$A96,RawDataRecovered!BQ:BQ)</f>
        <v>0</v>
      </c>
      <c r="BO96">
        <f>SUMIF(RawDataRecovered!$B:$B,$A96,RawDataRecovered!BR:BR)</f>
        <v>0</v>
      </c>
      <c r="BP96">
        <f>SUMIF(RawDataRecovered!$B:$B,$A96,RawDataRecovered!BS:BS)</f>
        <v>0</v>
      </c>
      <c r="BQ96">
        <f>SUMIF(RawDataRecovered!$B:$B,$A96,RawDataRecovered!BT:BT)</f>
        <v>0</v>
      </c>
      <c r="BR96">
        <f>SUMIF(RawDataRecovered!$B:$B,$A96,RawDataRecovered!BU:BU)</f>
        <v>0</v>
      </c>
      <c r="BS96">
        <f>SUMIF(RawDataRecovered!$B:$B,$A96,RawDataRecovered!BV:BV)</f>
        <v>0</v>
      </c>
      <c r="BT96">
        <f>SUMIF(RawDataRecovered!$B:$B,$A96,RawDataRecovered!BW:BW)</f>
        <v>0</v>
      </c>
    </row>
    <row r="97" spans="1:72" ht="15" thickBot="1" x14ac:dyDescent="0.35">
      <c r="A97" s="4" t="s">
        <v>438</v>
      </c>
      <c r="B97">
        <f>SUMIF(RawDataRecovered!$B:$B,$A97,RawDataRecovered!E:E)</f>
        <v>0</v>
      </c>
      <c r="C97">
        <f>SUMIF(RawDataRecovered!$B:$B,$A97,RawDataRecovered!F:F)</f>
        <v>0</v>
      </c>
      <c r="D97">
        <f>SUMIF(RawDataRecovered!$B:$B,$A97,RawDataRecovered!G:G)</f>
        <v>0</v>
      </c>
      <c r="E97">
        <f>SUMIF(RawDataRecovered!$B:$B,$A97,RawDataRecovered!H:H)</f>
        <v>0</v>
      </c>
      <c r="F97">
        <f>SUMIF(RawDataRecovered!$B:$B,$A97,RawDataRecovered!I:I)</f>
        <v>0</v>
      </c>
      <c r="G97">
        <f>SUMIF(RawDataRecovered!$B:$B,$A97,RawDataRecovered!J:J)</f>
        <v>0</v>
      </c>
      <c r="H97">
        <f>SUMIF(RawDataRecovered!$B:$B,$A97,RawDataRecovered!K:K)</f>
        <v>0</v>
      </c>
      <c r="I97">
        <f>SUMIF(RawDataRecovered!$B:$B,$A97,RawDataRecovered!L:L)</f>
        <v>0</v>
      </c>
      <c r="J97">
        <f>SUMIF(RawDataRecovered!$B:$B,$A97,RawDataRecovered!M:M)</f>
        <v>0</v>
      </c>
      <c r="K97">
        <f>SUMIF(RawDataRecovered!$B:$B,$A97,RawDataRecovered!N:N)</f>
        <v>0</v>
      </c>
      <c r="L97">
        <f>SUMIF(RawDataRecovered!$B:$B,$A97,RawDataRecovered!O:O)</f>
        <v>0</v>
      </c>
      <c r="M97">
        <f>SUMIF(RawDataRecovered!$B:$B,$A97,RawDataRecovered!P:P)</f>
        <v>0</v>
      </c>
      <c r="N97">
        <f>SUMIF(RawDataRecovered!$B:$B,$A97,RawDataRecovered!Q:Q)</f>
        <v>0</v>
      </c>
      <c r="O97">
        <f>SUMIF(RawDataRecovered!$B:$B,$A97,RawDataRecovered!R:R)</f>
        <v>0</v>
      </c>
      <c r="P97">
        <f>SUMIF(RawDataRecovered!$B:$B,$A97,RawDataRecovered!S:S)</f>
        <v>0</v>
      </c>
      <c r="Q97">
        <f>SUMIF(RawDataRecovered!$B:$B,$A97,RawDataRecovered!T:T)</f>
        <v>0</v>
      </c>
      <c r="R97">
        <f>SUMIF(RawDataRecovered!$B:$B,$A97,RawDataRecovered!U:U)</f>
        <v>0</v>
      </c>
      <c r="S97">
        <f>SUMIF(RawDataRecovered!$B:$B,$A97,RawDataRecovered!V:V)</f>
        <v>0</v>
      </c>
      <c r="T97">
        <f>SUMIF(RawDataRecovered!$B:$B,$A97,RawDataRecovered!W:W)</f>
        <v>0</v>
      </c>
      <c r="U97">
        <f>SUMIF(RawDataRecovered!$B:$B,$A97,RawDataRecovered!X:X)</f>
        <v>0</v>
      </c>
      <c r="V97">
        <f>SUMIF(RawDataRecovered!$B:$B,$A97,RawDataRecovered!Y:Y)</f>
        <v>0</v>
      </c>
      <c r="W97">
        <f>SUMIF(RawDataRecovered!$B:$B,$A97,RawDataRecovered!Z:Z)</f>
        <v>0</v>
      </c>
      <c r="X97">
        <f>SUMIF(RawDataRecovered!$B:$B,$A97,RawDataRecovered!AA:AA)</f>
        <v>0</v>
      </c>
      <c r="Y97">
        <f>SUMIF(RawDataRecovered!$B:$B,$A97,RawDataRecovered!AB:AB)</f>
        <v>0</v>
      </c>
      <c r="Z97">
        <f>SUMIF(RawDataRecovered!$B:$B,$A97,RawDataRecovered!AC:AC)</f>
        <v>0</v>
      </c>
      <c r="AA97">
        <f>SUMIF(RawDataRecovered!$B:$B,$A97,RawDataRecovered!AD:AD)</f>
        <v>0</v>
      </c>
      <c r="AB97">
        <f>SUMIF(RawDataRecovered!$B:$B,$A97,RawDataRecovered!AE:AE)</f>
        <v>0</v>
      </c>
      <c r="AC97">
        <f>SUMIF(RawDataRecovered!$B:$B,$A97,RawDataRecovered!AF:AF)</f>
        <v>0</v>
      </c>
      <c r="AD97">
        <f>SUMIF(RawDataRecovered!$B:$B,$A97,RawDataRecovered!AG:AG)</f>
        <v>0</v>
      </c>
      <c r="AE97">
        <f>SUMIF(RawDataRecovered!$B:$B,$A97,RawDataRecovered!AH:AH)</f>
        <v>0</v>
      </c>
      <c r="AF97">
        <f>SUMIF(RawDataRecovered!$B:$B,$A97,RawDataRecovered!AI:AI)</f>
        <v>0</v>
      </c>
      <c r="AG97">
        <f>SUMIF(RawDataRecovered!$B:$B,$A97,RawDataRecovered!AJ:AJ)</f>
        <v>0</v>
      </c>
      <c r="AH97">
        <f>SUMIF(RawDataRecovered!$B:$B,$A97,RawDataRecovered!AK:AK)</f>
        <v>0</v>
      </c>
      <c r="AI97">
        <f>SUMIF(RawDataRecovered!$B:$B,$A97,RawDataRecovered!AL:AL)</f>
        <v>0</v>
      </c>
      <c r="AJ97">
        <f>SUMIF(RawDataRecovered!$B:$B,$A97,RawDataRecovered!AM:AM)</f>
        <v>0</v>
      </c>
      <c r="AK97">
        <f>SUMIF(RawDataRecovered!$B:$B,$A97,RawDataRecovered!AN:AN)</f>
        <v>0</v>
      </c>
      <c r="AL97">
        <f>SUMIF(RawDataRecovered!$B:$B,$A97,RawDataRecovered!AO:AO)</f>
        <v>0</v>
      </c>
      <c r="AM97">
        <f>SUMIF(RawDataRecovered!$B:$B,$A97,RawDataRecovered!AP:AP)</f>
        <v>0</v>
      </c>
      <c r="AN97">
        <f>SUMIF(RawDataRecovered!$B:$B,$A97,RawDataRecovered!AQ:AQ)</f>
        <v>0</v>
      </c>
      <c r="AO97">
        <f>SUMIF(RawDataRecovered!$B:$B,$A97,RawDataRecovered!AR:AR)</f>
        <v>0</v>
      </c>
      <c r="AP97">
        <f>SUMIF(RawDataRecovered!$B:$B,$A97,RawDataRecovered!AS:AS)</f>
        <v>0</v>
      </c>
      <c r="AQ97">
        <f>SUMIF(RawDataRecovered!$B:$B,$A97,RawDataRecovered!AT:AT)</f>
        <v>0</v>
      </c>
      <c r="AR97">
        <f>SUMIF(RawDataRecovered!$B:$B,$A97,RawDataRecovered!AU:AU)</f>
        <v>0</v>
      </c>
      <c r="AS97">
        <f>SUMIF(RawDataRecovered!$B:$B,$A97,RawDataRecovered!AV:AV)</f>
        <v>0</v>
      </c>
      <c r="AT97">
        <f>SUMIF(RawDataRecovered!$B:$B,$A97,RawDataRecovered!AW:AW)</f>
        <v>0</v>
      </c>
      <c r="AU97">
        <f>SUMIF(RawDataRecovered!$B:$B,$A97,RawDataRecovered!AX:AX)</f>
        <v>0</v>
      </c>
      <c r="AV97">
        <f>SUMIF(RawDataRecovered!$B:$B,$A97,RawDataRecovered!AY:AY)</f>
        <v>0</v>
      </c>
      <c r="AW97">
        <f>SUMIF(RawDataRecovered!$B:$B,$A97,RawDataRecovered!AZ:AZ)</f>
        <v>0</v>
      </c>
      <c r="AX97">
        <f>SUMIF(RawDataRecovered!$B:$B,$A97,RawDataRecovered!BA:BA)</f>
        <v>0</v>
      </c>
      <c r="AY97">
        <f>SUMIF(RawDataRecovered!$B:$B,$A97,RawDataRecovered!BB:BB)</f>
        <v>0</v>
      </c>
      <c r="AZ97">
        <f>SUMIF(RawDataRecovered!$B:$B,$A97,RawDataRecovered!BC:BC)</f>
        <v>0</v>
      </c>
      <c r="BA97">
        <f>SUMIF(RawDataRecovered!$B:$B,$A97,RawDataRecovered!BD:BD)</f>
        <v>0</v>
      </c>
      <c r="BB97">
        <f>SUMIF(RawDataRecovered!$B:$B,$A97,RawDataRecovered!BE:BE)</f>
        <v>0</v>
      </c>
      <c r="BC97">
        <f>SUMIF(RawDataRecovered!$B:$B,$A97,RawDataRecovered!BF:BF)</f>
        <v>0</v>
      </c>
      <c r="BD97">
        <f>SUMIF(RawDataRecovered!$B:$B,$A97,RawDataRecovered!BG:BG)</f>
        <v>0</v>
      </c>
      <c r="BE97">
        <f>SUMIF(RawDataRecovered!$B:$B,$A97,RawDataRecovered!BH:BH)</f>
        <v>0</v>
      </c>
      <c r="BF97">
        <f>SUMIF(RawDataRecovered!$B:$B,$A97,RawDataRecovered!BI:BI)</f>
        <v>0</v>
      </c>
      <c r="BG97">
        <f>SUMIF(RawDataRecovered!$B:$B,$A97,RawDataRecovered!BJ:BJ)</f>
        <v>0</v>
      </c>
      <c r="BH97">
        <f>SUMIF(RawDataRecovered!$B:$B,$A97,RawDataRecovered!BK:BK)</f>
        <v>0</v>
      </c>
      <c r="BI97">
        <f>SUMIF(RawDataRecovered!$B:$B,$A97,RawDataRecovered!BL:BL)</f>
        <v>0</v>
      </c>
      <c r="BJ97">
        <f>SUMIF(RawDataRecovered!$B:$B,$A97,RawDataRecovered!BM:BM)</f>
        <v>0</v>
      </c>
      <c r="BK97">
        <f>SUMIF(RawDataRecovered!$B:$B,$A97,RawDataRecovered!BN:BN)</f>
        <v>0</v>
      </c>
      <c r="BL97">
        <f>SUMIF(RawDataRecovered!$B:$B,$A97,RawDataRecovered!BO:BO)</f>
        <v>0</v>
      </c>
      <c r="BM97">
        <f>SUMIF(RawDataRecovered!$B:$B,$A97,RawDataRecovered!BP:BP)</f>
        <v>0</v>
      </c>
      <c r="BN97">
        <f>SUMIF(RawDataRecovered!$B:$B,$A97,RawDataRecovered!BQ:BQ)</f>
        <v>0</v>
      </c>
      <c r="BO97">
        <f>SUMIF(RawDataRecovered!$B:$B,$A97,RawDataRecovered!BR:BR)</f>
        <v>0</v>
      </c>
      <c r="BP97">
        <f>SUMIF(RawDataRecovered!$B:$B,$A97,RawDataRecovered!BS:BS)</f>
        <v>0</v>
      </c>
      <c r="BQ97">
        <f>SUMIF(RawDataRecovered!$B:$B,$A97,RawDataRecovered!BT:BT)</f>
        <v>0</v>
      </c>
      <c r="BR97">
        <f>SUMIF(RawDataRecovered!$B:$B,$A97,RawDataRecovered!BU:BU)</f>
        <v>0</v>
      </c>
      <c r="BS97">
        <f>SUMIF(RawDataRecovered!$B:$B,$A97,RawDataRecovered!BV:BV)</f>
        <v>0</v>
      </c>
      <c r="BT97">
        <f>SUMIF(RawDataRecovered!$B:$B,$A97,RawDataRecovered!BW:BW)</f>
        <v>0</v>
      </c>
    </row>
    <row r="98" spans="1:72" ht="15" thickBot="1" x14ac:dyDescent="0.35">
      <c r="A98" s="4" t="s">
        <v>441</v>
      </c>
      <c r="B98">
        <f>SUMIF(RawDataRecovered!$B:$B,$A98,RawDataRecovered!E:E)</f>
        <v>0</v>
      </c>
      <c r="C98">
        <f>SUMIF(RawDataRecovered!$B:$B,$A98,RawDataRecovered!F:F)</f>
        <v>0</v>
      </c>
      <c r="D98">
        <f>SUMIF(RawDataRecovered!$B:$B,$A98,RawDataRecovered!G:G)</f>
        <v>0</v>
      </c>
      <c r="E98">
        <f>SUMIF(RawDataRecovered!$B:$B,$A98,RawDataRecovered!H:H)</f>
        <v>0</v>
      </c>
      <c r="F98">
        <f>SUMIF(RawDataRecovered!$B:$B,$A98,RawDataRecovered!I:I)</f>
        <v>0</v>
      </c>
      <c r="G98">
        <f>SUMIF(RawDataRecovered!$B:$B,$A98,RawDataRecovered!J:J)</f>
        <v>0</v>
      </c>
      <c r="H98">
        <f>SUMIF(RawDataRecovered!$B:$B,$A98,RawDataRecovered!K:K)</f>
        <v>0</v>
      </c>
      <c r="I98">
        <f>SUMIF(RawDataRecovered!$B:$B,$A98,RawDataRecovered!L:L)</f>
        <v>0</v>
      </c>
      <c r="J98">
        <f>SUMIF(RawDataRecovered!$B:$B,$A98,RawDataRecovered!M:M)</f>
        <v>0</v>
      </c>
      <c r="K98">
        <f>SUMIF(RawDataRecovered!$B:$B,$A98,RawDataRecovered!N:N)</f>
        <v>0</v>
      </c>
      <c r="L98">
        <f>SUMIF(RawDataRecovered!$B:$B,$A98,RawDataRecovered!O:O)</f>
        <v>0</v>
      </c>
      <c r="M98">
        <f>SUMIF(RawDataRecovered!$B:$B,$A98,RawDataRecovered!P:P)</f>
        <v>0</v>
      </c>
      <c r="N98">
        <f>SUMIF(RawDataRecovered!$B:$B,$A98,RawDataRecovered!Q:Q)</f>
        <v>0</v>
      </c>
      <c r="O98">
        <f>SUMIF(RawDataRecovered!$B:$B,$A98,RawDataRecovered!R:R)</f>
        <v>0</v>
      </c>
      <c r="P98">
        <f>SUMIF(RawDataRecovered!$B:$B,$A98,RawDataRecovered!S:S)</f>
        <v>0</v>
      </c>
      <c r="Q98">
        <f>SUMIF(RawDataRecovered!$B:$B,$A98,RawDataRecovered!T:T)</f>
        <v>0</v>
      </c>
      <c r="R98">
        <f>SUMIF(RawDataRecovered!$B:$B,$A98,RawDataRecovered!U:U)</f>
        <v>0</v>
      </c>
      <c r="S98">
        <f>SUMIF(RawDataRecovered!$B:$B,$A98,RawDataRecovered!V:V)</f>
        <v>0</v>
      </c>
      <c r="T98">
        <f>SUMIF(RawDataRecovered!$B:$B,$A98,RawDataRecovered!W:W)</f>
        <v>0</v>
      </c>
      <c r="U98">
        <f>SUMIF(RawDataRecovered!$B:$B,$A98,RawDataRecovered!X:X)</f>
        <v>0</v>
      </c>
      <c r="V98">
        <f>SUMIF(RawDataRecovered!$B:$B,$A98,RawDataRecovered!Y:Y)</f>
        <v>0</v>
      </c>
      <c r="W98">
        <f>SUMIF(RawDataRecovered!$B:$B,$A98,RawDataRecovered!Z:Z)</f>
        <v>0</v>
      </c>
      <c r="X98">
        <f>SUMIF(RawDataRecovered!$B:$B,$A98,RawDataRecovered!AA:AA)</f>
        <v>0</v>
      </c>
      <c r="Y98">
        <f>SUMIF(RawDataRecovered!$B:$B,$A98,RawDataRecovered!AB:AB)</f>
        <v>0</v>
      </c>
      <c r="Z98">
        <f>SUMIF(RawDataRecovered!$B:$B,$A98,RawDataRecovered!AC:AC)</f>
        <v>0</v>
      </c>
      <c r="AA98">
        <f>SUMIF(RawDataRecovered!$B:$B,$A98,RawDataRecovered!AD:AD)</f>
        <v>0</v>
      </c>
      <c r="AB98">
        <f>SUMIF(RawDataRecovered!$B:$B,$A98,RawDataRecovered!AE:AE)</f>
        <v>0</v>
      </c>
      <c r="AC98">
        <f>SUMIF(RawDataRecovered!$B:$B,$A98,RawDataRecovered!AF:AF)</f>
        <v>0</v>
      </c>
      <c r="AD98">
        <f>SUMIF(RawDataRecovered!$B:$B,$A98,RawDataRecovered!AG:AG)</f>
        <v>0</v>
      </c>
      <c r="AE98">
        <f>SUMIF(RawDataRecovered!$B:$B,$A98,RawDataRecovered!AH:AH)</f>
        <v>0</v>
      </c>
      <c r="AF98">
        <f>SUMIF(RawDataRecovered!$B:$B,$A98,RawDataRecovered!AI:AI)</f>
        <v>0</v>
      </c>
      <c r="AG98">
        <f>SUMIF(RawDataRecovered!$B:$B,$A98,RawDataRecovered!AJ:AJ)</f>
        <v>0</v>
      </c>
      <c r="AH98">
        <f>SUMIF(RawDataRecovered!$B:$B,$A98,RawDataRecovered!AK:AK)</f>
        <v>0</v>
      </c>
      <c r="AI98">
        <f>SUMIF(RawDataRecovered!$B:$B,$A98,RawDataRecovered!AL:AL)</f>
        <v>0</v>
      </c>
      <c r="AJ98">
        <f>SUMIF(RawDataRecovered!$B:$B,$A98,RawDataRecovered!AM:AM)</f>
        <v>0</v>
      </c>
      <c r="AK98">
        <f>SUMIF(RawDataRecovered!$B:$B,$A98,RawDataRecovered!AN:AN)</f>
        <v>0</v>
      </c>
      <c r="AL98">
        <f>SUMIF(RawDataRecovered!$B:$B,$A98,RawDataRecovered!AO:AO)</f>
        <v>0</v>
      </c>
      <c r="AM98">
        <f>SUMIF(RawDataRecovered!$B:$B,$A98,RawDataRecovered!AP:AP)</f>
        <v>0</v>
      </c>
      <c r="AN98">
        <f>SUMIF(RawDataRecovered!$B:$B,$A98,RawDataRecovered!AQ:AQ)</f>
        <v>0</v>
      </c>
      <c r="AO98">
        <f>SUMIF(RawDataRecovered!$B:$B,$A98,RawDataRecovered!AR:AR)</f>
        <v>0</v>
      </c>
      <c r="AP98">
        <f>SUMIF(RawDataRecovered!$B:$B,$A98,RawDataRecovered!AS:AS)</f>
        <v>0</v>
      </c>
      <c r="AQ98">
        <f>SUMIF(RawDataRecovered!$B:$B,$A98,RawDataRecovered!AT:AT)</f>
        <v>0</v>
      </c>
      <c r="AR98">
        <f>SUMIF(RawDataRecovered!$B:$B,$A98,RawDataRecovered!AU:AU)</f>
        <v>0</v>
      </c>
      <c r="AS98">
        <f>SUMIF(RawDataRecovered!$B:$B,$A98,RawDataRecovered!AV:AV)</f>
        <v>0</v>
      </c>
      <c r="AT98">
        <f>SUMIF(RawDataRecovered!$B:$B,$A98,RawDataRecovered!AW:AW)</f>
        <v>0</v>
      </c>
      <c r="AU98">
        <f>SUMIF(RawDataRecovered!$B:$B,$A98,RawDataRecovered!AX:AX)</f>
        <v>0</v>
      </c>
      <c r="AV98">
        <f>SUMIF(RawDataRecovered!$B:$B,$A98,RawDataRecovered!AY:AY)</f>
        <v>0</v>
      </c>
      <c r="AW98">
        <f>SUMIF(RawDataRecovered!$B:$B,$A98,RawDataRecovered!AZ:AZ)</f>
        <v>0</v>
      </c>
      <c r="AX98">
        <f>SUMIF(RawDataRecovered!$B:$B,$A98,RawDataRecovered!BA:BA)</f>
        <v>0</v>
      </c>
      <c r="AY98">
        <f>SUMIF(RawDataRecovered!$B:$B,$A98,RawDataRecovered!BB:BB)</f>
        <v>0</v>
      </c>
      <c r="AZ98">
        <f>SUMIF(RawDataRecovered!$B:$B,$A98,RawDataRecovered!BC:BC)</f>
        <v>0</v>
      </c>
      <c r="BA98">
        <f>SUMIF(RawDataRecovered!$B:$B,$A98,RawDataRecovered!BD:BD)</f>
        <v>0</v>
      </c>
      <c r="BB98">
        <f>SUMIF(RawDataRecovered!$B:$B,$A98,RawDataRecovered!BE:BE)</f>
        <v>0</v>
      </c>
      <c r="BC98">
        <f>SUMIF(RawDataRecovered!$B:$B,$A98,RawDataRecovered!BF:BF)</f>
        <v>0</v>
      </c>
      <c r="BD98">
        <f>SUMIF(RawDataRecovered!$B:$B,$A98,RawDataRecovered!BG:BG)</f>
        <v>0</v>
      </c>
      <c r="BE98">
        <f>SUMIF(RawDataRecovered!$B:$B,$A98,RawDataRecovered!BH:BH)</f>
        <v>0</v>
      </c>
      <c r="BF98">
        <f>SUMIF(RawDataRecovered!$B:$B,$A98,RawDataRecovered!BI:BI)</f>
        <v>0</v>
      </c>
      <c r="BG98">
        <f>SUMIF(RawDataRecovered!$B:$B,$A98,RawDataRecovered!BJ:BJ)</f>
        <v>0</v>
      </c>
      <c r="BH98">
        <f>SUMIF(RawDataRecovered!$B:$B,$A98,RawDataRecovered!BK:BK)</f>
        <v>0</v>
      </c>
      <c r="BI98">
        <f>SUMIF(RawDataRecovered!$B:$B,$A98,RawDataRecovered!BL:BL)</f>
        <v>0</v>
      </c>
      <c r="BJ98">
        <f>SUMIF(RawDataRecovered!$B:$B,$A98,RawDataRecovered!BM:BM)</f>
        <v>0</v>
      </c>
      <c r="BK98">
        <f>SUMIF(RawDataRecovered!$B:$B,$A98,RawDataRecovered!BN:BN)</f>
        <v>0</v>
      </c>
      <c r="BL98">
        <f>SUMIF(RawDataRecovered!$B:$B,$A98,RawDataRecovered!BO:BO)</f>
        <v>0</v>
      </c>
      <c r="BM98">
        <f>SUMIF(RawDataRecovered!$B:$B,$A98,RawDataRecovered!BP:BP)</f>
        <v>0</v>
      </c>
      <c r="BN98">
        <f>SUMIF(RawDataRecovered!$B:$B,$A98,RawDataRecovered!BQ:BQ)</f>
        <v>0</v>
      </c>
      <c r="BO98">
        <f>SUMIF(RawDataRecovered!$B:$B,$A98,RawDataRecovered!BR:BR)</f>
        <v>0</v>
      </c>
      <c r="BP98">
        <f>SUMIF(RawDataRecovered!$B:$B,$A98,RawDataRecovered!BS:BS)</f>
        <v>0</v>
      </c>
      <c r="BQ98">
        <f>SUMIF(RawDataRecovered!$B:$B,$A98,RawDataRecovered!BT:BT)</f>
        <v>0</v>
      </c>
      <c r="BR98">
        <f>SUMIF(RawDataRecovered!$B:$B,$A98,RawDataRecovered!BU:BU)</f>
        <v>0</v>
      </c>
      <c r="BS98">
        <f>SUMIF(RawDataRecovered!$B:$B,$A98,RawDataRecovered!BV:BV)</f>
        <v>0</v>
      </c>
      <c r="BT98">
        <f>SUMIF(RawDataRecovered!$B:$B,$A98,RawDataRecovered!BW:BW)</f>
        <v>0</v>
      </c>
    </row>
    <row r="99" spans="1:72" ht="15" thickBot="1" x14ac:dyDescent="0.35">
      <c r="A99" s="3" t="s">
        <v>229</v>
      </c>
      <c r="B99">
        <f>SUMIF(RawDataRecovered!$B:$B,$A99,RawDataRecovered!E:E)</f>
        <v>0</v>
      </c>
      <c r="C99">
        <f>SUMIF(RawDataRecovered!$B:$B,$A99,RawDataRecovered!F:F)</f>
        <v>0</v>
      </c>
      <c r="D99">
        <f>SUMIF(RawDataRecovered!$B:$B,$A99,RawDataRecovered!G:G)</f>
        <v>0</v>
      </c>
      <c r="E99">
        <f>SUMIF(RawDataRecovered!$B:$B,$A99,RawDataRecovered!H:H)</f>
        <v>0</v>
      </c>
      <c r="F99">
        <f>SUMIF(RawDataRecovered!$B:$B,$A99,RawDataRecovered!I:I)</f>
        <v>0</v>
      </c>
      <c r="G99">
        <f>SUMIF(RawDataRecovered!$B:$B,$A99,RawDataRecovered!J:J)</f>
        <v>0</v>
      </c>
      <c r="H99">
        <f>SUMIF(RawDataRecovered!$B:$B,$A99,RawDataRecovered!K:K)</f>
        <v>0</v>
      </c>
      <c r="I99">
        <f>SUMIF(RawDataRecovered!$B:$B,$A99,RawDataRecovered!L:L)</f>
        <v>0</v>
      </c>
      <c r="J99">
        <f>SUMIF(RawDataRecovered!$B:$B,$A99,RawDataRecovered!M:M)</f>
        <v>0</v>
      </c>
      <c r="K99">
        <f>SUMIF(RawDataRecovered!$B:$B,$A99,RawDataRecovered!N:N)</f>
        <v>0</v>
      </c>
      <c r="L99">
        <f>SUMIF(RawDataRecovered!$B:$B,$A99,RawDataRecovered!O:O)</f>
        <v>0</v>
      </c>
      <c r="M99">
        <f>SUMIF(RawDataRecovered!$B:$B,$A99,RawDataRecovered!P:P)</f>
        <v>0</v>
      </c>
      <c r="N99">
        <f>SUMIF(RawDataRecovered!$B:$B,$A99,RawDataRecovered!Q:Q)</f>
        <v>0</v>
      </c>
      <c r="O99">
        <f>SUMIF(RawDataRecovered!$B:$B,$A99,RawDataRecovered!R:R)</f>
        <v>0</v>
      </c>
      <c r="P99">
        <f>SUMIF(RawDataRecovered!$B:$B,$A99,RawDataRecovered!S:S)</f>
        <v>0</v>
      </c>
      <c r="Q99">
        <f>SUMIF(RawDataRecovered!$B:$B,$A99,RawDataRecovered!T:T)</f>
        <v>0</v>
      </c>
      <c r="R99">
        <f>SUMIF(RawDataRecovered!$B:$B,$A99,RawDataRecovered!U:U)</f>
        <v>0</v>
      </c>
      <c r="S99">
        <f>SUMIF(RawDataRecovered!$B:$B,$A99,RawDataRecovered!V:V)</f>
        <v>0</v>
      </c>
      <c r="T99">
        <f>SUMIF(RawDataRecovered!$B:$B,$A99,RawDataRecovered!W:W)</f>
        <v>0</v>
      </c>
      <c r="U99">
        <f>SUMIF(RawDataRecovered!$B:$B,$A99,RawDataRecovered!X:X)</f>
        <v>0</v>
      </c>
      <c r="V99">
        <f>SUMIF(RawDataRecovered!$B:$B,$A99,RawDataRecovered!Y:Y)</f>
        <v>0</v>
      </c>
      <c r="W99">
        <f>SUMIF(RawDataRecovered!$B:$B,$A99,RawDataRecovered!Z:Z)</f>
        <v>0</v>
      </c>
      <c r="X99">
        <f>SUMIF(RawDataRecovered!$B:$B,$A99,RawDataRecovered!AA:AA)</f>
        <v>0</v>
      </c>
      <c r="Y99">
        <f>SUMIF(RawDataRecovered!$B:$B,$A99,RawDataRecovered!AB:AB)</f>
        <v>0</v>
      </c>
      <c r="Z99">
        <f>SUMIF(RawDataRecovered!$B:$B,$A99,RawDataRecovered!AC:AC)</f>
        <v>0</v>
      </c>
      <c r="AA99">
        <f>SUMIF(RawDataRecovered!$B:$B,$A99,RawDataRecovered!AD:AD)</f>
        <v>0</v>
      </c>
      <c r="AB99">
        <f>SUMIF(RawDataRecovered!$B:$B,$A99,RawDataRecovered!AE:AE)</f>
        <v>0</v>
      </c>
      <c r="AC99">
        <f>SUMIF(RawDataRecovered!$B:$B,$A99,RawDataRecovered!AF:AF)</f>
        <v>0</v>
      </c>
      <c r="AD99">
        <f>SUMIF(RawDataRecovered!$B:$B,$A99,RawDataRecovered!AG:AG)</f>
        <v>0</v>
      </c>
      <c r="AE99">
        <f>SUMIF(RawDataRecovered!$B:$B,$A99,RawDataRecovered!AH:AH)</f>
        <v>0</v>
      </c>
      <c r="AF99">
        <f>SUMIF(RawDataRecovered!$B:$B,$A99,RawDataRecovered!AI:AI)</f>
        <v>0</v>
      </c>
      <c r="AG99">
        <f>SUMIF(RawDataRecovered!$B:$B,$A99,RawDataRecovered!AJ:AJ)</f>
        <v>0</v>
      </c>
      <c r="AH99">
        <f>SUMIF(RawDataRecovered!$B:$B,$A99,RawDataRecovered!AK:AK)</f>
        <v>0</v>
      </c>
      <c r="AI99">
        <f>SUMIF(RawDataRecovered!$B:$B,$A99,RawDataRecovered!AL:AL)</f>
        <v>0</v>
      </c>
      <c r="AJ99">
        <f>SUMIF(RawDataRecovered!$B:$B,$A99,RawDataRecovered!AM:AM)</f>
        <v>0</v>
      </c>
      <c r="AK99">
        <f>SUMIF(RawDataRecovered!$B:$B,$A99,RawDataRecovered!AN:AN)</f>
        <v>0</v>
      </c>
      <c r="AL99">
        <f>SUMIF(RawDataRecovered!$B:$B,$A99,RawDataRecovered!AO:AO)</f>
        <v>0</v>
      </c>
      <c r="AM99">
        <f>SUMIF(RawDataRecovered!$B:$B,$A99,RawDataRecovered!AP:AP)</f>
        <v>0</v>
      </c>
      <c r="AN99">
        <f>SUMIF(RawDataRecovered!$B:$B,$A99,RawDataRecovered!AQ:AQ)</f>
        <v>0</v>
      </c>
      <c r="AO99">
        <f>SUMIF(RawDataRecovered!$B:$B,$A99,RawDataRecovered!AR:AR)</f>
        <v>0</v>
      </c>
      <c r="AP99">
        <f>SUMIF(RawDataRecovered!$B:$B,$A99,RawDataRecovered!AS:AS)</f>
        <v>0</v>
      </c>
      <c r="AQ99">
        <f>SUMIF(RawDataRecovered!$B:$B,$A99,RawDataRecovered!AT:AT)</f>
        <v>0</v>
      </c>
      <c r="AR99">
        <f>SUMIF(RawDataRecovered!$B:$B,$A99,RawDataRecovered!AU:AU)</f>
        <v>0</v>
      </c>
      <c r="AS99">
        <f>SUMIF(RawDataRecovered!$B:$B,$A99,RawDataRecovered!AV:AV)</f>
        <v>0</v>
      </c>
      <c r="AT99">
        <f>SUMIF(RawDataRecovered!$B:$B,$A99,RawDataRecovered!AW:AW)</f>
        <v>0</v>
      </c>
      <c r="AU99">
        <f>SUMIF(RawDataRecovered!$B:$B,$A99,RawDataRecovered!AX:AX)</f>
        <v>0</v>
      </c>
      <c r="AV99">
        <f>SUMIF(RawDataRecovered!$B:$B,$A99,RawDataRecovered!AY:AY)</f>
        <v>0</v>
      </c>
      <c r="AW99">
        <f>SUMIF(RawDataRecovered!$B:$B,$A99,RawDataRecovered!AZ:AZ)</f>
        <v>0</v>
      </c>
      <c r="AX99">
        <f>SUMIF(RawDataRecovered!$B:$B,$A99,RawDataRecovered!BA:BA)</f>
        <v>0</v>
      </c>
      <c r="AY99">
        <f>SUMIF(RawDataRecovered!$B:$B,$A99,RawDataRecovered!BB:BB)</f>
        <v>0</v>
      </c>
      <c r="AZ99">
        <f>SUMIF(RawDataRecovered!$B:$B,$A99,RawDataRecovered!BC:BC)</f>
        <v>0</v>
      </c>
      <c r="BA99">
        <f>SUMIF(RawDataRecovered!$B:$B,$A99,RawDataRecovered!BD:BD)</f>
        <v>0</v>
      </c>
      <c r="BB99">
        <f>SUMIF(RawDataRecovered!$B:$B,$A99,RawDataRecovered!BE:BE)</f>
        <v>0</v>
      </c>
      <c r="BC99">
        <f>SUMIF(RawDataRecovered!$B:$B,$A99,RawDataRecovered!BF:BF)</f>
        <v>0</v>
      </c>
      <c r="BD99">
        <f>SUMIF(RawDataRecovered!$B:$B,$A99,RawDataRecovered!BG:BG)</f>
        <v>2</v>
      </c>
      <c r="BE99">
        <f>SUMIF(RawDataRecovered!$B:$B,$A99,RawDataRecovered!BH:BH)</f>
        <v>3</v>
      </c>
      <c r="BF99">
        <f>SUMIF(RawDataRecovered!$B:$B,$A99,RawDataRecovered!BI:BI)</f>
        <v>0</v>
      </c>
      <c r="BG99">
        <f>SUMIF(RawDataRecovered!$B:$B,$A99,RawDataRecovered!BJ:BJ)</f>
        <v>0</v>
      </c>
      <c r="BH99">
        <f>SUMIF(RawDataRecovered!$B:$B,$A99,RawDataRecovered!BK:BK)</f>
        <v>0</v>
      </c>
      <c r="BI99">
        <f>SUMIF(RawDataRecovered!$B:$B,$A99,RawDataRecovered!BL:BL)</f>
        <v>0</v>
      </c>
      <c r="BJ99">
        <f>SUMIF(RawDataRecovered!$B:$B,$A99,RawDataRecovered!BM:BM)</f>
        <v>0</v>
      </c>
      <c r="BK99">
        <f>SUMIF(RawDataRecovered!$B:$B,$A99,RawDataRecovered!BN:BN)</f>
        <v>0</v>
      </c>
      <c r="BL99">
        <f>SUMIF(RawDataRecovered!$B:$B,$A99,RawDataRecovered!BO:BO)</f>
        <v>0</v>
      </c>
      <c r="BM99">
        <f>SUMIF(RawDataRecovered!$B:$B,$A99,RawDataRecovered!BP:BP)</f>
        <v>0</v>
      </c>
      <c r="BN99">
        <f>SUMIF(RawDataRecovered!$B:$B,$A99,RawDataRecovered!BQ:BQ)</f>
        <v>0</v>
      </c>
      <c r="BO99">
        <f>SUMIF(RawDataRecovered!$B:$B,$A99,RawDataRecovered!BR:BR)</f>
        <v>0</v>
      </c>
      <c r="BP99">
        <f>SUMIF(RawDataRecovered!$B:$B,$A99,RawDataRecovered!BS:BS)</f>
        <v>0</v>
      </c>
      <c r="BQ99">
        <f>SUMIF(RawDataRecovered!$B:$B,$A99,RawDataRecovered!BT:BT)</f>
        <v>0</v>
      </c>
      <c r="BR99">
        <f>SUMIF(RawDataRecovered!$B:$B,$A99,RawDataRecovered!BU:BU)</f>
        <v>0</v>
      </c>
      <c r="BS99">
        <f>SUMIF(RawDataRecovered!$B:$B,$A99,RawDataRecovered!BV:BV)</f>
        <v>0</v>
      </c>
      <c r="BT99">
        <f>SUMIF(RawDataRecovered!$B:$B,$A99,RawDataRecovered!BW:BW)</f>
        <v>0</v>
      </c>
    </row>
    <row r="100" spans="1:72" ht="15" thickBot="1" x14ac:dyDescent="0.35">
      <c r="A100" s="3" t="s">
        <v>374</v>
      </c>
      <c r="B100">
        <f>SUMIF(RawDataRecovered!$B:$B,$A100,RawDataRecovered!E:E)</f>
        <v>0</v>
      </c>
      <c r="C100">
        <f>SUMIF(RawDataRecovered!$B:$B,$A100,RawDataRecovered!F:F)</f>
        <v>0</v>
      </c>
      <c r="D100">
        <f>SUMIF(RawDataRecovered!$B:$B,$A100,RawDataRecovered!G:G)</f>
        <v>0</v>
      </c>
      <c r="E100">
        <f>SUMIF(RawDataRecovered!$B:$B,$A100,RawDataRecovered!H:H)</f>
        <v>0</v>
      </c>
      <c r="F100">
        <f>SUMIF(RawDataRecovered!$B:$B,$A100,RawDataRecovered!I:I)</f>
        <v>0</v>
      </c>
      <c r="G100">
        <f>SUMIF(RawDataRecovered!$B:$B,$A100,RawDataRecovered!J:J)</f>
        <v>0</v>
      </c>
      <c r="H100">
        <f>SUMIF(RawDataRecovered!$B:$B,$A100,RawDataRecovered!K:K)</f>
        <v>0</v>
      </c>
      <c r="I100">
        <f>SUMIF(RawDataRecovered!$B:$B,$A100,RawDataRecovered!L:L)</f>
        <v>0</v>
      </c>
      <c r="J100">
        <f>SUMIF(RawDataRecovered!$B:$B,$A100,RawDataRecovered!M:M)</f>
        <v>0</v>
      </c>
      <c r="K100">
        <f>SUMIF(RawDataRecovered!$B:$B,$A100,RawDataRecovered!N:N)</f>
        <v>0</v>
      </c>
      <c r="L100">
        <f>SUMIF(RawDataRecovered!$B:$B,$A100,RawDataRecovered!O:O)</f>
        <v>0</v>
      </c>
      <c r="M100">
        <f>SUMIF(RawDataRecovered!$B:$B,$A100,RawDataRecovered!P:P)</f>
        <v>0</v>
      </c>
      <c r="N100">
        <f>SUMIF(RawDataRecovered!$B:$B,$A100,RawDataRecovered!Q:Q)</f>
        <v>0</v>
      </c>
      <c r="O100">
        <f>SUMIF(RawDataRecovered!$B:$B,$A100,RawDataRecovered!R:R)</f>
        <v>0</v>
      </c>
      <c r="P100">
        <f>SUMIF(RawDataRecovered!$B:$B,$A100,RawDataRecovered!S:S)</f>
        <v>0</v>
      </c>
      <c r="Q100">
        <f>SUMIF(RawDataRecovered!$B:$B,$A100,RawDataRecovered!T:T)</f>
        <v>0</v>
      </c>
      <c r="R100">
        <f>SUMIF(RawDataRecovered!$B:$B,$A100,RawDataRecovered!U:U)</f>
        <v>0</v>
      </c>
      <c r="S100">
        <f>SUMIF(RawDataRecovered!$B:$B,$A100,RawDataRecovered!V:V)</f>
        <v>0</v>
      </c>
      <c r="T100">
        <f>SUMIF(RawDataRecovered!$B:$B,$A100,RawDataRecovered!W:W)</f>
        <v>0</v>
      </c>
      <c r="U100">
        <f>SUMIF(RawDataRecovered!$B:$B,$A100,RawDataRecovered!X:X)</f>
        <v>0</v>
      </c>
      <c r="V100">
        <f>SUMIF(RawDataRecovered!$B:$B,$A100,RawDataRecovered!Y:Y)</f>
        <v>0</v>
      </c>
      <c r="W100">
        <f>SUMIF(RawDataRecovered!$B:$B,$A100,RawDataRecovered!Z:Z)</f>
        <v>0</v>
      </c>
      <c r="X100">
        <f>SUMIF(RawDataRecovered!$B:$B,$A100,RawDataRecovered!AA:AA)</f>
        <v>0</v>
      </c>
      <c r="Y100">
        <f>SUMIF(RawDataRecovered!$B:$B,$A100,RawDataRecovered!AB:AB)</f>
        <v>0</v>
      </c>
      <c r="Z100">
        <f>SUMIF(RawDataRecovered!$B:$B,$A100,RawDataRecovered!AC:AC)</f>
        <v>0</v>
      </c>
      <c r="AA100">
        <f>SUMIF(RawDataRecovered!$B:$B,$A100,RawDataRecovered!AD:AD)</f>
        <v>0</v>
      </c>
      <c r="AB100">
        <f>SUMIF(RawDataRecovered!$B:$B,$A100,RawDataRecovered!AE:AE)</f>
        <v>0</v>
      </c>
      <c r="AC100">
        <f>SUMIF(RawDataRecovered!$B:$B,$A100,RawDataRecovered!AF:AF)</f>
        <v>0</v>
      </c>
      <c r="AD100">
        <f>SUMIF(RawDataRecovered!$B:$B,$A100,RawDataRecovered!AG:AG)</f>
        <v>0</v>
      </c>
      <c r="AE100">
        <f>SUMIF(RawDataRecovered!$B:$B,$A100,RawDataRecovered!AH:AH)</f>
        <v>0</v>
      </c>
      <c r="AF100">
        <f>SUMIF(RawDataRecovered!$B:$B,$A100,RawDataRecovered!AI:AI)</f>
        <v>0</v>
      </c>
      <c r="AG100">
        <f>SUMIF(RawDataRecovered!$B:$B,$A100,RawDataRecovered!AJ:AJ)</f>
        <v>0</v>
      </c>
      <c r="AH100">
        <f>SUMIF(RawDataRecovered!$B:$B,$A100,RawDataRecovered!AK:AK)</f>
        <v>0</v>
      </c>
      <c r="AI100">
        <f>SUMIF(RawDataRecovered!$B:$B,$A100,RawDataRecovered!AL:AL)</f>
        <v>0</v>
      </c>
      <c r="AJ100">
        <f>SUMIF(RawDataRecovered!$B:$B,$A100,RawDataRecovered!AM:AM)</f>
        <v>0</v>
      </c>
      <c r="AK100">
        <f>SUMIF(RawDataRecovered!$B:$B,$A100,RawDataRecovered!AN:AN)</f>
        <v>0</v>
      </c>
      <c r="AL100">
        <f>SUMIF(RawDataRecovered!$B:$B,$A100,RawDataRecovered!AO:AO)</f>
        <v>0</v>
      </c>
      <c r="AM100">
        <f>SUMIF(RawDataRecovered!$B:$B,$A100,RawDataRecovered!AP:AP)</f>
        <v>0</v>
      </c>
      <c r="AN100">
        <f>SUMIF(RawDataRecovered!$B:$B,$A100,RawDataRecovered!AQ:AQ)</f>
        <v>0</v>
      </c>
      <c r="AO100">
        <f>SUMIF(RawDataRecovered!$B:$B,$A100,RawDataRecovered!AR:AR)</f>
        <v>0</v>
      </c>
      <c r="AP100">
        <f>SUMIF(RawDataRecovered!$B:$B,$A100,RawDataRecovered!AS:AS)</f>
        <v>0</v>
      </c>
      <c r="AQ100">
        <f>SUMIF(RawDataRecovered!$B:$B,$A100,RawDataRecovered!AT:AT)</f>
        <v>0</v>
      </c>
      <c r="AR100">
        <f>SUMIF(RawDataRecovered!$B:$B,$A100,RawDataRecovered!AU:AU)</f>
        <v>0</v>
      </c>
      <c r="AS100">
        <f>SUMIF(RawDataRecovered!$B:$B,$A100,RawDataRecovered!AV:AV)</f>
        <v>0</v>
      </c>
      <c r="AT100">
        <f>SUMIF(RawDataRecovered!$B:$B,$A100,RawDataRecovered!AW:AW)</f>
        <v>0</v>
      </c>
      <c r="AU100">
        <f>SUMIF(RawDataRecovered!$B:$B,$A100,RawDataRecovered!AX:AX)</f>
        <v>0</v>
      </c>
      <c r="AV100">
        <f>SUMIF(RawDataRecovered!$B:$B,$A100,RawDataRecovered!AY:AY)</f>
        <v>0</v>
      </c>
      <c r="AW100">
        <f>SUMIF(RawDataRecovered!$B:$B,$A100,RawDataRecovered!AZ:AZ)</f>
        <v>0</v>
      </c>
      <c r="AX100">
        <f>SUMIF(RawDataRecovered!$B:$B,$A100,RawDataRecovered!BA:BA)</f>
        <v>0</v>
      </c>
      <c r="AY100">
        <f>SUMIF(RawDataRecovered!$B:$B,$A100,RawDataRecovered!BB:BB)</f>
        <v>0</v>
      </c>
      <c r="AZ100">
        <f>SUMIF(RawDataRecovered!$B:$B,$A100,RawDataRecovered!BC:BC)</f>
        <v>0</v>
      </c>
      <c r="BA100">
        <f>SUMIF(RawDataRecovered!$B:$B,$A100,RawDataRecovered!BD:BD)</f>
        <v>0</v>
      </c>
      <c r="BB100">
        <f>SUMIF(RawDataRecovered!$B:$B,$A100,RawDataRecovered!BE:BE)</f>
        <v>0</v>
      </c>
      <c r="BC100">
        <f>SUMIF(RawDataRecovered!$B:$B,$A100,RawDataRecovered!BF:BF)</f>
        <v>0</v>
      </c>
      <c r="BD100">
        <f>SUMIF(RawDataRecovered!$B:$B,$A100,RawDataRecovered!BG:BG)</f>
        <v>0</v>
      </c>
      <c r="BE100">
        <f>SUMIF(RawDataRecovered!$B:$B,$A100,RawDataRecovered!BH:BH)</f>
        <v>0</v>
      </c>
      <c r="BF100">
        <f>SUMIF(RawDataRecovered!$B:$B,$A100,RawDataRecovered!BI:BI)</f>
        <v>0</v>
      </c>
      <c r="BG100">
        <f>SUMIF(RawDataRecovered!$B:$B,$A100,RawDataRecovered!BJ:BJ)</f>
        <v>0</v>
      </c>
      <c r="BH100">
        <f>SUMIF(RawDataRecovered!$B:$B,$A100,RawDataRecovered!BK:BK)</f>
        <v>0</v>
      </c>
      <c r="BI100">
        <f>SUMIF(RawDataRecovered!$B:$B,$A100,RawDataRecovered!BL:BL)</f>
        <v>0</v>
      </c>
      <c r="BJ100">
        <f>SUMIF(RawDataRecovered!$B:$B,$A100,RawDataRecovered!BM:BM)</f>
        <v>0</v>
      </c>
      <c r="BK100">
        <f>SUMIF(RawDataRecovered!$B:$B,$A100,RawDataRecovered!BN:BN)</f>
        <v>0</v>
      </c>
      <c r="BL100">
        <f>SUMIF(RawDataRecovered!$B:$B,$A100,RawDataRecovered!BO:BO)</f>
        <v>0</v>
      </c>
      <c r="BM100">
        <f>SUMIF(RawDataRecovered!$B:$B,$A100,RawDataRecovered!BP:BP)</f>
        <v>0</v>
      </c>
      <c r="BN100">
        <f>SUMIF(RawDataRecovered!$B:$B,$A100,RawDataRecovered!BQ:BQ)</f>
        <v>0</v>
      </c>
      <c r="BO100">
        <f>SUMIF(RawDataRecovered!$B:$B,$A100,RawDataRecovered!BR:BR)</f>
        <v>0</v>
      </c>
      <c r="BP100">
        <f>SUMIF(RawDataRecovered!$B:$B,$A100,RawDataRecovered!BS:BS)</f>
        <v>0</v>
      </c>
      <c r="BQ100">
        <f>SUMIF(RawDataRecovered!$B:$B,$A100,RawDataRecovered!BT:BT)</f>
        <v>0</v>
      </c>
      <c r="BR100">
        <f>SUMIF(RawDataRecovered!$B:$B,$A100,RawDataRecovered!BU:BU)</f>
        <v>0</v>
      </c>
      <c r="BS100">
        <f>SUMIF(RawDataRecovered!$B:$B,$A100,RawDataRecovered!BV:BV)</f>
        <v>0</v>
      </c>
      <c r="BT100">
        <f>SUMIF(RawDataRecovered!$B:$B,$A100,RawDataRecovered!BW:BW)</f>
        <v>0</v>
      </c>
    </row>
    <row r="101" spans="1:72" ht="15" thickBot="1" x14ac:dyDescent="0.35">
      <c r="A101" s="4" t="s">
        <v>207</v>
      </c>
      <c r="B101">
        <f>SUMIF(RawDataRecovered!$B:$B,$A101,RawDataRecovered!E:E)</f>
        <v>0</v>
      </c>
      <c r="C101">
        <f>SUMIF(RawDataRecovered!$B:$B,$A101,RawDataRecovered!F:F)</f>
        <v>0</v>
      </c>
      <c r="D101">
        <f>SUMIF(RawDataRecovered!$B:$B,$A101,RawDataRecovered!G:G)</f>
        <v>0</v>
      </c>
      <c r="E101">
        <f>SUMIF(RawDataRecovered!$B:$B,$A101,RawDataRecovered!H:H)</f>
        <v>0</v>
      </c>
      <c r="F101">
        <f>SUMIF(RawDataRecovered!$B:$B,$A101,RawDataRecovered!I:I)</f>
        <v>0</v>
      </c>
      <c r="G101">
        <f>SUMIF(RawDataRecovered!$B:$B,$A101,RawDataRecovered!J:J)</f>
        <v>0</v>
      </c>
      <c r="H101">
        <f>SUMIF(RawDataRecovered!$B:$B,$A101,RawDataRecovered!K:K)</f>
        <v>0</v>
      </c>
      <c r="I101">
        <f>SUMIF(RawDataRecovered!$B:$B,$A101,RawDataRecovered!L:L)</f>
        <v>0</v>
      </c>
      <c r="J101">
        <f>SUMIF(RawDataRecovered!$B:$B,$A101,RawDataRecovered!M:M)</f>
        <v>0</v>
      </c>
      <c r="K101">
        <f>SUMIF(RawDataRecovered!$B:$B,$A101,RawDataRecovered!N:N)</f>
        <v>0</v>
      </c>
      <c r="L101">
        <f>SUMIF(RawDataRecovered!$B:$B,$A101,RawDataRecovered!O:O)</f>
        <v>0</v>
      </c>
      <c r="M101">
        <f>SUMIF(RawDataRecovered!$B:$B,$A101,RawDataRecovered!P:P)</f>
        <v>0</v>
      </c>
      <c r="N101">
        <f>SUMIF(RawDataRecovered!$B:$B,$A101,RawDataRecovered!Q:Q)</f>
        <v>0</v>
      </c>
      <c r="O101">
        <f>SUMIF(RawDataRecovered!$B:$B,$A101,RawDataRecovered!R:R)</f>
        <v>0</v>
      </c>
      <c r="P101">
        <f>SUMIF(RawDataRecovered!$B:$B,$A101,RawDataRecovered!S:S)</f>
        <v>0</v>
      </c>
      <c r="Q101">
        <f>SUMIF(RawDataRecovered!$B:$B,$A101,RawDataRecovered!T:T)</f>
        <v>0</v>
      </c>
      <c r="R101">
        <f>SUMIF(RawDataRecovered!$B:$B,$A101,RawDataRecovered!U:U)</f>
        <v>0</v>
      </c>
      <c r="S101">
        <f>SUMIF(RawDataRecovered!$B:$B,$A101,RawDataRecovered!V:V)</f>
        <v>0</v>
      </c>
      <c r="T101">
        <f>SUMIF(RawDataRecovered!$B:$B,$A101,RawDataRecovered!W:W)</f>
        <v>0</v>
      </c>
      <c r="U101">
        <f>SUMIF(RawDataRecovered!$B:$B,$A101,RawDataRecovered!X:X)</f>
        <v>0</v>
      </c>
      <c r="V101">
        <f>SUMIF(RawDataRecovered!$B:$B,$A101,RawDataRecovered!Y:Y)</f>
        <v>0</v>
      </c>
      <c r="W101">
        <f>SUMIF(RawDataRecovered!$B:$B,$A101,RawDataRecovered!Z:Z)</f>
        <v>0</v>
      </c>
      <c r="X101">
        <f>SUMIF(RawDataRecovered!$B:$B,$A101,RawDataRecovered!AA:AA)</f>
        <v>0</v>
      </c>
      <c r="Y101">
        <f>SUMIF(RawDataRecovered!$B:$B,$A101,RawDataRecovered!AB:AB)</f>
        <v>0</v>
      </c>
      <c r="Z101">
        <f>SUMIF(RawDataRecovered!$B:$B,$A101,RawDataRecovered!AC:AC)</f>
        <v>0</v>
      </c>
      <c r="AA101">
        <f>SUMIF(RawDataRecovered!$B:$B,$A101,RawDataRecovered!AD:AD)</f>
        <v>0</v>
      </c>
      <c r="AB101">
        <f>SUMIF(RawDataRecovered!$B:$B,$A101,RawDataRecovered!AE:AE)</f>
        <v>0</v>
      </c>
      <c r="AC101">
        <f>SUMIF(RawDataRecovered!$B:$B,$A101,RawDataRecovered!AF:AF)</f>
        <v>0</v>
      </c>
      <c r="AD101">
        <f>SUMIF(RawDataRecovered!$B:$B,$A101,RawDataRecovered!AG:AG)</f>
        <v>0</v>
      </c>
      <c r="AE101">
        <f>SUMIF(RawDataRecovered!$B:$B,$A101,RawDataRecovered!AH:AH)</f>
        <v>0</v>
      </c>
      <c r="AF101">
        <f>SUMIF(RawDataRecovered!$B:$B,$A101,RawDataRecovered!AI:AI)</f>
        <v>0</v>
      </c>
      <c r="AG101">
        <f>SUMIF(RawDataRecovered!$B:$B,$A101,RawDataRecovered!AJ:AJ)</f>
        <v>0</v>
      </c>
      <c r="AH101">
        <f>SUMIF(RawDataRecovered!$B:$B,$A101,RawDataRecovered!AK:AK)</f>
        <v>0</v>
      </c>
      <c r="AI101">
        <f>SUMIF(RawDataRecovered!$B:$B,$A101,RawDataRecovered!AL:AL)</f>
        <v>0</v>
      </c>
      <c r="AJ101">
        <f>SUMIF(RawDataRecovered!$B:$B,$A101,RawDataRecovered!AM:AM)</f>
        <v>0</v>
      </c>
      <c r="AK101">
        <f>SUMIF(RawDataRecovered!$B:$B,$A101,RawDataRecovered!AN:AN)</f>
        <v>0</v>
      </c>
      <c r="AL101">
        <f>SUMIF(RawDataRecovered!$B:$B,$A101,RawDataRecovered!AO:AO)</f>
        <v>0</v>
      </c>
      <c r="AM101">
        <f>SUMIF(RawDataRecovered!$B:$B,$A101,RawDataRecovered!AP:AP)</f>
        <v>0</v>
      </c>
      <c r="AN101">
        <f>SUMIF(RawDataRecovered!$B:$B,$A101,RawDataRecovered!AQ:AQ)</f>
        <v>0</v>
      </c>
      <c r="AO101">
        <f>SUMIF(RawDataRecovered!$B:$B,$A101,RawDataRecovered!AR:AR)</f>
        <v>0</v>
      </c>
      <c r="AP101">
        <f>SUMIF(RawDataRecovered!$B:$B,$A101,RawDataRecovered!AS:AS)</f>
        <v>0</v>
      </c>
      <c r="AQ101">
        <f>SUMIF(RawDataRecovered!$B:$B,$A101,RawDataRecovered!AT:AT)</f>
        <v>0</v>
      </c>
      <c r="AR101">
        <f>SUMIF(RawDataRecovered!$B:$B,$A101,RawDataRecovered!AU:AU)</f>
        <v>0</v>
      </c>
      <c r="AS101">
        <f>SUMIF(RawDataRecovered!$B:$B,$A101,RawDataRecovered!AV:AV)</f>
        <v>0</v>
      </c>
      <c r="AT101">
        <f>SUMIF(RawDataRecovered!$B:$B,$A101,RawDataRecovered!AW:AW)</f>
        <v>0</v>
      </c>
      <c r="AU101">
        <f>SUMIF(RawDataRecovered!$B:$B,$A101,RawDataRecovered!AX:AX)</f>
        <v>0</v>
      </c>
      <c r="AV101">
        <f>SUMIF(RawDataRecovered!$B:$B,$A101,RawDataRecovered!AY:AY)</f>
        <v>0</v>
      </c>
      <c r="AW101">
        <f>SUMIF(RawDataRecovered!$B:$B,$A101,RawDataRecovered!AZ:AZ)</f>
        <v>0</v>
      </c>
      <c r="AX101">
        <f>SUMIF(RawDataRecovered!$B:$B,$A101,RawDataRecovered!BA:BA)</f>
        <v>0</v>
      </c>
      <c r="AY101">
        <f>SUMIF(RawDataRecovered!$B:$B,$A101,RawDataRecovered!BB:BB)</f>
        <v>0</v>
      </c>
      <c r="AZ101">
        <f>SUMIF(RawDataRecovered!$B:$B,$A101,RawDataRecovered!BC:BC)</f>
        <v>0</v>
      </c>
      <c r="BA101">
        <f>SUMIF(RawDataRecovered!$B:$B,$A101,RawDataRecovered!BD:BD)</f>
        <v>0</v>
      </c>
      <c r="BB101">
        <f>SUMIF(RawDataRecovered!$B:$B,$A101,RawDataRecovered!BE:BE)</f>
        <v>0</v>
      </c>
      <c r="BC101">
        <f>SUMIF(RawDataRecovered!$B:$B,$A101,RawDataRecovered!BF:BF)</f>
        <v>0</v>
      </c>
      <c r="BD101">
        <f>SUMIF(RawDataRecovered!$B:$B,$A101,RawDataRecovered!BG:BG)</f>
        <v>0</v>
      </c>
      <c r="BE101">
        <f>SUMIF(RawDataRecovered!$B:$B,$A101,RawDataRecovered!BH:BH)</f>
        <v>0</v>
      </c>
      <c r="BF101">
        <f>SUMIF(RawDataRecovered!$B:$B,$A101,RawDataRecovered!BI:BI)</f>
        <v>0</v>
      </c>
      <c r="BG101">
        <f>SUMIF(RawDataRecovered!$B:$B,$A101,RawDataRecovered!BJ:BJ)</f>
        <v>0</v>
      </c>
      <c r="BH101">
        <f>SUMIF(RawDataRecovered!$B:$B,$A101,RawDataRecovered!BK:BK)</f>
        <v>0</v>
      </c>
      <c r="BI101">
        <f>SUMIF(RawDataRecovered!$B:$B,$A101,RawDataRecovered!BL:BL)</f>
        <v>0</v>
      </c>
      <c r="BJ101">
        <f>SUMIF(RawDataRecovered!$B:$B,$A101,RawDataRecovered!BM:BM)</f>
        <v>0</v>
      </c>
      <c r="BK101">
        <f>SUMIF(RawDataRecovered!$B:$B,$A101,RawDataRecovered!BN:BN)</f>
        <v>0</v>
      </c>
      <c r="BL101">
        <f>SUMIF(RawDataRecovered!$B:$B,$A101,RawDataRecovered!BO:BO)</f>
        <v>0</v>
      </c>
      <c r="BM101">
        <f>SUMIF(RawDataRecovered!$B:$B,$A101,RawDataRecovered!BP:BP)</f>
        <v>0</v>
      </c>
      <c r="BN101">
        <f>SUMIF(RawDataRecovered!$B:$B,$A101,RawDataRecovered!BQ:BQ)</f>
        <v>0</v>
      </c>
      <c r="BO101">
        <f>SUMIF(RawDataRecovered!$B:$B,$A101,RawDataRecovered!BR:BR)</f>
        <v>0</v>
      </c>
      <c r="BP101">
        <f>SUMIF(RawDataRecovered!$B:$B,$A101,RawDataRecovered!BS:BS)</f>
        <v>0</v>
      </c>
      <c r="BQ101">
        <f>SUMIF(RawDataRecovered!$B:$B,$A101,RawDataRecovered!BT:BT)</f>
        <v>0</v>
      </c>
      <c r="BR101">
        <f>SUMIF(RawDataRecovered!$B:$B,$A101,RawDataRecovered!BU:BU)</f>
        <v>0</v>
      </c>
      <c r="BS101">
        <f>SUMIF(RawDataRecovered!$B:$B,$A101,RawDataRecovered!BV:BV)</f>
        <v>0</v>
      </c>
      <c r="BT101">
        <f>SUMIF(RawDataRecovered!$B:$B,$A101,RawDataRecovered!BW:BW)</f>
        <v>0</v>
      </c>
    </row>
    <row r="102" spans="1:72" ht="15" thickBot="1" x14ac:dyDescent="0.35">
      <c r="A102" s="3" t="s">
        <v>156</v>
      </c>
      <c r="B102">
        <f>SUMIF(RawDataRecovered!$B:$B,$A102,RawDataRecovered!E:E)</f>
        <v>0</v>
      </c>
      <c r="C102">
        <f>SUMIF(RawDataRecovered!$B:$B,$A102,RawDataRecovered!F:F)</f>
        <v>0</v>
      </c>
      <c r="D102">
        <f>SUMIF(RawDataRecovered!$B:$B,$A102,RawDataRecovered!G:G)</f>
        <v>0</v>
      </c>
      <c r="E102">
        <f>SUMIF(RawDataRecovered!$B:$B,$A102,RawDataRecovered!H:H)</f>
        <v>0</v>
      </c>
      <c r="F102">
        <f>SUMIF(RawDataRecovered!$B:$B,$A102,RawDataRecovered!I:I)</f>
        <v>0</v>
      </c>
      <c r="G102">
        <f>SUMIF(RawDataRecovered!$B:$B,$A102,RawDataRecovered!J:J)</f>
        <v>0</v>
      </c>
      <c r="H102">
        <f>SUMIF(RawDataRecovered!$B:$B,$A102,RawDataRecovered!K:K)</f>
        <v>0</v>
      </c>
      <c r="I102">
        <f>SUMIF(RawDataRecovered!$B:$B,$A102,RawDataRecovered!L:L)</f>
        <v>0</v>
      </c>
      <c r="J102">
        <f>SUMIF(RawDataRecovered!$B:$B,$A102,RawDataRecovered!M:M)</f>
        <v>0</v>
      </c>
      <c r="K102">
        <f>SUMIF(RawDataRecovered!$B:$B,$A102,RawDataRecovered!N:N)</f>
        <v>0</v>
      </c>
      <c r="L102">
        <f>SUMIF(RawDataRecovered!$B:$B,$A102,RawDataRecovered!O:O)</f>
        <v>0</v>
      </c>
      <c r="M102">
        <f>SUMIF(RawDataRecovered!$B:$B,$A102,RawDataRecovered!P:P)</f>
        <v>0</v>
      </c>
      <c r="N102">
        <f>SUMIF(RawDataRecovered!$B:$B,$A102,RawDataRecovered!Q:Q)</f>
        <v>0</v>
      </c>
      <c r="O102">
        <f>SUMIF(RawDataRecovered!$B:$B,$A102,RawDataRecovered!R:R)</f>
        <v>0</v>
      </c>
      <c r="P102">
        <f>SUMIF(RawDataRecovered!$B:$B,$A102,RawDataRecovered!S:S)</f>
        <v>0</v>
      </c>
      <c r="Q102">
        <f>SUMIF(RawDataRecovered!$B:$B,$A102,RawDataRecovered!T:T)</f>
        <v>0</v>
      </c>
      <c r="R102">
        <f>SUMIF(RawDataRecovered!$B:$B,$A102,RawDataRecovered!U:U)</f>
        <v>0</v>
      </c>
      <c r="S102">
        <f>SUMIF(RawDataRecovered!$B:$B,$A102,RawDataRecovered!V:V)</f>
        <v>0</v>
      </c>
      <c r="T102">
        <f>SUMIF(RawDataRecovered!$B:$B,$A102,RawDataRecovered!W:W)</f>
        <v>0</v>
      </c>
      <c r="U102">
        <f>SUMIF(RawDataRecovered!$B:$B,$A102,RawDataRecovered!X:X)</f>
        <v>0</v>
      </c>
      <c r="V102">
        <f>SUMIF(RawDataRecovered!$B:$B,$A102,RawDataRecovered!Y:Y)</f>
        <v>0</v>
      </c>
      <c r="W102">
        <f>SUMIF(RawDataRecovered!$B:$B,$A102,RawDataRecovered!Z:Z)</f>
        <v>0</v>
      </c>
      <c r="X102">
        <f>SUMIF(RawDataRecovered!$B:$B,$A102,RawDataRecovered!AA:AA)</f>
        <v>0</v>
      </c>
      <c r="Y102">
        <f>SUMIF(RawDataRecovered!$B:$B,$A102,RawDataRecovered!AB:AB)</f>
        <v>0</v>
      </c>
      <c r="Z102">
        <f>SUMIF(RawDataRecovered!$B:$B,$A102,RawDataRecovered!AC:AC)</f>
        <v>0</v>
      </c>
      <c r="AA102">
        <f>SUMIF(RawDataRecovered!$B:$B,$A102,RawDataRecovered!AD:AD)</f>
        <v>0</v>
      </c>
      <c r="AB102">
        <f>SUMIF(RawDataRecovered!$B:$B,$A102,RawDataRecovered!AE:AE)</f>
        <v>0</v>
      </c>
      <c r="AC102">
        <f>SUMIF(RawDataRecovered!$B:$B,$A102,RawDataRecovered!AF:AF)</f>
        <v>0</v>
      </c>
      <c r="AD102">
        <f>SUMIF(RawDataRecovered!$B:$B,$A102,RawDataRecovered!AG:AG)</f>
        <v>0</v>
      </c>
      <c r="AE102">
        <f>SUMIF(RawDataRecovered!$B:$B,$A102,RawDataRecovered!AH:AH)</f>
        <v>0</v>
      </c>
      <c r="AF102">
        <f>SUMIF(RawDataRecovered!$B:$B,$A102,RawDataRecovered!AI:AI)</f>
        <v>0</v>
      </c>
      <c r="AG102">
        <f>SUMIF(RawDataRecovered!$B:$B,$A102,RawDataRecovered!AJ:AJ)</f>
        <v>0</v>
      </c>
      <c r="AH102">
        <f>SUMIF(RawDataRecovered!$B:$B,$A102,RawDataRecovered!AK:AK)</f>
        <v>0</v>
      </c>
      <c r="AI102">
        <f>SUMIF(RawDataRecovered!$B:$B,$A102,RawDataRecovered!AL:AL)</f>
        <v>0</v>
      </c>
      <c r="AJ102">
        <f>SUMIF(RawDataRecovered!$B:$B,$A102,RawDataRecovered!AM:AM)</f>
        <v>0</v>
      </c>
      <c r="AK102">
        <f>SUMIF(RawDataRecovered!$B:$B,$A102,RawDataRecovered!AN:AN)</f>
        <v>0</v>
      </c>
      <c r="AL102">
        <f>SUMIF(RawDataRecovered!$B:$B,$A102,RawDataRecovered!AO:AO)</f>
        <v>0</v>
      </c>
      <c r="AM102">
        <f>SUMIF(RawDataRecovered!$B:$B,$A102,RawDataRecovered!AP:AP)</f>
        <v>0</v>
      </c>
      <c r="AN102">
        <f>SUMIF(RawDataRecovered!$B:$B,$A102,RawDataRecovered!AQ:AQ)</f>
        <v>0</v>
      </c>
      <c r="AO102">
        <f>SUMIF(RawDataRecovered!$B:$B,$A102,RawDataRecovered!AR:AR)</f>
        <v>0</v>
      </c>
      <c r="AP102">
        <f>SUMIF(RawDataRecovered!$B:$B,$A102,RawDataRecovered!AS:AS)</f>
        <v>0</v>
      </c>
      <c r="AQ102">
        <f>SUMIF(RawDataRecovered!$B:$B,$A102,RawDataRecovered!AT:AT)</f>
        <v>0</v>
      </c>
      <c r="AR102">
        <f>SUMIF(RawDataRecovered!$B:$B,$A102,RawDataRecovered!AU:AU)</f>
        <v>0</v>
      </c>
      <c r="AS102">
        <f>SUMIF(RawDataRecovered!$B:$B,$A102,RawDataRecovered!AV:AV)</f>
        <v>0</v>
      </c>
      <c r="AT102">
        <f>SUMIF(RawDataRecovered!$B:$B,$A102,RawDataRecovered!AW:AW)</f>
        <v>0</v>
      </c>
      <c r="AU102">
        <f>SUMIF(RawDataRecovered!$B:$B,$A102,RawDataRecovered!AX:AX)</f>
        <v>0</v>
      </c>
      <c r="AV102">
        <f>SUMIF(RawDataRecovered!$B:$B,$A102,RawDataRecovered!AY:AY)</f>
        <v>0</v>
      </c>
      <c r="AW102">
        <f>SUMIF(RawDataRecovered!$B:$B,$A102,RawDataRecovered!AZ:AZ)</f>
        <v>0</v>
      </c>
      <c r="AX102">
        <f>SUMIF(RawDataRecovered!$B:$B,$A102,RawDataRecovered!BA:BA)</f>
        <v>0</v>
      </c>
      <c r="AY102">
        <f>SUMIF(RawDataRecovered!$B:$B,$A102,RawDataRecovered!BB:BB)</f>
        <v>0</v>
      </c>
      <c r="AZ102">
        <f>SUMIF(RawDataRecovered!$B:$B,$A102,RawDataRecovered!BC:BC)</f>
        <v>0</v>
      </c>
      <c r="BA102">
        <f>SUMIF(RawDataRecovered!$B:$B,$A102,RawDataRecovered!BD:BD)</f>
        <v>0</v>
      </c>
      <c r="BB102">
        <f>SUMIF(RawDataRecovered!$B:$B,$A102,RawDataRecovered!BE:BE)</f>
        <v>0</v>
      </c>
      <c r="BC102">
        <f>SUMIF(RawDataRecovered!$B:$B,$A102,RawDataRecovered!BF:BF)</f>
        <v>0</v>
      </c>
      <c r="BD102">
        <f>SUMIF(RawDataRecovered!$B:$B,$A102,RawDataRecovered!BG:BG)</f>
        <v>0</v>
      </c>
      <c r="BE102">
        <f>SUMIF(RawDataRecovered!$B:$B,$A102,RawDataRecovered!BH:BH)</f>
        <v>0</v>
      </c>
      <c r="BF102">
        <f>SUMIF(RawDataRecovered!$B:$B,$A102,RawDataRecovered!BI:BI)</f>
        <v>0</v>
      </c>
      <c r="BG102">
        <f>SUMIF(RawDataRecovered!$B:$B,$A102,RawDataRecovered!BJ:BJ)</f>
        <v>0</v>
      </c>
      <c r="BH102">
        <f>SUMIF(RawDataRecovered!$B:$B,$A102,RawDataRecovered!BK:BK)</f>
        <v>0</v>
      </c>
      <c r="BI102">
        <f>SUMIF(RawDataRecovered!$B:$B,$A102,RawDataRecovered!BL:BL)</f>
        <v>0</v>
      </c>
      <c r="BJ102">
        <f>SUMIF(RawDataRecovered!$B:$B,$A102,RawDataRecovered!BM:BM)</f>
        <v>0</v>
      </c>
      <c r="BK102">
        <f>SUMIF(RawDataRecovered!$B:$B,$A102,RawDataRecovered!BN:BN)</f>
        <v>0</v>
      </c>
      <c r="BL102">
        <f>SUMIF(RawDataRecovered!$B:$B,$A102,RawDataRecovered!BO:BO)</f>
        <v>0</v>
      </c>
      <c r="BM102">
        <f>SUMIF(RawDataRecovered!$B:$B,$A102,RawDataRecovered!BP:BP)</f>
        <v>0</v>
      </c>
      <c r="BN102">
        <f>SUMIF(RawDataRecovered!$B:$B,$A102,RawDataRecovered!BQ:BQ)</f>
        <v>0</v>
      </c>
      <c r="BO102">
        <f>SUMIF(RawDataRecovered!$B:$B,$A102,RawDataRecovered!BR:BR)</f>
        <v>0</v>
      </c>
      <c r="BP102">
        <f>SUMIF(RawDataRecovered!$B:$B,$A102,RawDataRecovered!BS:BS)</f>
        <v>0</v>
      </c>
      <c r="BQ102">
        <f>SUMIF(RawDataRecovered!$B:$B,$A102,RawDataRecovered!BT:BT)</f>
        <v>0</v>
      </c>
      <c r="BR102">
        <f>SUMIF(RawDataRecovered!$B:$B,$A102,RawDataRecovered!BU:BU)</f>
        <v>0</v>
      </c>
      <c r="BS102">
        <f>SUMIF(RawDataRecovered!$B:$B,$A102,RawDataRecovered!BV:BV)</f>
        <v>0</v>
      </c>
      <c r="BT102">
        <f>SUMIF(RawDataRecovered!$B:$B,$A102,RawDataRecovered!BW:BW)</f>
        <v>0</v>
      </c>
    </row>
    <row r="103" spans="1:72" ht="15" thickBot="1" x14ac:dyDescent="0.35">
      <c r="A103" s="3" t="s">
        <v>450</v>
      </c>
      <c r="B103">
        <f>SUMIF(RawDataRecovered!$B:$B,$A103,RawDataRecovered!E:E)</f>
        <v>0</v>
      </c>
      <c r="C103">
        <f>SUMIF(RawDataRecovered!$B:$B,$A103,RawDataRecovered!F:F)</f>
        <v>0</v>
      </c>
      <c r="D103">
        <f>SUMIF(RawDataRecovered!$B:$B,$A103,RawDataRecovered!G:G)</f>
        <v>0</v>
      </c>
      <c r="E103">
        <f>SUMIF(RawDataRecovered!$B:$B,$A103,RawDataRecovered!H:H)</f>
        <v>0</v>
      </c>
      <c r="F103">
        <f>SUMIF(RawDataRecovered!$B:$B,$A103,RawDataRecovered!I:I)</f>
        <v>0</v>
      </c>
      <c r="G103">
        <f>SUMIF(RawDataRecovered!$B:$B,$A103,RawDataRecovered!J:J)</f>
        <v>0</v>
      </c>
      <c r="H103">
        <f>SUMIF(RawDataRecovered!$B:$B,$A103,RawDataRecovered!K:K)</f>
        <v>0</v>
      </c>
      <c r="I103">
        <f>SUMIF(RawDataRecovered!$B:$B,$A103,RawDataRecovered!L:L)</f>
        <v>0</v>
      </c>
      <c r="J103">
        <f>SUMIF(RawDataRecovered!$B:$B,$A103,RawDataRecovered!M:M)</f>
        <v>0</v>
      </c>
      <c r="K103">
        <f>SUMIF(RawDataRecovered!$B:$B,$A103,RawDataRecovered!N:N)</f>
        <v>0</v>
      </c>
      <c r="L103">
        <f>SUMIF(RawDataRecovered!$B:$B,$A103,RawDataRecovered!O:O)</f>
        <v>0</v>
      </c>
      <c r="M103">
        <f>SUMIF(RawDataRecovered!$B:$B,$A103,RawDataRecovered!P:P)</f>
        <v>0</v>
      </c>
      <c r="N103">
        <f>SUMIF(RawDataRecovered!$B:$B,$A103,RawDataRecovered!Q:Q)</f>
        <v>0</v>
      </c>
      <c r="O103">
        <f>SUMIF(RawDataRecovered!$B:$B,$A103,RawDataRecovered!R:R)</f>
        <v>0</v>
      </c>
      <c r="P103">
        <f>SUMIF(RawDataRecovered!$B:$B,$A103,RawDataRecovered!S:S)</f>
        <v>0</v>
      </c>
      <c r="Q103">
        <f>SUMIF(RawDataRecovered!$B:$B,$A103,RawDataRecovered!T:T)</f>
        <v>0</v>
      </c>
      <c r="R103">
        <f>SUMIF(RawDataRecovered!$B:$B,$A103,RawDataRecovered!U:U)</f>
        <v>0</v>
      </c>
      <c r="S103">
        <f>SUMIF(RawDataRecovered!$B:$B,$A103,RawDataRecovered!V:V)</f>
        <v>0</v>
      </c>
      <c r="T103">
        <f>SUMIF(RawDataRecovered!$B:$B,$A103,RawDataRecovered!W:W)</f>
        <v>0</v>
      </c>
      <c r="U103">
        <f>SUMIF(RawDataRecovered!$B:$B,$A103,RawDataRecovered!X:X)</f>
        <v>0</v>
      </c>
      <c r="V103">
        <f>SUMIF(RawDataRecovered!$B:$B,$A103,RawDataRecovered!Y:Y)</f>
        <v>0</v>
      </c>
      <c r="W103">
        <f>SUMIF(RawDataRecovered!$B:$B,$A103,RawDataRecovered!Z:Z)</f>
        <v>0</v>
      </c>
      <c r="X103">
        <f>SUMIF(RawDataRecovered!$B:$B,$A103,RawDataRecovered!AA:AA)</f>
        <v>0</v>
      </c>
      <c r="Y103">
        <f>SUMIF(RawDataRecovered!$B:$B,$A103,RawDataRecovered!AB:AB)</f>
        <v>0</v>
      </c>
      <c r="Z103">
        <f>SUMIF(RawDataRecovered!$B:$B,$A103,RawDataRecovered!AC:AC)</f>
        <v>0</v>
      </c>
      <c r="AA103">
        <f>SUMIF(RawDataRecovered!$B:$B,$A103,RawDataRecovered!AD:AD)</f>
        <v>0</v>
      </c>
      <c r="AB103">
        <f>SUMIF(RawDataRecovered!$B:$B,$A103,RawDataRecovered!AE:AE)</f>
        <v>0</v>
      </c>
      <c r="AC103">
        <f>SUMIF(RawDataRecovered!$B:$B,$A103,RawDataRecovered!AF:AF)</f>
        <v>0</v>
      </c>
      <c r="AD103">
        <f>SUMIF(RawDataRecovered!$B:$B,$A103,RawDataRecovered!AG:AG)</f>
        <v>0</v>
      </c>
      <c r="AE103">
        <f>SUMIF(RawDataRecovered!$B:$B,$A103,RawDataRecovered!AH:AH)</f>
        <v>0</v>
      </c>
      <c r="AF103">
        <f>SUMIF(RawDataRecovered!$B:$B,$A103,RawDataRecovered!AI:AI)</f>
        <v>0</v>
      </c>
      <c r="AG103">
        <f>SUMIF(RawDataRecovered!$B:$B,$A103,RawDataRecovered!AJ:AJ)</f>
        <v>0</v>
      </c>
      <c r="AH103">
        <f>SUMIF(RawDataRecovered!$B:$B,$A103,RawDataRecovered!AK:AK)</f>
        <v>0</v>
      </c>
      <c r="AI103">
        <f>SUMIF(RawDataRecovered!$B:$B,$A103,RawDataRecovered!AL:AL)</f>
        <v>0</v>
      </c>
      <c r="AJ103">
        <f>SUMIF(RawDataRecovered!$B:$B,$A103,RawDataRecovered!AM:AM)</f>
        <v>0</v>
      </c>
      <c r="AK103">
        <f>SUMIF(RawDataRecovered!$B:$B,$A103,RawDataRecovered!AN:AN)</f>
        <v>0</v>
      </c>
      <c r="AL103">
        <f>SUMIF(RawDataRecovered!$B:$B,$A103,RawDataRecovered!AO:AO)</f>
        <v>0</v>
      </c>
      <c r="AM103">
        <f>SUMIF(RawDataRecovered!$B:$B,$A103,RawDataRecovered!AP:AP)</f>
        <v>0</v>
      </c>
      <c r="AN103">
        <f>SUMIF(RawDataRecovered!$B:$B,$A103,RawDataRecovered!AQ:AQ)</f>
        <v>0</v>
      </c>
      <c r="AO103">
        <f>SUMIF(RawDataRecovered!$B:$B,$A103,RawDataRecovered!AR:AR)</f>
        <v>0</v>
      </c>
      <c r="AP103">
        <f>SUMIF(RawDataRecovered!$B:$B,$A103,RawDataRecovered!AS:AS)</f>
        <v>0</v>
      </c>
      <c r="AQ103">
        <f>SUMIF(RawDataRecovered!$B:$B,$A103,RawDataRecovered!AT:AT)</f>
        <v>0</v>
      </c>
      <c r="AR103">
        <f>SUMIF(RawDataRecovered!$B:$B,$A103,RawDataRecovered!AU:AU)</f>
        <v>0</v>
      </c>
      <c r="AS103">
        <f>SUMIF(RawDataRecovered!$B:$B,$A103,RawDataRecovered!AV:AV)</f>
        <v>0</v>
      </c>
      <c r="AT103">
        <f>SUMIF(RawDataRecovered!$B:$B,$A103,RawDataRecovered!AW:AW)</f>
        <v>0</v>
      </c>
      <c r="AU103">
        <f>SUMIF(RawDataRecovered!$B:$B,$A103,RawDataRecovered!AX:AX)</f>
        <v>0</v>
      </c>
      <c r="AV103">
        <f>SUMIF(RawDataRecovered!$B:$B,$A103,RawDataRecovered!AY:AY)</f>
        <v>0</v>
      </c>
      <c r="AW103">
        <f>SUMIF(RawDataRecovered!$B:$B,$A103,RawDataRecovered!AZ:AZ)</f>
        <v>0</v>
      </c>
      <c r="AX103">
        <f>SUMIF(RawDataRecovered!$B:$B,$A103,RawDataRecovered!BA:BA)</f>
        <v>0</v>
      </c>
      <c r="AY103">
        <f>SUMIF(RawDataRecovered!$B:$B,$A103,RawDataRecovered!BB:BB)</f>
        <v>0</v>
      </c>
      <c r="AZ103">
        <f>SUMIF(RawDataRecovered!$B:$B,$A103,RawDataRecovered!BC:BC)</f>
        <v>0</v>
      </c>
      <c r="BA103">
        <f>SUMIF(RawDataRecovered!$B:$B,$A103,RawDataRecovered!BD:BD)</f>
        <v>0</v>
      </c>
      <c r="BB103">
        <f>SUMIF(RawDataRecovered!$B:$B,$A103,RawDataRecovered!BE:BE)</f>
        <v>0</v>
      </c>
      <c r="BC103">
        <f>SUMIF(RawDataRecovered!$B:$B,$A103,RawDataRecovered!BF:BF)</f>
        <v>0</v>
      </c>
      <c r="BD103">
        <f>SUMIF(RawDataRecovered!$B:$B,$A103,RawDataRecovered!BG:BG)</f>
        <v>0</v>
      </c>
      <c r="BE103">
        <f>SUMIF(RawDataRecovered!$B:$B,$A103,RawDataRecovered!BH:BH)</f>
        <v>0</v>
      </c>
      <c r="BF103">
        <f>SUMIF(RawDataRecovered!$B:$B,$A103,RawDataRecovered!BI:BI)</f>
        <v>0</v>
      </c>
      <c r="BG103">
        <f>SUMIF(RawDataRecovered!$B:$B,$A103,RawDataRecovered!BJ:BJ)</f>
        <v>0</v>
      </c>
      <c r="BH103">
        <f>SUMIF(RawDataRecovered!$B:$B,$A103,RawDataRecovered!BK:BK)</f>
        <v>0</v>
      </c>
      <c r="BI103">
        <f>SUMIF(RawDataRecovered!$B:$B,$A103,RawDataRecovered!BL:BL)</f>
        <v>0</v>
      </c>
      <c r="BJ103">
        <f>SUMIF(RawDataRecovered!$B:$B,$A103,RawDataRecovered!BM:BM)</f>
        <v>0</v>
      </c>
      <c r="BK103">
        <f>SUMIF(RawDataRecovered!$B:$B,$A103,RawDataRecovered!BN:BN)</f>
        <v>0</v>
      </c>
      <c r="BL103">
        <f>SUMIF(RawDataRecovered!$B:$B,$A103,RawDataRecovered!BO:BO)</f>
        <v>0</v>
      </c>
      <c r="BM103">
        <f>SUMIF(RawDataRecovered!$B:$B,$A103,RawDataRecovered!BP:BP)</f>
        <v>0</v>
      </c>
      <c r="BN103">
        <f>SUMIF(RawDataRecovered!$B:$B,$A103,RawDataRecovered!BQ:BQ)</f>
        <v>0</v>
      </c>
      <c r="BO103">
        <f>SUMIF(RawDataRecovered!$B:$B,$A103,RawDataRecovered!BR:BR)</f>
        <v>0</v>
      </c>
      <c r="BP103">
        <f>SUMIF(RawDataRecovered!$B:$B,$A103,RawDataRecovered!BS:BS)</f>
        <v>0</v>
      </c>
      <c r="BQ103">
        <f>SUMIF(RawDataRecovered!$B:$B,$A103,RawDataRecovered!BT:BT)</f>
        <v>0</v>
      </c>
      <c r="BR103">
        <f>SUMIF(RawDataRecovered!$B:$B,$A103,RawDataRecovered!BU:BU)</f>
        <v>0</v>
      </c>
      <c r="BS103">
        <f>SUMIF(RawDataRecovered!$B:$B,$A103,RawDataRecovered!BV:BV)</f>
        <v>0</v>
      </c>
      <c r="BT103">
        <f>SUMIF(RawDataRecovered!$B:$B,$A103,RawDataRecovered!BW:BW)</f>
        <v>0</v>
      </c>
    </row>
    <row r="104" spans="1:72" ht="15" thickBot="1" x14ac:dyDescent="0.35">
      <c r="A104" s="4" t="s">
        <v>306</v>
      </c>
      <c r="B104">
        <f>SUMIF(RawDataRecovered!$B:$B,$A104,RawDataRecovered!E:E)</f>
        <v>0</v>
      </c>
      <c r="C104">
        <f>SUMIF(RawDataRecovered!$B:$B,$A104,RawDataRecovered!F:F)</f>
        <v>0</v>
      </c>
      <c r="D104">
        <f>SUMIF(RawDataRecovered!$B:$B,$A104,RawDataRecovered!G:G)</f>
        <v>0</v>
      </c>
      <c r="E104">
        <f>SUMIF(RawDataRecovered!$B:$B,$A104,RawDataRecovered!H:H)</f>
        <v>0</v>
      </c>
      <c r="F104">
        <f>SUMIF(RawDataRecovered!$B:$B,$A104,RawDataRecovered!I:I)</f>
        <v>0</v>
      </c>
      <c r="G104">
        <f>SUMIF(RawDataRecovered!$B:$B,$A104,RawDataRecovered!J:J)</f>
        <v>0</v>
      </c>
      <c r="H104">
        <f>SUMIF(RawDataRecovered!$B:$B,$A104,RawDataRecovered!K:K)</f>
        <v>0</v>
      </c>
      <c r="I104">
        <f>SUMIF(RawDataRecovered!$B:$B,$A104,RawDataRecovered!L:L)</f>
        <v>0</v>
      </c>
      <c r="J104">
        <f>SUMIF(RawDataRecovered!$B:$B,$A104,RawDataRecovered!M:M)</f>
        <v>0</v>
      </c>
      <c r="K104">
        <f>SUMIF(RawDataRecovered!$B:$B,$A104,RawDataRecovered!N:N)</f>
        <v>0</v>
      </c>
      <c r="L104">
        <f>SUMIF(RawDataRecovered!$B:$B,$A104,RawDataRecovered!O:O)</f>
        <v>0</v>
      </c>
      <c r="M104">
        <f>SUMIF(RawDataRecovered!$B:$B,$A104,RawDataRecovered!P:P)</f>
        <v>0</v>
      </c>
      <c r="N104">
        <f>SUMIF(RawDataRecovered!$B:$B,$A104,RawDataRecovered!Q:Q)</f>
        <v>0</v>
      </c>
      <c r="O104">
        <f>SUMIF(RawDataRecovered!$B:$B,$A104,RawDataRecovered!R:R)</f>
        <v>0</v>
      </c>
      <c r="P104">
        <f>SUMIF(RawDataRecovered!$B:$B,$A104,RawDataRecovered!S:S)</f>
        <v>0</v>
      </c>
      <c r="Q104">
        <f>SUMIF(RawDataRecovered!$B:$B,$A104,RawDataRecovered!T:T)</f>
        <v>0</v>
      </c>
      <c r="R104">
        <f>SUMIF(RawDataRecovered!$B:$B,$A104,RawDataRecovered!U:U)</f>
        <v>0</v>
      </c>
      <c r="S104">
        <f>SUMIF(RawDataRecovered!$B:$B,$A104,RawDataRecovered!V:V)</f>
        <v>0</v>
      </c>
      <c r="T104">
        <f>SUMIF(RawDataRecovered!$B:$B,$A104,RawDataRecovered!W:W)</f>
        <v>0</v>
      </c>
      <c r="U104">
        <f>SUMIF(RawDataRecovered!$B:$B,$A104,RawDataRecovered!X:X)</f>
        <v>0</v>
      </c>
      <c r="V104">
        <f>SUMIF(RawDataRecovered!$B:$B,$A104,RawDataRecovered!Y:Y)</f>
        <v>0</v>
      </c>
      <c r="W104">
        <f>SUMIF(RawDataRecovered!$B:$B,$A104,RawDataRecovered!Z:Z)</f>
        <v>0</v>
      </c>
      <c r="X104">
        <f>SUMIF(RawDataRecovered!$B:$B,$A104,RawDataRecovered!AA:AA)</f>
        <v>0</v>
      </c>
      <c r="Y104">
        <f>SUMIF(RawDataRecovered!$B:$B,$A104,RawDataRecovered!AB:AB)</f>
        <v>0</v>
      </c>
      <c r="Z104">
        <f>SUMIF(RawDataRecovered!$B:$B,$A104,RawDataRecovered!AC:AC)</f>
        <v>0</v>
      </c>
      <c r="AA104">
        <f>SUMIF(RawDataRecovered!$B:$B,$A104,RawDataRecovered!AD:AD)</f>
        <v>0</v>
      </c>
      <c r="AB104">
        <f>SUMIF(RawDataRecovered!$B:$B,$A104,RawDataRecovered!AE:AE)</f>
        <v>0</v>
      </c>
      <c r="AC104">
        <f>SUMIF(RawDataRecovered!$B:$B,$A104,RawDataRecovered!AF:AF)</f>
        <v>0</v>
      </c>
      <c r="AD104">
        <f>SUMIF(RawDataRecovered!$B:$B,$A104,RawDataRecovered!AG:AG)</f>
        <v>0</v>
      </c>
      <c r="AE104">
        <f>SUMIF(RawDataRecovered!$B:$B,$A104,RawDataRecovered!AH:AH)</f>
        <v>0</v>
      </c>
      <c r="AF104">
        <f>SUMIF(RawDataRecovered!$B:$B,$A104,RawDataRecovered!AI:AI)</f>
        <v>0</v>
      </c>
      <c r="AG104">
        <f>SUMIF(RawDataRecovered!$B:$B,$A104,RawDataRecovered!AJ:AJ)</f>
        <v>0</v>
      </c>
      <c r="AH104">
        <f>SUMIF(RawDataRecovered!$B:$B,$A104,RawDataRecovered!AK:AK)</f>
        <v>0</v>
      </c>
      <c r="AI104">
        <f>SUMIF(RawDataRecovered!$B:$B,$A104,RawDataRecovered!AL:AL)</f>
        <v>0</v>
      </c>
      <c r="AJ104">
        <f>SUMIF(RawDataRecovered!$B:$B,$A104,RawDataRecovered!AM:AM)</f>
        <v>0</v>
      </c>
      <c r="AK104">
        <f>SUMIF(RawDataRecovered!$B:$B,$A104,RawDataRecovered!AN:AN)</f>
        <v>0</v>
      </c>
      <c r="AL104">
        <f>SUMIF(RawDataRecovered!$B:$B,$A104,RawDataRecovered!AO:AO)</f>
        <v>0</v>
      </c>
      <c r="AM104">
        <f>SUMIF(RawDataRecovered!$B:$B,$A104,RawDataRecovered!AP:AP)</f>
        <v>0</v>
      </c>
      <c r="AN104">
        <f>SUMIF(RawDataRecovered!$B:$B,$A104,RawDataRecovered!AQ:AQ)</f>
        <v>0</v>
      </c>
      <c r="AO104">
        <f>SUMIF(RawDataRecovered!$B:$B,$A104,RawDataRecovered!AR:AR)</f>
        <v>0</v>
      </c>
      <c r="AP104">
        <f>SUMIF(RawDataRecovered!$B:$B,$A104,RawDataRecovered!AS:AS)</f>
        <v>0</v>
      </c>
      <c r="AQ104">
        <f>SUMIF(RawDataRecovered!$B:$B,$A104,RawDataRecovered!AT:AT)</f>
        <v>0</v>
      </c>
      <c r="AR104">
        <f>SUMIF(RawDataRecovered!$B:$B,$A104,RawDataRecovered!AU:AU)</f>
        <v>0</v>
      </c>
      <c r="AS104">
        <f>SUMIF(RawDataRecovered!$B:$B,$A104,RawDataRecovered!AV:AV)</f>
        <v>0</v>
      </c>
      <c r="AT104">
        <f>SUMIF(RawDataRecovered!$B:$B,$A104,RawDataRecovered!AW:AW)</f>
        <v>0</v>
      </c>
      <c r="AU104">
        <f>SUMIF(RawDataRecovered!$B:$B,$A104,RawDataRecovered!AX:AX)</f>
        <v>0</v>
      </c>
      <c r="AV104">
        <f>SUMIF(RawDataRecovered!$B:$B,$A104,RawDataRecovered!AY:AY)</f>
        <v>0</v>
      </c>
      <c r="AW104">
        <f>SUMIF(RawDataRecovered!$B:$B,$A104,RawDataRecovered!AZ:AZ)</f>
        <v>0</v>
      </c>
      <c r="AX104">
        <f>SUMIF(RawDataRecovered!$B:$B,$A104,RawDataRecovered!BA:BA)</f>
        <v>0</v>
      </c>
      <c r="AY104">
        <f>SUMIF(RawDataRecovered!$B:$B,$A104,RawDataRecovered!BB:BB)</f>
        <v>0</v>
      </c>
      <c r="AZ104">
        <f>SUMIF(RawDataRecovered!$B:$B,$A104,RawDataRecovered!BC:BC)</f>
        <v>0</v>
      </c>
      <c r="BA104">
        <f>SUMIF(RawDataRecovered!$B:$B,$A104,RawDataRecovered!BD:BD)</f>
        <v>0</v>
      </c>
      <c r="BB104">
        <f>SUMIF(RawDataRecovered!$B:$B,$A104,RawDataRecovered!BE:BE)</f>
        <v>0</v>
      </c>
      <c r="BC104">
        <f>SUMIF(RawDataRecovered!$B:$B,$A104,RawDataRecovered!BF:BF)</f>
        <v>0</v>
      </c>
      <c r="BD104">
        <f>SUMIF(RawDataRecovered!$B:$B,$A104,RawDataRecovered!BG:BG)</f>
        <v>0</v>
      </c>
      <c r="BE104">
        <f>SUMIF(RawDataRecovered!$B:$B,$A104,RawDataRecovered!BH:BH)</f>
        <v>0</v>
      </c>
      <c r="BF104">
        <f>SUMIF(RawDataRecovered!$B:$B,$A104,RawDataRecovered!BI:BI)</f>
        <v>0</v>
      </c>
      <c r="BG104">
        <f>SUMIF(RawDataRecovered!$B:$B,$A104,RawDataRecovered!BJ:BJ)</f>
        <v>0</v>
      </c>
      <c r="BH104">
        <f>SUMIF(RawDataRecovered!$B:$B,$A104,RawDataRecovered!BK:BK)</f>
        <v>0</v>
      </c>
      <c r="BI104">
        <f>SUMIF(RawDataRecovered!$B:$B,$A104,RawDataRecovered!BL:BL)</f>
        <v>0</v>
      </c>
      <c r="BJ104">
        <f>SUMIF(RawDataRecovered!$B:$B,$A104,RawDataRecovered!BM:BM)</f>
        <v>0</v>
      </c>
      <c r="BK104">
        <f>SUMIF(RawDataRecovered!$B:$B,$A104,RawDataRecovered!BN:BN)</f>
        <v>0</v>
      </c>
      <c r="BL104">
        <f>SUMIF(RawDataRecovered!$B:$B,$A104,RawDataRecovered!BO:BO)</f>
        <v>0</v>
      </c>
      <c r="BM104">
        <f>SUMIF(RawDataRecovered!$B:$B,$A104,RawDataRecovered!BP:BP)</f>
        <v>0</v>
      </c>
      <c r="BN104">
        <f>SUMIF(RawDataRecovered!$B:$B,$A104,RawDataRecovered!BQ:BQ)</f>
        <v>0</v>
      </c>
      <c r="BO104">
        <f>SUMIF(RawDataRecovered!$B:$B,$A104,RawDataRecovered!BR:BR)</f>
        <v>0</v>
      </c>
      <c r="BP104">
        <f>SUMIF(RawDataRecovered!$B:$B,$A104,RawDataRecovered!BS:BS)</f>
        <v>0</v>
      </c>
      <c r="BQ104">
        <f>SUMIF(RawDataRecovered!$B:$B,$A104,RawDataRecovered!BT:BT)</f>
        <v>0</v>
      </c>
      <c r="BR104">
        <f>SUMIF(RawDataRecovered!$B:$B,$A104,RawDataRecovered!BU:BU)</f>
        <v>0</v>
      </c>
      <c r="BS104">
        <f>SUMIF(RawDataRecovered!$B:$B,$A104,RawDataRecovered!BV:BV)</f>
        <v>0</v>
      </c>
      <c r="BT104">
        <f>SUMIF(RawDataRecovered!$B:$B,$A104,RawDataRecovered!BW:BW)</f>
        <v>0</v>
      </c>
    </row>
    <row r="105" spans="1:72" ht="15" thickBot="1" x14ac:dyDescent="0.35">
      <c r="A105" s="3" t="s">
        <v>184</v>
      </c>
      <c r="B105">
        <f>SUMIF(RawDataRecovered!$B:$B,$A105,RawDataRecovered!E:E)</f>
        <v>0</v>
      </c>
      <c r="C105">
        <f>SUMIF(RawDataRecovered!$B:$B,$A105,RawDataRecovered!F:F)</f>
        <v>0</v>
      </c>
      <c r="D105">
        <f>SUMIF(RawDataRecovered!$B:$B,$A105,RawDataRecovered!G:G)</f>
        <v>0</v>
      </c>
      <c r="E105">
        <f>SUMIF(RawDataRecovered!$B:$B,$A105,RawDataRecovered!H:H)</f>
        <v>0</v>
      </c>
      <c r="F105">
        <f>SUMIF(RawDataRecovered!$B:$B,$A105,RawDataRecovered!I:I)</f>
        <v>0</v>
      </c>
      <c r="G105">
        <f>SUMIF(RawDataRecovered!$B:$B,$A105,RawDataRecovered!J:J)</f>
        <v>0</v>
      </c>
      <c r="H105">
        <f>SUMIF(RawDataRecovered!$B:$B,$A105,RawDataRecovered!K:K)</f>
        <v>0</v>
      </c>
      <c r="I105">
        <f>SUMIF(RawDataRecovered!$B:$B,$A105,RawDataRecovered!L:L)</f>
        <v>0</v>
      </c>
      <c r="J105">
        <f>SUMIF(RawDataRecovered!$B:$B,$A105,RawDataRecovered!M:M)</f>
        <v>0</v>
      </c>
      <c r="K105">
        <f>SUMIF(RawDataRecovered!$B:$B,$A105,RawDataRecovered!N:N)</f>
        <v>0</v>
      </c>
      <c r="L105">
        <f>SUMIF(RawDataRecovered!$B:$B,$A105,RawDataRecovered!O:O)</f>
        <v>0</v>
      </c>
      <c r="M105">
        <f>SUMIF(RawDataRecovered!$B:$B,$A105,RawDataRecovered!P:P)</f>
        <v>0</v>
      </c>
      <c r="N105">
        <f>SUMIF(RawDataRecovered!$B:$B,$A105,RawDataRecovered!Q:Q)</f>
        <v>0</v>
      </c>
      <c r="O105">
        <f>SUMIF(RawDataRecovered!$B:$B,$A105,RawDataRecovered!R:R)</f>
        <v>0</v>
      </c>
      <c r="P105">
        <f>SUMIF(RawDataRecovered!$B:$B,$A105,RawDataRecovered!S:S)</f>
        <v>0</v>
      </c>
      <c r="Q105">
        <f>SUMIF(RawDataRecovered!$B:$B,$A105,RawDataRecovered!T:T)</f>
        <v>0</v>
      </c>
      <c r="R105">
        <f>SUMIF(RawDataRecovered!$B:$B,$A105,RawDataRecovered!U:U)</f>
        <v>0</v>
      </c>
      <c r="S105">
        <f>SUMIF(RawDataRecovered!$B:$B,$A105,RawDataRecovered!V:V)</f>
        <v>0</v>
      </c>
      <c r="T105">
        <f>SUMIF(RawDataRecovered!$B:$B,$A105,RawDataRecovered!W:W)</f>
        <v>0</v>
      </c>
      <c r="U105">
        <f>SUMIF(RawDataRecovered!$B:$B,$A105,RawDataRecovered!X:X)</f>
        <v>0</v>
      </c>
      <c r="V105">
        <f>SUMIF(RawDataRecovered!$B:$B,$A105,RawDataRecovered!Y:Y)</f>
        <v>0</v>
      </c>
      <c r="W105">
        <f>SUMIF(RawDataRecovered!$B:$B,$A105,RawDataRecovered!Z:Z)</f>
        <v>0</v>
      </c>
      <c r="X105">
        <f>SUMIF(RawDataRecovered!$B:$B,$A105,RawDataRecovered!AA:AA)</f>
        <v>0</v>
      </c>
      <c r="Y105">
        <f>SUMIF(RawDataRecovered!$B:$B,$A105,RawDataRecovered!AB:AB)</f>
        <v>0</v>
      </c>
      <c r="Z105">
        <f>SUMIF(RawDataRecovered!$B:$B,$A105,RawDataRecovered!AC:AC)</f>
        <v>0</v>
      </c>
      <c r="AA105">
        <f>SUMIF(RawDataRecovered!$B:$B,$A105,RawDataRecovered!AD:AD)</f>
        <v>0</v>
      </c>
      <c r="AB105">
        <f>SUMIF(RawDataRecovered!$B:$B,$A105,RawDataRecovered!AE:AE)</f>
        <v>0</v>
      </c>
      <c r="AC105">
        <f>SUMIF(RawDataRecovered!$B:$B,$A105,RawDataRecovered!AF:AF)</f>
        <v>0</v>
      </c>
      <c r="AD105">
        <f>SUMIF(RawDataRecovered!$B:$B,$A105,RawDataRecovered!AG:AG)</f>
        <v>0</v>
      </c>
      <c r="AE105">
        <f>SUMIF(RawDataRecovered!$B:$B,$A105,RawDataRecovered!AH:AH)</f>
        <v>0</v>
      </c>
      <c r="AF105">
        <f>SUMIF(RawDataRecovered!$B:$B,$A105,RawDataRecovered!AI:AI)</f>
        <v>0</v>
      </c>
      <c r="AG105">
        <f>SUMIF(RawDataRecovered!$B:$B,$A105,RawDataRecovered!AJ:AJ)</f>
        <v>0</v>
      </c>
      <c r="AH105">
        <f>SUMIF(RawDataRecovered!$B:$B,$A105,RawDataRecovered!AK:AK)</f>
        <v>0</v>
      </c>
      <c r="AI105">
        <f>SUMIF(RawDataRecovered!$B:$B,$A105,RawDataRecovered!AL:AL)</f>
        <v>0</v>
      </c>
      <c r="AJ105">
        <f>SUMIF(RawDataRecovered!$B:$B,$A105,RawDataRecovered!AM:AM)</f>
        <v>0</v>
      </c>
      <c r="AK105">
        <f>SUMIF(RawDataRecovered!$B:$B,$A105,RawDataRecovered!AN:AN)</f>
        <v>0</v>
      </c>
      <c r="AL105">
        <f>SUMIF(RawDataRecovered!$B:$B,$A105,RawDataRecovered!AO:AO)</f>
        <v>0</v>
      </c>
      <c r="AM105">
        <f>SUMIF(RawDataRecovered!$B:$B,$A105,RawDataRecovered!AP:AP)</f>
        <v>0</v>
      </c>
      <c r="AN105">
        <f>SUMIF(RawDataRecovered!$B:$B,$A105,RawDataRecovered!AQ:AQ)</f>
        <v>0</v>
      </c>
      <c r="AO105">
        <f>SUMIF(RawDataRecovered!$B:$B,$A105,RawDataRecovered!AR:AR)</f>
        <v>0</v>
      </c>
      <c r="AP105">
        <f>SUMIF(RawDataRecovered!$B:$B,$A105,RawDataRecovered!AS:AS)</f>
        <v>0</v>
      </c>
      <c r="AQ105">
        <f>SUMIF(RawDataRecovered!$B:$B,$A105,RawDataRecovered!AT:AT)</f>
        <v>0</v>
      </c>
      <c r="AR105">
        <f>SUMIF(RawDataRecovered!$B:$B,$A105,RawDataRecovered!AU:AU)</f>
        <v>0</v>
      </c>
      <c r="AS105">
        <f>SUMIF(RawDataRecovered!$B:$B,$A105,RawDataRecovered!AV:AV)</f>
        <v>0</v>
      </c>
      <c r="AT105">
        <f>SUMIF(RawDataRecovered!$B:$B,$A105,RawDataRecovered!AW:AW)</f>
        <v>0</v>
      </c>
      <c r="AU105">
        <f>SUMIF(RawDataRecovered!$B:$B,$A105,RawDataRecovered!AX:AX)</f>
        <v>0</v>
      </c>
      <c r="AV105">
        <f>SUMIF(RawDataRecovered!$B:$B,$A105,RawDataRecovered!AY:AY)</f>
        <v>0</v>
      </c>
      <c r="AW105">
        <f>SUMIF(RawDataRecovered!$B:$B,$A105,RawDataRecovered!AZ:AZ)</f>
        <v>0</v>
      </c>
      <c r="AX105">
        <f>SUMIF(RawDataRecovered!$B:$B,$A105,RawDataRecovered!BA:BA)</f>
        <v>0</v>
      </c>
      <c r="AY105">
        <f>SUMIF(RawDataRecovered!$B:$B,$A105,RawDataRecovered!BB:BB)</f>
        <v>0</v>
      </c>
      <c r="AZ105">
        <f>SUMIF(RawDataRecovered!$B:$B,$A105,RawDataRecovered!BC:BC)</f>
        <v>0</v>
      </c>
      <c r="BA105">
        <f>SUMIF(RawDataRecovered!$B:$B,$A105,RawDataRecovered!BD:BD)</f>
        <v>0</v>
      </c>
      <c r="BB105">
        <f>SUMIF(RawDataRecovered!$B:$B,$A105,RawDataRecovered!BE:BE)</f>
        <v>0</v>
      </c>
      <c r="BC105">
        <f>SUMIF(RawDataRecovered!$B:$B,$A105,RawDataRecovered!BF:BF)</f>
        <v>0</v>
      </c>
      <c r="BD105">
        <f>SUMIF(RawDataRecovered!$B:$B,$A105,RawDataRecovered!BG:BG)</f>
        <v>0</v>
      </c>
      <c r="BE105">
        <f>SUMIF(RawDataRecovered!$B:$B,$A105,RawDataRecovered!BH:BH)</f>
        <v>0</v>
      </c>
      <c r="BF105">
        <f>SUMIF(RawDataRecovered!$B:$B,$A105,RawDataRecovered!BI:BI)</f>
        <v>0</v>
      </c>
      <c r="BG105">
        <f>SUMIF(RawDataRecovered!$B:$B,$A105,RawDataRecovered!BJ:BJ)</f>
        <v>0</v>
      </c>
      <c r="BH105">
        <f>SUMIF(RawDataRecovered!$B:$B,$A105,RawDataRecovered!BK:BK)</f>
        <v>0</v>
      </c>
      <c r="BI105">
        <f>SUMIF(RawDataRecovered!$B:$B,$A105,RawDataRecovered!BL:BL)</f>
        <v>0</v>
      </c>
      <c r="BJ105">
        <f>SUMIF(RawDataRecovered!$B:$B,$A105,RawDataRecovered!BM:BM)</f>
        <v>0</v>
      </c>
      <c r="BK105">
        <f>SUMIF(RawDataRecovered!$B:$B,$A105,RawDataRecovered!BN:BN)</f>
        <v>0</v>
      </c>
      <c r="BL105">
        <f>SUMIF(RawDataRecovered!$B:$B,$A105,RawDataRecovered!BO:BO)</f>
        <v>0</v>
      </c>
      <c r="BM105">
        <f>SUMIF(RawDataRecovered!$B:$B,$A105,RawDataRecovered!BP:BP)</f>
        <v>0</v>
      </c>
      <c r="BN105">
        <f>SUMIF(RawDataRecovered!$B:$B,$A105,RawDataRecovered!BQ:BQ)</f>
        <v>0</v>
      </c>
      <c r="BO105">
        <f>SUMIF(RawDataRecovered!$B:$B,$A105,RawDataRecovered!BR:BR)</f>
        <v>0</v>
      </c>
      <c r="BP105">
        <f>SUMIF(RawDataRecovered!$B:$B,$A105,RawDataRecovered!BS:BS)</f>
        <v>0</v>
      </c>
      <c r="BQ105">
        <f>SUMIF(RawDataRecovered!$B:$B,$A105,RawDataRecovered!BT:BT)</f>
        <v>0</v>
      </c>
      <c r="BR105">
        <f>SUMIF(RawDataRecovered!$B:$B,$A105,RawDataRecovered!BU:BU)</f>
        <v>0</v>
      </c>
      <c r="BS105">
        <f>SUMIF(RawDataRecovered!$B:$B,$A105,RawDataRecovered!BV:BV)</f>
        <v>0</v>
      </c>
      <c r="BT105">
        <f>SUMIF(RawDataRecovered!$B:$B,$A105,RawDataRecovered!BW:BW)</f>
        <v>0</v>
      </c>
    </row>
    <row r="106" spans="1:72" ht="15" thickBot="1" x14ac:dyDescent="0.35">
      <c r="A106" s="4" t="s">
        <v>379</v>
      </c>
      <c r="B106">
        <f>SUMIF(RawDataRecovered!$B:$B,$A106,RawDataRecovered!E:E)</f>
        <v>0</v>
      </c>
      <c r="C106">
        <f>SUMIF(RawDataRecovered!$B:$B,$A106,RawDataRecovered!F:F)</f>
        <v>0</v>
      </c>
      <c r="D106">
        <f>SUMIF(RawDataRecovered!$B:$B,$A106,RawDataRecovered!G:G)</f>
        <v>0</v>
      </c>
      <c r="E106">
        <f>SUMIF(RawDataRecovered!$B:$B,$A106,RawDataRecovered!H:H)</f>
        <v>0</v>
      </c>
      <c r="F106">
        <f>SUMIF(RawDataRecovered!$B:$B,$A106,RawDataRecovered!I:I)</f>
        <v>0</v>
      </c>
      <c r="G106">
        <f>SUMIF(RawDataRecovered!$B:$B,$A106,RawDataRecovered!J:J)</f>
        <v>0</v>
      </c>
      <c r="H106">
        <f>SUMIF(RawDataRecovered!$B:$B,$A106,RawDataRecovered!K:K)</f>
        <v>0</v>
      </c>
      <c r="I106">
        <f>SUMIF(RawDataRecovered!$B:$B,$A106,RawDataRecovered!L:L)</f>
        <v>0</v>
      </c>
      <c r="J106">
        <f>SUMIF(RawDataRecovered!$B:$B,$A106,RawDataRecovered!M:M)</f>
        <v>0</v>
      </c>
      <c r="K106">
        <f>SUMIF(RawDataRecovered!$B:$B,$A106,RawDataRecovered!N:N)</f>
        <v>0</v>
      </c>
      <c r="L106">
        <f>SUMIF(RawDataRecovered!$B:$B,$A106,RawDataRecovered!O:O)</f>
        <v>0</v>
      </c>
      <c r="M106">
        <f>SUMIF(RawDataRecovered!$B:$B,$A106,RawDataRecovered!P:P)</f>
        <v>0</v>
      </c>
      <c r="N106">
        <f>SUMIF(RawDataRecovered!$B:$B,$A106,RawDataRecovered!Q:Q)</f>
        <v>0</v>
      </c>
      <c r="O106">
        <f>SUMIF(RawDataRecovered!$B:$B,$A106,RawDataRecovered!R:R)</f>
        <v>0</v>
      </c>
      <c r="P106">
        <f>SUMIF(RawDataRecovered!$B:$B,$A106,RawDataRecovered!S:S)</f>
        <v>0</v>
      </c>
      <c r="Q106">
        <f>SUMIF(RawDataRecovered!$B:$B,$A106,RawDataRecovered!T:T)</f>
        <v>0</v>
      </c>
      <c r="R106">
        <f>SUMIF(RawDataRecovered!$B:$B,$A106,RawDataRecovered!U:U)</f>
        <v>0</v>
      </c>
      <c r="S106">
        <f>SUMIF(RawDataRecovered!$B:$B,$A106,RawDataRecovered!V:V)</f>
        <v>0</v>
      </c>
      <c r="T106">
        <f>SUMIF(RawDataRecovered!$B:$B,$A106,RawDataRecovered!W:W)</f>
        <v>0</v>
      </c>
      <c r="U106">
        <f>SUMIF(RawDataRecovered!$B:$B,$A106,RawDataRecovered!X:X)</f>
        <v>0</v>
      </c>
      <c r="V106">
        <f>SUMIF(RawDataRecovered!$B:$B,$A106,RawDataRecovered!Y:Y)</f>
        <v>0</v>
      </c>
      <c r="W106">
        <f>SUMIF(RawDataRecovered!$B:$B,$A106,RawDataRecovered!Z:Z)</f>
        <v>0</v>
      </c>
      <c r="X106">
        <f>SUMIF(RawDataRecovered!$B:$B,$A106,RawDataRecovered!AA:AA)</f>
        <v>0</v>
      </c>
      <c r="Y106">
        <f>SUMIF(RawDataRecovered!$B:$B,$A106,RawDataRecovered!AB:AB)</f>
        <v>0</v>
      </c>
      <c r="Z106">
        <f>SUMIF(RawDataRecovered!$B:$B,$A106,RawDataRecovered!AC:AC)</f>
        <v>0</v>
      </c>
      <c r="AA106">
        <f>SUMIF(RawDataRecovered!$B:$B,$A106,RawDataRecovered!AD:AD)</f>
        <v>0</v>
      </c>
      <c r="AB106">
        <f>SUMIF(RawDataRecovered!$B:$B,$A106,RawDataRecovered!AE:AE)</f>
        <v>0</v>
      </c>
      <c r="AC106">
        <f>SUMIF(RawDataRecovered!$B:$B,$A106,RawDataRecovered!AF:AF)</f>
        <v>0</v>
      </c>
      <c r="AD106">
        <f>SUMIF(RawDataRecovered!$B:$B,$A106,RawDataRecovered!AG:AG)</f>
        <v>0</v>
      </c>
      <c r="AE106">
        <f>SUMIF(RawDataRecovered!$B:$B,$A106,RawDataRecovered!AH:AH)</f>
        <v>0</v>
      </c>
      <c r="AF106">
        <f>SUMIF(RawDataRecovered!$B:$B,$A106,RawDataRecovered!AI:AI)</f>
        <v>0</v>
      </c>
      <c r="AG106">
        <f>SUMIF(RawDataRecovered!$B:$B,$A106,RawDataRecovered!AJ:AJ)</f>
        <v>0</v>
      </c>
      <c r="AH106">
        <f>SUMIF(RawDataRecovered!$B:$B,$A106,RawDataRecovered!AK:AK)</f>
        <v>0</v>
      </c>
      <c r="AI106">
        <f>SUMIF(RawDataRecovered!$B:$B,$A106,RawDataRecovered!AL:AL)</f>
        <v>0</v>
      </c>
      <c r="AJ106">
        <f>SUMIF(RawDataRecovered!$B:$B,$A106,RawDataRecovered!AM:AM)</f>
        <v>0</v>
      </c>
      <c r="AK106">
        <f>SUMIF(RawDataRecovered!$B:$B,$A106,RawDataRecovered!AN:AN)</f>
        <v>0</v>
      </c>
      <c r="AL106">
        <f>SUMIF(RawDataRecovered!$B:$B,$A106,RawDataRecovered!AO:AO)</f>
        <v>0</v>
      </c>
      <c r="AM106">
        <f>SUMIF(RawDataRecovered!$B:$B,$A106,RawDataRecovered!AP:AP)</f>
        <v>0</v>
      </c>
      <c r="AN106">
        <f>SUMIF(RawDataRecovered!$B:$B,$A106,RawDataRecovered!AQ:AQ)</f>
        <v>0</v>
      </c>
      <c r="AO106">
        <f>SUMIF(RawDataRecovered!$B:$B,$A106,RawDataRecovered!AR:AR)</f>
        <v>0</v>
      </c>
      <c r="AP106">
        <f>SUMIF(RawDataRecovered!$B:$B,$A106,RawDataRecovered!AS:AS)</f>
        <v>0</v>
      </c>
      <c r="AQ106">
        <f>SUMIF(RawDataRecovered!$B:$B,$A106,RawDataRecovered!AT:AT)</f>
        <v>0</v>
      </c>
      <c r="AR106">
        <f>SUMIF(RawDataRecovered!$B:$B,$A106,RawDataRecovered!AU:AU)</f>
        <v>0</v>
      </c>
      <c r="AS106">
        <f>SUMIF(RawDataRecovered!$B:$B,$A106,RawDataRecovered!AV:AV)</f>
        <v>0</v>
      </c>
      <c r="AT106">
        <f>SUMIF(RawDataRecovered!$B:$B,$A106,RawDataRecovered!AW:AW)</f>
        <v>0</v>
      </c>
      <c r="AU106">
        <f>SUMIF(RawDataRecovered!$B:$B,$A106,RawDataRecovered!AX:AX)</f>
        <v>0</v>
      </c>
      <c r="AV106">
        <f>SUMIF(RawDataRecovered!$B:$B,$A106,RawDataRecovered!AY:AY)</f>
        <v>0</v>
      </c>
      <c r="AW106">
        <f>SUMIF(RawDataRecovered!$B:$B,$A106,RawDataRecovered!AZ:AZ)</f>
        <v>0</v>
      </c>
      <c r="AX106">
        <f>SUMIF(RawDataRecovered!$B:$B,$A106,RawDataRecovered!BA:BA)</f>
        <v>0</v>
      </c>
      <c r="AY106">
        <f>SUMIF(RawDataRecovered!$B:$B,$A106,RawDataRecovered!BB:BB)</f>
        <v>0</v>
      </c>
      <c r="AZ106">
        <f>SUMIF(RawDataRecovered!$B:$B,$A106,RawDataRecovered!BC:BC)</f>
        <v>0</v>
      </c>
      <c r="BA106">
        <f>SUMIF(RawDataRecovered!$B:$B,$A106,RawDataRecovered!BD:BD)</f>
        <v>0</v>
      </c>
      <c r="BB106">
        <f>SUMIF(RawDataRecovered!$B:$B,$A106,RawDataRecovered!BE:BE)</f>
        <v>0</v>
      </c>
      <c r="BC106">
        <f>SUMIF(RawDataRecovered!$B:$B,$A106,RawDataRecovered!BF:BF)</f>
        <v>0</v>
      </c>
      <c r="BD106">
        <f>SUMIF(RawDataRecovered!$B:$B,$A106,RawDataRecovered!BG:BG)</f>
        <v>0</v>
      </c>
      <c r="BE106">
        <f>SUMIF(RawDataRecovered!$B:$B,$A106,RawDataRecovered!BH:BH)</f>
        <v>0</v>
      </c>
      <c r="BF106">
        <f>SUMIF(RawDataRecovered!$B:$B,$A106,RawDataRecovered!BI:BI)</f>
        <v>0</v>
      </c>
      <c r="BG106">
        <f>SUMIF(RawDataRecovered!$B:$B,$A106,RawDataRecovered!BJ:BJ)</f>
        <v>0</v>
      </c>
      <c r="BH106">
        <f>SUMIF(RawDataRecovered!$B:$B,$A106,RawDataRecovered!BK:BK)</f>
        <v>0</v>
      </c>
      <c r="BI106">
        <f>SUMIF(RawDataRecovered!$B:$B,$A106,RawDataRecovered!BL:BL)</f>
        <v>0</v>
      </c>
      <c r="BJ106">
        <f>SUMIF(RawDataRecovered!$B:$B,$A106,RawDataRecovered!BM:BM)</f>
        <v>0</v>
      </c>
      <c r="BK106">
        <f>SUMIF(RawDataRecovered!$B:$B,$A106,RawDataRecovered!BN:BN)</f>
        <v>0</v>
      </c>
      <c r="BL106">
        <f>SUMIF(RawDataRecovered!$B:$B,$A106,RawDataRecovered!BO:BO)</f>
        <v>0</v>
      </c>
      <c r="BM106">
        <f>SUMIF(RawDataRecovered!$B:$B,$A106,RawDataRecovered!BP:BP)</f>
        <v>0</v>
      </c>
      <c r="BN106">
        <f>SUMIF(RawDataRecovered!$B:$B,$A106,RawDataRecovered!BQ:BQ)</f>
        <v>0</v>
      </c>
      <c r="BO106">
        <f>SUMIF(RawDataRecovered!$B:$B,$A106,RawDataRecovered!BR:BR)</f>
        <v>0</v>
      </c>
      <c r="BP106">
        <f>SUMIF(RawDataRecovered!$B:$B,$A106,RawDataRecovered!BS:BS)</f>
        <v>0</v>
      </c>
      <c r="BQ106">
        <f>SUMIF(RawDataRecovered!$B:$B,$A106,RawDataRecovered!BT:BT)</f>
        <v>0</v>
      </c>
      <c r="BR106">
        <f>SUMIF(RawDataRecovered!$B:$B,$A106,RawDataRecovered!BU:BU)</f>
        <v>0</v>
      </c>
      <c r="BS106">
        <f>SUMIF(RawDataRecovered!$B:$B,$A106,RawDataRecovered!BV:BV)</f>
        <v>0</v>
      </c>
      <c r="BT106">
        <f>SUMIF(RawDataRecovered!$B:$B,$A106,RawDataRecovered!BW:BW)</f>
        <v>0</v>
      </c>
    </row>
    <row r="107" spans="1:72" ht="15" thickBot="1" x14ac:dyDescent="0.35">
      <c r="A107" s="4" t="s">
        <v>376</v>
      </c>
      <c r="B107">
        <f>SUMIF(RawDataRecovered!$B:$B,$A107,RawDataRecovered!E:E)</f>
        <v>0</v>
      </c>
      <c r="C107">
        <f>SUMIF(RawDataRecovered!$B:$B,$A107,RawDataRecovered!F:F)</f>
        <v>0</v>
      </c>
      <c r="D107">
        <f>SUMIF(RawDataRecovered!$B:$B,$A107,RawDataRecovered!G:G)</f>
        <v>0</v>
      </c>
      <c r="E107">
        <f>SUMIF(RawDataRecovered!$B:$B,$A107,RawDataRecovered!H:H)</f>
        <v>0</v>
      </c>
      <c r="F107">
        <f>SUMIF(RawDataRecovered!$B:$B,$A107,RawDataRecovered!I:I)</f>
        <v>0</v>
      </c>
      <c r="G107">
        <f>SUMIF(RawDataRecovered!$B:$B,$A107,RawDataRecovered!J:J)</f>
        <v>0</v>
      </c>
      <c r="H107">
        <f>SUMIF(RawDataRecovered!$B:$B,$A107,RawDataRecovered!K:K)</f>
        <v>0</v>
      </c>
      <c r="I107">
        <f>SUMIF(RawDataRecovered!$B:$B,$A107,RawDataRecovered!L:L)</f>
        <v>0</v>
      </c>
      <c r="J107">
        <f>SUMIF(RawDataRecovered!$B:$B,$A107,RawDataRecovered!M:M)</f>
        <v>0</v>
      </c>
      <c r="K107">
        <f>SUMIF(RawDataRecovered!$B:$B,$A107,RawDataRecovered!N:N)</f>
        <v>0</v>
      </c>
      <c r="L107">
        <f>SUMIF(RawDataRecovered!$B:$B,$A107,RawDataRecovered!O:O)</f>
        <v>0</v>
      </c>
      <c r="M107">
        <f>SUMIF(RawDataRecovered!$B:$B,$A107,RawDataRecovered!P:P)</f>
        <v>0</v>
      </c>
      <c r="N107">
        <f>SUMIF(RawDataRecovered!$B:$B,$A107,RawDataRecovered!Q:Q)</f>
        <v>0</v>
      </c>
      <c r="O107">
        <f>SUMIF(RawDataRecovered!$B:$B,$A107,RawDataRecovered!R:R)</f>
        <v>0</v>
      </c>
      <c r="P107">
        <f>SUMIF(RawDataRecovered!$B:$B,$A107,RawDataRecovered!S:S)</f>
        <v>0</v>
      </c>
      <c r="Q107">
        <f>SUMIF(RawDataRecovered!$B:$B,$A107,RawDataRecovered!T:T)</f>
        <v>0</v>
      </c>
      <c r="R107">
        <f>SUMIF(RawDataRecovered!$B:$B,$A107,RawDataRecovered!U:U)</f>
        <v>0</v>
      </c>
      <c r="S107">
        <f>SUMIF(RawDataRecovered!$B:$B,$A107,RawDataRecovered!V:V)</f>
        <v>0</v>
      </c>
      <c r="T107">
        <f>SUMIF(RawDataRecovered!$B:$B,$A107,RawDataRecovered!W:W)</f>
        <v>0</v>
      </c>
      <c r="U107">
        <f>SUMIF(RawDataRecovered!$B:$B,$A107,RawDataRecovered!X:X)</f>
        <v>0</v>
      </c>
      <c r="V107">
        <f>SUMIF(RawDataRecovered!$B:$B,$A107,RawDataRecovered!Y:Y)</f>
        <v>0</v>
      </c>
      <c r="W107">
        <f>SUMIF(RawDataRecovered!$B:$B,$A107,RawDataRecovered!Z:Z)</f>
        <v>0</v>
      </c>
      <c r="X107">
        <f>SUMIF(RawDataRecovered!$B:$B,$A107,RawDataRecovered!AA:AA)</f>
        <v>0</v>
      </c>
      <c r="Y107">
        <f>SUMIF(RawDataRecovered!$B:$B,$A107,RawDataRecovered!AB:AB)</f>
        <v>0</v>
      </c>
      <c r="Z107">
        <f>SUMIF(RawDataRecovered!$B:$B,$A107,RawDataRecovered!AC:AC)</f>
        <v>0</v>
      </c>
      <c r="AA107">
        <f>SUMIF(RawDataRecovered!$B:$B,$A107,RawDataRecovered!AD:AD)</f>
        <v>0</v>
      </c>
      <c r="AB107">
        <f>SUMIF(RawDataRecovered!$B:$B,$A107,RawDataRecovered!AE:AE)</f>
        <v>0</v>
      </c>
      <c r="AC107">
        <f>SUMIF(RawDataRecovered!$B:$B,$A107,RawDataRecovered!AF:AF)</f>
        <v>0</v>
      </c>
      <c r="AD107">
        <f>SUMIF(RawDataRecovered!$B:$B,$A107,RawDataRecovered!AG:AG)</f>
        <v>0</v>
      </c>
      <c r="AE107">
        <f>SUMIF(RawDataRecovered!$B:$B,$A107,RawDataRecovered!AH:AH)</f>
        <v>0</v>
      </c>
      <c r="AF107">
        <f>SUMIF(RawDataRecovered!$B:$B,$A107,RawDataRecovered!AI:AI)</f>
        <v>0</v>
      </c>
      <c r="AG107">
        <f>SUMIF(RawDataRecovered!$B:$B,$A107,RawDataRecovered!AJ:AJ)</f>
        <v>0</v>
      </c>
      <c r="AH107">
        <f>SUMIF(RawDataRecovered!$B:$B,$A107,RawDataRecovered!AK:AK)</f>
        <v>0</v>
      </c>
      <c r="AI107">
        <f>SUMIF(RawDataRecovered!$B:$B,$A107,RawDataRecovered!AL:AL)</f>
        <v>0</v>
      </c>
      <c r="AJ107">
        <f>SUMIF(RawDataRecovered!$B:$B,$A107,RawDataRecovered!AM:AM)</f>
        <v>0</v>
      </c>
      <c r="AK107">
        <f>SUMIF(RawDataRecovered!$B:$B,$A107,RawDataRecovered!AN:AN)</f>
        <v>0</v>
      </c>
      <c r="AL107">
        <f>SUMIF(RawDataRecovered!$B:$B,$A107,RawDataRecovered!AO:AO)</f>
        <v>0</v>
      </c>
      <c r="AM107">
        <f>SUMIF(RawDataRecovered!$B:$B,$A107,RawDataRecovered!AP:AP)</f>
        <v>0</v>
      </c>
      <c r="AN107">
        <f>SUMIF(RawDataRecovered!$B:$B,$A107,RawDataRecovered!AQ:AQ)</f>
        <v>0</v>
      </c>
      <c r="AO107">
        <f>SUMIF(RawDataRecovered!$B:$B,$A107,RawDataRecovered!AR:AR)</f>
        <v>0</v>
      </c>
      <c r="AP107">
        <f>SUMIF(RawDataRecovered!$B:$B,$A107,RawDataRecovered!AS:AS)</f>
        <v>0</v>
      </c>
      <c r="AQ107">
        <f>SUMIF(RawDataRecovered!$B:$B,$A107,RawDataRecovered!AT:AT)</f>
        <v>0</v>
      </c>
      <c r="AR107">
        <f>SUMIF(RawDataRecovered!$B:$B,$A107,RawDataRecovered!AU:AU)</f>
        <v>0</v>
      </c>
      <c r="AS107">
        <f>SUMIF(RawDataRecovered!$B:$B,$A107,RawDataRecovered!AV:AV)</f>
        <v>0</v>
      </c>
      <c r="AT107">
        <f>SUMIF(RawDataRecovered!$B:$B,$A107,RawDataRecovered!AW:AW)</f>
        <v>0</v>
      </c>
      <c r="AU107">
        <f>SUMIF(RawDataRecovered!$B:$B,$A107,RawDataRecovered!AX:AX)</f>
        <v>0</v>
      </c>
      <c r="AV107">
        <f>SUMIF(RawDataRecovered!$B:$B,$A107,RawDataRecovered!AY:AY)</f>
        <v>0</v>
      </c>
      <c r="AW107">
        <f>SUMIF(RawDataRecovered!$B:$B,$A107,RawDataRecovered!AZ:AZ)</f>
        <v>0</v>
      </c>
      <c r="AX107">
        <f>SUMIF(RawDataRecovered!$B:$B,$A107,RawDataRecovered!BA:BA)</f>
        <v>0</v>
      </c>
      <c r="AY107">
        <f>SUMIF(RawDataRecovered!$B:$B,$A107,RawDataRecovered!BB:BB)</f>
        <v>0</v>
      </c>
      <c r="AZ107">
        <f>SUMIF(RawDataRecovered!$B:$B,$A107,RawDataRecovered!BC:BC)</f>
        <v>0</v>
      </c>
      <c r="BA107">
        <f>SUMIF(RawDataRecovered!$B:$B,$A107,RawDataRecovered!BD:BD)</f>
        <v>0</v>
      </c>
      <c r="BB107">
        <f>SUMIF(RawDataRecovered!$B:$B,$A107,RawDataRecovered!BE:BE)</f>
        <v>0</v>
      </c>
      <c r="BC107">
        <f>SUMIF(RawDataRecovered!$B:$B,$A107,RawDataRecovered!BF:BF)</f>
        <v>0</v>
      </c>
      <c r="BD107">
        <f>SUMIF(RawDataRecovered!$B:$B,$A107,RawDataRecovered!BG:BG)</f>
        <v>0</v>
      </c>
      <c r="BE107">
        <f>SUMIF(RawDataRecovered!$B:$B,$A107,RawDataRecovered!BH:BH)</f>
        <v>0</v>
      </c>
      <c r="BF107">
        <f>SUMIF(RawDataRecovered!$B:$B,$A107,RawDataRecovered!BI:BI)</f>
        <v>0</v>
      </c>
      <c r="BG107">
        <f>SUMIF(RawDataRecovered!$B:$B,$A107,RawDataRecovered!BJ:BJ)</f>
        <v>0</v>
      </c>
      <c r="BH107">
        <f>SUMIF(RawDataRecovered!$B:$B,$A107,RawDataRecovered!BK:BK)</f>
        <v>0</v>
      </c>
      <c r="BI107">
        <f>SUMIF(RawDataRecovered!$B:$B,$A107,RawDataRecovered!BL:BL)</f>
        <v>0</v>
      </c>
      <c r="BJ107">
        <f>SUMIF(RawDataRecovered!$B:$B,$A107,RawDataRecovered!BM:BM)</f>
        <v>0</v>
      </c>
      <c r="BK107">
        <f>SUMIF(RawDataRecovered!$B:$B,$A107,RawDataRecovered!BN:BN)</f>
        <v>0</v>
      </c>
      <c r="BL107">
        <f>SUMIF(RawDataRecovered!$B:$B,$A107,RawDataRecovered!BO:BO)</f>
        <v>0</v>
      </c>
      <c r="BM107">
        <f>SUMIF(RawDataRecovered!$B:$B,$A107,RawDataRecovered!BP:BP)</f>
        <v>0</v>
      </c>
      <c r="BN107">
        <f>SUMIF(RawDataRecovered!$B:$B,$A107,RawDataRecovered!BQ:BQ)</f>
        <v>0</v>
      </c>
      <c r="BO107">
        <f>SUMIF(RawDataRecovered!$B:$B,$A107,RawDataRecovered!BR:BR)</f>
        <v>0</v>
      </c>
      <c r="BP107">
        <f>SUMIF(RawDataRecovered!$B:$B,$A107,RawDataRecovered!BS:BS)</f>
        <v>0</v>
      </c>
      <c r="BQ107">
        <f>SUMIF(RawDataRecovered!$B:$B,$A107,RawDataRecovered!BT:BT)</f>
        <v>0</v>
      </c>
      <c r="BR107">
        <f>SUMIF(RawDataRecovered!$B:$B,$A107,RawDataRecovered!BU:BU)</f>
        <v>0</v>
      </c>
      <c r="BS107">
        <f>SUMIF(RawDataRecovered!$B:$B,$A107,RawDataRecovered!BV:BV)</f>
        <v>0</v>
      </c>
      <c r="BT107">
        <f>SUMIF(RawDataRecovered!$B:$B,$A107,RawDataRecovered!BW:BW)</f>
        <v>0</v>
      </c>
    </row>
    <row r="108" spans="1:72" ht="15" thickBot="1" x14ac:dyDescent="0.35">
      <c r="A108" s="4" t="s">
        <v>127</v>
      </c>
      <c r="B108">
        <f>SUMIF(RawDataRecovered!$B:$B,$A108,RawDataRecovered!E:E)</f>
        <v>0</v>
      </c>
      <c r="C108">
        <f>SUMIF(RawDataRecovered!$B:$B,$A108,RawDataRecovered!F:F)</f>
        <v>0</v>
      </c>
      <c r="D108">
        <f>SUMIF(RawDataRecovered!$B:$B,$A108,RawDataRecovered!G:G)</f>
        <v>0</v>
      </c>
      <c r="E108">
        <f>SUMIF(RawDataRecovered!$B:$B,$A108,RawDataRecovered!H:H)</f>
        <v>0</v>
      </c>
      <c r="F108">
        <f>SUMIF(RawDataRecovered!$B:$B,$A108,RawDataRecovered!I:I)</f>
        <v>0</v>
      </c>
      <c r="G108">
        <f>SUMIF(RawDataRecovered!$B:$B,$A108,RawDataRecovered!J:J)</f>
        <v>0</v>
      </c>
      <c r="H108">
        <f>SUMIF(RawDataRecovered!$B:$B,$A108,RawDataRecovered!K:K)</f>
        <v>0</v>
      </c>
      <c r="I108">
        <f>SUMIF(RawDataRecovered!$B:$B,$A108,RawDataRecovered!L:L)</f>
        <v>0</v>
      </c>
      <c r="J108">
        <f>SUMIF(RawDataRecovered!$B:$B,$A108,RawDataRecovered!M:M)</f>
        <v>0</v>
      </c>
      <c r="K108">
        <f>SUMIF(RawDataRecovered!$B:$B,$A108,RawDataRecovered!N:N)</f>
        <v>0</v>
      </c>
      <c r="L108">
        <f>SUMIF(RawDataRecovered!$B:$B,$A108,RawDataRecovered!O:O)</f>
        <v>0</v>
      </c>
      <c r="M108">
        <f>SUMIF(RawDataRecovered!$B:$B,$A108,RawDataRecovered!P:P)</f>
        <v>0</v>
      </c>
      <c r="N108">
        <f>SUMIF(RawDataRecovered!$B:$B,$A108,RawDataRecovered!Q:Q)</f>
        <v>0</v>
      </c>
      <c r="O108">
        <f>SUMIF(RawDataRecovered!$B:$B,$A108,RawDataRecovered!R:R)</f>
        <v>0</v>
      </c>
      <c r="P108">
        <f>SUMIF(RawDataRecovered!$B:$B,$A108,RawDataRecovered!S:S)</f>
        <v>0</v>
      </c>
      <c r="Q108">
        <f>SUMIF(RawDataRecovered!$B:$B,$A108,RawDataRecovered!T:T)</f>
        <v>0</v>
      </c>
      <c r="R108">
        <f>SUMIF(RawDataRecovered!$B:$B,$A108,RawDataRecovered!U:U)</f>
        <v>0</v>
      </c>
      <c r="S108">
        <f>SUMIF(RawDataRecovered!$B:$B,$A108,RawDataRecovered!V:V)</f>
        <v>0</v>
      </c>
      <c r="T108">
        <f>SUMIF(RawDataRecovered!$B:$B,$A108,RawDataRecovered!W:W)</f>
        <v>0</v>
      </c>
      <c r="U108">
        <f>SUMIF(RawDataRecovered!$B:$B,$A108,RawDataRecovered!X:X)</f>
        <v>0</v>
      </c>
      <c r="V108">
        <f>SUMIF(RawDataRecovered!$B:$B,$A108,RawDataRecovered!Y:Y)</f>
        <v>0</v>
      </c>
      <c r="W108">
        <f>SUMIF(RawDataRecovered!$B:$B,$A108,RawDataRecovered!Z:Z)</f>
        <v>0</v>
      </c>
      <c r="X108">
        <f>SUMIF(RawDataRecovered!$B:$B,$A108,RawDataRecovered!AA:AA)</f>
        <v>0</v>
      </c>
      <c r="Y108">
        <f>SUMIF(RawDataRecovered!$B:$B,$A108,RawDataRecovered!AB:AB)</f>
        <v>0</v>
      </c>
      <c r="Z108">
        <f>SUMIF(RawDataRecovered!$B:$B,$A108,RawDataRecovered!AC:AC)</f>
        <v>0</v>
      </c>
      <c r="AA108">
        <f>SUMIF(RawDataRecovered!$B:$B,$A108,RawDataRecovered!AD:AD)</f>
        <v>0</v>
      </c>
      <c r="AB108">
        <f>SUMIF(RawDataRecovered!$B:$B,$A108,RawDataRecovered!AE:AE)</f>
        <v>0</v>
      </c>
      <c r="AC108">
        <f>SUMIF(RawDataRecovered!$B:$B,$A108,RawDataRecovered!AF:AF)</f>
        <v>0</v>
      </c>
      <c r="AD108">
        <f>SUMIF(RawDataRecovered!$B:$B,$A108,RawDataRecovered!AG:AG)</f>
        <v>0</v>
      </c>
      <c r="AE108">
        <f>SUMIF(RawDataRecovered!$B:$B,$A108,RawDataRecovered!AH:AH)</f>
        <v>0</v>
      </c>
      <c r="AF108">
        <f>SUMIF(RawDataRecovered!$B:$B,$A108,RawDataRecovered!AI:AI)</f>
        <v>0</v>
      </c>
      <c r="AG108">
        <f>SUMIF(RawDataRecovered!$B:$B,$A108,RawDataRecovered!AJ:AJ)</f>
        <v>0</v>
      </c>
      <c r="AH108">
        <f>SUMIF(RawDataRecovered!$B:$B,$A108,RawDataRecovered!AK:AK)</f>
        <v>0</v>
      </c>
      <c r="AI108">
        <f>SUMIF(RawDataRecovered!$B:$B,$A108,RawDataRecovered!AL:AL)</f>
        <v>0</v>
      </c>
      <c r="AJ108">
        <f>SUMIF(RawDataRecovered!$B:$B,$A108,RawDataRecovered!AM:AM)</f>
        <v>0</v>
      </c>
      <c r="AK108">
        <f>SUMIF(RawDataRecovered!$B:$B,$A108,RawDataRecovered!AN:AN)</f>
        <v>0</v>
      </c>
      <c r="AL108">
        <f>SUMIF(RawDataRecovered!$B:$B,$A108,RawDataRecovered!AO:AO)</f>
        <v>0</v>
      </c>
      <c r="AM108">
        <f>SUMIF(RawDataRecovered!$B:$B,$A108,RawDataRecovered!AP:AP)</f>
        <v>0</v>
      </c>
      <c r="AN108">
        <f>SUMIF(RawDataRecovered!$B:$B,$A108,RawDataRecovered!AQ:AQ)</f>
        <v>0</v>
      </c>
      <c r="AO108">
        <f>SUMIF(RawDataRecovered!$B:$B,$A108,RawDataRecovered!AR:AR)</f>
        <v>0</v>
      </c>
      <c r="AP108">
        <f>SUMIF(RawDataRecovered!$B:$B,$A108,RawDataRecovered!AS:AS)</f>
        <v>0</v>
      </c>
      <c r="AQ108">
        <f>SUMIF(RawDataRecovered!$B:$B,$A108,RawDataRecovered!AT:AT)</f>
        <v>0</v>
      </c>
      <c r="AR108">
        <f>SUMIF(RawDataRecovered!$B:$B,$A108,RawDataRecovered!AU:AU)</f>
        <v>0</v>
      </c>
      <c r="AS108">
        <f>SUMIF(RawDataRecovered!$B:$B,$A108,RawDataRecovered!AV:AV)</f>
        <v>0</v>
      </c>
      <c r="AT108">
        <f>SUMIF(RawDataRecovered!$B:$B,$A108,RawDataRecovered!AW:AW)</f>
        <v>0</v>
      </c>
      <c r="AU108">
        <f>SUMIF(RawDataRecovered!$B:$B,$A108,RawDataRecovered!AX:AX)</f>
        <v>0</v>
      </c>
      <c r="AV108">
        <f>SUMIF(RawDataRecovered!$B:$B,$A108,RawDataRecovered!AY:AY)</f>
        <v>0</v>
      </c>
      <c r="AW108">
        <f>SUMIF(RawDataRecovered!$B:$B,$A108,RawDataRecovered!AZ:AZ)</f>
        <v>0</v>
      </c>
      <c r="AX108">
        <f>SUMIF(RawDataRecovered!$B:$B,$A108,RawDataRecovered!BA:BA)</f>
        <v>0</v>
      </c>
      <c r="AY108">
        <f>SUMIF(RawDataRecovered!$B:$B,$A108,RawDataRecovered!BB:BB)</f>
        <v>0</v>
      </c>
      <c r="AZ108">
        <f>SUMIF(RawDataRecovered!$B:$B,$A108,RawDataRecovered!BC:BC)</f>
        <v>0</v>
      </c>
      <c r="BA108">
        <f>SUMIF(RawDataRecovered!$B:$B,$A108,RawDataRecovered!BD:BD)</f>
        <v>0</v>
      </c>
      <c r="BB108">
        <f>SUMIF(RawDataRecovered!$B:$B,$A108,RawDataRecovered!BE:BE)</f>
        <v>0</v>
      </c>
      <c r="BC108">
        <f>SUMIF(RawDataRecovered!$B:$B,$A108,RawDataRecovered!BF:BF)</f>
        <v>0</v>
      </c>
      <c r="BD108">
        <f>SUMIF(RawDataRecovered!$B:$B,$A108,RawDataRecovered!BG:BG)</f>
        <v>0</v>
      </c>
      <c r="BE108">
        <f>SUMIF(RawDataRecovered!$B:$B,$A108,RawDataRecovered!BH:BH)</f>
        <v>0</v>
      </c>
      <c r="BF108">
        <f>SUMIF(RawDataRecovered!$B:$B,$A108,RawDataRecovered!BI:BI)</f>
        <v>0</v>
      </c>
      <c r="BG108">
        <f>SUMIF(RawDataRecovered!$B:$B,$A108,RawDataRecovered!BJ:BJ)</f>
        <v>0</v>
      </c>
      <c r="BH108">
        <f>SUMIF(RawDataRecovered!$B:$B,$A108,RawDataRecovered!BK:BK)</f>
        <v>0</v>
      </c>
      <c r="BI108">
        <f>SUMIF(RawDataRecovered!$B:$B,$A108,RawDataRecovered!BL:BL)</f>
        <v>0</v>
      </c>
      <c r="BJ108">
        <f>SUMIF(RawDataRecovered!$B:$B,$A108,RawDataRecovered!BM:BM)</f>
        <v>0</v>
      </c>
      <c r="BK108">
        <f>SUMIF(RawDataRecovered!$B:$B,$A108,RawDataRecovered!BN:BN)</f>
        <v>0</v>
      </c>
      <c r="BL108">
        <f>SUMIF(RawDataRecovered!$B:$B,$A108,RawDataRecovered!BO:BO)</f>
        <v>0</v>
      </c>
      <c r="BM108">
        <f>SUMIF(RawDataRecovered!$B:$B,$A108,RawDataRecovered!BP:BP)</f>
        <v>0</v>
      </c>
      <c r="BN108">
        <f>SUMIF(RawDataRecovered!$B:$B,$A108,RawDataRecovered!BQ:BQ)</f>
        <v>0</v>
      </c>
      <c r="BO108">
        <f>SUMIF(RawDataRecovered!$B:$B,$A108,RawDataRecovered!BR:BR)</f>
        <v>0</v>
      </c>
      <c r="BP108">
        <f>SUMIF(RawDataRecovered!$B:$B,$A108,RawDataRecovered!BS:BS)</f>
        <v>0</v>
      </c>
      <c r="BQ108">
        <f>SUMIF(RawDataRecovered!$B:$B,$A108,RawDataRecovered!BT:BT)</f>
        <v>0</v>
      </c>
      <c r="BR108">
        <f>SUMIF(RawDataRecovered!$B:$B,$A108,RawDataRecovered!BU:BU)</f>
        <v>0</v>
      </c>
      <c r="BS108">
        <f>SUMIF(RawDataRecovered!$B:$B,$A108,RawDataRecovered!BV:BV)</f>
        <v>0</v>
      </c>
      <c r="BT108">
        <f>SUMIF(RawDataRecovered!$B:$B,$A108,RawDataRecovered!BW:BW)</f>
        <v>0</v>
      </c>
    </row>
    <row r="109" spans="1:72" ht="15" thickBot="1" x14ac:dyDescent="0.35">
      <c r="A109" s="4" t="s">
        <v>123</v>
      </c>
      <c r="B109">
        <f>SUMIF(RawDataRecovered!$B:$B,$A109,RawDataRecovered!E:E)</f>
        <v>0</v>
      </c>
      <c r="C109">
        <f>SUMIF(RawDataRecovered!$B:$B,$A109,RawDataRecovered!F:F)</f>
        <v>0</v>
      </c>
      <c r="D109">
        <f>SUMIF(RawDataRecovered!$B:$B,$A109,RawDataRecovered!G:G)</f>
        <v>0</v>
      </c>
      <c r="E109">
        <f>SUMIF(RawDataRecovered!$B:$B,$A109,RawDataRecovered!H:H)</f>
        <v>0</v>
      </c>
      <c r="F109">
        <f>SUMIF(RawDataRecovered!$B:$B,$A109,RawDataRecovered!I:I)</f>
        <v>0</v>
      </c>
      <c r="G109">
        <f>SUMIF(RawDataRecovered!$B:$B,$A109,RawDataRecovered!J:J)</f>
        <v>0</v>
      </c>
      <c r="H109">
        <f>SUMIF(RawDataRecovered!$B:$B,$A109,RawDataRecovered!K:K)</f>
        <v>0</v>
      </c>
      <c r="I109">
        <f>SUMIF(RawDataRecovered!$B:$B,$A109,RawDataRecovered!L:L)</f>
        <v>0</v>
      </c>
      <c r="J109">
        <f>SUMIF(RawDataRecovered!$B:$B,$A109,RawDataRecovered!M:M)</f>
        <v>0</v>
      </c>
      <c r="K109">
        <f>SUMIF(RawDataRecovered!$B:$B,$A109,RawDataRecovered!N:N)</f>
        <v>0</v>
      </c>
      <c r="L109">
        <f>SUMIF(RawDataRecovered!$B:$B,$A109,RawDataRecovered!O:O)</f>
        <v>0</v>
      </c>
      <c r="M109">
        <f>SUMIF(RawDataRecovered!$B:$B,$A109,RawDataRecovered!P:P)</f>
        <v>0</v>
      </c>
      <c r="N109">
        <f>SUMIF(RawDataRecovered!$B:$B,$A109,RawDataRecovered!Q:Q)</f>
        <v>0</v>
      </c>
      <c r="O109">
        <f>SUMIF(RawDataRecovered!$B:$B,$A109,RawDataRecovered!R:R)</f>
        <v>0</v>
      </c>
      <c r="P109">
        <f>SUMIF(RawDataRecovered!$B:$B,$A109,RawDataRecovered!S:S)</f>
        <v>0</v>
      </c>
      <c r="Q109">
        <f>SUMIF(RawDataRecovered!$B:$B,$A109,RawDataRecovered!T:T)</f>
        <v>0</v>
      </c>
      <c r="R109">
        <f>SUMIF(RawDataRecovered!$B:$B,$A109,RawDataRecovered!U:U)</f>
        <v>0</v>
      </c>
      <c r="S109">
        <f>SUMIF(RawDataRecovered!$B:$B,$A109,RawDataRecovered!V:V)</f>
        <v>0</v>
      </c>
      <c r="T109">
        <f>SUMIF(RawDataRecovered!$B:$B,$A109,RawDataRecovered!W:W)</f>
        <v>0</v>
      </c>
      <c r="U109">
        <f>SUMIF(RawDataRecovered!$B:$B,$A109,RawDataRecovered!X:X)</f>
        <v>0</v>
      </c>
      <c r="V109">
        <f>SUMIF(RawDataRecovered!$B:$B,$A109,RawDataRecovered!Y:Y)</f>
        <v>0</v>
      </c>
      <c r="W109">
        <f>SUMIF(RawDataRecovered!$B:$B,$A109,RawDataRecovered!Z:Z)</f>
        <v>0</v>
      </c>
      <c r="X109">
        <f>SUMIF(RawDataRecovered!$B:$B,$A109,RawDataRecovered!AA:AA)</f>
        <v>0</v>
      </c>
      <c r="Y109">
        <f>SUMIF(RawDataRecovered!$B:$B,$A109,RawDataRecovered!AB:AB)</f>
        <v>0</v>
      </c>
      <c r="Z109">
        <f>SUMIF(RawDataRecovered!$B:$B,$A109,RawDataRecovered!AC:AC)</f>
        <v>0</v>
      </c>
      <c r="AA109">
        <f>SUMIF(RawDataRecovered!$B:$B,$A109,RawDataRecovered!AD:AD)</f>
        <v>0</v>
      </c>
      <c r="AB109">
        <f>SUMIF(RawDataRecovered!$B:$B,$A109,RawDataRecovered!AE:AE)</f>
        <v>0</v>
      </c>
      <c r="AC109">
        <f>SUMIF(RawDataRecovered!$B:$B,$A109,RawDataRecovered!AF:AF)</f>
        <v>0</v>
      </c>
      <c r="AD109">
        <f>SUMIF(RawDataRecovered!$B:$B,$A109,RawDataRecovered!AG:AG)</f>
        <v>0</v>
      </c>
      <c r="AE109">
        <f>SUMIF(RawDataRecovered!$B:$B,$A109,RawDataRecovered!AH:AH)</f>
        <v>0</v>
      </c>
      <c r="AF109">
        <f>SUMIF(RawDataRecovered!$B:$B,$A109,RawDataRecovered!AI:AI)</f>
        <v>0</v>
      </c>
      <c r="AG109">
        <f>SUMIF(RawDataRecovered!$B:$B,$A109,RawDataRecovered!AJ:AJ)</f>
        <v>0</v>
      </c>
      <c r="AH109">
        <f>SUMIF(RawDataRecovered!$B:$B,$A109,RawDataRecovered!AK:AK)</f>
        <v>0</v>
      </c>
      <c r="AI109">
        <f>SUMIF(RawDataRecovered!$B:$B,$A109,RawDataRecovered!AL:AL)</f>
        <v>0</v>
      </c>
      <c r="AJ109">
        <f>SUMIF(RawDataRecovered!$B:$B,$A109,RawDataRecovered!AM:AM)</f>
        <v>0</v>
      </c>
      <c r="AK109">
        <f>SUMIF(RawDataRecovered!$B:$B,$A109,RawDataRecovered!AN:AN)</f>
        <v>0</v>
      </c>
      <c r="AL109">
        <f>SUMIF(RawDataRecovered!$B:$B,$A109,RawDataRecovered!AO:AO)</f>
        <v>0</v>
      </c>
      <c r="AM109">
        <f>SUMIF(RawDataRecovered!$B:$B,$A109,RawDataRecovered!AP:AP)</f>
        <v>0</v>
      </c>
      <c r="AN109">
        <f>SUMIF(RawDataRecovered!$B:$B,$A109,RawDataRecovered!AQ:AQ)</f>
        <v>0</v>
      </c>
      <c r="AO109">
        <f>SUMIF(RawDataRecovered!$B:$B,$A109,RawDataRecovered!AR:AR)</f>
        <v>0</v>
      </c>
      <c r="AP109">
        <f>SUMIF(RawDataRecovered!$B:$B,$A109,RawDataRecovered!AS:AS)</f>
        <v>0</v>
      </c>
      <c r="AQ109">
        <f>SUMIF(RawDataRecovered!$B:$B,$A109,RawDataRecovered!AT:AT)</f>
        <v>0</v>
      </c>
      <c r="AR109">
        <f>SUMIF(RawDataRecovered!$B:$B,$A109,RawDataRecovered!AU:AU)</f>
        <v>0</v>
      </c>
      <c r="AS109">
        <f>SUMIF(RawDataRecovered!$B:$B,$A109,RawDataRecovered!AV:AV)</f>
        <v>0</v>
      </c>
      <c r="AT109">
        <f>SUMIF(RawDataRecovered!$B:$B,$A109,RawDataRecovered!AW:AW)</f>
        <v>0</v>
      </c>
      <c r="AU109">
        <f>SUMIF(RawDataRecovered!$B:$B,$A109,RawDataRecovered!AX:AX)</f>
        <v>0</v>
      </c>
      <c r="AV109">
        <f>SUMIF(RawDataRecovered!$B:$B,$A109,RawDataRecovered!AY:AY)</f>
        <v>0</v>
      </c>
      <c r="AW109">
        <f>SUMIF(RawDataRecovered!$B:$B,$A109,RawDataRecovered!AZ:AZ)</f>
        <v>0</v>
      </c>
      <c r="AX109">
        <f>SUMIF(RawDataRecovered!$B:$B,$A109,RawDataRecovered!BA:BA)</f>
        <v>0</v>
      </c>
      <c r="AY109">
        <f>SUMIF(RawDataRecovered!$B:$B,$A109,RawDataRecovered!BB:BB)</f>
        <v>0</v>
      </c>
      <c r="AZ109">
        <f>SUMIF(RawDataRecovered!$B:$B,$A109,RawDataRecovered!BC:BC)</f>
        <v>0</v>
      </c>
      <c r="BA109">
        <f>SUMIF(RawDataRecovered!$B:$B,$A109,RawDataRecovered!BD:BD)</f>
        <v>0</v>
      </c>
      <c r="BB109">
        <f>SUMIF(RawDataRecovered!$B:$B,$A109,RawDataRecovered!BE:BE)</f>
        <v>0</v>
      </c>
      <c r="BC109">
        <f>SUMIF(RawDataRecovered!$B:$B,$A109,RawDataRecovered!BF:BF)</f>
        <v>0</v>
      </c>
      <c r="BD109">
        <f>SUMIF(RawDataRecovered!$B:$B,$A109,RawDataRecovered!BG:BG)</f>
        <v>0</v>
      </c>
      <c r="BE109">
        <f>SUMIF(RawDataRecovered!$B:$B,$A109,RawDataRecovered!BH:BH)</f>
        <v>0</v>
      </c>
      <c r="BF109">
        <f>SUMIF(RawDataRecovered!$B:$B,$A109,RawDataRecovered!BI:BI)</f>
        <v>0</v>
      </c>
      <c r="BG109">
        <f>SUMIF(RawDataRecovered!$B:$B,$A109,RawDataRecovered!BJ:BJ)</f>
        <v>0</v>
      </c>
      <c r="BH109">
        <f>SUMIF(RawDataRecovered!$B:$B,$A109,RawDataRecovered!BK:BK)</f>
        <v>0</v>
      </c>
      <c r="BI109">
        <f>SUMIF(RawDataRecovered!$B:$B,$A109,RawDataRecovered!BL:BL)</f>
        <v>0</v>
      </c>
      <c r="BJ109">
        <f>SUMIF(RawDataRecovered!$B:$B,$A109,RawDataRecovered!BM:BM)</f>
        <v>0</v>
      </c>
      <c r="BK109">
        <f>SUMIF(RawDataRecovered!$B:$B,$A109,RawDataRecovered!BN:BN)</f>
        <v>0</v>
      </c>
      <c r="BL109">
        <f>SUMIF(RawDataRecovered!$B:$B,$A109,RawDataRecovered!BO:BO)</f>
        <v>0</v>
      </c>
      <c r="BM109">
        <f>SUMIF(RawDataRecovered!$B:$B,$A109,RawDataRecovered!BP:BP)</f>
        <v>0</v>
      </c>
      <c r="BN109">
        <f>SUMIF(RawDataRecovered!$B:$B,$A109,RawDataRecovered!BQ:BQ)</f>
        <v>0</v>
      </c>
      <c r="BO109">
        <f>SUMIF(RawDataRecovered!$B:$B,$A109,RawDataRecovered!BR:BR)</f>
        <v>0</v>
      </c>
      <c r="BP109">
        <f>SUMIF(RawDataRecovered!$B:$B,$A109,RawDataRecovered!BS:BS)</f>
        <v>0</v>
      </c>
      <c r="BQ109">
        <f>SUMIF(RawDataRecovered!$B:$B,$A109,RawDataRecovered!BT:BT)</f>
        <v>0</v>
      </c>
      <c r="BR109">
        <f>SUMIF(RawDataRecovered!$B:$B,$A109,RawDataRecovered!BU:BU)</f>
        <v>0</v>
      </c>
      <c r="BS109">
        <f>SUMIF(RawDataRecovered!$B:$B,$A109,RawDataRecovered!BV:BV)</f>
        <v>0</v>
      </c>
      <c r="BT109">
        <f>SUMIF(RawDataRecovered!$B:$B,$A109,RawDataRecovered!BW:BW)</f>
        <v>0</v>
      </c>
    </row>
    <row r="110" spans="1:72" ht="15" thickBot="1" x14ac:dyDescent="0.35">
      <c r="A110" s="4" t="s">
        <v>136</v>
      </c>
      <c r="B110">
        <f>SUMIF(RawDataRecovered!$B:$B,$A110,RawDataRecovered!E:E)</f>
        <v>0</v>
      </c>
      <c r="C110">
        <f>SUMIF(RawDataRecovered!$B:$B,$A110,RawDataRecovered!F:F)</f>
        <v>0</v>
      </c>
      <c r="D110">
        <f>SUMIF(RawDataRecovered!$B:$B,$A110,RawDataRecovered!G:G)</f>
        <v>0</v>
      </c>
      <c r="E110">
        <f>SUMIF(RawDataRecovered!$B:$B,$A110,RawDataRecovered!H:H)</f>
        <v>0</v>
      </c>
      <c r="F110">
        <f>SUMIF(RawDataRecovered!$B:$B,$A110,RawDataRecovered!I:I)</f>
        <v>0</v>
      </c>
      <c r="G110">
        <f>SUMIF(RawDataRecovered!$B:$B,$A110,RawDataRecovered!J:J)</f>
        <v>0</v>
      </c>
      <c r="H110">
        <f>SUMIF(RawDataRecovered!$B:$B,$A110,RawDataRecovered!K:K)</f>
        <v>0</v>
      </c>
      <c r="I110">
        <f>SUMIF(RawDataRecovered!$B:$B,$A110,RawDataRecovered!L:L)</f>
        <v>0</v>
      </c>
      <c r="J110">
        <f>SUMIF(RawDataRecovered!$B:$B,$A110,RawDataRecovered!M:M)</f>
        <v>0</v>
      </c>
      <c r="K110">
        <f>SUMIF(RawDataRecovered!$B:$B,$A110,RawDataRecovered!N:N)</f>
        <v>0</v>
      </c>
      <c r="L110">
        <f>SUMIF(RawDataRecovered!$B:$B,$A110,RawDataRecovered!O:O)</f>
        <v>0</v>
      </c>
      <c r="M110">
        <f>SUMIF(RawDataRecovered!$B:$B,$A110,RawDataRecovered!P:P)</f>
        <v>0</v>
      </c>
      <c r="N110">
        <f>SUMIF(RawDataRecovered!$B:$B,$A110,RawDataRecovered!Q:Q)</f>
        <v>0</v>
      </c>
      <c r="O110">
        <f>SUMIF(RawDataRecovered!$B:$B,$A110,RawDataRecovered!R:R)</f>
        <v>0</v>
      </c>
      <c r="P110">
        <f>SUMIF(RawDataRecovered!$B:$B,$A110,RawDataRecovered!S:S)</f>
        <v>0</v>
      </c>
      <c r="Q110">
        <f>SUMIF(RawDataRecovered!$B:$B,$A110,RawDataRecovered!T:T)</f>
        <v>0</v>
      </c>
      <c r="R110">
        <f>SUMIF(RawDataRecovered!$B:$B,$A110,RawDataRecovered!U:U)</f>
        <v>0</v>
      </c>
      <c r="S110">
        <f>SUMIF(RawDataRecovered!$B:$B,$A110,RawDataRecovered!V:V)</f>
        <v>0</v>
      </c>
      <c r="T110">
        <f>SUMIF(RawDataRecovered!$B:$B,$A110,RawDataRecovered!W:W)</f>
        <v>0</v>
      </c>
      <c r="U110">
        <f>SUMIF(RawDataRecovered!$B:$B,$A110,RawDataRecovered!X:X)</f>
        <v>0</v>
      </c>
      <c r="V110">
        <f>SUMIF(RawDataRecovered!$B:$B,$A110,RawDataRecovered!Y:Y)</f>
        <v>0</v>
      </c>
      <c r="W110">
        <f>SUMIF(RawDataRecovered!$B:$B,$A110,RawDataRecovered!Z:Z)</f>
        <v>0</v>
      </c>
      <c r="X110">
        <f>SUMIF(RawDataRecovered!$B:$B,$A110,RawDataRecovered!AA:AA)</f>
        <v>0</v>
      </c>
      <c r="Y110">
        <f>SUMIF(RawDataRecovered!$B:$B,$A110,RawDataRecovered!AB:AB)</f>
        <v>0</v>
      </c>
      <c r="Z110">
        <f>SUMIF(RawDataRecovered!$B:$B,$A110,RawDataRecovered!AC:AC)</f>
        <v>0</v>
      </c>
      <c r="AA110">
        <f>SUMIF(RawDataRecovered!$B:$B,$A110,RawDataRecovered!AD:AD)</f>
        <v>0</v>
      </c>
      <c r="AB110">
        <f>SUMIF(RawDataRecovered!$B:$B,$A110,RawDataRecovered!AE:AE)</f>
        <v>0</v>
      </c>
      <c r="AC110">
        <f>SUMIF(RawDataRecovered!$B:$B,$A110,RawDataRecovered!AF:AF)</f>
        <v>0</v>
      </c>
      <c r="AD110">
        <f>SUMIF(RawDataRecovered!$B:$B,$A110,RawDataRecovered!AG:AG)</f>
        <v>0</v>
      </c>
      <c r="AE110">
        <f>SUMIF(RawDataRecovered!$B:$B,$A110,RawDataRecovered!AH:AH)</f>
        <v>0</v>
      </c>
      <c r="AF110">
        <f>SUMIF(RawDataRecovered!$B:$B,$A110,RawDataRecovered!AI:AI)</f>
        <v>0</v>
      </c>
      <c r="AG110">
        <f>SUMIF(RawDataRecovered!$B:$B,$A110,RawDataRecovered!AJ:AJ)</f>
        <v>0</v>
      </c>
      <c r="AH110">
        <f>SUMIF(RawDataRecovered!$B:$B,$A110,RawDataRecovered!AK:AK)</f>
        <v>0</v>
      </c>
      <c r="AI110">
        <f>SUMIF(RawDataRecovered!$B:$B,$A110,RawDataRecovered!AL:AL)</f>
        <v>0</v>
      </c>
      <c r="AJ110">
        <f>SUMIF(RawDataRecovered!$B:$B,$A110,RawDataRecovered!AM:AM)</f>
        <v>0</v>
      </c>
      <c r="AK110">
        <f>SUMIF(RawDataRecovered!$B:$B,$A110,RawDataRecovered!AN:AN)</f>
        <v>0</v>
      </c>
      <c r="AL110">
        <f>SUMIF(RawDataRecovered!$B:$B,$A110,RawDataRecovered!AO:AO)</f>
        <v>0</v>
      </c>
      <c r="AM110">
        <f>SUMIF(RawDataRecovered!$B:$B,$A110,RawDataRecovered!AP:AP)</f>
        <v>0</v>
      </c>
      <c r="AN110">
        <f>SUMIF(RawDataRecovered!$B:$B,$A110,RawDataRecovered!AQ:AQ)</f>
        <v>0</v>
      </c>
      <c r="AO110">
        <f>SUMIF(RawDataRecovered!$B:$B,$A110,RawDataRecovered!AR:AR)</f>
        <v>0</v>
      </c>
      <c r="AP110">
        <f>SUMIF(RawDataRecovered!$B:$B,$A110,RawDataRecovered!AS:AS)</f>
        <v>0</v>
      </c>
      <c r="AQ110">
        <f>SUMIF(RawDataRecovered!$B:$B,$A110,RawDataRecovered!AT:AT)</f>
        <v>0</v>
      </c>
      <c r="AR110">
        <f>SUMIF(RawDataRecovered!$B:$B,$A110,RawDataRecovered!AU:AU)</f>
        <v>0</v>
      </c>
      <c r="AS110">
        <f>SUMIF(RawDataRecovered!$B:$B,$A110,RawDataRecovered!AV:AV)</f>
        <v>0</v>
      </c>
      <c r="AT110">
        <f>SUMIF(RawDataRecovered!$B:$B,$A110,RawDataRecovered!AW:AW)</f>
        <v>0</v>
      </c>
      <c r="AU110">
        <f>SUMIF(RawDataRecovered!$B:$B,$A110,RawDataRecovered!AX:AX)</f>
        <v>0</v>
      </c>
      <c r="AV110">
        <f>SUMIF(RawDataRecovered!$B:$B,$A110,RawDataRecovered!AY:AY)</f>
        <v>0</v>
      </c>
      <c r="AW110">
        <f>SUMIF(RawDataRecovered!$B:$B,$A110,RawDataRecovered!AZ:AZ)</f>
        <v>0</v>
      </c>
      <c r="AX110">
        <f>SUMIF(RawDataRecovered!$B:$B,$A110,RawDataRecovered!BA:BA)</f>
        <v>0</v>
      </c>
      <c r="AY110">
        <f>SUMIF(RawDataRecovered!$B:$B,$A110,RawDataRecovered!BB:BB)</f>
        <v>0</v>
      </c>
      <c r="AZ110">
        <f>SUMIF(RawDataRecovered!$B:$B,$A110,RawDataRecovered!BC:BC)</f>
        <v>1</v>
      </c>
      <c r="BA110">
        <f>SUMIF(RawDataRecovered!$B:$B,$A110,RawDataRecovered!BD:BD)</f>
        <v>0</v>
      </c>
      <c r="BB110">
        <f>SUMIF(RawDataRecovered!$B:$B,$A110,RawDataRecovered!BE:BE)</f>
        <v>1</v>
      </c>
      <c r="BC110">
        <f>SUMIF(RawDataRecovered!$B:$B,$A110,RawDataRecovered!BF:BF)</f>
        <v>1</v>
      </c>
      <c r="BD110">
        <f>SUMIF(RawDataRecovered!$B:$B,$A110,RawDataRecovered!BG:BG)</f>
        <v>1</v>
      </c>
      <c r="BE110">
        <f>SUMIF(RawDataRecovered!$B:$B,$A110,RawDataRecovered!BH:BH)</f>
        <v>1</v>
      </c>
      <c r="BF110">
        <f>SUMIF(RawDataRecovered!$B:$B,$A110,RawDataRecovered!BI:BI)</f>
        <v>0</v>
      </c>
      <c r="BG110">
        <f>SUMIF(RawDataRecovered!$B:$B,$A110,RawDataRecovered!BJ:BJ)</f>
        <v>0</v>
      </c>
      <c r="BH110">
        <f>SUMIF(RawDataRecovered!$B:$B,$A110,RawDataRecovered!BK:BK)</f>
        <v>0</v>
      </c>
      <c r="BI110">
        <f>SUMIF(RawDataRecovered!$B:$B,$A110,RawDataRecovered!BL:BL)</f>
        <v>0</v>
      </c>
      <c r="BJ110">
        <f>SUMIF(RawDataRecovered!$B:$B,$A110,RawDataRecovered!BM:BM)</f>
        <v>0</v>
      </c>
      <c r="BK110">
        <f>SUMIF(RawDataRecovered!$B:$B,$A110,RawDataRecovered!BN:BN)</f>
        <v>0</v>
      </c>
      <c r="BL110">
        <f>SUMIF(RawDataRecovered!$B:$B,$A110,RawDataRecovered!BO:BO)</f>
        <v>0</v>
      </c>
      <c r="BM110">
        <f>SUMIF(RawDataRecovered!$B:$B,$A110,RawDataRecovered!BP:BP)</f>
        <v>0</v>
      </c>
      <c r="BN110">
        <f>SUMIF(RawDataRecovered!$B:$B,$A110,RawDataRecovered!BQ:BQ)</f>
        <v>0</v>
      </c>
      <c r="BO110">
        <f>SUMIF(RawDataRecovered!$B:$B,$A110,RawDataRecovered!BR:BR)</f>
        <v>0</v>
      </c>
      <c r="BP110">
        <f>SUMIF(RawDataRecovered!$B:$B,$A110,RawDataRecovered!BS:BS)</f>
        <v>0</v>
      </c>
      <c r="BQ110">
        <f>SUMIF(RawDataRecovered!$B:$B,$A110,RawDataRecovered!BT:BT)</f>
        <v>0</v>
      </c>
      <c r="BR110">
        <f>SUMIF(RawDataRecovered!$B:$B,$A110,RawDataRecovered!BU:BU)</f>
        <v>0</v>
      </c>
      <c r="BS110">
        <f>SUMIF(RawDataRecovered!$B:$B,$A110,RawDataRecovered!BV:BV)</f>
        <v>0</v>
      </c>
      <c r="BT110">
        <f>SUMIF(RawDataRecovered!$B:$B,$A110,RawDataRecovered!BW:BW)</f>
        <v>0</v>
      </c>
    </row>
    <row r="111" spans="1:72" ht="15" thickBot="1" x14ac:dyDescent="0.35">
      <c r="A111" s="4" t="s">
        <v>452</v>
      </c>
      <c r="B111">
        <f>SUMIF(RawDataRecovered!$B:$B,$A111,RawDataRecovered!E:E)</f>
        <v>0</v>
      </c>
      <c r="C111">
        <f>SUMIF(RawDataRecovered!$B:$B,$A111,RawDataRecovered!F:F)</f>
        <v>0</v>
      </c>
      <c r="D111">
        <f>SUMIF(RawDataRecovered!$B:$B,$A111,RawDataRecovered!G:G)</f>
        <v>0</v>
      </c>
      <c r="E111">
        <f>SUMIF(RawDataRecovered!$B:$B,$A111,RawDataRecovered!H:H)</f>
        <v>0</v>
      </c>
      <c r="F111">
        <f>SUMIF(RawDataRecovered!$B:$B,$A111,RawDataRecovered!I:I)</f>
        <v>0</v>
      </c>
      <c r="G111">
        <f>SUMIF(RawDataRecovered!$B:$B,$A111,RawDataRecovered!J:J)</f>
        <v>0</v>
      </c>
      <c r="H111">
        <f>SUMIF(RawDataRecovered!$B:$B,$A111,RawDataRecovered!K:K)</f>
        <v>0</v>
      </c>
      <c r="I111">
        <f>SUMIF(RawDataRecovered!$B:$B,$A111,RawDataRecovered!L:L)</f>
        <v>0</v>
      </c>
      <c r="J111">
        <f>SUMIF(RawDataRecovered!$B:$B,$A111,RawDataRecovered!M:M)</f>
        <v>0</v>
      </c>
      <c r="K111">
        <f>SUMIF(RawDataRecovered!$B:$B,$A111,RawDataRecovered!N:N)</f>
        <v>0</v>
      </c>
      <c r="L111">
        <f>SUMIF(RawDataRecovered!$B:$B,$A111,RawDataRecovered!O:O)</f>
        <v>0</v>
      </c>
      <c r="M111">
        <f>SUMIF(RawDataRecovered!$B:$B,$A111,RawDataRecovered!P:P)</f>
        <v>0</v>
      </c>
      <c r="N111">
        <f>SUMIF(RawDataRecovered!$B:$B,$A111,RawDataRecovered!Q:Q)</f>
        <v>0</v>
      </c>
      <c r="O111">
        <f>SUMIF(RawDataRecovered!$B:$B,$A111,RawDataRecovered!R:R)</f>
        <v>0</v>
      </c>
      <c r="P111">
        <f>SUMIF(RawDataRecovered!$B:$B,$A111,RawDataRecovered!S:S)</f>
        <v>0</v>
      </c>
      <c r="Q111">
        <f>SUMIF(RawDataRecovered!$B:$B,$A111,RawDataRecovered!T:T)</f>
        <v>0</v>
      </c>
      <c r="R111">
        <f>SUMIF(RawDataRecovered!$B:$B,$A111,RawDataRecovered!U:U)</f>
        <v>0</v>
      </c>
      <c r="S111">
        <f>SUMIF(RawDataRecovered!$B:$B,$A111,RawDataRecovered!V:V)</f>
        <v>0</v>
      </c>
      <c r="T111">
        <f>SUMIF(RawDataRecovered!$B:$B,$A111,RawDataRecovered!W:W)</f>
        <v>0</v>
      </c>
      <c r="U111">
        <f>SUMIF(RawDataRecovered!$B:$B,$A111,RawDataRecovered!X:X)</f>
        <v>0</v>
      </c>
      <c r="V111">
        <f>SUMIF(RawDataRecovered!$B:$B,$A111,RawDataRecovered!Y:Y)</f>
        <v>0</v>
      </c>
      <c r="W111">
        <f>SUMIF(RawDataRecovered!$B:$B,$A111,RawDataRecovered!Z:Z)</f>
        <v>0</v>
      </c>
      <c r="X111">
        <f>SUMIF(RawDataRecovered!$B:$B,$A111,RawDataRecovered!AA:AA)</f>
        <v>0</v>
      </c>
      <c r="Y111">
        <f>SUMIF(RawDataRecovered!$B:$B,$A111,RawDataRecovered!AB:AB)</f>
        <v>0</v>
      </c>
      <c r="Z111">
        <f>SUMIF(RawDataRecovered!$B:$B,$A111,RawDataRecovered!AC:AC)</f>
        <v>0</v>
      </c>
      <c r="AA111">
        <f>SUMIF(RawDataRecovered!$B:$B,$A111,RawDataRecovered!AD:AD)</f>
        <v>0</v>
      </c>
      <c r="AB111">
        <f>SUMIF(RawDataRecovered!$B:$B,$A111,RawDataRecovered!AE:AE)</f>
        <v>0</v>
      </c>
      <c r="AC111">
        <f>SUMIF(RawDataRecovered!$B:$B,$A111,RawDataRecovered!AF:AF)</f>
        <v>0</v>
      </c>
      <c r="AD111">
        <f>SUMIF(RawDataRecovered!$B:$B,$A111,RawDataRecovered!AG:AG)</f>
        <v>0</v>
      </c>
      <c r="AE111">
        <f>SUMIF(RawDataRecovered!$B:$B,$A111,RawDataRecovered!AH:AH)</f>
        <v>0</v>
      </c>
      <c r="AF111">
        <f>SUMIF(RawDataRecovered!$B:$B,$A111,RawDataRecovered!AI:AI)</f>
        <v>0</v>
      </c>
      <c r="AG111">
        <f>SUMIF(RawDataRecovered!$B:$B,$A111,RawDataRecovered!AJ:AJ)</f>
        <v>0</v>
      </c>
      <c r="AH111">
        <f>SUMIF(RawDataRecovered!$B:$B,$A111,RawDataRecovered!AK:AK)</f>
        <v>0</v>
      </c>
      <c r="AI111">
        <f>SUMIF(RawDataRecovered!$B:$B,$A111,RawDataRecovered!AL:AL)</f>
        <v>0</v>
      </c>
      <c r="AJ111">
        <f>SUMIF(RawDataRecovered!$B:$B,$A111,RawDataRecovered!AM:AM)</f>
        <v>0</v>
      </c>
      <c r="AK111">
        <f>SUMIF(RawDataRecovered!$B:$B,$A111,RawDataRecovered!AN:AN)</f>
        <v>0</v>
      </c>
      <c r="AL111">
        <f>SUMIF(RawDataRecovered!$B:$B,$A111,RawDataRecovered!AO:AO)</f>
        <v>0</v>
      </c>
      <c r="AM111">
        <f>SUMIF(RawDataRecovered!$B:$B,$A111,RawDataRecovered!AP:AP)</f>
        <v>0</v>
      </c>
      <c r="AN111">
        <f>SUMIF(RawDataRecovered!$B:$B,$A111,RawDataRecovered!AQ:AQ)</f>
        <v>0</v>
      </c>
      <c r="AO111">
        <f>SUMIF(RawDataRecovered!$B:$B,$A111,RawDataRecovered!AR:AR)</f>
        <v>0</v>
      </c>
      <c r="AP111">
        <f>SUMIF(RawDataRecovered!$B:$B,$A111,RawDataRecovered!AS:AS)</f>
        <v>0</v>
      </c>
      <c r="AQ111">
        <f>SUMIF(RawDataRecovered!$B:$B,$A111,RawDataRecovered!AT:AT)</f>
        <v>0</v>
      </c>
      <c r="AR111">
        <f>SUMIF(RawDataRecovered!$B:$B,$A111,RawDataRecovered!AU:AU)</f>
        <v>0</v>
      </c>
      <c r="AS111">
        <f>SUMIF(RawDataRecovered!$B:$B,$A111,RawDataRecovered!AV:AV)</f>
        <v>0</v>
      </c>
      <c r="AT111">
        <f>SUMIF(RawDataRecovered!$B:$B,$A111,RawDataRecovered!AW:AW)</f>
        <v>0</v>
      </c>
      <c r="AU111">
        <f>SUMIF(RawDataRecovered!$B:$B,$A111,RawDataRecovered!AX:AX)</f>
        <v>0</v>
      </c>
      <c r="AV111">
        <f>SUMIF(RawDataRecovered!$B:$B,$A111,RawDataRecovered!AY:AY)</f>
        <v>0</v>
      </c>
      <c r="AW111">
        <f>SUMIF(RawDataRecovered!$B:$B,$A111,RawDataRecovered!AZ:AZ)</f>
        <v>0</v>
      </c>
      <c r="AX111">
        <f>SUMIF(RawDataRecovered!$B:$B,$A111,RawDataRecovered!BA:BA)</f>
        <v>0</v>
      </c>
      <c r="AY111">
        <f>SUMIF(RawDataRecovered!$B:$B,$A111,RawDataRecovered!BB:BB)</f>
        <v>0</v>
      </c>
      <c r="AZ111">
        <f>SUMIF(RawDataRecovered!$B:$B,$A111,RawDataRecovered!BC:BC)</f>
        <v>0</v>
      </c>
      <c r="BA111">
        <f>SUMIF(RawDataRecovered!$B:$B,$A111,RawDataRecovered!BD:BD)</f>
        <v>0</v>
      </c>
      <c r="BB111">
        <f>SUMIF(RawDataRecovered!$B:$B,$A111,RawDataRecovered!BE:BE)</f>
        <v>0</v>
      </c>
      <c r="BC111">
        <f>SUMIF(RawDataRecovered!$B:$B,$A111,RawDataRecovered!BF:BF)</f>
        <v>0</v>
      </c>
      <c r="BD111">
        <f>SUMIF(RawDataRecovered!$B:$B,$A111,RawDataRecovered!BG:BG)</f>
        <v>0</v>
      </c>
      <c r="BE111">
        <f>SUMIF(RawDataRecovered!$B:$B,$A111,RawDataRecovered!BH:BH)</f>
        <v>0</v>
      </c>
      <c r="BF111">
        <f>SUMIF(RawDataRecovered!$B:$B,$A111,RawDataRecovered!BI:BI)</f>
        <v>0</v>
      </c>
      <c r="BG111">
        <f>SUMIF(RawDataRecovered!$B:$B,$A111,RawDataRecovered!BJ:BJ)</f>
        <v>0</v>
      </c>
      <c r="BH111">
        <f>SUMIF(RawDataRecovered!$B:$B,$A111,RawDataRecovered!BK:BK)</f>
        <v>0</v>
      </c>
      <c r="BI111">
        <f>SUMIF(RawDataRecovered!$B:$B,$A111,RawDataRecovered!BL:BL)</f>
        <v>0</v>
      </c>
      <c r="BJ111">
        <f>SUMIF(RawDataRecovered!$B:$B,$A111,RawDataRecovered!BM:BM)</f>
        <v>0</v>
      </c>
      <c r="BK111">
        <f>SUMIF(RawDataRecovered!$B:$B,$A111,RawDataRecovered!BN:BN)</f>
        <v>0</v>
      </c>
      <c r="BL111">
        <f>SUMIF(RawDataRecovered!$B:$B,$A111,RawDataRecovered!BO:BO)</f>
        <v>0</v>
      </c>
      <c r="BM111">
        <f>SUMIF(RawDataRecovered!$B:$B,$A111,RawDataRecovered!BP:BP)</f>
        <v>0</v>
      </c>
      <c r="BN111">
        <f>SUMIF(RawDataRecovered!$B:$B,$A111,RawDataRecovered!BQ:BQ)</f>
        <v>0</v>
      </c>
      <c r="BO111">
        <f>SUMIF(RawDataRecovered!$B:$B,$A111,RawDataRecovered!BR:BR)</f>
        <v>0</v>
      </c>
      <c r="BP111">
        <f>SUMIF(RawDataRecovered!$B:$B,$A111,RawDataRecovered!BS:BS)</f>
        <v>0</v>
      </c>
      <c r="BQ111">
        <f>SUMIF(RawDataRecovered!$B:$B,$A111,RawDataRecovered!BT:BT)</f>
        <v>0</v>
      </c>
      <c r="BR111">
        <f>SUMIF(RawDataRecovered!$B:$B,$A111,RawDataRecovered!BU:BU)</f>
        <v>0</v>
      </c>
      <c r="BS111">
        <f>SUMIF(RawDataRecovered!$B:$B,$A111,RawDataRecovered!BV:BV)</f>
        <v>0</v>
      </c>
      <c r="BT111">
        <f>SUMIF(RawDataRecovered!$B:$B,$A111,RawDataRecovered!BW:BW)</f>
        <v>0</v>
      </c>
    </row>
    <row r="112" spans="1:72" ht="15" thickBot="1" x14ac:dyDescent="0.35">
      <c r="A112" s="4" t="s">
        <v>183</v>
      </c>
      <c r="B112">
        <f>SUMIF(RawDataRecovered!$B:$B,$A112,RawDataRecovered!E:E)</f>
        <v>0</v>
      </c>
      <c r="C112">
        <f>SUMIF(RawDataRecovered!$B:$B,$A112,RawDataRecovered!F:F)</f>
        <v>0</v>
      </c>
      <c r="D112">
        <f>SUMIF(RawDataRecovered!$B:$B,$A112,RawDataRecovered!G:G)</f>
        <v>0</v>
      </c>
      <c r="E112">
        <f>SUMIF(RawDataRecovered!$B:$B,$A112,RawDataRecovered!H:H)</f>
        <v>0</v>
      </c>
      <c r="F112">
        <f>SUMIF(RawDataRecovered!$B:$B,$A112,RawDataRecovered!I:I)</f>
        <v>0</v>
      </c>
      <c r="G112">
        <f>SUMIF(RawDataRecovered!$B:$B,$A112,RawDataRecovered!J:J)</f>
        <v>0</v>
      </c>
      <c r="H112">
        <f>SUMIF(RawDataRecovered!$B:$B,$A112,RawDataRecovered!K:K)</f>
        <v>0</v>
      </c>
      <c r="I112">
        <f>SUMIF(RawDataRecovered!$B:$B,$A112,RawDataRecovered!L:L)</f>
        <v>0</v>
      </c>
      <c r="J112">
        <f>SUMIF(RawDataRecovered!$B:$B,$A112,RawDataRecovered!M:M)</f>
        <v>0</v>
      </c>
      <c r="K112">
        <f>SUMIF(RawDataRecovered!$B:$B,$A112,RawDataRecovered!N:N)</f>
        <v>0</v>
      </c>
      <c r="L112">
        <f>SUMIF(RawDataRecovered!$B:$B,$A112,RawDataRecovered!O:O)</f>
        <v>0</v>
      </c>
      <c r="M112">
        <f>SUMIF(RawDataRecovered!$B:$B,$A112,RawDataRecovered!P:P)</f>
        <v>0</v>
      </c>
      <c r="N112">
        <f>SUMIF(RawDataRecovered!$B:$B,$A112,RawDataRecovered!Q:Q)</f>
        <v>0</v>
      </c>
      <c r="O112">
        <f>SUMIF(RawDataRecovered!$B:$B,$A112,RawDataRecovered!R:R)</f>
        <v>0</v>
      </c>
      <c r="P112">
        <f>SUMIF(RawDataRecovered!$B:$B,$A112,RawDataRecovered!S:S)</f>
        <v>0</v>
      </c>
      <c r="Q112">
        <f>SUMIF(RawDataRecovered!$B:$B,$A112,RawDataRecovered!T:T)</f>
        <v>0</v>
      </c>
      <c r="R112">
        <f>SUMIF(RawDataRecovered!$B:$B,$A112,RawDataRecovered!U:U)</f>
        <v>0</v>
      </c>
      <c r="S112">
        <f>SUMIF(RawDataRecovered!$B:$B,$A112,RawDataRecovered!V:V)</f>
        <v>0</v>
      </c>
      <c r="T112">
        <f>SUMIF(RawDataRecovered!$B:$B,$A112,RawDataRecovered!W:W)</f>
        <v>0</v>
      </c>
      <c r="U112">
        <f>SUMIF(RawDataRecovered!$B:$B,$A112,RawDataRecovered!X:X)</f>
        <v>0</v>
      </c>
      <c r="V112">
        <f>SUMIF(RawDataRecovered!$B:$B,$A112,RawDataRecovered!Y:Y)</f>
        <v>0</v>
      </c>
      <c r="W112">
        <f>SUMIF(RawDataRecovered!$B:$B,$A112,RawDataRecovered!Z:Z)</f>
        <v>0</v>
      </c>
      <c r="X112">
        <f>SUMIF(RawDataRecovered!$B:$B,$A112,RawDataRecovered!AA:AA)</f>
        <v>0</v>
      </c>
      <c r="Y112">
        <f>SUMIF(RawDataRecovered!$B:$B,$A112,RawDataRecovered!AB:AB)</f>
        <v>0</v>
      </c>
      <c r="Z112">
        <f>SUMIF(RawDataRecovered!$B:$B,$A112,RawDataRecovered!AC:AC)</f>
        <v>0</v>
      </c>
      <c r="AA112">
        <f>SUMIF(RawDataRecovered!$B:$B,$A112,RawDataRecovered!AD:AD)</f>
        <v>0</v>
      </c>
      <c r="AB112">
        <f>SUMIF(RawDataRecovered!$B:$B,$A112,RawDataRecovered!AE:AE)</f>
        <v>0</v>
      </c>
      <c r="AC112">
        <f>SUMIF(RawDataRecovered!$B:$B,$A112,RawDataRecovered!AF:AF)</f>
        <v>0</v>
      </c>
      <c r="AD112">
        <f>SUMIF(RawDataRecovered!$B:$B,$A112,RawDataRecovered!AG:AG)</f>
        <v>0</v>
      </c>
      <c r="AE112">
        <f>SUMIF(RawDataRecovered!$B:$B,$A112,RawDataRecovered!AH:AH)</f>
        <v>0</v>
      </c>
      <c r="AF112">
        <f>SUMIF(RawDataRecovered!$B:$B,$A112,RawDataRecovered!AI:AI)</f>
        <v>0</v>
      </c>
      <c r="AG112">
        <f>SUMIF(RawDataRecovered!$B:$B,$A112,RawDataRecovered!AJ:AJ)</f>
        <v>0</v>
      </c>
      <c r="AH112">
        <f>SUMIF(RawDataRecovered!$B:$B,$A112,RawDataRecovered!AK:AK)</f>
        <v>0</v>
      </c>
      <c r="AI112">
        <f>SUMIF(RawDataRecovered!$B:$B,$A112,RawDataRecovered!AL:AL)</f>
        <v>0</v>
      </c>
      <c r="AJ112">
        <f>SUMIF(RawDataRecovered!$B:$B,$A112,RawDataRecovered!AM:AM)</f>
        <v>0</v>
      </c>
      <c r="AK112">
        <f>SUMIF(RawDataRecovered!$B:$B,$A112,RawDataRecovered!AN:AN)</f>
        <v>0</v>
      </c>
      <c r="AL112">
        <f>SUMIF(RawDataRecovered!$B:$B,$A112,RawDataRecovered!AO:AO)</f>
        <v>0</v>
      </c>
      <c r="AM112">
        <f>SUMIF(RawDataRecovered!$B:$B,$A112,RawDataRecovered!AP:AP)</f>
        <v>0</v>
      </c>
      <c r="AN112">
        <f>SUMIF(RawDataRecovered!$B:$B,$A112,RawDataRecovered!AQ:AQ)</f>
        <v>0</v>
      </c>
      <c r="AO112">
        <f>SUMIF(RawDataRecovered!$B:$B,$A112,RawDataRecovered!AR:AR)</f>
        <v>0</v>
      </c>
      <c r="AP112">
        <f>SUMIF(RawDataRecovered!$B:$B,$A112,RawDataRecovered!AS:AS)</f>
        <v>0</v>
      </c>
      <c r="AQ112">
        <f>SUMIF(RawDataRecovered!$B:$B,$A112,RawDataRecovered!AT:AT)</f>
        <v>0</v>
      </c>
      <c r="AR112">
        <f>SUMIF(RawDataRecovered!$B:$B,$A112,RawDataRecovered!AU:AU)</f>
        <v>0</v>
      </c>
      <c r="AS112">
        <f>SUMIF(RawDataRecovered!$B:$B,$A112,RawDataRecovered!AV:AV)</f>
        <v>0</v>
      </c>
      <c r="AT112">
        <f>SUMIF(RawDataRecovered!$B:$B,$A112,RawDataRecovered!AW:AW)</f>
        <v>0</v>
      </c>
      <c r="AU112">
        <f>SUMIF(RawDataRecovered!$B:$B,$A112,RawDataRecovered!AX:AX)</f>
        <v>0</v>
      </c>
      <c r="AV112">
        <f>SUMIF(RawDataRecovered!$B:$B,$A112,RawDataRecovered!AY:AY)</f>
        <v>0</v>
      </c>
      <c r="AW112">
        <f>SUMIF(RawDataRecovered!$B:$B,$A112,RawDataRecovered!AZ:AZ)</f>
        <v>0</v>
      </c>
      <c r="AX112">
        <f>SUMIF(RawDataRecovered!$B:$B,$A112,RawDataRecovered!BA:BA)</f>
        <v>0</v>
      </c>
      <c r="AY112">
        <f>SUMIF(RawDataRecovered!$B:$B,$A112,RawDataRecovered!BB:BB)</f>
        <v>0</v>
      </c>
      <c r="AZ112">
        <f>SUMIF(RawDataRecovered!$B:$B,$A112,RawDataRecovered!BC:BC)</f>
        <v>0</v>
      </c>
      <c r="BA112">
        <f>SUMIF(RawDataRecovered!$B:$B,$A112,RawDataRecovered!BD:BD)</f>
        <v>0</v>
      </c>
      <c r="BB112">
        <f>SUMIF(RawDataRecovered!$B:$B,$A112,RawDataRecovered!BE:BE)</f>
        <v>0</v>
      </c>
      <c r="BC112">
        <f>SUMIF(RawDataRecovered!$B:$B,$A112,RawDataRecovered!BF:BF)</f>
        <v>0</v>
      </c>
      <c r="BD112">
        <f>SUMIF(RawDataRecovered!$B:$B,$A112,RawDataRecovered!BG:BG)</f>
        <v>0</v>
      </c>
      <c r="BE112">
        <f>SUMIF(RawDataRecovered!$B:$B,$A112,RawDataRecovered!BH:BH)</f>
        <v>0</v>
      </c>
      <c r="BF112">
        <f>SUMIF(RawDataRecovered!$B:$B,$A112,RawDataRecovered!BI:BI)</f>
        <v>0</v>
      </c>
      <c r="BG112">
        <f>SUMIF(RawDataRecovered!$B:$B,$A112,RawDataRecovered!BJ:BJ)</f>
        <v>0</v>
      </c>
      <c r="BH112">
        <f>SUMIF(RawDataRecovered!$B:$B,$A112,RawDataRecovered!BK:BK)</f>
        <v>0</v>
      </c>
      <c r="BI112">
        <f>SUMIF(RawDataRecovered!$B:$B,$A112,RawDataRecovered!BL:BL)</f>
        <v>0</v>
      </c>
      <c r="BJ112">
        <f>SUMIF(RawDataRecovered!$B:$B,$A112,RawDataRecovered!BM:BM)</f>
        <v>0</v>
      </c>
      <c r="BK112">
        <f>SUMIF(RawDataRecovered!$B:$B,$A112,RawDataRecovered!BN:BN)</f>
        <v>0</v>
      </c>
      <c r="BL112">
        <f>SUMIF(RawDataRecovered!$B:$B,$A112,RawDataRecovered!BO:BO)</f>
        <v>0</v>
      </c>
      <c r="BM112">
        <f>SUMIF(RawDataRecovered!$B:$B,$A112,RawDataRecovered!BP:BP)</f>
        <v>0</v>
      </c>
      <c r="BN112">
        <f>SUMIF(RawDataRecovered!$B:$B,$A112,RawDataRecovered!BQ:BQ)</f>
        <v>0</v>
      </c>
      <c r="BO112">
        <f>SUMIF(RawDataRecovered!$B:$B,$A112,RawDataRecovered!BR:BR)</f>
        <v>0</v>
      </c>
      <c r="BP112">
        <f>SUMIF(RawDataRecovered!$B:$B,$A112,RawDataRecovered!BS:BS)</f>
        <v>0</v>
      </c>
      <c r="BQ112">
        <f>SUMIF(RawDataRecovered!$B:$B,$A112,RawDataRecovered!BT:BT)</f>
        <v>0</v>
      </c>
      <c r="BR112">
        <f>SUMIF(RawDataRecovered!$B:$B,$A112,RawDataRecovered!BU:BU)</f>
        <v>0</v>
      </c>
      <c r="BS112">
        <f>SUMIF(RawDataRecovered!$B:$B,$A112,RawDataRecovered!BV:BV)</f>
        <v>0</v>
      </c>
      <c r="BT112">
        <f>SUMIF(RawDataRecovered!$B:$B,$A112,RawDataRecovered!BW:BW)</f>
        <v>0</v>
      </c>
    </row>
    <row r="113" spans="1:72" ht="15" thickBot="1" x14ac:dyDescent="0.35">
      <c r="A113" s="4" t="s">
        <v>443</v>
      </c>
      <c r="B113">
        <f>SUMIF(RawDataRecovered!$B:$B,$A113,RawDataRecovered!E:E)</f>
        <v>0</v>
      </c>
      <c r="C113">
        <f>SUMIF(RawDataRecovered!$B:$B,$A113,RawDataRecovered!F:F)</f>
        <v>0</v>
      </c>
      <c r="D113">
        <f>SUMIF(RawDataRecovered!$B:$B,$A113,RawDataRecovered!G:G)</f>
        <v>0</v>
      </c>
      <c r="E113">
        <f>SUMIF(RawDataRecovered!$B:$B,$A113,RawDataRecovered!H:H)</f>
        <v>0</v>
      </c>
      <c r="F113">
        <f>SUMIF(RawDataRecovered!$B:$B,$A113,RawDataRecovered!I:I)</f>
        <v>0</v>
      </c>
      <c r="G113">
        <f>SUMIF(RawDataRecovered!$B:$B,$A113,RawDataRecovered!J:J)</f>
        <v>0</v>
      </c>
      <c r="H113">
        <f>SUMIF(RawDataRecovered!$B:$B,$A113,RawDataRecovered!K:K)</f>
        <v>0</v>
      </c>
      <c r="I113">
        <f>SUMIF(RawDataRecovered!$B:$B,$A113,RawDataRecovered!L:L)</f>
        <v>0</v>
      </c>
      <c r="J113">
        <f>SUMIF(RawDataRecovered!$B:$B,$A113,RawDataRecovered!M:M)</f>
        <v>0</v>
      </c>
      <c r="K113">
        <f>SUMIF(RawDataRecovered!$B:$B,$A113,RawDataRecovered!N:N)</f>
        <v>0</v>
      </c>
      <c r="L113">
        <f>SUMIF(RawDataRecovered!$B:$B,$A113,RawDataRecovered!O:O)</f>
        <v>0</v>
      </c>
      <c r="M113">
        <f>SUMIF(RawDataRecovered!$B:$B,$A113,RawDataRecovered!P:P)</f>
        <v>0</v>
      </c>
      <c r="N113">
        <f>SUMIF(RawDataRecovered!$B:$B,$A113,RawDataRecovered!Q:Q)</f>
        <v>0</v>
      </c>
      <c r="O113">
        <f>SUMIF(RawDataRecovered!$B:$B,$A113,RawDataRecovered!R:R)</f>
        <v>0</v>
      </c>
      <c r="P113">
        <f>SUMIF(RawDataRecovered!$B:$B,$A113,RawDataRecovered!S:S)</f>
        <v>0</v>
      </c>
      <c r="Q113">
        <f>SUMIF(RawDataRecovered!$B:$B,$A113,RawDataRecovered!T:T)</f>
        <v>0</v>
      </c>
      <c r="R113">
        <f>SUMIF(RawDataRecovered!$B:$B,$A113,RawDataRecovered!U:U)</f>
        <v>0</v>
      </c>
      <c r="S113">
        <f>SUMIF(RawDataRecovered!$B:$B,$A113,RawDataRecovered!V:V)</f>
        <v>0</v>
      </c>
      <c r="T113">
        <f>SUMIF(RawDataRecovered!$B:$B,$A113,RawDataRecovered!W:W)</f>
        <v>0</v>
      </c>
      <c r="U113">
        <f>SUMIF(RawDataRecovered!$B:$B,$A113,RawDataRecovered!X:X)</f>
        <v>0</v>
      </c>
      <c r="V113">
        <f>SUMIF(RawDataRecovered!$B:$B,$A113,RawDataRecovered!Y:Y)</f>
        <v>0</v>
      </c>
      <c r="W113">
        <f>SUMIF(RawDataRecovered!$B:$B,$A113,RawDataRecovered!Z:Z)</f>
        <v>0</v>
      </c>
      <c r="X113">
        <f>SUMIF(RawDataRecovered!$B:$B,$A113,RawDataRecovered!AA:AA)</f>
        <v>0</v>
      </c>
      <c r="Y113">
        <f>SUMIF(RawDataRecovered!$B:$B,$A113,RawDataRecovered!AB:AB)</f>
        <v>0</v>
      </c>
      <c r="Z113">
        <f>SUMIF(RawDataRecovered!$B:$B,$A113,RawDataRecovered!AC:AC)</f>
        <v>0</v>
      </c>
      <c r="AA113">
        <f>SUMIF(RawDataRecovered!$B:$B,$A113,RawDataRecovered!AD:AD)</f>
        <v>0</v>
      </c>
      <c r="AB113">
        <f>SUMIF(RawDataRecovered!$B:$B,$A113,RawDataRecovered!AE:AE)</f>
        <v>0</v>
      </c>
      <c r="AC113">
        <f>SUMIF(RawDataRecovered!$B:$B,$A113,RawDataRecovered!AF:AF)</f>
        <v>0</v>
      </c>
      <c r="AD113">
        <f>SUMIF(RawDataRecovered!$B:$B,$A113,RawDataRecovered!AG:AG)</f>
        <v>0</v>
      </c>
      <c r="AE113">
        <f>SUMIF(RawDataRecovered!$B:$B,$A113,RawDataRecovered!AH:AH)</f>
        <v>0</v>
      </c>
      <c r="AF113">
        <f>SUMIF(RawDataRecovered!$B:$B,$A113,RawDataRecovered!AI:AI)</f>
        <v>0</v>
      </c>
      <c r="AG113">
        <f>SUMIF(RawDataRecovered!$B:$B,$A113,RawDataRecovered!AJ:AJ)</f>
        <v>0</v>
      </c>
      <c r="AH113">
        <f>SUMIF(RawDataRecovered!$B:$B,$A113,RawDataRecovered!AK:AK)</f>
        <v>0</v>
      </c>
      <c r="AI113">
        <f>SUMIF(RawDataRecovered!$B:$B,$A113,RawDataRecovered!AL:AL)</f>
        <v>0</v>
      </c>
      <c r="AJ113">
        <f>SUMIF(RawDataRecovered!$B:$B,$A113,RawDataRecovered!AM:AM)</f>
        <v>0</v>
      </c>
      <c r="AK113">
        <f>SUMIF(RawDataRecovered!$B:$B,$A113,RawDataRecovered!AN:AN)</f>
        <v>0</v>
      </c>
      <c r="AL113">
        <f>SUMIF(RawDataRecovered!$B:$B,$A113,RawDataRecovered!AO:AO)</f>
        <v>0</v>
      </c>
      <c r="AM113">
        <f>SUMIF(RawDataRecovered!$B:$B,$A113,RawDataRecovered!AP:AP)</f>
        <v>0</v>
      </c>
      <c r="AN113">
        <f>SUMIF(RawDataRecovered!$B:$B,$A113,RawDataRecovered!AQ:AQ)</f>
        <v>0</v>
      </c>
      <c r="AO113">
        <f>SUMIF(RawDataRecovered!$B:$B,$A113,RawDataRecovered!AR:AR)</f>
        <v>0</v>
      </c>
      <c r="AP113">
        <f>SUMIF(RawDataRecovered!$B:$B,$A113,RawDataRecovered!AS:AS)</f>
        <v>0</v>
      </c>
      <c r="AQ113">
        <f>SUMIF(RawDataRecovered!$B:$B,$A113,RawDataRecovered!AT:AT)</f>
        <v>0</v>
      </c>
      <c r="AR113">
        <f>SUMIF(RawDataRecovered!$B:$B,$A113,RawDataRecovered!AU:AU)</f>
        <v>0</v>
      </c>
      <c r="AS113">
        <f>SUMIF(RawDataRecovered!$B:$B,$A113,RawDataRecovered!AV:AV)</f>
        <v>0</v>
      </c>
      <c r="AT113">
        <f>SUMIF(RawDataRecovered!$B:$B,$A113,RawDataRecovered!AW:AW)</f>
        <v>0</v>
      </c>
      <c r="AU113">
        <f>SUMIF(RawDataRecovered!$B:$B,$A113,RawDataRecovered!AX:AX)</f>
        <v>0</v>
      </c>
      <c r="AV113">
        <f>SUMIF(RawDataRecovered!$B:$B,$A113,RawDataRecovered!AY:AY)</f>
        <v>0</v>
      </c>
      <c r="AW113">
        <f>SUMIF(RawDataRecovered!$B:$B,$A113,RawDataRecovered!AZ:AZ)</f>
        <v>0</v>
      </c>
      <c r="AX113">
        <f>SUMIF(RawDataRecovered!$B:$B,$A113,RawDataRecovered!BA:BA)</f>
        <v>0</v>
      </c>
      <c r="AY113">
        <f>SUMIF(RawDataRecovered!$B:$B,$A113,RawDataRecovered!BB:BB)</f>
        <v>0</v>
      </c>
      <c r="AZ113">
        <f>SUMIF(RawDataRecovered!$B:$B,$A113,RawDataRecovered!BC:BC)</f>
        <v>0</v>
      </c>
      <c r="BA113">
        <f>SUMIF(RawDataRecovered!$B:$B,$A113,RawDataRecovered!BD:BD)</f>
        <v>0</v>
      </c>
      <c r="BB113">
        <f>SUMIF(RawDataRecovered!$B:$B,$A113,RawDataRecovered!BE:BE)</f>
        <v>0</v>
      </c>
      <c r="BC113">
        <f>SUMIF(RawDataRecovered!$B:$B,$A113,RawDataRecovered!BF:BF)</f>
        <v>0</v>
      </c>
      <c r="BD113">
        <f>SUMIF(RawDataRecovered!$B:$B,$A113,RawDataRecovered!BG:BG)</f>
        <v>0</v>
      </c>
      <c r="BE113">
        <f>SUMIF(RawDataRecovered!$B:$B,$A113,RawDataRecovered!BH:BH)</f>
        <v>0</v>
      </c>
      <c r="BF113">
        <f>SUMIF(RawDataRecovered!$B:$B,$A113,RawDataRecovered!BI:BI)</f>
        <v>0</v>
      </c>
      <c r="BG113">
        <f>SUMIF(RawDataRecovered!$B:$B,$A113,RawDataRecovered!BJ:BJ)</f>
        <v>0</v>
      </c>
      <c r="BH113">
        <f>SUMIF(RawDataRecovered!$B:$B,$A113,RawDataRecovered!BK:BK)</f>
        <v>0</v>
      </c>
      <c r="BI113">
        <f>SUMIF(RawDataRecovered!$B:$B,$A113,RawDataRecovered!BL:BL)</f>
        <v>0</v>
      </c>
      <c r="BJ113">
        <f>SUMIF(RawDataRecovered!$B:$B,$A113,RawDataRecovered!BM:BM)</f>
        <v>0</v>
      </c>
      <c r="BK113">
        <f>SUMIF(RawDataRecovered!$B:$B,$A113,RawDataRecovered!BN:BN)</f>
        <v>0</v>
      </c>
      <c r="BL113">
        <f>SUMIF(RawDataRecovered!$B:$B,$A113,RawDataRecovered!BO:BO)</f>
        <v>0</v>
      </c>
      <c r="BM113">
        <f>SUMIF(RawDataRecovered!$B:$B,$A113,RawDataRecovered!BP:BP)</f>
        <v>0</v>
      </c>
      <c r="BN113">
        <f>SUMIF(RawDataRecovered!$B:$B,$A113,RawDataRecovered!BQ:BQ)</f>
        <v>0</v>
      </c>
      <c r="BO113">
        <f>SUMIF(RawDataRecovered!$B:$B,$A113,RawDataRecovered!BR:BR)</f>
        <v>0</v>
      </c>
      <c r="BP113">
        <f>SUMIF(RawDataRecovered!$B:$B,$A113,RawDataRecovered!BS:BS)</f>
        <v>0</v>
      </c>
      <c r="BQ113">
        <f>SUMIF(RawDataRecovered!$B:$B,$A113,RawDataRecovered!BT:BT)</f>
        <v>0</v>
      </c>
      <c r="BR113">
        <f>SUMIF(RawDataRecovered!$B:$B,$A113,RawDataRecovered!BU:BU)</f>
        <v>0</v>
      </c>
      <c r="BS113">
        <f>SUMIF(RawDataRecovered!$B:$B,$A113,RawDataRecovered!BV:BV)</f>
        <v>0</v>
      </c>
      <c r="BT113">
        <f>SUMIF(RawDataRecovered!$B:$B,$A113,RawDataRecovered!BW:BW)</f>
        <v>0</v>
      </c>
    </row>
    <row r="114" spans="1:72" ht="15" thickBot="1" x14ac:dyDescent="0.35">
      <c r="A114" s="3" t="s">
        <v>380</v>
      </c>
      <c r="B114">
        <f>SUMIF(RawDataRecovered!$B:$B,$A114,RawDataRecovered!E:E)</f>
        <v>0</v>
      </c>
      <c r="C114">
        <f>SUMIF(RawDataRecovered!$B:$B,$A114,RawDataRecovered!F:F)</f>
        <v>0</v>
      </c>
      <c r="D114">
        <f>SUMIF(RawDataRecovered!$B:$B,$A114,RawDataRecovered!G:G)</f>
        <v>0</v>
      </c>
      <c r="E114">
        <f>SUMIF(RawDataRecovered!$B:$B,$A114,RawDataRecovered!H:H)</f>
        <v>0</v>
      </c>
      <c r="F114">
        <f>SUMIF(RawDataRecovered!$B:$B,$A114,RawDataRecovered!I:I)</f>
        <v>0</v>
      </c>
      <c r="G114">
        <f>SUMIF(RawDataRecovered!$B:$B,$A114,RawDataRecovered!J:J)</f>
        <v>0</v>
      </c>
      <c r="H114">
        <f>SUMIF(RawDataRecovered!$B:$B,$A114,RawDataRecovered!K:K)</f>
        <v>0</v>
      </c>
      <c r="I114">
        <f>SUMIF(RawDataRecovered!$B:$B,$A114,RawDataRecovered!L:L)</f>
        <v>0</v>
      </c>
      <c r="J114">
        <f>SUMIF(RawDataRecovered!$B:$B,$A114,RawDataRecovered!M:M)</f>
        <v>0</v>
      </c>
      <c r="K114">
        <f>SUMIF(RawDataRecovered!$B:$B,$A114,RawDataRecovered!N:N)</f>
        <v>0</v>
      </c>
      <c r="L114">
        <f>SUMIF(RawDataRecovered!$B:$B,$A114,RawDataRecovered!O:O)</f>
        <v>0</v>
      </c>
      <c r="M114">
        <f>SUMIF(RawDataRecovered!$B:$B,$A114,RawDataRecovered!P:P)</f>
        <v>0</v>
      </c>
      <c r="N114">
        <f>SUMIF(RawDataRecovered!$B:$B,$A114,RawDataRecovered!Q:Q)</f>
        <v>0</v>
      </c>
      <c r="O114">
        <f>SUMIF(RawDataRecovered!$B:$B,$A114,RawDataRecovered!R:R)</f>
        <v>0</v>
      </c>
      <c r="P114">
        <f>SUMIF(RawDataRecovered!$B:$B,$A114,RawDataRecovered!S:S)</f>
        <v>0</v>
      </c>
      <c r="Q114">
        <f>SUMIF(RawDataRecovered!$B:$B,$A114,RawDataRecovered!T:T)</f>
        <v>0</v>
      </c>
      <c r="R114">
        <f>SUMIF(RawDataRecovered!$B:$B,$A114,RawDataRecovered!U:U)</f>
        <v>0</v>
      </c>
      <c r="S114">
        <f>SUMIF(RawDataRecovered!$B:$B,$A114,RawDataRecovered!V:V)</f>
        <v>0</v>
      </c>
      <c r="T114">
        <f>SUMIF(RawDataRecovered!$B:$B,$A114,RawDataRecovered!W:W)</f>
        <v>0</v>
      </c>
      <c r="U114">
        <f>SUMIF(RawDataRecovered!$B:$B,$A114,RawDataRecovered!X:X)</f>
        <v>0</v>
      </c>
      <c r="V114">
        <f>SUMIF(RawDataRecovered!$B:$B,$A114,RawDataRecovered!Y:Y)</f>
        <v>0</v>
      </c>
      <c r="W114">
        <f>SUMIF(RawDataRecovered!$B:$B,$A114,RawDataRecovered!Z:Z)</f>
        <v>0</v>
      </c>
      <c r="X114">
        <f>SUMIF(RawDataRecovered!$B:$B,$A114,RawDataRecovered!AA:AA)</f>
        <v>0</v>
      </c>
      <c r="Y114">
        <f>SUMIF(RawDataRecovered!$B:$B,$A114,RawDataRecovered!AB:AB)</f>
        <v>0</v>
      </c>
      <c r="Z114">
        <f>SUMIF(RawDataRecovered!$B:$B,$A114,RawDataRecovered!AC:AC)</f>
        <v>0</v>
      </c>
      <c r="AA114">
        <f>SUMIF(RawDataRecovered!$B:$B,$A114,RawDataRecovered!AD:AD)</f>
        <v>0</v>
      </c>
      <c r="AB114">
        <f>SUMIF(RawDataRecovered!$B:$B,$A114,RawDataRecovered!AE:AE)</f>
        <v>0</v>
      </c>
      <c r="AC114">
        <f>SUMIF(RawDataRecovered!$B:$B,$A114,RawDataRecovered!AF:AF)</f>
        <v>0</v>
      </c>
      <c r="AD114">
        <f>SUMIF(RawDataRecovered!$B:$B,$A114,RawDataRecovered!AG:AG)</f>
        <v>0</v>
      </c>
      <c r="AE114">
        <f>SUMIF(RawDataRecovered!$B:$B,$A114,RawDataRecovered!AH:AH)</f>
        <v>0</v>
      </c>
      <c r="AF114">
        <f>SUMIF(RawDataRecovered!$B:$B,$A114,RawDataRecovered!AI:AI)</f>
        <v>0</v>
      </c>
      <c r="AG114">
        <f>SUMIF(RawDataRecovered!$B:$B,$A114,RawDataRecovered!AJ:AJ)</f>
        <v>0</v>
      </c>
      <c r="AH114">
        <f>SUMIF(RawDataRecovered!$B:$B,$A114,RawDataRecovered!AK:AK)</f>
        <v>0</v>
      </c>
      <c r="AI114">
        <f>SUMIF(RawDataRecovered!$B:$B,$A114,RawDataRecovered!AL:AL)</f>
        <v>0</v>
      </c>
      <c r="AJ114">
        <f>SUMIF(RawDataRecovered!$B:$B,$A114,RawDataRecovered!AM:AM)</f>
        <v>0</v>
      </c>
      <c r="AK114">
        <f>SUMIF(RawDataRecovered!$B:$B,$A114,RawDataRecovered!AN:AN)</f>
        <v>0</v>
      </c>
      <c r="AL114">
        <f>SUMIF(RawDataRecovered!$B:$B,$A114,RawDataRecovered!AO:AO)</f>
        <v>0</v>
      </c>
      <c r="AM114">
        <f>SUMIF(RawDataRecovered!$B:$B,$A114,RawDataRecovered!AP:AP)</f>
        <v>0</v>
      </c>
      <c r="AN114">
        <f>SUMIF(RawDataRecovered!$B:$B,$A114,RawDataRecovered!AQ:AQ)</f>
        <v>0</v>
      </c>
      <c r="AO114">
        <f>SUMIF(RawDataRecovered!$B:$B,$A114,RawDataRecovered!AR:AR)</f>
        <v>0</v>
      </c>
      <c r="AP114">
        <f>SUMIF(RawDataRecovered!$B:$B,$A114,RawDataRecovered!AS:AS)</f>
        <v>0</v>
      </c>
      <c r="AQ114">
        <f>SUMIF(RawDataRecovered!$B:$B,$A114,RawDataRecovered!AT:AT)</f>
        <v>0</v>
      </c>
      <c r="AR114">
        <f>SUMIF(RawDataRecovered!$B:$B,$A114,RawDataRecovered!AU:AU)</f>
        <v>0</v>
      </c>
      <c r="AS114">
        <f>SUMIF(RawDataRecovered!$B:$B,$A114,RawDataRecovered!AV:AV)</f>
        <v>0</v>
      </c>
      <c r="AT114">
        <f>SUMIF(RawDataRecovered!$B:$B,$A114,RawDataRecovered!AW:AW)</f>
        <v>0</v>
      </c>
      <c r="AU114">
        <f>SUMIF(RawDataRecovered!$B:$B,$A114,RawDataRecovered!AX:AX)</f>
        <v>0</v>
      </c>
      <c r="AV114">
        <f>SUMIF(RawDataRecovered!$B:$B,$A114,RawDataRecovered!AY:AY)</f>
        <v>0</v>
      </c>
      <c r="AW114">
        <f>SUMIF(RawDataRecovered!$B:$B,$A114,RawDataRecovered!AZ:AZ)</f>
        <v>0</v>
      </c>
      <c r="AX114">
        <f>SUMIF(RawDataRecovered!$B:$B,$A114,RawDataRecovered!BA:BA)</f>
        <v>0</v>
      </c>
      <c r="AY114">
        <f>SUMIF(RawDataRecovered!$B:$B,$A114,RawDataRecovered!BB:BB)</f>
        <v>0</v>
      </c>
      <c r="AZ114">
        <f>SUMIF(RawDataRecovered!$B:$B,$A114,RawDataRecovered!BC:BC)</f>
        <v>0</v>
      </c>
      <c r="BA114">
        <f>SUMIF(RawDataRecovered!$B:$B,$A114,RawDataRecovered!BD:BD)</f>
        <v>0</v>
      </c>
      <c r="BB114">
        <f>SUMIF(RawDataRecovered!$B:$B,$A114,RawDataRecovered!BE:BE)</f>
        <v>0</v>
      </c>
      <c r="BC114">
        <f>SUMIF(RawDataRecovered!$B:$B,$A114,RawDataRecovered!BF:BF)</f>
        <v>0</v>
      </c>
      <c r="BD114">
        <f>SUMIF(RawDataRecovered!$B:$B,$A114,RawDataRecovered!BG:BG)</f>
        <v>0</v>
      </c>
      <c r="BE114">
        <f>SUMIF(RawDataRecovered!$B:$B,$A114,RawDataRecovered!BH:BH)</f>
        <v>1</v>
      </c>
      <c r="BF114">
        <f>SUMIF(RawDataRecovered!$B:$B,$A114,RawDataRecovered!BI:BI)</f>
        <v>0</v>
      </c>
      <c r="BG114">
        <f>SUMIF(RawDataRecovered!$B:$B,$A114,RawDataRecovered!BJ:BJ)</f>
        <v>0</v>
      </c>
      <c r="BH114">
        <f>SUMIF(RawDataRecovered!$B:$B,$A114,RawDataRecovered!BK:BK)</f>
        <v>0</v>
      </c>
      <c r="BI114">
        <f>SUMIF(RawDataRecovered!$B:$B,$A114,RawDataRecovered!BL:BL)</f>
        <v>0</v>
      </c>
      <c r="BJ114">
        <f>SUMIF(RawDataRecovered!$B:$B,$A114,RawDataRecovered!BM:BM)</f>
        <v>0</v>
      </c>
      <c r="BK114">
        <f>SUMIF(RawDataRecovered!$B:$B,$A114,RawDataRecovered!BN:BN)</f>
        <v>0</v>
      </c>
      <c r="BL114">
        <f>SUMIF(RawDataRecovered!$B:$B,$A114,RawDataRecovered!BO:BO)</f>
        <v>0</v>
      </c>
      <c r="BM114">
        <f>SUMIF(RawDataRecovered!$B:$B,$A114,RawDataRecovered!BP:BP)</f>
        <v>0</v>
      </c>
      <c r="BN114">
        <f>SUMIF(RawDataRecovered!$B:$B,$A114,RawDataRecovered!BQ:BQ)</f>
        <v>0</v>
      </c>
      <c r="BO114">
        <f>SUMIF(RawDataRecovered!$B:$B,$A114,RawDataRecovered!BR:BR)</f>
        <v>0</v>
      </c>
      <c r="BP114">
        <f>SUMIF(RawDataRecovered!$B:$B,$A114,RawDataRecovered!BS:BS)</f>
        <v>0</v>
      </c>
      <c r="BQ114">
        <f>SUMIF(RawDataRecovered!$B:$B,$A114,RawDataRecovered!BT:BT)</f>
        <v>0</v>
      </c>
      <c r="BR114">
        <f>SUMIF(RawDataRecovered!$B:$B,$A114,RawDataRecovered!BU:BU)</f>
        <v>0</v>
      </c>
      <c r="BS114">
        <f>SUMIF(RawDataRecovered!$B:$B,$A114,RawDataRecovered!BV:BV)</f>
        <v>0</v>
      </c>
      <c r="BT114">
        <f>SUMIF(RawDataRecovered!$B:$B,$A114,RawDataRecovered!BW:BW)</f>
        <v>0</v>
      </c>
    </row>
    <row r="115" spans="1:72" ht="15" thickBot="1" x14ac:dyDescent="0.35">
      <c r="A115" s="4" t="s">
        <v>447</v>
      </c>
      <c r="B115">
        <f>SUMIF(RawDataRecovered!$B:$B,$A115,RawDataRecovered!E:E)</f>
        <v>0</v>
      </c>
      <c r="C115">
        <f>SUMIF(RawDataRecovered!$B:$B,$A115,RawDataRecovered!F:F)</f>
        <v>0</v>
      </c>
      <c r="D115">
        <f>SUMIF(RawDataRecovered!$B:$B,$A115,RawDataRecovered!G:G)</f>
        <v>0</v>
      </c>
      <c r="E115">
        <f>SUMIF(RawDataRecovered!$B:$B,$A115,RawDataRecovered!H:H)</f>
        <v>0</v>
      </c>
      <c r="F115">
        <f>SUMIF(RawDataRecovered!$B:$B,$A115,RawDataRecovered!I:I)</f>
        <v>0</v>
      </c>
      <c r="G115">
        <f>SUMIF(RawDataRecovered!$B:$B,$A115,RawDataRecovered!J:J)</f>
        <v>0</v>
      </c>
      <c r="H115">
        <f>SUMIF(RawDataRecovered!$B:$B,$A115,RawDataRecovered!K:K)</f>
        <v>0</v>
      </c>
      <c r="I115">
        <f>SUMIF(RawDataRecovered!$B:$B,$A115,RawDataRecovered!L:L)</f>
        <v>0</v>
      </c>
      <c r="J115">
        <f>SUMIF(RawDataRecovered!$B:$B,$A115,RawDataRecovered!M:M)</f>
        <v>0</v>
      </c>
      <c r="K115">
        <f>SUMIF(RawDataRecovered!$B:$B,$A115,RawDataRecovered!N:N)</f>
        <v>0</v>
      </c>
      <c r="L115">
        <f>SUMIF(RawDataRecovered!$B:$B,$A115,RawDataRecovered!O:O)</f>
        <v>0</v>
      </c>
      <c r="M115">
        <f>SUMIF(RawDataRecovered!$B:$B,$A115,RawDataRecovered!P:P)</f>
        <v>0</v>
      </c>
      <c r="N115">
        <f>SUMIF(RawDataRecovered!$B:$B,$A115,RawDataRecovered!Q:Q)</f>
        <v>0</v>
      </c>
      <c r="O115">
        <f>SUMIF(RawDataRecovered!$B:$B,$A115,RawDataRecovered!R:R)</f>
        <v>0</v>
      </c>
      <c r="P115">
        <f>SUMIF(RawDataRecovered!$B:$B,$A115,RawDataRecovered!S:S)</f>
        <v>0</v>
      </c>
      <c r="Q115">
        <f>SUMIF(RawDataRecovered!$B:$B,$A115,RawDataRecovered!T:T)</f>
        <v>0</v>
      </c>
      <c r="R115">
        <f>SUMIF(RawDataRecovered!$B:$B,$A115,RawDataRecovered!U:U)</f>
        <v>0</v>
      </c>
      <c r="S115">
        <f>SUMIF(RawDataRecovered!$B:$B,$A115,RawDataRecovered!V:V)</f>
        <v>0</v>
      </c>
      <c r="T115">
        <f>SUMIF(RawDataRecovered!$B:$B,$A115,RawDataRecovered!W:W)</f>
        <v>0</v>
      </c>
      <c r="U115">
        <f>SUMIF(RawDataRecovered!$B:$B,$A115,RawDataRecovered!X:X)</f>
        <v>0</v>
      </c>
      <c r="V115">
        <f>SUMIF(RawDataRecovered!$B:$B,$A115,RawDataRecovered!Y:Y)</f>
        <v>0</v>
      </c>
      <c r="W115">
        <f>SUMIF(RawDataRecovered!$B:$B,$A115,RawDataRecovered!Z:Z)</f>
        <v>0</v>
      </c>
      <c r="X115">
        <f>SUMIF(RawDataRecovered!$B:$B,$A115,RawDataRecovered!AA:AA)</f>
        <v>0</v>
      </c>
      <c r="Y115">
        <f>SUMIF(RawDataRecovered!$B:$B,$A115,RawDataRecovered!AB:AB)</f>
        <v>0</v>
      </c>
      <c r="Z115">
        <f>SUMIF(RawDataRecovered!$B:$B,$A115,RawDataRecovered!AC:AC)</f>
        <v>0</v>
      </c>
      <c r="AA115">
        <f>SUMIF(RawDataRecovered!$B:$B,$A115,RawDataRecovered!AD:AD)</f>
        <v>0</v>
      </c>
      <c r="AB115">
        <f>SUMIF(RawDataRecovered!$B:$B,$A115,RawDataRecovered!AE:AE)</f>
        <v>0</v>
      </c>
      <c r="AC115">
        <f>SUMIF(RawDataRecovered!$B:$B,$A115,RawDataRecovered!AF:AF)</f>
        <v>0</v>
      </c>
      <c r="AD115">
        <f>SUMIF(RawDataRecovered!$B:$B,$A115,RawDataRecovered!AG:AG)</f>
        <v>0</v>
      </c>
      <c r="AE115">
        <f>SUMIF(RawDataRecovered!$B:$B,$A115,RawDataRecovered!AH:AH)</f>
        <v>0</v>
      </c>
      <c r="AF115">
        <f>SUMIF(RawDataRecovered!$B:$B,$A115,RawDataRecovered!AI:AI)</f>
        <v>0</v>
      </c>
      <c r="AG115">
        <f>SUMIF(RawDataRecovered!$B:$B,$A115,RawDataRecovered!AJ:AJ)</f>
        <v>0</v>
      </c>
      <c r="AH115">
        <f>SUMIF(RawDataRecovered!$B:$B,$A115,RawDataRecovered!AK:AK)</f>
        <v>0</v>
      </c>
      <c r="AI115">
        <f>SUMIF(RawDataRecovered!$B:$B,$A115,RawDataRecovered!AL:AL)</f>
        <v>0</v>
      </c>
      <c r="AJ115">
        <f>SUMIF(RawDataRecovered!$B:$B,$A115,RawDataRecovered!AM:AM)</f>
        <v>0</v>
      </c>
      <c r="AK115">
        <f>SUMIF(RawDataRecovered!$B:$B,$A115,RawDataRecovered!AN:AN)</f>
        <v>0</v>
      </c>
      <c r="AL115">
        <f>SUMIF(RawDataRecovered!$B:$B,$A115,RawDataRecovered!AO:AO)</f>
        <v>0</v>
      </c>
      <c r="AM115">
        <f>SUMIF(RawDataRecovered!$B:$B,$A115,RawDataRecovered!AP:AP)</f>
        <v>0</v>
      </c>
      <c r="AN115">
        <f>SUMIF(RawDataRecovered!$B:$B,$A115,RawDataRecovered!AQ:AQ)</f>
        <v>0</v>
      </c>
      <c r="AO115">
        <f>SUMIF(RawDataRecovered!$B:$B,$A115,RawDataRecovered!AR:AR)</f>
        <v>0</v>
      </c>
      <c r="AP115">
        <f>SUMIF(RawDataRecovered!$B:$B,$A115,RawDataRecovered!AS:AS)</f>
        <v>0</v>
      </c>
      <c r="AQ115">
        <f>SUMIF(RawDataRecovered!$B:$B,$A115,RawDataRecovered!AT:AT)</f>
        <v>0</v>
      </c>
      <c r="AR115">
        <f>SUMIF(RawDataRecovered!$B:$B,$A115,RawDataRecovered!AU:AU)</f>
        <v>0</v>
      </c>
      <c r="AS115">
        <f>SUMIF(RawDataRecovered!$B:$B,$A115,RawDataRecovered!AV:AV)</f>
        <v>0</v>
      </c>
      <c r="AT115">
        <f>SUMIF(RawDataRecovered!$B:$B,$A115,RawDataRecovered!AW:AW)</f>
        <v>0</v>
      </c>
      <c r="AU115">
        <f>SUMIF(RawDataRecovered!$B:$B,$A115,RawDataRecovered!AX:AX)</f>
        <v>0</v>
      </c>
      <c r="AV115">
        <f>SUMIF(RawDataRecovered!$B:$B,$A115,RawDataRecovered!AY:AY)</f>
        <v>0</v>
      </c>
      <c r="AW115">
        <f>SUMIF(RawDataRecovered!$B:$B,$A115,RawDataRecovered!AZ:AZ)</f>
        <v>0</v>
      </c>
      <c r="AX115">
        <f>SUMIF(RawDataRecovered!$B:$B,$A115,RawDataRecovered!BA:BA)</f>
        <v>0</v>
      </c>
      <c r="AY115">
        <f>SUMIF(RawDataRecovered!$B:$B,$A115,RawDataRecovered!BB:BB)</f>
        <v>0</v>
      </c>
      <c r="AZ115">
        <f>SUMIF(RawDataRecovered!$B:$B,$A115,RawDataRecovered!BC:BC)</f>
        <v>0</v>
      </c>
      <c r="BA115">
        <f>SUMIF(RawDataRecovered!$B:$B,$A115,RawDataRecovered!BD:BD)</f>
        <v>0</v>
      </c>
      <c r="BB115">
        <f>SUMIF(RawDataRecovered!$B:$B,$A115,RawDataRecovered!BE:BE)</f>
        <v>0</v>
      </c>
      <c r="BC115">
        <f>SUMIF(RawDataRecovered!$B:$B,$A115,RawDataRecovered!BF:BF)</f>
        <v>0</v>
      </c>
      <c r="BD115">
        <f>SUMIF(RawDataRecovered!$B:$B,$A115,RawDataRecovered!BG:BG)</f>
        <v>0</v>
      </c>
      <c r="BE115">
        <f>SUMIF(RawDataRecovered!$B:$B,$A115,RawDataRecovered!BH:BH)</f>
        <v>0</v>
      </c>
      <c r="BF115">
        <f>SUMIF(RawDataRecovered!$B:$B,$A115,RawDataRecovered!BI:BI)</f>
        <v>0</v>
      </c>
      <c r="BG115">
        <f>SUMIF(RawDataRecovered!$B:$B,$A115,RawDataRecovered!BJ:BJ)</f>
        <v>0</v>
      </c>
      <c r="BH115">
        <f>SUMIF(RawDataRecovered!$B:$B,$A115,RawDataRecovered!BK:BK)</f>
        <v>0</v>
      </c>
      <c r="BI115">
        <f>SUMIF(RawDataRecovered!$B:$B,$A115,RawDataRecovered!BL:BL)</f>
        <v>0</v>
      </c>
      <c r="BJ115">
        <f>SUMIF(RawDataRecovered!$B:$B,$A115,RawDataRecovered!BM:BM)</f>
        <v>0</v>
      </c>
      <c r="BK115">
        <f>SUMIF(RawDataRecovered!$B:$B,$A115,RawDataRecovered!BN:BN)</f>
        <v>0</v>
      </c>
      <c r="BL115">
        <f>SUMIF(RawDataRecovered!$B:$B,$A115,RawDataRecovered!BO:BO)</f>
        <v>0</v>
      </c>
      <c r="BM115">
        <f>SUMIF(RawDataRecovered!$B:$B,$A115,RawDataRecovered!BP:BP)</f>
        <v>0</v>
      </c>
      <c r="BN115">
        <f>SUMIF(RawDataRecovered!$B:$B,$A115,RawDataRecovered!BQ:BQ)</f>
        <v>0</v>
      </c>
      <c r="BO115">
        <f>SUMIF(RawDataRecovered!$B:$B,$A115,RawDataRecovered!BR:BR)</f>
        <v>0</v>
      </c>
      <c r="BP115">
        <f>SUMIF(RawDataRecovered!$B:$B,$A115,RawDataRecovered!BS:BS)</f>
        <v>0</v>
      </c>
      <c r="BQ115">
        <f>SUMIF(RawDataRecovered!$B:$B,$A115,RawDataRecovered!BT:BT)</f>
        <v>0</v>
      </c>
      <c r="BR115">
        <f>SUMIF(RawDataRecovered!$B:$B,$A115,RawDataRecovered!BU:BU)</f>
        <v>0</v>
      </c>
      <c r="BS115">
        <f>SUMIF(RawDataRecovered!$B:$B,$A115,RawDataRecovered!BV:BV)</f>
        <v>0</v>
      </c>
      <c r="BT115">
        <f>SUMIF(RawDataRecovered!$B:$B,$A115,RawDataRecovered!BW:BW)</f>
        <v>0</v>
      </c>
    </row>
    <row r="116" spans="1:72" ht="15" thickBot="1" x14ac:dyDescent="0.35">
      <c r="A116" s="3" t="s">
        <v>444</v>
      </c>
      <c r="B116">
        <f>SUMIF(RawDataRecovered!$B:$B,$A116,RawDataRecovered!E:E)</f>
        <v>0</v>
      </c>
      <c r="C116">
        <f>SUMIF(RawDataRecovered!$B:$B,$A116,RawDataRecovered!F:F)</f>
        <v>0</v>
      </c>
      <c r="D116">
        <f>SUMIF(RawDataRecovered!$B:$B,$A116,RawDataRecovered!G:G)</f>
        <v>0</v>
      </c>
      <c r="E116">
        <f>SUMIF(RawDataRecovered!$B:$B,$A116,RawDataRecovered!H:H)</f>
        <v>0</v>
      </c>
      <c r="F116">
        <f>SUMIF(RawDataRecovered!$B:$B,$A116,RawDataRecovered!I:I)</f>
        <v>0</v>
      </c>
      <c r="G116">
        <f>SUMIF(RawDataRecovered!$B:$B,$A116,RawDataRecovered!J:J)</f>
        <v>0</v>
      </c>
      <c r="H116">
        <f>SUMIF(RawDataRecovered!$B:$B,$A116,RawDataRecovered!K:K)</f>
        <v>0</v>
      </c>
      <c r="I116">
        <f>SUMIF(RawDataRecovered!$B:$B,$A116,RawDataRecovered!L:L)</f>
        <v>0</v>
      </c>
      <c r="J116">
        <f>SUMIF(RawDataRecovered!$B:$B,$A116,RawDataRecovered!M:M)</f>
        <v>0</v>
      </c>
      <c r="K116">
        <f>SUMIF(RawDataRecovered!$B:$B,$A116,RawDataRecovered!N:N)</f>
        <v>0</v>
      </c>
      <c r="L116">
        <f>SUMIF(RawDataRecovered!$B:$B,$A116,RawDataRecovered!O:O)</f>
        <v>0</v>
      </c>
      <c r="M116">
        <f>SUMIF(RawDataRecovered!$B:$B,$A116,RawDataRecovered!P:P)</f>
        <v>0</v>
      </c>
      <c r="N116">
        <f>SUMIF(RawDataRecovered!$B:$B,$A116,RawDataRecovered!Q:Q)</f>
        <v>0</v>
      </c>
      <c r="O116">
        <f>SUMIF(RawDataRecovered!$B:$B,$A116,RawDataRecovered!R:R)</f>
        <v>0</v>
      </c>
      <c r="P116">
        <f>SUMIF(RawDataRecovered!$B:$B,$A116,RawDataRecovered!S:S)</f>
        <v>0</v>
      </c>
      <c r="Q116">
        <f>SUMIF(RawDataRecovered!$B:$B,$A116,RawDataRecovered!T:T)</f>
        <v>0</v>
      </c>
      <c r="R116">
        <f>SUMIF(RawDataRecovered!$B:$B,$A116,RawDataRecovered!U:U)</f>
        <v>0</v>
      </c>
      <c r="S116">
        <f>SUMIF(RawDataRecovered!$B:$B,$A116,RawDataRecovered!V:V)</f>
        <v>0</v>
      </c>
      <c r="T116">
        <f>SUMIF(RawDataRecovered!$B:$B,$A116,RawDataRecovered!W:W)</f>
        <v>0</v>
      </c>
      <c r="U116">
        <f>SUMIF(RawDataRecovered!$B:$B,$A116,RawDataRecovered!X:X)</f>
        <v>0</v>
      </c>
      <c r="V116">
        <f>SUMIF(RawDataRecovered!$B:$B,$A116,RawDataRecovered!Y:Y)</f>
        <v>0</v>
      </c>
      <c r="W116">
        <f>SUMIF(RawDataRecovered!$B:$B,$A116,RawDataRecovered!Z:Z)</f>
        <v>0</v>
      </c>
      <c r="X116">
        <f>SUMIF(RawDataRecovered!$B:$B,$A116,RawDataRecovered!AA:AA)</f>
        <v>0</v>
      </c>
      <c r="Y116">
        <f>SUMIF(RawDataRecovered!$B:$B,$A116,RawDataRecovered!AB:AB)</f>
        <v>0</v>
      </c>
      <c r="Z116">
        <f>SUMIF(RawDataRecovered!$B:$B,$A116,RawDataRecovered!AC:AC)</f>
        <v>0</v>
      </c>
      <c r="AA116">
        <f>SUMIF(RawDataRecovered!$B:$B,$A116,RawDataRecovered!AD:AD)</f>
        <v>0</v>
      </c>
      <c r="AB116">
        <f>SUMIF(RawDataRecovered!$B:$B,$A116,RawDataRecovered!AE:AE)</f>
        <v>0</v>
      </c>
      <c r="AC116">
        <f>SUMIF(RawDataRecovered!$B:$B,$A116,RawDataRecovered!AF:AF)</f>
        <v>0</v>
      </c>
      <c r="AD116">
        <f>SUMIF(RawDataRecovered!$B:$B,$A116,RawDataRecovered!AG:AG)</f>
        <v>0</v>
      </c>
      <c r="AE116">
        <f>SUMIF(RawDataRecovered!$B:$B,$A116,RawDataRecovered!AH:AH)</f>
        <v>0</v>
      </c>
      <c r="AF116">
        <f>SUMIF(RawDataRecovered!$B:$B,$A116,RawDataRecovered!AI:AI)</f>
        <v>0</v>
      </c>
      <c r="AG116">
        <f>SUMIF(RawDataRecovered!$B:$B,$A116,RawDataRecovered!AJ:AJ)</f>
        <v>0</v>
      </c>
      <c r="AH116">
        <f>SUMIF(RawDataRecovered!$B:$B,$A116,RawDataRecovered!AK:AK)</f>
        <v>0</v>
      </c>
      <c r="AI116">
        <f>SUMIF(RawDataRecovered!$B:$B,$A116,RawDataRecovered!AL:AL)</f>
        <v>0</v>
      </c>
      <c r="AJ116">
        <f>SUMIF(RawDataRecovered!$B:$B,$A116,RawDataRecovered!AM:AM)</f>
        <v>0</v>
      </c>
      <c r="AK116">
        <f>SUMIF(RawDataRecovered!$B:$B,$A116,RawDataRecovered!AN:AN)</f>
        <v>0</v>
      </c>
      <c r="AL116">
        <f>SUMIF(RawDataRecovered!$B:$B,$A116,RawDataRecovered!AO:AO)</f>
        <v>0</v>
      </c>
      <c r="AM116">
        <f>SUMIF(RawDataRecovered!$B:$B,$A116,RawDataRecovered!AP:AP)</f>
        <v>0</v>
      </c>
      <c r="AN116">
        <f>SUMIF(RawDataRecovered!$B:$B,$A116,RawDataRecovered!AQ:AQ)</f>
        <v>0</v>
      </c>
      <c r="AO116">
        <f>SUMIF(RawDataRecovered!$B:$B,$A116,RawDataRecovered!AR:AR)</f>
        <v>0</v>
      </c>
      <c r="AP116">
        <f>SUMIF(RawDataRecovered!$B:$B,$A116,RawDataRecovered!AS:AS)</f>
        <v>0</v>
      </c>
      <c r="AQ116">
        <f>SUMIF(RawDataRecovered!$B:$B,$A116,RawDataRecovered!AT:AT)</f>
        <v>0</v>
      </c>
      <c r="AR116">
        <f>SUMIF(RawDataRecovered!$B:$B,$A116,RawDataRecovered!AU:AU)</f>
        <v>0</v>
      </c>
      <c r="AS116">
        <f>SUMIF(RawDataRecovered!$B:$B,$A116,RawDataRecovered!AV:AV)</f>
        <v>0</v>
      </c>
      <c r="AT116">
        <f>SUMIF(RawDataRecovered!$B:$B,$A116,RawDataRecovered!AW:AW)</f>
        <v>0</v>
      </c>
      <c r="AU116">
        <f>SUMIF(RawDataRecovered!$B:$B,$A116,RawDataRecovered!AX:AX)</f>
        <v>0</v>
      </c>
      <c r="AV116">
        <f>SUMIF(RawDataRecovered!$B:$B,$A116,RawDataRecovered!AY:AY)</f>
        <v>0</v>
      </c>
      <c r="AW116">
        <f>SUMIF(RawDataRecovered!$B:$B,$A116,RawDataRecovered!AZ:AZ)</f>
        <v>0</v>
      </c>
      <c r="AX116">
        <f>SUMIF(RawDataRecovered!$B:$B,$A116,RawDataRecovered!BA:BA)</f>
        <v>0</v>
      </c>
      <c r="AY116">
        <f>SUMIF(RawDataRecovered!$B:$B,$A116,RawDataRecovered!BB:BB)</f>
        <v>0</v>
      </c>
      <c r="AZ116">
        <f>SUMIF(RawDataRecovered!$B:$B,$A116,RawDataRecovered!BC:BC)</f>
        <v>0</v>
      </c>
      <c r="BA116">
        <f>SUMIF(RawDataRecovered!$B:$B,$A116,RawDataRecovered!BD:BD)</f>
        <v>0</v>
      </c>
      <c r="BB116">
        <f>SUMIF(RawDataRecovered!$B:$B,$A116,RawDataRecovered!BE:BE)</f>
        <v>0</v>
      </c>
      <c r="BC116">
        <f>SUMIF(RawDataRecovered!$B:$B,$A116,RawDataRecovered!BF:BF)</f>
        <v>0</v>
      </c>
      <c r="BD116">
        <f>SUMIF(RawDataRecovered!$B:$B,$A116,RawDataRecovered!BG:BG)</f>
        <v>0</v>
      </c>
      <c r="BE116">
        <f>SUMIF(RawDataRecovered!$B:$B,$A116,RawDataRecovered!BH:BH)</f>
        <v>0</v>
      </c>
      <c r="BF116">
        <f>SUMIF(RawDataRecovered!$B:$B,$A116,RawDataRecovered!BI:BI)</f>
        <v>0</v>
      </c>
      <c r="BG116">
        <f>SUMIF(RawDataRecovered!$B:$B,$A116,RawDataRecovered!BJ:BJ)</f>
        <v>0</v>
      </c>
      <c r="BH116">
        <f>SUMIF(RawDataRecovered!$B:$B,$A116,RawDataRecovered!BK:BK)</f>
        <v>0</v>
      </c>
      <c r="BI116">
        <f>SUMIF(RawDataRecovered!$B:$B,$A116,RawDataRecovered!BL:BL)</f>
        <v>0</v>
      </c>
      <c r="BJ116">
        <f>SUMIF(RawDataRecovered!$B:$B,$A116,RawDataRecovered!BM:BM)</f>
        <v>0</v>
      </c>
      <c r="BK116">
        <f>SUMIF(RawDataRecovered!$B:$B,$A116,RawDataRecovered!BN:BN)</f>
        <v>0</v>
      </c>
      <c r="BL116">
        <f>SUMIF(RawDataRecovered!$B:$B,$A116,RawDataRecovered!BO:BO)</f>
        <v>0</v>
      </c>
      <c r="BM116">
        <f>SUMIF(RawDataRecovered!$B:$B,$A116,RawDataRecovered!BP:BP)</f>
        <v>0</v>
      </c>
      <c r="BN116">
        <f>SUMIF(RawDataRecovered!$B:$B,$A116,RawDataRecovered!BQ:BQ)</f>
        <v>0</v>
      </c>
      <c r="BO116">
        <f>SUMIF(RawDataRecovered!$B:$B,$A116,RawDataRecovered!BR:BR)</f>
        <v>0</v>
      </c>
      <c r="BP116">
        <f>SUMIF(RawDataRecovered!$B:$B,$A116,RawDataRecovered!BS:BS)</f>
        <v>0</v>
      </c>
      <c r="BQ116">
        <f>SUMIF(RawDataRecovered!$B:$B,$A116,RawDataRecovered!BT:BT)</f>
        <v>0</v>
      </c>
      <c r="BR116">
        <f>SUMIF(RawDataRecovered!$B:$B,$A116,RawDataRecovered!BU:BU)</f>
        <v>0</v>
      </c>
      <c r="BS116">
        <f>SUMIF(RawDataRecovered!$B:$B,$A116,RawDataRecovered!BV:BV)</f>
        <v>0</v>
      </c>
      <c r="BT116">
        <f>SUMIF(RawDataRecovered!$B:$B,$A116,RawDataRecovered!BW:BW)</f>
        <v>0</v>
      </c>
    </row>
    <row r="117" spans="1:72" ht="15" thickBot="1" x14ac:dyDescent="0.35">
      <c r="A117" s="4" t="s">
        <v>449</v>
      </c>
      <c r="B117">
        <f>SUMIF(RawDataRecovered!$B:$B,$A117,RawDataRecovered!E:E)</f>
        <v>0</v>
      </c>
      <c r="C117">
        <f>SUMIF(RawDataRecovered!$B:$B,$A117,RawDataRecovered!F:F)</f>
        <v>0</v>
      </c>
      <c r="D117">
        <f>SUMIF(RawDataRecovered!$B:$B,$A117,RawDataRecovered!G:G)</f>
        <v>0</v>
      </c>
      <c r="E117">
        <f>SUMIF(RawDataRecovered!$B:$B,$A117,RawDataRecovered!H:H)</f>
        <v>0</v>
      </c>
      <c r="F117">
        <f>SUMIF(RawDataRecovered!$B:$B,$A117,RawDataRecovered!I:I)</f>
        <v>0</v>
      </c>
      <c r="G117">
        <f>SUMIF(RawDataRecovered!$B:$B,$A117,RawDataRecovered!J:J)</f>
        <v>0</v>
      </c>
      <c r="H117">
        <f>SUMIF(RawDataRecovered!$B:$B,$A117,RawDataRecovered!K:K)</f>
        <v>0</v>
      </c>
      <c r="I117">
        <f>SUMIF(RawDataRecovered!$B:$B,$A117,RawDataRecovered!L:L)</f>
        <v>0</v>
      </c>
      <c r="J117">
        <f>SUMIF(RawDataRecovered!$B:$B,$A117,RawDataRecovered!M:M)</f>
        <v>0</v>
      </c>
      <c r="K117">
        <f>SUMIF(RawDataRecovered!$B:$B,$A117,RawDataRecovered!N:N)</f>
        <v>0</v>
      </c>
      <c r="L117">
        <f>SUMIF(RawDataRecovered!$B:$B,$A117,RawDataRecovered!O:O)</f>
        <v>0</v>
      </c>
      <c r="M117">
        <f>SUMIF(RawDataRecovered!$B:$B,$A117,RawDataRecovered!P:P)</f>
        <v>0</v>
      </c>
      <c r="N117">
        <f>SUMIF(RawDataRecovered!$B:$B,$A117,RawDataRecovered!Q:Q)</f>
        <v>0</v>
      </c>
      <c r="O117">
        <f>SUMIF(RawDataRecovered!$B:$B,$A117,RawDataRecovered!R:R)</f>
        <v>0</v>
      </c>
      <c r="P117">
        <f>SUMIF(RawDataRecovered!$B:$B,$A117,RawDataRecovered!S:S)</f>
        <v>0</v>
      </c>
      <c r="Q117">
        <f>SUMIF(RawDataRecovered!$B:$B,$A117,RawDataRecovered!T:T)</f>
        <v>0</v>
      </c>
      <c r="R117">
        <f>SUMIF(RawDataRecovered!$B:$B,$A117,RawDataRecovered!U:U)</f>
        <v>0</v>
      </c>
      <c r="S117">
        <f>SUMIF(RawDataRecovered!$B:$B,$A117,RawDataRecovered!V:V)</f>
        <v>0</v>
      </c>
      <c r="T117">
        <f>SUMIF(RawDataRecovered!$B:$B,$A117,RawDataRecovered!W:W)</f>
        <v>0</v>
      </c>
      <c r="U117">
        <f>SUMIF(RawDataRecovered!$B:$B,$A117,RawDataRecovered!X:X)</f>
        <v>0</v>
      </c>
      <c r="V117">
        <f>SUMIF(RawDataRecovered!$B:$B,$A117,RawDataRecovered!Y:Y)</f>
        <v>0</v>
      </c>
      <c r="W117">
        <f>SUMIF(RawDataRecovered!$B:$B,$A117,RawDataRecovered!Z:Z)</f>
        <v>0</v>
      </c>
      <c r="X117">
        <f>SUMIF(RawDataRecovered!$B:$B,$A117,RawDataRecovered!AA:AA)</f>
        <v>0</v>
      </c>
      <c r="Y117">
        <f>SUMIF(RawDataRecovered!$B:$B,$A117,RawDataRecovered!AB:AB)</f>
        <v>0</v>
      </c>
      <c r="Z117">
        <f>SUMIF(RawDataRecovered!$B:$B,$A117,RawDataRecovered!AC:AC)</f>
        <v>0</v>
      </c>
      <c r="AA117">
        <f>SUMIF(RawDataRecovered!$B:$B,$A117,RawDataRecovered!AD:AD)</f>
        <v>0</v>
      </c>
      <c r="AB117">
        <f>SUMIF(RawDataRecovered!$B:$B,$A117,RawDataRecovered!AE:AE)</f>
        <v>0</v>
      </c>
      <c r="AC117">
        <f>SUMIF(RawDataRecovered!$B:$B,$A117,RawDataRecovered!AF:AF)</f>
        <v>0</v>
      </c>
      <c r="AD117">
        <f>SUMIF(RawDataRecovered!$B:$B,$A117,RawDataRecovered!AG:AG)</f>
        <v>0</v>
      </c>
      <c r="AE117">
        <f>SUMIF(RawDataRecovered!$B:$B,$A117,RawDataRecovered!AH:AH)</f>
        <v>0</v>
      </c>
      <c r="AF117">
        <f>SUMIF(RawDataRecovered!$B:$B,$A117,RawDataRecovered!AI:AI)</f>
        <v>0</v>
      </c>
      <c r="AG117">
        <f>SUMIF(RawDataRecovered!$B:$B,$A117,RawDataRecovered!AJ:AJ)</f>
        <v>0</v>
      </c>
      <c r="AH117">
        <f>SUMIF(RawDataRecovered!$B:$B,$A117,RawDataRecovered!AK:AK)</f>
        <v>0</v>
      </c>
      <c r="AI117">
        <f>SUMIF(RawDataRecovered!$B:$B,$A117,RawDataRecovered!AL:AL)</f>
        <v>0</v>
      </c>
      <c r="AJ117">
        <f>SUMIF(RawDataRecovered!$B:$B,$A117,RawDataRecovered!AM:AM)</f>
        <v>0</v>
      </c>
      <c r="AK117">
        <f>SUMIF(RawDataRecovered!$B:$B,$A117,RawDataRecovered!AN:AN)</f>
        <v>0</v>
      </c>
      <c r="AL117">
        <f>SUMIF(RawDataRecovered!$B:$B,$A117,RawDataRecovered!AO:AO)</f>
        <v>0</v>
      </c>
      <c r="AM117">
        <f>SUMIF(RawDataRecovered!$B:$B,$A117,RawDataRecovered!AP:AP)</f>
        <v>0</v>
      </c>
      <c r="AN117">
        <f>SUMIF(RawDataRecovered!$B:$B,$A117,RawDataRecovered!AQ:AQ)</f>
        <v>0</v>
      </c>
      <c r="AO117">
        <f>SUMIF(RawDataRecovered!$B:$B,$A117,RawDataRecovered!AR:AR)</f>
        <v>0</v>
      </c>
      <c r="AP117">
        <f>SUMIF(RawDataRecovered!$B:$B,$A117,RawDataRecovered!AS:AS)</f>
        <v>0</v>
      </c>
      <c r="AQ117">
        <f>SUMIF(RawDataRecovered!$B:$B,$A117,RawDataRecovered!AT:AT)</f>
        <v>0</v>
      </c>
      <c r="AR117">
        <f>SUMIF(RawDataRecovered!$B:$B,$A117,RawDataRecovered!AU:AU)</f>
        <v>0</v>
      </c>
      <c r="AS117">
        <f>SUMIF(RawDataRecovered!$B:$B,$A117,RawDataRecovered!AV:AV)</f>
        <v>0</v>
      </c>
      <c r="AT117">
        <f>SUMIF(RawDataRecovered!$B:$B,$A117,RawDataRecovered!AW:AW)</f>
        <v>0</v>
      </c>
      <c r="AU117">
        <f>SUMIF(RawDataRecovered!$B:$B,$A117,RawDataRecovered!AX:AX)</f>
        <v>0</v>
      </c>
      <c r="AV117">
        <f>SUMIF(RawDataRecovered!$B:$B,$A117,RawDataRecovered!AY:AY)</f>
        <v>0</v>
      </c>
      <c r="AW117">
        <f>SUMIF(RawDataRecovered!$B:$B,$A117,RawDataRecovered!AZ:AZ)</f>
        <v>0</v>
      </c>
      <c r="AX117">
        <f>SUMIF(RawDataRecovered!$B:$B,$A117,RawDataRecovered!BA:BA)</f>
        <v>0</v>
      </c>
      <c r="AY117">
        <f>SUMIF(RawDataRecovered!$B:$B,$A117,RawDataRecovered!BB:BB)</f>
        <v>0</v>
      </c>
      <c r="AZ117">
        <f>SUMIF(RawDataRecovered!$B:$B,$A117,RawDataRecovered!BC:BC)</f>
        <v>0</v>
      </c>
      <c r="BA117">
        <f>SUMIF(RawDataRecovered!$B:$B,$A117,RawDataRecovered!BD:BD)</f>
        <v>0</v>
      </c>
      <c r="BB117">
        <f>SUMIF(RawDataRecovered!$B:$B,$A117,RawDataRecovered!BE:BE)</f>
        <v>0</v>
      </c>
      <c r="BC117">
        <f>SUMIF(RawDataRecovered!$B:$B,$A117,RawDataRecovered!BF:BF)</f>
        <v>0</v>
      </c>
      <c r="BD117">
        <f>SUMIF(RawDataRecovered!$B:$B,$A117,RawDataRecovered!BG:BG)</f>
        <v>0</v>
      </c>
      <c r="BE117">
        <f>SUMIF(RawDataRecovered!$B:$B,$A117,RawDataRecovered!BH:BH)</f>
        <v>0</v>
      </c>
      <c r="BF117">
        <f>SUMIF(RawDataRecovered!$B:$B,$A117,RawDataRecovered!BI:BI)</f>
        <v>0</v>
      </c>
      <c r="BG117">
        <f>SUMIF(RawDataRecovered!$B:$B,$A117,RawDataRecovered!BJ:BJ)</f>
        <v>0</v>
      </c>
      <c r="BH117">
        <f>SUMIF(RawDataRecovered!$B:$B,$A117,RawDataRecovered!BK:BK)</f>
        <v>0</v>
      </c>
      <c r="BI117">
        <f>SUMIF(RawDataRecovered!$B:$B,$A117,RawDataRecovered!BL:BL)</f>
        <v>0</v>
      </c>
      <c r="BJ117">
        <f>SUMIF(RawDataRecovered!$B:$B,$A117,RawDataRecovered!BM:BM)</f>
        <v>0</v>
      </c>
      <c r="BK117">
        <f>SUMIF(RawDataRecovered!$B:$B,$A117,RawDataRecovered!BN:BN)</f>
        <v>0</v>
      </c>
      <c r="BL117">
        <f>SUMIF(RawDataRecovered!$B:$B,$A117,RawDataRecovered!BO:BO)</f>
        <v>0</v>
      </c>
      <c r="BM117">
        <f>SUMIF(RawDataRecovered!$B:$B,$A117,RawDataRecovered!BP:BP)</f>
        <v>0</v>
      </c>
      <c r="BN117">
        <f>SUMIF(RawDataRecovered!$B:$B,$A117,RawDataRecovered!BQ:BQ)</f>
        <v>0</v>
      </c>
      <c r="BO117">
        <f>SUMIF(RawDataRecovered!$B:$B,$A117,RawDataRecovered!BR:BR)</f>
        <v>0</v>
      </c>
      <c r="BP117">
        <f>SUMIF(RawDataRecovered!$B:$B,$A117,RawDataRecovered!BS:BS)</f>
        <v>0</v>
      </c>
      <c r="BQ117">
        <f>SUMIF(RawDataRecovered!$B:$B,$A117,RawDataRecovered!BT:BT)</f>
        <v>0</v>
      </c>
      <c r="BR117">
        <f>SUMIF(RawDataRecovered!$B:$B,$A117,RawDataRecovered!BU:BU)</f>
        <v>0</v>
      </c>
      <c r="BS117">
        <f>SUMIF(RawDataRecovered!$B:$B,$A117,RawDataRecovered!BV:BV)</f>
        <v>0</v>
      </c>
      <c r="BT117">
        <f>SUMIF(RawDataRecovered!$B:$B,$A117,RawDataRecovered!BW:BW)</f>
        <v>0</v>
      </c>
    </row>
    <row r="118" spans="1:72" ht="15" thickBot="1" x14ac:dyDescent="0.35">
      <c r="A118" s="3" t="s">
        <v>439</v>
      </c>
      <c r="B118">
        <f>SUMIF(RawDataRecovered!$B:$B,$A118,RawDataRecovered!E:E)</f>
        <v>0</v>
      </c>
      <c r="C118">
        <f>SUMIF(RawDataRecovered!$B:$B,$A118,RawDataRecovered!F:F)</f>
        <v>0</v>
      </c>
      <c r="D118">
        <f>SUMIF(RawDataRecovered!$B:$B,$A118,RawDataRecovered!G:G)</f>
        <v>0</v>
      </c>
      <c r="E118">
        <f>SUMIF(RawDataRecovered!$B:$B,$A118,RawDataRecovered!H:H)</f>
        <v>0</v>
      </c>
      <c r="F118">
        <f>SUMIF(RawDataRecovered!$B:$B,$A118,RawDataRecovered!I:I)</f>
        <v>0</v>
      </c>
      <c r="G118">
        <f>SUMIF(RawDataRecovered!$B:$B,$A118,RawDataRecovered!J:J)</f>
        <v>0</v>
      </c>
      <c r="H118">
        <f>SUMIF(RawDataRecovered!$B:$B,$A118,RawDataRecovered!K:K)</f>
        <v>0</v>
      </c>
      <c r="I118">
        <f>SUMIF(RawDataRecovered!$B:$B,$A118,RawDataRecovered!L:L)</f>
        <v>0</v>
      </c>
      <c r="J118">
        <f>SUMIF(RawDataRecovered!$B:$B,$A118,RawDataRecovered!M:M)</f>
        <v>0</v>
      </c>
      <c r="K118">
        <f>SUMIF(RawDataRecovered!$B:$B,$A118,RawDataRecovered!N:N)</f>
        <v>0</v>
      </c>
      <c r="L118">
        <f>SUMIF(RawDataRecovered!$B:$B,$A118,RawDataRecovered!O:O)</f>
        <v>0</v>
      </c>
      <c r="M118">
        <f>SUMIF(RawDataRecovered!$B:$B,$A118,RawDataRecovered!P:P)</f>
        <v>0</v>
      </c>
      <c r="N118">
        <f>SUMIF(RawDataRecovered!$B:$B,$A118,RawDataRecovered!Q:Q)</f>
        <v>0</v>
      </c>
      <c r="O118">
        <f>SUMIF(RawDataRecovered!$B:$B,$A118,RawDataRecovered!R:R)</f>
        <v>0</v>
      </c>
      <c r="P118">
        <f>SUMIF(RawDataRecovered!$B:$B,$A118,RawDataRecovered!S:S)</f>
        <v>0</v>
      </c>
      <c r="Q118">
        <f>SUMIF(RawDataRecovered!$B:$B,$A118,RawDataRecovered!T:T)</f>
        <v>0</v>
      </c>
      <c r="R118">
        <f>SUMIF(RawDataRecovered!$B:$B,$A118,RawDataRecovered!U:U)</f>
        <v>0</v>
      </c>
      <c r="S118">
        <f>SUMIF(RawDataRecovered!$B:$B,$A118,RawDataRecovered!V:V)</f>
        <v>0</v>
      </c>
      <c r="T118">
        <f>SUMIF(RawDataRecovered!$B:$B,$A118,RawDataRecovered!W:W)</f>
        <v>0</v>
      </c>
      <c r="U118">
        <f>SUMIF(RawDataRecovered!$B:$B,$A118,RawDataRecovered!X:X)</f>
        <v>0</v>
      </c>
      <c r="V118">
        <f>SUMIF(RawDataRecovered!$B:$B,$A118,RawDataRecovered!Y:Y)</f>
        <v>0</v>
      </c>
      <c r="W118">
        <f>SUMIF(RawDataRecovered!$B:$B,$A118,RawDataRecovered!Z:Z)</f>
        <v>0</v>
      </c>
      <c r="X118">
        <f>SUMIF(RawDataRecovered!$B:$B,$A118,RawDataRecovered!AA:AA)</f>
        <v>0</v>
      </c>
      <c r="Y118">
        <f>SUMIF(RawDataRecovered!$B:$B,$A118,RawDataRecovered!AB:AB)</f>
        <v>0</v>
      </c>
      <c r="Z118">
        <f>SUMIF(RawDataRecovered!$B:$B,$A118,RawDataRecovered!AC:AC)</f>
        <v>0</v>
      </c>
      <c r="AA118">
        <f>SUMIF(RawDataRecovered!$B:$B,$A118,RawDataRecovered!AD:AD)</f>
        <v>0</v>
      </c>
      <c r="AB118">
        <f>SUMIF(RawDataRecovered!$B:$B,$A118,RawDataRecovered!AE:AE)</f>
        <v>0</v>
      </c>
      <c r="AC118">
        <f>SUMIF(RawDataRecovered!$B:$B,$A118,RawDataRecovered!AF:AF)</f>
        <v>0</v>
      </c>
      <c r="AD118">
        <f>SUMIF(RawDataRecovered!$B:$B,$A118,RawDataRecovered!AG:AG)</f>
        <v>0</v>
      </c>
      <c r="AE118">
        <f>SUMIF(RawDataRecovered!$B:$B,$A118,RawDataRecovered!AH:AH)</f>
        <v>0</v>
      </c>
      <c r="AF118">
        <f>SUMIF(RawDataRecovered!$B:$B,$A118,RawDataRecovered!AI:AI)</f>
        <v>0</v>
      </c>
      <c r="AG118">
        <f>SUMIF(RawDataRecovered!$B:$B,$A118,RawDataRecovered!AJ:AJ)</f>
        <v>0</v>
      </c>
      <c r="AH118">
        <f>SUMIF(RawDataRecovered!$B:$B,$A118,RawDataRecovered!AK:AK)</f>
        <v>0</v>
      </c>
      <c r="AI118">
        <f>SUMIF(RawDataRecovered!$B:$B,$A118,RawDataRecovered!AL:AL)</f>
        <v>0</v>
      </c>
      <c r="AJ118">
        <f>SUMIF(RawDataRecovered!$B:$B,$A118,RawDataRecovered!AM:AM)</f>
        <v>0</v>
      </c>
      <c r="AK118">
        <f>SUMIF(RawDataRecovered!$B:$B,$A118,RawDataRecovered!AN:AN)</f>
        <v>0</v>
      </c>
      <c r="AL118">
        <f>SUMIF(RawDataRecovered!$B:$B,$A118,RawDataRecovered!AO:AO)</f>
        <v>0</v>
      </c>
      <c r="AM118">
        <f>SUMIF(RawDataRecovered!$B:$B,$A118,RawDataRecovered!AP:AP)</f>
        <v>0</v>
      </c>
      <c r="AN118">
        <f>SUMIF(RawDataRecovered!$B:$B,$A118,RawDataRecovered!AQ:AQ)</f>
        <v>0</v>
      </c>
      <c r="AO118">
        <f>SUMIF(RawDataRecovered!$B:$B,$A118,RawDataRecovered!AR:AR)</f>
        <v>0</v>
      </c>
      <c r="AP118">
        <f>SUMIF(RawDataRecovered!$B:$B,$A118,RawDataRecovered!AS:AS)</f>
        <v>0</v>
      </c>
      <c r="AQ118">
        <f>SUMIF(RawDataRecovered!$B:$B,$A118,RawDataRecovered!AT:AT)</f>
        <v>0</v>
      </c>
      <c r="AR118">
        <f>SUMIF(RawDataRecovered!$B:$B,$A118,RawDataRecovered!AU:AU)</f>
        <v>0</v>
      </c>
      <c r="AS118">
        <f>SUMIF(RawDataRecovered!$B:$B,$A118,RawDataRecovered!AV:AV)</f>
        <v>0</v>
      </c>
      <c r="AT118">
        <f>SUMIF(RawDataRecovered!$B:$B,$A118,RawDataRecovered!AW:AW)</f>
        <v>0</v>
      </c>
      <c r="AU118">
        <f>SUMIF(RawDataRecovered!$B:$B,$A118,RawDataRecovered!AX:AX)</f>
        <v>0</v>
      </c>
      <c r="AV118">
        <f>SUMIF(RawDataRecovered!$B:$B,$A118,RawDataRecovered!AY:AY)</f>
        <v>0</v>
      </c>
      <c r="AW118">
        <f>SUMIF(RawDataRecovered!$B:$B,$A118,RawDataRecovered!AZ:AZ)</f>
        <v>0</v>
      </c>
      <c r="AX118">
        <f>SUMIF(RawDataRecovered!$B:$B,$A118,RawDataRecovered!BA:BA)</f>
        <v>0</v>
      </c>
      <c r="AY118">
        <f>SUMIF(RawDataRecovered!$B:$B,$A118,RawDataRecovered!BB:BB)</f>
        <v>0</v>
      </c>
      <c r="AZ118">
        <f>SUMIF(RawDataRecovered!$B:$B,$A118,RawDataRecovered!BC:BC)</f>
        <v>0</v>
      </c>
      <c r="BA118">
        <f>SUMIF(RawDataRecovered!$B:$B,$A118,RawDataRecovered!BD:BD)</f>
        <v>0</v>
      </c>
      <c r="BB118">
        <f>SUMIF(RawDataRecovered!$B:$B,$A118,RawDataRecovered!BE:BE)</f>
        <v>0</v>
      </c>
      <c r="BC118">
        <f>SUMIF(RawDataRecovered!$B:$B,$A118,RawDataRecovered!BF:BF)</f>
        <v>0</v>
      </c>
      <c r="BD118">
        <f>SUMIF(RawDataRecovered!$B:$B,$A118,RawDataRecovered!BG:BG)</f>
        <v>0</v>
      </c>
      <c r="BE118">
        <f>SUMIF(RawDataRecovered!$B:$B,$A118,RawDataRecovered!BH:BH)</f>
        <v>0</v>
      </c>
      <c r="BF118">
        <f>SUMIF(RawDataRecovered!$B:$B,$A118,RawDataRecovered!BI:BI)</f>
        <v>0</v>
      </c>
      <c r="BG118">
        <f>SUMIF(RawDataRecovered!$B:$B,$A118,RawDataRecovered!BJ:BJ)</f>
        <v>0</v>
      </c>
      <c r="BH118">
        <f>SUMIF(RawDataRecovered!$B:$B,$A118,RawDataRecovered!BK:BK)</f>
        <v>0</v>
      </c>
      <c r="BI118">
        <f>SUMIF(RawDataRecovered!$B:$B,$A118,RawDataRecovered!BL:BL)</f>
        <v>0</v>
      </c>
      <c r="BJ118">
        <f>SUMIF(RawDataRecovered!$B:$B,$A118,RawDataRecovered!BM:BM)</f>
        <v>0</v>
      </c>
      <c r="BK118">
        <f>SUMIF(RawDataRecovered!$B:$B,$A118,RawDataRecovered!BN:BN)</f>
        <v>0</v>
      </c>
      <c r="BL118">
        <f>SUMIF(RawDataRecovered!$B:$B,$A118,RawDataRecovered!BO:BO)</f>
        <v>0</v>
      </c>
      <c r="BM118">
        <f>SUMIF(RawDataRecovered!$B:$B,$A118,RawDataRecovered!BP:BP)</f>
        <v>0</v>
      </c>
      <c r="BN118">
        <f>SUMIF(RawDataRecovered!$B:$B,$A118,RawDataRecovered!BQ:BQ)</f>
        <v>0</v>
      </c>
      <c r="BO118">
        <f>SUMIF(RawDataRecovered!$B:$B,$A118,RawDataRecovered!BR:BR)</f>
        <v>0</v>
      </c>
      <c r="BP118">
        <f>SUMIF(RawDataRecovered!$B:$B,$A118,RawDataRecovered!BS:BS)</f>
        <v>0</v>
      </c>
      <c r="BQ118">
        <f>SUMIF(RawDataRecovered!$B:$B,$A118,RawDataRecovered!BT:BT)</f>
        <v>0</v>
      </c>
      <c r="BR118">
        <f>SUMIF(RawDataRecovered!$B:$B,$A118,RawDataRecovered!BU:BU)</f>
        <v>0</v>
      </c>
      <c r="BS118">
        <f>SUMIF(RawDataRecovered!$B:$B,$A118,RawDataRecovered!BV:BV)</f>
        <v>0</v>
      </c>
      <c r="BT118">
        <f>SUMIF(RawDataRecovered!$B:$B,$A118,RawDataRecovered!BW:BW)</f>
        <v>0</v>
      </c>
    </row>
    <row r="119" spans="1:72" ht="15" thickBot="1" x14ac:dyDescent="0.35">
      <c r="A119" s="3" t="s">
        <v>308</v>
      </c>
      <c r="B119">
        <f>SUMIF(RawDataRecovered!$B:$B,$A119,RawDataRecovered!E:E)</f>
        <v>0</v>
      </c>
      <c r="C119">
        <f>SUMIF(RawDataRecovered!$B:$B,$A119,RawDataRecovered!F:F)</f>
        <v>0</v>
      </c>
      <c r="D119">
        <f>SUMIF(RawDataRecovered!$B:$B,$A119,RawDataRecovered!G:G)</f>
        <v>0</v>
      </c>
      <c r="E119">
        <f>SUMIF(RawDataRecovered!$B:$B,$A119,RawDataRecovered!H:H)</f>
        <v>0</v>
      </c>
      <c r="F119">
        <f>SUMIF(RawDataRecovered!$B:$B,$A119,RawDataRecovered!I:I)</f>
        <v>0</v>
      </c>
      <c r="G119">
        <f>SUMIF(RawDataRecovered!$B:$B,$A119,RawDataRecovered!J:J)</f>
        <v>0</v>
      </c>
      <c r="H119">
        <f>SUMIF(RawDataRecovered!$B:$B,$A119,RawDataRecovered!K:K)</f>
        <v>0</v>
      </c>
      <c r="I119">
        <f>SUMIF(RawDataRecovered!$B:$B,$A119,RawDataRecovered!L:L)</f>
        <v>0</v>
      </c>
      <c r="J119">
        <f>SUMIF(RawDataRecovered!$B:$B,$A119,RawDataRecovered!M:M)</f>
        <v>0</v>
      </c>
      <c r="K119">
        <f>SUMIF(RawDataRecovered!$B:$B,$A119,RawDataRecovered!N:N)</f>
        <v>0</v>
      </c>
      <c r="L119">
        <f>SUMIF(RawDataRecovered!$B:$B,$A119,RawDataRecovered!O:O)</f>
        <v>0</v>
      </c>
      <c r="M119">
        <f>SUMIF(RawDataRecovered!$B:$B,$A119,RawDataRecovered!P:P)</f>
        <v>0</v>
      </c>
      <c r="N119">
        <f>SUMIF(RawDataRecovered!$B:$B,$A119,RawDataRecovered!Q:Q)</f>
        <v>0</v>
      </c>
      <c r="O119">
        <f>SUMIF(RawDataRecovered!$B:$B,$A119,RawDataRecovered!R:R)</f>
        <v>0</v>
      </c>
      <c r="P119">
        <f>SUMIF(RawDataRecovered!$B:$B,$A119,RawDataRecovered!S:S)</f>
        <v>0</v>
      </c>
      <c r="Q119">
        <f>SUMIF(RawDataRecovered!$B:$B,$A119,RawDataRecovered!T:T)</f>
        <v>0</v>
      </c>
      <c r="R119">
        <f>SUMIF(RawDataRecovered!$B:$B,$A119,RawDataRecovered!U:U)</f>
        <v>0</v>
      </c>
      <c r="S119">
        <f>SUMIF(RawDataRecovered!$B:$B,$A119,RawDataRecovered!V:V)</f>
        <v>0</v>
      </c>
      <c r="T119">
        <f>SUMIF(RawDataRecovered!$B:$B,$A119,RawDataRecovered!W:W)</f>
        <v>0</v>
      </c>
      <c r="U119">
        <f>SUMIF(RawDataRecovered!$B:$B,$A119,RawDataRecovered!X:X)</f>
        <v>0</v>
      </c>
      <c r="V119">
        <f>SUMIF(RawDataRecovered!$B:$B,$A119,RawDataRecovered!Y:Y)</f>
        <v>0</v>
      </c>
      <c r="W119">
        <f>SUMIF(RawDataRecovered!$B:$B,$A119,RawDataRecovered!Z:Z)</f>
        <v>0</v>
      </c>
      <c r="X119">
        <f>SUMIF(RawDataRecovered!$B:$B,$A119,RawDataRecovered!AA:AA)</f>
        <v>0</v>
      </c>
      <c r="Y119">
        <f>SUMIF(RawDataRecovered!$B:$B,$A119,RawDataRecovered!AB:AB)</f>
        <v>0</v>
      </c>
      <c r="Z119">
        <f>SUMIF(RawDataRecovered!$B:$B,$A119,RawDataRecovered!AC:AC)</f>
        <v>0</v>
      </c>
      <c r="AA119">
        <f>SUMIF(RawDataRecovered!$B:$B,$A119,RawDataRecovered!AD:AD)</f>
        <v>0</v>
      </c>
      <c r="AB119">
        <f>SUMIF(RawDataRecovered!$B:$B,$A119,RawDataRecovered!AE:AE)</f>
        <v>0</v>
      </c>
      <c r="AC119">
        <f>SUMIF(RawDataRecovered!$B:$B,$A119,RawDataRecovered!AF:AF)</f>
        <v>0</v>
      </c>
      <c r="AD119">
        <f>SUMIF(RawDataRecovered!$B:$B,$A119,RawDataRecovered!AG:AG)</f>
        <v>0</v>
      </c>
      <c r="AE119">
        <f>SUMIF(RawDataRecovered!$B:$B,$A119,RawDataRecovered!AH:AH)</f>
        <v>0</v>
      </c>
      <c r="AF119">
        <f>SUMIF(RawDataRecovered!$B:$B,$A119,RawDataRecovered!AI:AI)</f>
        <v>0</v>
      </c>
      <c r="AG119">
        <f>SUMIF(RawDataRecovered!$B:$B,$A119,RawDataRecovered!AJ:AJ)</f>
        <v>0</v>
      </c>
      <c r="AH119">
        <f>SUMIF(RawDataRecovered!$B:$B,$A119,RawDataRecovered!AK:AK)</f>
        <v>0</v>
      </c>
      <c r="AI119">
        <f>SUMIF(RawDataRecovered!$B:$B,$A119,RawDataRecovered!AL:AL)</f>
        <v>0</v>
      </c>
      <c r="AJ119">
        <f>SUMIF(RawDataRecovered!$B:$B,$A119,RawDataRecovered!AM:AM)</f>
        <v>0</v>
      </c>
      <c r="AK119">
        <f>SUMIF(RawDataRecovered!$B:$B,$A119,RawDataRecovered!AN:AN)</f>
        <v>0</v>
      </c>
      <c r="AL119">
        <f>SUMIF(RawDataRecovered!$B:$B,$A119,RawDataRecovered!AO:AO)</f>
        <v>0</v>
      </c>
      <c r="AM119">
        <f>SUMIF(RawDataRecovered!$B:$B,$A119,RawDataRecovered!AP:AP)</f>
        <v>0</v>
      </c>
      <c r="AN119">
        <f>SUMIF(RawDataRecovered!$B:$B,$A119,RawDataRecovered!AQ:AQ)</f>
        <v>0</v>
      </c>
      <c r="AO119">
        <f>SUMIF(RawDataRecovered!$B:$B,$A119,RawDataRecovered!AR:AR)</f>
        <v>0</v>
      </c>
      <c r="AP119">
        <f>SUMIF(RawDataRecovered!$B:$B,$A119,RawDataRecovered!AS:AS)</f>
        <v>0</v>
      </c>
      <c r="AQ119">
        <f>SUMIF(RawDataRecovered!$B:$B,$A119,RawDataRecovered!AT:AT)</f>
        <v>0</v>
      </c>
      <c r="AR119">
        <f>SUMIF(RawDataRecovered!$B:$B,$A119,RawDataRecovered!AU:AU)</f>
        <v>0</v>
      </c>
      <c r="AS119">
        <f>SUMIF(RawDataRecovered!$B:$B,$A119,RawDataRecovered!AV:AV)</f>
        <v>0</v>
      </c>
      <c r="AT119">
        <f>SUMIF(RawDataRecovered!$B:$B,$A119,RawDataRecovered!AW:AW)</f>
        <v>0</v>
      </c>
      <c r="AU119">
        <f>SUMIF(RawDataRecovered!$B:$B,$A119,RawDataRecovered!AX:AX)</f>
        <v>0</v>
      </c>
      <c r="AV119">
        <f>SUMIF(RawDataRecovered!$B:$B,$A119,RawDataRecovered!AY:AY)</f>
        <v>0</v>
      </c>
      <c r="AW119">
        <f>SUMIF(RawDataRecovered!$B:$B,$A119,RawDataRecovered!AZ:AZ)</f>
        <v>0</v>
      </c>
      <c r="AX119">
        <f>SUMIF(RawDataRecovered!$B:$B,$A119,RawDataRecovered!BA:BA)</f>
        <v>0</v>
      </c>
      <c r="AY119">
        <f>SUMIF(RawDataRecovered!$B:$B,$A119,RawDataRecovered!BB:BB)</f>
        <v>0</v>
      </c>
      <c r="AZ119">
        <f>SUMIF(RawDataRecovered!$B:$B,$A119,RawDataRecovered!BC:BC)</f>
        <v>0</v>
      </c>
      <c r="BA119">
        <f>SUMIF(RawDataRecovered!$B:$B,$A119,RawDataRecovered!BD:BD)</f>
        <v>0</v>
      </c>
      <c r="BB119">
        <f>SUMIF(RawDataRecovered!$B:$B,$A119,RawDataRecovered!BE:BE)</f>
        <v>0</v>
      </c>
      <c r="BC119">
        <f>SUMIF(RawDataRecovered!$B:$B,$A119,RawDataRecovered!BF:BF)</f>
        <v>0</v>
      </c>
      <c r="BD119">
        <f>SUMIF(RawDataRecovered!$B:$B,$A119,RawDataRecovered!BG:BG)</f>
        <v>0</v>
      </c>
      <c r="BE119">
        <f>SUMIF(RawDataRecovered!$B:$B,$A119,RawDataRecovered!BH:BH)</f>
        <v>0</v>
      </c>
      <c r="BF119">
        <f>SUMIF(RawDataRecovered!$B:$B,$A119,RawDataRecovered!BI:BI)</f>
        <v>0</v>
      </c>
      <c r="BG119">
        <f>SUMIF(RawDataRecovered!$B:$B,$A119,RawDataRecovered!BJ:BJ)</f>
        <v>0</v>
      </c>
      <c r="BH119">
        <f>SUMIF(RawDataRecovered!$B:$B,$A119,RawDataRecovered!BK:BK)</f>
        <v>0</v>
      </c>
      <c r="BI119">
        <f>SUMIF(RawDataRecovered!$B:$B,$A119,RawDataRecovered!BL:BL)</f>
        <v>0</v>
      </c>
      <c r="BJ119">
        <f>SUMIF(RawDataRecovered!$B:$B,$A119,RawDataRecovered!BM:BM)</f>
        <v>0</v>
      </c>
      <c r="BK119">
        <f>SUMIF(RawDataRecovered!$B:$B,$A119,RawDataRecovered!BN:BN)</f>
        <v>0</v>
      </c>
      <c r="BL119">
        <f>SUMIF(RawDataRecovered!$B:$B,$A119,RawDataRecovered!BO:BO)</f>
        <v>0</v>
      </c>
      <c r="BM119">
        <f>SUMIF(RawDataRecovered!$B:$B,$A119,RawDataRecovered!BP:BP)</f>
        <v>0</v>
      </c>
      <c r="BN119">
        <f>SUMIF(RawDataRecovered!$B:$B,$A119,RawDataRecovered!BQ:BQ)</f>
        <v>0</v>
      </c>
      <c r="BO119">
        <f>SUMIF(RawDataRecovered!$B:$B,$A119,RawDataRecovered!BR:BR)</f>
        <v>0</v>
      </c>
      <c r="BP119">
        <f>SUMIF(RawDataRecovered!$B:$B,$A119,RawDataRecovered!BS:BS)</f>
        <v>0</v>
      </c>
      <c r="BQ119">
        <f>SUMIF(RawDataRecovered!$B:$B,$A119,RawDataRecovered!BT:BT)</f>
        <v>0</v>
      </c>
      <c r="BR119">
        <f>SUMIF(RawDataRecovered!$B:$B,$A119,RawDataRecovered!BU:BU)</f>
        <v>0</v>
      </c>
      <c r="BS119">
        <f>SUMIF(RawDataRecovered!$B:$B,$A119,RawDataRecovered!BV:BV)</f>
        <v>0</v>
      </c>
      <c r="BT119">
        <f>SUMIF(RawDataRecovered!$B:$B,$A119,RawDataRecovered!BW:BW)</f>
        <v>0</v>
      </c>
    </row>
    <row r="120" spans="1:72" ht="15" thickBot="1" x14ac:dyDescent="0.35">
      <c r="A120" s="4" t="s">
        <v>152</v>
      </c>
      <c r="B120">
        <f>SUMIF(RawDataRecovered!$B:$B,$A120,RawDataRecovered!E:E)</f>
        <v>0</v>
      </c>
      <c r="C120">
        <f>SUMIF(RawDataRecovered!$B:$B,$A120,RawDataRecovered!F:F)</f>
        <v>0</v>
      </c>
      <c r="D120">
        <f>SUMIF(RawDataRecovered!$B:$B,$A120,RawDataRecovered!G:G)</f>
        <v>0</v>
      </c>
      <c r="E120">
        <f>SUMIF(RawDataRecovered!$B:$B,$A120,RawDataRecovered!H:H)</f>
        <v>0</v>
      </c>
      <c r="F120">
        <f>SUMIF(RawDataRecovered!$B:$B,$A120,RawDataRecovered!I:I)</f>
        <v>0</v>
      </c>
      <c r="G120">
        <f>SUMIF(RawDataRecovered!$B:$B,$A120,RawDataRecovered!J:J)</f>
        <v>0</v>
      </c>
      <c r="H120">
        <f>SUMIF(RawDataRecovered!$B:$B,$A120,RawDataRecovered!K:K)</f>
        <v>0</v>
      </c>
      <c r="I120">
        <f>SUMIF(RawDataRecovered!$B:$B,$A120,RawDataRecovered!L:L)</f>
        <v>0</v>
      </c>
      <c r="J120">
        <f>SUMIF(RawDataRecovered!$B:$B,$A120,RawDataRecovered!M:M)</f>
        <v>0</v>
      </c>
      <c r="K120">
        <f>SUMIF(RawDataRecovered!$B:$B,$A120,RawDataRecovered!N:N)</f>
        <v>0</v>
      </c>
      <c r="L120">
        <f>SUMIF(RawDataRecovered!$B:$B,$A120,RawDataRecovered!O:O)</f>
        <v>0</v>
      </c>
      <c r="M120">
        <f>SUMIF(RawDataRecovered!$B:$B,$A120,RawDataRecovered!P:P)</f>
        <v>0</v>
      </c>
      <c r="N120">
        <f>SUMIF(RawDataRecovered!$B:$B,$A120,RawDataRecovered!Q:Q)</f>
        <v>0</v>
      </c>
      <c r="O120">
        <f>SUMIF(RawDataRecovered!$B:$B,$A120,RawDataRecovered!R:R)</f>
        <v>0</v>
      </c>
      <c r="P120">
        <f>SUMIF(RawDataRecovered!$B:$B,$A120,RawDataRecovered!S:S)</f>
        <v>0</v>
      </c>
      <c r="Q120">
        <f>SUMIF(RawDataRecovered!$B:$B,$A120,RawDataRecovered!T:T)</f>
        <v>0</v>
      </c>
      <c r="R120">
        <f>SUMIF(RawDataRecovered!$B:$B,$A120,RawDataRecovered!U:U)</f>
        <v>0</v>
      </c>
      <c r="S120">
        <f>SUMIF(RawDataRecovered!$B:$B,$A120,RawDataRecovered!V:V)</f>
        <v>0</v>
      </c>
      <c r="T120">
        <f>SUMIF(RawDataRecovered!$B:$B,$A120,RawDataRecovered!W:W)</f>
        <v>0</v>
      </c>
      <c r="U120">
        <f>SUMIF(RawDataRecovered!$B:$B,$A120,RawDataRecovered!X:X)</f>
        <v>0</v>
      </c>
      <c r="V120">
        <f>SUMIF(RawDataRecovered!$B:$B,$A120,RawDataRecovered!Y:Y)</f>
        <v>0</v>
      </c>
      <c r="W120">
        <f>SUMIF(RawDataRecovered!$B:$B,$A120,RawDataRecovered!Z:Z)</f>
        <v>0</v>
      </c>
      <c r="X120">
        <f>SUMIF(RawDataRecovered!$B:$B,$A120,RawDataRecovered!AA:AA)</f>
        <v>0</v>
      </c>
      <c r="Y120">
        <f>SUMIF(RawDataRecovered!$B:$B,$A120,RawDataRecovered!AB:AB)</f>
        <v>0</v>
      </c>
      <c r="Z120">
        <f>SUMIF(RawDataRecovered!$B:$B,$A120,RawDataRecovered!AC:AC)</f>
        <v>0</v>
      </c>
      <c r="AA120">
        <f>SUMIF(RawDataRecovered!$B:$B,$A120,RawDataRecovered!AD:AD)</f>
        <v>0</v>
      </c>
      <c r="AB120">
        <f>SUMIF(RawDataRecovered!$B:$B,$A120,RawDataRecovered!AE:AE)</f>
        <v>0</v>
      </c>
      <c r="AC120">
        <f>SUMIF(RawDataRecovered!$B:$B,$A120,RawDataRecovered!AF:AF)</f>
        <v>0</v>
      </c>
      <c r="AD120">
        <f>SUMIF(RawDataRecovered!$B:$B,$A120,RawDataRecovered!AG:AG)</f>
        <v>0</v>
      </c>
      <c r="AE120">
        <f>SUMIF(RawDataRecovered!$B:$B,$A120,RawDataRecovered!AH:AH)</f>
        <v>0</v>
      </c>
      <c r="AF120">
        <f>SUMIF(RawDataRecovered!$B:$B,$A120,RawDataRecovered!AI:AI)</f>
        <v>0</v>
      </c>
      <c r="AG120">
        <f>SUMIF(RawDataRecovered!$B:$B,$A120,RawDataRecovered!AJ:AJ)</f>
        <v>0</v>
      </c>
      <c r="AH120">
        <f>SUMIF(RawDataRecovered!$B:$B,$A120,RawDataRecovered!AK:AK)</f>
        <v>0</v>
      </c>
      <c r="AI120">
        <f>SUMIF(RawDataRecovered!$B:$B,$A120,RawDataRecovered!AL:AL)</f>
        <v>0</v>
      </c>
      <c r="AJ120">
        <f>SUMIF(RawDataRecovered!$B:$B,$A120,RawDataRecovered!AM:AM)</f>
        <v>0</v>
      </c>
      <c r="AK120">
        <f>SUMIF(RawDataRecovered!$B:$B,$A120,RawDataRecovered!AN:AN)</f>
        <v>0</v>
      </c>
      <c r="AL120">
        <f>SUMIF(RawDataRecovered!$B:$B,$A120,RawDataRecovered!AO:AO)</f>
        <v>0</v>
      </c>
      <c r="AM120">
        <f>SUMIF(RawDataRecovered!$B:$B,$A120,RawDataRecovered!AP:AP)</f>
        <v>0</v>
      </c>
      <c r="AN120">
        <f>SUMIF(RawDataRecovered!$B:$B,$A120,RawDataRecovered!AQ:AQ)</f>
        <v>0</v>
      </c>
      <c r="AO120">
        <f>SUMIF(RawDataRecovered!$B:$B,$A120,RawDataRecovered!AR:AR)</f>
        <v>0</v>
      </c>
      <c r="AP120">
        <f>SUMIF(RawDataRecovered!$B:$B,$A120,RawDataRecovered!AS:AS)</f>
        <v>0</v>
      </c>
      <c r="AQ120">
        <f>SUMIF(RawDataRecovered!$B:$B,$A120,RawDataRecovered!AT:AT)</f>
        <v>0</v>
      </c>
      <c r="AR120">
        <f>SUMIF(RawDataRecovered!$B:$B,$A120,RawDataRecovered!AU:AU)</f>
        <v>0</v>
      </c>
      <c r="AS120">
        <f>SUMIF(RawDataRecovered!$B:$B,$A120,RawDataRecovered!AV:AV)</f>
        <v>0</v>
      </c>
      <c r="AT120">
        <f>SUMIF(RawDataRecovered!$B:$B,$A120,RawDataRecovered!AW:AW)</f>
        <v>0</v>
      </c>
      <c r="AU120">
        <f>SUMIF(RawDataRecovered!$B:$B,$A120,RawDataRecovered!AX:AX)</f>
        <v>0</v>
      </c>
      <c r="AV120">
        <f>SUMIF(RawDataRecovered!$B:$B,$A120,RawDataRecovered!AY:AY)</f>
        <v>0</v>
      </c>
      <c r="AW120">
        <f>SUMIF(RawDataRecovered!$B:$B,$A120,RawDataRecovered!AZ:AZ)</f>
        <v>0</v>
      </c>
      <c r="AX120">
        <f>SUMIF(RawDataRecovered!$B:$B,$A120,RawDataRecovered!BA:BA)</f>
        <v>0</v>
      </c>
      <c r="AY120">
        <f>SUMIF(RawDataRecovered!$B:$B,$A120,RawDataRecovered!BB:BB)</f>
        <v>0</v>
      </c>
      <c r="AZ120">
        <f>SUMIF(RawDataRecovered!$B:$B,$A120,RawDataRecovered!BC:BC)</f>
        <v>0</v>
      </c>
      <c r="BA120">
        <f>SUMIF(RawDataRecovered!$B:$B,$A120,RawDataRecovered!BD:BD)</f>
        <v>1</v>
      </c>
      <c r="BB120">
        <f>SUMIF(RawDataRecovered!$B:$B,$A120,RawDataRecovered!BE:BE)</f>
        <v>1</v>
      </c>
      <c r="BC120">
        <f>SUMIF(RawDataRecovered!$B:$B,$A120,RawDataRecovered!BF:BF)</f>
        <v>1</v>
      </c>
      <c r="BD120">
        <f>SUMIF(RawDataRecovered!$B:$B,$A120,RawDataRecovered!BG:BG)</f>
        <v>1</v>
      </c>
      <c r="BE120">
        <f>SUMIF(RawDataRecovered!$B:$B,$A120,RawDataRecovered!BH:BH)</f>
        <v>1</v>
      </c>
      <c r="BF120">
        <f>SUMIF(RawDataRecovered!$B:$B,$A120,RawDataRecovered!BI:BI)</f>
        <v>0</v>
      </c>
      <c r="BG120">
        <f>SUMIF(RawDataRecovered!$B:$B,$A120,RawDataRecovered!BJ:BJ)</f>
        <v>0</v>
      </c>
      <c r="BH120">
        <f>SUMIF(RawDataRecovered!$B:$B,$A120,RawDataRecovered!BK:BK)</f>
        <v>0</v>
      </c>
      <c r="BI120">
        <f>SUMIF(RawDataRecovered!$B:$B,$A120,RawDataRecovered!BL:BL)</f>
        <v>0</v>
      </c>
      <c r="BJ120">
        <f>SUMIF(RawDataRecovered!$B:$B,$A120,RawDataRecovered!BM:BM)</f>
        <v>0</v>
      </c>
      <c r="BK120">
        <f>SUMIF(RawDataRecovered!$B:$B,$A120,RawDataRecovered!BN:BN)</f>
        <v>0</v>
      </c>
      <c r="BL120">
        <f>SUMIF(RawDataRecovered!$B:$B,$A120,RawDataRecovered!BO:BO)</f>
        <v>0</v>
      </c>
      <c r="BM120">
        <f>SUMIF(RawDataRecovered!$B:$B,$A120,RawDataRecovered!BP:BP)</f>
        <v>0</v>
      </c>
      <c r="BN120">
        <f>SUMIF(RawDataRecovered!$B:$B,$A120,RawDataRecovered!BQ:BQ)</f>
        <v>0</v>
      </c>
      <c r="BO120">
        <f>SUMIF(RawDataRecovered!$B:$B,$A120,RawDataRecovered!BR:BR)</f>
        <v>0</v>
      </c>
      <c r="BP120">
        <f>SUMIF(RawDataRecovered!$B:$B,$A120,RawDataRecovered!BS:BS)</f>
        <v>0</v>
      </c>
      <c r="BQ120">
        <f>SUMIF(RawDataRecovered!$B:$B,$A120,RawDataRecovered!BT:BT)</f>
        <v>0</v>
      </c>
      <c r="BR120">
        <f>SUMIF(RawDataRecovered!$B:$B,$A120,RawDataRecovered!BU:BU)</f>
        <v>0</v>
      </c>
      <c r="BS120">
        <f>SUMIF(RawDataRecovered!$B:$B,$A120,RawDataRecovered!BV:BV)</f>
        <v>0</v>
      </c>
      <c r="BT120">
        <f>SUMIF(RawDataRecovered!$B:$B,$A120,RawDataRecovered!BW:BW)</f>
        <v>0</v>
      </c>
    </row>
    <row r="121" spans="1:72" ht="15" thickBot="1" x14ac:dyDescent="0.35">
      <c r="A121" s="3" t="s">
        <v>451</v>
      </c>
      <c r="B121">
        <f>SUMIF(RawDataRecovered!$B:$B,$A121,RawDataRecovered!E:E)</f>
        <v>0</v>
      </c>
      <c r="C121">
        <f>SUMIF(RawDataRecovered!$B:$B,$A121,RawDataRecovered!F:F)</f>
        <v>0</v>
      </c>
      <c r="D121">
        <f>SUMIF(RawDataRecovered!$B:$B,$A121,RawDataRecovered!G:G)</f>
        <v>0</v>
      </c>
      <c r="E121">
        <f>SUMIF(RawDataRecovered!$B:$B,$A121,RawDataRecovered!H:H)</f>
        <v>0</v>
      </c>
      <c r="F121">
        <f>SUMIF(RawDataRecovered!$B:$B,$A121,RawDataRecovered!I:I)</f>
        <v>0</v>
      </c>
      <c r="G121">
        <f>SUMIF(RawDataRecovered!$B:$B,$A121,RawDataRecovered!J:J)</f>
        <v>0</v>
      </c>
      <c r="H121">
        <f>SUMIF(RawDataRecovered!$B:$B,$A121,RawDataRecovered!K:K)</f>
        <v>0</v>
      </c>
      <c r="I121">
        <f>SUMIF(RawDataRecovered!$B:$B,$A121,RawDataRecovered!L:L)</f>
        <v>0</v>
      </c>
      <c r="J121">
        <f>SUMIF(RawDataRecovered!$B:$B,$A121,RawDataRecovered!M:M)</f>
        <v>0</v>
      </c>
      <c r="K121">
        <f>SUMIF(RawDataRecovered!$B:$B,$A121,RawDataRecovered!N:N)</f>
        <v>0</v>
      </c>
      <c r="L121">
        <f>SUMIF(RawDataRecovered!$B:$B,$A121,RawDataRecovered!O:O)</f>
        <v>0</v>
      </c>
      <c r="M121">
        <f>SUMIF(RawDataRecovered!$B:$B,$A121,RawDataRecovered!P:P)</f>
        <v>0</v>
      </c>
      <c r="N121">
        <f>SUMIF(RawDataRecovered!$B:$B,$A121,RawDataRecovered!Q:Q)</f>
        <v>0</v>
      </c>
      <c r="O121">
        <f>SUMIF(RawDataRecovered!$B:$B,$A121,RawDataRecovered!R:R)</f>
        <v>0</v>
      </c>
      <c r="P121">
        <f>SUMIF(RawDataRecovered!$B:$B,$A121,RawDataRecovered!S:S)</f>
        <v>0</v>
      </c>
      <c r="Q121">
        <f>SUMIF(RawDataRecovered!$B:$B,$A121,RawDataRecovered!T:T)</f>
        <v>0</v>
      </c>
      <c r="R121">
        <f>SUMIF(RawDataRecovered!$B:$B,$A121,RawDataRecovered!U:U)</f>
        <v>0</v>
      </c>
      <c r="S121">
        <f>SUMIF(RawDataRecovered!$B:$B,$A121,RawDataRecovered!V:V)</f>
        <v>0</v>
      </c>
      <c r="T121">
        <f>SUMIF(RawDataRecovered!$B:$B,$A121,RawDataRecovered!W:W)</f>
        <v>0</v>
      </c>
      <c r="U121">
        <f>SUMIF(RawDataRecovered!$B:$B,$A121,RawDataRecovered!X:X)</f>
        <v>0</v>
      </c>
      <c r="V121">
        <f>SUMIF(RawDataRecovered!$B:$B,$A121,RawDataRecovered!Y:Y)</f>
        <v>0</v>
      </c>
      <c r="W121">
        <f>SUMIF(RawDataRecovered!$B:$B,$A121,RawDataRecovered!Z:Z)</f>
        <v>0</v>
      </c>
      <c r="X121">
        <f>SUMIF(RawDataRecovered!$B:$B,$A121,RawDataRecovered!AA:AA)</f>
        <v>0</v>
      </c>
      <c r="Y121">
        <f>SUMIF(RawDataRecovered!$B:$B,$A121,RawDataRecovered!AB:AB)</f>
        <v>0</v>
      </c>
      <c r="Z121">
        <f>SUMIF(RawDataRecovered!$B:$B,$A121,RawDataRecovered!AC:AC)</f>
        <v>0</v>
      </c>
      <c r="AA121">
        <f>SUMIF(RawDataRecovered!$B:$B,$A121,RawDataRecovered!AD:AD)</f>
        <v>0</v>
      </c>
      <c r="AB121">
        <f>SUMIF(RawDataRecovered!$B:$B,$A121,RawDataRecovered!AE:AE)</f>
        <v>0</v>
      </c>
      <c r="AC121">
        <f>SUMIF(RawDataRecovered!$B:$B,$A121,RawDataRecovered!AF:AF)</f>
        <v>0</v>
      </c>
      <c r="AD121">
        <f>SUMIF(RawDataRecovered!$B:$B,$A121,RawDataRecovered!AG:AG)</f>
        <v>0</v>
      </c>
      <c r="AE121">
        <f>SUMIF(RawDataRecovered!$B:$B,$A121,RawDataRecovered!AH:AH)</f>
        <v>0</v>
      </c>
      <c r="AF121">
        <f>SUMIF(RawDataRecovered!$B:$B,$A121,RawDataRecovered!AI:AI)</f>
        <v>0</v>
      </c>
      <c r="AG121">
        <f>SUMIF(RawDataRecovered!$B:$B,$A121,RawDataRecovered!AJ:AJ)</f>
        <v>0</v>
      </c>
      <c r="AH121">
        <f>SUMIF(RawDataRecovered!$B:$B,$A121,RawDataRecovered!AK:AK)</f>
        <v>0</v>
      </c>
      <c r="AI121">
        <f>SUMIF(RawDataRecovered!$B:$B,$A121,RawDataRecovered!AL:AL)</f>
        <v>0</v>
      </c>
      <c r="AJ121">
        <f>SUMIF(RawDataRecovered!$B:$B,$A121,RawDataRecovered!AM:AM)</f>
        <v>0</v>
      </c>
      <c r="AK121">
        <f>SUMIF(RawDataRecovered!$B:$B,$A121,RawDataRecovered!AN:AN)</f>
        <v>0</v>
      </c>
      <c r="AL121">
        <f>SUMIF(RawDataRecovered!$B:$B,$A121,RawDataRecovered!AO:AO)</f>
        <v>0</v>
      </c>
      <c r="AM121">
        <f>SUMIF(RawDataRecovered!$B:$B,$A121,RawDataRecovered!AP:AP)</f>
        <v>0</v>
      </c>
      <c r="AN121">
        <f>SUMIF(RawDataRecovered!$B:$B,$A121,RawDataRecovered!AQ:AQ)</f>
        <v>0</v>
      </c>
      <c r="AO121">
        <f>SUMIF(RawDataRecovered!$B:$B,$A121,RawDataRecovered!AR:AR)</f>
        <v>0</v>
      </c>
      <c r="AP121">
        <f>SUMIF(RawDataRecovered!$B:$B,$A121,RawDataRecovered!AS:AS)</f>
        <v>0</v>
      </c>
      <c r="AQ121">
        <f>SUMIF(RawDataRecovered!$B:$B,$A121,RawDataRecovered!AT:AT)</f>
        <v>0</v>
      </c>
      <c r="AR121">
        <f>SUMIF(RawDataRecovered!$B:$B,$A121,RawDataRecovered!AU:AU)</f>
        <v>0</v>
      </c>
      <c r="AS121">
        <f>SUMIF(RawDataRecovered!$B:$B,$A121,RawDataRecovered!AV:AV)</f>
        <v>0</v>
      </c>
      <c r="AT121">
        <f>SUMIF(RawDataRecovered!$B:$B,$A121,RawDataRecovered!AW:AW)</f>
        <v>0</v>
      </c>
      <c r="AU121">
        <f>SUMIF(RawDataRecovered!$B:$B,$A121,RawDataRecovered!AX:AX)</f>
        <v>0</v>
      </c>
      <c r="AV121">
        <f>SUMIF(RawDataRecovered!$B:$B,$A121,RawDataRecovered!AY:AY)</f>
        <v>0</v>
      </c>
      <c r="AW121">
        <f>SUMIF(RawDataRecovered!$B:$B,$A121,RawDataRecovered!AZ:AZ)</f>
        <v>0</v>
      </c>
      <c r="AX121">
        <f>SUMIF(RawDataRecovered!$B:$B,$A121,RawDataRecovered!BA:BA)</f>
        <v>0</v>
      </c>
      <c r="AY121">
        <f>SUMIF(RawDataRecovered!$B:$B,$A121,RawDataRecovered!BB:BB)</f>
        <v>0</v>
      </c>
      <c r="AZ121">
        <f>SUMIF(RawDataRecovered!$B:$B,$A121,RawDataRecovered!BC:BC)</f>
        <v>0</v>
      </c>
      <c r="BA121">
        <f>SUMIF(RawDataRecovered!$B:$B,$A121,RawDataRecovered!BD:BD)</f>
        <v>0</v>
      </c>
      <c r="BB121">
        <f>SUMIF(RawDataRecovered!$B:$B,$A121,RawDataRecovered!BE:BE)</f>
        <v>0</v>
      </c>
      <c r="BC121">
        <f>SUMIF(RawDataRecovered!$B:$B,$A121,RawDataRecovered!BF:BF)</f>
        <v>0</v>
      </c>
      <c r="BD121">
        <f>SUMIF(RawDataRecovered!$B:$B,$A121,RawDataRecovered!BG:BG)</f>
        <v>0</v>
      </c>
      <c r="BE121">
        <f>SUMIF(RawDataRecovered!$B:$B,$A121,RawDataRecovered!BH:BH)</f>
        <v>0</v>
      </c>
      <c r="BF121">
        <f>SUMIF(RawDataRecovered!$B:$B,$A121,RawDataRecovered!BI:BI)</f>
        <v>0</v>
      </c>
      <c r="BG121">
        <f>SUMIF(RawDataRecovered!$B:$B,$A121,RawDataRecovered!BJ:BJ)</f>
        <v>0</v>
      </c>
      <c r="BH121">
        <f>SUMIF(RawDataRecovered!$B:$B,$A121,RawDataRecovered!BK:BK)</f>
        <v>0</v>
      </c>
      <c r="BI121">
        <f>SUMIF(RawDataRecovered!$B:$B,$A121,RawDataRecovered!BL:BL)</f>
        <v>0</v>
      </c>
      <c r="BJ121">
        <f>SUMIF(RawDataRecovered!$B:$B,$A121,RawDataRecovered!BM:BM)</f>
        <v>0</v>
      </c>
      <c r="BK121">
        <f>SUMIF(RawDataRecovered!$B:$B,$A121,RawDataRecovered!BN:BN)</f>
        <v>0</v>
      </c>
      <c r="BL121">
        <f>SUMIF(RawDataRecovered!$B:$B,$A121,RawDataRecovered!BO:BO)</f>
        <v>0</v>
      </c>
      <c r="BM121">
        <f>SUMIF(RawDataRecovered!$B:$B,$A121,RawDataRecovered!BP:BP)</f>
        <v>0</v>
      </c>
      <c r="BN121">
        <f>SUMIF(RawDataRecovered!$B:$B,$A121,RawDataRecovered!BQ:BQ)</f>
        <v>0</v>
      </c>
      <c r="BO121">
        <f>SUMIF(RawDataRecovered!$B:$B,$A121,RawDataRecovered!BR:BR)</f>
        <v>0</v>
      </c>
      <c r="BP121">
        <f>SUMIF(RawDataRecovered!$B:$B,$A121,RawDataRecovered!BS:BS)</f>
        <v>0</v>
      </c>
      <c r="BQ121">
        <f>SUMIF(RawDataRecovered!$B:$B,$A121,RawDataRecovered!BT:BT)</f>
        <v>0</v>
      </c>
      <c r="BR121">
        <f>SUMIF(RawDataRecovered!$B:$B,$A121,RawDataRecovered!BU:BU)</f>
        <v>0</v>
      </c>
      <c r="BS121">
        <f>SUMIF(RawDataRecovered!$B:$B,$A121,RawDataRecovered!BV:BV)</f>
        <v>0</v>
      </c>
      <c r="BT121">
        <f>SUMIF(RawDataRecovered!$B:$B,$A121,RawDataRecovered!BW:BW)</f>
        <v>0</v>
      </c>
    </row>
    <row r="122" spans="1:72" ht="15" thickBot="1" x14ac:dyDescent="0.35">
      <c r="A122" s="4" t="s">
        <v>163</v>
      </c>
      <c r="B122">
        <f>SUMIF(RawDataRecovered!$B:$B,$A122,RawDataRecovered!E:E)</f>
        <v>0</v>
      </c>
      <c r="C122">
        <f>SUMIF(RawDataRecovered!$B:$B,$A122,RawDataRecovered!F:F)</f>
        <v>0</v>
      </c>
      <c r="D122">
        <f>SUMIF(RawDataRecovered!$B:$B,$A122,RawDataRecovered!G:G)</f>
        <v>0</v>
      </c>
      <c r="E122">
        <f>SUMIF(RawDataRecovered!$B:$B,$A122,RawDataRecovered!H:H)</f>
        <v>0</v>
      </c>
      <c r="F122">
        <f>SUMIF(RawDataRecovered!$B:$B,$A122,RawDataRecovered!I:I)</f>
        <v>0</v>
      </c>
      <c r="G122">
        <f>SUMIF(RawDataRecovered!$B:$B,$A122,RawDataRecovered!J:J)</f>
        <v>0</v>
      </c>
      <c r="H122">
        <f>SUMIF(RawDataRecovered!$B:$B,$A122,RawDataRecovered!K:K)</f>
        <v>0</v>
      </c>
      <c r="I122">
        <f>SUMIF(RawDataRecovered!$B:$B,$A122,RawDataRecovered!L:L)</f>
        <v>0</v>
      </c>
      <c r="J122">
        <f>SUMIF(RawDataRecovered!$B:$B,$A122,RawDataRecovered!M:M)</f>
        <v>0</v>
      </c>
      <c r="K122">
        <f>SUMIF(RawDataRecovered!$B:$B,$A122,RawDataRecovered!N:N)</f>
        <v>0</v>
      </c>
      <c r="L122">
        <f>SUMIF(RawDataRecovered!$B:$B,$A122,RawDataRecovered!O:O)</f>
        <v>0</v>
      </c>
      <c r="M122">
        <f>SUMIF(RawDataRecovered!$B:$B,$A122,RawDataRecovered!P:P)</f>
        <v>0</v>
      </c>
      <c r="N122">
        <f>SUMIF(RawDataRecovered!$B:$B,$A122,RawDataRecovered!Q:Q)</f>
        <v>0</v>
      </c>
      <c r="O122">
        <f>SUMIF(RawDataRecovered!$B:$B,$A122,RawDataRecovered!R:R)</f>
        <v>0</v>
      </c>
      <c r="P122">
        <f>SUMIF(RawDataRecovered!$B:$B,$A122,RawDataRecovered!S:S)</f>
        <v>0</v>
      </c>
      <c r="Q122">
        <f>SUMIF(RawDataRecovered!$B:$B,$A122,RawDataRecovered!T:T)</f>
        <v>0</v>
      </c>
      <c r="R122">
        <f>SUMIF(RawDataRecovered!$B:$B,$A122,RawDataRecovered!U:U)</f>
        <v>0</v>
      </c>
      <c r="S122">
        <f>SUMIF(RawDataRecovered!$B:$B,$A122,RawDataRecovered!V:V)</f>
        <v>0</v>
      </c>
      <c r="T122">
        <f>SUMIF(RawDataRecovered!$B:$B,$A122,RawDataRecovered!W:W)</f>
        <v>0</v>
      </c>
      <c r="U122">
        <f>SUMIF(RawDataRecovered!$B:$B,$A122,RawDataRecovered!X:X)</f>
        <v>0</v>
      </c>
      <c r="V122">
        <f>SUMIF(RawDataRecovered!$B:$B,$A122,RawDataRecovered!Y:Y)</f>
        <v>0</v>
      </c>
      <c r="W122">
        <f>SUMIF(RawDataRecovered!$B:$B,$A122,RawDataRecovered!Z:Z)</f>
        <v>0</v>
      </c>
      <c r="X122">
        <f>SUMIF(RawDataRecovered!$B:$B,$A122,RawDataRecovered!AA:AA)</f>
        <v>0</v>
      </c>
      <c r="Y122">
        <f>SUMIF(RawDataRecovered!$B:$B,$A122,RawDataRecovered!AB:AB)</f>
        <v>0</v>
      </c>
      <c r="Z122">
        <f>SUMIF(RawDataRecovered!$B:$B,$A122,RawDataRecovered!AC:AC)</f>
        <v>0</v>
      </c>
      <c r="AA122">
        <f>SUMIF(RawDataRecovered!$B:$B,$A122,RawDataRecovered!AD:AD)</f>
        <v>0</v>
      </c>
      <c r="AB122">
        <f>SUMIF(RawDataRecovered!$B:$B,$A122,RawDataRecovered!AE:AE)</f>
        <v>0</v>
      </c>
      <c r="AC122">
        <f>SUMIF(RawDataRecovered!$B:$B,$A122,RawDataRecovered!AF:AF)</f>
        <v>0</v>
      </c>
      <c r="AD122">
        <f>SUMIF(RawDataRecovered!$B:$B,$A122,RawDataRecovered!AG:AG)</f>
        <v>0</v>
      </c>
      <c r="AE122">
        <f>SUMIF(RawDataRecovered!$B:$B,$A122,RawDataRecovered!AH:AH)</f>
        <v>0</v>
      </c>
      <c r="AF122">
        <f>SUMIF(RawDataRecovered!$B:$B,$A122,RawDataRecovered!AI:AI)</f>
        <v>0</v>
      </c>
      <c r="AG122">
        <f>SUMIF(RawDataRecovered!$B:$B,$A122,RawDataRecovered!AJ:AJ)</f>
        <v>0</v>
      </c>
      <c r="AH122">
        <f>SUMIF(RawDataRecovered!$B:$B,$A122,RawDataRecovered!AK:AK)</f>
        <v>0</v>
      </c>
      <c r="AI122">
        <f>SUMIF(RawDataRecovered!$B:$B,$A122,RawDataRecovered!AL:AL)</f>
        <v>0</v>
      </c>
      <c r="AJ122">
        <f>SUMIF(RawDataRecovered!$B:$B,$A122,RawDataRecovered!AM:AM)</f>
        <v>0</v>
      </c>
      <c r="AK122">
        <f>SUMIF(RawDataRecovered!$B:$B,$A122,RawDataRecovered!AN:AN)</f>
        <v>0</v>
      </c>
      <c r="AL122">
        <f>SUMIF(RawDataRecovered!$B:$B,$A122,RawDataRecovered!AO:AO)</f>
        <v>0</v>
      </c>
      <c r="AM122">
        <f>SUMIF(RawDataRecovered!$B:$B,$A122,RawDataRecovered!AP:AP)</f>
        <v>0</v>
      </c>
      <c r="AN122">
        <f>SUMIF(RawDataRecovered!$B:$B,$A122,RawDataRecovered!AQ:AQ)</f>
        <v>0</v>
      </c>
      <c r="AO122">
        <f>SUMIF(RawDataRecovered!$B:$B,$A122,RawDataRecovered!AR:AR)</f>
        <v>0</v>
      </c>
      <c r="AP122">
        <f>SUMIF(RawDataRecovered!$B:$B,$A122,RawDataRecovered!AS:AS)</f>
        <v>0</v>
      </c>
      <c r="AQ122">
        <f>SUMIF(RawDataRecovered!$B:$B,$A122,RawDataRecovered!AT:AT)</f>
        <v>0</v>
      </c>
      <c r="AR122">
        <f>SUMIF(RawDataRecovered!$B:$B,$A122,RawDataRecovered!AU:AU)</f>
        <v>0</v>
      </c>
      <c r="AS122">
        <f>SUMIF(RawDataRecovered!$B:$B,$A122,RawDataRecovered!AV:AV)</f>
        <v>0</v>
      </c>
      <c r="AT122">
        <f>SUMIF(RawDataRecovered!$B:$B,$A122,RawDataRecovered!AW:AW)</f>
        <v>0</v>
      </c>
      <c r="AU122">
        <f>SUMIF(RawDataRecovered!$B:$B,$A122,RawDataRecovered!AX:AX)</f>
        <v>0</v>
      </c>
      <c r="AV122">
        <f>SUMIF(RawDataRecovered!$B:$B,$A122,RawDataRecovered!AY:AY)</f>
        <v>0</v>
      </c>
      <c r="AW122">
        <f>SUMIF(RawDataRecovered!$B:$B,$A122,RawDataRecovered!AZ:AZ)</f>
        <v>0</v>
      </c>
      <c r="AX122">
        <f>SUMIF(RawDataRecovered!$B:$B,$A122,RawDataRecovered!BA:BA)</f>
        <v>0</v>
      </c>
      <c r="AY122">
        <f>SUMIF(RawDataRecovered!$B:$B,$A122,RawDataRecovered!BB:BB)</f>
        <v>0</v>
      </c>
      <c r="AZ122">
        <f>SUMIF(RawDataRecovered!$B:$B,$A122,RawDataRecovered!BC:BC)</f>
        <v>0</v>
      </c>
      <c r="BA122">
        <f>SUMIF(RawDataRecovered!$B:$B,$A122,RawDataRecovered!BD:BD)</f>
        <v>0</v>
      </c>
      <c r="BB122">
        <f>SUMIF(RawDataRecovered!$B:$B,$A122,RawDataRecovered!BE:BE)</f>
        <v>0</v>
      </c>
      <c r="BC122">
        <f>SUMIF(RawDataRecovered!$B:$B,$A122,RawDataRecovered!BF:BF)</f>
        <v>0</v>
      </c>
      <c r="BD122">
        <f>SUMIF(RawDataRecovered!$B:$B,$A122,RawDataRecovered!BG:BG)</f>
        <v>0</v>
      </c>
      <c r="BE122">
        <f>SUMIF(RawDataRecovered!$B:$B,$A122,RawDataRecovered!BH:BH)</f>
        <v>0</v>
      </c>
      <c r="BF122">
        <f>SUMIF(RawDataRecovered!$B:$B,$A122,RawDataRecovered!BI:BI)</f>
        <v>0</v>
      </c>
      <c r="BG122">
        <f>SUMIF(RawDataRecovered!$B:$B,$A122,RawDataRecovered!BJ:BJ)</f>
        <v>0</v>
      </c>
      <c r="BH122">
        <f>SUMIF(RawDataRecovered!$B:$B,$A122,RawDataRecovered!BK:BK)</f>
        <v>0</v>
      </c>
      <c r="BI122">
        <f>SUMIF(RawDataRecovered!$B:$B,$A122,RawDataRecovered!BL:BL)</f>
        <v>0</v>
      </c>
      <c r="BJ122">
        <f>SUMIF(RawDataRecovered!$B:$B,$A122,RawDataRecovered!BM:BM)</f>
        <v>0</v>
      </c>
      <c r="BK122">
        <f>SUMIF(RawDataRecovered!$B:$B,$A122,RawDataRecovered!BN:BN)</f>
        <v>0</v>
      </c>
      <c r="BL122">
        <f>SUMIF(RawDataRecovered!$B:$B,$A122,RawDataRecovered!BO:BO)</f>
        <v>0</v>
      </c>
      <c r="BM122">
        <f>SUMIF(RawDataRecovered!$B:$B,$A122,RawDataRecovered!BP:BP)</f>
        <v>0</v>
      </c>
      <c r="BN122">
        <f>SUMIF(RawDataRecovered!$B:$B,$A122,RawDataRecovered!BQ:BQ)</f>
        <v>0</v>
      </c>
      <c r="BO122">
        <f>SUMIF(RawDataRecovered!$B:$B,$A122,RawDataRecovered!BR:BR)</f>
        <v>0</v>
      </c>
      <c r="BP122">
        <f>SUMIF(RawDataRecovered!$B:$B,$A122,RawDataRecovered!BS:BS)</f>
        <v>0</v>
      </c>
      <c r="BQ122">
        <f>SUMIF(RawDataRecovered!$B:$B,$A122,RawDataRecovered!BT:BT)</f>
        <v>0</v>
      </c>
      <c r="BR122">
        <f>SUMIF(RawDataRecovered!$B:$B,$A122,RawDataRecovered!BU:BU)</f>
        <v>0</v>
      </c>
      <c r="BS122">
        <f>SUMIF(RawDataRecovered!$B:$B,$A122,RawDataRecovered!BV:BV)</f>
        <v>0</v>
      </c>
      <c r="BT122">
        <f>SUMIF(RawDataRecovered!$B:$B,$A122,RawDataRecovered!BW:BW)</f>
        <v>0</v>
      </c>
    </row>
    <row r="123" spans="1:72" ht="15" thickBot="1" x14ac:dyDescent="0.35">
      <c r="A123" s="4" t="s">
        <v>309</v>
      </c>
      <c r="B123">
        <f>SUMIF(RawDataRecovered!$B:$B,$A123,RawDataRecovered!E:E)</f>
        <v>0</v>
      </c>
      <c r="C123">
        <f>SUMIF(RawDataRecovered!$B:$B,$A123,RawDataRecovered!F:F)</f>
        <v>0</v>
      </c>
      <c r="D123">
        <f>SUMIF(RawDataRecovered!$B:$B,$A123,RawDataRecovered!G:G)</f>
        <v>0</v>
      </c>
      <c r="E123">
        <f>SUMIF(RawDataRecovered!$B:$B,$A123,RawDataRecovered!H:H)</f>
        <v>0</v>
      </c>
      <c r="F123">
        <f>SUMIF(RawDataRecovered!$B:$B,$A123,RawDataRecovered!I:I)</f>
        <v>0</v>
      </c>
      <c r="G123">
        <f>SUMIF(RawDataRecovered!$B:$B,$A123,RawDataRecovered!J:J)</f>
        <v>0</v>
      </c>
      <c r="H123">
        <f>SUMIF(RawDataRecovered!$B:$B,$A123,RawDataRecovered!K:K)</f>
        <v>0</v>
      </c>
      <c r="I123">
        <f>SUMIF(RawDataRecovered!$B:$B,$A123,RawDataRecovered!L:L)</f>
        <v>0</v>
      </c>
      <c r="J123">
        <f>SUMIF(RawDataRecovered!$B:$B,$A123,RawDataRecovered!M:M)</f>
        <v>0</v>
      </c>
      <c r="K123">
        <f>SUMIF(RawDataRecovered!$B:$B,$A123,RawDataRecovered!N:N)</f>
        <v>0</v>
      </c>
      <c r="L123">
        <f>SUMIF(RawDataRecovered!$B:$B,$A123,RawDataRecovered!O:O)</f>
        <v>0</v>
      </c>
      <c r="M123">
        <f>SUMIF(RawDataRecovered!$B:$B,$A123,RawDataRecovered!P:P)</f>
        <v>0</v>
      </c>
      <c r="N123">
        <f>SUMIF(RawDataRecovered!$B:$B,$A123,RawDataRecovered!Q:Q)</f>
        <v>0</v>
      </c>
      <c r="O123">
        <f>SUMIF(RawDataRecovered!$B:$B,$A123,RawDataRecovered!R:R)</f>
        <v>0</v>
      </c>
      <c r="P123">
        <f>SUMIF(RawDataRecovered!$B:$B,$A123,RawDataRecovered!S:S)</f>
        <v>0</v>
      </c>
      <c r="Q123">
        <f>SUMIF(RawDataRecovered!$B:$B,$A123,RawDataRecovered!T:T)</f>
        <v>0</v>
      </c>
      <c r="R123">
        <f>SUMIF(RawDataRecovered!$B:$B,$A123,RawDataRecovered!U:U)</f>
        <v>0</v>
      </c>
      <c r="S123">
        <f>SUMIF(RawDataRecovered!$B:$B,$A123,RawDataRecovered!V:V)</f>
        <v>0</v>
      </c>
      <c r="T123">
        <f>SUMIF(RawDataRecovered!$B:$B,$A123,RawDataRecovered!W:W)</f>
        <v>0</v>
      </c>
      <c r="U123">
        <f>SUMIF(RawDataRecovered!$B:$B,$A123,RawDataRecovered!X:X)</f>
        <v>0</v>
      </c>
      <c r="V123">
        <f>SUMIF(RawDataRecovered!$B:$B,$A123,RawDataRecovered!Y:Y)</f>
        <v>0</v>
      </c>
      <c r="W123">
        <f>SUMIF(RawDataRecovered!$B:$B,$A123,RawDataRecovered!Z:Z)</f>
        <v>0</v>
      </c>
      <c r="X123">
        <f>SUMIF(RawDataRecovered!$B:$B,$A123,RawDataRecovered!AA:AA)</f>
        <v>0</v>
      </c>
      <c r="Y123">
        <f>SUMIF(RawDataRecovered!$B:$B,$A123,RawDataRecovered!AB:AB)</f>
        <v>0</v>
      </c>
      <c r="Z123">
        <f>SUMIF(RawDataRecovered!$B:$B,$A123,RawDataRecovered!AC:AC)</f>
        <v>0</v>
      </c>
      <c r="AA123">
        <f>SUMIF(RawDataRecovered!$B:$B,$A123,RawDataRecovered!AD:AD)</f>
        <v>0</v>
      </c>
      <c r="AB123">
        <f>SUMIF(RawDataRecovered!$B:$B,$A123,RawDataRecovered!AE:AE)</f>
        <v>0</v>
      </c>
      <c r="AC123">
        <f>SUMIF(RawDataRecovered!$B:$B,$A123,RawDataRecovered!AF:AF)</f>
        <v>0</v>
      </c>
      <c r="AD123">
        <f>SUMIF(RawDataRecovered!$B:$B,$A123,RawDataRecovered!AG:AG)</f>
        <v>0</v>
      </c>
      <c r="AE123">
        <f>SUMIF(RawDataRecovered!$B:$B,$A123,RawDataRecovered!AH:AH)</f>
        <v>0</v>
      </c>
      <c r="AF123">
        <f>SUMIF(RawDataRecovered!$B:$B,$A123,RawDataRecovered!AI:AI)</f>
        <v>0</v>
      </c>
      <c r="AG123">
        <f>SUMIF(RawDataRecovered!$B:$B,$A123,RawDataRecovered!AJ:AJ)</f>
        <v>0</v>
      </c>
      <c r="AH123">
        <f>SUMIF(RawDataRecovered!$B:$B,$A123,RawDataRecovered!AK:AK)</f>
        <v>0</v>
      </c>
      <c r="AI123">
        <f>SUMIF(RawDataRecovered!$B:$B,$A123,RawDataRecovered!AL:AL)</f>
        <v>0</v>
      </c>
      <c r="AJ123">
        <f>SUMIF(RawDataRecovered!$B:$B,$A123,RawDataRecovered!AM:AM)</f>
        <v>0</v>
      </c>
      <c r="AK123">
        <f>SUMIF(RawDataRecovered!$B:$B,$A123,RawDataRecovered!AN:AN)</f>
        <v>0</v>
      </c>
      <c r="AL123">
        <f>SUMIF(RawDataRecovered!$B:$B,$A123,RawDataRecovered!AO:AO)</f>
        <v>0</v>
      </c>
      <c r="AM123">
        <f>SUMIF(RawDataRecovered!$B:$B,$A123,RawDataRecovered!AP:AP)</f>
        <v>0</v>
      </c>
      <c r="AN123">
        <f>SUMIF(RawDataRecovered!$B:$B,$A123,RawDataRecovered!AQ:AQ)</f>
        <v>0</v>
      </c>
      <c r="AO123">
        <f>SUMIF(RawDataRecovered!$B:$B,$A123,RawDataRecovered!AR:AR)</f>
        <v>0</v>
      </c>
      <c r="AP123">
        <f>SUMIF(RawDataRecovered!$B:$B,$A123,RawDataRecovered!AS:AS)</f>
        <v>0</v>
      </c>
      <c r="AQ123">
        <f>SUMIF(RawDataRecovered!$B:$B,$A123,RawDataRecovered!AT:AT)</f>
        <v>0</v>
      </c>
      <c r="AR123">
        <f>SUMIF(RawDataRecovered!$B:$B,$A123,RawDataRecovered!AU:AU)</f>
        <v>0</v>
      </c>
      <c r="AS123">
        <f>SUMIF(RawDataRecovered!$B:$B,$A123,RawDataRecovered!AV:AV)</f>
        <v>0</v>
      </c>
      <c r="AT123">
        <f>SUMIF(RawDataRecovered!$B:$B,$A123,RawDataRecovered!AW:AW)</f>
        <v>0</v>
      </c>
      <c r="AU123">
        <f>SUMIF(RawDataRecovered!$B:$B,$A123,RawDataRecovered!AX:AX)</f>
        <v>0</v>
      </c>
      <c r="AV123">
        <f>SUMIF(RawDataRecovered!$B:$B,$A123,RawDataRecovered!AY:AY)</f>
        <v>0</v>
      </c>
      <c r="AW123">
        <f>SUMIF(RawDataRecovered!$B:$B,$A123,RawDataRecovered!AZ:AZ)</f>
        <v>0</v>
      </c>
      <c r="AX123">
        <f>SUMIF(RawDataRecovered!$B:$B,$A123,RawDataRecovered!BA:BA)</f>
        <v>0</v>
      </c>
      <c r="AY123">
        <f>SUMIF(RawDataRecovered!$B:$B,$A123,RawDataRecovered!BB:BB)</f>
        <v>0</v>
      </c>
      <c r="AZ123">
        <f>SUMIF(RawDataRecovered!$B:$B,$A123,RawDataRecovered!BC:BC)</f>
        <v>0</v>
      </c>
      <c r="BA123">
        <f>SUMIF(RawDataRecovered!$B:$B,$A123,RawDataRecovered!BD:BD)</f>
        <v>0</v>
      </c>
      <c r="BB123">
        <f>SUMIF(RawDataRecovered!$B:$B,$A123,RawDataRecovered!BE:BE)</f>
        <v>0</v>
      </c>
      <c r="BC123">
        <f>SUMIF(RawDataRecovered!$B:$B,$A123,RawDataRecovered!BF:BF)</f>
        <v>0</v>
      </c>
      <c r="BD123">
        <f>SUMIF(RawDataRecovered!$B:$B,$A123,RawDataRecovered!BG:BG)</f>
        <v>0</v>
      </c>
      <c r="BE123">
        <f>SUMIF(RawDataRecovered!$B:$B,$A123,RawDataRecovered!BH:BH)</f>
        <v>0</v>
      </c>
      <c r="BF123">
        <f>SUMIF(RawDataRecovered!$B:$B,$A123,RawDataRecovered!BI:BI)</f>
        <v>0</v>
      </c>
      <c r="BG123">
        <f>SUMIF(RawDataRecovered!$B:$B,$A123,RawDataRecovered!BJ:BJ)</f>
        <v>0</v>
      </c>
      <c r="BH123">
        <f>SUMIF(RawDataRecovered!$B:$B,$A123,RawDataRecovered!BK:BK)</f>
        <v>0</v>
      </c>
      <c r="BI123">
        <f>SUMIF(RawDataRecovered!$B:$B,$A123,RawDataRecovered!BL:BL)</f>
        <v>0</v>
      </c>
      <c r="BJ123">
        <f>SUMIF(RawDataRecovered!$B:$B,$A123,RawDataRecovered!BM:BM)</f>
        <v>0</v>
      </c>
      <c r="BK123">
        <f>SUMIF(RawDataRecovered!$B:$B,$A123,RawDataRecovered!BN:BN)</f>
        <v>0</v>
      </c>
      <c r="BL123">
        <f>SUMIF(RawDataRecovered!$B:$B,$A123,RawDataRecovered!BO:BO)</f>
        <v>0</v>
      </c>
      <c r="BM123">
        <f>SUMIF(RawDataRecovered!$B:$B,$A123,RawDataRecovered!BP:BP)</f>
        <v>0</v>
      </c>
      <c r="BN123">
        <f>SUMIF(RawDataRecovered!$B:$B,$A123,RawDataRecovered!BQ:BQ)</f>
        <v>0</v>
      </c>
      <c r="BO123">
        <f>SUMIF(RawDataRecovered!$B:$B,$A123,RawDataRecovered!BR:BR)</f>
        <v>0</v>
      </c>
      <c r="BP123">
        <f>SUMIF(RawDataRecovered!$B:$B,$A123,RawDataRecovered!BS:BS)</f>
        <v>0</v>
      </c>
      <c r="BQ123">
        <f>SUMIF(RawDataRecovered!$B:$B,$A123,RawDataRecovered!BT:BT)</f>
        <v>0</v>
      </c>
      <c r="BR123">
        <f>SUMIF(RawDataRecovered!$B:$B,$A123,RawDataRecovered!BU:BU)</f>
        <v>0</v>
      </c>
      <c r="BS123">
        <f>SUMIF(RawDataRecovered!$B:$B,$A123,RawDataRecovered!BV:BV)</f>
        <v>0</v>
      </c>
      <c r="BT123">
        <f>SUMIF(RawDataRecovered!$B:$B,$A123,RawDataRecovered!BW:BW)</f>
        <v>0</v>
      </c>
    </row>
    <row r="124" spans="1:72" ht="15" thickBot="1" x14ac:dyDescent="0.35">
      <c r="A124" s="4" t="s">
        <v>69</v>
      </c>
      <c r="B124">
        <f>SUMIF(RawDataRecovered!$B:$B,$A124,RawDataRecovered!E:E)</f>
        <v>0</v>
      </c>
      <c r="C124">
        <f>SUMIF(RawDataRecovered!$B:$B,$A124,RawDataRecovered!F:F)</f>
        <v>0</v>
      </c>
      <c r="D124">
        <f>SUMIF(RawDataRecovered!$B:$B,$A124,RawDataRecovered!G:G)</f>
        <v>0</v>
      </c>
      <c r="E124">
        <f>SUMIF(RawDataRecovered!$B:$B,$A124,RawDataRecovered!H:H)</f>
        <v>0</v>
      </c>
      <c r="F124">
        <f>SUMIF(RawDataRecovered!$B:$B,$A124,RawDataRecovered!I:I)</f>
        <v>0</v>
      </c>
      <c r="G124">
        <f>SUMIF(RawDataRecovered!$B:$B,$A124,RawDataRecovered!J:J)</f>
        <v>0</v>
      </c>
      <c r="H124">
        <f>SUMIF(RawDataRecovered!$B:$B,$A124,RawDataRecovered!K:K)</f>
        <v>0</v>
      </c>
      <c r="I124">
        <f>SUMIF(RawDataRecovered!$B:$B,$A124,RawDataRecovered!L:L)</f>
        <v>0</v>
      </c>
      <c r="J124">
        <f>SUMIF(RawDataRecovered!$B:$B,$A124,RawDataRecovered!M:M)</f>
        <v>0</v>
      </c>
      <c r="K124">
        <f>SUMIF(RawDataRecovered!$B:$B,$A124,RawDataRecovered!N:N)</f>
        <v>0</v>
      </c>
      <c r="L124">
        <f>SUMIF(RawDataRecovered!$B:$B,$A124,RawDataRecovered!O:O)</f>
        <v>0</v>
      </c>
      <c r="M124">
        <f>SUMIF(RawDataRecovered!$B:$B,$A124,RawDataRecovered!P:P)</f>
        <v>0</v>
      </c>
      <c r="N124">
        <f>SUMIF(RawDataRecovered!$B:$B,$A124,RawDataRecovered!Q:Q)</f>
        <v>0</v>
      </c>
      <c r="O124">
        <f>SUMIF(RawDataRecovered!$B:$B,$A124,RawDataRecovered!R:R)</f>
        <v>0</v>
      </c>
      <c r="P124">
        <f>SUMIF(RawDataRecovered!$B:$B,$A124,RawDataRecovered!S:S)</f>
        <v>0</v>
      </c>
      <c r="Q124">
        <f>SUMIF(RawDataRecovered!$B:$B,$A124,RawDataRecovered!T:T)</f>
        <v>0</v>
      </c>
      <c r="R124">
        <f>SUMIF(RawDataRecovered!$B:$B,$A124,RawDataRecovered!U:U)</f>
        <v>0</v>
      </c>
      <c r="S124">
        <f>SUMIF(RawDataRecovered!$B:$B,$A124,RawDataRecovered!V:V)</f>
        <v>0</v>
      </c>
      <c r="T124">
        <f>SUMIF(RawDataRecovered!$B:$B,$A124,RawDataRecovered!W:W)</f>
        <v>0</v>
      </c>
      <c r="U124">
        <f>SUMIF(RawDataRecovered!$B:$B,$A124,RawDataRecovered!X:X)</f>
        <v>0</v>
      </c>
      <c r="V124">
        <f>SUMIF(RawDataRecovered!$B:$B,$A124,RawDataRecovered!Y:Y)</f>
        <v>0</v>
      </c>
      <c r="W124">
        <f>SUMIF(RawDataRecovered!$B:$B,$A124,RawDataRecovered!Z:Z)</f>
        <v>1</v>
      </c>
      <c r="X124">
        <f>SUMIF(RawDataRecovered!$B:$B,$A124,RawDataRecovered!AA:AA)</f>
        <v>1</v>
      </c>
      <c r="Y124">
        <f>SUMIF(RawDataRecovered!$B:$B,$A124,RawDataRecovered!AB:AB)</f>
        <v>1</v>
      </c>
      <c r="Z124">
        <f>SUMIF(RawDataRecovered!$B:$B,$A124,RawDataRecovered!AC:AC)</f>
        <v>1</v>
      </c>
      <c r="AA124">
        <f>SUMIF(RawDataRecovered!$B:$B,$A124,RawDataRecovered!AD:AD)</f>
        <v>1</v>
      </c>
      <c r="AB124">
        <f>SUMIF(RawDataRecovered!$B:$B,$A124,RawDataRecovered!AE:AE)</f>
        <v>1</v>
      </c>
      <c r="AC124">
        <f>SUMIF(RawDataRecovered!$B:$B,$A124,RawDataRecovered!AF:AF)</f>
        <v>1</v>
      </c>
      <c r="AD124">
        <f>SUMIF(RawDataRecovered!$B:$B,$A124,RawDataRecovered!AG:AG)</f>
        <v>1</v>
      </c>
      <c r="AE124">
        <f>SUMIF(RawDataRecovered!$B:$B,$A124,RawDataRecovered!AH:AH)</f>
        <v>1</v>
      </c>
      <c r="AF124">
        <f>SUMIF(RawDataRecovered!$B:$B,$A124,RawDataRecovered!AI:AI)</f>
        <v>1</v>
      </c>
      <c r="AG124">
        <f>SUMIF(RawDataRecovered!$B:$B,$A124,RawDataRecovered!AJ:AJ)</f>
        <v>1</v>
      </c>
      <c r="AH124">
        <f>SUMIF(RawDataRecovered!$B:$B,$A124,RawDataRecovered!AK:AK)</f>
        <v>1</v>
      </c>
      <c r="AI124">
        <f>SUMIF(RawDataRecovered!$B:$B,$A124,RawDataRecovered!AL:AL)</f>
        <v>1</v>
      </c>
      <c r="AJ124">
        <f>SUMIF(RawDataRecovered!$B:$B,$A124,RawDataRecovered!AM:AM)</f>
        <v>1</v>
      </c>
      <c r="AK124">
        <f>SUMIF(RawDataRecovered!$B:$B,$A124,RawDataRecovered!AN:AN)</f>
        <v>1</v>
      </c>
      <c r="AL124">
        <f>SUMIF(RawDataRecovered!$B:$B,$A124,RawDataRecovered!AO:AO)</f>
        <v>1</v>
      </c>
      <c r="AM124">
        <f>SUMIF(RawDataRecovered!$B:$B,$A124,RawDataRecovered!AP:AP)</f>
        <v>1</v>
      </c>
      <c r="AN124">
        <f>SUMIF(RawDataRecovered!$B:$B,$A124,RawDataRecovered!AQ:AQ)</f>
        <v>1</v>
      </c>
      <c r="AO124">
        <f>SUMIF(RawDataRecovered!$B:$B,$A124,RawDataRecovered!AR:AR)</f>
        <v>1</v>
      </c>
      <c r="AP124">
        <f>SUMIF(RawDataRecovered!$B:$B,$A124,RawDataRecovered!AS:AS)</f>
        <v>1</v>
      </c>
      <c r="AQ124">
        <f>SUMIF(RawDataRecovered!$B:$B,$A124,RawDataRecovered!AT:AT)</f>
        <v>1</v>
      </c>
      <c r="AR124">
        <f>SUMIF(RawDataRecovered!$B:$B,$A124,RawDataRecovered!AU:AU)</f>
        <v>1</v>
      </c>
      <c r="AS124">
        <f>SUMIF(RawDataRecovered!$B:$B,$A124,RawDataRecovered!AV:AV)</f>
        <v>1</v>
      </c>
      <c r="AT124">
        <f>SUMIF(RawDataRecovered!$B:$B,$A124,RawDataRecovered!AW:AW)</f>
        <v>1</v>
      </c>
      <c r="AU124">
        <f>SUMIF(RawDataRecovered!$B:$B,$A124,RawDataRecovered!AX:AX)</f>
        <v>1</v>
      </c>
      <c r="AV124">
        <f>SUMIF(RawDataRecovered!$B:$B,$A124,RawDataRecovered!AY:AY)</f>
        <v>1</v>
      </c>
      <c r="AW124">
        <f>SUMIF(RawDataRecovered!$B:$B,$A124,RawDataRecovered!AZ:AZ)</f>
        <v>1</v>
      </c>
      <c r="AX124">
        <f>SUMIF(RawDataRecovered!$B:$B,$A124,RawDataRecovered!BA:BA)</f>
        <v>1</v>
      </c>
      <c r="AY124">
        <f>SUMIF(RawDataRecovered!$B:$B,$A124,RawDataRecovered!BB:BB)</f>
        <v>1</v>
      </c>
      <c r="AZ124">
        <f>SUMIF(RawDataRecovered!$B:$B,$A124,RawDataRecovered!BC:BC)</f>
        <v>1</v>
      </c>
      <c r="BA124">
        <f>SUMIF(RawDataRecovered!$B:$B,$A124,RawDataRecovered!BD:BD)</f>
        <v>1</v>
      </c>
      <c r="BB124">
        <f>SUMIF(RawDataRecovered!$B:$B,$A124,RawDataRecovered!BE:BE)</f>
        <v>1</v>
      </c>
      <c r="BC124">
        <f>SUMIF(RawDataRecovered!$B:$B,$A124,RawDataRecovered!BF:BF)</f>
        <v>1</v>
      </c>
      <c r="BD124">
        <f>SUMIF(RawDataRecovered!$B:$B,$A124,RawDataRecovered!BG:BG)</f>
        <v>1</v>
      </c>
      <c r="BE124">
        <f>SUMIF(RawDataRecovered!$B:$B,$A124,RawDataRecovered!BH:BH)</f>
        <v>1</v>
      </c>
      <c r="BF124">
        <f>SUMIF(RawDataRecovered!$B:$B,$A124,RawDataRecovered!BI:BI)</f>
        <v>0</v>
      </c>
      <c r="BG124">
        <f>SUMIF(RawDataRecovered!$B:$B,$A124,RawDataRecovered!BJ:BJ)</f>
        <v>0</v>
      </c>
      <c r="BH124">
        <f>SUMIF(RawDataRecovered!$B:$B,$A124,RawDataRecovered!BK:BK)</f>
        <v>0</v>
      </c>
      <c r="BI124">
        <f>SUMIF(RawDataRecovered!$B:$B,$A124,RawDataRecovered!BL:BL)</f>
        <v>0</v>
      </c>
      <c r="BJ124">
        <f>SUMIF(RawDataRecovered!$B:$B,$A124,RawDataRecovered!BM:BM)</f>
        <v>0</v>
      </c>
      <c r="BK124">
        <f>SUMIF(RawDataRecovered!$B:$B,$A124,RawDataRecovered!BN:BN)</f>
        <v>0</v>
      </c>
      <c r="BL124">
        <f>SUMIF(RawDataRecovered!$B:$B,$A124,RawDataRecovered!BO:BO)</f>
        <v>0</v>
      </c>
      <c r="BM124">
        <f>SUMIF(RawDataRecovered!$B:$B,$A124,RawDataRecovered!BP:BP)</f>
        <v>0</v>
      </c>
      <c r="BN124">
        <f>SUMIF(RawDataRecovered!$B:$B,$A124,RawDataRecovered!BQ:BQ)</f>
        <v>0</v>
      </c>
      <c r="BO124">
        <f>SUMIF(RawDataRecovered!$B:$B,$A124,RawDataRecovered!BR:BR)</f>
        <v>0</v>
      </c>
      <c r="BP124">
        <f>SUMIF(RawDataRecovered!$B:$B,$A124,RawDataRecovered!BS:BS)</f>
        <v>0</v>
      </c>
      <c r="BQ124">
        <f>SUMIF(RawDataRecovered!$B:$B,$A124,RawDataRecovered!BT:BT)</f>
        <v>0</v>
      </c>
      <c r="BR124">
        <f>SUMIF(RawDataRecovered!$B:$B,$A124,RawDataRecovered!BU:BU)</f>
        <v>0</v>
      </c>
      <c r="BS124">
        <f>SUMIF(RawDataRecovered!$B:$B,$A124,RawDataRecovered!BV:BV)</f>
        <v>0</v>
      </c>
      <c r="BT124">
        <f>SUMIF(RawDataRecovered!$B:$B,$A124,RawDataRecovered!BW:BW)</f>
        <v>0</v>
      </c>
    </row>
    <row r="125" spans="1:72" ht="15" thickBot="1" x14ac:dyDescent="0.35">
      <c r="A125" s="3" t="s">
        <v>448</v>
      </c>
      <c r="B125">
        <f>SUMIF(RawDataRecovered!$B:$B,$A125,RawDataRecovered!E:E)</f>
        <v>0</v>
      </c>
      <c r="C125">
        <f>SUMIF(RawDataRecovered!$B:$B,$A125,RawDataRecovered!F:F)</f>
        <v>0</v>
      </c>
      <c r="D125">
        <f>SUMIF(RawDataRecovered!$B:$B,$A125,RawDataRecovered!G:G)</f>
        <v>0</v>
      </c>
      <c r="E125">
        <f>SUMIF(RawDataRecovered!$B:$B,$A125,RawDataRecovered!H:H)</f>
        <v>0</v>
      </c>
      <c r="F125">
        <f>SUMIF(RawDataRecovered!$B:$B,$A125,RawDataRecovered!I:I)</f>
        <v>0</v>
      </c>
      <c r="G125">
        <f>SUMIF(RawDataRecovered!$B:$B,$A125,RawDataRecovered!J:J)</f>
        <v>0</v>
      </c>
      <c r="H125">
        <f>SUMIF(RawDataRecovered!$B:$B,$A125,RawDataRecovered!K:K)</f>
        <v>0</v>
      </c>
      <c r="I125">
        <f>SUMIF(RawDataRecovered!$B:$B,$A125,RawDataRecovered!L:L)</f>
        <v>0</v>
      </c>
      <c r="J125">
        <f>SUMIF(RawDataRecovered!$B:$B,$A125,RawDataRecovered!M:M)</f>
        <v>0</v>
      </c>
      <c r="K125">
        <f>SUMIF(RawDataRecovered!$B:$B,$A125,RawDataRecovered!N:N)</f>
        <v>0</v>
      </c>
      <c r="L125">
        <f>SUMIF(RawDataRecovered!$B:$B,$A125,RawDataRecovered!O:O)</f>
        <v>0</v>
      </c>
      <c r="M125">
        <f>SUMIF(RawDataRecovered!$B:$B,$A125,RawDataRecovered!P:P)</f>
        <v>0</v>
      </c>
      <c r="N125">
        <f>SUMIF(RawDataRecovered!$B:$B,$A125,RawDataRecovered!Q:Q)</f>
        <v>0</v>
      </c>
      <c r="O125">
        <f>SUMIF(RawDataRecovered!$B:$B,$A125,RawDataRecovered!R:R)</f>
        <v>0</v>
      </c>
      <c r="P125">
        <f>SUMIF(RawDataRecovered!$B:$B,$A125,RawDataRecovered!S:S)</f>
        <v>0</v>
      </c>
      <c r="Q125">
        <f>SUMIF(RawDataRecovered!$B:$B,$A125,RawDataRecovered!T:T)</f>
        <v>0</v>
      </c>
      <c r="R125">
        <f>SUMIF(RawDataRecovered!$B:$B,$A125,RawDataRecovered!U:U)</f>
        <v>0</v>
      </c>
      <c r="S125">
        <f>SUMIF(RawDataRecovered!$B:$B,$A125,RawDataRecovered!V:V)</f>
        <v>0</v>
      </c>
      <c r="T125">
        <f>SUMIF(RawDataRecovered!$B:$B,$A125,RawDataRecovered!W:W)</f>
        <v>0</v>
      </c>
      <c r="U125">
        <f>SUMIF(RawDataRecovered!$B:$B,$A125,RawDataRecovered!X:X)</f>
        <v>0</v>
      </c>
      <c r="V125">
        <f>SUMIF(RawDataRecovered!$B:$B,$A125,RawDataRecovered!Y:Y)</f>
        <v>0</v>
      </c>
      <c r="W125">
        <f>SUMIF(RawDataRecovered!$B:$B,$A125,RawDataRecovered!Z:Z)</f>
        <v>0</v>
      </c>
      <c r="X125">
        <f>SUMIF(RawDataRecovered!$B:$B,$A125,RawDataRecovered!AA:AA)</f>
        <v>0</v>
      </c>
      <c r="Y125">
        <f>SUMIF(RawDataRecovered!$B:$B,$A125,RawDataRecovered!AB:AB)</f>
        <v>0</v>
      </c>
      <c r="Z125">
        <f>SUMIF(RawDataRecovered!$B:$B,$A125,RawDataRecovered!AC:AC)</f>
        <v>0</v>
      </c>
      <c r="AA125">
        <f>SUMIF(RawDataRecovered!$B:$B,$A125,RawDataRecovered!AD:AD)</f>
        <v>0</v>
      </c>
      <c r="AB125">
        <f>SUMIF(RawDataRecovered!$B:$B,$A125,RawDataRecovered!AE:AE)</f>
        <v>0</v>
      </c>
      <c r="AC125">
        <f>SUMIF(RawDataRecovered!$B:$B,$A125,RawDataRecovered!AF:AF)</f>
        <v>0</v>
      </c>
      <c r="AD125">
        <f>SUMIF(RawDataRecovered!$B:$B,$A125,RawDataRecovered!AG:AG)</f>
        <v>0</v>
      </c>
      <c r="AE125">
        <f>SUMIF(RawDataRecovered!$B:$B,$A125,RawDataRecovered!AH:AH)</f>
        <v>0</v>
      </c>
      <c r="AF125">
        <f>SUMIF(RawDataRecovered!$B:$B,$A125,RawDataRecovered!AI:AI)</f>
        <v>0</v>
      </c>
      <c r="AG125">
        <f>SUMIF(RawDataRecovered!$B:$B,$A125,RawDataRecovered!AJ:AJ)</f>
        <v>0</v>
      </c>
      <c r="AH125">
        <f>SUMIF(RawDataRecovered!$B:$B,$A125,RawDataRecovered!AK:AK)</f>
        <v>0</v>
      </c>
      <c r="AI125">
        <f>SUMIF(RawDataRecovered!$B:$B,$A125,RawDataRecovered!AL:AL)</f>
        <v>0</v>
      </c>
      <c r="AJ125">
        <f>SUMIF(RawDataRecovered!$B:$B,$A125,RawDataRecovered!AM:AM)</f>
        <v>0</v>
      </c>
      <c r="AK125">
        <f>SUMIF(RawDataRecovered!$B:$B,$A125,RawDataRecovered!AN:AN)</f>
        <v>0</v>
      </c>
      <c r="AL125">
        <f>SUMIF(RawDataRecovered!$B:$B,$A125,RawDataRecovered!AO:AO)</f>
        <v>0</v>
      </c>
      <c r="AM125">
        <f>SUMIF(RawDataRecovered!$B:$B,$A125,RawDataRecovered!AP:AP)</f>
        <v>0</v>
      </c>
      <c r="AN125">
        <f>SUMIF(RawDataRecovered!$B:$B,$A125,RawDataRecovered!AQ:AQ)</f>
        <v>0</v>
      </c>
      <c r="AO125">
        <f>SUMIF(RawDataRecovered!$B:$B,$A125,RawDataRecovered!AR:AR)</f>
        <v>0</v>
      </c>
      <c r="AP125">
        <f>SUMIF(RawDataRecovered!$B:$B,$A125,RawDataRecovered!AS:AS)</f>
        <v>0</v>
      </c>
      <c r="AQ125">
        <f>SUMIF(RawDataRecovered!$B:$B,$A125,RawDataRecovered!AT:AT)</f>
        <v>0</v>
      </c>
      <c r="AR125">
        <f>SUMIF(RawDataRecovered!$B:$B,$A125,RawDataRecovered!AU:AU)</f>
        <v>0</v>
      </c>
      <c r="AS125">
        <f>SUMIF(RawDataRecovered!$B:$B,$A125,RawDataRecovered!AV:AV)</f>
        <v>0</v>
      </c>
      <c r="AT125">
        <f>SUMIF(RawDataRecovered!$B:$B,$A125,RawDataRecovered!AW:AW)</f>
        <v>0</v>
      </c>
      <c r="AU125">
        <f>SUMIF(RawDataRecovered!$B:$B,$A125,RawDataRecovered!AX:AX)</f>
        <v>0</v>
      </c>
      <c r="AV125">
        <f>SUMIF(RawDataRecovered!$B:$B,$A125,RawDataRecovered!AY:AY)</f>
        <v>0</v>
      </c>
      <c r="AW125">
        <f>SUMIF(RawDataRecovered!$B:$B,$A125,RawDataRecovered!AZ:AZ)</f>
        <v>0</v>
      </c>
      <c r="AX125">
        <f>SUMIF(RawDataRecovered!$B:$B,$A125,RawDataRecovered!BA:BA)</f>
        <v>0</v>
      </c>
      <c r="AY125">
        <f>SUMIF(RawDataRecovered!$B:$B,$A125,RawDataRecovered!BB:BB)</f>
        <v>0</v>
      </c>
      <c r="AZ125">
        <f>SUMIF(RawDataRecovered!$B:$B,$A125,RawDataRecovered!BC:BC)</f>
        <v>0</v>
      </c>
      <c r="BA125">
        <f>SUMIF(RawDataRecovered!$B:$B,$A125,RawDataRecovered!BD:BD)</f>
        <v>0</v>
      </c>
      <c r="BB125">
        <f>SUMIF(RawDataRecovered!$B:$B,$A125,RawDataRecovered!BE:BE)</f>
        <v>0</v>
      </c>
      <c r="BC125">
        <f>SUMIF(RawDataRecovered!$B:$B,$A125,RawDataRecovered!BF:BF)</f>
        <v>0</v>
      </c>
      <c r="BD125">
        <f>SUMIF(RawDataRecovered!$B:$B,$A125,RawDataRecovered!BG:BG)</f>
        <v>0</v>
      </c>
      <c r="BE125">
        <f>SUMIF(RawDataRecovered!$B:$B,$A125,RawDataRecovered!BH:BH)</f>
        <v>0</v>
      </c>
      <c r="BF125">
        <f>SUMIF(RawDataRecovered!$B:$B,$A125,RawDataRecovered!BI:BI)</f>
        <v>0</v>
      </c>
      <c r="BG125">
        <f>SUMIF(RawDataRecovered!$B:$B,$A125,RawDataRecovered!BJ:BJ)</f>
        <v>0</v>
      </c>
      <c r="BH125">
        <f>SUMIF(RawDataRecovered!$B:$B,$A125,RawDataRecovered!BK:BK)</f>
        <v>0</v>
      </c>
      <c r="BI125">
        <f>SUMIF(RawDataRecovered!$B:$B,$A125,RawDataRecovered!BL:BL)</f>
        <v>0</v>
      </c>
      <c r="BJ125">
        <f>SUMIF(RawDataRecovered!$B:$B,$A125,RawDataRecovered!BM:BM)</f>
        <v>0</v>
      </c>
      <c r="BK125">
        <f>SUMIF(RawDataRecovered!$B:$B,$A125,RawDataRecovered!BN:BN)</f>
        <v>0</v>
      </c>
      <c r="BL125">
        <f>SUMIF(RawDataRecovered!$B:$B,$A125,RawDataRecovered!BO:BO)</f>
        <v>0</v>
      </c>
      <c r="BM125">
        <f>SUMIF(RawDataRecovered!$B:$B,$A125,RawDataRecovered!BP:BP)</f>
        <v>0</v>
      </c>
      <c r="BN125">
        <f>SUMIF(RawDataRecovered!$B:$B,$A125,RawDataRecovered!BQ:BQ)</f>
        <v>0</v>
      </c>
      <c r="BO125">
        <f>SUMIF(RawDataRecovered!$B:$B,$A125,RawDataRecovered!BR:BR)</f>
        <v>0</v>
      </c>
      <c r="BP125">
        <f>SUMIF(RawDataRecovered!$B:$B,$A125,RawDataRecovered!BS:BS)</f>
        <v>0</v>
      </c>
      <c r="BQ125">
        <f>SUMIF(RawDataRecovered!$B:$B,$A125,RawDataRecovered!BT:BT)</f>
        <v>0</v>
      </c>
      <c r="BR125">
        <f>SUMIF(RawDataRecovered!$B:$B,$A125,RawDataRecovered!BU:BU)</f>
        <v>0</v>
      </c>
      <c r="BS125">
        <f>SUMIF(RawDataRecovered!$B:$B,$A125,RawDataRecovered!BV:BV)</f>
        <v>0</v>
      </c>
      <c r="BT125">
        <f>SUMIF(RawDataRecovered!$B:$B,$A125,RawDataRecovered!BW:BW)</f>
        <v>0</v>
      </c>
    </row>
    <row r="126" spans="1:72" ht="15" thickBot="1" x14ac:dyDescent="0.35">
      <c r="A126" s="3" t="s">
        <v>190</v>
      </c>
      <c r="B126">
        <f>SUMIF(RawDataRecovered!$B:$B,$A126,RawDataRecovered!E:E)</f>
        <v>0</v>
      </c>
      <c r="C126">
        <f>SUMIF(RawDataRecovered!$B:$B,$A126,RawDataRecovered!F:F)</f>
        <v>0</v>
      </c>
      <c r="D126">
        <f>SUMIF(RawDataRecovered!$B:$B,$A126,RawDataRecovered!G:G)</f>
        <v>0</v>
      </c>
      <c r="E126">
        <f>SUMIF(RawDataRecovered!$B:$B,$A126,RawDataRecovered!H:H)</f>
        <v>0</v>
      </c>
      <c r="F126">
        <f>SUMIF(RawDataRecovered!$B:$B,$A126,RawDataRecovered!I:I)</f>
        <v>0</v>
      </c>
      <c r="G126">
        <f>SUMIF(RawDataRecovered!$B:$B,$A126,RawDataRecovered!J:J)</f>
        <v>0</v>
      </c>
      <c r="H126">
        <f>SUMIF(RawDataRecovered!$B:$B,$A126,RawDataRecovered!K:K)</f>
        <v>0</v>
      </c>
      <c r="I126">
        <f>SUMIF(RawDataRecovered!$B:$B,$A126,RawDataRecovered!L:L)</f>
        <v>0</v>
      </c>
      <c r="J126">
        <f>SUMIF(RawDataRecovered!$B:$B,$A126,RawDataRecovered!M:M)</f>
        <v>0</v>
      </c>
      <c r="K126">
        <f>SUMIF(RawDataRecovered!$B:$B,$A126,RawDataRecovered!N:N)</f>
        <v>0</v>
      </c>
      <c r="L126">
        <f>SUMIF(RawDataRecovered!$B:$B,$A126,RawDataRecovered!O:O)</f>
        <v>0</v>
      </c>
      <c r="M126">
        <f>SUMIF(RawDataRecovered!$B:$B,$A126,RawDataRecovered!P:P)</f>
        <v>0</v>
      </c>
      <c r="N126">
        <f>SUMIF(RawDataRecovered!$B:$B,$A126,RawDataRecovered!Q:Q)</f>
        <v>0</v>
      </c>
      <c r="O126">
        <f>SUMIF(RawDataRecovered!$B:$B,$A126,RawDataRecovered!R:R)</f>
        <v>0</v>
      </c>
      <c r="P126">
        <f>SUMIF(RawDataRecovered!$B:$B,$A126,RawDataRecovered!S:S)</f>
        <v>0</v>
      </c>
      <c r="Q126">
        <f>SUMIF(RawDataRecovered!$B:$B,$A126,RawDataRecovered!T:T)</f>
        <v>0</v>
      </c>
      <c r="R126">
        <f>SUMIF(RawDataRecovered!$B:$B,$A126,RawDataRecovered!U:U)</f>
        <v>0</v>
      </c>
      <c r="S126">
        <f>SUMIF(RawDataRecovered!$B:$B,$A126,RawDataRecovered!V:V)</f>
        <v>0</v>
      </c>
      <c r="T126">
        <f>SUMIF(RawDataRecovered!$B:$B,$A126,RawDataRecovered!W:W)</f>
        <v>0</v>
      </c>
      <c r="U126">
        <f>SUMIF(RawDataRecovered!$B:$B,$A126,RawDataRecovered!X:X)</f>
        <v>0</v>
      </c>
      <c r="V126">
        <f>SUMIF(RawDataRecovered!$B:$B,$A126,RawDataRecovered!Y:Y)</f>
        <v>0</v>
      </c>
      <c r="W126">
        <f>SUMIF(RawDataRecovered!$B:$B,$A126,RawDataRecovered!Z:Z)</f>
        <v>0</v>
      </c>
      <c r="X126">
        <f>SUMIF(RawDataRecovered!$B:$B,$A126,RawDataRecovered!AA:AA)</f>
        <v>0</v>
      </c>
      <c r="Y126">
        <f>SUMIF(RawDataRecovered!$B:$B,$A126,RawDataRecovered!AB:AB)</f>
        <v>0</v>
      </c>
      <c r="Z126">
        <f>SUMIF(RawDataRecovered!$B:$B,$A126,RawDataRecovered!AC:AC)</f>
        <v>0</v>
      </c>
      <c r="AA126">
        <f>SUMIF(RawDataRecovered!$B:$B,$A126,RawDataRecovered!AD:AD)</f>
        <v>0</v>
      </c>
      <c r="AB126">
        <f>SUMIF(RawDataRecovered!$B:$B,$A126,RawDataRecovered!AE:AE)</f>
        <v>0</v>
      </c>
      <c r="AC126">
        <f>SUMIF(RawDataRecovered!$B:$B,$A126,RawDataRecovered!AF:AF)</f>
        <v>0</v>
      </c>
      <c r="AD126">
        <f>SUMIF(RawDataRecovered!$B:$B,$A126,RawDataRecovered!AG:AG)</f>
        <v>0</v>
      </c>
      <c r="AE126">
        <f>SUMIF(RawDataRecovered!$B:$B,$A126,RawDataRecovered!AH:AH)</f>
        <v>0</v>
      </c>
      <c r="AF126">
        <f>SUMIF(RawDataRecovered!$B:$B,$A126,RawDataRecovered!AI:AI)</f>
        <v>0</v>
      </c>
      <c r="AG126">
        <f>SUMIF(RawDataRecovered!$B:$B,$A126,RawDataRecovered!AJ:AJ)</f>
        <v>0</v>
      </c>
      <c r="AH126">
        <f>SUMIF(RawDataRecovered!$B:$B,$A126,RawDataRecovered!AK:AK)</f>
        <v>0</v>
      </c>
      <c r="AI126">
        <f>SUMIF(RawDataRecovered!$B:$B,$A126,RawDataRecovered!AL:AL)</f>
        <v>0</v>
      </c>
      <c r="AJ126">
        <f>SUMIF(RawDataRecovered!$B:$B,$A126,RawDataRecovered!AM:AM)</f>
        <v>0</v>
      </c>
      <c r="AK126">
        <f>SUMIF(RawDataRecovered!$B:$B,$A126,RawDataRecovered!AN:AN)</f>
        <v>0</v>
      </c>
      <c r="AL126">
        <f>SUMIF(RawDataRecovered!$B:$B,$A126,RawDataRecovered!AO:AO)</f>
        <v>0</v>
      </c>
      <c r="AM126">
        <f>SUMIF(RawDataRecovered!$B:$B,$A126,RawDataRecovered!AP:AP)</f>
        <v>0</v>
      </c>
      <c r="AN126">
        <f>SUMIF(RawDataRecovered!$B:$B,$A126,RawDataRecovered!AQ:AQ)</f>
        <v>0</v>
      </c>
      <c r="AO126">
        <f>SUMIF(RawDataRecovered!$B:$B,$A126,RawDataRecovered!AR:AR)</f>
        <v>0</v>
      </c>
      <c r="AP126">
        <f>SUMIF(RawDataRecovered!$B:$B,$A126,RawDataRecovered!AS:AS)</f>
        <v>0</v>
      </c>
      <c r="AQ126">
        <f>SUMIF(RawDataRecovered!$B:$B,$A126,RawDataRecovered!AT:AT)</f>
        <v>0</v>
      </c>
      <c r="AR126">
        <f>SUMIF(RawDataRecovered!$B:$B,$A126,RawDataRecovered!AU:AU)</f>
        <v>0</v>
      </c>
      <c r="AS126">
        <f>SUMIF(RawDataRecovered!$B:$B,$A126,RawDataRecovered!AV:AV)</f>
        <v>0</v>
      </c>
      <c r="AT126">
        <f>SUMIF(RawDataRecovered!$B:$B,$A126,RawDataRecovered!AW:AW)</f>
        <v>0</v>
      </c>
      <c r="AU126">
        <f>SUMIF(RawDataRecovered!$B:$B,$A126,RawDataRecovered!AX:AX)</f>
        <v>0</v>
      </c>
      <c r="AV126">
        <f>SUMIF(RawDataRecovered!$B:$B,$A126,RawDataRecovered!AY:AY)</f>
        <v>0</v>
      </c>
      <c r="AW126">
        <f>SUMIF(RawDataRecovered!$B:$B,$A126,RawDataRecovered!AZ:AZ)</f>
        <v>0</v>
      </c>
      <c r="AX126">
        <f>SUMIF(RawDataRecovered!$B:$B,$A126,RawDataRecovered!BA:BA)</f>
        <v>0</v>
      </c>
      <c r="AY126">
        <f>SUMIF(RawDataRecovered!$B:$B,$A126,RawDataRecovered!BB:BB)</f>
        <v>0</v>
      </c>
      <c r="AZ126">
        <f>SUMIF(RawDataRecovered!$B:$B,$A126,RawDataRecovered!BC:BC)</f>
        <v>0</v>
      </c>
      <c r="BA126">
        <f>SUMIF(RawDataRecovered!$B:$B,$A126,RawDataRecovered!BD:BD)</f>
        <v>0</v>
      </c>
      <c r="BB126">
        <f>SUMIF(RawDataRecovered!$B:$B,$A126,RawDataRecovered!BE:BE)</f>
        <v>0</v>
      </c>
      <c r="BC126">
        <f>SUMIF(RawDataRecovered!$B:$B,$A126,RawDataRecovered!BF:BF)</f>
        <v>0</v>
      </c>
      <c r="BD126">
        <f>SUMIF(RawDataRecovered!$B:$B,$A126,RawDataRecovered!BG:BG)</f>
        <v>0</v>
      </c>
      <c r="BE126">
        <f>SUMIF(RawDataRecovered!$B:$B,$A126,RawDataRecovered!BH:BH)</f>
        <v>0</v>
      </c>
      <c r="BF126">
        <f>SUMIF(RawDataRecovered!$B:$B,$A126,RawDataRecovered!BI:BI)</f>
        <v>0</v>
      </c>
      <c r="BG126">
        <f>SUMIF(RawDataRecovered!$B:$B,$A126,RawDataRecovered!BJ:BJ)</f>
        <v>0</v>
      </c>
      <c r="BH126">
        <f>SUMIF(RawDataRecovered!$B:$B,$A126,RawDataRecovered!BK:BK)</f>
        <v>0</v>
      </c>
      <c r="BI126">
        <f>SUMIF(RawDataRecovered!$B:$B,$A126,RawDataRecovered!BL:BL)</f>
        <v>0</v>
      </c>
      <c r="BJ126">
        <f>SUMIF(RawDataRecovered!$B:$B,$A126,RawDataRecovered!BM:BM)</f>
        <v>0</v>
      </c>
      <c r="BK126">
        <f>SUMIF(RawDataRecovered!$B:$B,$A126,RawDataRecovered!BN:BN)</f>
        <v>0</v>
      </c>
      <c r="BL126">
        <f>SUMIF(RawDataRecovered!$B:$B,$A126,RawDataRecovered!BO:BO)</f>
        <v>0</v>
      </c>
      <c r="BM126">
        <f>SUMIF(RawDataRecovered!$B:$B,$A126,RawDataRecovered!BP:BP)</f>
        <v>0</v>
      </c>
      <c r="BN126">
        <f>SUMIF(RawDataRecovered!$B:$B,$A126,RawDataRecovered!BQ:BQ)</f>
        <v>0</v>
      </c>
      <c r="BO126">
        <f>SUMIF(RawDataRecovered!$B:$B,$A126,RawDataRecovered!BR:BR)</f>
        <v>0</v>
      </c>
      <c r="BP126">
        <f>SUMIF(RawDataRecovered!$B:$B,$A126,RawDataRecovered!BS:BS)</f>
        <v>0</v>
      </c>
      <c r="BQ126">
        <f>SUMIF(RawDataRecovered!$B:$B,$A126,RawDataRecovered!BT:BT)</f>
        <v>0</v>
      </c>
      <c r="BR126">
        <f>SUMIF(RawDataRecovered!$B:$B,$A126,RawDataRecovered!BU:BU)</f>
        <v>0</v>
      </c>
      <c r="BS126">
        <f>SUMIF(RawDataRecovered!$B:$B,$A126,RawDataRecovered!BV:BV)</f>
        <v>0</v>
      </c>
      <c r="BT126">
        <f>SUMIF(RawDataRecovered!$B:$B,$A126,RawDataRecovered!BW:BW)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365</v>
      </c>
      <c r="B2">
        <f>SUMIF(RawDataDead!$B:$B,$A2,RawDataDead!E:E)</f>
        <v>17</v>
      </c>
      <c r="C2">
        <f>SUMIF(RawDataDead!$B:$B,$A2,RawDataDead!F:F)</f>
        <v>18</v>
      </c>
      <c r="D2">
        <f>SUMIF(RawDataDead!$B:$B,$A2,RawDataDead!G:G)</f>
        <v>26</v>
      </c>
      <c r="E2">
        <f>SUMIF(RawDataDead!$B:$B,$A2,RawDataDead!H:H)</f>
        <v>42</v>
      </c>
      <c r="F2">
        <f>SUMIF(RawDataDead!$B:$B,$A2,RawDataDead!I:I)</f>
        <v>56</v>
      </c>
      <c r="G2">
        <f>SUMIF(RawDataDead!$B:$B,$A2,RawDataDead!J:J)</f>
        <v>82</v>
      </c>
      <c r="H2">
        <f>SUMIF(RawDataDead!$B:$B,$A2,RawDataDead!K:K)</f>
        <v>131</v>
      </c>
      <c r="I2">
        <f>SUMIF(RawDataDead!$B:$B,$A2,RawDataDead!L:L)</f>
        <v>133</v>
      </c>
      <c r="J2">
        <f>SUMIF(RawDataDead!$B:$B,$A2,RawDataDead!M:M)</f>
        <v>171</v>
      </c>
      <c r="K2">
        <f>SUMIF(RawDataDead!$B:$B,$A2,RawDataDead!N:N)</f>
        <v>213</v>
      </c>
      <c r="L2">
        <f>SUMIF(RawDataDead!$B:$B,$A2,RawDataDead!O:O)</f>
        <v>259</v>
      </c>
      <c r="M2">
        <f>SUMIF(RawDataDead!$B:$B,$A2,RawDataDead!P:P)</f>
        <v>361</v>
      </c>
      <c r="N2">
        <f>SUMIF(RawDataDead!$B:$B,$A2,RawDataDead!Q:Q)</f>
        <v>425</v>
      </c>
      <c r="O2">
        <f>SUMIF(RawDataDead!$B:$B,$A2,RawDataDead!R:R)</f>
        <v>491</v>
      </c>
      <c r="P2">
        <f>SUMIF(RawDataDead!$B:$B,$A2,RawDataDead!S:S)</f>
        <v>563</v>
      </c>
      <c r="Q2">
        <f>SUMIF(RawDataDead!$B:$B,$A2,RawDataDead!T:T)</f>
        <v>633</v>
      </c>
      <c r="R2">
        <f>SUMIF(RawDataDead!$B:$B,$A2,RawDataDead!U:U)</f>
        <v>718</v>
      </c>
      <c r="S2">
        <f>SUMIF(RawDataDead!$B:$B,$A2,RawDataDead!V:V)</f>
        <v>805</v>
      </c>
      <c r="T2">
        <f>SUMIF(RawDataDead!$B:$B,$A2,RawDataDead!W:W)</f>
        <v>905</v>
      </c>
      <c r="U2">
        <f>SUMIF(RawDataDead!$B:$B,$A2,RawDataDead!X:X)</f>
        <v>1012</v>
      </c>
      <c r="V2">
        <f>SUMIF(RawDataDead!$B:$B,$A2,RawDataDead!Y:Y)</f>
        <v>1112</v>
      </c>
      <c r="W2">
        <f>SUMIF(RawDataDead!$B:$B,$A2,RawDataDead!Z:Z)</f>
        <v>1117</v>
      </c>
      <c r="X2">
        <f>SUMIF(RawDataDead!$B:$B,$A2,RawDataDead!AA:AA)</f>
        <v>1369</v>
      </c>
      <c r="Y2">
        <f>SUMIF(RawDataDead!$B:$B,$A2,RawDataDead!AB:AB)</f>
        <v>1521</v>
      </c>
      <c r="Z2">
        <f>SUMIF(RawDataDead!$B:$B,$A2,RawDataDead!AC:AC)</f>
        <v>1663</v>
      </c>
      <c r="AA2">
        <f>SUMIF(RawDataDead!$B:$B,$A2,RawDataDead!AD:AD)</f>
        <v>1766</v>
      </c>
      <c r="AB2">
        <f>SUMIF(RawDataDead!$B:$B,$A2,RawDataDead!AE:AE)</f>
        <v>1864</v>
      </c>
      <c r="AC2">
        <f>SUMIF(RawDataDead!$B:$B,$A2,RawDataDead!AF:AF)</f>
        <v>2003</v>
      </c>
      <c r="AD2">
        <f>SUMIF(RawDataDead!$B:$B,$A2,RawDataDead!AG:AG)</f>
        <v>2116</v>
      </c>
      <c r="AE2">
        <f>SUMIF(RawDataDead!$B:$B,$A2,RawDataDead!AH:AH)</f>
        <v>2238</v>
      </c>
      <c r="AF2">
        <f>SUMIF(RawDataDead!$B:$B,$A2,RawDataDead!AI:AI)</f>
        <v>2238</v>
      </c>
      <c r="AG2">
        <f>SUMIF(RawDataDead!$B:$B,$A2,RawDataDead!AJ:AJ)</f>
        <v>2443</v>
      </c>
      <c r="AH2">
        <f>SUMIF(RawDataDead!$B:$B,$A2,RawDataDead!AK:AK)</f>
        <v>2445</v>
      </c>
      <c r="AI2">
        <f>SUMIF(RawDataDead!$B:$B,$A2,RawDataDead!AL:AL)</f>
        <v>2595</v>
      </c>
      <c r="AJ2">
        <f>SUMIF(RawDataDead!$B:$B,$A2,RawDataDead!AM:AM)</f>
        <v>2665</v>
      </c>
      <c r="AK2">
        <f>SUMIF(RawDataDead!$B:$B,$A2,RawDataDead!AN:AN)</f>
        <v>2717</v>
      </c>
      <c r="AL2">
        <f>SUMIF(RawDataDead!$B:$B,$A2,RawDataDead!AO:AO)</f>
        <v>2746</v>
      </c>
      <c r="AM2">
        <f>SUMIF(RawDataDead!$B:$B,$A2,RawDataDead!AP:AP)</f>
        <v>2790</v>
      </c>
      <c r="AN2">
        <f>SUMIF(RawDataDead!$B:$B,$A2,RawDataDead!AQ:AQ)</f>
        <v>2837</v>
      </c>
      <c r="AO2">
        <f>SUMIF(RawDataDead!$B:$B,$A2,RawDataDead!AR:AR)</f>
        <v>2872</v>
      </c>
      <c r="AP2">
        <f>SUMIF(RawDataDead!$B:$B,$A2,RawDataDead!AS:AS)</f>
        <v>2914</v>
      </c>
      <c r="AQ2">
        <f>SUMIF(RawDataDead!$B:$B,$A2,RawDataDead!AT:AT)</f>
        <v>2947</v>
      </c>
      <c r="AR2">
        <f>SUMIF(RawDataDead!$B:$B,$A2,RawDataDead!AU:AU)</f>
        <v>2983</v>
      </c>
      <c r="AS2">
        <f>SUMIF(RawDataDead!$B:$B,$A2,RawDataDead!AV:AV)</f>
        <v>3015</v>
      </c>
      <c r="AT2">
        <f>SUMIF(RawDataDead!$B:$B,$A2,RawDataDead!AW:AW)</f>
        <v>3044</v>
      </c>
      <c r="AU2">
        <f>SUMIF(RawDataDead!$B:$B,$A2,RawDataDead!AX:AX)</f>
        <v>3072</v>
      </c>
      <c r="AV2">
        <f>SUMIF(RawDataDead!$B:$B,$A2,RawDataDead!AY:AY)</f>
        <v>3100</v>
      </c>
      <c r="AW2">
        <f>SUMIF(RawDataDead!$B:$B,$A2,RawDataDead!AZ:AZ)</f>
        <v>3123</v>
      </c>
      <c r="AX2">
        <f>SUMIF(RawDataDead!$B:$B,$A2,RawDataDead!BA:BA)</f>
        <v>3139</v>
      </c>
      <c r="AY2">
        <f>SUMIF(RawDataDead!$B:$B,$A2,RawDataDead!BB:BB)</f>
        <v>3161</v>
      </c>
      <c r="AZ2">
        <f>SUMIF(RawDataDead!$B:$B,$A2,RawDataDead!BC:BC)</f>
        <v>3172</v>
      </c>
      <c r="BA2">
        <f>SUMIF(RawDataDead!$B:$B,$A2,RawDataDead!BD:BD)</f>
        <v>3180</v>
      </c>
      <c r="BB2">
        <f>SUMIF(RawDataDead!$B:$B,$A2,RawDataDead!BE:BE)</f>
        <v>3193</v>
      </c>
      <c r="BC2">
        <f>SUMIF(RawDataDead!$B:$B,$A2,RawDataDead!BF:BF)</f>
        <v>3203</v>
      </c>
      <c r="BD2">
        <f>SUMIF(RawDataDead!$B:$B,$A2,RawDataDead!BG:BG)</f>
        <v>3217</v>
      </c>
      <c r="BE2">
        <f>SUMIF(RawDataDead!$B:$B,$A2,RawDataDead!BH:BH)</f>
        <v>3230</v>
      </c>
      <c r="BF2">
        <f>SUMIF(RawDataDead!$B:$B,$A2,RawDataDead!BI:BI)</f>
        <v>0</v>
      </c>
      <c r="BG2">
        <f>SUMIF(RawDataDead!$B:$B,$A2,RawDataDead!BJ:BJ)</f>
        <v>0</v>
      </c>
      <c r="BH2">
        <f>SUMIF(RawDataDead!$B:$B,$A2,RawDataDead!BK:BK)</f>
        <v>0</v>
      </c>
      <c r="BI2">
        <f>SUMIF(RawDataDead!$B:$B,$A2,RawDataDead!BL:BL)</f>
        <v>0</v>
      </c>
      <c r="BJ2">
        <f>SUMIF(RawDataDead!$B:$B,$A2,RawDataDead!BM:BM)</f>
        <v>0</v>
      </c>
      <c r="BK2">
        <f>SUMIF(RawDataDead!$B:$B,$A2,RawDataDead!BN:BN)</f>
        <v>0</v>
      </c>
      <c r="BL2">
        <f>SUMIF(RawDataDead!$B:$B,$A2,RawDataDead!BO:BO)</f>
        <v>0</v>
      </c>
      <c r="BM2">
        <f>SUMIF(RawDataDead!$B:$B,$A2,RawDataDead!BP:BP)</f>
        <v>0</v>
      </c>
      <c r="BN2">
        <f>SUMIF(RawDataDead!$B:$B,$A2,RawDataDead!BQ:BQ)</f>
        <v>0</v>
      </c>
      <c r="BO2">
        <f>SUMIF(RawDataDead!$B:$B,$A2,RawDataDead!BR:BR)</f>
        <v>0</v>
      </c>
      <c r="BP2">
        <f>SUMIF(RawDataDead!$B:$B,$A2,RawDataDead!BS:BS)</f>
        <v>0</v>
      </c>
      <c r="BQ2">
        <f>SUMIF(RawDataDead!$B:$B,$A2,RawDataDead!BT:BT)</f>
        <v>0</v>
      </c>
      <c r="BR2">
        <f>SUMIF(RawDataDead!$B:$B,$A2,RawDataDead!BU:BU)</f>
        <v>0</v>
      </c>
      <c r="BS2">
        <f>SUMIF(RawDataDead!$B:$B,$A2,RawDataDead!BV:BV)</f>
        <v>0</v>
      </c>
      <c r="BT2">
        <f>SUMIF(RawDataDead!$B:$B,$A2,RawDataDead!BW:BW)</f>
        <v>0</v>
      </c>
    </row>
    <row r="3" spans="1:72" ht="15" thickBot="1" x14ac:dyDescent="0.35">
      <c r="A3" s="3" t="s">
        <v>85</v>
      </c>
      <c r="B3">
        <f>SUMIF(RawDataDead!$B:$B,$A3,RawDataDead!E:E)</f>
        <v>0</v>
      </c>
      <c r="C3">
        <f>SUMIF(RawDataDead!$B:$B,$A3,RawDataDead!F:F)</f>
        <v>0</v>
      </c>
      <c r="D3">
        <f>SUMIF(RawDataDead!$B:$B,$A3,RawDataDead!G:G)</f>
        <v>0</v>
      </c>
      <c r="E3">
        <f>SUMIF(RawDataDead!$B:$B,$A3,RawDataDead!H:H)</f>
        <v>0</v>
      </c>
      <c r="F3">
        <f>SUMIF(RawDataDead!$B:$B,$A3,RawDataDead!I:I)</f>
        <v>0</v>
      </c>
      <c r="G3">
        <f>SUMIF(RawDataDead!$B:$B,$A3,RawDataDead!J:J)</f>
        <v>0</v>
      </c>
      <c r="H3">
        <f>SUMIF(RawDataDead!$B:$B,$A3,RawDataDead!K:K)</f>
        <v>0</v>
      </c>
      <c r="I3">
        <f>SUMIF(RawDataDead!$B:$B,$A3,RawDataDead!L:L)</f>
        <v>0</v>
      </c>
      <c r="J3">
        <f>SUMIF(RawDataDead!$B:$B,$A3,RawDataDead!M:M)</f>
        <v>0</v>
      </c>
      <c r="K3">
        <f>SUMIF(RawDataDead!$B:$B,$A3,RawDataDead!N:N)</f>
        <v>0</v>
      </c>
      <c r="L3">
        <f>SUMIF(RawDataDead!$B:$B,$A3,RawDataDead!O:O)</f>
        <v>0</v>
      </c>
      <c r="M3">
        <f>SUMIF(RawDataDead!$B:$B,$A3,RawDataDead!P:P)</f>
        <v>0</v>
      </c>
      <c r="N3">
        <f>SUMIF(RawDataDead!$B:$B,$A3,RawDataDead!Q:Q)</f>
        <v>0</v>
      </c>
      <c r="O3">
        <f>SUMIF(RawDataDead!$B:$B,$A3,RawDataDead!R:R)</f>
        <v>0</v>
      </c>
      <c r="P3">
        <f>SUMIF(RawDataDead!$B:$B,$A3,RawDataDead!S:S)</f>
        <v>0</v>
      </c>
      <c r="Q3">
        <f>SUMIF(RawDataDead!$B:$B,$A3,RawDataDead!T:T)</f>
        <v>0</v>
      </c>
      <c r="R3">
        <f>SUMIF(RawDataDead!$B:$B,$A3,RawDataDead!U:U)</f>
        <v>0</v>
      </c>
      <c r="S3">
        <f>SUMIF(RawDataDead!$B:$B,$A3,RawDataDead!V:V)</f>
        <v>0</v>
      </c>
      <c r="T3">
        <f>SUMIF(RawDataDead!$B:$B,$A3,RawDataDead!W:W)</f>
        <v>0</v>
      </c>
      <c r="U3">
        <f>SUMIF(RawDataDead!$B:$B,$A3,RawDataDead!X:X)</f>
        <v>0</v>
      </c>
      <c r="V3">
        <f>SUMIF(RawDataDead!$B:$B,$A3,RawDataDead!Y:Y)</f>
        <v>0</v>
      </c>
      <c r="W3">
        <f>SUMIF(RawDataDead!$B:$B,$A3,RawDataDead!Z:Z)</f>
        <v>0</v>
      </c>
      <c r="X3">
        <f>SUMIF(RawDataDead!$B:$B,$A3,RawDataDead!AA:AA)</f>
        <v>0</v>
      </c>
      <c r="Y3">
        <f>SUMIF(RawDataDead!$B:$B,$A3,RawDataDead!AB:AB)</f>
        <v>0</v>
      </c>
      <c r="Z3">
        <f>SUMIF(RawDataDead!$B:$B,$A3,RawDataDead!AC:AC)</f>
        <v>0</v>
      </c>
      <c r="AA3">
        <f>SUMIF(RawDataDead!$B:$B,$A3,RawDataDead!AD:AD)</f>
        <v>0</v>
      </c>
      <c r="AB3">
        <f>SUMIF(RawDataDead!$B:$B,$A3,RawDataDead!AE:AE)</f>
        <v>0</v>
      </c>
      <c r="AC3">
        <f>SUMIF(RawDataDead!$B:$B,$A3,RawDataDead!AF:AF)</f>
        <v>0</v>
      </c>
      <c r="AD3">
        <f>SUMIF(RawDataDead!$B:$B,$A3,RawDataDead!AG:AG)</f>
        <v>0</v>
      </c>
      <c r="AE3">
        <f>SUMIF(RawDataDead!$B:$B,$A3,RawDataDead!AH:AH)</f>
        <v>0</v>
      </c>
      <c r="AF3">
        <f>SUMIF(RawDataDead!$B:$B,$A3,RawDataDead!AI:AI)</f>
        <v>1</v>
      </c>
      <c r="AG3">
        <f>SUMIF(RawDataDead!$B:$B,$A3,RawDataDead!AJ:AJ)</f>
        <v>2</v>
      </c>
      <c r="AH3">
        <f>SUMIF(RawDataDead!$B:$B,$A3,RawDataDead!AK:AK)</f>
        <v>3</v>
      </c>
      <c r="AI3">
        <f>SUMIF(RawDataDead!$B:$B,$A3,RawDataDead!AL:AL)</f>
        <v>7</v>
      </c>
      <c r="AJ3">
        <f>SUMIF(RawDataDead!$B:$B,$A3,RawDataDead!AM:AM)</f>
        <v>10</v>
      </c>
      <c r="AK3">
        <f>SUMIF(RawDataDead!$B:$B,$A3,RawDataDead!AN:AN)</f>
        <v>12</v>
      </c>
      <c r="AL3">
        <f>SUMIF(RawDataDead!$B:$B,$A3,RawDataDead!AO:AO)</f>
        <v>17</v>
      </c>
      <c r="AM3">
        <f>SUMIF(RawDataDead!$B:$B,$A3,RawDataDead!AP:AP)</f>
        <v>21</v>
      </c>
      <c r="AN3">
        <f>SUMIF(RawDataDead!$B:$B,$A3,RawDataDead!AQ:AQ)</f>
        <v>29</v>
      </c>
      <c r="AO3">
        <f>SUMIF(RawDataDead!$B:$B,$A3,RawDataDead!AR:AR)</f>
        <v>34</v>
      </c>
      <c r="AP3">
        <f>SUMIF(RawDataDead!$B:$B,$A3,RawDataDead!AS:AS)</f>
        <v>52</v>
      </c>
      <c r="AQ3">
        <f>SUMIF(RawDataDead!$B:$B,$A3,RawDataDead!AT:AT)</f>
        <v>79</v>
      </c>
      <c r="AR3">
        <f>SUMIF(RawDataDead!$B:$B,$A3,RawDataDead!AU:AU)</f>
        <v>107</v>
      </c>
      <c r="AS3">
        <f>SUMIF(RawDataDead!$B:$B,$A3,RawDataDead!AV:AV)</f>
        <v>148</v>
      </c>
      <c r="AT3">
        <f>SUMIF(RawDataDead!$B:$B,$A3,RawDataDead!AW:AW)</f>
        <v>197</v>
      </c>
      <c r="AU3">
        <f>SUMIF(RawDataDead!$B:$B,$A3,RawDataDead!AX:AX)</f>
        <v>233</v>
      </c>
      <c r="AV3">
        <f>SUMIF(RawDataDead!$B:$B,$A3,RawDataDead!AY:AY)</f>
        <v>366</v>
      </c>
      <c r="AW3">
        <f>SUMIF(RawDataDead!$B:$B,$A3,RawDataDead!AZ:AZ)</f>
        <v>463</v>
      </c>
      <c r="AX3">
        <f>SUMIF(RawDataDead!$B:$B,$A3,RawDataDead!BA:BA)</f>
        <v>631</v>
      </c>
      <c r="AY3">
        <f>SUMIF(RawDataDead!$B:$B,$A3,RawDataDead!BB:BB)</f>
        <v>827</v>
      </c>
      <c r="AZ3">
        <f>SUMIF(RawDataDead!$B:$B,$A3,RawDataDead!BC:BC)</f>
        <v>827</v>
      </c>
      <c r="BA3">
        <f>SUMIF(RawDataDead!$B:$B,$A3,RawDataDead!BD:BD)</f>
        <v>1266</v>
      </c>
      <c r="BB3">
        <f>SUMIF(RawDataDead!$B:$B,$A3,RawDataDead!BE:BE)</f>
        <v>1441</v>
      </c>
      <c r="BC3">
        <f>SUMIF(RawDataDead!$B:$B,$A3,RawDataDead!BF:BF)</f>
        <v>1809</v>
      </c>
      <c r="BD3">
        <f>SUMIF(RawDataDead!$B:$B,$A3,RawDataDead!BG:BG)</f>
        <v>2158</v>
      </c>
      <c r="BE3">
        <f>SUMIF(RawDataDead!$B:$B,$A3,RawDataDead!BH:BH)</f>
        <v>2503</v>
      </c>
      <c r="BF3">
        <f>SUMIF(RawDataDead!$B:$B,$A3,RawDataDead!BI:BI)</f>
        <v>0</v>
      </c>
      <c r="BG3">
        <f>SUMIF(RawDataDead!$B:$B,$A3,RawDataDead!BJ:BJ)</f>
        <v>0</v>
      </c>
      <c r="BH3">
        <f>SUMIF(RawDataDead!$B:$B,$A3,RawDataDead!BK:BK)</f>
        <v>0</v>
      </c>
      <c r="BI3">
        <f>SUMIF(RawDataDead!$B:$B,$A3,RawDataDead!BL:BL)</f>
        <v>0</v>
      </c>
      <c r="BJ3">
        <f>SUMIF(RawDataDead!$B:$B,$A3,RawDataDead!BM:BM)</f>
        <v>0</v>
      </c>
      <c r="BK3">
        <f>SUMIF(RawDataDead!$B:$B,$A3,RawDataDead!BN:BN)</f>
        <v>0</v>
      </c>
      <c r="BL3">
        <f>SUMIF(RawDataDead!$B:$B,$A3,RawDataDead!BO:BO)</f>
        <v>0</v>
      </c>
      <c r="BM3">
        <f>SUMIF(RawDataDead!$B:$B,$A3,RawDataDead!BP:BP)</f>
        <v>0</v>
      </c>
      <c r="BN3">
        <f>SUMIF(RawDataDead!$B:$B,$A3,RawDataDead!BQ:BQ)</f>
        <v>0</v>
      </c>
      <c r="BO3">
        <f>SUMIF(RawDataDead!$B:$B,$A3,RawDataDead!BR:BR)</f>
        <v>0</v>
      </c>
      <c r="BP3">
        <f>SUMIF(RawDataDead!$B:$B,$A3,RawDataDead!BS:BS)</f>
        <v>0</v>
      </c>
      <c r="BQ3">
        <f>SUMIF(RawDataDead!$B:$B,$A3,RawDataDead!BT:BT)</f>
        <v>0</v>
      </c>
      <c r="BR3">
        <f>SUMIF(RawDataDead!$B:$B,$A3,RawDataDead!BU:BU)</f>
        <v>0</v>
      </c>
      <c r="BS3">
        <f>SUMIF(RawDataDead!$B:$B,$A3,RawDataDead!BV:BV)</f>
        <v>0</v>
      </c>
      <c r="BT3">
        <f>SUMIF(RawDataDead!$B:$B,$A3,RawDataDead!BW:BW)</f>
        <v>0</v>
      </c>
    </row>
    <row r="4" spans="1:72" ht="15" thickBot="1" x14ac:dyDescent="0.35">
      <c r="A4" s="4" t="s">
        <v>366</v>
      </c>
      <c r="B4">
        <f>SUMIF(RawDataDead!$B:$B,$A4,RawDataDead!E:E)</f>
        <v>0</v>
      </c>
      <c r="C4">
        <f>SUMIF(RawDataDead!$B:$B,$A4,RawDataDead!F:F)</f>
        <v>0</v>
      </c>
      <c r="D4">
        <f>SUMIF(RawDataDead!$B:$B,$A4,RawDataDead!G:G)</f>
        <v>0</v>
      </c>
      <c r="E4">
        <f>SUMIF(RawDataDead!$B:$B,$A4,RawDataDead!H:H)</f>
        <v>0</v>
      </c>
      <c r="F4">
        <f>SUMIF(RawDataDead!$B:$B,$A4,RawDataDead!I:I)</f>
        <v>0</v>
      </c>
      <c r="G4">
        <f>SUMIF(RawDataDead!$B:$B,$A4,RawDataDead!J:J)</f>
        <v>0</v>
      </c>
      <c r="H4">
        <f>SUMIF(RawDataDead!$B:$B,$A4,RawDataDead!K:K)</f>
        <v>0</v>
      </c>
      <c r="I4">
        <f>SUMIF(RawDataDead!$B:$B,$A4,RawDataDead!L:L)</f>
        <v>0</v>
      </c>
      <c r="J4">
        <f>SUMIF(RawDataDead!$B:$B,$A4,RawDataDead!M:M)</f>
        <v>0</v>
      </c>
      <c r="K4">
        <f>SUMIF(RawDataDead!$B:$B,$A4,RawDataDead!N:N)</f>
        <v>0</v>
      </c>
      <c r="L4">
        <f>SUMIF(RawDataDead!$B:$B,$A4,RawDataDead!O:O)</f>
        <v>0</v>
      </c>
      <c r="M4">
        <f>SUMIF(RawDataDead!$B:$B,$A4,RawDataDead!P:P)</f>
        <v>0</v>
      </c>
      <c r="N4">
        <f>SUMIF(RawDataDead!$B:$B,$A4,RawDataDead!Q:Q)</f>
        <v>0</v>
      </c>
      <c r="O4">
        <f>SUMIF(RawDataDead!$B:$B,$A4,RawDataDead!R:R)</f>
        <v>0</v>
      </c>
      <c r="P4">
        <f>SUMIF(RawDataDead!$B:$B,$A4,RawDataDead!S:S)</f>
        <v>0</v>
      </c>
      <c r="Q4">
        <f>SUMIF(RawDataDead!$B:$B,$A4,RawDataDead!T:T)</f>
        <v>0</v>
      </c>
      <c r="R4">
        <f>SUMIF(RawDataDead!$B:$B,$A4,RawDataDead!U:U)</f>
        <v>0</v>
      </c>
      <c r="S4">
        <f>SUMIF(RawDataDead!$B:$B,$A4,RawDataDead!V:V)</f>
        <v>0</v>
      </c>
      <c r="T4">
        <f>SUMIF(RawDataDead!$B:$B,$A4,RawDataDead!W:W)</f>
        <v>0</v>
      </c>
      <c r="U4">
        <f>SUMIF(RawDataDead!$B:$B,$A4,RawDataDead!X:X)</f>
        <v>0</v>
      </c>
      <c r="V4">
        <f>SUMIF(RawDataDead!$B:$B,$A4,RawDataDead!Y:Y)</f>
        <v>0</v>
      </c>
      <c r="W4">
        <f>SUMIF(RawDataDead!$B:$B,$A4,RawDataDead!Z:Z)</f>
        <v>0</v>
      </c>
      <c r="X4">
        <f>SUMIF(RawDataDead!$B:$B,$A4,RawDataDead!AA:AA)</f>
        <v>0</v>
      </c>
      <c r="Y4">
        <f>SUMIF(RawDataDead!$B:$B,$A4,RawDataDead!AB:AB)</f>
        <v>0</v>
      </c>
      <c r="Z4">
        <f>SUMIF(RawDataDead!$B:$B,$A4,RawDataDead!AC:AC)</f>
        <v>0</v>
      </c>
      <c r="AA4">
        <f>SUMIF(RawDataDead!$B:$B,$A4,RawDataDead!AD:AD)</f>
        <v>0</v>
      </c>
      <c r="AB4">
        <f>SUMIF(RawDataDead!$B:$B,$A4,RawDataDead!AE:AE)</f>
        <v>0</v>
      </c>
      <c r="AC4">
        <f>SUMIF(RawDataDead!$B:$B,$A4,RawDataDead!AF:AF)</f>
        <v>0</v>
      </c>
      <c r="AD4">
        <f>SUMIF(RawDataDead!$B:$B,$A4,RawDataDead!AG:AG)</f>
        <v>2</v>
      </c>
      <c r="AE4">
        <f>SUMIF(RawDataDead!$B:$B,$A4,RawDataDead!AH:AH)</f>
        <v>2</v>
      </c>
      <c r="AF4">
        <f>SUMIF(RawDataDead!$B:$B,$A4,RawDataDead!AI:AI)</f>
        <v>4</v>
      </c>
      <c r="AG4">
        <f>SUMIF(RawDataDead!$B:$B,$A4,RawDataDead!AJ:AJ)</f>
        <v>5</v>
      </c>
      <c r="AH4">
        <f>SUMIF(RawDataDead!$B:$B,$A4,RawDataDead!AK:AK)</f>
        <v>8</v>
      </c>
      <c r="AI4">
        <f>SUMIF(RawDataDead!$B:$B,$A4,RawDataDead!AL:AL)</f>
        <v>12</v>
      </c>
      <c r="AJ4">
        <f>SUMIF(RawDataDead!$B:$B,$A4,RawDataDead!AM:AM)</f>
        <v>16</v>
      </c>
      <c r="AK4">
        <f>SUMIF(RawDataDead!$B:$B,$A4,RawDataDead!AN:AN)</f>
        <v>19</v>
      </c>
      <c r="AL4">
        <f>SUMIF(RawDataDead!$B:$B,$A4,RawDataDead!AO:AO)</f>
        <v>26</v>
      </c>
      <c r="AM4">
        <f>SUMIF(RawDataDead!$B:$B,$A4,RawDataDead!AP:AP)</f>
        <v>34</v>
      </c>
      <c r="AN4">
        <f>SUMIF(RawDataDead!$B:$B,$A4,RawDataDead!AQ:AQ)</f>
        <v>43</v>
      </c>
      <c r="AO4">
        <f>SUMIF(RawDataDead!$B:$B,$A4,RawDataDead!AR:AR)</f>
        <v>54</v>
      </c>
      <c r="AP4">
        <f>SUMIF(RawDataDead!$B:$B,$A4,RawDataDead!AS:AS)</f>
        <v>66</v>
      </c>
      <c r="AQ4">
        <f>SUMIF(RawDataDead!$B:$B,$A4,RawDataDead!AT:AT)</f>
        <v>77</v>
      </c>
      <c r="AR4">
        <f>SUMIF(RawDataDead!$B:$B,$A4,RawDataDead!AU:AU)</f>
        <v>92</v>
      </c>
      <c r="AS4">
        <f>SUMIF(RawDataDead!$B:$B,$A4,RawDataDead!AV:AV)</f>
        <v>107</v>
      </c>
      <c r="AT4">
        <f>SUMIF(RawDataDead!$B:$B,$A4,RawDataDead!AW:AW)</f>
        <v>124</v>
      </c>
      <c r="AU4">
        <f>SUMIF(RawDataDead!$B:$B,$A4,RawDataDead!AX:AX)</f>
        <v>145</v>
      </c>
      <c r="AV4">
        <f>SUMIF(RawDataDead!$B:$B,$A4,RawDataDead!AY:AY)</f>
        <v>194</v>
      </c>
      <c r="AW4">
        <f>SUMIF(RawDataDead!$B:$B,$A4,RawDataDead!AZ:AZ)</f>
        <v>237</v>
      </c>
      <c r="AX4">
        <f>SUMIF(RawDataDead!$B:$B,$A4,RawDataDead!BA:BA)</f>
        <v>291</v>
      </c>
      <c r="AY4">
        <f>SUMIF(RawDataDead!$B:$B,$A4,RawDataDead!BB:BB)</f>
        <v>354</v>
      </c>
      <c r="AZ4">
        <f>SUMIF(RawDataDead!$B:$B,$A4,RawDataDead!BC:BC)</f>
        <v>429</v>
      </c>
      <c r="BA4">
        <f>SUMIF(RawDataDead!$B:$B,$A4,RawDataDead!BD:BD)</f>
        <v>514</v>
      </c>
      <c r="BB4">
        <f>SUMIF(RawDataDead!$B:$B,$A4,RawDataDead!BE:BE)</f>
        <v>611</v>
      </c>
      <c r="BC4">
        <f>SUMIF(RawDataDead!$B:$B,$A4,RawDataDead!BF:BF)</f>
        <v>724</v>
      </c>
      <c r="BD4">
        <f>SUMIF(RawDataDead!$B:$B,$A4,RawDataDead!BG:BG)</f>
        <v>853</v>
      </c>
      <c r="BE4">
        <f>SUMIF(RawDataDead!$B:$B,$A4,RawDataDead!BH:BH)</f>
        <v>988</v>
      </c>
      <c r="BF4">
        <f>SUMIF(RawDataDead!$B:$B,$A4,RawDataDead!BI:BI)</f>
        <v>0</v>
      </c>
      <c r="BG4">
        <f>SUMIF(RawDataDead!$B:$B,$A4,RawDataDead!BJ:BJ)</f>
        <v>0</v>
      </c>
      <c r="BH4">
        <f>SUMIF(RawDataDead!$B:$B,$A4,RawDataDead!BK:BK)</f>
        <v>0</v>
      </c>
      <c r="BI4">
        <f>SUMIF(RawDataDead!$B:$B,$A4,RawDataDead!BL:BL)</f>
        <v>0</v>
      </c>
      <c r="BJ4">
        <f>SUMIF(RawDataDead!$B:$B,$A4,RawDataDead!BM:BM)</f>
        <v>0</v>
      </c>
      <c r="BK4">
        <f>SUMIF(RawDataDead!$B:$B,$A4,RawDataDead!BN:BN)</f>
        <v>0</v>
      </c>
      <c r="BL4">
        <f>SUMIF(RawDataDead!$B:$B,$A4,RawDataDead!BO:BO)</f>
        <v>0</v>
      </c>
      <c r="BM4">
        <f>SUMIF(RawDataDead!$B:$B,$A4,RawDataDead!BP:BP)</f>
        <v>0</v>
      </c>
      <c r="BN4">
        <f>SUMIF(RawDataDead!$B:$B,$A4,RawDataDead!BQ:BQ)</f>
        <v>0</v>
      </c>
      <c r="BO4">
        <f>SUMIF(RawDataDead!$B:$B,$A4,RawDataDead!BR:BR)</f>
        <v>0</v>
      </c>
      <c r="BP4">
        <f>SUMIF(RawDataDead!$B:$B,$A4,RawDataDead!BS:BS)</f>
        <v>0</v>
      </c>
      <c r="BQ4">
        <f>SUMIF(RawDataDead!$B:$B,$A4,RawDataDead!BT:BT)</f>
        <v>0</v>
      </c>
      <c r="BR4">
        <f>SUMIF(RawDataDead!$B:$B,$A4,RawDataDead!BU:BU)</f>
        <v>0</v>
      </c>
      <c r="BS4">
        <f>SUMIF(RawDataDead!$B:$B,$A4,RawDataDead!BV:BV)</f>
        <v>0</v>
      </c>
      <c r="BT4">
        <f>SUMIF(RawDataDead!$B:$B,$A4,RawDataDead!BW:BW)</f>
        <v>0</v>
      </c>
    </row>
    <row r="5" spans="1:72" ht="15" thickBot="1" x14ac:dyDescent="0.35">
      <c r="A5" s="3" t="s">
        <v>367</v>
      </c>
      <c r="B5">
        <f>SUMIF(RawDataDead!$B:$B,$A5,RawDataDead!E:E)</f>
        <v>0</v>
      </c>
      <c r="C5">
        <f>SUMIF(RawDataDead!$B:$B,$A5,RawDataDead!F:F)</f>
        <v>0</v>
      </c>
      <c r="D5">
        <f>SUMIF(RawDataDead!$B:$B,$A5,RawDataDead!G:G)</f>
        <v>0</v>
      </c>
      <c r="E5">
        <f>SUMIF(RawDataDead!$B:$B,$A5,RawDataDead!H:H)</f>
        <v>0</v>
      </c>
      <c r="F5">
        <f>SUMIF(RawDataDead!$B:$B,$A5,RawDataDead!I:I)</f>
        <v>0</v>
      </c>
      <c r="G5">
        <f>SUMIF(RawDataDead!$B:$B,$A5,RawDataDead!J:J)</f>
        <v>0</v>
      </c>
      <c r="H5">
        <f>SUMIF(RawDataDead!$B:$B,$A5,RawDataDead!K:K)</f>
        <v>0</v>
      </c>
      <c r="I5">
        <f>SUMIF(RawDataDead!$B:$B,$A5,RawDataDead!L:L)</f>
        <v>0</v>
      </c>
      <c r="J5">
        <f>SUMIF(RawDataDead!$B:$B,$A5,RawDataDead!M:M)</f>
        <v>0</v>
      </c>
      <c r="K5">
        <f>SUMIF(RawDataDead!$B:$B,$A5,RawDataDead!N:N)</f>
        <v>0</v>
      </c>
      <c r="L5">
        <f>SUMIF(RawDataDead!$B:$B,$A5,RawDataDead!O:O)</f>
        <v>0</v>
      </c>
      <c r="M5">
        <f>SUMIF(RawDataDead!$B:$B,$A5,RawDataDead!P:P)</f>
        <v>0</v>
      </c>
      <c r="N5">
        <f>SUMIF(RawDataDead!$B:$B,$A5,RawDataDead!Q:Q)</f>
        <v>0</v>
      </c>
      <c r="O5">
        <f>SUMIF(RawDataDead!$B:$B,$A5,RawDataDead!R:R)</f>
        <v>0</v>
      </c>
      <c r="P5">
        <f>SUMIF(RawDataDead!$B:$B,$A5,RawDataDead!S:S)</f>
        <v>0</v>
      </c>
      <c r="Q5">
        <f>SUMIF(RawDataDead!$B:$B,$A5,RawDataDead!T:T)</f>
        <v>0</v>
      </c>
      <c r="R5">
        <f>SUMIF(RawDataDead!$B:$B,$A5,RawDataDead!U:U)</f>
        <v>0</v>
      </c>
      <c r="S5">
        <f>SUMIF(RawDataDead!$B:$B,$A5,RawDataDead!V:V)</f>
        <v>0</v>
      </c>
      <c r="T5">
        <f>SUMIF(RawDataDead!$B:$B,$A5,RawDataDead!W:W)</f>
        <v>0</v>
      </c>
      <c r="U5">
        <f>SUMIF(RawDataDead!$B:$B,$A5,RawDataDead!X:X)</f>
        <v>0</v>
      </c>
      <c r="V5">
        <f>SUMIF(RawDataDead!$B:$B,$A5,RawDataDead!Y:Y)</f>
        <v>0</v>
      </c>
      <c r="W5">
        <f>SUMIF(RawDataDead!$B:$B,$A5,RawDataDead!Z:Z)</f>
        <v>0</v>
      </c>
      <c r="X5">
        <f>SUMIF(RawDataDead!$B:$B,$A5,RawDataDead!AA:AA)</f>
        <v>0</v>
      </c>
      <c r="Y5">
        <f>SUMIF(RawDataDead!$B:$B,$A5,RawDataDead!AB:AB)</f>
        <v>0</v>
      </c>
      <c r="Z5">
        <f>SUMIF(RawDataDead!$B:$B,$A5,RawDataDead!AC:AC)</f>
        <v>0</v>
      </c>
      <c r="AA5">
        <f>SUMIF(RawDataDead!$B:$B,$A5,RawDataDead!AD:AD)</f>
        <v>0</v>
      </c>
      <c r="AB5">
        <f>SUMIF(RawDataDead!$B:$B,$A5,RawDataDead!AE:AE)</f>
        <v>0</v>
      </c>
      <c r="AC5">
        <f>SUMIF(RawDataDead!$B:$B,$A5,RawDataDead!AF:AF)</f>
        <v>0</v>
      </c>
      <c r="AD5">
        <f>SUMIF(RawDataDead!$B:$B,$A5,RawDataDead!AG:AG)</f>
        <v>0</v>
      </c>
      <c r="AE5">
        <f>SUMIF(RawDataDead!$B:$B,$A5,RawDataDead!AH:AH)</f>
        <v>1</v>
      </c>
      <c r="AF5">
        <f>SUMIF(RawDataDead!$B:$B,$A5,RawDataDead!AI:AI)</f>
        <v>2</v>
      </c>
      <c r="AG5">
        <f>SUMIF(RawDataDead!$B:$B,$A5,RawDataDead!AJ:AJ)</f>
        <v>2</v>
      </c>
      <c r="AH5">
        <f>SUMIF(RawDataDead!$B:$B,$A5,RawDataDead!AK:AK)</f>
        <v>6</v>
      </c>
      <c r="AI5">
        <f>SUMIF(RawDataDead!$B:$B,$A5,RawDataDead!AL:AL)</f>
        <v>8</v>
      </c>
      <c r="AJ5">
        <f>SUMIF(RawDataDead!$B:$B,$A5,RawDataDead!AM:AM)</f>
        <v>10</v>
      </c>
      <c r="AK5">
        <f>SUMIF(RawDataDead!$B:$B,$A5,RawDataDead!AN:AN)</f>
        <v>12</v>
      </c>
      <c r="AL5">
        <f>SUMIF(RawDataDead!$B:$B,$A5,RawDataDead!AO:AO)</f>
        <v>13</v>
      </c>
      <c r="AM5">
        <f>SUMIF(RawDataDead!$B:$B,$A5,RawDataDead!AP:AP)</f>
        <v>13</v>
      </c>
      <c r="AN5">
        <f>SUMIF(RawDataDead!$B:$B,$A5,RawDataDead!AQ:AQ)</f>
        <v>16</v>
      </c>
      <c r="AO5">
        <f>SUMIF(RawDataDead!$B:$B,$A5,RawDataDead!AR:AR)</f>
        <v>17</v>
      </c>
      <c r="AP5">
        <f>SUMIF(RawDataDead!$B:$B,$A5,RawDataDead!AS:AS)</f>
        <v>28</v>
      </c>
      <c r="AQ5">
        <f>SUMIF(RawDataDead!$B:$B,$A5,RawDataDead!AT:AT)</f>
        <v>28</v>
      </c>
      <c r="AR5">
        <f>SUMIF(RawDataDead!$B:$B,$A5,RawDataDead!AU:AU)</f>
        <v>35</v>
      </c>
      <c r="AS5">
        <f>SUMIF(RawDataDead!$B:$B,$A5,RawDataDead!AV:AV)</f>
        <v>35</v>
      </c>
      <c r="AT5">
        <f>SUMIF(RawDataDead!$B:$B,$A5,RawDataDead!AW:AW)</f>
        <v>42</v>
      </c>
      <c r="AU5">
        <f>SUMIF(RawDataDead!$B:$B,$A5,RawDataDead!AX:AX)</f>
        <v>44</v>
      </c>
      <c r="AV5">
        <f>SUMIF(RawDataDead!$B:$B,$A5,RawDataDead!AY:AY)</f>
        <v>50</v>
      </c>
      <c r="AW5">
        <f>SUMIF(RawDataDead!$B:$B,$A5,RawDataDead!AZ:AZ)</f>
        <v>53</v>
      </c>
      <c r="AX5">
        <f>SUMIF(RawDataDead!$B:$B,$A5,RawDataDead!BA:BA)</f>
        <v>54</v>
      </c>
      <c r="AY5">
        <f>SUMIF(RawDataDead!$B:$B,$A5,RawDataDead!BB:BB)</f>
        <v>60</v>
      </c>
      <c r="AZ5">
        <f>SUMIF(RawDataDead!$B:$B,$A5,RawDataDead!BC:BC)</f>
        <v>66</v>
      </c>
      <c r="BA5">
        <f>SUMIF(RawDataDead!$B:$B,$A5,RawDataDead!BD:BD)</f>
        <v>66</v>
      </c>
      <c r="BB5">
        <f>SUMIF(RawDataDead!$B:$B,$A5,RawDataDead!BE:BE)</f>
        <v>72</v>
      </c>
      <c r="BC5">
        <f>SUMIF(RawDataDead!$B:$B,$A5,RawDataDead!BF:BF)</f>
        <v>75</v>
      </c>
      <c r="BD5">
        <f>SUMIF(RawDataDead!$B:$B,$A5,RawDataDead!BG:BG)</f>
        <v>75</v>
      </c>
      <c r="BE5">
        <f>SUMIF(RawDataDead!$B:$B,$A5,RawDataDead!BH:BH)</f>
        <v>81</v>
      </c>
      <c r="BF5">
        <f>SUMIF(RawDataDead!$B:$B,$A5,RawDataDead!BI:BI)</f>
        <v>0</v>
      </c>
      <c r="BG5">
        <f>SUMIF(RawDataDead!$B:$B,$A5,RawDataDead!BJ:BJ)</f>
        <v>0</v>
      </c>
      <c r="BH5">
        <f>SUMIF(RawDataDead!$B:$B,$A5,RawDataDead!BK:BK)</f>
        <v>0</v>
      </c>
      <c r="BI5">
        <f>SUMIF(RawDataDead!$B:$B,$A5,RawDataDead!BL:BL)</f>
        <v>0</v>
      </c>
      <c r="BJ5">
        <f>SUMIF(RawDataDead!$B:$B,$A5,RawDataDead!BM:BM)</f>
        <v>0</v>
      </c>
      <c r="BK5">
        <f>SUMIF(RawDataDead!$B:$B,$A5,RawDataDead!BN:BN)</f>
        <v>0</v>
      </c>
      <c r="BL5">
        <f>SUMIF(RawDataDead!$B:$B,$A5,RawDataDead!BO:BO)</f>
        <v>0</v>
      </c>
      <c r="BM5">
        <f>SUMIF(RawDataDead!$B:$B,$A5,RawDataDead!BP:BP)</f>
        <v>0</v>
      </c>
      <c r="BN5">
        <f>SUMIF(RawDataDead!$B:$B,$A5,RawDataDead!BQ:BQ)</f>
        <v>0</v>
      </c>
      <c r="BO5">
        <f>SUMIF(RawDataDead!$B:$B,$A5,RawDataDead!BR:BR)</f>
        <v>0</v>
      </c>
      <c r="BP5">
        <f>SUMIF(RawDataDead!$B:$B,$A5,RawDataDead!BS:BS)</f>
        <v>0</v>
      </c>
      <c r="BQ5">
        <f>SUMIF(RawDataDead!$B:$B,$A5,RawDataDead!BT:BT)</f>
        <v>0</v>
      </c>
      <c r="BR5">
        <f>SUMIF(RawDataDead!$B:$B,$A5,RawDataDead!BU:BU)</f>
        <v>0</v>
      </c>
      <c r="BS5">
        <f>SUMIF(RawDataDead!$B:$B,$A5,RawDataDead!BV:BV)</f>
        <v>0</v>
      </c>
      <c r="BT5">
        <f>SUMIF(RawDataDead!$B:$B,$A5,RawDataDead!BW:BW)</f>
        <v>0</v>
      </c>
    </row>
    <row r="6" spans="1:72" ht="15" thickBot="1" x14ac:dyDescent="0.35">
      <c r="A6" s="3" t="s">
        <v>87</v>
      </c>
      <c r="B6">
        <f>SUMIF(RawDataDead!$B:$B,$A6,RawDataDead!E:E)</f>
        <v>0</v>
      </c>
      <c r="C6">
        <f>SUMIF(RawDataDead!$B:$B,$A6,RawDataDead!F:F)</f>
        <v>0</v>
      </c>
      <c r="D6">
        <f>SUMIF(RawDataDead!$B:$B,$A6,RawDataDead!G:G)</f>
        <v>0</v>
      </c>
      <c r="E6">
        <f>SUMIF(RawDataDead!$B:$B,$A6,RawDataDead!H:H)</f>
        <v>0</v>
      </c>
      <c r="F6">
        <f>SUMIF(RawDataDead!$B:$B,$A6,RawDataDead!I:I)</f>
        <v>0</v>
      </c>
      <c r="G6">
        <f>SUMIF(RawDataDead!$B:$B,$A6,RawDataDead!J:J)</f>
        <v>0</v>
      </c>
      <c r="H6">
        <f>SUMIF(RawDataDead!$B:$B,$A6,RawDataDead!K:K)</f>
        <v>0</v>
      </c>
      <c r="I6">
        <f>SUMIF(RawDataDead!$B:$B,$A6,RawDataDead!L:L)</f>
        <v>0</v>
      </c>
      <c r="J6">
        <f>SUMIF(RawDataDead!$B:$B,$A6,RawDataDead!M:M)</f>
        <v>0</v>
      </c>
      <c r="K6">
        <f>SUMIF(RawDataDead!$B:$B,$A6,RawDataDead!N:N)</f>
        <v>0</v>
      </c>
      <c r="L6">
        <f>SUMIF(RawDataDead!$B:$B,$A6,RawDataDead!O:O)</f>
        <v>0</v>
      </c>
      <c r="M6">
        <f>SUMIF(RawDataDead!$B:$B,$A6,RawDataDead!P:P)</f>
        <v>0</v>
      </c>
      <c r="N6">
        <f>SUMIF(RawDataDead!$B:$B,$A6,RawDataDead!Q:Q)</f>
        <v>0</v>
      </c>
      <c r="O6">
        <f>SUMIF(RawDataDead!$B:$B,$A6,RawDataDead!R:R)</f>
        <v>0</v>
      </c>
      <c r="P6">
        <f>SUMIF(RawDataDead!$B:$B,$A6,RawDataDead!S:S)</f>
        <v>0</v>
      </c>
      <c r="Q6">
        <f>SUMIF(RawDataDead!$B:$B,$A6,RawDataDead!T:T)</f>
        <v>0</v>
      </c>
      <c r="R6">
        <f>SUMIF(RawDataDead!$B:$B,$A6,RawDataDead!U:U)</f>
        <v>0</v>
      </c>
      <c r="S6">
        <f>SUMIF(RawDataDead!$B:$B,$A6,RawDataDead!V:V)</f>
        <v>0</v>
      </c>
      <c r="T6">
        <f>SUMIF(RawDataDead!$B:$B,$A6,RawDataDead!W:W)</f>
        <v>0</v>
      </c>
      <c r="U6">
        <f>SUMIF(RawDataDead!$B:$B,$A6,RawDataDead!X:X)</f>
        <v>0</v>
      </c>
      <c r="V6">
        <f>SUMIF(RawDataDead!$B:$B,$A6,RawDataDead!Y:Y)</f>
        <v>0</v>
      </c>
      <c r="W6">
        <f>SUMIF(RawDataDead!$B:$B,$A6,RawDataDead!Z:Z)</f>
        <v>0</v>
      </c>
      <c r="X6">
        <f>SUMIF(RawDataDead!$B:$B,$A6,RawDataDead!AA:AA)</f>
        <v>0</v>
      </c>
      <c r="Y6">
        <f>SUMIF(RawDataDead!$B:$B,$A6,RawDataDead!AB:AB)</f>
        <v>0</v>
      </c>
      <c r="Z6">
        <f>SUMIF(RawDataDead!$B:$B,$A6,RawDataDead!AC:AC)</f>
        <v>0</v>
      </c>
      <c r="AA6">
        <f>SUMIF(RawDataDead!$B:$B,$A6,RawDataDead!AD:AD)</f>
        <v>0</v>
      </c>
      <c r="AB6">
        <f>SUMIF(RawDataDead!$B:$B,$A6,RawDataDead!AE:AE)</f>
        <v>0</v>
      </c>
      <c r="AC6">
        <f>SUMIF(RawDataDead!$B:$B,$A6,RawDataDead!AF:AF)</f>
        <v>0</v>
      </c>
      <c r="AD6">
        <f>SUMIF(RawDataDead!$B:$B,$A6,RawDataDead!AG:AG)</f>
        <v>0</v>
      </c>
      <c r="AE6">
        <f>SUMIF(RawDataDead!$B:$B,$A6,RawDataDead!AH:AH)</f>
        <v>0</v>
      </c>
      <c r="AF6">
        <f>SUMIF(RawDataDead!$B:$B,$A6,RawDataDead!AI:AI)</f>
        <v>0</v>
      </c>
      <c r="AG6">
        <f>SUMIF(RawDataDead!$B:$B,$A6,RawDataDead!AJ:AJ)</f>
        <v>0</v>
      </c>
      <c r="AH6">
        <f>SUMIF(RawDataDead!$B:$B,$A6,RawDataDead!AK:AK)</f>
        <v>0</v>
      </c>
      <c r="AI6">
        <f>SUMIF(RawDataDead!$B:$B,$A6,RawDataDead!AL:AL)</f>
        <v>0</v>
      </c>
      <c r="AJ6">
        <f>SUMIF(RawDataDead!$B:$B,$A6,RawDataDead!AM:AM)</f>
        <v>0</v>
      </c>
      <c r="AK6">
        <f>SUMIF(RawDataDead!$B:$B,$A6,RawDataDead!AN:AN)</f>
        <v>0</v>
      </c>
      <c r="AL6">
        <f>SUMIF(RawDataDead!$B:$B,$A6,RawDataDead!AO:AO)</f>
        <v>0</v>
      </c>
      <c r="AM6">
        <f>SUMIF(RawDataDead!$B:$B,$A6,RawDataDead!AP:AP)</f>
        <v>0</v>
      </c>
      <c r="AN6">
        <f>SUMIF(RawDataDead!$B:$B,$A6,RawDataDead!AQ:AQ)</f>
        <v>0</v>
      </c>
      <c r="AO6">
        <f>SUMIF(RawDataDead!$B:$B,$A6,RawDataDead!AR:AR)</f>
        <v>0</v>
      </c>
      <c r="AP6">
        <f>SUMIF(RawDataDead!$B:$B,$A6,RawDataDead!AS:AS)</f>
        <v>0</v>
      </c>
      <c r="AQ6">
        <f>SUMIF(RawDataDead!$B:$B,$A6,RawDataDead!AT:AT)</f>
        <v>1</v>
      </c>
      <c r="AR6">
        <f>SUMIF(RawDataDead!$B:$B,$A6,RawDataDead!AU:AU)</f>
        <v>2</v>
      </c>
      <c r="AS6">
        <f>SUMIF(RawDataDead!$B:$B,$A6,RawDataDead!AV:AV)</f>
        <v>3</v>
      </c>
      <c r="AT6">
        <f>SUMIF(RawDataDead!$B:$B,$A6,RawDataDead!AW:AW)</f>
        <v>5</v>
      </c>
      <c r="AU6">
        <f>SUMIF(RawDataDead!$B:$B,$A6,RawDataDead!AX:AX)</f>
        <v>10</v>
      </c>
      <c r="AV6">
        <f>SUMIF(RawDataDead!$B:$B,$A6,RawDataDead!AY:AY)</f>
        <v>17</v>
      </c>
      <c r="AW6">
        <f>SUMIF(RawDataDead!$B:$B,$A6,RawDataDead!AZ:AZ)</f>
        <v>28</v>
      </c>
      <c r="AX6">
        <f>SUMIF(RawDataDead!$B:$B,$A6,RawDataDead!BA:BA)</f>
        <v>35</v>
      </c>
      <c r="AY6">
        <f>SUMIF(RawDataDead!$B:$B,$A6,RawDataDead!BB:BB)</f>
        <v>54</v>
      </c>
      <c r="AZ6">
        <f>SUMIF(RawDataDead!$B:$B,$A6,RawDataDead!BC:BC)</f>
        <v>55</v>
      </c>
      <c r="BA6">
        <f>SUMIF(RawDataDead!$B:$B,$A6,RawDataDead!BD:BD)</f>
        <v>133</v>
      </c>
      <c r="BB6">
        <f>SUMIF(RawDataDead!$B:$B,$A6,RawDataDead!BE:BE)</f>
        <v>195</v>
      </c>
      <c r="BC6">
        <f>SUMIF(RawDataDead!$B:$B,$A6,RawDataDead!BF:BF)</f>
        <v>289</v>
      </c>
      <c r="BD6">
        <f>SUMIF(RawDataDead!$B:$B,$A6,RawDataDead!BG:BG)</f>
        <v>342</v>
      </c>
      <c r="BE6">
        <f>SUMIF(RawDataDead!$B:$B,$A6,RawDataDead!BH:BH)</f>
        <v>533</v>
      </c>
      <c r="BF6">
        <f>SUMIF(RawDataDead!$B:$B,$A6,RawDataDead!BI:BI)</f>
        <v>0</v>
      </c>
      <c r="BG6">
        <f>SUMIF(RawDataDead!$B:$B,$A6,RawDataDead!BJ:BJ)</f>
        <v>0</v>
      </c>
      <c r="BH6">
        <f>SUMIF(RawDataDead!$B:$B,$A6,RawDataDead!BK:BK)</f>
        <v>0</v>
      </c>
      <c r="BI6">
        <f>SUMIF(RawDataDead!$B:$B,$A6,RawDataDead!BL:BL)</f>
        <v>0</v>
      </c>
      <c r="BJ6">
        <f>SUMIF(RawDataDead!$B:$B,$A6,RawDataDead!BM:BM)</f>
        <v>0</v>
      </c>
      <c r="BK6">
        <f>SUMIF(RawDataDead!$B:$B,$A6,RawDataDead!BN:BN)</f>
        <v>0</v>
      </c>
      <c r="BL6">
        <f>SUMIF(RawDataDead!$B:$B,$A6,RawDataDead!BO:BO)</f>
        <v>0</v>
      </c>
      <c r="BM6">
        <f>SUMIF(RawDataDead!$B:$B,$A6,RawDataDead!BP:BP)</f>
        <v>0</v>
      </c>
      <c r="BN6">
        <f>SUMIF(RawDataDead!$B:$B,$A6,RawDataDead!BQ:BQ)</f>
        <v>0</v>
      </c>
      <c r="BO6">
        <f>SUMIF(RawDataDead!$B:$B,$A6,RawDataDead!BR:BR)</f>
        <v>0</v>
      </c>
      <c r="BP6">
        <f>SUMIF(RawDataDead!$B:$B,$A6,RawDataDead!BS:BS)</f>
        <v>0</v>
      </c>
      <c r="BQ6">
        <f>SUMIF(RawDataDead!$B:$B,$A6,RawDataDead!BT:BT)</f>
        <v>0</v>
      </c>
      <c r="BR6">
        <f>SUMIF(RawDataDead!$B:$B,$A6,RawDataDead!BU:BU)</f>
        <v>0</v>
      </c>
      <c r="BS6">
        <f>SUMIF(RawDataDead!$B:$B,$A6,RawDataDead!BV:BV)</f>
        <v>0</v>
      </c>
      <c r="BT6">
        <f>SUMIF(RawDataDead!$B:$B,$A6,RawDataDead!BW:BW)</f>
        <v>0</v>
      </c>
    </row>
    <row r="7" spans="1:72" ht="15" thickBot="1" x14ac:dyDescent="0.35">
      <c r="A7" s="4" t="s">
        <v>80</v>
      </c>
      <c r="B7">
        <f>SUMIF(RawDataDead!$B:$B,$A7,RawDataDead!E:E)</f>
        <v>0</v>
      </c>
      <c r="C7">
        <f>SUMIF(RawDataDead!$B:$B,$A7,RawDataDead!F:F)</f>
        <v>0</v>
      </c>
      <c r="D7">
        <f>SUMIF(RawDataDead!$B:$B,$A7,RawDataDead!G:G)</f>
        <v>0</v>
      </c>
      <c r="E7">
        <f>SUMIF(RawDataDead!$B:$B,$A7,RawDataDead!H:H)</f>
        <v>0</v>
      </c>
      <c r="F7">
        <f>SUMIF(RawDataDead!$B:$B,$A7,RawDataDead!I:I)</f>
        <v>0</v>
      </c>
      <c r="G7">
        <f>SUMIF(RawDataDead!$B:$B,$A7,RawDataDead!J:J)</f>
        <v>0</v>
      </c>
      <c r="H7">
        <f>SUMIF(RawDataDead!$B:$B,$A7,RawDataDead!K:K)</f>
        <v>0</v>
      </c>
      <c r="I7">
        <f>SUMIF(RawDataDead!$B:$B,$A7,RawDataDead!L:L)</f>
        <v>0</v>
      </c>
      <c r="J7">
        <f>SUMIF(RawDataDead!$B:$B,$A7,RawDataDead!M:M)</f>
        <v>0</v>
      </c>
      <c r="K7">
        <f>SUMIF(RawDataDead!$B:$B,$A7,RawDataDead!N:N)</f>
        <v>0</v>
      </c>
      <c r="L7">
        <f>SUMIF(RawDataDead!$B:$B,$A7,RawDataDead!O:O)</f>
        <v>0</v>
      </c>
      <c r="M7">
        <f>SUMIF(RawDataDead!$B:$B,$A7,RawDataDead!P:P)</f>
        <v>0</v>
      </c>
      <c r="N7">
        <f>SUMIF(RawDataDead!$B:$B,$A7,RawDataDead!Q:Q)</f>
        <v>0</v>
      </c>
      <c r="O7">
        <f>SUMIF(RawDataDead!$B:$B,$A7,RawDataDead!R:R)</f>
        <v>0</v>
      </c>
      <c r="P7">
        <f>SUMIF(RawDataDead!$B:$B,$A7,RawDataDead!S:S)</f>
        <v>0</v>
      </c>
      <c r="Q7">
        <f>SUMIF(RawDataDead!$B:$B,$A7,RawDataDead!T:T)</f>
        <v>0</v>
      </c>
      <c r="R7">
        <f>SUMIF(RawDataDead!$B:$B,$A7,RawDataDead!U:U)</f>
        <v>0</v>
      </c>
      <c r="S7">
        <f>SUMIF(RawDataDead!$B:$B,$A7,RawDataDead!V:V)</f>
        <v>0</v>
      </c>
      <c r="T7">
        <f>SUMIF(RawDataDead!$B:$B,$A7,RawDataDead!W:W)</f>
        <v>0</v>
      </c>
      <c r="U7">
        <f>SUMIF(RawDataDead!$B:$B,$A7,RawDataDead!X:X)</f>
        <v>0</v>
      </c>
      <c r="V7">
        <f>SUMIF(RawDataDead!$B:$B,$A7,RawDataDead!Y:Y)</f>
        <v>0</v>
      </c>
      <c r="W7">
        <f>SUMIF(RawDataDead!$B:$B,$A7,RawDataDead!Z:Z)</f>
        <v>0</v>
      </c>
      <c r="X7">
        <f>SUMIF(RawDataDead!$B:$B,$A7,RawDataDead!AA:AA)</f>
        <v>0</v>
      </c>
      <c r="Y7">
        <f>SUMIF(RawDataDead!$B:$B,$A7,RawDataDead!AB:AB)</f>
        <v>0</v>
      </c>
      <c r="Z7">
        <f>SUMIF(RawDataDead!$B:$B,$A7,RawDataDead!AC:AC)</f>
        <v>0</v>
      </c>
      <c r="AA7">
        <f>SUMIF(RawDataDead!$B:$B,$A7,RawDataDead!AD:AD)</f>
        <v>0</v>
      </c>
      <c r="AB7">
        <f>SUMIF(RawDataDead!$B:$B,$A7,RawDataDead!AE:AE)</f>
        <v>0</v>
      </c>
      <c r="AC7">
        <f>SUMIF(RawDataDead!$B:$B,$A7,RawDataDead!AF:AF)</f>
        <v>0</v>
      </c>
      <c r="AD7">
        <f>SUMIF(RawDataDead!$B:$B,$A7,RawDataDead!AG:AG)</f>
        <v>0</v>
      </c>
      <c r="AE7">
        <f>SUMIF(RawDataDead!$B:$B,$A7,RawDataDead!AH:AH)</f>
        <v>0</v>
      </c>
      <c r="AF7">
        <f>SUMIF(RawDataDead!$B:$B,$A7,RawDataDead!AI:AI)</f>
        <v>0</v>
      </c>
      <c r="AG7">
        <f>SUMIF(RawDataDead!$B:$B,$A7,RawDataDead!AJ:AJ)</f>
        <v>0</v>
      </c>
      <c r="AH7">
        <f>SUMIF(RawDataDead!$B:$B,$A7,RawDataDead!AK:AK)</f>
        <v>0</v>
      </c>
      <c r="AI7">
        <f>SUMIF(RawDataDead!$B:$B,$A7,RawDataDead!AL:AL)</f>
        <v>0</v>
      </c>
      <c r="AJ7">
        <f>SUMIF(RawDataDead!$B:$B,$A7,RawDataDead!AM:AM)</f>
        <v>0</v>
      </c>
      <c r="AK7">
        <f>SUMIF(RawDataDead!$B:$B,$A7,RawDataDead!AN:AN)</f>
        <v>0</v>
      </c>
      <c r="AL7">
        <f>SUMIF(RawDataDead!$B:$B,$A7,RawDataDead!AO:AO)</f>
        <v>0</v>
      </c>
      <c r="AM7">
        <f>SUMIF(RawDataDead!$B:$B,$A7,RawDataDead!AP:AP)</f>
        <v>0</v>
      </c>
      <c r="AN7">
        <f>SUMIF(RawDataDead!$B:$B,$A7,RawDataDead!AQ:AQ)</f>
        <v>0</v>
      </c>
      <c r="AO7">
        <f>SUMIF(RawDataDead!$B:$B,$A7,RawDataDead!AR:AR)</f>
        <v>0</v>
      </c>
      <c r="AP7">
        <f>SUMIF(RawDataDead!$B:$B,$A7,RawDataDead!AS:AS)</f>
        <v>0</v>
      </c>
      <c r="AQ7">
        <f>SUMIF(RawDataDead!$B:$B,$A7,RawDataDead!AT:AT)</f>
        <v>0</v>
      </c>
      <c r="AR7">
        <f>SUMIF(RawDataDead!$B:$B,$A7,RawDataDead!AU:AU)</f>
        <v>0</v>
      </c>
      <c r="AS7">
        <f>SUMIF(RawDataDead!$B:$B,$A7,RawDataDead!AV:AV)</f>
        <v>0</v>
      </c>
      <c r="AT7">
        <f>SUMIF(RawDataDead!$B:$B,$A7,RawDataDead!AW:AW)</f>
        <v>0</v>
      </c>
      <c r="AU7">
        <f>SUMIF(RawDataDead!$B:$B,$A7,RawDataDead!AX:AX)</f>
        <v>0</v>
      </c>
      <c r="AV7">
        <f>SUMIF(RawDataDead!$B:$B,$A7,RawDataDead!AY:AY)</f>
        <v>0</v>
      </c>
      <c r="AW7">
        <f>SUMIF(RawDataDead!$B:$B,$A7,RawDataDead!AZ:AZ)</f>
        <v>2</v>
      </c>
      <c r="AX7">
        <f>SUMIF(RawDataDead!$B:$B,$A7,RawDataDead!BA:BA)</f>
        <v>2</v>
      </c>
      <c r="AY7">
        <f>SUMIF(RawDataDead!$B:$B,$A7,RawDataDead!BB:BB)</f>
        <v>3</v>
      </c>
      <c r="AZ7">
        <f>SUMIF(RawDataDead!$B:$B,$A7,RawDataDead!BC:BC)</f>
        <v>3</v>
      </c>
      <c r="BA7">
        <f>SUMIF(RawDataDead!$B:$B,$A7,RawDataDead!BD:BD)</f>
        <v>7</v>
      </c>
      <c r="BB7">
        <f>SUMIF(RawDataDead!$B:$B,$A7,RawDataDead!BE:BE)</f>
        <v>9</v>
      </c>
      <c r="BC7">
        <f>SUMIF(RawDataDead!$B:$B,$A7,RawDataDead!BF:BF)</f>
        <v>11</v>
      </c>
      <c r="BD7">
        <f>SUMIF(RawDataDead!$B:$B,$A7,RawDataDead!BG:BG)</f>
        <v>17</v>
      </c>
      <c r="BE7">
        <f>SUMIF(RawDataDead!$B:$B,$A7,RawDataDead!BH:BH)</f>
        <v>24</v>
      </c>
      <c r="BF7">
        <f>SUMIF(RawDataDead!$B:$B,$A7,RawDataDead!BI:BI)</f>
        <v>0</v>
      </c>
      <c r="BG7">
        <f>SUMIF(RawDataDead!$B:$B,$A7,RawDataDead!BJ:BJ)</f>
        <v>0</v>
      </c>
      <c r="BH7">
        <f>SUMIF(RawDataDead!$B:$B,$A7,RawDataDead!BK:BK)</f>
        <v>0</v>
      </c>
      <c r="BI7">
        <f>SUMIF(RawDataDead!$B:$B,$A7,RawDataDead!BL:BL)</f>
        <v>0</v>
      </c>
      <c r="BJ7">
        <f>SUMIF(RawDataDead!$B:$B,$A7,RawDataDead!BM:BM)</f>
        <v>0</v>
      </c>
      <c r="BK7">
        <f>SUMIF(RawDataDead!$B:$B,$A7,RawDataDead!BN:BN)</f>
        <v>0</v>
      </c>
      <c r="BL7">
        <f>SUMIF(RawDataDead!$B:$B,$A7,RawDataDead!BO:BO)</f>
        <v>0</v>
      </c>
      <c r="BM7">
        <f>SUMIF(RawDataDead!$B:$B,$A7,RawDataDead!BP:BP)</f>
        <v>0</v>
      </c>
      <c r="BN7">
        <f>SUMIF(RawDataDead!$B:$B,$A7,RawDataDead!BQ:BQ)</f>
        <v>0</v>
      </c>
      <c r="BO7">
        <f>SUMIF(RawDataDead!$B:$B,$A7,RawDataDead!BR:BR)</f>
        <v>0</v>
      </c>
      <c r="BP7">
        <f>SUMIF(RawDataDead!$B:$B,$A7,RawDataDead!BS:BS)</f>
        <v>0</v>
      </c>
      <c r="BQ7">
        <f>SUMIF(RawDataDead!$B:$B,$A7,RawDataDead!BT:BT)</f>
        <v>0</v>
      </c>
      <c r="BR7">
        <f>SUMIF(RawDataDead!$B:$B,$A7,RawDataDead!BU:BU)</f>
        <v>0</v>
      </c>
      <c r="BS7">
        <f>SUMIF(RawDataDead!$B:$B,$A7,RawDataDead!BV:BV)</f>
        <v>0</v>
      </c>
      <c r="BT7">
        <f>SUMIF(RawDataDead!$B:$B,$A7,RawDataDead!BW:BW)</f>
        <v>0</v>
      </c>
    </row>
    <row r="8" spans="1:72" ht="15" thickBot="1" x14ac:dyDescent="0.35">
      <c r="A8" s="4" t="s">
        <v>68</v>
      </c>
      <c r="B8">
        <f>SUMIF(RawDataDead!$B:$B,$A8,RawDataDead!E:E)</f>
        <v>0</v>
      </c>
      <c r="C8">
        <f>SUMIF(RawDataDead!$B:$B,$A8,RawDataDead!F:F)</f>
        <v>0</v>
      </c>
      <c r="D8">
        <f>SUMIF(RawDataDead!$B:$B,$A8,RawDataDead!G:G)</f>
        <v>0</v>
      </c>
      <c r="E8">
        <f>SUMIF(RawDataDead!$B:$B,$A8,RawDataDead!H:H)</f>
        <v>0</v>
      </c>
      <c r="F8">
        <f>SUMIF(RawDataDead!$B:$B,$A8,RawDataDead!I:I)</f>
        <v>0</v>
      </c>
      <c r="G8">
        <f>SUMIF(RawDataDead!$B:$B,$A8,RawDataDead!J:J)</f>
        <v>0</v>
      </c>
      <c r="H8">
        <f>SUMIF(RawDataDead!$B:$B,$A8,RawDataDead!K:K)</f>
        <v>0</v>
      </c>
      <c r="I8">
        <f>SUMIF(RawDataDead!$B:$B,$A8,RawDataDead!L:L)</f>
        <v>0</v>
      </c>
      <c r="J8">
        <f>SUMIF(RawDataDead!$B:$B,$A8,RawDataDead!M:M)</f>
        <v>0</v>
      </c>
      <c r="K8">
        <f>SUMIF(RawDataDead!$B:$B,$A8,RawDataDead!N:N)</f>
        <v>0</v>
      </c>
      <c r="L8">
        <f>SUMIF(RawDataDead!$B:$B,$A8,RawDataDead!O:O)</f>
        <v>0</v>
      </c>
      <c r="M8">
        <f>SUMIF(RawDataDead!$B:$B,$A8,RawDataDead!P:P)</f>
        <v>0</v>
      </c>
      <c r="N8">
        <f>SUMIF(RawDataDead!$B:$B,$A8,RawDataDead!Q:Q)</f>
        <v>0</v>
      </c>
      <c r="O8">
        <f>SUMIF(RawDataDead!$B:$B,$A8,RawDataDead!R:R)</f>
        <v>0</v>
      </c>
      <c r="P8">
        <f>SUMIF(RawDataDead!$B:$B,$A8,RawDataDead!S:S)</f>
        <v>0</v>
      </c>
      <c r="Q8">
        <f>SUMIF(RawDataDead!$B:$B,$A8,RawDataDead!T:T)</f>
        <v>0</v>
      </c>
      <c r="R8">
        <f>SUMIF(RawDataDead!$B:$B,$A8,RawDataDead!U:U)</f>
        <v>0</v>
      </c>
      <c r="S8">
        <f>SUMIF(RawDataDead!$B:$B,$A8,RawDataDead!V:V)</f>
        <v>0</v>
      </c>
      <c r="T8">
        <f>SUMIF(RawDataDead!$B:$B,$A8,RawDataDead!W:W)</f>
        <v>0</v>
      </c>
      <c r="U8">
        <f>SUMIF(RawDataDead!$B:$B,$A8,RawDataDead!X:X)</f>
        <v>0</v>
      </c>
      <c r="V8">
        <f>SUMIF(RawDataDead!$B:$B,$A8,RawDataDead!Y:Y)</f>
        <v>0</v>
      </c>
      <c r="W8">
        <f>SUMIF(RawDataDead!$B:$B,$A8,RawDataDead!Z:Z)</f>
        <v>0</v>
      </c>
      <c r="X8">
        <f>SUMIF(RawDataDead!$B:$B,$A8,RawDataDead!AA:AA)</f>
        <v>0</v>
      </c>
      <c r="Y8">
        <f>SUMIF(RawDataDead!$B:$B,$A8,RawDataDead!AB:AB)</f>
        <v>0</v>
      </c>
      <c r="Z8">
        <f>SUMIF(RawDataDead!$B:$B,$A8,RawDataDead!AC:AC)</f>
        <v>1</v>
      </c>
      <c r="AA8">
        <f>SUMIF(RawDataDead!$B:$B,$A8,RawDataDead!AD:AD)</f>
        <v>1</v>
      </c>
      <c r="AB8">
        <f>SUMIF(RawDataDead!$B:$B,$A8,RawDataDead!AE:AE)</f>
        <v>1</v>
      </c>
      <c r="AC8">
        <f>SUMIF(RawDataDead!$B:$B,$A8,RawDataDead!AF:AF)</f>
        <v>1</v>
      </c>
      <c r="AD8">
        <f>SUMIF(RawDataDead!$B:$B,$A8,RawDataDead!AG:AG)</f>
        <v>1</v>
      </c>
      <c r="AE8">
        <f>SUMIF(RawDataDead!$B:$B,$A8,RawDataDead!AH:AH)</f>
        <v>1</v>
      </c>
      <c r="AF8">
        <f>SUMIF(RawDataDead!$B:$B,$A8,RawDataDead!AI:AI)</f>
        <v>1</v>
      </c>
      <c r="AG8">
        <f>SUMIF(RawDataDead!$B:$B,$A8,RawDataDead!AJ:AJ)</f>
        <v>1</v>
      </c>
      <c r="AH8">
        <f>SUMIF(RawDataDead!$B:$B,$A8,RawDataDead!AK:AK)</f>
        <v>1</v>
      </c>
      <c r="AI8">
        <f>SUMIF(RawDataDead!$B:$B,$A8,RawDataDead!AL:AL)</f>
        <v>1</v>
      </c>
      <c r="AJ8">
        <f>SUMIF(RawDataDead!$B:$B,$A8,RawDataDead!AM:AM)</f>
        <v>1</v>
      </c>
      <c r="AK8">
        <f>SUMIF(RawDataDead!$B:$B,$A8,RawDataDead!AN:AN)</f>
        <v>2</v>
      </c>
      <c r="AL8">
        <f>SUMIF(RawDataDead!$B:$B,$A8,RawDataDead!AO:AO)</f>
        <v>2</v>
      </c>
      <c r="AM8">
        <f>SUMIF(RawDataDead!$B:$B,$A8,RawDataDead!AP:AP)</f>
        <v>2</v>
      </c>
      <c r="AN8">
        <f>SUMIF(RawDataDead!$B:$B,$A8,RawDataDead!AQ:AQ)</f>
        <v>2</v>
      </c>
      <c r="AO8">
        <f>SUMIF(RawDataDead!$B:$B,$A8,RawDataDead!AR:AR)</f>
        <v>2</v>
      </c>
      <c r="AP8">
        <f>SUMIF(RawDataDead!$B:$B,$A8,RawDataDead!AS:AS)</f>
        <v>3</v>
      </c>
      <c r="AQ8">
        <f>SUMIF(RawDataDead!$B:$B,$A8,RawDataDead!AT:AT)</f>
        <v>4</v>
      </c>
      <c r="AR8">
        <f>SUMIF(RawDataDead!$B:$B,$A8,RawDataDead!AU:AU)</f>
        <v>4</v>
      </c>
      <c r="AS8">
        <f>SUMIF(RawDataDead!$B:$B,$A8,RawDataDead!AV:AV)</f>
        <v>6</v>
      </c>
      <c r="AT8">
        <f>SUMIF(RawDataDead!$B:$B,$A8,RawDataDead!AW:AW)</f>
        <v>9</v>
      </c>
      <c r="AU8">
        <f>SUMIF(RawDataDead!$B:$B,$A8,RawDataDead!AX:AX)</f>
        <v>11</v>
      </c>
      <c r="AV8">
        <f>SUMIF(RawDataDead!$B:$B,$A8,RawDataDead!AY:AY)</f>
        <v>19</v>
      </c>
      <c r="AW8">
        <f>SUMIF(RawDataDead!$B:$B,$A8,RawDataDead!AZ:AZ)</f>
        <v>19</v>
      </c>
      <c r="AX8">
        <f>SUMIF(RawDataDead!$B:$B,$A8,RawDataDead!BA:BA)</f>
        <v>33</v>
      </c>
      <c r="AY8">
        <f>SUMIF(RawDataDead!$B:$B,$A8,RawDataDead!BB:BB)</f>
        <v>48</v>
      </c>
      <c r="AZ8">
        <f>SUMIF(RawDataDead!$B:$B,$A8,RawDataDead!BC:BC)</f>
        <v>48</v>
      </c>
      <c r="BA8">
        <f>SUMIF(RawDataDead!$B:$B,$A8,RawDataDead!BD:BD)</f>
        <v>79</v>
      </c>
      <c r="BB8">
        <f>SUMIF(RawDataDead!$B:$B,$A8,RawDataDead!BE:BE)</f>
        <v>91</v>
      </c>
      <c r="BC8">
        <f>SUMIF(RawDataDead!$B:$B,$A8,RawDataDead!BF:BF)</f>
        <v>91</v>
      </c>
      <c r="BD8">
        <f>SUMIF(RawDataDead!$B:$B,$A8,RawDataDead!BG:BG)</f>
        <v>148</v>
      </c>
      <c r="BE8">
        <f>SUMIF(RawDataDead!$B:$B,$A8,RawDataDead!BH:BH)</f>
        <v>148</v>
      </c>
      <c r="BF8">
        <f>SUMIF(RawDataDead!$B:$B,$A8,RawDataDead!BI:BI)</f>
        <v>0</v>
      </c>
      <c r="BG8">
        <f>SUMIF(RawDataDead!$B:$B,$A8,RawDataDead!BJ:BJ)</f>
        <v>0</v>
      </c>
      <c r="BH8">
        <f>SUMIF(RawDataDead!$B:$B,$A8,RawDataDead!BK:BK)</f>
        <v>0</v>
      </c>
      <c r="BI8">
        <f>SUMIF(RawDataDead!$B:$B,$A8,RawDataDead!BL:BL)</f>
        <v>0</v>
      </c>
      <c r="BJ8">
        <f>SUMIF(RawDataDead!$B:$B,$A8,RawDataDead!BM:BM)</f>
        <v>0</v>
      </c>
      <c r="BK8">
        <f>SUMIF(RawDataDead!$B:$B,$A8,RawDataDead!BN:BN)</f>
        <v>0</v>
      </c>
      <c r="BL8">
        <f>SUMIF(RawDataDead!$B:$B,$A8,RawDataDead!BO:BO)</f>
        <v>0</v>
      </c>
      <c r="BM8">
        <f>SUMIF(RawDataDead!$B:$B,$A8,RawDataDead!BP:BP)</f>
        <v>0</v>
      </c>
      <c r="BN8">
        <f>SUMIF(RawDataDead!$B:$B,$A8,RawDataDead!BQ:BQ)</f>
        <v>0</v>
      </c>
      <c r="BO8">
        <f>SUMIF(RawDataDead!$B:$B,$A8,RawDataDead!BR:BR)</f>
        <v>0</v>
      </c>
      <c r="BP8">
        <f>SUMIF(RawDataDead!$B:$B,$A8,RawDataDead!BS:BS)</f>
        <v>0</v>
      </c>
      <c r="BQ8">
        <f>SUMIF(RawDataDead!$B:$B,$A8,RawDataDead!BT:BT)</f>
        <v>0</v>
      </c>
      <c r="BR8">
        <f>SUMIF(RawDataDead!$B:$B,$A8,RawDataDead!BU:BU)</f>
        <v>0</v>
      </c>
      <c r="BS8">
        <f>SUMIF(RawDataDead!$B:$B,$A8,RawDataDead!BV:BV)</f>
        <v>0</v>
      </c>
      <c r="BT8">
        <f>SUMIF(RawDataDead!$B:$B,$A8,RawDataDead!BW:BW)</f>
        <v>0</v>
      </c>
    </row>
    <row r="9" spans="1:72" ht="15" thickBot="1" x14ac:dyDescent="0.35">
      <c r="A9" s="3" t="s">
        <v>65</v>
      </c>
      <c r="B9">
        <f>SUMIF(RawDataDead!$B:$B,$A9,RawDataDead!E:E)</f>
        <v>0</v>
      </c>
      <c r="C9">
        <f>SUMIF(RawDataDead!$B:$B,$A9,RawDataDead!F:F)</f>
        <v>0</v>
      </c>
      <c r="D9">
        <f>SUMIF(RawDataDead!$B:$B,$A9,RawDataDead!G:G)</f>
        <v>0</v>
      </c>
      <c r="E9">
        <f>SUMIF(RawDataDead!$B:$B,$A9,RawDataDead!H:H)</f>
        <v>0</v>
      </c>
      <c r="F9">
        <f>SUMIF(RawDataDead!$B:$B,$A9,RawDataDead!I:I)</f>
        <v>0</v>
      </c>
      <c r="G9">
        <f>SUMIF(RawDataDead!$B:$B,$A9,RawDataDead!J:J)</f>
        <v>0</v>
      </c>
      <c r="H9">
        <f>SUMIF(RawDataDead!$B:$B,$A9,RawDataDead!K:K)</f>
        <v>0</v>
      </c>
      <c r="I9">
        <f>SUMIF(RawDataDead!$B:$B,$A9,RawDataDead!L:L)</f>
        <v>0</v>
      </c>
      <c r="J9">
        <f>SUMIF(RawDataDead!$B:$B,$A9,RawDataDead!M:M)</f>
        <v>0</v>
      </c>
      <c r="K9">
        <f>SUMIF(RawDataDead!$B:$B,$A9,RawDataDead!N:N)</f>
        <v>0</v>
      </c>
      <c r="L9">
        <f>SUMIF(RawDataDead!$B:$B,$A9,RawDataDead!O:O)</f>
        <v>0</v>
      </c>
      <c r="M9">
        <f>SUMIF(RawDataDead!$B:$B,$A9,RawDataDead!P:P)</f>
        <v>0</v>
      </c>
      <c r="N9">
        <f>SUMIF(RawDataDead!$B:$B,$A9,RawDataDead!Q:Q)</f>
        <v>0</v>
      </c>
      <c r="O9">
        <f>SUMIF(RawDataDead!$B:$B,$A9,RawDataDead!R:R)</f>
        <v>0</v>
      </c>
      <c r="P9">
        <f>SUMIF(RawDataDead!$B:$B,$A9,RawDataDead!S:S)</f>
        <v>0</v>
      </c>
      <c r="Q9">
        <f>SUMIF(RawDataDead!$B:$B,$A9,RawDataDead!T:T)</f>
        <v>0</v>
      </c>
      <c r="R9">
        <f>SUMIF(RawDataDead!$B:$B,$A9,RawDataDead!U:U)</f>
        <v>0</v>
      </c>
      <c r="S9">
        <f>SUMIF(RawDataDead!$B:$B,$A9,RawDataDead!V:V)</f>
        <v>0</v>
      </c>
      <c r="T9">
        <f>SUMIF(RawDataDead!$B:$B,$A9,RawDataDead!W:W)</f>
        <v>0</v>
      </c>
      <c r="U9">
        <f>SUMIF(RawDataDead!$B:$B,$A9,RawDataDead!X:X)</f>
        <v>0</v>
      </c>
      <c r="V9">
        <f>SUMIF(RawDataDead!$B:$B,$A9,RawDataDead!Y:Y)</f>
        <v>0</v>
      </c>
      <c r="W9">
        <f>SUMIF(RawDataDead!$B:$B,$A9,RawDataDead!Z:Z)</f>
        <v>0</v>
      </c>
      <c r="X9">
        <f>SUMIF(RawDataDead!$B:$B,$A9,RawDataDead!AA:AA)</f>
        <v>0</v>
      </c>
      <c r="Y9">
        <f>SUMIF(RawDataDead!$B:$B,$A9,RawDataDead!AB:AB)</f>
        <v>0</v>
      </c>
      <c r="Z9">
        <f>SUMIF(RawDataDead!$B:$B,$A9,RawDataDead!AC:AC)</f>
        <v>0</v>
      </c>
      <c r="AA9">
        <f>SUMIF(RawDataDead!$B:$B,$A9,RawDataDead!AD:AD)</f>
        <v>0</v>
      </c>
      <c r="AB9">
        <f>SUMIF(RawDataDead!$B:$B,$A9,RawDataDead!AE:AE)</f>
        <v>0</v>
      </c>
      <c r="AC9">
        <f>SUMIF(RawDataDead!$B:$B,$A9,RawDataDead!AF:AF)</f>
        <v>0</v>
      </c>
      <c r="AD9">
        <f>SUMIF(RawDataDead!$B:$B,$A9,RawDataDead!AG:AG)</f>
        <v>0</v>
      </c>
      <c r="AE9">
        <f>SUMIF(RawDataDead!$B:$B,$A9,RawDataDead!AH:AH)</f>
        <v>0</v>
      </c>
      <c r="AF9">
        <f>SUMIF(RawDataDead!$B:$B,$A9,RawDataDead!AI:AI)</f>
        <v>0</v>
      </c>
      <c r="AG9">
        <f>SUMIF(RawDataDead!$B:$B,$A9,RawDataDead!AJ:AJ)</f>
        <v>0</v>
      </c>
      <c r="AH9">
        <f>SUMIF(RawDataDead!$B:$B,$A9,RawDataDead!AK:AK)</f>
        <v>0</v>
      </c>
      <c r="AI9">
        <f>SUMIF(RawDataDead!$B:$B,$A9,RawDataDead!AL:AL)</f>
        <v>0</v>
      </c>
      <c r="AJ9">
        <f>SUMIF(RawDataDead!$B:$B,$A9,RawDataDead!AM:AM)</f>
        <v>0</v>
      </c>
      <c r="AK9">
        <f>SUMIF(RawDataDead!$B:$B,$A9,RawDataDead!AN:AN)</f>
        <v>0</v>
      </c>
      <c r="AL9">
        <f>SUMIF(RawDataDead!$B:$B,$A9,RawDataDead!AO:AO)</f>
        <v>0</v>
      </c>
      <c r="AM9">
        <f>SUMIF(RawDataDead!$B:$B,$A9,RawDataDead!AP:AP)</f>
        <v>0</v>
      </c>
      <c r="AN9">
        <f>SUMIF(RawDataDead!$B:$B,$A9,RawDataDead!AQ:AQ)</f>
        <v>1</v>
      </c>
      <c r="AO9">
        <f>SUMIF(RawDataDead!$B:$B,$A9,RawDataDead!AR:AR)</f>
        <v>1</v>
      </c>
      <c r="AP9">
        <f>SUMIF(RawDataDead!$B:$B,$A9,RawDataDead!AS:AS)</f>
        <v>6</v>
      </c>
      <c r="AQ9">
        <f>SUMIF(RawDataDead!$B:$B,$A9,RawDataDead!AT:AT)</f>
        <v>7</v>
      </c>
      <c r="AR9">
        <f>SUMIF(RawDataDead!$B:$B,$A9,RawDataDead!AU:AU)</f>
        <v>11</v>
      </c>
      <c r="AS9">
        <f>SUMIF(RawDataDead!$B:$B,$A9,RawDataDead!AV:AV)</f>
        <v>12</v>
      </c>
      <c r="AT9">
        <f>SUMIF(RawDataDead!$B:$B,$A9,RawDataDead!AW:AW)</f>
        <v>14</v>
      </c>
      <c r="AU9">
        <f>SUMIF(RawDataDead!$B:$B,$A9,RawDataDead!AX:AX)</f>
        <v>17</v>
      </c>
      <c r="AV9">
        <f>SUMIF(RawDataDead!$B:$B,$A9,RawDataDead!AY:AY)</f>
        <v>21</v>
      </c>
      <c r="AW9">
        <f>SUMIF(RawDataDead!$B:$B,$A9,RawDataDead!AZ:AZ)</f>
        <v>22</v>
      </c>
      <c r="AX9">
        <f>SUMIF(RawDataDead!$B:$B,$A9,RawDataDead!BA:BA)</f>
        <v>28</v>
      </c>
      <c r="AY9">
        <f>SUMIF(RawDataDead!$B:$B,$A9,RawDataDead!BB:BB)</f>
        <v>36</v>
      </c>
      <c r="AZ9">
        <f>SUMIF(RawDataDead!$B:$B,$A9,RawDataDead!BC:BC)</f>
        <v>40</v>
      </c>
      <c r="BA9">
        <f>SUMIF(RawDataDead!$B:$B,$A9,RawDataDead!BD:BD)</f>
        <v>47</v>
      </c>
      <c r="BB9">
        <f>SUMIF(RawDataDead!$B:$B,$A9,RawDataDead!BE:BE)</f>
        <v>54</v>
      </c>
      <c r="BC9">
        <f>SUMIF(RawDataDead!$B:$B,$A9,RawDataDead!BF:BF)</f>
        <v>63</v>
      </c>
      <c r="BD9">
        <f>SUMIF(RawDataDead!$B:$B,$A9,RawDataDead!BG:BG)</f>
        <v>85</v>
      </c>
      <c r="BE9">
        <f>SUMIF(RawDataDead!$B:$B,$A9,RawDataDead!BH:BH)</f>
        <v>108</v>
      </c>
      <c r="BF9">
        <f>SUMIF(RawDataDead!$B:$B,$A9,RawDataDead!BI:BI)</f>
        <v>0</v>
      </c>
      <c r="BG9">
        <f>SUMIF(RawDataDead!$B:$B,$A9,RawDataDead!BJ:BJ)</f>
        <v>0</v>
      </c>
      <c r="BH9">
        <f>SUMIF(RawDataDead!$B:$B,$A9,RawDataDead!BK:BK)</f>
        <v>0</v>
      </c>
      <c r="BI9">
        <f>SUMIF(RawDataDead!$B:$B,$A9,RawDataDead!BL:BL)</f>
        <v>0</v>
      </c>
      <c r="BJ9">
        <f>SUMIF(RawDataDead!$B:$B,$A9,RawDataDead!BM:BM)</f>
        <v>0</v>
      </c>
      <c r="BK9">
        <f>SUMIF(RawDataDead!$B:$B,$A9,RawDataDead!BN:BN)</f>
        <v>0</v>
      </c>
      <c r="BL9">
        <f>SUMIF(RawDataDead!$B:$B,$A9,RawDataDead!BO:BO)</f>
        <v>0</v>
      </c>
      <c r="BM9">
        <f>SUMIF(RawDataDead!$B:$B,$A9,RawDataDead!BP:BP)</f>
        <v>0</v>
      </c>
      <c r="BN9">
        <f>SUMIF(RawDataDead!$B:$B,$A9,RawDataDead!BQ:BQ)</f>
        <v>0</v>
      </c>
      <c r="BO9">
        <f>SUMIF(RawDataDead!$B:$B,$A9,RawDataDead!BR:BR)</f>
        <v>0</v>
      </c>
      <c r="BP9">
        <f>SUMIF(RawDataDead!$B:$B,$A9,RawDataDead!BS:BS)</f>
        <v>0</v>
      </c>
      <c r="BQ9">
        <f>SUMIF(RawDataDead!$B:$B,$A9,RawDataDead!BT:BT)</f>
        <v>0</v>
      </c>
      <c r="BR9">
        <f>SUMIF(RawDataDead!$B:$B,$A9,RawDataDead!BU:BU)</f>
        <v>0</v>
      </c>
      <c r="BS9">
        <f>SUMIF(RawDataDead!$B:$B,$A9,RawDataDead!BV:BV)</f>
        <v>0</v>
      </c>
      <c r="BT9">
        <f>SUMIF(RawDataDead!$B:$B,$A9,RawDataDead!BW:BW)</f>
        <v>0</v>
      </c>
    </row>
    <row r="10" spans="1:72" ht="15" thickBot="1" x14ac:dyDescent="0.35">
      <c r="A10" s="4" t="s">
        <v>104</v>
      </c>
      <c r="B10">
        <f>SUMIF(RawDataDead!$B:$B,$A10,RawDataDead!E:E)</f>
        <v>0</v>
      </c>
      <c r="C10">
        <f>SUMIF(RawDataDead!$B:$B,$A10,RawDataDead!F:F)</f>
        <v>0</v>
      </c>
      <c r="D10">
        <f>SUMIF(RawDataDead!$B:$B,$A10,RawDataDead!G:G)</f>
        <v>0</v>
      </c>
      <c r="E10">
        <f>SUMIF(RawDataDead!$B:$B,$A10,RawDataDead!H:H)</f>
        <v>0</v>
      </c>
      <c r="F10">
        <f>SUMIF(RawDataDead!$B:$B,$A10,RawDataDead!I:I)</f>
        <v>0</v>
      </c>
      <c r="G10">
        <f>SUMIF(RawDataDead!$B:$B,$A10,RawDataDead!J:J)</f>
        <v>0</v>
      </c>
      <c r="H10">
        <f>SUMIF(RawDataDead!$B:$B,$A10,RawDataDead!K:K)</f>
        <v>0</v>
      </c>
      <c r="I10">
        <f>SUMIF(RawDataDead!$B:$B,$A10,RawDataDead!L:L)</f>
        <v>0</v>
      </c>
      <c r="J10">
        <f>SUMIF(RawDataDead!$B:$B,$A10,RawDataDead!M:M)</f>
        <v>0</v>
      </c>
      <c r="K10">
        <f>SUMIF(RawDataDead!$B:$B,$A10,RawDataDead!N:N)</f>
        <v>0</v>
      </c>
      <c r="L10">
        <f>SUMIF(RawDataDead!$B:$B,$A10,RawDataDead!O:O)</f>
        <v>0</v>
      </c>
      <c r="M10">
        <f>SUMIF(RawDataDead!$B:$B,$A10,RawDataDead!P:P)</f>
        <v>0</v>
      </c>
      <c r="N10">
        <f>SUMIF(RawDataDead!$B:$B,$A10,RawDataDead!Q:Q)</f>
        <v>0</v>
      </c>
      <c r="O10">
        <f>SUMIF(RawDataDead!$B:$B,$A10,RawDataDead!R:R)</f>
        <v>0</v>
      </c>
      <c r="P10">
        <f>SUMIF(RawDataDead!$B:$B,$A10,RawDataDead!S:S)</f>
        <v>0</v>
      </c>
      <c r="Q10">
        <f>SUMIF(RawDataDead!$B:$B,$A10,RawDataDead!T:T)</f>
        <v>0</v>
      </c>
      <c r="R10">
        <f>SUMIF(RawDataDead!$B:$B,$A10,RawDataDead!U:U)</f>
        <v>0</v>
      </c>
      <c r="S10">
        <f>SUMIF(RawDataDead!$B:$B,$A10,RawDataDead!V:V)</f>
        <v>0</v>
      </c>
      <c r="T10">
        <f>SUMIF(RawDataDead!$B:$B,$A10,RawDataDead!W:W)</f>
        <v>0</v>
      </c>
      <c r="U10">
        <f>SUMIF(RawDataDead!$B:$B,$A10,RawDataDead!X:X)</f>
        <v>0</v>
      </c>
      <c r="V10">
        <f>SUMIF(RawDataDead!$B:$B,$A10,RawDataDead!Y:Y)</f>
        <v>0</v>
      </c>
      <c r="W10">
        <f>SUMIF(RawDataDead!$B:$B,$A10,RawDataDead!Z:Z)</f>
        <v>0</v>
      </c>
      <c r="X10">
        <f>SUMIF(RawDataDead!$B:$B,$A10,RawDataDead!AA:AA)</f>
        <v>0</v>
      </c>
      <c r="Y10">
        <f>SUMIF(RawDataDead!$B:$B,$A10,RawDataDead!AB:AB)</f>
        <v>0</v>
      </c>
      <c r="Z10">
        <f>SUMIF(RawDataDead!$B:$B,$A10,RawDataDead!AC:AC)</f>
        <v>0</v>
      </c>
      <c r="AA10">
        <f>SUMIF(RawDataDead!$B:$B,$A10,RawDataDead!AD:AD)</f>
        <v>0</v>
      </c>
      <c r="AB10">
        <f>SUMIF(RawDataDead!$B:$B,$A10,RawDataDead!AE:AE)</f>
        <v>0</v>
      </c>
      <c r="AC10">
        <f>SUMIF(RawDataDead!$B:$B,$A10,RawDataDead!AF:AF)</f>
        <v>0</v>
      </c>
      <c r="AD10">
        <f>SUMIF(RawDataDead!$B:$B,$A10,RawDataDead!AG:AG)</f>
        <v>0</v>
      </c>
      <c r="AE10">
        <f>SUMIF(RawDataDead!$B:$B,$A10,RawDataDead!AH:AH)</f>
        <v>0</v>
      </c>
      <c r="AF10">
        <f>SUMIF(RawDataDead!$B:$B,$A10,RawDataDead!AI:AI)</f>
        <v>0</v>
      </c>
      <c r="AG10">
        <f>SUMIF(RawDataDead!$B:$B,$A10,RawDataDead!AJ:AJ)</f>
        <v>0</v>
      </c>
      <c r="AH10">
        <f>SUMIF(RawDataDead!$B:$B,$A10,RawDataDead!AK:AK)</f>
        <v>0</v>
      </c>
      <c r="AI10">
        <f>SUMIF(RawDataDead!$B:$B,$A10,RawDataDead!AL:AL)</f>
        <v>0</v>
      </c>
      <c r="AJ10">
        <f>SUMIF(RawDataDead!$B:$B,$A10,RawDataDead!AM:AM)</f>
        <v>0</v>
      </c>
      <c r="AK10">
        <f>SUMIF(RawDataDead!$B:$B,$A10,RawDataDead!AN:AN)</f>
        <v>0</v>
      </c>
      <c r="AL10">
        <f>SUMIF(RawDataDead!$B:$B,$A10,RawDataDead!AO:AO)</f>
        <v>0</v>
      </c>
      <c r="AM10">
        <f>SUMIF(RawDataDead!$B:$B,$A10,RawDataDead!AP:AP)</f>
        <v>0</v>
      </c>
      <c r="AN10">
        <f>SUMIF(RawDataDead!$B:$B,$A10,RawDataDead!AQ:AQ)</f>
        <v>0</v>
      </c>
      <c r="AO10">
        <f>SUMIF(RawDataDead!$B:$B,$A10,RawDataDead!AR:AR)</f>
        <v>0</v>
      </c>
      <c r="AP10">
        <f>SUMIF(RawDataDead!$B:$B,$A10,RawDataDead!AS:AS)</f>
        <v>0</v>
      </c>
      <c r="AQ10">
        <f>SUMIF(RawDataDead!$B:$B,$A10,RawDataDead!AT:AT)</f>
        <v>0</v>
      </c>
      <c r="AR10">
        <f>SUMIF(RawDataDead!$B:$B,$A10,RawDataDead!AU:AU)</f>
        <v>0</v>
      </c>
      <c r="AS10">
        <f>SUMIF(RawDataDead!$B:$B,$A10,RawDataDead!AV:AV)</f>
        <v>1</v>
      </c>
      <c r="AT10">
        <f>SUMIF(RawDataDead!$B:$B,$A10,RawDataDead!AW:AW)</f>
        <v>1</v>
      </c>
      <c r="AU10">
        <f>SUMIF(RawDataDead!$B:$B,$A10,RawDataDead!AX:AX)</f>
        <v>1</v>
      </c>
      <c r="AV10">
        <f>SUMIF(RawDataDead!$B:$B,$A10,RawDataDead!AY:AY)</f>
        <v>2</v>
      </c>
      <c r="AW10">
        <f>SUMIF(RawDataDead!$B:$B,$A10,RawDataDead!AZ:AZ)</f>
        <v>2</v>
      </c>
      <c r="AX10">
        <f>SUMIF(RawDataDead!$B:$B,$A10,RawDataDead!BA:BA)</f>
        <v>3</v>
      </c>
      <c r="AY10">
        <f>SUMIF(RawDataDead!$B:$B,$A10,RawDataDead!BB:BB)</f>
        <v>4</v>
      </c>
      <c r="AZ10">
        <f>SUMIF(RawDataDead!$B:$B,$A10,RawDataDead!BC:BC)</f>
        <v>4</v>
      </c>
      <c r="BA10">
        <f>SUMIF(RawDataDead!$B:$B,$A10,RawDataDead!BD:BD)</f>
        <v>11</v>
      </c>
      <c r="BB10">
        <f>SUMIF(RawDataDead!$B:$B,$A10,RawDataDead!BE:BE)</f>
        <v>13</v>
      </c>
      <c r="BC10">
        <f>SUMIF(RawDataDead!$B:$B,$A10,RawDataDead!BF:BF)</f>
        <v>14</v>
      </c>
      <c r="BD10">
        <f>SUMIF(RawDataDead!$B:$B,$A10,RawDataDead!BG:BG)</f>
        <v>14</v>
      </c>
      <c r="BE10">
        <f>SUMIF(RawDataDead!$B:$B,$A10,RawDataDead!BH:BH)</f>
        <v>27</v>
      </c>
      <c r="BF10">
        <f>SUMIF(RawDataDead!$B:$B,$A10,RawDataDead!BI:BI)</f>
        <v>0</v>
      </c>
      <c r="BG10">
        <f>SUMIF(RawDataDead!$B:$B,$A10,RawDataDead!BJ:BJ)</f>
        <v>0</v>
      </c>
      <c r="BH10">
        <f>SUMIF(RawDataDead!$B:$B,$A10,RawDataDead!BK:BK)</f>
        <v>0</v>
      </c>
      <c r="BI10">
        <f>SUMIF(RawDataDead!$B:$B,$A10,RawDataDead!BL:BL)</f>
        <v>0</v>
      </c>
      <c r="BJ10">
        <f>SUMIF(RawDataDead!$B:$B,$A10,RawDataDead!BM:BM)</f>
        <v>0</v>
      </c>
      <c r="BK10">
        <f>SUMIF(RawDataDead!$B:$B,$A10,RawDataDead!BN:BN)</f>
        <v>0</v>
      </c>
      <c r="BL10">
        <f>SUMIF(RawDataDead!$B:$B,$A10,RawDataDead!BO:BO)</f>
        <v>0</v>
      </c>
      <c r="BM10">
        <f>SUMIF(RawDataDead!$B:$B,$A10,RawDataDead!BP:BP)</f>
        <v>0</v>
      </c>
      <c r="BN10">
        <f>SUMIF(RawDataDead!$B:$B,$A10,RawDataDead!BQ:BQ)</f>
        <v>0</v>
      </c>
      <c r="BO10">
        <f>SUMIF(RawDataDead!$B:$B,$A10,RawDataDead!BR:BR)</f>
        <v>0</v>
      </c>
      <c r="BP10">
        <f>SUMIF(RawDataDead!$B:$B,$A10,RawDataDead!BS:BS)</f>
        <v>0</v>
      </c>
      <c r="BQ10">
        <f>SUMIF(RawDataDead!$B:$B,$A10,RawDataDead!BT:BT)</f>
        <v>0</v>
      </c>
      <c r="BR10">
        <f>SUMIF(RawDataDead!$B:$B,$A10,RawDataDead!BU:BU)</f>
        <v>0</v>
      </c>
      <c r="BS10">
        <f>SUMIF(RawDataDead!$B:$B,$A10,RawDataDead!BV:BV)</f>
        <v>0</v>
      </c>
      <c r="BT10">
        <f>SUMIF(RawDataDead!$B:$B,$A10,RawDataDead!BW:BW)</f>
        <v>0</v>
      </c>
    </row>
    <row r="11" spans="1:72" ht="15" thickBot="1" x14ac:dyDescent="0.35">
      <c r="A11" s="4" t="s">
        <v>112</v>
      </c>
      <c r="B11">
        <f>SUMIF(RawDataDead!$B:$B,$A11,RawDataDead!E:E)</f>
        <v>0</v>
      </c>
      <c r="C11">
        <f>SUMIF(RawDataDead!$B:$B,$A11,RawDataDead!F:F)</f>
        <v>0</v>
      </c>
      <c r="D11">
        <f>SUMIF(RawDataDead!$B:$B,$A11,RawDataDead!G:G)</f>
        <v>0</v>
      </c>
      <c r="E11">
        <f>SUMIF(RawDataDead!$B:$B,$A11,RawDataDead!H:H)</f>
        <v>0</v>
      </c>
      <c r="F11">
        <f>SUMIF(RawDataDead!$B:$B,$A11,RawDataDead!I:I)</f>
        <v>0</v>
      </c>
      <c r="G11">
        <f>SUMIF(RawDataDead!$B:$B,$A11,RawDataDead!J:J)</f>
        <v>0</v>
      </c>
      <c r="H11">
        <f>SUMIF(RawDataDead!$B:$B,$A11,RawDataDead!K:K)</f>
        <v>0</v>
      </c>
      <c r="I11">
        <f>SUMIF(RawDataDead!$B:$B,$A11,RawDataDead!L:L)</f>
        <v>0</v>
      </c>
      <c r="J11">
        <f>SUMIF(RawDataDead!$B:$B,$A11,RawDataDead!M:M)</f>
        <v>0</v>
      </c>
      <c r="K11">
        <f>SUMIF(RawDataDead!$B:$B,$A11,RawDataDead!N:N)</f>
        <v>0</v>
      </c>
      <c r="L11">
        <f>SUMIF(RawDataDead!$B:$B,$A11,RawDataDead!O:O)</f>
        <v>0</v>
      </c>
      <c r="M11">
        <f>SUMIF(RawDataDead!$B:$B,$A11,RawDataDead!P:P)</f>
        <v>0</v>
      </c>
      <c r="N11">
        <f>SUMIF(RawDataDead!$B:$B,$A11,RawDataDead!Q:Q)</f>
        <v>0</v>
      </c>
      <c r="O11">
        <f>SUMIF(RawDataDead!$B:$B,$A11,RawDataDead!R:R)</f>
        <v>0</v>
      </c>
      <c r="P11">
        <f>SUMIF(RawDataDead!$B:$B,$A11,RawDataDead!S:S)</f>
        <v>0</v>
      </c>
      <c r="Q11">
        <f>SUMIF(RawDataDead!$B:$B,$A11,RawDataDead!T:T)</f>
        <v>0</v>
      </c>
      <c r="R11">
        <f>SUMIF(RawDataDead!$B:$B,$A11,RawDataDead!U:U)</f>
        <v>0</v>
      </c>
      <c r="S11">
        <f>SUMIF(RawDataDead!$B:$B,$A11,RawDataDead!V:V)</f>
        <v>0</v>
      </c>
      <c r="T11">
        <f>SUMIF(RawDataDead!$B:$B,$A11,RawDataDead!W:W)</f>
        <v>0</v>
      </c>
      <c r="U11">
        <f>SUMIF(RawDataDead!$B:$B,$A11,RawDataDead!X:X)</f>
        <v>0</v>
      </c>
      <c r="V11">
        <f>SUMIF(RawDataDead!$B:$B,$A11,RawDataDead!Y:Y)</f>
        <v>0</v>
      </c>
      <c r="W11">
        <f>SUMIF(RawDataDead!$B:$B,$A11,RawDataDead!Z:Z)</f>
        <v>0</v>
      </c>
      <c r="X11">
        <f>SUMIF(RawDataDead!$B:$B,$A11,RawDataDead!AA:AA)</f>
        <v>0</v>
      </c>
      <c r="Y11">
        <f>SUMIF(RawDataDead!$B:$B,$A11,RawDataDead!AB:AB)</f>
        <v>0</v>
      </c>
      <c r="Z11">
        <f>SUMIF(RawDataDead!$B:$B,$A11,RawDataDead!AC:AC)</f>
        <v>0</v>
      </c>
      <c r="AA11">
        <f>SUMIF(RawDataDead!$B:$B,$A11,RawDataDead!AD:AD)</f>
        <v>0</v>
      </c>
      <c r="AB11">
        <f>SUMIF(RawDataDead!$B:$B,$A11,RawDataDead!AE:AE)</f>
        <v>0</v>
      </c>
      <c r="AC11">
        <f>SUMIF(RawDataDead!$B:$B,$A11,RawDataDead!AF:AF)</f>
        <v>0</v>
      </c>
      <c r="AD11">
        <f>SUMIF(RawDataDead!$B:$B,$A11,RawDataDead!AG:AG)</f>
        <v>0</v>
      </c>
      <c r="AE11">
        <f>SUMIF(RawDataDead!$B:$B,$A11,RawDataDead!AH:AH)</f>
        <v>0</v>
      </c>
      <c r="AF11">
        <f>SUMIF(RawDataDead!$B:$B,$A11,RawDataDead!AI:AI)</f>
        <v>0</v>
      </c>
      <c r="AG11">
        <f>SUMIF(RawDataDead!$B:$B,$A11,RawDataDead!AJ:AJ)</f>
        <v>0</v>
      </c>
      <c r="AH11">
        <f>SUMIF(RawDataDead!$B:$B,$A11,RawDataDead!AK:AK)</f>
        <v>0</v>
      </c>
      <c r="AI11">
        <f>SUMIF(RawDataDead!$B:$B,$A11,RawDataDead!AL:AL)</f>
        <v>0</v>
      </c>
      <c r="AJ11">
        <f>SUMIF(RawDataDead!$B:$B,$A11,RawDataDead!AM:AM)</f>
        <v>0</v>
      </c>
      <c r="AK11">
        <f>SUMIF(RawDataDead!$B:$B,$A11,RawDataDead!AN:AN)</f>
        <v>0</v>
      </c>
      <c r="AL11">
        <f>SUMIF(RawDataDead!$B:$B,$A11,RawDataDead!AO:AO)</f>
        <v>0</v>
      </c>
      <c r="AM11">
        <f>SUMIF(RawDataDead!$B:$B,$A11,RawDataDead!AP:AP)</f>
        <v>0</v>
      </c>
      <c r="AN11">
        <f>SUMIF(RawDataDead!$B:$B,$A11,RawDataDead!AQ:AQ)</f>
        <v>0</v>
      </c>
      <c r="AO11">
        <f>SUMIF(RawDataDead!$B:$B,$A11,RawDataDead!AR:AR)</f>
        <v>0</v>
      </c>
      <c r="AP11">
        <f>SUMIF(RawDataDead!$B:$B,$A11,RawDataDead!AS:AS)</f>
        <v>0</v>
      </c>
      <c r="AQ11">
        <f>SUMIF(RawDataDead!$B:$B,$A11,RawDataDead!AT:AT)</f>
        <v>0</v>
      </c>
      <c r="AR11">
        <f>SUMIF(RawDataDead!$B:$B,$A11,RawDataDead!AU:AU)</f>
        <v>0</v>
      </c>
      <c r="AS11">
        <f>SUMIF(RawDataDead!$B:$B,$A11,RawDataDead!AV:AV)</f>
        <v>0</v>
      </c>
      <c r="AT11">
        <f>SUMIF(RawDataDead!$B:$B,$A11,RawDataDead!AW:AW)</f>
        <v>0</v>
      </c>
      <c r="AU11">
        <f>SUMIF(RawDataDead!$B:$B,$A11,RawDataDead!AX:AX)</f>
        <v>0</v>
      </c>
      <c r="AV11">
        <f>SUMIF(RawDataDead!$B:$B,$A11,RawDataDead!AY:AY)</f>
        <v>0</v>
      </c>
      <c r="AW11">
        <f>SUMIF(RawDataDead!$B:$B,$A11,RawDataDead!AZ:AZ)</f>
        <v>0</v>
      </c>
      <c r="AX11">
        <f>SUMIF(RawDataDead!$B:$B,$A11,RawDataDead!BA:BA)</f>
        <v>0</v>
      </c>
      <c r="AY11">
        <f>SUMIF(RawDataDead!$B:$B,$A11,RawDataDead!BB:BB)</f>
        <v>0</v>
      </c>
      <c r="AZ11">
        <f>SUMIF(RawDataDead!$B:$B,$A11,RawDataDead!BC:BC)</f>
        <v>0</v>
      </c>
      <c r="BA11">
        <f>SUMIF(RawDataDead!$B:$B,$A11,RawDataDead!BD:BD)</f>
        <v>0</v>
      </c>
      <c r="BB11">
        <f>SUMIF(RawDataDead!$B:$B,$A11,RawDataDead!BE:BE)</f>
        <v>3</v>
      </c>
      <c r="BC11">
        <f>SUMIF(RawDataDead!$B:$B,$A11,RawDataDead!BF:BF)</f>
        <v>3</v>
      </c>
      <c r="BD11">
        <f>SUMIF(RawDataDead!$B:$B,$A11,RawDataDead!BG:BG)</f>
        <v>3</v>
      </c>
      <c r="BE11">
        <f>SUMIF(RawDataDead!$B:$B,$A11,RawDataDead!BH:BH)</f>
        <v>3</v>
      </c>
      <c r="BF11">
        <f>SUMIF(RawDataDead!$B:$B,$A11,RawDataDead!BI:BI)</f>
        <v>0</v>
      </c>
      <c r="BG11">
        <f>SUMIF(RawDataDead!$B:$B,$A11,RawDataDead!BJ:BJ)</f>
        <v>0</v>
      </c>
      <c r="BH11">
        <f>SUMIF(RawDataDead!$B:$B,$A11,RawDataDead!BK:BK)</f>
        <v>0</v>
      </c>
      <c r="BI11">
        <f>SUMIF(RawDataDead!$B:$B,$A11,RawDataDead!BL:BL)</f>
        <v>0</v>
      </c>
      <c r="BJ11">
        <f>SUMIF(RawDataDead!$B:$B,$A11,RawDataDead!BM:BM)</f>
        <v>0</v>
      </c>
      <c r="BK11">
        <f>SUMIF(RawDataDead!$B:$B,$A11,RawDataDead!BN:BN)</f>
        <v>0</v>
      </c>
      <c r="BL11">
        <f>SUMIF(RawDataDead!$B:$B,$A11,RawDataDead!BO:BO)</f>
        <v>0</v>
      </c>
      <c r="BM11">
        <f>SUMIF(RawDataDead!$B:$B,$A11,RawDataDead!BP:BP)</f>
        <v>0</v>
      </c>
      <c r="BN11">
        <f>SUMIF(RawDataDead!$B:$B,$A11,RawDataDead!BQ:BQ)</f>
        <v>0</v>
      </c>
      <c r="BO11">
        <f>SUMIF(RawDataDead!$B:$B,$A11,RawDataDead!BR:BR)</f>
        <v>0</v>
      </c>
      <c r="BP11">
        <f>SUMIF(RawDataDead!$B:$B,$A11,RawDataDead!BS:BS)</f>
        <v>0</v>
      </c>
      <c r="BQ11">
        <f>SUMIF(RawDataDead!$B:$B,$A11,RawDataDead!BT:BT)</f>
        <v>0</v>
      </c>
      <c r="BR11">
        <f>SUMIF(RawDataDead!$B:$B,$A11,RawDataDead!BU:BU)</f>
        <v>0</v>
      </c>
      <c r="BS11">
        <f>SUMIF(RawDataDead!$B:$B,$A11,RawDataDead!BV:BV)</f>
        <v>0</v>
      </c>
      <c r="BT11">
        <f>SUMIF(RawDataDead!$B:$B,$A11,RawDataDead!BW:BW)</f>
        <v>0</v>
      </c>
    </row>
    <row r="12" spans="1:72" ht="15" thickBot="1" x14ac:dyDescent="0.35">
      <c r="A12" s="4" t="s">
        <v>86</v>
      </c>
      <c r="B12">
        <f>SUMIF(RawDataDead!$B:$B,$A12,RawDataDead!E:E)</f>
        <v>0</v>
      </c>
      <c r="C12">
        <f>SUMIF(RawDataDead!$B:$B,$A12,RawDataDead!F:F)</f>
        <v>0</v>
      </c>
      <c r="D12">
        <f>SUMIF(RawDataDead!$B:$B,$A12,RawDataDead!G:G)</f>
        <v>0</v>
      </c>
      <c r="E12">
        <f>SUMIF(RawDataDead!$B:$B,$A12,RawDataDead!H:H)</f>
        <v>0</v>
      </c>
      <c r="F12">
        <f>SUMIF(RawDataDead!$B:$B,$A12,RawDataDead!I:I)</f>
        <v>0</v>
      </c>
      <c r="G12">
        <f>SUMIF(RawDataDead!$B:$B,$A12,RawDataDead!J:J)</f>
        <v>0</v>
      </c>
      <c r="H12">
        <f>SUMIF(RawDataDead!$B:$B,$A12,RawDataDead!K:K)</f>
        <v>0</v>
      </c>
      <c r="I12">
        <f>SUMIF(RawDataDead!$B:$B,$A12,RawDataDead!L:L)</f>
        <v>0</v>
      </c>
      <c r="J12">
        <f>SUMIF(RawDataDead!$B:$B,$A12,RawDataDead!M:M)</f>
        <v>0</v>
      </c>
      <c r="K12">
        <f>SUMIF(RawDataDead!$B:$B,$A12,RawDataDead!N:N)</f>
        <v>0</v>
      </c>
      <c r="L12">
        <f>SUMIF(RawDataDead!$B:$B,$A12,RawDataDead!O:O)</f>
        <v>0</v>
      </c>
      <c r="M12">
        <f>SUMIF(RawDataDead!$B:$B,$A12,RawDataDead!P:P)</f>
        <v>0</v>
      </c>
      <c r="N12">
        <f>SUMIF(RawDataDead!$B:$B,$A12,RawDataDead!Q:Q)</f>
        <v>0</v>
      </c>
      <c r="O12">
        <f>SUMIF(RawDataDead!$B:$B,$A12,RawDataDead!R:R)</f>
        <v>0</v>
      </c>
      <c r="P12">
        <f>SUMIF(RawDataDead!$B:$B,$A12,RawDataDead!S:S)</f>
        <v>0</v>
      </c>
      <c r="Q12">
        <f>SUMIF(RawDataDead!$B:$B,$A12,RawDataDead!T:T)</f>
        <v>0</v>
      </c>
      <c r="R12">
        <f>SUMIF(RawDataDead!$B:$B,$A12,RawDataDead!U:U)</f>
        <v>0</v>
      </c>
      <c r="S12">
        <f>SUMIF(RawDataDead!$B:$B,$A12,RawDataDead!V:V)</f>
        <v>0</v>
      </c>
      <c r="T12">
        <f>SUMIF(RawDataDead!$B:$B,$A12,RawDataDead!W:W)</f>
        <v>0</v>
      </c>
      <c r="U12">
        <f>SUMIF(RawDataDead!$B:$B,$A12,RawDataDead!X:X)</f>
        <v>0</v>
      </c>
      <c r="V12">
        <f>SUMIF(RawDataDead!$B:$B,$A12,RawDataDead!Y:Y)</f>
        <v>0</v>
      </c>
      <c r="W12">
        <f>SUMIF(RawDataDead!$B:$B,$A12,RawDataDead!Z:Z)</f>
        <v>0</v>
      </c>
      <c r="X12">
        <f>SUMIF(RawDataDead!$B:$B,$A12,RawDataDead!AA:AA)</f>
        <v>0</v>
      </c>
      <c r="Y12">
        <f>SUMIF(RawDataDead!$B:$B,$A12,RawDataDead!AB:AB)</f>
        <v>0</v>
      </c>
      <c r="Z12">
        <f>SUMIF(RawDataDead!$B:$B,$A12,RawDataDead!AC:AC)</f>
        <v>0</v>
      </c>
      <c r="AA12">
        <f>SUMIF(RawDataDead!$B:$B,$A12,RawDataDead!AD:AD)</f>
        <v>0</v>
      </c>
      <c r="AB12">
        <f>SUMIF(RawDataDead!$B:$B,$A12,RawDataDead!AE:AE)</f>
        <v>0</v>
      </c>
      <c r="AC12">
        <f>SUMIF(RawDataDead!$B:$B,$A12,RawDataDead!AF:AF)</f>
        <v>0</v>
      </c>
      <c r="AD12">
        <f>SUMIF(RawDataDead!$B:$B,$A12,RawDataDead!AG:AG)</f>
        <v>0</v>
      </c>
      <c r="AE12">
        <f>SUMIF(RawDataDead!$B:$B,$A12,RawDataDead!AH:AH)</f>
        <v>0</v>
      </c>
      <c r="AF12">
        <f>SUMIF(RawDataDead!$B:$B,$A12,RawDataDead!AI:AI)</f>
        <v>0</v>
      </c>
      <c r="AG12">
        <f>SUMIF(RawDataDead!$B:$B,$A12,RawDataDead!AJ:AJ)</f>
        <v>0</v>
      </c>
      <c r="AH12">
        <f>SUMIF(RawDataDead!$B:$B,$A12,RawDataDead!AK:AK)</f>
        <v>0</v>
      </c>
      <c r="AI12">
        <f>SUMIF(RawDataDead!$B:$B,$A12,RawDataDead!AL:AL)</f>
        <v>0</v>
      </c>
      <c r="AJ12">
        <f>SUMIF(RawDataDead!$B:$B,$A12,RawDataDead!AM:AM)</f>
        <v>0</v>
      </c>
      <c r="AK12">
        <f>SUMIF(RawDataDead!$B:$B,$A12,RawDataDead!AN:AN)</f>
        <v>0</v>
      </c>
      <c r="AL12">
        <f>SUMIF(RawDataDead!$B:$B,$A12,RawDataDead!AO:AO)</f>
        <v>0</v>
      </c>
      <c r="AM12">
        <f>SUMIF(RawDataDead!$B:$B,$A12,RawDataDead!AP:AP)</f>
        <v>0</v>
      </c>
      <c r="AN12">
        <f>SUMIF(RawDataDead!$B:$B,$A12,RawDataDead!AQ:AQ)</f>
        <v>0</v>
      </c>
      <c r="AO12">
        <f>SUMIF(RawDataDead!$B:$B,$A12,RawDataDead!AR:AR)</f>
        <v>0</v>
      </c>
      <c r="AP12">
        <f>SUMIF(RawDataDead!$B:$B,$A12,RawDataDead!AS:AS)</f>
        <v>0</v>
      </c>
      <c r="AQ12">
        <f>SUMIF(RawDataDead!$B:$B,$A12,RawDataDead!AT:AT)</f>
        <v>0</v>
      </c>
      <c r="AR12">
        <f>SUMIF(RawDataDead!$B:$B,$A12,RawDataDead!AU:AU)</f>
        <v>0</v>
      </c>
      <c r="AS12">
        <f>SUMIF(RawDataDead!$B:$B,$A12,RawDataDead!AV:AV)</f>
        <v>0</v>
      </c>
      <c r="AT12">
        <f>SUMIF(RawDataDead!$B:$B,$A12,RawDataDead!AW:AW)</f>
        <v>0</v>
      </c>
      <c r="AU12">
        <f>SUMIF(RawDataDead!$B:$B,$A12,RawDataDead!AX:AX)</f>
        <v>0</v>
      </c>
      <c r="AV12">
        <f>SUMIF(RawDataDead!$B:$B,$A12,RawDataDead!AY:AY)</f>
        <v>0</v>
      </c>
      <c r="AW12">
        <f>SUMIF(RawDataDead!$B:$B,$A12,RawDataDead!AZ:AZ)</f>
        <v>0</v>
      </c>
      <c r="AX12">
        <f>SUMIF(RawDataDead!$B:$B,$A12,RawDataDead!BA:BA)</f>
        <v>0</v>
      </c>
      <c r="AY12">
        <f>SUMIF(RawDataDead!$B:$B,$A12,RawDataDead!BB:BB)</f>
        <v>1</v>
      </c>
      <c r="AZ12">
        <f>SUMIF(RawDataDead!$B:$B,$A12,RawDataDead!BC:BC)</f>
        <v>1</v>
      </c>
      <c r="BA12">
        <f>SUMIF(RawDataDead!$B:$B,$A12,RawDataDead!BD:BD)</f>
        <v>1</v>
      </c>
      <c r="BB12">
        <f>SUMIF(RawDataDead!$B:$B,$A12,RawDataDead!BE:BE)</f>
        <v>2</v>
      </c>
      <c r="BC12">
        <f>SUMIF(RawDataDead!$B:$B,$A12,RawDataDead!BF:BF)</f>
        <v>3</v>
      </c>
      <c r="BD12">
        <f>SUMIF(RawDataDead!$B:$B,$A12,RawDataDead!BG:BG)</f>
        <v>6</v>
      </c>
      <c r="BE12">
        <f>SUMIF(RawDataDead!$B:$B,$A12,RawDataDead!BH:BH)</f>
        <v>7</v>
      </c>
      <c r="BF12">
        <f>SUMIF(RawDataDead!$B:$B,$A12,RawDataDead!BI:BI)</f>
        <v>0</v>
      </c>
      <c r="BG12">
        <f>SUMIF(RawDataDead!$B:$B,$A12,RawDataDead!BJ:BJ)</f>
        <v>0</v>
      </c>
      <c r="BH12">
        <f>SUMIF(RawDataDead!$B:$B,$A12,RawDataDead!BK:BK)</f>
        <v>0</v>
      </c>
      <c r="BI12">
        <f>SUMIF(RawDataDead!$B:$B,$A12,RawDataDead!BL:BL)</f>
        <v>0</v>
      </c>
      <c r="BJ12">
        <f>SUMIF(RawDataDead!$B:$B,$A12,RawDataDead!BM:BM)</f>
        <v>0</v>
      </c>
      <c r="BK12">
        <f>SUMIF(RawDataDead!$B:$B,$A12,RawDataDead!BN:BN)</f>
        <v>0</v>
      </c>
      <c r="BL12">
        <f>SUMIF(RawDataDead!$B:$B,$A12,RawDataDead!BO:BO)</f>
        <v>0</v>
      </c>
      <c r="BM12">
        <f>SUMIF(RawDataDead!$B:$B,$A12,RawDataDead!BP:BP)</f>
        <v>0</v>
      </c>
      <c r="BN12">
        <f>SUMIF(RawDataDead!$B:$B,$A12,RawDataDead!BQ:BQ)</f>
        <v>0</v>
      </c>
      <c r="BO12">
        <f>SUMIF(RawDataDead!$B:$B,$A12,RawDataDead!BR:BR)</f>
        <v>0</v>
      </c>
      <c r="BP12">
        <f>SUMIF(RawDataDead!$B:$B,$A12,RawDataDead!BS:BS)</f>
        <v>0</v>
      </c>
      <c r="BQ12">
        <f>SUMIF(RawDataDead!$B:$B,$A12,RawDataDead!BT:BT)</f>
        <v>0</v>
      </c>
      <c r="BR12">
        <f>SUMIF(RawDataDead!$B:$B,$A12,RawDataDead!BU:BU)</f>
        <v>0</v>
      </c>
      <c r="BS12">
        <f>SUMIF(RawDataDead!$B:$B,$A12,RawDataDead!BV:BV)</f>
        <v>0</v>
      </c>
      <c r="BT12">
        <f>SUMIF(RawDataDead!$B:$B,$A12,RawDataDead!BW:BW)</f>
        <v>0</v>
      </c>
    </row>
    <row r="13" spans="1:72" ht="15" thickBot="1" x14ac:dyDescent="0.35">
      <c r="A13" s="3" t="s">
        <v>114</v>
      </c>
      <c r="B13">
        <f>SUMIF(RawDataDead!$B:$B,$A13,RawDataDead!E:E)</f>
        <v>0</v>
      </c>
      <c r="C13">
        <f>SUMIF(RawDataDead!$B:$B,$A13,RawDataDead!F:F)</f>
        <v>0</v>
      </c>
      <c r="D13">
        <f>SUMIF(RawDataDead!$B:$B,$A13,RawDataDead!G:G)</f>
        <v>0</v>
      </c>
      <c r="E13">
        <f>SUMIF(RawDataDead!$B:$B,$A13,RawDataDead!H:H)</f>
        <v>0</v>
      </c>
      <c r="F13">
        <f>SUMIF(RawDataDead!$B:$B,$A13,RawDataDead!I:I)</f>
        <v>0</v>
      </c>
      <c r="G13">
        <f>SUMIF(RawDataDead!$B:$B,$A13,RawDataDead!J:J)</f>
        <v>0</v>
      </c>
      <c r="H13">
        <f>SUMIF(RawDataDead!$B:$B,$A13,RawDataDead!K:K)</f>
        <v>0</v>
      </c>
      <c r="I13">
        <f>SUMIF(RawDataDead!$B:$B,$A13,RawDataDead!L:L)</f>
        <v>0</v>
      </c>
      <c r="J13">
        <f>SUMIF(RawDataDead!$B:$B,$A13,RawDataDead!M:M)</f>
        <v>0</v>
      </c>
      <c r="K13">
        <f>SUMIF(RawDataDead!$B:$B,$A13,RawDataDead!N:N)</f>
        <v>0</v>
      </c>
      <c r="L13">
        <f>SUMIF(RawDataDead!$B:$B,$A13,RawDataDead!O:O)</f>
        <v>0</v>
      </c>
      <c r="M13">
        <f>SUMIF(RawDataDead!$B:$B,$A13,RawDataDead!P:P)</f>
        <v>0</v>
      </c>
      <c r="N13">
        <f>SUMIF(RawDataDead!$B:$B,$A13,RawDataDead!Q:Q)</f>
        <v>0</v>
      </c>
      <c r="O13">
        <f>SUMIF(RawDataDead!$B:$B,$A13,RawDataDead!R:R)</f>
        <v>0</v>
      </c>
      <c r="P13">
        <f>SUMIF(RawDataDead!$B:$B,$A13,RawDataDead!S:S)</f>
        <v>0</v>
      </c>
      <c r="Q13">
        <f>SUMIF(RawDataDead!$B:$B,$A13,RawDataDead!T:T)</f>
        <v>0</v>
      </c>
      <c r="R13">
        <f>SUMIF(RawDataDead!$B:$B,$A13,RawDataDead!U:U)</f>
        <v>0</v>
      </c>
      <c r="S13">
        <f>SUMIF(RawDataDead!$B:$B,$A13,RawDataDead!V:V)</f>
        <v>0</v>
      </c>
      <c r="T13">
        <f>SUMIF(RawDataDead!$B:$B,$A13,RawDataDead!W:W)</f>
        <v>0</v>
      </c>
      <c r="U13">
        <f>SUMIF(RawDataDead!$B:$B,$A13,RawDataDead!X:X)</f>
        <v>0</v>
      </c>
      <c r="V13">
        <f>SUMIF(RawDataDead!$B:$B,$A13,RawDataDead!Y:Y)</f>
        <v>0</v>
      </c>
      <c r="W13">
        <f>SUMIF(RawDataDead!$B:$B,$A13,RawDataDead!Z:Z)</f>
        <v>0</v>
      </c>
      <c r="X13">
        <f>SUMIF(RawDataDead!$B:$B,$A13,RawDataDead!AA:AA)</f>
        <v>0</v>
      </c>
      <c r="Y13">
        <f>SUMIF(RawDataDead!$B:$B,$A13,RawDataDead!AB:AB)</f>
        <v>0</v>
      </c>
      <c r="Z13">
        <f>SUMIF(RawDataDead!$B:$B,$A13,RawDataDead!AC:AC)</f>
        <v>0</v>
      </c>
      <c r="AA13">
        <f>SUMIF(RawDataDead!$B:$B,$A13,RawDataDead!AD:AD)</f>
        <v>0</v>
      </c>
      <c r="AB13">
        <f>SUMIF(RawDataDead!$B:$B,$A13,RawDataDead!AE:AE)</f>
        <v>0</v>
      </c>
      <c r="AC13">
        <f>SUMIF(RawDataDead!$B:$B,$A13,RawDataDead!AF:AF)</f>
        <v>0</v>
      </c>
      <c r="AD13">
        <f>SUMIF(RawDataDead!$B:$B,$A13,RawDataDead!AG:AG)</f>
        <v>0</v>
      </c>
      <c r="AE13">
        <f>SUMIF(RawDataDead!$B:$B,$A13,RawDataDead!AH:AH)</f>
        <v>0</v>
      </c>
      <c r="AF13">
        <f>SUMIF(RawDataDead!$B:$B,$A13,RawDataDead!AI:AI)</f>
        <v>0</v>
      </c>
      <c r="AG13">
        <f>SUMIF(RawDataDead!$B:$B,$A13,RawDataDead!AJ:AJ)</f>
        <v>0</v>
      </c>
      <c r="AH13">
        <f>SUMIF(RawDataDead!$B:$B,$A13,RawDataDead!AK:AK)</f>
        <v>0</v>
      </c>
      <c r="AI13">
        <f>SUMIF(RawDataDead!$B:$B,$A13,RawDataDead!AL:AL)</f>
        <v>0</v>
      </c>
      <c r="AJ13">
        <f>SUMIF(RawDataDead!$B:$B,$A13,RawDataDead!AM:AM)</f>
        <v>0</v>
      </c>
      <c r="AK13">
        <f>SUMIF(RawDataDead!$B:$B,$A13,RawDataDead!AN:AN)</f>
        <v>0</v>
      </c>
      <c r="AL13">
        <f>SUMIF(RawDataDead!$B:$B,$A13,RawDataDead!AO:AO)</f>
        <v>0</v>
      </c>
      <c r="AM13">
        <f>SUMIF(RawDataDead!$B:$B,$A13,RawDataDead!AP:AP)</f>
        <v>0</v>
      </c>
      <c r="AN13">
        <f>SUMIF(RawDataDead!$B:$B,$A13,RawDataDead!AQ:AQ)</f>
        <v>0</v>
      </c>
      <c r="AO13">
        <f>SUMIF(RawDataDead!$B:$B,$A13,RawDataDead!AR:AR)</f>
        <v>0</v>
      </c>
      <c r="AP13">
        <f>SUMIF(RawDataDead!$B:$B,$A13,RawDataDead!AS:AS)</f>
        <v>0</v>
      </c>
      <c r="AQ13">
        <f>SUMIF(RawDataDead!$B:$B,$A13,RawDataDead!AT:AT)</f>
        <v>0</v>
      </c>
      <c r="AR13">
        <f>SUMIF(RawDataDead!$B:$B,$A13,RawDataDead!AU:AU)</f>
        <v>0</v>
      </c>
      <c r="AS13">
        <f>SUMIF(RawDataDead!$B:$B,$A13,RawDataDead!AV:AV)</f>
        <v>0</v>
      </c>
      <c r="AT13">
        <f>SUMIF(RawDataDead!$B:$B,$A13,RawDataDead!AW:AW)</f>
        <v>0</v>
      </c>
      <c r="AU13">
        <f>SUMIF(RawDataDead!$B:$B,$A13,RawDataDead!AX:AX)</f>
        <v>0</v>
      </c>
      <c r="AV13">
        <f>SUMIF(RawDataDead!$B:$B,$A13,RawDataDead!AY:AY)</f>
        <v>0</v>
      </c>
      <c r="AW13">
        <f>SUMIF(RawDataDead!$B:$B,$A13,RawDataDead!AZ:AZ)</f>
        <v>0</v>
      </c>
      <c r="AX13">
        <f>SUMIF(RawDataDead!$B:$B,$A13,RawDataDead!BA:BA)</f>
        <v>0</v>
      </c>
      <c r="AY13">
        <f>SUMIF(RawDataDead!$B:$B,$A13,RawDataDead!BB:BB)</f>
        <v>0</v>
      </c>
      <c r="AZ13">
        <f>SUMIF(RawDataDead!$B:$B,$A13,RawDataDead!BC:BC)</f>
        <v>0</v>
      </c>
      <c r="BA13">
        <f>SUMIF(RawDataDead!$B:$B,$A13,RawDataDead!BD:BD)</f>
        <v>0</v>
      </c>
      <c r="BB13">
        <f>SUMIF(RawDataDead!$B:$B,$A13,RawDataDead!BE:BE)</f>
        <v>1</v>
      </c>
      <c r="BC13">
        <f>SUMIF(RawDataDead!$B:$B,$A13,RawDataDead!BF:BF)</f>
        <v>2</v>
      </c>
      <c r="BD13">
        <f>SUMIF(RawDataDead!$B:$B,$A13,RawDataDead!BG:BG)</f>
        <v>3</v>
      </c>
      <c r="BE13">
        <f>SUMIF(RawDataDead!$B:$B,$A13,RawDataDead!BH:BH)</f>
        <v>4</v>
      </c>
      <c r="BF13">
        <f>SUMIF(RawDataDead!$B:$B,$A13,RawDataDead!BI:BI)</f>
        <v>0</v>
      </c>
      <c r="BG13">
        <f>SUMIF(RawDataDead!$B:$B,$A13,RawDataDead!BJ:BJ)</f>
        <v>0</v>
      </c>
      <c r="BH13">
        <f>SUMIF(RawDataDead!$B:$B,$A13,RawDataDead!BK:BK)</f>
        <v>0</v>
      </c>
      <c r="BI13">
        <f>SUMIF(RawDataDead!$B:$B,$A13,RawDataDead!BL:BL)</f>
        <v>0</v>
      </c>
      <c r="BJ13">
        <f>SUMIF(RawDataDead!$B:$B,$A13,RawDataDead!BM:BM)</f>
        <v>0</v>
      </c>
      <c r="BK13">
        <f>SUMIF(RawDataDead!$B:$B,$A13,RawDataDead!BN:BN)</f>
        <v>0</v>
      </c>
      <c r="BL13">
        <f>SUMIF(RawDataDead!$B:$B,$A13,RawDataDead!BO:BO)</f>
        <v>0</v>
      </c>
      <c r="BM13">
        <f>SUMIF(RawDataDead!$B:$B,$A13,RawDataDead!BP:BP)</f>
        <v>0</v>
      </c>
      <c r="BN13">
        <f>SUMIF(RawDataDead!$B:$B,$A13,RawDataDead!BQ:BQ)</f>
        <v>0</v>
      </c>
      <c r="BO13">
        <f>SUMIF(RawDataDead!$B:$B,$A13,RawDataDead!BR:BR)</f>
        <v>0</v>
      </c>
      <c r="BP13">
        <f>SUMIF(RawDataDead!$B:$B,$A13,RawDataDead!BS:BS)</f>
        <v>0</v>
      </c>
      <c r="BQ13">
        <f>SUMIF(RawDataDead!$B:$B,$A13,RawDataDead!BT:BT)</f>
        <v>0</v>
      </c>
      <c r="BR13">
        <f>SUMIF(RawDataDead!$B:$B,$A13,RawDataDead!BU:BU)</f>
        <v>0</v>
      </c>
      <c r="BS13">
        <f>SUMIF(RawDataDead!$B:$B,$A13,RawDataDead!BV:BV)</f>
        <v>0</v>
      </c>
      <c r="BT13">
        <f>SUMIF(RawDataDead!$B:$B,$A13,RawDataDead!BW:BW)</f>
        <v>0</v>
      </c>
    </row>
    <row r="14" spans="1:72" ht="15" thickBot="1" x14ac:dyDescent="0.35">
      <c r="A14" s="3" t="s">
        <v>116</v>
      </c>
      <c r="B14">
        <f>SUMIF(RawDataDead!$B:$B,$A14,RawDataDead!E:E)</f>
        <v>0</v>
      </c>
      <c r="C14">
        <f>SUMIF(RawDataDead!$B:$B,$A14,RawDataDead!F:F)</f>
        <v>0</v>
      </c>
      <c r="D14">
        <f>SUMIF(RawDataDead!$B:$B,$A14,RawDataDead!G:G)</f>
        <v>0</v>
      </c>
      <c r="E14">
        <f>SUMIF(RawDataDead!$B:$B,$A14,RawDataDead!H:H)</f>
        <v>0</v>
      </c>
      <c r="F14">
        <f>SUMIF(RawDataDead!$B:$B,$A14,RawDataDead!I:I)</f>
        <v>0</v>
      </c>
      <c r="G14">
        <f>SUMIF(RawDataDead!$B:$B,$A14,RawDataDead!J:J)</f>
        <v>0</v>
      </c>
      <c r="H14">
        <f>SUMIF(RawDataDead!$B:$B,$A14,RawDataDead!K:K)</f>
        <v>0</v>
      </c>
      <c r="I14">
        <f>SUMIF(RawDataDead!$B:$B,$A14,RawDataDead!L:L)</f>
        <v>0</v>
      </c>
      <c r="J14">
        <f>SUMIF(RawDataDead!$B:$B,$A14,RawDataDead!M:M)</f>
        <v>0</v>
      </c>
      <c r="K14">
        <f>SUMIF(RawDataDead!$B:$B,$A14,RawDataDead!N:N)</f>
        <v>0</v>
      </c>
      <c r="L14">
        <f>SUMIF(RawDataDead!$B:$B,$A14,RawDataDead!O:O)</f>
        <v>0</v>
      </c>
      <c r="M14">
        <f>SUMIF(RawDataDead!$B:$B,$A14,RawDataDead!P:P)</f>
        <v>0</v>
      </c>
      <c r="N14">
        <f>SUMIF(RawDataDead!$B:$B,$A14,RawDataDead!Q:Q)</f>
        <v>0</v>
      </c>
      <c r="O14">
        <f>SUMIF(RawDataDead!$B:$B,$A14,RawDataDead!R:R)</f>
        <v>0</v>
      </c>
      <c r="P14">
        <f>SUMIF(RawDataDead!$B:$B,$A14,RawDataDead!S:S)</f>
        <v>0</v>
      </c>
      <c r="Q14">
        <f>SUMIF(RawDataDead!$B:$B,$A14,RawDataDead!T:T)</f>
        <v>0</v>
      </c>
      <c r="R14">
        <f>SUMIF(RawDataDead!$B:$B,$A14,RawDataDead!U:U)</f>
        <v>0</v>
      </c>
      <c r="S14">
        <f>SUMIF(RawDataDead!$B:$B,$A14,RawDataDead!V:V)</f>
        <v>0</v>
      </c>
      <c r="T14">
        <f>SUMIF(RawDataDead!$B:$B,$A14,RawDataDead!W:W)</f>
        <v>0</v>
      </c>
      <c r="U14">
        <f>SUMIF(RawDataDead!$B:$B,$A14,RawDataDead!X:X)</f>
        <v>0</v>
      </c>
      <c r="V14">
        <f>SUMIF(RawDataDead!$B:$B,$A14,RawDataDead!Y:Y)</f>
        <v>0</v>
      </c>
      <c r="W14">
        <f>SUMIF(RawDataDead!$B:$B,$A14,RawDataDead!Z:Z)</f>
        <v>0</v>
      </c>
      <c r="X14">
        <f>SUMIF(RawDataDead!$B:$B,$A14,RawDataDead!AA:AA)</f>
        <v>0</v>
      </c>
      <c r="Y14">
        <f>SUMIF(RawDataDead!$B:$B,$A14,RawDataDead!AB:AB)</f>
        <v>0</v>
      </c>
      <c r="Z14">
        <f>SUMIF(RawDataDead!$B:$B,$A14,RawDataDead!AC:AC)</f>
        <v>0</v>
      </c>
      <c r="AA14">
        <f>SUMIF(RawDataDead!$B:$B,$A14,RawDataDead!AD:AD)</f>
        <v>0</v>
      </c>
      <c r="AB14">
        <f>SUMIF(RawDataDead!$B:$B,$A14,RawDataDead!AE:AE)</f>
        <v>0</v>
      </c>
      <c r="AC14">
        <f>SUMIF(RawDataDead!$B:$B,$A14,RawDataDead!AF:AF)</f>
        <v>0</v>
      </c>
      <c r="AD14">
        <f>SUMIF(RawDataDead!$B:$B,$A14,RawDataDead!AG:AG)</f>
        <v>0</v>
      </c>
      <c r="AE14">
        <f>SUMIF(RawDataDead!$B:$B,$A14,RawDataDead!AH:AH)</f>
        <v>0</v>
      </c>
      <c r="AF14">
        <f>SUMIF(RawDataDead!$B:$B,$A14,RawDataDead!AI:AI)</f>
        <v>0</v>
      </c>
      <c r="AG14">
        <f>SUMIF(RawDataDead!$B:$B,$A14,RawDataDead!AJ:AJ)</f>
        <v>0</v>
      </c>
      <c r="AH14">
        <f>SUMIF(RawDataDead!$B:$B,$A14,RawDataDead!AK:AK)</f>
        <v>0</v>
      </c>
      <c r="AI14">
        <f>SUMIF(RawDataDead!$B:$B,$A14,RawDataDead!AL:AL)</f>
        <v>0</v>
      </c>
      <c r="AJ14">
        <f>SUMIF(RawDataDead!$B:$B,$A14,RawDataDead!AM:AM)</f>
        <v>0</v>
      </c>
      <c r="AK14">
        <f>SUMIF(RawDataDead!$B:$B,$A14,RawDataDead!AN:AN)</f>
        <v>0</v>
      </c>
      <c r="AL14">
        <f>SUMIF(RawDataDead!$B:$B,$A14,RawDataDead!AO:AO)</f>
        <v>0</v>
      </c>
      <c r="AM14">
        <f>SUMIF(RawDataDead!$B:$B,$A14,RawDataDead!AP:AP)</f>
        <v>0</v>
      </c>
      <c r="AN14">
        <f>SUMIF(RawDataDead!$B:$B,$A14,RawDataDead!AQ:AQ)</f>
        <v>0</v>
      </c>
      <c r="AO14">
        <f>SUMIF(RawDataDead!$B:$B,$A14,RawDataDead!AR:AR)</f>
        <v>0</v>
      </c>
      <c r="AP14">
        <f>SUMIF(RawDataDead!$B:$B,$A14,RawDataDead!AS:AS)</f>
        <v>0</v>
      </c>
      <c r="AQ14">
        <f>SUMIF(RawDataDead!$B:$B,$A14,RawDataDead!AT:AT)</f>
        <v>0</v>
      </c>
      <c r="AR14">
        <f>SUMIF(RawDataDead!$B:$B,$A14,RawDataDead!AU:AU)</f>
        <v>0</v>
      </c>
      <c r="AS14">
        <f>SUMIF(RawDataDead!$B:$B,$A14,RawDataDead!AV:AV)</f>
        <v>0</v>
      </c>
      <c r="AT14">
        <f>SUMIF(RawDataDead!$B:$B,$A14,RawDataDead!AW:AW)</f>
        <v>1</v>
      </c>
      <c r="AU14">
        <f>SUMIF(RawDataDead!$B:$B,$A14,RawDataDead!AX:AX)</f>
        <v>1</v>
      </c>
      <c r="AV14">
        <f>SUMIF(RawDataDead!$B:$B,$A14,RawDataDead!AY:AY)</f>
        <v>3</v>
      </c>
      <c r="AW14">
        <f>SUMIF(RawDataDead!$B:$B,$A14,RawDataDead!AZ:AZ)</f>
        <v>3</v>
      </c>
      <c r="AX14">
        <f>SUMIF(RawDataDead!$B:$B,$A14,RawDataDead!BA:BA)</f>
        <v>4</v>
      </c>
      <c r="AY14">
        <f>SUMIF(RawDataDead!$B:$B,$A14,RawDataDead!BB:BB)</f>
        <v>5</v>
      </c>
      <c r="AZ14">
        <f>SUMIF(RawDataDead!$B:$B,$A14,RawDataDead!BC:BC)</f>
        <v>5</v>
      </c>
      <c r="BA14">
        <f>SUMIF(RawDataDead!$B:$B,$A14,RawDataDead!BD:BD)</f>
        <v>10</v>
      </c>
      <c r="BB14">
        <f>SUMIF(RawDataDead!$B:$B,$A14,RawDataDead!BE:BE)</f>
        <v>12</v>
      </c>
      <c r="BC14">
        <f>SUMIF(RawDataDead!$B:$B,$A14,RawDataDead!BF:BF)</f>
        <v>20</v>
      </c>
      <c r="BD14">
        <f>SUMIF(RawDataDead!$B:$B,$A14,RawDataDead!BG:BG)</f>
        <v>24</v>
      </c>
      <c r="BE14">
        <f>SUMIF(RawDataDead!$B:$B,$A14,RawDataDead!BH:BH)</f>
        <v>43</v>
      </c>
      <c r="BF14">
        <f>SUMIF(RawDataDead!$B:$B,$A14,RawDataDead!BI:BI)</f>
        <v>0</v>
      </c>
      <c r="BG14">
        <f>SUMIF(RawDataDead!$B:$B,$A14,RawDataDead!BJ:BJ)</f>
        <v>0</v>
      </c>
      <c r="BH14">
        <f>SUMIF(RawDataDead!$B:$B,$A14,RawDataDead!BK:BK)</f>
        <v>0</v>
      </c>
      <c r="BI14">
        <f>SUMIF(RawDataDead!$B:$B,$A14,RawDataDead!BL:BL)</f>
        <v>0</v>
      </c>
      <c r="BJ14">
        <f>SUMIF(RawDataDead!$B:$B,$A14,RawDataDead!BM:BM)</f>
        <v>0</v>
      </c>
      <c r="BK14">
        <f>SUMIF(RawDataDead!$B:$B,$A14,RawDataDead!BN:BN)</f>
        <v>0</v>
      </c>
      <c r="BL14">
        <f>SUMIF(RawDataDead!$B:$B,$A14,RawDataDead!BO:BO)</f>
        <v>0</v>
      </c>
      <c r="BM14">
        <f>SUMIF(RawDataDead!$B:$B,$A14,RawDataDead!BP:BP)</f>
        <v>0</v>
      </c>
      <c r="BN14">
        <f>SUMIF(RawDataDead!$B:$B,$A14,RawDataDead!BQ:BQ)</f>
        <v>0</v>
      </c>
      <c r="BO14">
        <f>SUMIF(RawDataDead!$B:$B,$A14,RawDataDead!BR:BR)</f>
        <v>0</v>
      </c>
      <c r="BP14">
        <f>SUMIF(RawDataDead!$B:$B,$A14,RawDataDead!BS:BS)</f>
        <v>0</v>
      </c>
      <c r="BQ14">
        <f>SUMIF(RawDataDead!$B:$B,$A14,RawDataDead!BT:BT)</f>
        <v>0</v>
      </c>
      <c r="BR14">
        <f>SUMIF(RawDataDead!$B:$B,$A14,RawDataDead!BU:BU)</f>
        <v>0</v>
      </c>
      <c r="BS14">
        <f>SUMIF(RawDataDead!$B:$B,$A14,RawDataDead!BV:BV)</f>
        <v>0</v>
      </c>
      <c r="BT14">
        <f>SUMIF(RawDataDead!$B:$B,$A14,RawDataDead!BW:BW)</f>
        <v>0</v>
      </c>
    </row>
    <row r="15" spans="1:72" ht="15" thickBot="1" x14ac:dyDescent="0.35">
      <c r="A15" s="3" t="s">
        <v>377</v>
      </c>
      <c r="B15">
        <f>SUMIF(RawDataDead!$B:$B,$A15,RawDataDead!E:E)</f>
        <v>0</v>
      </c>
      <c r="C15">
        <f>SUMIF(RawDataDead!$B:$B,$A15,RawDataDead!F:F)</f>
        <v>0</v>
      </c>
      <c r="D15">
        <f>SUMIF(RawDataDead!$B:$B,$A15,RawDataDead!G:G)</f>
        <v>0</v>
      </c>
      <c r="E15">
        <f>SUMIF(RawDataDead!$B:$B,$A15,RawDataDead!H:H)</f>
        <v>0</v>
      </c>
      <c r="F15">
        <f>SUMIF(RawDataDead!$B:$B,$A15,RawDataDead!I:I)</f>
        <v>0</v>
      </c>
      <c r="G15">
        <f>SUMIF(RawDataDead!$B:$B,$A15,RawDataDead!J:J)</f>
        <v>0</v>
      </c>
      <c r="H15">
        <f>SUMIF(RawDataDead!$B:$B,$A15,RawDataDead!K:K)</f>
        <v>0</v>
      </c>
      <c r="I15">
        <f>SUMIF(RawDataDead!$B:$B,$A15,RawDataDead!L:L)</f>
        <v>0</v>
      </c>
      <c r="J15">
        <f>SUMIF(RawDataDead!$B:$B,$A15,RawDataDead!M:M)</f>
        <v>0</v>
      </c>
      <c r="K15">
        <f>SUMIF(RawDataDead!$B:$B,$A15,RawDataDead!N:N)</f>
        <v>0</v>
      </c>
      <c r="L15">
        <f>SUMIF(RawDataDead!$B:$B,$A15,RawDataDead!O:O)</f>
        <v>0</v>
      </c>
      <c r="M15">
        <f>SUMIF(RawDataDead!$B:$B,$A15,RawDataDead!P:P)</f>
        <v>0</v>
      </c>
      <c r="N15">
        <f>SUMIF(RawDataDead!$B:$B,$A15,RawDataDead!Q:Q)</f>
        <v>0</v>
      </c>
      <c r="O15">
        <f>SUMIF(RawDataDead!$B:$B,$A15,RawDataDead!R:R)</f>
        <v>0</v>
      </c>
      <c r="P15">
        <f>SUMIF(RawDataDead!$B:$B,$A15,RawDataDead!S:S)</f>
        <v>0</v>
      </c>
      <c r="Q15">
        <f>SUMIF(RawDataDead!$B:$B,$A15,RawDataDead!T:T)</f>
        <v>0</v>
      </c>
      <c r="R15">
        <f>SUMIF(RawDataDead!$B:$B,$A15,RawDataDead!U:U)</f>
        <v>0</v>
      </c>
      <c r="S15">
        <f>SUMIF(RawDataDead!$B:$B,$A15,RawDataDead!V:V)</f>
        <v>0</v>
      </c>
      <c r="T15">
        <f>SUMIF(RawDataDead!$B:$B,$A15,RawDataDead!W:W)</f>
        <v>0</v>
      </c>
      <c r="U15">
        <f>SUMIF(RawDataDead!$B:$B,$A15,RawDataDead!X:X)</f>
        <v>0</v>
      </c>
      <c r="V15">
        <f>SUMIF(RawDataDead!$B:$B,$A15,RawDataDead!Y:Y)</f>
        <v>0</v>
      </c>
      <c r="W15">
        <f>SUMIF(RawDataDead!$B:$B,$A15,RawDataDead!Z:Z)</f>
        <v>0</v>
      </c>
      <c r="X15">
        <f>SUMIF(RawDataDead!$B:$B,$A15,RawDataDead!AA:AA)</f>
        <v>0</v>
      </c>
      <c r="Y15">
        <f>SUMIF(RawDataDead!$B:$B,$A15,RawDataDead!AB:AB)</f>
        <v>0</v>
      </c>
      <c r="Z15">
        <f>SUMIF(RawDataDead!$B:$B,$A15,RawDataDead!AC:AC)</f>
        <v>0</v>
      </c>
      <c r="AA15">
        <f>SUMIF(RawDataDead!$B:$B,$A15,RawDataDead!AD:AD)</f>
        <v>0</v>
      </c>
      <c r="AB15">
        <f>SUMIF(RawDataDead!$B:$B,$A15,RawDataDead!AE:AE)</f>
        <v>0</v>
      </c>
      <c r="AC15">
        <f>SUMIF(RawDataDead!$B:$B,$A15,RawDataDead!AF:AF)</f>
        <v>0</v>
      </c>
      <c r="AD15">
        <f>SUMIF(RawDataDead!$B:$B,$A15,RawDataDead!AG:AG)</f>
        <v>0</v>
      </c>
      <c r="AE15">
        <f>SUMIF(RawDataDead!$B:$B,$A15,RawDataDead!AH:AH)</f>
        <v>0</v>
      </c>
      <c r="AF15">
        <f>SUMIF(RawDataDead!$B:$B,$A15,RawDataDead!AI:AI)</f>
        <v>0</v>
      </c>
      <c r="AG15">
        <f>SUMIF(RawDataDead!$B:$B,$A15,RawDataDead!AJ:AJ)</f>
        <v>0</v>
      </c>
      <c r="AH15">
        <f>SUMIF(RawDataDead!$B:$B,$A15,RawDataDead!AK:AK)</f>
        <v>0</v>
      </c>
      <c r="AI15">
        <f>SUMIF(RawDataDead!$B:$B,$A15,RawDataDead!AL:AL)</f>
        <v>0</v>
      </c>
      <c r="AJ15">
        <f>SUMIF(RawDataDead!$B:$B,$A15,RawDataDead!AM:AM)</f>
        <v>0</v>
      </c>
      <c r="AK15">
        <f>SUMIF(RawDataDead!$B:$B,$A15,RawDataDead!AN:AN)</f>
        <v>0</v>
      </c>
      <c r="AL15">
        <f>SUMIF(RawDataDead!$B:$B,$A15,RawDataDead!AO:AO)</f>
        <v>0</v>
      </c>
      <c r="AM15">
        <f>SUMIF(RawDataDead!$B:$B,$A15,RawDataDead!AP:AP)</f>
        <v>0</v>
      </c>
      <c r="AN15">
        <f>SUMIF(RawDataDead!$B:$B,$A15,RawDataDead!AQ:AQ)</f>
        <v>0</v>
      </c>
      <c r="AO15">
        <f>SUMIF(RawDataDead!$B:$B,$A15,RawDataDead!AR:AR)</f>
        <v>0</v>
      </c>
      <c r="AP15">
        <f>SUMIF(RawDataDead!$B:$B,$A15,RawDataDead!AS:AS)</f>
        <v>0</v>
      </c>
      <c r="AQ15">
        <f>SUMIF(RawDataDead!$B:$B,$A15,RawDataDead!AT:AT)</f>
        <v>0</v>
      </c>
      <c r="AR15">
        <f>SUMIF(RawDataDead!$B:$B,$A15,RawDataDead!AU:AU)</f>
        <v>0</v>
      </c>
      <c r="AS15">
        <f>SUMIF(RawDataDead!$B:$B,$A15,RawDataDead!AV:AV)</f>
        <v>1</v>
      </c>
      <c r="AT15">
        <f>SUMIF(RawDataDead!$B:$B,$A15,RawDataDead!AW:AW)</f>
        <v>2</v>
      </c>
      <c r="AU15">
        <f>SUMIF(RawDataDead!$B:$B,$A15,RawDataDead!AX:AX)</f>
        <v>2</v>
      </c>
      <c r="AV15">
        <f>SUMIF(RawDataDead!$B:$B,$A15,RawDataDead!AY:AY)</f>
        <v>3</v>
      </c>
      <c r="AW15">
        <f>SUMIF(RawDataDead!$B:$B,$A15,RawDataDead!AZ:AZ)</f>
        <v>4</v>
      </c>
      <c r="AX15">
        <f>SUMIF(RawDataDead!$B:$B,$A15,RawDataDead!BA:BA)</f>
        <v>6</v>
      </c>
      <c r="AY15">
        <f>SUMIF(RawDataDead!$B:$B,$A15,RawDataDead!BB:BB)</f>
        <v>8</v>
      </c>
      <c r="AZ15">
        <f>SUMIF(RawDataDead!$B:$B,$A15,RawDataDead!BC:BC)</f>
        <v>8</v>
      </c>
      <c r="BA15">
        <f>SUMIF(RawDataDead!$B:$B,$A15,RawDataDead!BD:BD)</f>
        <v>8</v>
      </c>
      <c r="BB15">
        <f>SUMIF(RawDataDead!$B:$B,$A15,RawDataDead!BE:BE)</f>
        <v>21</v>
      </c>
      <c r="BC15">
        <f>SUMIF(RawDataDead!$B:$B,$A15,RawDataDead!BF:BF)</f>
        <v>21</v>
      </c>
      <c r="BD15">
        <f>SUMIF(RawDataDead!$B:$B,$A15,RawDataDead!BG:BG)</f>
        <v>56</v>
      </c>
      <c r="BE15">
        <f>SUMIF(RawDataDead!$B:$B,$A15,RawDataDead!BH:BH)</f>
        <v>56</v>
      </c>
      <c r="BF15">
        <f>SUMIF(RawDataDead!$B:$B,$A15,RawDataDead!BI:BI)</f>
        <v>104</v>
      </c>
      <c r="BG15">
        <f>SUMIF(RawDataDead!$B:$B,$A15,RawDataDead!BJ:BJ)</f>
        <v>0</v>
      </c>
      <c r="BH15">
        <f>SUMIF(RawDataDead!$B:$B,$A15,RawDataDead!BK:BK)</f>
        <v>0</v>
      </c>
      <c r="BI15">
        <f>SUMIF(RawDataDead!$B:$B,$A15,RawDataDead!BL:BL)</f>
        <v>0</v>
      </c>
      <c r="BJ15">
        <f>SUMIF(RawDataDead!$B:$B,$A15,RawDataDead!BM:BM)</f>
        <v>0</v>
      </c>
      <c r="BK15">
        <f>SUMIF(RawDataDead!$B:$B,$A15,RawDataDead!BN:BN)</f>
        <v>0</v>
      </c>
      <c r="BL15">
        <f>SUMIF(RawDataDead!$B:$B,$A15,RawDataDead!BO:BO)</f>
        <v>0</v>
      </c>
      <c r="BM15">
        <f>SUMIF(RawDataDead!$B:$B,$A15,RawDataDead!BP:BP)</f>
        <v>0</v>
      </c>
      <c r="BN15">
        <f>SUMIF(RawDataDead!$B:$B,$A15,RawDataDead!BQ:BQ)</f>
        <v>0</v>
      </c>
      <c r="BO15">
        <f>SUMIF(RawDataDead!$B:$B,$A15,RawDataDead!BR:BR)</f>
        <v>0</v>
      </c>
      <c r="BP15">
        <f>SUMIF(RawDataDead!$B:$B,$A15,RawDataDead!BS:BS)</f>
        <v>0</v>
      </c>
      <c r="BQ15">
        <f>SUMIF(RawDataDead!$B:$B,$A15,RawDataDead!BT:BT)</f>
        <v>0</v>
      </c>
      <c r="BR15">
        <f>SUMIF(RawDataDead!$B:$B,$A15,RawDataDead!BU:BU)</f>
        <v>0</v>
      </c>
      <c r="BS15">
        <f>SUMIF(RawDataDead!$B:$B,$A15,RawDataDead!BV:BV)</f>
        <v>0</v>
      </c>
      <c r="BT15">
        <f>SUMIF(RawDataDead!$B:$B,$A15,RawDataDead!BW:BW)</f>
        <v>0</v>
      </c>
    </row>
    <row r="16" spans="1:72" ht="15" thickBot="1" x14ac:dyDescent="0.35">
      <c r="A16" s="4" t="s">
        <v>63</v>
      </c>
      <c r="B16">
        <f>SUMIF(RawDataDead!$B:$B,$A16,RawDataDead!E:E)</f>
        <v>0</v>
      </c>
      <c r="C16">
        <f>SUMIF(RawDataDead!$B:$B,$A16,RawDataDead!F:F)</f>
        <v>0</v>
      </c>
      <c r="D16">
        <f>SUMIF(RawDataDead!$B:$B,$A16,RawDataDead!G:G)</f>
        <v>0</v>
      </c>
      <c r="E16">
        <f>SUMIF(RawDataDead!$B:$B,$A16,RawDataDead!H:H)</f>
        <v>0</v>
      </c>
      <c r="F16">
        <f>SUMIF(RawDataDead!$B:$B,$A16,RawDataDead!I:I)</f>
        <v>0</v>
      </c>
      <c r="G16">
        <f>SUMIF(RawDataDead!$B:$B,$A16,RawDataDead!J:J)</f>
        <v>0</v>
      </c>
      <c r="H16">
        <f>SUMIF(RawDataDead!$B:$B,$A16,RawDataDead!K:K)</f>
        <v>0</v>
      </c>
      <c r="I16">
        <f>SUMIF(RawDataDead!$B:$B,$A16,RawDataDead!L:L)</f>
        <v>0</v>
      </c>
      <c r="J16">
        <f>SUMIF(RawDataDead!$B:$B,$A16,RawDataDead!M:M)</f>
        <v>0</v>
      </c>
      <c r="K16">
        <f>SUMIF(RawDataDead!$B:$B,$A16,RawDataDead!N:N)</f>
        <v>0</v>
      </c>
      <c r="L16">
        <f>SUMIF(RawDataDead!$B:$B,$A16,RawDataDead!O:O)</f>
        <v>0</v>
      </c>
      <c r="M16">
        <f>SUMIF(RawDataDead!$B:$B,$A16,RawDataDead!P:P)</f>
        <v>0</v>
      </c>
      <c r="N16">
        <f>SUMIF(RawDataDead!$B:$B,$A16,RawDataDead!Q:Q)</f>
        <v>0</v>
      </c>
      <c r="O16">
        <f>SUMIF(RawDataDead!$B:$B,$A16,RawDataDead!R:R)</f>
        <v>0</v>
      </c>
      <c r="P16">
        <f>SUMIF(RawDataDead!$B:$B,$A16,RawDataDead!S:S)</f>
        <v>0</v>
      </c>
      <c r="Q16">
        <f>SUMIF(RawDataDead!$B:$B,$A16,RawDataDead!T:T)</f>
        <v>0</v>
      </c>
      <c r="R16">
        <f>SUMIF(RawDataDead!$B:$B,$A16,RawDataDead!U:U)</f>
        <v>0</v>
      </c>
      <c r="S16">
        <f>SUMIF(RawDataDead!$B:$B,$A16,RawDataDead!V:V)</f>
        <v>0</v>
      </c>
      <c r="T16">
        <f>SUMIF(RawDataDead!$B:$B,$A16,RawDataDead!W:W)</f>
        <v>0</v>
      </c>
      <c r="U16">
        <f>SUMIF(RawDataDead!$B:$B,$A16,RawDataDead!X:X)</f>
        <v>0</v>
      </c>
      <c r="V16">
        <f>SUMIF(RawDataDead!$B:$B,$A16,RawDataDead!Y:Y)</f>
        <v>0</v>
      </c>
      <c r="W16">
        <f>SUMIF(RawDataDead!$B:$B,$A16,RawDataDead!Z:Z)</f>
        <v>0</v>
      </c>
      <c r="X16">
        <f>SUMIF(RawDataDead!$B:$B,$A16,RawDataDead!AA:AA)</f>
        <v>1</v>
      </c>
      <c r="Y16">
        <f>SUMIF(RawDataDead!$B:$B,$A16,RawDataDead!AB:AB)</f>
        <v>1</v>
      </c>
      <c r="Z16">
        <f>SUMIF(RawDataDead!$B:$B,$A16,RawDataDead!AC:AC)</f>
        <v>1</v>
      </c>
      <c r="AA16">
        <f>SUMIF(RawDataDead!$B:$B,$A16,RawDataDead!AD:AD)</f>
        <v>1</v>
      </c>
      <c r="AB16">
        <f>SUMIF(RawDataDead!$B:$B,$A16,RawDataDead!AE:AE)</f>
        <v>1</v>
      </c>
      <c r="AC16">
        <f>SUMIF(RawDataDead!$B:$B,$A16,RawDataDead!AF:AF)</f>
        <v>1</v>
      </c>
      <c r="AD16">
        <f>SUMIF(RawDataDead!$B:$B,$A16,RawDataDead!AG:AG)</f>
        <v>1</v>
      </c>
      <c r="AE16">
        <f>SUMIF(RawDataDead!$B:$B,$A16,RawDataDead!AH:AH)</f>
        <v>1</v>
      </c>
      <c r="AF16">
        <f>SUMIF(RawDataDead!$B:$B,$A16,RawDataDead!AI:AI)</f>
        <v>1</v>
      </c>
      <c r="AG16">
        <f>SUMIF(RawDataDead!$B:$B,$A16,RawDataDead!AJ:AJ)</f>
        <v>1</v>
      </c>
      <c r="AH16">
        <f>SUMIF(RawDataDead!$B:$B,$A16,RawDataDead!AK:AK)</f>
        <v>1</v>
      </c>
      <c r="AI16">
        <f>SUMIF(RawDataDead!$B:$B,$A16,RawDataDead!AL:AL)</f>
        <v>1</v>
      </c>
      <c r="AJ16">
        <f>SUMIF(RawDataDead!$B:$B,$A16,RawDataDead!AM:AM)</f>
        <v>1</v>
      </c>
      <c r="AK16">
        <f>SUMIF(RawDataDead!$B:$B,$A16,RawDataDead!AN:AN)</f>
        <v>2</v>
      </c>
      <c r="AL16">
        <f>SUMIF(RawDataDead!$B:$B,$A16,RawDataDead!AO:AO)</f>
        <v>4</v>
      </c>
      <c r="AM16">
        <f>SUMIF(RawDataDead!$B:$B,$A16,RawDataDead!AP:AP)</f>
        <v>4</v>
      </c>
      <c r="AN16">
        <f>SUMIF(RawDataDead!$B:$B,$A16,RawDataDead!AQ:AQ)</f>
        <v>5</v>
      </c>
      <c r="AO16">
        <f>SUMIF(RawDataDead!$B:$B,$A16,RawDataDead!AR:AR)</f>
        <v>6</v>
      </c>
      <c r="AP16">
        <f>SUMIF(RawDataDead!$B:$B,$A16,RawDataDead!AS:AS)</f>
        <v>6</v>
      </c>
      <c r="AQ16">
        <f>SUMIF(RawDataDead!$B:$B,$A16,RawDataDead!AT:AT)</f>
        <v>6</v>
      </c>
      <c r="AR16">
        <f>SUMIF(RawDataDead!$B:$B,$A16,RawDataDead!AU:AU)</f>
        <v>6</v>
      </c>
      <c r="AS16">
        <f>SUMIF(RawDataDead!$B:$B,$A16,RawDataDead!AV:AV)</f>
        <v>6</v>
      </c>
      <c r="AT16">
        <f>SUMIF(RawDataDead!$B:$B,$A16,RawDataDead!AW:AW)</f>
        <v>6</v>
      </c>
      <c r="AU16">
        <f>SUMIF(RawDataDead!$B:$B,$A16,RawDataDead!AX:AX)</f>
        <v>6</v>
      </c>
      <c r="AV16">
        <f>SUMIF(RawDataDead!$B:$B,$A16,RawDataDead!AY:AY)</f>
        <v>6</v>
      </c>
      <c r="AW16">
        <f>SUMIF(RawDataDead!$B:$B,$A16,RawDataDead!AZ:AZ)</f>
        <v>10</v>
      </c>
      <c r="AX16">
        <f>SUMIF(RawDataDead!$B:$B,$A16,RawDataDead!BA:BA)</f>
        <v>10</v>
      </c>
      <c r="AY16">
        <f>SUMIF(RawDataDead!$B:$B,$A16,RawDataDead!BB:BB)</f>
        <v>15</v>
      </c>
      <c r="AZ16">
        <f>SUMIF(RawDataDead!$B:$B,$A16,RawDataDead!BC:BC)</f>
        <v>16</v>
      </c>
      <c r="BA16">
        <f>SUMIF(RawDataDead!$B:$B,$A16,RawDataDead!BD:BD)</f>
        <v>19</v>
      </c>
      <c r="BB16">
        <f>SUMIF(RawDataDead!$B:$B,$A16,RawDataDead!BE:BE)</f>
        <v>22</v>
      </c>
      <c r="BC16">
        <f>SUMIF(RawDataDead!$B:$B,$A16,RawDataDead!BF:BF)</f>
        <v>22</v>
      </c>
      <c r="BD16">
        <f>SUMIF(RawDataDead!$B:$B,$A16,RawDataDead!BG:BG)</f>
        <v>27</v>
      </c>
      <c r="BE16">
        <f>SUMIF(RawDataDead!$B:$B,$A16,RawDataDead!BH:BH)</f>
        <v>29</v>
      </c>
      <c r="BF16">
        <f>SUMIF(RawDataDead!$B:$B,$A16,RawDataDead!BI:BI)</f>
        <v>0</v>
      </c>
      <c r="BG16">
        <f>SUMIF(RawDataDead!$B:$B,$A16,RawDataDead!BJ:BJ)</f>
        <v>0</v>
      </c>
      <c r="BH16">
        <f>SUMIF(RawDataDead!$B:$B,$A16,RawDataDead!BK:BK)</f>
        <v>0</v>
      </c>
      <c r="BI16">
        <f>SUMIF(RawDataDead!$B:$B,$A16,RawDataDead!BL:BL)</f>
        <v>0</v>
      </c>
      <c r="BJ16">
        <f>SUMIF(RawDataDead!$B:$B,$A16,RawDataDead!BM:BM)</f>
        <v>0</v>
      </c>
      <c r="BK16">
        <f>SUMIF(RawDataDead!$B:$B,$A16,RawDataDead!BN:BN)</f>
        <v>0</v>
      </c>
      <c r="BL16">
        <f>SUMIF(RawDataDead!$B:$B,$A16,RawDataDead!BO:BO)</f>
        <v>0</v>
      </c>
      <c r="BM16">
        <f>SUMIF(RawDataDead!$B:$B,$A16,RawDataDead!BP:BP)</f>
        <v>0</v>
      </c>
      <c r="BN16">
        <f>SUMIF(RawDataDead!$B:$B,$A16,RawDataDead!BQ:BQ)</f>
        <v>0</v>
      </c>
      <c r="BO16">
        <f>SUMIF(RawDataDead!$B:$B,$A16,RawDataDead!BR:BR)</f>
        <v>0</v>
      </c>
      <c r="BP16">
        <f>SUMIF(RawDataDead!$B:$B,$A16,RawDataDead!BS:BS)</f>
        <v>0</v>
      </c>
      <c r="BQ16">
        <f>SUMIF(RawDataDead!$B:$B,$A16,RawDataDead!BT:BT)</f>
        <v>0</v>
      </c>
      <c r="BR16">
        <f>SUMIF(RawDataDead!$B:$B,$A16,RawDataDead!BU:BU)</f>
        <v>0</v>
      </c>
      <c r="BS16">
        <f>SUMIF(RawDataDead!$B:$B,$A16,RawDataDead!BV:BV)</f>
        <v>0</v>
      </c>
      <c r="BT16">
        <f>SUMIF(RawDataDead!$B:$B,$A16,RawDataDead!BW:BW)</f>
        <v>0</v>
      </c>
    </row>
    <row r="17" spans="1:72" ht="15" thickBot="1" x14ac:dyDescent="0.35">
      <c r="A17" s="4" t="s">
        <v>368</v>
      </c>
      <c r="B17">
        <f>SUMIF(RawDataDead!$B:$B,$A17,RawDataDead!E:E)</f>
        <v>0</v>
      </c>
      <c r="C17">
        <f>SUMIF(RawDataDead!$B:$B,$A17,RawDataDead!F:F)</f>
        <v>0</v>
      </c>
      <c r="D17">
        <f>SUMIF(RawDataDead!$B:$B,$A17,RawDataDead!G:G)</f>
        <v>0</v>
      </c>
      <c r="E17">
        <f>SUMIF(RawDataDead!$B:$B,$A17,RawDataDead!H:H)</f>
        <v>0</v>
      </c>
      <c r="F17">
        <f>SUMIF(RawDataDead!$B:$B,$A17,RawDataDead!I:I)</f>
        <v>0</v>
      </c>
      <c r="G17">
        <f>SUMIF(RawDataDead!$B:$B,$A17,RawDataDead!J:J)</f>
        <v>0</v>
      </c>
      <c r="H17">
        <f>SUMIF(RawDataDead!$B:$B,$A17,RawDataDead!K:K)</f>
        <v>0</v>
      </c>
      <c r="I17">
        <f>SUMIF(RawDataDead!$B:$B,$A17,RawDataDead!L:L)</f>
        <v>0</v>
      </c>
      <c r="J17">
        <f>SUMIF(RawDataDead!$B:$B,$A17,RawDataDead!M:M)</f>
        <v>0</v>
      </c>
      <c r="K17">
        <f>SUMIF(RawDataDead!$B:$B,$A17,RawDataDead!N:N)</f>
        <v>0</v>
      </c>
      <c r="L17">
        <f>SUMIF(RawDataDead!$B:$B,$A17,RawDataDead!O:O)</f>
        <v>0</v>
      </c>
      <c r="M17">
        <f>SUMIF(RawDataDead!$B:$B,$A17,RawDataDead!P:P)</f>
        <v>0</v>
      </c>
      <c r="N17">
        <f>SUMIF(RawDataDead!$B:$B,$A17,RawDataDead!Q:Q)</f>
        <v>0</v>
      </c>
      <c r="O17">
        <f>SUMIF(RawDataDead!$B:$B,$A17,RawDataDead!R:R)</f>
        <v>0</v>
      </c>
      <c r="P17">
        <f>SUMIF(RawDataDead!$B:$B,$A17,RawDataDead!S:S)</f>
        <v>0</v>
      </c>
      <c r="Q17">
        <f>SUMIF(RawDataDead!$B:$B,$A17,RawDataDead!T:T)</f>
        <v>0</v>
      </c>
      <c r="R17">
        <f>SUMIF(RawDataDead!$B:$B,$A17,RawDataDead!U:U)</f>
        <v>0</v>
      </c>
      <c r="S17">
        <f>SUMIF(RawDataDead!$B:$B,$A17,RawDataDead!V:V)</f>
        <v>0</v>
      </c>
      <c r="T17">
        <f>SUMIF(RawDataDead!$B:$B,$A17,RawDataDead!W:W)</f>
        <v>0</v>
      </c>
      <c r="U17">
        <f>SUMIF(RawDataDead!$B:$B,$A17,RawDataDead!X:X)</f>
        <v>0</v>
      </c>
      <c r="V17">
        <f>SUMIF(RawDataDead!$B:$B,$A17,RawDataDead!Y:Y)</f>
        <v>0</v>
      </c>
      <c r="W17">
        <f>SUMIF(RawDataDead!$B:$B,$A17,RawDataDead!Z:Z)</f>
        <v>0</v>
      </c>
      <c r="X17">
        <f>SUMIF(RawDataDead!$B:$B,$A17,RawDataDead!AA:AA)</f>
        <v>0</v>
      </c>
      <c r="Y17">
        <f>SUMIF(RawDataDead!$B:$B,$A17,RawDataDead!AB:AB)</f>
        <v>0</v>
      </c>
      <c r="Z17">
        <f>SUMIF(RawDataDead!$B:$B,$A17,RawDataDead!AC:AC)</f>
        <v>0</v>
      </c>
      <c r="AA17">
        <f>SUMIF(RawDataDead!$B:$B,$A17,RawDataDead!AD:AD)</f>
        <v>0</v>
      </c>
      <c r="AB17">
        <f>SUMIF(RawDataDead!$B:$B,$A17,RawDataDead!AE:AE)</f>
        <v>0</v>
      </c>
      <c r="AC17">
        <f>SUMIF(RawDataDead!$B:$B,$A17,RawDataDead!AF:AF)</f>
        <v>0</v>
      </c>
      <c r="AD17">
        <f>SUMIF(RawDataDead!$B:$B,$A17,RawDataDead!AG:AG)</f>
        <v>0</v>
      </c>
      <c r="AE17">
        <f>SUMIF(RawDataDead!$B:$B,$A17,RawDataDead!AH:AH)</f>
        <v>2</v>
      </c>
      <c r="AF17">
        <f>SUMIF(RawDataDead!$B:$B,$A17,RawDataDead!AI:AI)</f>
        <v>2</v>
      </c>
      <c r="AG17">
        <f>SUMIF(RawDataDead!$B:$B,$A17,RawDataDead!AJ:AJ)</f>
        <v>2</v>
      </c>
      <c r="AH17">
        <f>SUMIF(RawDataDead!$B:$B,$A17,RawDataDead!AK:AK)</f>
        <v>3</v>
      </c>
      <c r="AI17">
        <f>SUMIF(RawDataDead!$B:$B,$A17,RawDataDead!AL:AL)</f>
        <v>3</v>
      </c>
      <c r="AJ17">
        <f>SUMIF(RawDataDead!$B:$B,$A17,RawDataDead!AM:AM)</f>
        <v>3</v>
      </c>
      <c r="AK17">
        <f>SUMIF(RawDataDead!$B:$B,$A17,RawDataDead!AN:AN)</f>
        <v>4</v>
      </c>
      <c r="AL17">
        <f>SUMIF(RawDataDead!$B:$B,$A17,RawDataDead!AO:AO)</f>
        <v>4</v>
      </c>
      <c r="AM17">
        <f>SUMIF(RawDataDead!$B:$B,$A17,RawDataDead!AP:AP)</f>
        <v>6</v>
      </c>
      <c r="AN17">
        <f>SUMIF(RawDataDead!$B:$B,$A17,RawDataDead!AQ:AQ)</f>
        <v>6</v>
      </c>
      <c r="AO17">
        <f>SUMIF(RawDataDead!$B:$B,$A17,RawDataDead!AR:AR)</f>
        <v>6</v>
      </c>
      <c r="AP17">
        <f>SUMIF(RawDataDead!$B:$B,$A17,RawDataDead!AS:AS)</f>
        <v>6</v>
      </c>
      <c r="AQ17">
        <f>SUMIF(RawDataDead!$B:$B,$A17,RawDataDead!AT:AT)</f>
        <v>6</v>
      </c>
      <c r="AR17">
        <f>SUMIF(RawDataDead!$B:$B,$A17,RawDataDead!AU:AU)</f>
        <v>6</v>
      </c>
      <c r="AS17">
        <f>SUMIF(RawDataDead!$B:$B,$A17,RawDataDead!AV:AV)</f>
        <v>6</v>
      </c>
      <c r="AT17">
        <f>SUMIF(RawDataDead!$B:$B,$A17,RawDataDead!AW:AW)</f>
        <v>6</v>
      </c>
      <c r="AU17">
        <f>SUMIF(RawDataDead!$B:$B,$A17,RawDataDead!AX:AX)</f>
        <v>6</v>
      </c>
      <c r="AV17">
        <f>SUMIF(RawDataDead!$B:$B,$A17,RawDataDead!AY:AY)</f>
        <v>6</v>
      </c>
      <c r="AW17">
        <f>SUMIF(RawDataDead!$B:$B,$A17,RawDataDead!AZ:AZ)</f>
        <v>6</v>
      </c>
      <c r="AX17">
        <f>SUMIF(RawDataDead!$B:$B,$A17,RawDataDead!BA:BA)</f>
        <v>6</v>
      </c>
      <c r="AY17">
        <f>SUMIF(RawDataDead!$B:$B,$A17,RawDataDead!BB:BB)</f>
        <v>7</v>
      </c>
      <c r="AZ17">
        <f>SUMIF(RawDataDead!$B:$B,$A17,RawDataDead!BC:BC)</f>
        <v>7</v>
      </c>
      <c r="BA17">
        <f>SUMIF(RawDataDead!$B:$B,$A17,RawDataDead!BD:BD)</f>
        <v>7</v>
      </c>
      <c r="BB17">
        <f>SUMIF(RawDataDead!$B:$B,$A17,RawDataDead!BE:BE)</f>
        <v>7</v>
      </c>
      <c r="BC17">
        <f>SUMIF(RawDataDead!$B:$B,$A17,RawDataDead!BF:BF)</f>
        <v>7</v>
      </c>
      <c r="BD17">
        <f>SUMIF(RawDataDead!$B:$B,$A17,RawDataDead!BG:BG)</f>
        <v>7</v>
      </c>
      <c r="BE17">
        <f>SUMIF(RawDataDead!$B:$B,$A17,RawDataDead!BH:BH)</f>
        <v>7</v>
      </c>
      <c r="BF17">
        <f>SUMIF(RawDataDead!$B:$B,$A17,RawDataDead!BI:BI)</f>
        <v>0</v>
      </c>
      <c r="BG17">
        <f>SUMIF(RawDataDead!$B:$B,$A17,RawDataDead!BJ:BJ)</f>
        <v>0</v>
      </c>
      <c r="BH17">
        <f>SUMIF(RawDataDead!$B:$B,$A17,RawDataDead!BK:BK)</f>
        <v>0</v>
      </c>
      <c r="BI17">
        <f>SUMIF(RawDataDead!$B:$B,$A17,RawDataDead!BL:BL)</f>
        <v>0</v>
      </c>
      <c r="BJ17">
        <f>SUMIF(RawDataDead!$B:$B,$A17,RawDataDead!BM:BM)</f>
        <v>0</v>
      </c>
      <c r="BK17">
        <f>SUMIF(RawDataDead!$B:$B,$A17,RawDataDead!BN:BN)</f>
        <v>0</v>
      </c>
      <c r="BL17">
        <f>SUMIF(RawDataDead!$B:$B,$A17,RawDataDead!BO:BO)</f>
        <v>0</v>
      </c>
      <c r="BM17">
        <f>SUMIF(RawDataDead!$B:$B,$A17,RawDataDead!BP:BP)</f>
        <v>0</v>
      </c>
      <c r="BN17">
        <f>SUMIF(RawDataDead!$B:$B,$A17,RawDataDead!BQ:BQ)</f>
        <v>0</v>
      </c>
      <c r="BO17">
        <f>SUMIF(RawDataDead!$B:$B,$A17,RawDataDead!BR:BR)</f>
        <v>0</v>
      </c>
      <c r="BP17">
        <f>SUMIF(RawDataDead!$B:$B,$A17,RawDataDead!BS:BS)</f>
        <v>0</v>
      </c>
      <c r="BQ17">
        <f>SUMIF(RawDataDead!$B:$B,$A17,RawDataDead!BT:BT)</f>
        <v>0</v>
      </c>
      <c r="BR17">
        <f>SUMIF(RawDataDead!$B:$B,$A17,RawDataDead!BU:BU)</f>
        <v>0</v>
      </c>
      <c r="BS17">
        <f>SUMIF(RawDataDead!$B:$B,$A17,RawDataDead!BV:BV)</f>
        <v>0</v>
      </c>
      <c r="BT17">
        <f>SUMIF(RawDataDead!$B:$B,$A17,RawDataDead!BW:BW)</f>
        <v>0</v>
      </c>
    </row>
    <row r="18" spans="1:72" ht="15" thickBot="1" x14ac:dyDescent="0.35">
      <c r="A18" s="3" t="s">
        <v>90</v>
      </c>
      <c r="B18">
        <f>SUMIF(RawDataDead!$B:$B,$A18,RawDataDead!E:E)</f>
        <v>0</v>
      </c>
      <c r="C18">
        <f>SUMIF(RawDataDead!$B:$B,$A18,RawDataDead!F:F)</f>
        <v>0</v>
      </c>
      <c r="D18">
        <f>SUMIF(RawDataDead!$B:$B,$A18,RawDataDead!G:G)</f>
        <v>0</v>
      </c>
      <c r="E18">
        <f>SUMIF(RawDataDead!$B:$B,$A18,RawDataDead!H:H)</f>
        <v>0</v>
      </c>
      <c r="F18">
        <f>SUMIF(RawDataDead!$B:$B,$A18,RawDataDead!I:I)</f>
        <v>0</v>
      </c>
      <c r="G18">
        <f>SUMIF(RawDataDead!$B:$B,$A18,RawDataDead!J:J)</f>
        <v>0</v>
      </c>
      <c r="H18">
        <f>SUMIF(RawDataDead!$B:$B,$A18,RawDataDead!K:K)</f>
        <v>0</v>
      </c>
      <c r="I18">
        <f>SUMIF(RawDataDead!$B:$B,$A18,RawDataDead!L:L)</f>
        <v>0</v>
      </c>
      <c r="J18">
        <f>SUMIF(RawDataDead!$B:$B,$A18,RawDataDead!M:M)</f>
        <v>0</v>
      </c>
      <c r="K18">
        <f>SUMIF(RawDataDead!$B:$B,$A18,RawDataDead!N:N)</f>
        <v>0</v>
      </c>
      <c r="L18">
        <f>SUMIF(RawDataDead!$B:$B,$A18,RawDataDead!O:O)</f>
        <v>0</v>
      </c>
      <c r="M18">
        <f>SUMIF(RawDataDead!$B:$B,$A18,RawDataDead!P:P)</f>
        <v>0</v>
      </c>
      <c r="N18">
        <f>SUMIF(RawDataDead!$B:$B,$A18,RawDataDead!Q:Q)</f>
        <v>0</v>
      </c>
      <c r="O18">
        <f>SUMIF(RawDataDead!$B:$B,$A18,RawDataDead!R:R)</f>
        <v>0</v>
      </c>
      <c r="P18">
        <f>SUMIF(RawDataDead!$B:$B,$A18,RawDataDead!S:S)</f>
        <v>0</v>
      </c>
      <c r="Q18">
        <f>SUMIF(RawDataDead!$B:$B,$A18,RawDataDead!T:T)</f>
        <v>0</v>
      </c>
      <c r="R18">
        <f>SUMIF(RawDataDead!$B:$B,$A18,RawDataDead!U:U)</f>
        <v>0</v>
      </c>
      <c r="S18">
        <f>SUMIF(RawDataDead!$B:$B,$A18,RawDataDead!V:V)</f>
        <v>0</v>
      </c>
      <c r="T18">
        <f>SUMIF(RawDataDead!$B:$B,$A18,RawDataDead!W:W)</f>
        <v>0</v>
      </c>
      <c r="U18">
        <f>SUMIF(RawDataDead!$B:$B,$A18,RawDataDead!X:X)</f>
        <v>0</v>
      </c>
      <c r="V18">
        <f>SUMIF(RawDataDead!$B:$B,$A18,RawDataDead!Y:Y)</f>
        <v>0</v>
      </c>
      <c r="W18">
        <f>SUMIF(RawDataDead!$B:$B,$A18,RawDataDead!Z:Z)</f>
        <v>0</v>
      </c>
      <c r="X18">
        <f>SUMIF(RawDataDead!$B:$B,$A18,RawDataDead!AA:AA)</f>
        <v>0</v>
      </c>
      <c r="Y18">
        <f>SUMIF(RawDataDead!$B:$B,$A18,RawDataDead!AB:AB)</f>
        <v>0</v>
      </c>
      <c r="Z18">
        <f>SUMIF(RawDataDead!$B:$B,$A18,RawDataDead!AC:AC)</f>
        <v>0</v>
      </c>
      <c r="AA18">
        <f>SUMIF(RawDataDead!$B:$B,$A18,RawDataDead!AD:AD)</f>
        <v>0</v>
      </c>
      <c r="AB18">
        <f>SUMIF(RawDataDead!$B:$B,$A18,RawDataDead!AE:AE)</f>
        <v>0</v>
      </c>
      <c r="AC18">
        <f>SUMIF(RawDataDead!$B:$B,$A18,RawDataDead!AF:AF)</f>
        <v>0</v>
      </c>
      <c r="AD18">
        <f>SUMIF(RawDataDead!$B:$B,$A18,RawDataDead!AG:AG)</f>
        <v>0</v>
      </c>
      <c r="AE18">
        <f>SUMIF(RawDataDead!$B:$B,$A18,RawDataDead!AH:AH)</f>
        <v>0</v>
      </c>
      <c r="AF18">
        <f>SUMIF(RawDataDead!$B:$B,$A18,RawDataDead!AI:AI)</f>
        <v>0</v>
      </c>
      <c r="AG18">
        <f>SUMIF(RawDataDead!$B:$B,$A18,RawDataDead!AJ:AJ)</f>
        <v>0</v>
      </c>
      <c r="AH18">
        <f>SUMIF(RawDataDead!$B:$B,$A18,RawDataDead!AK:AK)</f>
        <v>0</v>
      </c>
      <c r="AI18">
        <f>SUMIF(RawDataDead!$B:$B,$A18,RawDataDead!AL:AL)</f>
        <v>0</v>
      </c>
      <c r="AJ18">
        <f>SUMIF(RawDataDead!$B:$B,$A18,RawDataDead!AM:AM)</f>
        <v>0</v>
      </c>
      <c r="AK18">
        <f>SUMIF(RawDataDead!$B:$B,$A18,RawDataDead!AN:AN)</f>
        <v>0</v>
      </c>
      <c r="AL18">
        <f>SUMIF(RawDataDead!$B:$B,$A18,RawDataDead!AO:AO)</f>
        <v>0</v>
      </c>
      <c r="AM18">
        <f>SUMIF(RawDataDead!$B:$B,$A18,RawDataDead!AP:AP)</f>
        <v>0</v>
      </c>
      <c r="AN18">
        <f>SUMIF(RawDataDead!$B:$B,$A18,RawDataDead!AQ:AQ)</f>
        <v>0</v>
      </c>
      <c r="AO18">
        <f>SUMIF(RawDataDead!$B:$B,$A18,RawDataDead!AR:AR)</f>
        <v>0</v>
      </c>
      <c r="AP18">
        <f>SUMIF(RawDataDead!$B:$B,$A18,RawDataDead!AS:AS)</f>
        <v>0</v>
      </c>
      <c r="AQ18">
        <f>SUMIF(RawDataDead!$B:$B,$A18,RawDataDead!AT:AT)</f>
        <v>0</v>
      </c>
      <c r="AR18">
        <f>SUMIF(RawDataDead!$B:$B,$A18,RawDataDead!AU:AU)</f>
        <v>0</v>
      </c>
      <c r="AS18">
        <f>SUMIF(RawDataDead!$B:$B,$A18,RawDataDead!AV:AV)</f>
        <v>0</v>
      </c>
      <c r="AT18">
        <f>SUMIF(RawDataDead!$B:$B,$A18,RawDataDead!AW:AW)</f>
        <v>0</v>
      </c>
      <c r="AU18">
        <f>SUMIF(RawDataDead!$B:$B,$A18,RawDataDead!AX:AX)</f>
        <v>0</v>
      </c>
      <c r="AV18">
        <f>SUMIF(RawDataDead!$B:$B,$A18,RawDataDead!AY:AY)</f>
        <v>0</v>
      </c>
      <c r="AW18">
        <f>SUMIF(RawDataDead!$B:$B,$A18,RawDataDead!AZ:AZ)</f>
        <v>0</v>
      </c>
      <c r="AX18">
        <f>SUMIF(RawDataDead!$B:$B,$A18,RawDataDead!BA:BA)</f>
        <v>0</v>
      </c>
      <c r="AY18">
        <f>SUMIF(RawDataDead!$B:$B,$A18,RawDataDead!BB:BB)</f>
        <v>3</v>
      </c>
      <c r="AZ18">
        <f>SUMIF(RawDataDead!$B:$B,$A18,RawDataDead!BC:BC)</f>
        <v>3</v>
      </c>
      <c r="BA18">
        <f>SUMIF(RawDataDead!$B:$B,$A18,RawDataDead!BD:BD)</f>
        <v>3</v>
      </c>
      <c r="BB18">
        <f>SUMIF(RawDataDead!$B:$B,$A18,RawDataDead!BE:BE)</f>
        <v>4</v>
      </c>
      <c r="BC18">
        <f>SUMIF(RawDataDead!$B:$B,$A18,RawDataDead!BF:BF)</f>
        <v>4</v>
      </c>
      <c r="BD18">
        <f>SUMIF(RawDataDead!$B:$B,$A18,RawDataDead!BG:BG)</f>
        <v>5</v>
      </c>
      <c r="BE18">
        <f>SUMIF(RawDataDead!$B:$B,$A18,RawDataDead!BH:BH)</f>
        <v>10</v>
      </c>
      <c r="BF18">
        <f>SUMIF(RawDataDead!$B:$B,$A18,RawDataDead!BI:BI)</f>
        <v>0</v>
      </c>
      <c r="BG18">
        <f>SUMIF(RawDataDead!$B:$B,$A18,RawDataDead!BJ:BJ)</f>
        <v>0</v>
      </c>
      <c r="BH18">
        <f>SUMIF(RawDataDead!$B:$B,$A18,RawDataDead!BK:BK)</f>
        <v>0</v>
      </c>
      <c r="BI18">
        <f>SUMIF(RawDataDead!$B:$B,$A18,RawDataDead!BL:BL)</f>
        <v>0</v>
      </c>
      <c r="BJ18">
        <f>SUMIF(RawDataDead!$B:$B,$A18,RawDataDead!BM:BM)</f>
        <v>0</v>
      </c>
      <c r="BK18">
        <f>SUMIF(RawDataDead!$B:$B,$A18,RawDataDead!BN:BN)</f>
        <v>0</v>
      </c>
      <c r="BL18">
        <f>SUMIF(RawDataDead!$B:$B,$A18,RawDataDead!BO:BO)</f>
        <v>0</v>
      </c>
      <c r="BM18">
        <f>SUMIF(RawDataDead!$B:$B,$A18,RawDataDead!BP:BP)</f>
        <v>0</v>
      </c>
      <c r="BN18">
        <f>SUMIF(RawDataDead!$B:$B,$A18,RawDataDead!BQ:BQ)</f>
        <v>0</v>
      </c>
      <c r="BO18">
        <f>SUMIF(RawDataDead!$B:$B,$A18,RawDataDead!BR:BR)</f>
        <v>0</v>
      </c>
      <c r="BP18">
        <f>SUMIF(RawDataDead!$B:$B,$A18,RawDataDead!BS:BS)</f>
        <v>0</v>
      </c>
      <c r="BQ18">
        <f>SUMIF(RawDataDead!$B:$B,$A18,RawDataDead!BT:BT)</f>
        <v>0</v>
      </c>
      <c r="BR18">
        <f>SUMIF(RawDataDead!$B:$B,$A18,RawDataDead!BU:BU)</f>
        <v>0</v>
      </c>
      <c r="BS18">
        <f>SUMIF(RawDataDead!$B:$B,$A18,RawDataDead!BV:BV)</f>
        <v>0</v>
      </c>
      <c r="BT18">
        <f>SUMIF(RawDataDead!$B:$B,$A18,RawDataDead!BW:BW)</f>
        <v>0</v>
      </c>
    </row>
    <row r="19" spans="1:72" ht="15" thickBot="1" x14ac:dyDescent="0.35">
      <c r="A19" s="3" t="s">
        <v>105</v>
      </c>
      <c r="B19">
        <f>SUMIF(RawDataDead!$B:$B,$A19,RawDataDead!E:E)</f>
        <v>0</v>
      </c>
      <c r="C19">
        <f>SUMIF(RawDataDead!$B:$B,$A19,RawDataDead!F:F)</f>
        <v>0</v>
      </c>
      <c r="D19">
        <f>SUMIF(RawDataDead!$B:$B,$A19,RawDataDead!G:G)</f>
        <v>0</v>
      </c>
      <c r="E19">
        <f>SUMIF(RawDataDead!$B:$B,$A19,RawDataDead!H:H)</f>
        <v>0</v>
      </c>
      <c r="F19">
        <f>SUMIF(RawDataDead!$B:$B,$A19,RawDataDead!I:I)</f>
        <v>0</v>
      </c>
      <c r="G19">
        <f>SUMIF(RawDataDead!$B:$B,$A19,RawDataDead!J:J)</f>
        <v>0</v>
      </c>
      <c r="H19">
        <f>SUMIF(RawDataDead!$B:$B,$A19,RawDataDead!K:K)</f>
        <v>0</v>
      </c>
      <c r="I19">
        <f>SUMIF(RawDataDead!$B:$B,$A19,RawDataDead!L:L)</f>
        <v>0</v>
      </c>
      <c r="J19">
        <f>SUMIF(RawDataDead!$B:$B,$A19,RawDataDead!M:M)</f>
        <v>0</v>
      </c>
      <c r="K19">
        <f>SUMIF(RawDataDead!$B:$B,$A19,RawDataDead!N:N)</f>
        <v>0</v>
      </c>
      <c r="L19">
        <f>SUMIF(RawDataDead!$B:$B,$A19,RawDataDead!O:O)</f>
        <v>0</v>
      </c>
      <c r="M19">
        <f>SUMIF(RawDataDead!$B:$B,$A19,RawDataDead!P:P)</f>
        <v>0</v>
      </c>
      <c r="N19">
        <f>SUMIF(RawDataDead!$B:$B,$A19,RawDataDead!Q:Q)</f>
        <v>0</v>
      </c>
      <c r="O19">
        <f>SUMIF(RawDataDead!$B:$B,$A19,RawDataDead!R:R)</f>
        <v>0</v>
      </c>
      <c r="P19">
        <f>SUMIF(RawDataDead!$B:$B,$A19,RawDataDead!S:S)</f>
        <v>0</v>
      </c>
      <c r="Q19">
        <f>SUMIF(RawDataDead!$B:$B,$A19,RawDataDead!T:T)</f>
        <v>0</v>
      </c>
      <c r="R19">
        <f>SUMIF(RawDataDead!$B:$B,$A19,RawDataDead!U:U)</f>
        <v>0</v>
      </c>
      <c r="S19">
        <f>SUMIF(RawDataDead!$B:$B,$A19,RawDataDead!V:V)</f>
        <v>0</v>
      </c>
      <c r="T19">
        <f>SUMIF(RawDataDead!$B:$B,$A19,RawDataDead!W:W)</f>
        <v>0</v>
      </c>
      <c r="U19">
        <f>SUMIF(RawDataDead!$B:$B,$A19,RawDataDead!X:X)</f>
        <v>0</v>
      </c>
      <c r="V19">
        <f>SUMIF(RawDataDead!$B:$B,$A19,RawDataDead!Y:Y)</f>
        <v>0</v>
      </c>
      <c r="W19">
        <f>SUMIF(RawDataDead!$B:$B,$A19,RawDataDead!Z:Z)</f>
        <v>0</v>
      </c>
      <c r="X19">
        <f>SUMIF(RawDataDead!$B:$B,$A19,RawDataDead!AA:AA)</f>
        <v>0</v>
      </c>
      <c r="Y19">
        <f>SUMIF(RawDataDead!$B:$B,$A19,RawDataDead!AB:AB)</f>
        <v>0</v>
      </c>
      <c r="Z19">
        <f>SUMIF(RawDataDead!$B:$B,$A19,RawDataDead!AC:AC)</f>
        <v>0</v>
      </c>
      <c r="AA19">
        <f>SUMIF(RawDataDead!$B:$B,$A19,RawDataDead!AD:AD)</f>
        <v>0</v>
      </c>
      <c r="AB19">
        <f>SUMIF(RawDataDead!$B:$B,$A19,RawDataDead!AE:AE)</f>
        <v>0</v>
      </c>
      <c r="AC19">
        <f>SUMIF(RawDataDead!$B:$B,$A19,RawDataDead!AF:AF)</f>
        <v>0</v>
      </c>
      <c r="AD19">
        <f>SUMIF(RawDataDead!$B:$B,$A19,RawDataDead!AG:AG)</f>
        <v>0</v>
      </c>
      <c r="AE19">
        <f>SUMIF(RawDataDead!$B:$B,$A19,RawDataDead!AH:AH)</f>
        <v>0</v>
      </c>
      <c r="AF19">
        <f>SUMIF(RawDataDead!$B:$B,$A19,RawDataDead!AI:AI)</f>
        <v>0</v>
      </c>
      <c r="AG19">
        <f>SUMIF(RawDataDead!$B:$B,$A19,RawDataDead!AJ:AJ)</f>
        <v>0</v>
      </c>
      <c r="AH19">
        <f>SUMIF(RawDataDead!$B:$B,$A19,RawDataDead!AK:AK)</f>
        <v>0</v>
      </c>
      <c r="AI19">
        <f>SUMIF(RawDataDead!$B:$B,$A19,RawDataDead!AL:AL)</f>
        <v>0</v>
      </c>
      <c r="AJ19">
        <f>SUMIF(RawDataDead!$B:$B,$A19,RawDataDead!AM:AM)</f>
        <v>0</v>
      </c>
      <c r="AK19">
        <f>SUMIF(RawDataDead!$B:$B,$A19,RawDataDead!AN:AN)</f>
        <v>0</v>
      </c>
      <c r="AL19">
        <f>SUMIF(RawDataDead!$B:$B,$A19,RawDataDead!AO:AO)</f>
        <v>0</v>
      </c>
      <c r="AM19">
        <f>SUMIF(RawDataDead!$B:$B,$A19,RawDataDead!AP:AP)</f>
        <v>0</v>
      </c>
      <c r="AN19">
        <f>SUMIF(RawDataDead!$B:$B,$A19,RawDataDead!AQ:AQ)</f>
        <v>0</v>
      </c>
      <c r="AO19">
        <f>SUMIF(RawDataDead!$B:$B,$A19,RawDataDead!AR:AR)</f>
        <v>0</v>
      </c>
      <c r="AP19">
        <f>SUMIF(RawDataDead!$B:$B,$A19,RawDataDead!AS:AS)</f>
        <v>0</v>
      </c>
      <c r="AQ19">
        <f>SUMIF(RawDataDead!$B:$B,$A19,RawDataDead!AT:AT)</f>
        <v>0</v>
      </c>
      <c r="AR19">
        <f>SUMIF(RawDataDead!$B:$B,$A19,RawDataDead!AU:AU)</f>
        <v>0</v>
      </c>
      <c r="AS19">
        <f>SUMIF(RawDataDead!$B:$B,$A19,RawDataDead!AV:AV)</f>
        <v>0</v>
      </c>
      <c r="AT19">
        <f>SUMIF(RawDataDead!$B:$B,$A19,RawDataDead!AW:AW)</f>
        <v>0</v>
      </c>
      <c r="AU19">
        <f>SUMIF(RawDataDead!$B:$B,$A19,RawDataDead!AX:AX)</f>
        <v>0</v>
      </c>
      <c r="AV19">
        <f>SUMIF(RawDataDead!$B:$B,$A19,RawDataDead!AY:AY)</f>
        <v>0</v>
      </c>
      <c r="AW19">
        <f>SUMIF(RawDataDead!$B:$B,$A19,RawDataDead!AZ:AZ)</f>
        <v>0</v>
      </c>
      <c r="AX19">
        <f>SUMIF(RawDataDead!$B:$B,$A19,RawDataDead!BA:BA)</f>
        <v>0</v>
      </c>
      <c r="AY19">
        <f>SUMIF(RawDataDead!$B:$B,$A19,RawDataDead!BB:BB)</f>
        <v>0</v>
      </c>
      <c r="AZ19">
        <f>SUMIF(RawDataDead!$B:$B,$A19,RawDataDead!BC:BC)</f>
        <v>1</v>
      </c>
      <c r="BA19">
        <f>SUMIF(RawDataDead!$B:$B,$A19,RawDataDead!BD:BD)</f>
        <v>1</v>
      </c>
      <c r="BB19">
        <f>SUMIF(RawDataDead!$B:$B,$A19,RawDataDead!BE:BE)</f>
        <v>1</v>
      </c>
      <c r="BC19">
        <f>SUMIF(RawDataDead!$B:$B,$A19,RawDataDead!BF:BF)</f>
        <v>1</v>
      </c>
      <c r="BD19">
        <f>SUMIF(RawDataDead!$B:$B,$A19,RawDataDead!BG:BG)</f>
        <v>3</v>
      </c>
      <c r="BE19">
        <f>SUMIF(RawDataDead!$B:$B,$A19,RawDataDead!BH:BH)</f>
        <v>3</v>
      </c>
      <c r="BF19">
        <f>SUMIF(RawDataDead!$B:$B,$A19,RawDataDead!BI:BI)</f>
        <v>0</v>
      </c>
      <c r="BG19">
        <f>SUMIF(RawDataDead!$B:$B,$A19,RawDataDead!BJ:BJ)</f>
        <v>0</v>
      </c>
      <c r="BH19">
        <f>SUMIF(RawDataDead!$B:$B,$A19,RawDataDead!BK:BK)</f>
        <v>0</v>
      </c>
      <c r="BI19">
        <f>SUMIF(RawDataDead!$B:$B,$A19,RawDataDead!BL:BL)</f>
        <v>0</v>
      </c>
      <c r="BJ19">
        <f>SUMIF(RawDataDead!$B:$B,$A19,RawDataDead!BM:BM)</f>
        <v>0</v>
      </c>
      <c r="BK19">
        <f>SUMIF(RawDataDead!$B:$B,$A19,RawDataDead!BN:BN)</f>
        <v>0</v>
      </c>
      <c r="BL19">
        <f>SUMIF(RawDataDead!$B:$B,$A19,RawDataDead!BO:BO)</f>
        <v>0</v>
      </c>
      <c r="BM19">
        <f>SUMIF(RawDataDead!$B:$B,$A19,RawDataDead!BP:BP)</f>
        <v>0</v>
      </c>
      <c r="BN19">
        <f>SUMIF(RawDataDead!$B:$B,$A19,RawDataDead!BQ:BQ)</f>
        <v>0</v>
      </c>
      <c r="BO19">
        <f>SUMIF(RawDataDead!$B:$B,$A19,RawDataDead!BR:BR)</f>
        <v>0</v>
      </c>
      <c r="BP19">
        <f>SUMIF(RawDataDead!$B:$B,$A19,RawDataDead!BS:BS)</f>
        <v>0</v>
      </c>
      <c r="BQ19">
        <f>SUMIF(RawDataDead!$B:$B,$A19,RawDataDead!BT:BT)</f>
        <v>0</v>
      </c>
      <c r="BR19">
        <f>SUMIF(RawDataDead!$B:$B,$A19,RawDataDead!BU:BU)</f>
        <v>0</v>
      </c>
      <c r="BS19">
        <f>SUMIF(RawDataDead!$B:$B,$A19,RawDataDead!BV:BV)</f>
        <v>0</v>
      </c>
      <c r="BT19">
        <f>SUMIF(RawDataDead!$B:$B,$A19,RawDataDead!BW:BW)</f>
        <v>0</v>
      </c>
    </row>
    <row r="20" spans="1:72" ht="15" thickBot="1" x14ac:dyDescent="0.35">
      <c r="A20" s="3" t="s">
        <v>128</v>
      </c>
      <c r="B20">
        <f>SUMIF(RawDataDead!$B:$B,$A20,RawDataDead!E:E)</f>
        <v>0</v>
      </c>
      <c r="C20">
        <f>SUMIF(RawDataDead!$B:$B,$A20,RawDataDead!F:F)</f>
        <v>0</v>
      </c>
      <c r="D20">
        <f>SUMIF(RawDataDead!$B:$B,$A20,RawDataDead!G:G)</f>
        <v>0</v>
      </c>
      <c r="E20">
        <f>SUMIF(RawDataDead!$B:$B,$A20,RawDataDead!H:H)</f>
        <v>0</v>
      </c>
      <c r="F20">
        <f>SUMIF(RawDataDead!$B:$B,$A20,RawDataDead!I:I)</f>
        <v>0</v>
      </c>
      <c r="G20">
        <f>SUMIF(RawDataDead!$B:$B,$A20,RawDataDead!J:J)</f>
        <v>0</v>
      </c>
      <c r="H20">
        <f>SUMIF(RawDataDead!$B:$B,$A20,RawDataDead!K:K)</f>
        <v>0</v>
      </c>
      <c r="I20">
        <f>SUMIF(RawDataDead!$B:$B,$A20,RawDataDead!L:L)</f>
        <v>0</v>
      </c>
      <c r="J20">
        <f>SUMIF(RawDataDead!$B:$B,$A20,RawDataDead!M:M)</f>
        <v>0</v>
      </c>
      <c r="K20">
        <f>SUMIF(RawDataDead!$B:$B,$A20,RawDataDead!N:N)</f>
        <v>0</v>
      </c>
      <c r="L20">
        <f>SUMIF(RawDataDead!$B:$B,$A20,RawDataDead!O:O)</f>
        <v>0</v>
      </c>
      <c r="M20">
        <f>SUMIF(RawDataDead!$B:$B,$A20,RawDataDead!P:P)</f>
        <v>0</v>
      </c>
      <c r="N20">
        <f>SUMIF(RawDataDead!$B:$B,$A20,RawDataDead!Q:Q)</f>
        <v>0</v>
      </c>
      <c r="O20">
        <f>SUMIF(RawDataDead!$B:$B,$A20,RawDataDead!R:R)</f>
        <v>0</v>
      </c>
      <c r="P20">
        <f>SUMIF(RawDataDead!$B:$B,$A20,RawDataDead!S:S)</f>
        <v>0</v>
      </c>
      <c r="Q20">
        <f>SUMIF(RawDataDead!$B:$B,$A20,RawDataDead!T:T)</f>
        <v>0</v>
      </c>
      <c r="R20">
        <f>SUMIF(RawDataDead!$B:$B,$A20,RawDataDead!U:U)</f>
        <v>0</v>
      </c>
      <c r="S20">
        <f>SUMIF(RawDataDead!$B:$B,$A20,RawDataDead!V:V)</f>
        <v>0</v>
      </c>
      <c r="T20">
        <f>SUMIF(RawDataDead!$B:$B,$A20,RawDataDead!W:W)</f>
        <v>0</v>
      </c>
      <c r="U20">
        <f>SUMIF(RawDataDead!$B:$B,$A20,RawDataDead!X:X)</f>
        <v>0</v>
      </c>
      <c r="V20">
        <f>SUMIF(RawDataDead!$B:$B,$A20,RawDataDead!Y:Y)</f>
        <v>0</v>
      </c>
      <c r="W20">
        <f>SUMIF(RawDataDead!$B:$B,$A20,RawDataDead!Z:Z)</f>
        <v>0</v>
      </c>
      <c r="X20">
        <f>SUMIF(RawDataDead!$B:$B,$A20,RawDataDead!AA:AA)</f>
        <v>0</v>
      </c>
      <c r="Y20">
        <f>SUMIF(RawDataDead!$B:$B,$A20,RawDataDead!AB:AB)</f>
        <v>0</v>
      </c>
      <c r="Z20">
        <f>SUMIF(RawDataDead!$B:$B,$A20,RawDataDead!AC:AC)</f>
        <v>0</v>
      </c>
      <c r="AA20">
        <f>SUMIF(RawDataDead!$B:$B,$A20,RawDataDead!AD:AD)</f>
        <v>0</v>
      </c>
      <c r="AB20">
        <f>SUMIF(RawDataDead!$B:$B,$A20,RawDataDead!AE:AE)</f>
        <v>0</v>
      </c>
      <c r="AC20">
        <f>SUMIF(RawDataDead!$B:$B,$A20,RawDataDead!AF:AF)</f>
        <v>0</v>
      </c>
      <c r="AD20">
        <f>SUMIF(RawDataDead!$B:$B,$A20,RawDataDead!AG:AG)</f>
        <v>0</v>
      </c>
      <c r="AE20">
        <f>SUMIF(RawDataDead!$B:$B,$A20,RawDataDead!AH:AH)</f>
        <v>0</v>
      </c>
      <c r="AF20">
        <f>SUMIF(RawDataDead!$B:$B,$A20,RawDataDead!AI:AI)</f>
        <v>0</v>
      </c>
      <c r="AG20">
        <f>SUMIF(RawDataDead!$B:$B,$A20,RawDataDead!AJ:AJ)</f>
        <v>0</v>
      </c>
      <c r="AH20">
        <f>SUMIF(RawDataDead!$B:$B,$A20,RawDataDead!AK:AK)</f>
        <v>0</v>
      </c>
      <c r="AI20">
        <f>SUMIF(RawDataDead!$B:$B,$A20,RawDataDead!AL:AL)</f>
        <v>0</v>
      </c>
      <c r="AJ20">
        <f>SUMIF(RawDataDead!$B:$B,$A20,RawDataDead!AM:AM)</f>
        <v>0</v>
      </c>
      <c r="AK20">
        <f>SUMIF(RawDataDead!$B:$B,$A20,RawDataDead!AN:AN)</f>
        <v>0</v>
      </c>
      <c r="AL20">
        <f>SUMIF(RawDataDead!$B:$B,$A20,RawDataDead!AO:AO)</f>
        <v>0</v>
      </c>
      <c r="AM20">
        <f>SUMIF(RawDataDead!$B:$B,$A20,RawDataDead!AP:AP)</f>
        <v>0</v>
      </c>
      <c r="AN20">
        <f>SUMIF(RawDataDead!$B:$B,$A20,RawDataDead!AQ:AQ)</f>
        <v>0</v>
      </c>
      <c r="AO20">
        <f>SUMIF(RawDataDead!$B:$B,$A20,RawDataDead!AR:AR)</f>
        <v>0</v>
      </c>
      <c r="AP20">
        <f>SUMIF(RawDataDead!$B:$B,$A20,RawDataDead!AS:AS)</f>
        <v>0</v>
      </c>
      <c r="AQ20">
        <f>SUMIF(RawDataDead!$B:$B,$A20,RawDataDead!AT:AT)</f>
        <v>0</v>
      </c>
      <c r="AR20">
        <f>SUMIF(RawDataDead!$B:$B,$A20,RawDataDead!AU:AU)</f>
        <v>0</v>
      </c>
      <c r="AS20">
        <f>SUMIF(RawDataDead!$B:$B,$A20,RawDataDead!AV:AV)</f>
        <v>0</v>
      </c>
      <c r="AT20">
        <f>SUMIF(RawDataDead!$B:$B,$A20,RawDataDead!AW:AW)</f>
        <v>0</v>
      </c>
      <c r="AU20">
        <f>SUMIF(RawDataDead!$B:$B,$A20,RawDataDead!AX:AX)</f>
        <v>0</v>
      </c>
      <c r="AV20">
        <f>SUMIF(RawDataDead!$B:$B,$A20,RawDataDead!AY:AY)</f>
        <v>0</v>
      </c>
      <c r="AW20">
        <f>SUMIF(RawDataDead!$B:$B,$A20,RawDataDead!AZ:AZ)</f>
        <v>0</v>
      </c>
      <c r="AX20">
        <f>SUMIF(RawDataDead!$B:$B,$A20,RawDataDead!BA:BA)</f>
        <v>0</v>
      </c>
      <c r="AY20">
        <f>SUMIF(RawDataDead!$B:$B,$A20,RawDataDead!BB:BB)</f>
        <v>0</v>
      </c>
      <c r="AZ20">
        <f>SUMIF(RawDataDead!$B:$B,$A20,RawDataDead!BC:BC)</f>
        <v>0</v>
      </c>
      <c r="BA20">
        <f>SUMIF(RawDataDead!$B:$B,$A20,RawDataDead!BD:BD)</f>
        <v>0</v>
      </c>
      <c r="BB20">
        <f>SUMIF(RawDataDead!$B:$B,$A20,RawDataDead!BE:BE)</f>
        <v>0</v>
      </c>
      <c r="BC20">
        <f>SUMIF(RawDataDead!$B:$B,$A20,RawDataDead!BF:BF)</f>
        <v>0</v>
      </c>
      <c r="BD20">
        <f>SUMIF(RawDataDead!$B:$B,$A20,RawDataDead!BG:BG)</f>
        <v>0</v>
      </c>
      <c r="BE20">
        <f>SUMIF(RawDataDead!$B:$B,$A20,RawDataDead!BH:BH)</f>
        <v>0</v>
      </c>
      <c r="BF20">
        <f>SUMIF(RawDataDead!$B:$B,$A20,RawDataDead!BI:BI)</f>
        <v>0</v>
      </c>
      <c r="BG20">
        <f>SUMIF(RawDataDead!$B:$B,$A20,RawDataDead!BJ:BJ)</f>
        <v>0</v>
      </c>
      <c r="BH20">
        <f>SUMIF(RawDataDead!$B:$B,$A20,RawDataDead!BK:BK)</f>
        <v>0</v>
      </c>
      <c r="BI20">
        <f>SUMIF(RawDataDead!$B:$B,$A20,RawDataDead!BL:BL)</f>
        <v>0</v>
      </c>
      <c r="BJ20">
        <f>SUMIF(RawDataDead!$B:$B,$A20,RawDataDead!BM:BM)</f>
        <v>0</v>
      </c>
      <c r="BK20">
        <f>SUMIF(RawDataDead!$B:$B,$A20,RawDataDead!BN:BN)</f>
        <v>0</v>
      </c>
      <c r="BL20">
        <f>SUMIF(RawDataDead!$B:$B,$A20,RawDataDead!BO:BO)</f>
        <v>0</v>
      </c>
      <c r="BM20">
        <f>SUMIF(RawDataDead!$B:$B,$A20,RawDataDead!BP:BP)</f>
        <v>0</v>
      </c>
      <c r="BN20">
        <f>SUMIF(RawDataDead!$B:$B,$A20,RawDataDead!BQ:BQ)</f>
        <v>0</v>
      </c>
      <c r="BO20">
        <f>SUMIF(RawDataDead!$B:$B,$A20,RawDataDead!BR:BR)</f>
        <v>0</v>
      </c>
      <c r="BP20">
        <f>SUMIF(RawDataDead!$B:$B,$A20,RawDataDead!BS:BS)</f>
        <v>0</v>
      </c>
      <c r="BQ20">
        <f>SUMIF(RawDataDead!$B:$B,$A20,RawDataDead!BT:BT)</f>
        <v>0</v>
      </c>
      <c r="BR20">
        <f>SUMIF(RawDataDead!$B:$B,$A20,RawDataDead!BU:BU)</f>
        <v>0</v>
      </c>
      <c r="BS20">
        <f>SUMIF(RawDataDead!$B:$B,$A20,RawDataDead!BV:BV)</f>
        <v>0</v>
      </c>
      <c r="BT20">
        <f>SUMIF(RawDataDead!$B:$B,$A20,RawDataDead!BW:BW)</f>
        <v>0</v>
      </c>
    </row>
    <row r="21" spans="1:72" ht="15" thickBot="1" x14ac:dyDescent="0.35">
      <c r="A21" s="3" t="s">
        <v>75</v>
      </c>
      <c r="B21">
        <f>SUMIF(RawDataDead!$B:$B,$A21,RawDataDead!E:E)</f>
        <v>0</v>
      </c>
      <c r="C21">
        <f>SUMIF(RawDataDead!$B:$B,$A21,RawDataDead!F:F)</f>
        <v>0</v>
      </c>
      <c r="D21">
        <f>SUMIF(RawDataDead!$B:$B,$A21,RawDataDead!G:G)</f>
        <v>0</v>
      </c>
      <c r="E21">
        <f>SUMIF(RawDataDead!$B:$B,$A21,RawDataDead!H:H)</f>
        <v>0</v>
      </c>
      <c r="F21">
        <f>SUMIF(RawDataDead!$B:$B,$A21,RawDataDead!I:I)</f>
        <v>0</v>
      </c>
      <c r="G21">
        <f>SUMIF(RawDataDead!$B:$B,$A21,RawDataDead!J:J)</f>
        <v>0</v>
      </c>
      <c r="H21">
        <f>SUMIF(RawDataDead!$B:$B,$A21,RawDataDead!K:K)</f>
        <v>0</v>
      </c>
      <c r="I21">
        <f>SUMIF(RawDataDead!$B:$B,$A21,RawDataDead!L:L)</f>
        <v>0</v>
      </c>
      <c r="J21">
        <f>SUMIF(RawDataDead!$B:$B,$A21,RawDataDead!M:M)</f>
        <v>0</v>
      </c>
      <c r="K21">
        <f>SUMIF(RawDataDead!$B:$B,$A21,RawDataDead!N:N)</f>
        <v>0</v>
      </c>
      <c r="L21">
        <f>SUMIF(RawDataDead!$B:$B,$A21,RawDataDead!O:O)</f>
        <v>0</v>
      </c>
      <c r="M21">
        <f>SUMIF(RawDataDead!$B:$B,$A21,RawDataDead!P:P)</f>
        <v>0</v>
      </c>
      <c r="N21">
        <f>SUMIF(RawDataDead!$B:$B,$A21,RawDataDead!Q:Q)</f>
        <v>0</v>
      </c>
      <c r="O21">
        <f>SUMIF(RawDataDead!$B:$B,$A21,RawDataDead!R:R)</f>
        <v>0</v>
      </c>
      <c r="P21">
        <f>SUMIF(RawDataDead!$B:$B,$A21,RawDataDead!S:S)</f>
        <v>0</v>
      </c>
      <c r="Q21">
        <f>SUMIF(RawDataDead!$B:$B,$A21,RawDataDead!T:T)</f>
        <v>0</v>
      </c>
      <c r="R21">
        <f>SUMIF(RawDataDead!$B:$B,$A21,RawDataDead!U:U)</f>
        <v>0</v>
      </c>
      <c r="S21">
        <f>SUMIF(RawDataDead!$B:$B,$A21,RawDataDead!V:V)</f>
        <v>0</v>
      </c>
      <c r="T21">
        <f>SUMIF(RawDataDead!$B:$B,$A21,RawDataDead!W:W)</f>
        <v>0</v>
      </c>
      <c r="U21">
        <f>SUMIF(RawDataDead!$B:$B,$A21,RawDataDead!X:X)</f>
        <v>0</v>
      </c>
      <c r="V21">
        <f>SUMIF(RawDataDead!$B:$B,$A21,RawDataDead!Y:Y)</f>
        <v>0</v>
      </c>
      <c r="W21">
        <f>SUMIF(RawDataDead!$B:$B,$A21,RawDataDead!Z:Z)</f>
        <v>0</v>
      </c>
      <c r="X21">
        <f>SUMIF(RawDataDead!$B:$B,$A21,RawDataDead!AA:AA)</f>
        <v>0</v>
      </c>
      <c r="Y21">
        <f>SUMIF(RawDataDead!$B:$B,$A21,RawDataDead!AB:AB)</f>
        <v>0</v>
      </c>
      <c r="Z21">
        <f>SUMIF(RawDataDead!$B:$B,$A21,RawDataDead!AC:AC)</f>
        <v>0</v>
      </c>
      <c r="AA21">
        <f>SUMIF(RawDataDead!$B:$B,$A21,RawDataDead!AD:AD)</f>
        <v>0</v>
      </c>
      <c r="AB21">
        <f>SUMIF(RawDataDead!$B:$B,$A21,RawDataDead!AE:AE)</f>
        <v>0</v>
      </c>
      <c r="AC21">
        <f>SUMIF(RawDataDead!$B:$B,$A21,RawDataDead!AF:AF)</f>
        <v>0</v>
      </c>
      <c r="AD21">
        <f>SUMIF(RawDataDead!$B:$B,$A21,RawDataDead!AG:AG)</f>
        <v>0</v>
      </c>
      <c r="AE21">
        <f>SUMIF(RawDataDead!$B:$B,$A21,RawDataDead!AH:AH)</f>
        <v>0</v>
      </c>
      <c r="AF21">
        <f>SUMIF(RawDataDead!$B:$B,$A21,RawDataDead!AI:AI)</f>
        <v>0</v>
      </c>
      <c r="AG21">
        <f>SUMIF(RawDataDead!$B:$B,$A21,RawDataDead!AJ:AJ)</f>
        <v>0</v>
      </c>
      <c r="AH21">
        <f>SUMIF(RawDataDead!$B:$B,$A21,RawDataDead!AK:AK)</f>
        <v>0</v>
      </c>
      <c r="AI21">
        <f>SUMIF(RawDataDead!$B:$B,$A21,RawDataDead!AL:AL)</f>
        <v>0</v>
      </c>
      <c r="AJ21">
        <f>SUMIF(RawDataDead!$B:$B,$A21,RawDataDead!AM:AM)</f>
        <v>0</v>
      </c>
      <c r="AK21">
        <f>SUMIF(RawDataDead!$B:$B,$A21,RawDataDead!AN:AN)</f>
        <v>0</v>
      </c>
      <c r="AL21">
        <f>SUMIF(RawDataDead!$B:$B,$A21,RawDataDead!AO:AO)</f>
        <v>0</v>
      </c>
      <c r="AM21">
        <f>SUMIF(RawDataDead!$B:$B,$A21,RawDataDead!AP:AP)</f>
        <v>0</v>
      </c>
      <c r="AN21">
        <f>SUMIF(RawDataDead!$B:$B,$A21,RawDataDead!AQ:AQ)</f>
        <v>0</v>
      </c>
      <c r="AO21">
        <f>SUMIF(RawDataDead!$B:$B,$A21,RawDataDead!AR:AR)</f>
        <v>1</v>
      </c>
      <c r="AP21">
        <f>SUMIF(RawDataDead!$B:$B,$A21,RawDataDead!AS:AS)</f>
        <v>1</v>
      </c>
      <c r="AQ21">
        <f>SUMIF(RawDataDead!$B:$B,$A21,RawDataDead!AT:AT)</f>
        <v>1</v>
      </c>
      <c r="AR21">
        <f>SUMIF(RawDataDead!$B:$B,$A21,RawDataDead!AU:AU)</f>
        <v>2</v>
      </c>
      <c r="AS21">
        <f>SUMIF(RawDataDead!$B:$B,$A21,RawDataDead!AV:AV)</f>
        <v>2</v>
      </c>
      <c r="AT21">
        <f>SUMIF(RawDataDead!$B:$B,$A21,RawDataDead!AW:AW)</f>
        <v>2</v>
      </c>
      <c r="AU21">
        <f>SUMIF(RawDataDead!$B:$B,$A21,RawDataDead!AX:AX)</f>
        <v>2</v>
      </c>
      <c r="AV21">
        <f>SUMIF(RawDataDead!$B:$B,$A21,RawDataDead!AY:AY)</f>
        <v>3</v>
      </c>
      <c r="AW21">
        <f>SUMIF(RawDataDead!$B:$B,$A21,RawDataDead!AZ:AZ)</f>
        <v>3</v>
      </c>
      <c r="AX21">
        <f>SUMIF(RawDataDead!$B:$B,$A21,RawDataDead!BA:BA)</f>
        <v>3</v>
      </c>
      <c r="AY21">
        <f>SUMIF(RawDataDead!$B:$B,$A21,RawDataDead!BB:BB)</f>
        <v>3</v>
      </c>
      <c r="AZ21">
        <f>SUMIF(RawDataDead!$B:$B,$A21,RawDataDead!BC:BC)</f>
        <v>3</v>
      </c>
      <c r="BA21">
        <f>SUMIF(RawDataDead!$B:$B,$A21,RawDataDead!BD:BD)</f>
        <v>3</v>
      </c>
      <c r="BB21">
        <f>SUMIF(RawDataDead!$B:$B,$A21,RawDataDead!BE:BE)</f>
        <v>3</v>
      </c>
      <c r="BC21">
        <f>SUMIF(RawDataDead!$B:$B,$A21,RawDataDead!BF:BF)</f>
        <v>3</v>
      </c>
      <c r="BD21">
        <f>SUMIF(RawDataDead!$B:$B,$A21,RawDataDead!BG:BG)</f>
        <v>3</v>
      </c>
      <c r="BE21">
        <f>SUMIF(RawDataDead!$B:$B,$A21,RawDataDead!BH:BH)</f>
        <v>5</v>
      </c>
      <c r="BF21">
        <f>SUMIF(RawDataDead!$B:$B,$A21,RawDataDead!BI:BI)</f>
        <v>0</v>
      </c>
      <c r="BG21">
        <f>SUMIF(RawDataDead!$B:$B,$A21,RawDataDead!BJ:BJ)</f>
        <v>0</v>
      </c>
      <c r="BH21">
        <f>SUMIF(RawDataDead!$B:$B,$A21,RawDataDead!BK:BK)</f>
        <v>0</v>
      </c>
      <c r="BI21">
        <f>SUMIF(RawDataDead!$B:$B,$A21,RawDataDead!BL:BL)</f>
        <v>0</v>
      </c>
      <c r="BJ21">
        <f>SUMIF(RawDataDead!$B:$B,$A21,RawDataDead!BM:BM)</f>
        <v>0</v>
      </c>
      <c r="BK21">
        <f>SUMIF(RawDataDead!$B:$B,$A21,RawDataDead!BN:BN)</f>
        <v>0</v>
      </c>
      <c r="BL21">
        <f>SUMIF(RawDataDead!$B:$B,$A21,RawDataDead!BO:BO)</f>
        <v>0</v>
      </c>
      <c r="BM21">
        <f>SUMIF(RawDataDead!$B:$B,$A21,RawDataDead!BP:BP)</f>
        <v>0</v>
      </c>
      <c r="BN21">
        <f>SUMIF(RawDataDead!$B:$B,$A21,RawDataDead!BQ:BQ)</f>
        <v>0</v>
      </c>
      <c r="BO21">
        <f>SUMIF(RawDataDead!$B:$B,$A21,RawDataDead!BR:BR)</f>
        <v>0</v>
      </c>
      <c r="BP21">
        <f>SUMIF(RawDataDead!$B:$B,$A21,RawDataDead!BS:BS)</f>
        <v>0</v>
      </c>
      <c r="BQ21">
        <f>SUMIF(RawDataDead!$B:$B,$A21,RawDataDead!BT:BT)</f>
        <v>0</v>
      </c>
      <c r="BR21">
        <f>SUMIF(RawDataDead!$B:$B,$A21,RawDataDead!BU:BU)</f>
        <v>0</v>
      </c>
      <c r="BS21">
        <f>SUMIF(RawDataDead!$B:$B,$A21,RawDataDead!BV:BV)</f>
        <v>0</v>
      </c>
      <c r="BT21">
        <f>SUMIF(RawDataDead!$B:$B,$A21,RawDataDead!BW:BW)</f>
        <v>0</v>
      </c>
    </row>
    <row r="22" spans="1:72" ht="15" thickBot="1" x14ac:dyDescent="0.35">
      <c r="A22" s="3" t="s">
        <v>67</v>
      </c>
      <c r="B22">
        <f>SUMIF(RawDataDead!$B:$B,$A22,RawDataDead!E:E)</f>
        <v>0</v>
      </c>
      <c r="C22">
        <f>SUMIF(RawDataDead!$B:$B,$A22,RawDataDead!F:F)</f>
        <v>0</v>
      </c>
      <c r="D22">
        <f>SUMIF(RawDataDead!$B:$B,$A22,RawDataDead!G:G)</f>
        <v>0</v>
      </c>
      <c r="E22">
        <f>SUMIF(RawDataDead!$B:$B,$A22,RawDataDead!H:H)</f>
        <v>0</v>
      </c>
      <c r="F22">
        <f>SUMIF(RawDataDead!$B:$B,$A22,RawDataDead!I:I)</f>
        <v>0</v>
      </c>
      <c r="G22">
        <f>SUMIF(RawDataDead!$B:$B,$A22,RawDataDead!J:J)</f>
        <v>0</v>
      </c>
      <c r="H22">
        <f>SUMIF(RawDataDead!$B:$B,$A22,RawDataDead!K:K)</f>
        <v>0</v>
      </c>
      <c r="I22">
        <f>SUMIF(RawDataDead!$B:$B,$A22,RawDataDead!L:L)</f>
        <v>0</v>
      </c>
      <c r="J22">
        <f>SUMIF(RawDataDead!$B:$B,$A22,RawDataDead!M:M)</f>
        <v>0</v>
      </c>
      <c r="K22">
        <f>SUMIF(RawDataDead!$B:$B,$A22,RawDataDead!N:N)</f>
        <v>0</v>
      </c>
      <c r="L22">
        <f>SUMIF(RawDataDead!$B:$B,$A22,RawDataDead!O:O)</f>
        <v>0</v>
      </c>
      <c r="M22">
        <f>SUMIF(RawDataDead!$B:$B,$A22,RawDataDead!P:P)</f>
        <v>0</v>
      </c>
      <c r="N22">
        <f>SUMIF(RawDataDead!$B:$B,$A22,RawDataDead!Q:Q)</f>
        <v>0</v>
      </c>
      <c r="O22">
        <f>SUMIF(RawDataDead!$B:$B,$A22,RawDataDead!R:R)</f>
        <v>0</v>
      </c>
      <c r="P22">
        <f>SUMIF(RawDataDead!$B:$B,$A22,RawDataDead!S:S)</f>
        <v>0</v>
      </c>
      <c r="Q22">
        <f>SUMIF(RawDataDead!$B:$B,$A22,RawDataDead!T:T)</f>
        <v>0</v>
      </c>
      <c r="R22">
        <f>SUMIF(RawDataDead!$B:$B,$A22,RawDataDead!U:U)</f>
        <v>0</v>
      </c>
      <c r="S22">
        <f>SUMIF(RawDataDead!$B:$B,$A22,RawDataDead!V:V)</f>
        <v>0</v>
      </c>
      <c r="T22">
        <f>SUMIF(RawDataDead!$B:$B,$A22,RawDataDead!W:W)</f>
        <v>0</v>
      </c>
      <c r="U22">
        <f>SUMIF(RawDataDead!$B:$B,$A22,RawDataDead!X:X)</f>
        <v>0</v>
      </c>
      <c r="V22">
        <f>SUMIF(RawDataDead!$B:$B,$A22,RawDataDead!Y:Y)</f>
        <v>0</v>
      </c>
      <c r="W22">
        <f>SUMIF(RawDataDead!$B:$B,$A22,RawDataDead!Z:Z)</f>
        <v>0</v>
      </c>
      <c r="X22">
        <f>SUMIF(RawDataDead!$B:$B,$A22,RawDataDead!AA:AA)</f>
        <v>0</v>
      </c>
      <c r="Y22">
        <f>SUMIF(RawDataDead!$B:$B,$A22,RawDataDead!AB:AB)</f>
        <v>0</v>
      </c>
      <c r="Z22">
        <f>SUMIF(RawDataDead!$B:$B,$A22,RawDataDead!AC:AC)</f>
        <v>0</v>
      </c>
      <c r="AA22">
        <f>SUMIF(RawDataDead!$B:$B,$A22,RawDataDead!AD:AD)</f>
        <v>0</v>
      </c>
      <c r="AB22">
        <f>SUMIF(RawDataDead!$B:$B,$A22,RawDataDead!AE:AE)</f>
        <v>0</v>
      </c>
      <c r="AC22">
        <f>SUMIF(RawDataDead!$B:$B,$A22,RawDataDead!AF:AF)</f>
        <v>0</v>
      </c>
      <c r="AD22">
        <f>SUMIF(RawDataDead!$B:$B,$A22,RawDataDead!AG:AG)</f>
        <v>0</v>
      </c>
      <c r="AE22">
        <f>SUMIF(RawDataDead!$B:$B,$A22,RawDataDead!AH:AH)</f>
        <v>0</v>
      </c>
      <c r="AF22">
        <f>SUMIF(RawDataDead!$B:$B,$A22,RawDataDead!AI:AI)</f>
        <v>0</v>
      </c>
      <c r="AG22">
        <f>SUMIF(RawDataDead!$B:$B,$A22,RawDataDead!AJ:AJ)</f>
        <v>0</v>
      </c>
      <c r="AH22">
        <f>SUMIF(RawDataDead!$B:$B,$A22,RawDataDead!AK:AK)</f>
        <v>0</v>
      </c>
      <c r="AI22">
        <f>SUMIF(RawDataDead!$B:$B,$A22,RawDataDead!AL:AL)</f>
        <v>0</v>
      </c>
      <c r="AJ22">
        <f>SUMIF(RawDataDead!$B:$B,$A22,RawDataDead!AM:AM)</f>
        <v>0</v>
      </c>
      <c r="AK22">
        <f>SUMIF(RawDataDead!$B:$B,$A22,RawDataDead!AN:AN)</f>
        <v>0</v>
      </c>
      <c r="AL22">
        <f>SUMIF(RawDataDead!$B:$B,$A22,RawDataDead!AO:AO)</f>
        <v>0</v>
      </c>
      <c r="AM22">
        <f>SUMIF(RawDataDead!$B:$B,$A22,RawDataDead!AP:AP)</f>
        <v>0</v>
      </c>
      <c r="AN22">
        <f>SUMIF(RawDataDead!$B:$B,$A22,RawDataDead!AQ:AQ)</f>
        <v>0</v>
      </c>
      <c r="AO22">
        <f>SUMIF(RawDataDead!$B:$B,$A22,RawDataDead!AR:AR)</f>
        <v>0</v>
      </c>
      <c r="AP22">
        <f>SUMIF(RawDataDead!$B:$B,$A22,RawDataDead!AS:AS)</f>
        <v>0</v>
      </c>
      <c r="AQ22">
        <f>SUMIF(RawDataDead!$B:$B,$A22,RawDataDead!AT:AT)</f>
        <v>0</v>
      </c>
      <c r="AR22">
        <f>SUMIF(RawDataDead!$B:$B,$A22,RawDataDead!AU:AU)</f>
        <v>0</v>
      </c>
      <c r="AS22">
        <f>SUMIF(RawDataDead!$B:$B,$A22,RawDataDead!AV:AV)</f>
        <v>0</v>
      </c>
      <c r="AT22">
        <f>SUMIF(RawDataDead!$B:$B,$A22,RawDataDead!AW:AW)</f>
        <v>0</v>
      </c>
      <c r="AU22">
        <f>SUMIF(RawDataDead!$B:$B,$A22,RawDataDead!AX:AX)</f>
        <v>0</v>
      </c>
      <c r="AV22">
        <f>SUMIF(RawDataDead!$B:$B,$A22,RawDataDead!AY:AY)</f>
        <v>0</v>
      </c>
      <c r="AW22">
        <f>SUMIF(RawDataDead!$B:$B,$A22,RawDataDead!AZ:AZ)</f>
        <v>0</v>
      </c>
      <c r="AX22">
        <f>SUMIF(RawDataDead!$B:$B,$A22,RawDataDead!BA:BA)</f>
        <v>0</v>
      </c>
      <c r="AY22">
        <f>SUMIF(RawDataDead!$B:$B,$A22,RawDataDead!BB:BB)</f>
        <v>0</v>
      </c>
      <c r="AZ22">
        <f>SUMIF(RawDataDead!$B:$B,$A22,RawDataDead!BC:BC)</f>
        <v>0</v>
      </c>
      <c r="BA22">
        <f>SUMIF(RawDataDead!$B:$B,$A22,RawDataDead!BD:BD)</f>
        <v>0</v>
      </c>
      <c r="BB22">
        <f>SUMIF(RawDataDead!$B:$B,$A22,RawDataDead!BE:BE)</f>
        <v>0</v>
      </c>
      <c r="BC22">
        <f>SUMIF(RawDataDead!$B:$B,$A22,RawDataDead!BF:BF)</f>
        <v>0</v>
      </c>
      <c r="BD22">
        <f>SUMIF(RawDataDead!$B:$B,$A22,RawDataDead!BG:BG)</f>
        <v>0</v>
      </c>
      <c r="BE22">
        <f>SUMIF(RawDataDead!$B:$B,$A22,RawDataDead!BH:BH)</f>
        <v>0</v>
      </c>
      <c r="BF22">
        <f>SUMIF(RawDataDead!$B:$B,$A22,RawDataDead!BI:BI)</f>
        <v>0</v>
      </c>
      <c r="BG22">
        <f>SUMIF(RawDataDead!$B:$B,$A22,RawDataDead!BJ:BJ)</f>
        <v>0</v>
      </c>
      <c r="BH22">
        <f>SUMIF(RawDataDead!$B:$B,$A22,RawDataDead!BK:BK)</f>
        <v>0</v>
      </c>
      <c r="BI22">
        <f>SUMIF(RawDataDead!$B:$B,$A22,RawDataDead!BL:BL)</f>
        <v>0</v>
      </c>
      <c r="BJ22">
        <f>SUMIF(RawDataDead!$B:$B,$A22,RawDataDead!BM:BM)</f>
        <v>0</v>
      </c>
      <c r="BK22">
        <f>SUMIF(RawDataDead!$B:$B,$A22,RawDataDead!BN:BN)</f>
        <v>0</v>
      </c>
      <c r="BL22">
        <f>SUMIF(RawDataDead!$B:$B,$A22,RawDataDead!BO:BO)</f>
        <v>0</v>
      </c>
      <c r="BM22">
        <f>SUMIF(RawDataDead!$B:$B,$A22,RawDataDead!BP:BP)</f>
        <v>0</v>
      </c>
      <c r="BN22">
        <f>SUMIF(RawDataDead!$B:$B,$A22,RawDataDead!BQ:BQ)</f>
        <v>0</v>
      </c>
      <c r="BO22">
        <f>SUMIF(RawDataDead!$B:$B,$A22,RawDataDead!BR:BR)</f>
        <v>0</v>
      </c>
      <c r="BP22">
        <f>SUMIF(RawDataDead!$B:$B,$A22,RawDataDead!BS:BS)</f>
        <v>0</v>
      </c>
      <c r="BQ22">
        <f>SUMIF(RawDataDead!$B:$B,$A22,RawDataDead!BT:BT)</f>
        <v>0</v>
      </c>
      <c r="BR22">
        <f>SUMIF(RawDataDead!$B:$B,$A22,RawDataDead!BU:BU)</f>
        <v>0</v>
      </c>
      <c r="BS22">
        <f>SUMIF(RawDataDead!$B:$B,$A22,RawDataDead!BV:BV)</f>
        <v>0</v>
      </c>
      <c r="BT22">
        <f>SUMIF(RawDataDead!$B:$B,$A22,RawDataDead!BW:BW)</f>
        <v>0</v>
      </c>
    </row>
    <row r="23" spans="1:72" ht="15" thickBot="1" x14ac:dyDescent="0.35">
      <c r="A23" s="3" t="s">
        <v>70</v>
      </c>
      <c r="B23">
        <f>SUMIF(RawDataDead!$B:$B,$A23,RawDataDead!E:E)</f>
        <v>0</v>
      </c>
      <c r="C23">
        <f>SUMIF(RawDataDead!$B:$B,$A23,RawDataDead!F:F)</f>
        <v>0</v>
      </c>
      <c r="D23">
        <f>SUMIF(RawDataDead!$B:$B,$A23,RawDataDead!G:G)</f>
        <v>0</v>
      </c>
      <c r="E23">
        <f>SUMIF(RawDataDead!$B:$B,$A23,RawDataDead!H:H)</f>
        <v>0</v>
      </c>
      <c r="F23">
        <f>SUMIF(RawDataDead!$B:$B,$A23,RawDataDead!I:I)</f>
        <v>0</v>
      </c>
      <c r="G23">
        <f>SUMIF(RawDataDead!$B:$B,$A23,RawDataDead!J:J)</f>
        <v>0</v>
      </c>
      <c r="H23">
        <f>SUMIF(RawDataDead!$B:$B,$A23,RawDataDead!K:K)</f>
        <v>0</v>
      </c>
      <c r="I23">
        <f>SUMIF(RawDataDead!$B:$B,$A23,RawDataDead!L:L)</f>
        <v>0</v>
      </c>
      <c r="J23">
        <f>SUMIF(RawDataDead!$B:$B,$A23,RawDataDead!M:M)</f>
        <v>0</v>
      </c>
      <c r="K23">
        <f>SUMIF(RawDataDead!$B:$B,$A23,RawDataDead!N:N)</f>
        <v>0</v>
      </c>
      <c r="L23">
        <f>SUMIF(RawDataDead!$B:$B,$A23,RawDataDead!O:O)</f>
        <v>0</v>
      </c>
      <c r="M23">
        <f>SUMIF(RawDataDead!$B:$B,$A23,RawDataDead!P:P)</f>
        <v>0</v>
      </c>
      <c r="N23">
        <f>SUMIF(RawDataDead!$B:$B,$A23,RawDataDead!Q:Q)</f>
        <v>0</v>
      </c>
      <c r="O23">
        <f>SUMIF(RawDataDead!$B:$B,$A23,RawDataDead!R:R)</f>
        <v>0</v>
      </c>
      <c r="P23">
        <f>SUMIF(RawDataDead!$B:$B,$A23,RawDataDead!S:S)</f>
        <v>0</v>
      </c>
      <c r="Q23">
        <f>SUMIF(RawDataDead!$B:$B,$A23,RawDataDead!T:T)</f>
        <v>0</v>
      </c>
      <c r="R23">
        <f>SUMIF(RawDataDead!$B:$B,$A23,RawDataDead!U:U)</f>
        <v>0</v>
      </c>
      <c r="S23">
        <f>SUMIF(RawDataDead!$B:$B,$A23,RawDataDead!V:V)</f>
        <v>0</v>
      </c>
      <c r="T23">
        <f>SUMIF(RawDataDead!$B:$B,$A23,RawDataDead!W:W)</f>
        <v>0</v>
      </c>
      <c r="U23">
        <f>SUMIF(RawDataDead!$B:$B,$A23,RawDataDead!X:X)</f>
        <v>0</v>
      </c>
      <c r="V23">
        <f>SUMIF(RawDataDead!$B:$B,$A23,RawDataDead!Y:Y)</f>
        <v>0</v>
      </c>
      <c r="W23">
        <f>SUMIF(RawDataDead!$B:$B,$A23,RawDataDead!Z:Z)</f>
        <v>0</v>
      </c>
      <c r="X23">
        <f>SUMIF(RawDataDead!$B:$B,$A23,RawDataDead!AA:AA)</f>
        <v>0</v>
      </c>
      <c r="Y23">
        <f>SUMIF(RawDataDead!$B:$B,$A23,RawDataDead!AB:AB)</f>
        <v>0</v>
      </c>
      <c r="Z23">
        <f>SUMIF(RawDataDead!$B:$B,$A23,RawDataDead!AC:AC)</f>
        <v>0</v>
      </c>
      <c r="AA23">
        <f>SUMIF(RawDataDead!$B:$B,$A23,RawDataDead!AD:AD)</f>
        <v>0</v>
      </c>
      <c r="AB23">
        <f>SUMIF(RawDataDead!$B:$B,$A23,RawDataDead!AE:AE)</f>
        <v>0</v>
      </c>
      <c r="AC23">
        <f>SUMIF(RawDataDead!$B:$B,$A23,RawDataDead!AF:AF)</f>
        <v>0</v>
      </c>
      <c r="AD23">
        <f>SUMIF(RawDataDead!$B:$B,$A23,RawDataDead!AG:AG)</f>
        <v>0</v>
      </c>
      <c r="AE23">
        <f>SUMIF(RawDataDead!$B:$B,$A23,RawDataDead!AH:AH)</f>
        <v>0</v>
      </c>
      <c r="AF23">
        <f>SUMIF(RawDataDead!$B:$B,$A23,RawDataDead!AI:AI)</f>
        <v>0</v>
      </c>
      <c r="AG23">
        <f>SUMIF(RawDataDead!$B:$B,$A23,RawDataDead!AJ:AJ)</f>
        <v>0</v>
      </c>
      <c r="AH23">
        <f>SUMIF(RawDataDead!$B:$B,$A23,RawDataDead!AK:AK)</f>
        <v>0</v>
      </c>
      <c r="AI23">
        <f>SUMIF(RawDataDead!$B:$B,$A23,RawDataDead!AL:AL)</f>
        <v>0</v>
      </c>
      <c r="AJ23">
        <f>SUMIF(RawDataDead!$B:$B,$A23,RawDataDead!AM:AM)</f>
        <v>0</v>
      </c>
      <c r="AK23">
        <f>SUMIF(RawDataDead!$B:$B,$A23,RawDataDead!AN:AN)</f>
        <v>0</v>
      </c>
      <c r="AL23">
        <f>SUMIF(RawDataDead!$B:$B,$A23,RawDataDead!AO:AO)</f>
        <v>0</v>
      </c>
      <c r="AM23">
        <f>SUMIF(RawDataDead!$B:$B,$A23,RawDataDead!AP:AP)</f>
        <v>0</v>
      </c>
      <c r="AN23">
        <f>SUMIF(RawDataDead!$B:$B,$A23,RawDataDead!AQ:AQ)</f>
        <v>0</v>
      </c>
      <c r="AO23">
        <f>SUMIF(RawDataDead!$B:$B,$A23,RawDataDead!AR:AR)</f>
        <v>0</v>
      </c>
      <c r="AP23">
        <f>SUMIF(RawDataDead!$B:$B,$A23,RawDataDead!AS:AS)</f>
        <v>0</v>
      </c>
      <c r="AQ23">
        <f>SUMIF(RawDataDead!$B:$B,$A23,RawDataDead!AT:AT)</f>
        <v>0</v>
      </c>
      <c r="AR23">
        <f>SUMIF(RawDataDead!$B:$B,$A23,RawDataDead!AU:AU)</f>
        <v>0</v>
      </c>
      <c r="AS23">
        <f>SUMIF(RawDataDead!$B:$B,$A23,RawDataDead!AV:AV)</f>
        <v>0</v>
      </c>
      <c r="AT23">
        <f>SUMIF(RawDataDead!$B:$B,$A23,RawDataDead!AW:AW)</f>
        <v>0</v>
      </c>
      <c r="AU23">
        <f>SUMIF(RawDataDead!$B:$B,$A23,RawDataDead!AX:AX)</f>
        <v>0</v>
      </c>
      <c r="AV23">
        <f>SUMIF(RawDataDead!$B:$B,$A23,RawDataDead!AY:AY)</f>
        <v>0</v>
      </c>
      <c r="AW23">
        <f>SUMIF(RawDataDead!$B:$B,$A23,RawDataDead!AZ:AZ)</f>
        <v>0</v>
      </c>
      <c r="AX23">
        <f>SUMIF(RawDataDead!$B:$B,$A23,RawDataDead!BA:BA)</f>
        <v>0</v>
      </c>
      <c r="AY23">
        <f>SUMIF(RawDataDead!$B:$B,$A23,RawDataDead!BB:BB)</f>
        <v>0</v>
      </c>
      <c r="AZ23">
        <f>SUMIF(RawDataDead!$B:$B,$A23,RawDataDead!BC:BC)</f>
        <v>0</v>
      </c>
      <c r="BA23">
        <f>SUMIF(RawDataDead!$B:$B,$A23,RawDataDead!BD:BD)</f>
        <v>0</v>
      </c>
      <c r="BB23">
        <f>SUMIF(RawDataDead!$B:$B,$A23,RawDataDead!BE:BE)</f>
        <v>0</v>
      </c>
      <c r="BC23">
        <f>SUMIF(RawDataDead!$B:$B,$A23,RawDataDead!BF:BF)</f>
        <v>0</v>
      </c>
      <c r="BD23">
        <f>SUMIF(RawDataDead!$B:$B,$A23,RawDataDead!BG:BG)</f>
        <v>0</v>
      </c>
      <c r="BE23">
        <f>SUMIF(RawDataDead!$B:$B,$A23,RawDataDead!BH:BH)</f>
        <v>2</v>
      </c>
      <c r="BF23">
        <f>SUMIF(RawDataDead!$B:$B,$A23,RawDataDead!BI:BI)</f>
        <v>0</v>
      </c>
      <c r="BG23">
        <f>SUMIF(RawDataDead!$B:$B,$A23,RawDataDead!BJ:BJ)</f>
        <v>0</v>
      </c>
      <c r="BH23">
        <f>SUMIF(RawDataDead!$B:$B,$A23,RawDataDead!BK:BK)</f>
        <v>0</v>
      </c>
      <c r="BI23">
        <f>SUMIF(RawDataDead!$B:$B,$A23,RawDataDead!BL:BL)</f>
        <v>0</v>
      </c>
      <c r="BJ23">
        <f>SUMIF(RawDataDead!$B:$B,$A23,RawDataDead!BM:BM)</f>
        <v>0</v>
      </c>
      <c r="BK23">
        <f>SUMIF(RawDataDead!$B:$B,$A23,RawDataDead!BN:BN)</f>
        <v>0</v>
      </c>
      <c r="BL23">
        <f>SUMIF(RawDataDead!$B:$B,$A23,RawDataDead!BO:BO)</f>
        <v>0</v>
      </c>
      <c r="BM23">
        <f>SUMIF(RawDataDead!$B:$B,$A23,RawDataDead!BP:BP)</f>
        <v>0</v>
      </c>
      <c r="BN23">
        <f>SUMIF(RawDataDead!$B:$B,$A23,RawDataDead!BQ:BQ)</f>
        <v>0</v>
      </c>
      <c r="BO23">
        <f>SUMIF(RawDataDead!$B:$B,$A23,RawDataDead!BR:BR)</f>
        <v>0</v>
      </c>
      <c r="BP23">
        <f>SUMIF(RawDataDead!$B:$B,$A23,RawDataDead!BS:BS)</f>
        <v>0</v>
      </c>
      <c r="BQ23">
        <f>SUMIF(RawDataDead!$B:$B,$A23,RawDataDead!BT:BT)</f>
        <v>0</v>
      </c>
      <c r="BR23">
        <f>SUMIF(RawDataDead!$B:$B,$A23,RawDataDead!BU:BU)</f>
        <v>0</v>
      </c>
      <c r="BS23">
        <f>SUMIF(RawDataDead!$B:$B,$A23,RawDataDead!BV:BV)</f>
        <v>0</v>
      </c>
      <c r="BT23">
        <f>SUMIF(RawDataDead!$B:$B,$A23,RawDataDead!BW:BW)</f>
        <v>0</v>
      </c>
    </row>
    <row r="24" spans="1:72" ht="15" thickBot="1" x14ac:dyDescent="0.35">
      <c r="A24" s="4" t="s">
        <v>72</v>
      </c>
      <c r="B24">
        <f>SUMIF(RawDataDead!$B:$B,$A24,RawDataDead!E:E)</f>
        <v>0</v>
      </c>
      <c r="C24">
        <f>SUMIF(RawDataDead!$B:$B,$A24,RawDataDead!F:F)</f>
        <v>0</v>
      </c>
      <c r="D24">
        <f>SUMIF(RawDataDead!$B:$B,$A24,RawDataDead!G:G)</f>
        <v>0</v>
      </c>
      <c r="E24">
        <f>SUMIF(RawDataDead!$B:$B,$A24,RawDataDead!H:H)</f>
        <v>0</v>
      </c>
      <c r="F24">
        <f>SUMIF(RawDataDead!$B:$B,$A24,RawDataDead!I:I)</f>
        <v>0</v>
      </c>
      <c r="G24">
        <f>SUMIF(RawDataDead!$B:$B,$A24,RawDataDead!J:J)</f>
        <v>0</v>
      </c>
      <c r="H24">
        <f>SUMIF(RawDataDead!$B:$B,$A24,RawDataDead!K:K)</f>
        <v>0</v>
      </c>
      <c r="I24">
        <f>SUMIF(RawDataDead!$B:$B,$A24,RawDataDead!L:L)</f>
        <v>0</v>
      </c>
      <c r="J24">
        <f>SUMIF(RawDataDead!$B:$B,$A24,RawDataDead!M:M)</f>
        <v>0</v>
      </c>
      <c r="K24">
        <f>SUMIF(RawDataDead!$B:$B,$A24,RawDataDead!N:N)</f>
        <v>0</v>
      </c>
      <c r="L24">
        <f>SUMIF(RawDataDead!$B:$B,$A24,RawDataDead!O:O)</f>
        <v>0</v>
      </c>
      <c r="M24">
        <f>SUMIF(RawDataDead!$B:$B,$A24,RawDataDead!P:P)</f>
        <v>0</v>
      </c>
      <c r="N24">
        <f>SUMIF(RawDataDead!$B:$B,$A24,RawDataDead!Q:Q)</f>
        <v>0</v>
      </c>
      <c r="O24">
        <f>SUMIF(RawDataDead!$B:$B,$A24,RawDataDead!R:R)</f>
        <v>0</v>
      </c>
      <c r="P24">
        <f>SUMIF(RawDataDead!$B:$B,$A24,RawDataDead!S:S)</f>
        <v>0</v>
      </c>
      <c r="Q24">
        <f>SUMIF(RawDataDead!$B:$B,$A24,RawDataDead!T:T)</f>
        <v>0</v>
      </c>
      <c r="R24">
        <f>SUMIF(RawDataDead!$B:$B,$A24,RawDataDead!U:U)</f>
        <v>0</v>
      </c>
      <c r="S24">
        <f>SUMIF(RawDataDead!$B:$B,$A24,RawDataDead!V:V)</f>
        <v>0</v>
      </c>
      <c r="T24">
        <f>SUMIF(RawDataDead!$B:$B,$A24,RawDataDead!W:W)</f>
        <v>0</v>
      </c>
      <c r="U24">
        <f>SUMIF(RawDataDead!$B:$B,$A24,RawDataDead!X:X)</f>
        <v>0</v>
      </c>
      <c r="V24">
        <f>SUMIF(RawDataDead!$B:$B,$A24,RawDataDead!Y:Y)</f>
        <v>0</v>
      </c>
      <c r="W24">
        <f>SUMIF(RawDataDead!$B:$B,$A24,RawDataDead!Z:Z)</f>
        <v>0</v>
      </c>
      <c r="X24">
        <f>SUMIF(RawDataDead!$B:$B,$A24,RawDataDead!AA:AA)</f>
        <v>0</v>
      </c>
      <c r="Y24">
        <f>SUMIF(RawDataDead!$B:$B,$A24,RawDataDead!AB:AB)</f>
        <v>0</v>
      </c>
      <c r="Z24">
        <f>SUMIF(RawDataDead!$B:$B,$A24,RawDataDead!AC:AC)</f>
        <v>0</v>
      </c>
      <c r="AA24">
        <f>SUMIF(RawDataDead!$B:$B,$A24,RawDataDead!AD:AD)</f>
        <v>0</v>
      </c>
      <c r="AB24">
        <f>SUMIF(RawDataDead!$B:$B,$A24,RawDataDead!AE:AE)</f>
        <v>0</v>
      </c>
      <c r="AC24">
        <f>SUMIF(RawDataDead!$B:$B,$A24,RawDataDead!AF:AF)</f>
        <v>0</v>
      </c>
      <c r="AD24">
        <f>SUMIF(RawDataDead!$B:$B,$A24,RawDataDead!AG:AG)</f>
        <v>0</v>
      </c>
      <c r="AE24">
        <f>SUMIF(RawDataDead!$B:$B,$A24,RawDataDead!AH:AH)</f>
        <v>0</v>
      </c>
      <c r="AF24">
        <f>SUMIF(RawDataDead!$B:$B,$A24,RawDataDead!AI:AI)</f>
        <v>0</v>
      </c>
      <c r="AG24">
        <f>SUMIF(RawDataDead!$B:$B,$A24,RawDataDead!AJ:AJ)</f>
        <v>0</v>
      </c>
      <c r="AH24">
        <f>SUMIF(RawDataDead!$B:$B,$A24,RawDataDead!AK:AK)</f>
        <v>0</v>
      </c>
      <c r="AI24">
        <f>SUMIF(RawDataDead!$B:$B,$A24,RawDataDead!AL:AL)</f>
        <v>0</v>
      </c>
      <c r="AJ24">
        <f>SUMIF(RawDataDead!$B:$B,$A24,RawDataDead!AM:AM)</f>
        <v>0</v>
      </c>
      <c r="AK24">
        <f>SUMIF(RawDataDead!$B:$B,$A24,RawDataDead!AN:AN)</f>
        <v>0</v>
      </c>
      <c r="AL24">
        <f>SUMIF(RawDataDead!$B:$B,$A24,RawDataDead!AO:AO)</f>
        <v>0</v>
      </c>
      <c r="AM24">
        <f>SUMIF(RawDataDead!$B:$B,$A24,RawDataDead!AP:AP)</f>
        <v>0</v>
      </c>
      <c r="AN24">
        <f>SUMIF(RawDataDead!$B:$B,$A24,RawDataDead!AQ:AQ)</f>
        <v>0</v>
      </c>
      <c r="AO24">
        <f>SUMIF(RawDataDead!$B:$B,$A24,RawDataDead!AR:AR)</f>
        <v>0</v>
      </c>
      <c r="AP24">
        <f>SUMIF(RawDataDead!$B:$B,$A24,RawDataDead!AS:AS)</f>
        <v>0</v>
      </c>
      <c r="AQ24">
        <f>SUMIF(RawDataDead!$B:$B,$A24,RawDataDead!AT:AT)</f>
        <v>0</v>
      </c>
      <c r="AR24">
        <f>SUMIF(RawDataDead!$B:$B,$A24,RawDataDead!AU:AU)</f>
        <v>0</v>
      </c>
      <c r="AS24">
        <f>SUMIF(RawDataDead!$B:$B,$A24,RawDataDead!AV:AV)</f>
        <v>0</v>
      </c>
      <c r="AT24">
        <f>SUMIF(RawDataDead!$B:$B,$A24,RawDataDead!AW:AW)</f>
        <v>0</v>
      </c>
      <c r="AU24">
        <f>SUMIF(RawDataDead!$B:$B,$A24,RawDataDead!AX:AX)</f>
        <v>0</v>
      </c>
      <c r="AV24">
        <f>SUMIF(RawDataDead!$B:$B,$A24,RawDataDead!AY:AY)</f>
        <v>0</v>
      </c>
      <c r="AW24">
        <f>SUMIF(RawDataDead!$B:$B,$A24,RawDataDead!AZ:AZ)</f>
        <v>1</v>
      </c>
      <c r="AX24">
        <f>SUMIF(RawDataDead!$B:$B,$A24,RawDataDead!BA:BA)</f>
        <v>1</v>
      </c>
      <c r="AY24">
        <f>SUMIF(RawDataDead!$B:$B,$A24,RawDataDead!BB:BB)</f>
        <v>1</v>
      </c>
      <c r="AZ24">
        <f>SUMIF(RawDataDead!$B:$B,$A24,RawDataDead!BC:BC)</f>
        <v>1</v>
      </c>
      <c r="BA24">
        <f>SUMIF(RawDataDead!$B:$B,$A24,RawDataDead!BD:BD)</f>
        <v>1</v>
      </c>
      <c r="BB24">
        <f>SUMIF(RawDataDead!$B:$B,$A24,RawDataDead!BE:BE)</f>
        <v>1</v>
      </c>
      <c r="BC24">
        <f>SUMIF(RawDataDead!$B:$B,$A24,RawDataDead!BF:BF)</f>
        <v>1</v>
      </c>
      <c r="BD24">
        <f>SUMIF(RawDataDead!$B:$B,$A24,RawDataDead!BG:BG)</f>
        <v>4</v>
      </c>
      <c r="BE24">
        <f>SUMIF(RawDataDead!$B:$B,$A24,RawDataDead!BH:BH)</f>
        <v>5</v>
      </c>
      <c r="BF24">
        <f>SUMIF(RawDataDead!$B:$B,$A24,RawDataDead!BI:BI)</f>
        <v>0</v>
      </c>
      <c r="BG24">
        <f>SUMIF(RawDataDead!$B:$B,$A24,RawDataDead!BJ:BJ)</f>
        <v>0</v>
      </c>
      <c r="BH24">
        <f>SUMIF(RawDataDead!$B:$B,$A24,RawDataDead!BK:BK)</f>
        <v>0</v>
      </c>
      <c r="BI24">
        <f>SUMIF(RawDataDead!$B:$B,$A24,RawDataDead!BL:BL)</f>
        <v>0</v>
      </c>
      <c r="BJ24">
        <f>SUMIF(RawDataDead!$B:$B,$A24,RawDataDead!BM:BM)</f>
        <v>0</v>
      </c>
      <c r="BK24">
        <f>SUMIF(RawDataDead!$B:$B,$A24,RawDataDead!BN:BN)</f>
        <v>0</v>
      </c>
      <c r="BL24">
        <f>SUMIF(RawDataDead!$B:$B,$A24,RawDataDead!BO:BO)</f>
        <v>0</v>
      </c>
      <c r="BM24">
        <f>SUMIF(RawDataDead!$B:$B,$A24,RawDataDead!BP:BP)</f>
        <v>0</v>
      </c>
      <c r="BN24">
        <f>SUMIF(RawDataDead!$B:$B,$A24,RawDataDead!BQ:BQ)</f>
        <v>0</v>
      </c>
      <c r="BO24">
        <f>SUMIF(RawDataDead!$B:$B,$A24,RawDataDead!BR:BR)</f>
        <v>0</v>
      </c>
      <c r="BP24">
        <f>SUMIF(RawDataDead!$B:$B,$A24,RawDataDead!BS:BS)</f>
        <v>0</v>
      </c>
      <c r="BQ24">
        <f>SUMIF(RawDataDead!$B:$B,$A24,RawDataDead!BT:BT)</f>
        <v>0</v>
      </c>
      <c r="BR24">
        <f>SUMIF(RawDataDead!$B:$B,$A24,RawDataDead!BU:BU)</f>
        <v>0</v>
      </c>
      <c r="BS24">
        <f>SUMIF(RawDataDead!$B:$B,$A24,RawDataDead!BV:BV)</f>
        <v>0</v>
      </c>
      <c r="BT24">
        <f>SUMIF(RawDataDead!$B:$B,$A24,RawDataDead!BW:BW)</f>
        <v>0</v>
      </c>
    </row>
    <row r="25" spans="1:72" ht="15" thickBot="1" x14ac:dyDescent="0.35">
      <c r="A25" s="4" t="s">
        <v>110</v>
      </c>
      <c r="B25">
        <f>SUMIF(RawDataDead!$B:$B,$A25,RawDataDead!E:E)</f>
        <v>0</v>
      </c>
      <c r="C25">
        <f>SUMIF(RawDataDead!$B:$B,$A25,RawDataDead!F:F)</f>
        <v>0</v>
      </c>
      <c r="D25">
        <f>SUMIF(RawDataDead!$B:$B,$A25,RawDataDead!G:G)</f>
        <v>0</v>
      </c>
      <c r="E25">
        <f>SUMIF(RawDataDead!$B:$B,$A25,RawDataDead!H:H)</f>
        <v>0</v>
      </c>
      <c r="F25">
        <f>SUMIF(RawDataDead!$B:$B,$A25,RawDataDead!I:I)</f>
        <v>0</v>
      </c>
      <c r="G25">
        <f>SUMIF(RawDataDead!$B:$B,$A25,RawDataDead!J:J)</f>
        <v>0</v>
      </c>
      <c r="H25">
        <f>SUMIF(RawDataDead!$B:$B,$A25,RawDataDead!K:K)</f>
        <v>0</v>
      </c>
      <c r="I25">
        <f>SUMIF(RawDataDead!$B:$B,$A25,RawDataDead!L:L)</f>
        <v>0</v>
      </c>
      <c r="J25">
        <f>SUMIF(RawDataDead!$B:$B,$A25,RawDataDead!M:M)</f>
        <v>0</v>
      </c>
      <c r="K25">
        <f>SUMIF(RawDataDead!$B:$B,$A25,RawDataDead!N:N)</f>
        <v>0</v>
      </c>
      <c r="L25">
        <f>SUMIF(RawDataDead!$B:$B,$A25,RawDataDead!O:O)</f>
        <v>0</v>
      </c>
      <c r="M25">
        <f>SUMIF(RawDataDead!$B:$B,$A25,RawDataDead!P:P)</f>
        <v>0</v>
      </c>
      <c r="N25">
        <f>SUMIF(RawDataDead!$B:$B,$A25,RawDataDead!Q:Q)</f>
        <v>0</v>
      </c>
      <c r="O25">
        <f>SUMIF(RawDataDead!$B:$B,$A25,RawDataDead!R:R)</f>
        <v>0</v>
      </c>
      <c r="P25">
        <f>SUMIF(RawDataDead!$B:$B,$A25,RawDataDead!S:S)</f>
        <v>0</v>
      </c>
      <c r="Q25">
        <f>SUMIF(RawDataDead!$B:$B,$A25,RawDataDead!T:T)</f>
        <v>0</v>
      </c>
      <c r="R25">
        <f>SUMIF(RawDataDead!$B:$B,$A25,RawDataDead!U:U)</f>
        <v>0</v>
      </c>
      <c r="S25">
        <f>SUMIF(RawDataDead!$B:$B,$A25,RawDataDead!V:V)</f>
        <v>0</v>
      </c>
      <c r="T25">
        <f>SUMIF(RawDataDead!$B:$B,$A25,RawDataDead!W:W)</f>
        <v>0</v>
      </c>
      <c r="U25">
        <f>SUMIF(RawDataDead!$B:$B,$A25,RawDataDead!X:X)</f>
        <v>0</v>
      </c>
      <c r="V25">
        <f>SUMIF(RawDataDead!$B:$B,$A25,RawDataDead!Y:Y)</f>
        <v>0</v>
      </c>
      <c r="W25">
        <f>SUMIF(RawDataDead!$B:$B,$A25,RawDataDead!Z:Z)</f>
        <v>0</v>
      </c>
      <c r="X25">
        <f>SUMIF(RawDataDead!$B:$B,$A25,RawDataDead!AA:AA)</f>
        <v>0</v>
      </c>
      <c r="Y25">
        <f>SUMIF(RawDataDead!$B:$B,$A25,RawDataDead!AB:AB)</f>
        <v>0</v>
      </c>
      <c r="Z25">
        <f>SUMIF(RawDataDead!$B:$B,$A25,RawDataDead!AC:AC)</f>
        <v>0</v>
      </c>
      <c r="AA25">
        <f>SUMIF(RawDataDead!$B:$B,$A25,RawDataDead!AD:AD)</f>
        <v>0</v>
      </c>
      <c r="AB25">
        <f>SUMIF(RawDataDead!$B:$B,$A25,RawDataDead!AE:AE)</f>
        <v>0</v>
      </c>
      <c r="AC25">
        <f>SUMIF(RawDataDead!$B:$B,$A25,RawDataDead!AF:AF)</f>
        <v>0</v>
      </c>
      <c r="AD25">
        <f>SUMIF(RawDataDead!$B:$B,$A25,RawDataDead!AG:AG)</f>
        <v>0</v>
      </c>
      <c r="AE25">
        <f>SUMIF(RawDataDead!$B:$B,$A25,RawDataDead!AH:AH)</f>
        <v>0</v>
      </c>
      <c r="AF25">
        <f>SUMIF(RawDataDead!$B:$B,$A25,RawDataDead!AI:AI)</f>
        <v>0</v>
      </c>
      <c r="AG25">
        <f>SUMIF(RawDataDead!$B:$B,$A25,RawDataDead!AJ:AJ)</f>
        <v>0</v>
      </c>
      <c r="AH25">
        <f>SUMIF(RawDataDead!$B:$B,$A25,RawDataDead!AK:AK)</f>
        <v>0</v>
      </c>
      <c r="AI25">
        <f>SUMIF(RawDataDead!$B:$B,$A25,RawDataDead!AL:AL)</f>
        <v>0</v>
      </c>
      <c r="AJ25">
        <f>SUMIF(RawDataDead!$B:$B,$A25,RawDataDead!AM:AM)</f>
        <v>0</v>
      </c>
      <c r="AK25">
        <f>SUMIF(RawDataDead!$B:$B,$A25,RawDataDead!AN:AN)</f>
        <v>0</v>
      </c>
      <c r="AL25">
        <f>SUMIF(RawDataDead!$B:$B,$A25,RawDataDead!AO:AO)</f>
        <v>0</v>
      </c>
      <c r="AM25">
        <f>SUMIF(RawDataDead!$B:$B,$A25,RawDataDead!AP:AP)</f>
        <v>0</v>
      </c>
      <c r="AN25">
        <f>SUMIF(RawDataDead!$B:$B,$A25,RawDataDead!AQ:AQ)</f>
        <v>0</v>
      </c>
      <c r="AO25">
        <f>SUMIF(RawDataDead!$B:$B,$A25,RawDataDead!AR:AR)</f>
        <v>0</v>
      </c>
      <c r="AP25">
        <f>SUMIF(RawDataDead!$B:$B,$A25,RawDataDead!AS:AS)</f>
        <v>0</v>
      </c>
      <c r="AQ25">
        <f>SUMIF(RawDataDead!$B:$B,$A25,RawDataDead!AT:AT)</f>
        <v>0</v>
      </c>
      <c r="AR25">
        <f>SUMIF(RawDataDead!$B:$B,$A25,RawDataDead!AU:AU)</f>
        <v>0</v>
      </c>
      <c r="AS25">
        <f>SUMIF(RawDataDead!$B:$B,$A25,RawDataDead!AV:AV)</f>
        <v>0</v>
      </c>
      <c r="AT25">
        <f>SUMIF(RawDataDead!$B:$B,$A25,RawDataDead!AW:AW)</f>
        <v>0</v>
      </c>
      <c r="AU25">
        <f>SUMIF(RawDataDead!$B:$B,$A25,RawDataDead!AX:AX)</f>
        <v>0</v>
      </c>
      <c r="AV25">
        <f>SUMIF(RawDataDead!$B:$B,$A25,RawDataDead!AY:AY)</f>
        <v>0</v>
      </c>
      <c r="AW25">
        <f>SUMIF(RawDataDead!$B:$B,$A25,RawDataDead!AZ:AZ)</f>
        <v>0</v>
      </c>
      <c r="AX25">
        <f>SUMIF(RawDataDead!$B:$B,$A25,RawDataDead!BA:BA)</f>
        <v>0</v>
      </c>
      <c r="AY25">
        <f>SUMIF(RawDataDead!$B:$B,$A25,RawDataDead!BB:BB)</f>
        <v>1</v>
      </c>
      <c r="AZ25">
        <f>SUMIF(RawDataDead!$B:$B,$A25,RawDataDead!BC:BC)</f>
        <v>1</v>
      </c>
      <c r="BA25">
        <f>SUMIF(RawDataDead!$B:$B,$A25,RawDataDead!BD:BD)</f>
        <v>1</v>
      </c>
      <c r="BB25">
        <f>SUMIF(RawDataDead!$B:$B,$A25,RawDataDead!BE:BE)</f>
        <v>3</v>
      </c>
      <c r="BC25">
        <f>SUMIF(RawDataDead!$B:$B,$A25,RawDataDead!BF:BF)</f>
        <v>4</v>
      </c>
      <c r="BD25">
        <f>SUMIF(RawDataDead!$B:$B,$A25,RawDataDead!BG:BG)</f>
        <v>4</v>
      </c>
      <c r="BE25">
        <f>SUMIF(RawDataDead!$B:$B,$A25,RawDataDead!BH:BH)</f>
        <v>5</v>
      </c>
      <c r="BF25">
        <f>SUMIF(RawDataDead!$B:$B,$A25,RawDataDead!BI:BI)</f>
        <v>0</v>
      </c>
      <c r="BG25">
        <f>SUMIF(RawDataDead!$B:$B,$A25,RawDataDead!BJ:BJ)</f>
        <v>0</v>
      </c>
      <c r="BH25">
        <f>SUMIF(RawDataDead!$B:$B,$A25,RawDataDead!BK:BK)</f>
        <v>0</v>
      </c>
      <c r="BI25">
        <f>SUMIF(RawDataDead!$B:$B,$A25,RawDataDead!BL:BL)</f>
        <v>0</v>
      </c>
      <c r="BJ25">
        <f>SUMIF(RawDataDead!$B:$B,$A25,RawDataDead!BM:BM)</f>
        <v>0</v>
      </c>
      <c r="BK25">
        <f>SUMIF(RawDataDead!$B:$B,$A25,RawDataDead!BN:BN)</f>
        <v>0</v>
      </c>
      <c r="BL25">
        <f>SUMIF(RawDataDead!$B:$B,$A25,RawDataDead!BO:BO)</f>
        <v>0</v>
      </c>
      <c r="BM25">
        <f>SUMIF(RawDataDead!$B:$B,$A25,RawDataDead!BP:BP)</f>
        <v>0</v>
      </c>
      <c r="BN25">
        <f>SUMIF(RawDataDead!$B:$B,$A25,RawDataDead!BQ:BQ)</f>
        <v>0</v>
      </c>
      <c r="BO25">
        <f>SUMIF(RawDataDead!$B:$B,$A25,RawDataDead!BR:BR)</f>
        <v>0</v>
      </c>
      <c r="BP25">
        <f>SUMIF(RawDataDead!$B:$B,$A25,RawDataDead!BS:BS)</f>
        <v>0</v>
      </c>
      <c r="BQ25">
        <f>SUMIF(RawDataDead!$B:$B,$A25,RawDataDead!BT:BT)</f>
        <v>0</v>
      </c>
      <c r="BR25">
        <f>SUMIF(RawDataDead!$B:$B,$A25,RawDataDead!BU:BU)</f>
        <v>0</v>
      </c>
      <c r="BS25">
        <f>SUMIF(RawDataDead!$B:$B,$A25,RawDataDead!BV:BV)</f>
        <v>0</v>
      </c>
      <c r="BT25">
        <f>SUMIF(RawDataDead!$B:$B,$A25,RawDataDead!BW:BW)</f>
        <v>0</v>
      </c>
    </row>
    <row r="26" spans="1:72" ht="15" thickBot="1" x14ac:dyDescent="0.35">
      <c r="A26" s="4" t="s">
        <v>100</v>
      </c>
      <c r="B26">
        <f>SUMIF(RawDataDead!$B:$B,$A26,RawDataDead!E:E)</f>
        <v>0</v>
      </c>
      <c r="C26">
        <f>SUMIF(RawDataDead!$B:$B,$A26,RawDataDead!F:F)</f>
        <v>0</v>
      </c>
      <c r="D26">
        <f>SUMIF(RawDataDead!$B:$B,$A26,RawDataDead!G:G)</f>
        <v>0</v>
      </c>
      <c r="E26">
        <f>SUMIF(RawDataDead!$B:$B,$A26,RawDataDead!H:H)</f>
        <v>0</v>
      </c>
      <c r="F26">
        <f>SUMIF(RawDataDead!$B:$B,$A26,RawDataDead!I:I)</f>
        <v>0</v>
      </c>
      <c r="G26">
        <f>SUMIF(RawDataDead!$B:$B,$A26,RawDataDead!J:J)</f>
        <v>0</v>
      </c>
      <c r="H26">
        <f>SUMIF(RawDataDead!$B:$B,$A26,RawDataDead!K:K)</f>
        <v>0</v>
      </c>
      <c r="I26">
        <f>SUMIF(RawDataDead!$B:$B,$A26,RawDataDead!L:L)</f>
        <v>0</v>
      </c>
      <c r="J26">
        <f>SUMIF(RawDataDead!$B:$B,$A26,RawDataDead!M:M)</f>
        <v>0</v>
      </c>
      <c r="K26">
        <f>SUMIF(RawDataDead!$B:$B,$A26,RawDataDead!N:N)</f>
        <v>0</v>
      </c>
      <c r="L26">
        <f>SUMIF(RawDataDead!$B:$B,$A26,RawDataDead!O:O)</f>
        <v>0</v>
      </c>
      <c r="M26">
        <f>SUMIF(RawDataDead!$B:$B,$A26,RawDataDead!P:P)</f>
        <v>0</v>
      </c>
      <c r="N26">
        <f>SUMIF(RawDataDead!$B:$B,$A26,RawDataDead!Q:Q)</f>
        <v>0</v>
      </c>
      <c r="O26">
        <f>SUMIF(RawDataDead!$B:$B,$A26,RawDataDead!R:R)</f>
        <v>0</v>
      </c>
      <c r="P26">
        <f>SUMIF(RawDataDead!$B:$B,$A26,RawDataDead!S:S)</f>
        <v>0</v>
      </c>
      <c r="Q26">
        <f>SUMIF(RawDataDead!$B:$B,$A26,RawDataDead!T:T)</f>
        <v>0</v>
      </c>
      <c r="R26">
        <f>SUMIF(RawDataDead!$B:$B,$A26,RawDataDead!U:U)</f>
        <v>0</v>
      </c>
      <c r="S26">
        <f>SUMIF(RawDataDead!$B:$B,$A26,RawDataDead!V:V)</f>
        <v>0</v>
      </c>
      <c r="T26">
        <f>SUMIF(RawDataDead!$B:$B,$A26,RawDataDead!W:W)</f>
        <v>0</v>
      </c>
      <c r="U26">
        <f>SUMIF(RawDataDead!$B:$B,$A26,RawDataDead!X:X)</f>
        <v>0</v>
      </c>
      <c r="V26">
        <f>SUMIF(RawDataDead!$B:$B,$A26,RawDataDead!Y:Y)</f>
        <v>0</v>
      </c>
      <c r="W26">
        <f>SUMIF(RawDataDead!$B:$B,$A26,RawDataDead!Z:Z)</f>
        <v>0</v>
      </c>
      <c r="X26">
        <f>SUMIF(RawDataDead!$B:$B,$A26,RawDataDead!AA:AA)</f>
        <v>0</v>
      </c>
      <c r="Y26">
        <f>SUMIF(RawDataDead!$B:$B,$A26,RawDataDead!AB:AB)</f>
        <v>0</v>
      </c>
      <c r="Z26">
        <f>SUMIF(RawDataDead!$B:$B,$A26,RawDataDead!AC:AC)</f>
        <v>0</v>
      </c>
      <c r="AA26">
        <f>SUMIF(RawDataDead!$B:$B,$A26,RawDataDead!AD:AD)</f>
        <v>0</v>
      </c>
      <c r="AB26">
        <f>SUMIF(RawDataDead!$B:$B,$A26,RawDataDead!AE:AE)</f>
        <v>0</v>
      </c>
      <c r="AC26">
        <f>SUMIF(RawDataDead!$B:$B,$A26,RawDataDead!AF:AF)</f>
        <v>0</v>
      </c>
      <c r="AD26">
        <f>SUMIF(RawDataDead!$B:$B,$A26,RawDataDead!AG:AG)</f>
        <v>0</v>
      </c>
      <c r="AE26">
        <f>SUMIF(RawDataDead!$B:$B,$A26,RawDataDead!AH:AH)</f>
        <v>0</v>
      </c>
      <c r="AF26">
        <f>SUMIF(RawDataDead!$B:$B,$A26,RawDataDead!AI:AI)</f>
        <v>0</v>
      </c>
      <c r="AG26">
        <f>SUMIF(RawDataDead!$B:$B,$A26,RawDataDead!AJ:AJ)</f>
        <v>0</v>
      </c>
      <c r="AH26">
        <f>SUMIF(RawDataDead!$B:$B,$A26,RawDataDead!AK:AK)</f>
        <v>0</v>
      </c>
      <c r="AI26">
        <f>SUMIF(RawDataDead!$B:$B,$A26,RawDataDead!AL:AL)</f>
        <v>0</v>
      </c>
      <c r="AJ26">
        <f>SUMIF(RawDataDead!$B:$B,$A26,RawDataDead!AM:AM)</f>
        <v>0</v>
      </c>
      <c r="AK26">
        <f>SUMIF(RawDataDead!$B:$B,$A26,RawDataDead!AN:AN)</f>
        <v>0</v>
      </c>
      <c r="AL26">
        <f>SUMIF(RawDataDead!$B:$B,$A26,RawDataDead!AO:AO)</f>
        <v>0</v>
      </c>
      <c r="AM26">
        <f>SUMIF(RawDataDead!$B:$B,$A26,RawDataDead!AP:AP)</f>
        <v>0</v>
      </c>
      <c r="AN26">
        <f>SUMIF(RawDataDead!$B:$B,$A26,RawDataDead!AQ:AQ)</f>
        <v>0</v>
      </c>
      <c r="AO26">
        <f>SUMIF(RawDataDead!$B:$B,$A26,RawDataDead!AR:AR)</f>
        <v>0</v>
      </c>
      <c r="AP26">
        <f>SUMIF(RawDataDead!$B:$B,$A26,RawDataDead!AS:AS)</f>
        <v>0</v>
      </c>
      <c r="AQ26">
        <f>SUMIF(RawDataDead!$B:$B,$A26,RawDataDead!AT:AT)</f>
        <v>0</v>
      </c>
      <c r="AR26">
        <f>SUMIF(RawDataDead!$B:$B,$A26,RawDataDead!AU:AU)</f>
        <v>0</v>
      </c>
      <c r="AS26">
        <f>SUMIF(RawDataDead!$B:$B,$A26,RawDataDead!AV:AV)</f>
        <v>0</v>
      </c>
      <c r="AT26">
        <f>SUMIF(RawDataDead!$B:$B,$A26,RawDataDead!AW:AW)</f>
        <v>0</v>
      </c>
      <c r="AU26">
        <f>SUMIF(RawDataDead!$B:$B,$A26,RawDataDead!AX:AX)</f>
        <v>0</v>
      </c>
      <c r="AV26">
        <f>SUMIF(RawDataDead!$B:$B,$A26,RawDataDead!AY:AY)</f>
        <v>0</v>
      </c>
      <c r="AW26">
        <f>SUMIF(RawDataDead!$B:$B,$A26,RawDataDead!AZ:AZ)</f>
        <v>0</v>
      </c>
      <c r="AX26">
        <f>SUMIF(RawDataDead!$B:$B,$A26,RawDataDead!BA:BA)</f>
        <v>0</v>
      </c>
      <c r="AY26">
        <f>SUMIF(RawDataDead!$B:$B,$A26,RawDataDead!BB:BB)</f>
        <v>0</v>
      </c>
      <c r="AZ26">
        <f>SUMIF(RawDataDead!$B:$B,$A26,RawDataDead!BC:BC)</f>
        <v>0</v>
      </c>
      <c r="BA26">
        <f>SUMIF(RawDataDead!$B:$B,$A26,RawDataDead!BD:BD)</f>
        <v>0</v>
      </c>
      <c r="BB26">
        <f>SUMIF(RawDataDead!$B:$B,$A26,RawDataDead!BE:BE)</f>
        <v>0</v>
      </c>
      <c r="BC26">
        <f>SUMIF(RawDataDead!$B:$B,$A26,RawDataDead!BF:BF)</f>
        <v>0</v>
      </c>
      <c r="BD26">
        <f>SUMIF(RawDataDead!$B:$B,$A26,RawDataDead!BG:BG)</f>
        <v>1</v>
      </c>
      <c r="BE26">
        <f>SUMIF(RawDataDead!$B:$B,$A26,RawDataDead!BH:BH)</f>
        <v>1</v>
      </c>
      <c r="BF26">
        <f>SUMIF(RawDataDead!$B:$B,$A26,RawDataDead!BI:BI)</f>
        <v>0</v>
      </c>
      <c r="BG26">
        <f>SUMIF(RawDataDead!$B:$B,$A26,RawDataDead!BJ:BJ)</f>
        <v>0</v>
      </c>
      <c r="BH26">
        <f>SUMIF(RawDataDead!$B:$B,$A26,RawDataDead!BK:BK)</f>
        <v>0</v>
      </c>
      <c r="BI26">
        <f>SUMIF(RawDataDead!$B:$B,$A26,RawDataDead!BL:BL)</f>
        <v>0</v>
      </c>
      <c r="BJ26">
        <f>SUMIF(RawDataDead!$B:$B,$A26,RawDataDead!BM:BM)</f>
        <v>0</v>
      </c>
      <c r="BK26">
        <f>SUMIF(RawDataDead!$B:$B,$A26,RawDataDead!BN:BN)</f>
        <v>0</v>
      </c>
      <c r="BL26">
        <f>SUMIF(RawDataDead!$B:$B,$A26,RawDataDead!BO:BO)</f>
        <v>0</v>
      </c>
      <c r="BM26">
        <f>SUMIF(RawDataDead!$B:$B,$A26,RawDataDead!BP:BP)</f>
        <v>0</v>
      </c>
      <c r="BN26">
        <f>SUMIF(RawDataDead!$B:$B,$A26,RawDataDead!BQ:BQ)</f>
        <v>0</v>
      </c>
      <c r="BO26">
        <f>SUMIF(RawDataDead!$B:$B,$A26,RawDataDead!BR:BR)</f>
        <v>0</v>
      </c>
      <c r="BP26">
        <f>SUMIF(RawDataDead!$B:$B,$A26,RawDataDead!BS:BS)</f>
        <v>0</v>
      </c>
      <c r="BQ26">
        <f>SUMIF(RawDataDead!$B:$B,$A26,RawDataDead!BT:BT)</f>
        <v>0</v>
      </c>
      <c r="BR26">
        <f>SUMIF(RawDataDead!$B:$B,$A26,RawDataDead!BU:BU)</f>
        <v>0</v>
      </c>
      <c r="BS26">
        <f>SUMIF(RawDataDead!$B:$B,$A26,RawDataDead!BV:BV)</f>
        <v>0</v>
      </c>
      <c r="BT26">
        <f>SUMIF(RawDataDead!$B:$B,$A26,RawDataDead!BW:BW)</f>
        <v>0</v>
      </c>
    </row>
    <row r="27" spans="1:72" ht="15" thickBot="1" x14ac:dyDescent="0.35">
      <c r="A27" s="4" t="s">
        <v>106</v>
      </c>
      <c r="B27">
        <f>SUMIF(RawDataDead!$B:$B,$A27,RawDataDead!E:E)</f>
        <v>0</v>
      </c>
      <c r="C27">
        <f>SUMIF(RawDataDead!$B:$B,$A27,RawDataDead!F:F)</f>
        <v>0</v>
      </c>
      <c r="D27">
        <f>SUMIF(RawDataDead!$B:$B,$A27,RawDataDead!G:G)</f>
        <v>0</v>
      </c>
      <c r="E27">
        <f>SUMIF(RawDataDead!$B:$B,$A27,RawDataDead!H:H)</f>
        <v>0</v>
      </c>
      <c r="F27">
        <f>SUMIF(RawDataDead!$B:$B,$A27,RawDataDead!I:I)</f>
        <v>0</v>
      </c>
      <c r="G27">
        <f>SUMIF(RawDataDead!$B:$B,$A27,RawDataDead!J:J)</f>
        <v>0</v>
      </c>
      <c r="H27">
        <f>SUMIF(RawDataDead!$B:$B,$A27,RawDataDead!K:K)</f>
        <v>0</v>
      </c>
      <c r="I27">
        <f>SUMIF(RawDataDead!$B:$B,$A27,RawDataDead!L:L)</f>
        <v>0</v>
      </c>
      <c r="J27">
        <f>SUMIF(RawDataDead!$B:$B,$A27,RawDataDead!M:M)</f>
        <v>0</v>
      </c>
      <c r="K27">
        <f>SUMIF(RawDataDead!$B:$B,$A27,RawDataDead!N:N)</f>
        <v>0</v>
      </c>
      <c r="L27">
        <f>SUMIF(RawDataDead!$B:$B,$A27,RawDataDead!O:O)</f>
        <v>0</v>
      </c>
      <c r="M27">
        <f>SUMIF(RawDataDead!$B:$B,$A27,RawDataDead!P:P)</f>
        <v>0</v>
      </c>
      <c r="N27">
        <f>SUMIF(RawDataDead!$B:$B,$A27,RawDataDead!Q:Q)</f>
        <v>0</v>
      </c>
      <c r="O27">
        <f>SUMIF(RawDataDead!$B:$B,$A27,RawDataDead!R:R)</f>
        <v>0</v>
      </c>
      <c r="P27">
        <f>SUMIF(RawDataDead!$B:$B,$A27,RawDataDead!S:S)</f>
        <v>0</v>
      </c>
      <c r="Q27">
        <f>SUMIF(RawDataDead!$B:$B,$A27,RawDataDead!T:T)</f>
        <v>0</v>
      </c>
      <c r="R27">
        <f>SUMIF(RawDataDead!$B:$B,$A27,RawDataDead!U:U)</f>
        <v>0</v>
      </c>
      <c r="S27">
        <f>SUMIF(RawDataDead!$B:$B,$A27,RawDataDead!V:V)</f>
        <v>0</v>
      </c>
      <c r="T27">
        <f>SUMIF(RawDataDead!$B:$B,$A27,RawDataDead!W:W)</f>
        <v>0</v>
      </c>
      <c r="U27">
        <f>SUMIF(RawDataDead!$B:$B,$A27,RawDataDead!X:X)</f>
        <v>0</v>
      </c>
      <c r="V27">
        <f>SUMIF(RawDataDead!$B:$B,$A27,RawDataDead!Y:Y)</f>
        <v>0</v>
      </c>
      <c r="W27">
        <f>SUMIF(RawDataDead!$B:$B,$A27,RawDataDead!Z:Z)</f>
        <v>0</v>
      </c>
      <c r="X27">
        <f>SUMIF(RawDataDead!$B:$B,$A27,RawDataDead!AA:AA)</f>
        <v>0</v>
      </c>
      <c r="Y27">
        <f>SUMIF(RawDataDead!$B:$B,$A27,RawDataDead!AB:AB)</f>
        <v>0</v>
      </c>
      <c r="Z27">
        <f>SUMIF(RawDataDead!$B:$B,$A27,RawDataDead!AC:AC)</f>
        <v>0</v>
      </c>
      <c r="AA27">
        <f>SUMIF(RawDataDead!$B:$B,$A27,RawDataDead!AD:AD)</f>
        <v>0</v>
      </c>
      <c r="AB27">
        <f>SUMIF(RawDataDead!$B:$B,$A27,RawDataDead!AE:AE)</f>
        <v>0</v>
      </c>
      <c r="AC27">
        <f>SUMIF(RawDataDead!$B:$B,$A27,RawDataDead!AF:AF)</f>
        <v>0</v>
      </c>
      <c r="AD27">
        <f>SUMIF(RawDataDead!$B:$B,$A27,RawDataDead!AG:AG)</f>
        <v>0</v>
      </c>
      <c r="AE27">
        <f>SUMIF(RawDataDead!$B:$B,$A27,RawDataDead!AH:AH)</f>
        <v>0</v>
      </c>
      <c r="AF27">
        <f>SUMIF(RawDataDead!$B:$B,$A27,RawDataDead!AI:AI)</f>
        <v>0</v>
      </c>
      <c r="AG27">
        <f>SUMIF(RawDataDead!$B:$B,$A27,RawDataDead!AJ:AJ)</f>
        <v>0</v>
      </c>
      <c r="AH27">
        <f>SUMIF(RawDataDead!$B:$B,$A27,RawDataDead!AK:AK)</f>
        <v>0</v>
      </c>
      <c r="AI27">
        <f>SUMIF(RawDataDead!$B:$B,$A27,RawDataDead!AL:AL)</f>
        <v>0</v>
      </c>
      <c r="AJ27">
        <f>SUMIF(RawDataDead!$B:$B,$A27,RawDataDead!AM:AM)</f>
        <v>0</v>
      </c>
      <c r="AK27">
        <f>SUMIF(RawDataDead!$B:$B,$A27,RawDataDead!AN:AN)</f>
        <v>0</v>
      </c>
      <c r="AL27">
        <f>SUMIF(RawDataDead!$B:$B,$A27,RawDataDead!AO:AO)</f>
        <v>0</v>
      </c>
      <c r="AM27">
        <f>SUMIF(RawDataDead!$B:$B,$A27,RawDataDead!AP:AP)</f>
        <v>0</v>
      </c>
      <c r="AN27">
        <f>SUMIF(RawDataDead!$B:$B,$A27,RawDataDead!AQ:AQ)</f>
        <v>0</v>
      </c>
      <c r="AO27">
        <f>SUMIF(RawDataDead!$B:$B,$A27,RawDataDead!AR:AR)</f>
        <v>0</v>
      </c>
      <c r="AP27">
        <f>SUMIF(RawDataDead!$B:$B,$A27,RawDataDead!AS:AS)</f>
        <v>0</v>
      </c>
      <c r="AQ27">
        <f>SUMIF(RawDataDead!$B:$B,$A27,RawDataDead!AT:AT)</f>
        <v>0</v>
      </c>
      <c r="AR27">
        <f>SUMIF(RawDataDead!$B:$B,$A27,RawDataDead!AU:AU)</f>
        <v>0</v>
      </c>
      <c r="AS27">
        <f>SUMIF(RawDataDead!$B:$B,$A27,RawDataDead!AV:AV)</f>
        <v>0</v>
      </c>
      <c r="AT27">
        <f>SUMIF(RawDataDead!$B:$B,$A27,RawDataDead!AW:AW)</f>
        <v>0</v>
      </c>
      <c r="AU27">
        <f>SUMIF(RawDataDead!$B:$B,$A27,RawDataDead!AX:AX)</f>
        <v>0</v>
      </c>
      <c r="AV27">
        <f>SUMIF(RawDataDead!$B:$B,$A27,RawDataDead!AY:AY)</f>
        <v>0</v>
      </c>
      <c r="AW27">
        <f>SUMIF(RawDataDead!$B:$B,$A27,RawDataDead!AZ:AZ)</f>
        <v>0</v>
      </c>
      <c r="AX27">
        <f>SUMIF(RawDataDead!$B:$B,$A27,RawDataDead!BA:BA)</f>
        <v>0</v>
      </c>
      <c r="AY27">
        <f>SUMIF(RawDataDead!$B:$B,$A27,RawDataDead!BB:BB)</f>
        <v>0</v>
      </c>
      <c r="AZ27">
        <f>SUMIF(RawDataDead!$B:$B,$A27,RawDataDead!BC:BC)</f>
        <v>0</v>
      </c>
      <c r="BA27">
        <f>SUMIF(RawDataDead!$B:$B,$A27,RawDataDead!BD:BD)</f>
        <v>0</v>
      </c>
      <c r="BB27">
        <f>SUMIF(RawDataDead!$B:$B,$A27,RawDataDead!BE:BE)</f>
        <v>0</v>
      </c>
      <c r="BC27">
        <f>SUMIF(RawDataDead!$B:$B,$A27,RawDataDead!BF:BF)</f>
        <v>0</v>
      </c>
      <c r="BD27">
        <f>SUMIF(RawDataDead!$B:$B,$A27,RawDataDead!BG:BG)</f>
        <v>0</v>
      </c>
      <c r="BE27">
        <f>SUMIF(RawDataDead!$B:$B,$A27,RawDataDead!BH:BH)</f>
        <v>0</v>
      </c>
      <c r="BF27">
        <f>SUMIF(RawDataDead!$B:$B,$A27,RawDataDead!BI:BI)</f>
        <v>0</v>
      </c>
      <c r="BG27">
        <f>SUMIF(RawDataDead!$B:$B,$A27,RawDataDead!BJ:BJ)</f>
        <v>0</v>
      </c>
      <c r="BH27">
        <f>SUMIF(RawDataDead!$B:$B,$A27,RawDataDead!BK:BK)</f>
        <v>0</v>
      </c>
      <c r="BI27">
        <f>SUMIF(RawDataDead!$B:$B,$A27,RawDataDead!BL:BL)</f>
        <v>0</v>
      </c>
      <c r="BJ27">
        <f>SUMIF(RawDataDead!$B:$B,$A27,RawDataDead!BM:BM)</f>
        <v>0</v>
      </c>
      <c r="BK27">
        <f>SUMIF(RawDataDead!$B:$B,$A27,RawDataDead!BN:BN)</f>
        <v>0</v>
      </c>
      <c r="BL27">
        <f>SUMIF(RawDataDead!$B:$B,$A27,RawDataDead!BO:BO)</f>
        <v>0</v>
      </c>
      <c r="BM27">
        <f>SUMIF(RawDataDead!$B:$B,$A27,RawDataDead!BP:BP)</f>
        <v>0</v>
      </c>
      <c r="BN27">
        <f>SUMIF(RawDataDead!$B:$B,$A27,RawDataDead!BQ:BQ)</f>
        <v>0</v>
      </c>
      <c r="BO27">
        <f>SUMIF(RawDataDead!$B:$B,$A27,RawDataDead!BR:BR)</f>
        <v>0</v>
      </c>
      <c r="BP27">
        <f>SUMIF(RawDataDead!$B:$B,$A27,RawDataDead!BS:BS)</f>
        <v>0</v>
      </c>
      <c r="BQ27">
        <f>SUMIF(RawDataDead!$B:$B,$A27,RawDataDead!BT:BT)</f>
        <v>0</v>
      </c>
      <c r="BR27">
        <f>SUMIF(RawDataDead!$B:$B,$A27,RawDataDead!BU:BU)</f>
        <v>0</v>
      </c>
      <c r="BS27">
        <f>SUMIF(RawDataDead!$B:$B,$A27,RawDataDead!BV:BV)</f>
        <v>0</v>
      </c>
      <c r="BT27">
        <f>SUMIF(RawDataDead!$B:$B,$A27,RawDataDead!BW:BW)</f>
        <v>0</v>
      </c>
    </row>
    <row r="28" spans="1:72" ht="15" thickBot="1" x14ac:dyDescent="0.35">
      <c r="A28" s="3" t="s">
        <v>81</v>
      </c>
      <c r="B28">
        <f>SUMIF(RawDataDead!$B:$B,$A28,RawDataDead!E:E)</f>
        <v>0</v>
      </c>
      <c r="C28">
        <f>SUMIF(RawDataDead!$B:$B,$A28,RawDataDead!F:F)</f>
        <v>0</v>
      </c>
      <c r="D28">
        <f>SUMIF(RawDataDead!$B:$B,$A28,RawDataDead!G:G)</f>
        <v>0</v>
      </c>
      <c r="E28">
        <f>SUMIF(RawDataDead!$B:$B,$A28,RawDataDead!H:H)</f>
        <v>0</v>
      </c>
      <c r="F28">
        <f>SUMIF(RawDataDead!$B:$B,$A28,RawDataDead!I:I)</f>
        <v>0</v>
      </c>
      <c r="G28">
        <f>SUMIF(RawDataDead!$B:$B,$A28,RawDataDead!J:J)</f>
        <v>0</v>
      </c>
      <c r="H28">
        <f>SUMIF(RawDataDead!$B:$B,$A28,RawDataDead!K:K)</f>
        <v>0</v>
      </c>
      <c r="I28">
        <f>SUMIF(RawDataDead!$B:$B,$A28,RawDataDead!L:L)</f>
        <v>0</v>
      </c>
      <c r="J28">
        <f>SUMIF(RawDataDead!$B:$B,$A28,RawDataDead!M:M)</f>
        <v>0</v>
      </c>
      <c r="K28">
        <f>SUMIF(RawDataDead!$B:$B,$A28,RawDataDead!N:N)</f>
        <v>0</v>
      </c>
      <c r="L28">
        <f>SUMIF(RawDataDead!$B:$B,$A28,RawDataDead!O:O)</f>
        <v>0</v>
      </c>
      <c r="M28">
        <f>SUMIF(RawDataDead!$B:$B,$A28,RawDataDead!P:P)</f>
        <v>0</v>
      </c>
      <c r="N28">
        <f>SUMIF(RawDataDead!$B:$B,$A28,RawDataDead!Q:Q)</f>
        <v>0</v>
      </c>
      <c r="O28">
        <f>SUMIF(RawDataDead!$B:$B,$A28,RawDataDead!R:R)</f>
        <v>0</v>
      </c>
      <c r="P28">
        <f>SUMIF(RawDataDead!$B:$B,$A28,RawDataDead!S:S)</f>
        <v>0</v>
      </c>
      <c r="Q28">
        <f>SUMIF(RawDataDead!$B:$B,$A28,RawDataDead!T:T)</f>
        <v>0</v>
      </c>
      <c r="R28">
        <f>SUMIF(RawDataDead!$B:$B,$A28,RawDataDead!U:U)</f>
        <v>0</v>
      </c>
      <c r="S28">
        <f>SUMIF(RawDataDead!$B:$B,$A28,RawDataDead!V:V)</f>
        <v>0</v>
      </c>
      <c r="T28">
        <f>SUMIF(RawDataDead!$B:$B,$A28,RawDataDead!W:W)</f>
        <v>0</v>
      </c>
      <c r="U28">
        <f>SUMIF(RawDataDead!$B:$B,$A28,RawDataDead!X:X)</f>
        <v>0</v>
      </c>
      <c r="V28">
        <f>SUMIF(RawDataDead!$B:$B,$A28,RawDataDead!Y:Y)</f>
        <v>0</v>
      </c>
      <c r="W28">
        <f>SUMIF(RawDataDead!$B:$B,$A28,RawDataDead!Z:Z)</f>
        <v>0</v>
      </c>
      <c r="X28">
        <f>SUMIF(RawDataDead!$B:$B,$A28,RawDataDead!AA:AA)</f>
        <v>0</v>
      </c>
      <c r="Y28">
        <f>SUMIF(RawDataDead!$B:$B,$A28,RawDataDead!AB:AB)</f>
        <v>0</v>
      </c>
      <c r="Z28">
        <f>SUMIF(RawDataDead!$B:$B,$A28,RawDataDead!AC:AC)</f>
        <v>0</v>
      </c>
      <c r="AA28">
        <f>SUMIF(RawDataDead!$B:$B,$A28,RawDataDead!AD:AD)</f>
        <v>0</v>
      </c>
      <c r="AB28">
        <f>SUMIF(RawDataDead!$B:$B,$A28,RawDataDead!AE:AE)</f>
        <v>0</v>
      </c>
      <c r="AC28">
        <f>SUMIF(RawDataDead!$B:$B,$A28,RawDataDead!AF:AF)</f>
        <v>0</v>
      </c>
      <c r="AD28">
        <f>SUMIF(RawDataDead!$B:$B,$A28,RawDataDead!AG:AG)</f>
        <v>0</v>
      </c>
      <c r="AE28">
        <f>SUMIF(RawDataDead!$B:$B,$A28,RawDataDead!AH:AH)</f>
        <v>0</v>
      </c>
      <c r="AF28">
        <f>SUMIF(RawDataDead!$B:$B,$A28,RawDataDead!AI:AI)</f>
        <v>0</v>
      </c>
      <c r="AG28">
        <f>SUMIF(RawDataDead!$B:$B,$A28,RawDataDead!AJ:AJ)</f>
        <v>0</v>
      </c>
      <c r="AH28">
        <f>SUMIF(RawDataDead!$B:$B,$A28,RawDataDead!AK:AK)</f>
        <v>0</v>
      </c>
      <c r="AI28">
        <f>SUMIF(RawDataDead!$B:$B,$A28,RawDataDead!AL:AL)</f>
        <v>0</v>
      </c>
      <c r="AJ28">
        <f>SUMIF(RawDataDead!$B:$B,$A28,RawDataDead!AM:AM)</f>
        <v>0</v>
      </c>
      <c r="AK28">
        <f>SUMIF(RawDataDead!$B:$B,$A28,RawDataDead!AN:AN)</f>
        <v>0</v>
      </c>
      <c r="AL28">
        <f>SUMIF(RawDataDead!$B:$B,$A28,RawDataDead!AO:AO)</f>
        <v>0</v>
      </c>
      <c r="AM28">
        <f>SUMIF(RawDataDead!$B:$B,$A28,RawDataDead!AP:AP)</f>
        <v>0</v>
      </c>
      <c r="AN28">
        <f>SUMIF(RawDataDead!$B:$B,$A28,RawDataDead!AQ:AQ)</f>
        <v>0</v>
      </c>
      <c r="AO28">
        <f>SUMIF(RawDataDead!$B:$B,$A28,RawDataDead!AR:AR)</f>
        <v>0</v>
      </c>
      <c r="AP28">
        <f>SUMIF(RawDataDead!$B:$B,$A28,RawDataDead!AS:AS)</f>
        <v>0</v>
      </c>
      <c r="AQ28">
        <f>SUMIF(RawDataDead!$B:$B,$A28,RawDataDead!AT:AT)</f>
        <v>0</v>
      </c>
      <c r="AR28">
        <f>SUMIF(RawDataDead!$B:$B,$A28,RawDataDead!AU:AU)</f>
        <v>0</v>
      </c>
      <c r="AS28">
        <f>SUMIF(RawDataDead!$B:$B,$A28,RawDataDead!AV:AV)</f>
        <v>0</v>
      </c>
      <c r="AT28">
        <f>SUMIF(RawDataDead!$B:$B,$A28,RawDataDead!AW:AW)</f>
        <v>0</v>
      </c>
      <c r="AU28">
        <f>SUMIF(RawDataDead!$B:$B,$A28,RawDataDead!AX:AX)</f>
        <v>0</v>
      </c>
      <c r="AV28">
        <f>SUMIF(RawDataDead!$B:$B,$A28,RawDataDead!AY:AY)</f>
        <v>0</v>
      </c>
      <c r="AW28">
        <f>SUMIF(RawDataDead!$B:$B,$A28,RawDataDead!AZ:AZ)</f>
        <v>0</v>
      </c>
      <c r="AX28">
        <f>SUMIF(RawDataDead!$B:$B,$A28,RawDataDead!BA:BA)</f>
        <v>0</v>
      </c>
      <c r="AY28">
        <f>SUMIF(RawDataDead!$B:$B,$A28,RawDataDead!BB:BB)</f>
        <v>0</v>
      </c>
      <c r="AZ28">
        <f>SUMIF(RawDataDead!$B:$B,$A28,RawDataDead!BC:BC)</f>
        <v>0</v>
      </c>
      <c r="BA28">
        <f>SUMIF(RawDataDead!$B:$B,$A28,RawDataDead!BD:BD)</f>
        <v>0</v>
      </c>
      <c r="BB28">
        <f>SUMIF(RawDataDead!$B:$B,$A28,RawDataDead!BE:BE)</f>
        <v>0</v>
      </c>
      <c r="BC28">
        <f>SUMIF(RawDataDead!$B:$B,$A28,RawDataDead!BF:BF)</f>
        <v>0</v>
      </c>
      <c r="BD28">
        <f>SUMIF(RawDataDead!$B:$B,$A28,RawDataDead!BG:BG)</f>
        <v>0</v>
      </c>
      <c r="BE28">
        <f>SUMIF(RawDataDead!$B:$B,$A28,RawDataDead!BH:BH)</f>
        <v>0</v>
      </c>
      <c r="BF28">
        <f>SUMIF(RawDataDead!$B:$B,$A28,RawDataDead!BI:BI)</f>
        <v>0</v>
      </c>
      <c r="BG28">
        <f>SUMIF(RawDataDead!$B:$B,$A28,RawDataDead!BJ:BJ)</f>
        <v>0</v>
      </c>
      <c r="BH28">
        <f>SUMIF(RawDataDead!$B:$B,$A28,RawDataDead!BK:BK)</f>
        <v>0</v>
      </c>
      <c r="BI28">
        <f>SUMIF(RawDataDead!$B:$B,$A28,RawDataDead!BL:BL)</f>
        <v>0</v>
      </c>
      <c r="BJ28">
        <f>SUMIF(RawDataDead!$B:$B,$A28,RawDataDead!BM:BM)</f>
        <v>0</v>
      </c>
      <c r="BK28">
        <f>SUMIF(RawDataDead!$B:$B,$A28,RawDataDead!BN:BN)</f>
        <v>0</v>
      </c>
      <c r="BL28">
        <f>SUMIF(RawDataDead!$B:$B,$A28,RawDataDead!BO:BO)</f>
        <v>0</v>
      </c>
      <c r="BM28">
        <f>SUMIF(RawDataDead!$B:$B,$A28,RawDataDead!BP:BP)</f>
        <v>0</v>
      </c>
      <c r="BN28">
        <f>SUMIF(RawDataDead!$B:$B,$A28,RawDataDead!BQ:BQ)</f>
        <v>0</v>
      </c>
      <c r="BO28">
        <f>SUMIF(RawDataDead!$B:$B,$A28,RawDataDead!BR:BR)</f>
        <v>0</v>
      </c>
      <c r="BP28">
        <f>SUMIF(RawDataDead!$B:$B,$A28,RawDataDead!BS:BS)</f>
        <v>0</v>
      </c>
      <c r="BQ28">
        <f>SUMIF(RawDataDead!$B:$B,$A28,RawDataDead!BT:BT)</f>
        <v>0</v>
      </c>
      <c r="BR28">
        <f>SUMIF(RawDataDead!$B:$B,$A28,RawDataDead!BU:BU)</f>
        <v>0</v>
      </c>
      <c r="BS28">
        <f>SUMIF(RawDataDead!$B:$B,$A28,RawDataDead!BV:BV)</f>
        <v>0</v>
      </c>
      <c r="BT28">
        <f>SUMIF(RawDataDead!$B:$B,$A28,RawDataDead!BW:BW)</f>
        <v>0</v>
      </c>
    </row>
    <row r="29" spans="1:72" ht="15" thickBot="1" x14ac:dyDescent="0.35">
      <c r="A29" s="4" t="s">
        <v>108</v>
      </c>
      <c r="B29">
        <f>SUMIF(RawDataDead!$B:$B,$A29,RawDataDead!E:E)</f>
        <v>0</v>
      </c>
      <c r="C29">
        <f>SUMIF(RawDataDead!$B:$B,$A29,RawDataDead!F:F)</f>
        <v>0</v>
      </c>
      <c r="D29">
        <f>SUMIF(RawDataDead!$B:$B,$A29,RawDataDead!G:G)</f>
        <v>0</v>
      </c>
      <c r="E29">
        <f>SUMIF(RawDataDead!$B:$B,$A29,RawDataDead!H:H)</f>
        <v>0</v>
      </c>
      <c r="F29">
        <f>SUMIF(RawDataDead!$B:$B,$A29,RawDataDead!I:I)</f>
        <v>0</v>
      </c>
      <c r="G29">
        <f>SUMIF(RawDataDead!$B:$B,$A29,RawDataDead!J:J)</f>
        <v>0</v>
      </c>
      <c r="H29">
        <f>SUMIF(RawDataDead!$B:$B,$A29,RawDataDead!K:K)</f>
        <v>0</v>
      </c>
      <c r="I29">
        <f>SUMIF(RawDataDead!$B:$B,$A29,RawDataDead!L:L)</f>
        <v>0</v>
      </c>
      <c r="J29">
        <f>SUMIF(RawDataDead!$B:$B,$A29,RawDataDead!M:M)</f>
        <v>0</v>
      </c>
      <c r="K29">
        <f>SUMIF(RawDataDead!$B:$B,$A29,RawDataDead!N:N)</f>
        <v>0</v>
      </c>
      <c r="L29">
        <f>SUMIF(RawDataDead!$B:$B,$A29,RawDataDead!O:O)</f>
        <v>0</v>
      </c>
      <c r="M29">
        <f>SUMIF(RawDataDead!$B:$B,$A29,RawDataDead!P:P)</f>
        <v>0</v>
      </c>
      <c r="N29">
        <f>SUMIF(RawDataDead!$B:$B,$A29,RawDataDead!Q:Q)</f>
        <v>0</v>
      </c>
      <c r="O29">
        <f>SUMIF(RawDataDead!$B:$B,$A29,RawDataDead!R:R)</f>
        <v>0</v>
      </c>
      <c r="P29">
        <f>SUMIF(RawDataDead!$B:$B,$A29,RawDataDead!S:S)</f>
        <v>0</v>
      </c>
      <c r="Q29">
        <f>SUMIF(RawDataDead!$B:$B,$A29,RawDataDead!T:T)</f>
        <v>0</v>
      </c>
      <c r="R29">
        <f>SUMIF(RawDataDead!$B:$B,$A29,RawDataDead!U:U)</f>
        <v>0</v>
      </c>
      <c r="S29">
        <f>SUMIF(RawDataDead!$B:$B,$A29,RawDataDead!V:V)</f>
        <v>0</v>
      </c>
      <c r="T29">
        <f>SUMIF(RawDataDead!$B:$B,$A29,RawDataDead!W:W)</f>
        <v>0</v>
      </c>
      <c r="U29">
        <f>SUMIF(RawDataDead!$B:$B,$A29,RawDataDead!X:X)</f>
        <v>0</v>
      </c>
      <c r="V29">
        <f>SUMIF(RawDataDead!$B:$B,$A29,RawDataDead!Y:Y)</f>
        <v>0</v>
      </c>
      <c r="W29">
        <f>SUMIF(RawDataDead!$B:$B,$A29,RawDataDead!Z:Z)</f>
        <v>0</v>
      </c>
      <c r="X29">
        <f>SUMIF(RawDataDead!$B:$B,$A29,RawDataDead!AA:AA)</f>
        <v>0</v>
      </c>
      <c r="Y29">
        <f>SUMIF(RawDataDead!$B:$B,$A29,RawDataDead!AB:AB)</f>
        <v>0</v>
      </c>
      <c r="Z29">
        <f>SUMIF(RawDataDead!$B:$B,$A29,RawDataDead!AC:AC)</f>
        <v>0</v>
      </c>
      <c r="AA29">
        <f>SUMIF(RawDataDead!$B:$B,$A29,RawDataDead!AD:AD)</f>
        <v>0</v>
      </c>
      <c r="AB29">
        <f>SUMIF(RawDataDead!$B:$B,$A29,RawDataDead!AE:AE)</f>
        <v>0</v>
      </c>
      <c r="AC29">
        <f>SUMIF(RawDataDead!$B:$B,$A29,RawDataDead!AF:AF)</f>
        <v>0</v>
      </c>
      <c r="AD29">
        <f>SUMIF(RawDataDead!$B:$B,$A29,RawDataDead!AG:AG)</f>
        <v>0</v>
      </c>
      <c r="AE29">
        <f>SUMIF(RawDataDead!$B:$B,$A29,RawDataDead!AH:AH)</f>
        <v>0</v>
      </c>
      <c r="AF29">
        <f>SUMIF(RawDataDead!$B:$B,$A29,RawDataDead!AI:AI)</f>
        <v>0</v>
      </c>
      <c r="AG29">
        <f>SUMIF(RawDataDead!$B:$B,$A29,RawDataDead!AJ:AJ)</f>
        <v>0</v>
      </c>
      <c r="AH29">
        <f>SUMIF(RawDataDead!$B:$B,$A29,RawDataDead!AK:AK)</f>
        <v>0</v>
      </c>
      <c r="AI29">
        <f>SUMIF(RawDataDead!$B:$B,$A29,RawDataDead!AL:AL)</f>
        <v>0</v>
      </c>
      <c r="AJ29">
        <f>SUMIF(RawDataDead!$B:$B,$A29,RawDataDead!AM:AM)</f>
        <v>0</v>
      </c>
      <c r="AK29">
        <f>SUMIF(RawDataDead!$B:$B,$A29,RawDataDead!AN:AN)</f>
        <v>0</v>
      </c>
      <c r="AL29">
        <f>SUMIF(RawDataDead!$B:$B,$A29,RawDataDead!AO:AO)</f>
        <v>0</v>
      </c>
      <c r="AM29">
        <f>SUMIF(RawDataDead!$B:$B,$A29,RawDataDead!AP:AP)</f>
        <v>0</v>
      </c>
      <c r="AN29">
        <f>SUMIF(RawDataDead!$B:$B,$A29,RawDataDead!AQ:AQ)</f>
        <v>0</v>
      </c>
      <c r="AO29">
        <f>SUMIF(RawDataDead!$B:$B,$A29,RawDataDead!AR:AR)</f>
        <v>0</v>
      </c>
      <c r="AP29">
        <f>SUMIF(RawDataDead!$B:$B,$A29,RawDataDead!AS:AS)</f>
        <v>0</v>
      </c>
      <c r="AQ29">
        <f>SUMIF(RawDataDead!$B:$B,$A29,RawDataDead!AT:AT)</f>
        <v>0</v>
      </c>
      <c r="AR29">
        <f>SUMIF(RawDataDead!$B:$B,$A29,RawDataDead!AU:AU)</f>
        <v>0</v>
      </c>
      <c r="AS29">
        <f>SUMIF(RawDataDead!$B:$B,$A29,RawDataDead!AV:AV)</f>
        <v>0</v>
      </c>
      <c r="AT29">
        <f>SUMIF(RawDataDead!$B:$B,$A29,RawDataDead!AW:AW)</f>
        <v>0</v>
      </c>
      <c r="AU29">
        <f>SUMIF(RawDataDead!$B:$B,$A29,RawDataDead!AX:AX)</f>
        <v>0</v>
      </c>
      <c r="AV29">
        <f>SUMIF(RawDataDead!$B:$B,$A29,RawDataDead!AY:AY)</f>
        <v>0</v>
      </c>
      <c r="AW29">
        <f>SUMIF(RawDataDead!$B:$B,$A29,RawDataDead!AZ:AZ)</f>
        <v>0</v>
      </c>
      <c r="AX29">
        <f>SUMIF(RawDataDead!$B:$B,$A29,RawDataDead!BA:BA)</f>
        <v>0</v>
      </c>
      <c r="AY29">
        <f>SUMIF(RawDataDead!$B:$B,$A29,RawDataDead!BB:BB)</f>
        <v>0</v>
      </c>
      <c r="AZ29">
        <f>SUMIF(RawDataDead!$B:$B,$A29,RawDataDead!BC:BC)</f>
        <v>0</v>
      </c>
      <c r="BA29">
        <f>SUMIF(RawDataDead!$B:$B,$A29,RawDataDead!BD:BD)</f>
        <v>0</v>
      </c>
      <c r="BB29">
        <f>SUMIF(RawDataDead!$B:$B,$A29,RawDataDead!BE:BE)</f>
        <v>0</v>
      </c>
      <c r="BC29">
        <f>SUMIF(RawDataDead!$B:$B,$A29,RawDataDead!BF:BF)</f>
        <v>0</v>
      </c>
      <c r="BD29">
        <f>SUMIF(RawDataDead!$B:$B,$A29,RawDataDead!BG:BG)</f>
        <v>0</v>
      </c>
      <c r="BE29">
        <f>SUMIF(RawDataDead!$B:$B,$A29,RawDataDead!BH:BH)</f>
        <v>1</v>
      </c>
      <c r="BF29">
        <f>SUMIF(RawDataDead!$B:$B,$A29,RawDataDead!BI:BI)</f>
        <v>0</v>
      </c>
      <c r="BG29">
        <f>SUMIF(RawDataDead!$B:$B,$A29,RawDataDead!BJ:BJ)</f>
        <v>0</v>
      </c>
      <c r="BH29">
        <f>SUMIF(RawDataDead!$B:$B,$A29,RawDataDead!BK:BK)</f>
        <v>0</v>
      </c>
      <c r="BI29">
        <f>SUMIF(RawDataDead!$B:$B,$A29,RawDataDead!BL:BL)</f>
        <v>0</v>
      </c>
      <c r="BJ29">
        <f>SUMIF(RawDataDead!$B:$B,$A29,RawDataDead!BM:BM)</f>
        <v>0</v>
      </c>
      <c r="BK29">
        <f>SUMIF(RawDataDead!$B:$B,$A29,RawDataDead!BN:BN)</f>
        <v>0</v>
      </c>
      <c r="BL29">
        <f>SUMIF(RawDataDead!$B:$B,$A29,RawDataDead!BO:BO)</f>
        <v>0</v>
      </c>
      <c r="BM29">
        <f>SUMIF(RawDataDead!$B:$B,$A29,RawDataDead!BP:BP)</f>
        <v>0</v>
      </c>
      <c r="BN29">
        <f>SUMIF(RawDataDead!$B:$B,$A29,RawDataDead!BQ:BQ)</f>
        <v>0</v>
      </c>
      <c r="BO29">
        <f>SUMIF(RawDataDead!$B:$B,$A29,RawDataDead!BR:BR)</f>
        <v>0</v>
      </c>
      <c r="BP29">
        <f>SUMIF(RawDataDead!$B:$B,$A29,RawDataDead!BS:BS)</f>
        <v>0</v>
      </c>
      <c r="BQ29">
        <f>SUMIF(RawDataDead!$B:$B,$A29,RawDataDead!BT:BT)</f>
        <v>0</v>
      </c>
      <c r="BR29">
        <f>SUMIF(RawDataDead!$B:$B,$A29,RawDataDead!BU:BU)</f>
        <v>0</v>
      </c>
      <c r="BS29">
        <f>SUMIF(RawDataDead!$B:$B,$A29,RawDataDead!BV:BV)</f>
        <v>0</v>
      </c>
      <c r="BT29">
        <f>SUMIF(RawDataDead!$B:$B,$A29,RawDataDead!BW:BW)</f>
        <v>0</v>
      </c>
    </row>
    <row r="30" spans="1:72" ht="15" thickBot="1" x14ac:dyDescent="0.35">
      <c r="A30" s="3" t="s">
        <v>369</v>
      </c>
      <c r="B30">
        <f>SUMIF(RawDataDead!$B:$B,$A30,RawDataDead!E:E)</f>
        <v>0</v>
      </c>
      <c r="C30">
        <f>SUMIF(RawDataDead!$B:$B,$A30,RawDataDead!F:F)</f>
        <v>0</v>
      </c>
      <c r="D30">
        <f>SUMIF(RawDataDead!$B:$B,$A30,RawDataDead!G:G)</f>
        <v>0</v>
      </c>
      <c r="E30">
        <f>SUMIF(RawDataDead!$B:$B,$A30,RawDataDead!H:H)</f>
        <v>0</v>
      </c>
      <c r="F30">
        <f>SUMIF(RawDataDead!$B:$B,$A30,RawDataDead!I:I)</f>
        <v>0</v>
      </c>
      <c r="G30">
        <f>SUMIF(RawDataDead!$B:$B,$A30,RawDataDead!J:J)</f>
        <v>0</v>
      </c>
      <c r="H30">
        <f>SUMIF(RawDataDead!$B:$B,$A30,RawDataDead!K:K)</f>
        <v>0</v>
      </c>
      <c r="I30">
        <f>SUMIF(RawDataDead!$B:$B,$A30,RawDataDead!L:L)</f>
        <v>0</v>
      </c>
      <c r="J30">
        <f>SUMIF(RawDataDead!$B:$B,$A30,RawDataDead!M:M)</f>
        <v>0</v>
      </c>
      <c r="K30">
        <f>SUMIF(RawDataDead!$B:$B,$A30,RawDataDead!N:N)</f>
        <v>0</v>
      </c>
      <c r="L30">
        <f>SUMIF(RawDataDead!$B:$B,$A30,RawDataDead!O:O)</f>
        <v>0</v>
      </c>
      <c r="M30">
        <f>SUMIF(RawDataDead!$B:$B,$A30,RawDataDead!P:P)</f>
        <v>0</v>
      </c>
      <c r="N30">
        <f>SUMIF(RawDataDead!$B:$B,$A30,RawDataDead!Q:Q)</f>
        <v>0</v>
      </c>
      <c r="O30">
        <f>SUMIF(RawDataDead!$B:$B,$A30,RawDataDead!R:R)</f>
        <v>0</v>
      </c>
      <c r="P30">
        <f>SUMIF(RawDataDead!$B:$B,$A30,RawDataDead!S:S)</f>
        <v>0</v>
      </c>
      <c r="Q30">
        <f>SUMIF(RawDataDead!$B:$B,$A30,RawDataDead!T:T)</f>
        <v>0</v>
      </c>
      <c r="R30">
        <f>SUMIF(RawDataDead!$B:$B,$A30,RawDataDead!U:U)</f>
        <v>0</v>
      </c>
      <c r="S30">
        <f>SUMIF(RawDataDead!$B:$B,$A30,RawDataDead!V:V)</f>
        <v>0</v>
      </c>
      <c r="T30">
        <f>SUMIF(RawDataDead!$B:$B,$A30,RawDataDead!W:W)</f>
        <v>0</v>
      </c>
      <c r="U30">
        <f>SUMIF(RawDataDead!$B:$B,$A30,RawDataDead!X:X)</f>
        <v>0</v>
      </c>
      <c r="V30">
        <f>SUMIF(RawDataDead!$B:$B,$A30,RawDataDead!Y:Y)</f>
        <v>0</v>
      </c>
      <c r="W30">
        <f>SUMIF(RawDataDead!$B:$B,$A30,RawDataDead!Z:Z)</f>
        <v>0</v>
      </c>
      <c r="X30">
        <f>SUMIF(RawDataDead!$B:$B,$A30,RawDataDead!AA:AA)</f>
        <v>0</v>
      </c>
      <c r="Y30">
        <f>SUMIF(RawDataDead!$B:$B,$A30,RawDataDead!AB:AB)</f>
        <v>0</v>
      </c>
      <c r="Z30">
        <f>SUMIF(RawDataDead!$B:$B,$A30,RawDataDead!AC:AC)</f>
        <v>0</v>
      </c>
      <c r="AA30">
        <f>SUMIF(RawDataDead!$B:$B,$A30,RawDataDead!AD:AD)</f>
        <v>0</v>
      </c>
      <c r="AB30">
        <f>SUMIF(RawDataDead!$B:$B,$A30,RawDataDead!AE:AE)</f>
        <v>0</v>
      </c>
      <c r="AC30">
        <f>SUMIF(RawDataDead!$B:$B,$A30,RawDataDead!AF:AF)</f>
        <v>0</v>
      </c>
      <c r="AD30">
        <f>SUMIF(RawDataDead!$B:$B,$A30,RawDataDead!AG:AG)</f>
        <v>0</v>
      </c>
      <c r="AE30">
        <f>SUMIF(RawDataDead!$B:$B,$A30,RawDataDead!AH:AH)</f>
        <v>0</v>
      </c>
      <c r="AF30">
        <f>SUMIF(RawDataDead!$B:$B,$A30,RawDataDead!AI:AI)</f>
        <v>0</v>
      </c>
      <c r="AG30">
        <f>SUMIF(RawDataDead!$B:$B,$A30,RawDataDead!AJ:AJ)</f>
        <v>0</v>
      </c>
      <c r="AH30">
        <f>SUMIF(RawDataDead!$B:$B,$A30,RawDataDead!AK:AK)</f>
        <v>0</v>
      </c>
      <c r="AI30">
        <f>SUMIF(RawDataDead!$B:$B,$A30,RawDataDead!AL:AL)</f>
        <v>0</v>
      </c>
      <c r="AJ30">
        <f>SUMIF(RawDataDead!$B:$B,$A30,RawDataDead!AM:AM)</f>
        <v>0</v>
      </c>
      <c r="AK30">
        <f>SUMIF(RawDataDead!$B:$B,$A30,RawDataDead!AN:AN)</f>
        <v>0</v>
      </c>
      <c r="AL30">
        <f>SUMIF(RawDataDead!$B:$B,$A30,RawDataDead!AO:AO)</f>
        <v>0</v>
      </c>
      <c r="AM30">
        <f>SUMIF(RawDataDead!$B:$B,$A30,RawDataDead!AP:AP)</f>
        <v>0</v>
      </c>
      <c r="AN30">
        <f>SUMIF(RawDataDead!$B:$B,$A30,RawDataDead!AQ:AQ)</f>
        <v>0</v>
      </c>
      <c r="AO30">
        <f>SUMIF(RawDataDead!$B:$B,$A30,RawDataDead!AR:AR)</f>
        <v>0</v>
      </c>
      <c r="AP30">
        <f>SUMIF(RawDataDead!$B:$B,$A30,RawDataDead!AS:AS)</f>
        <v>0</v>
      </c>
      <c r="AQ30">
        <f>SUMIF(RawDataDead!$B:$B,$A30,RawDataDead!AT:AT)</f>
        <v>0</v>
      </c>
      <c r="AR30">
        <f>SUMIF(RawDataDead!$B:$B,$A30,RawDataDead!AU:AU)</f>
        <v>0</v>
      </c>
      <c r="AS30">
        <f>SUMIF(RawDataDead!$B:$B,$A30,RawDataDead!AV:AV)</f>
        <v>0</v>
      </c>
      <c r="AT30">
        <f>SUMIF(RawDataDead!$B:$B,$A30,RawDataDead!AW:AW)</f>
        <v>0</v>
      </c>
      <c r="AU30">
        <f>SUMIF(RawDataDead!$B:$B,$A30,RawDataDead!AX:AX)</f>
        <v>0</v>
      </c>
      <c r="AV30">
        <f>SUMIF(RawDataDead!$B:$B,$A30,RawDataDead!AY:AY)</f>
        <v>0</v>
      </c>
      <c r="AW30">
        <f>SUMIF(RawDataDead!$B:$B,$A30,RawDataDead!AZ:AZ)</f>
        <v>0</v>
      </c>
      <c r="AX30">
        <f>SUMIF(RawDataDead!$B:$B,$A30,RawDataDead!BA:BA)</f>
        <v>0</v>
      </c>
      <c r="AY30">
        <f>SUMIF(RawDataDead!$B:$B,$A30,RawDataDead!BB:BB)</f>
        <v>0</v>
      </c>
      <c r="AZ30">
        <f>SUMIF(RawDataDead!$B:$B,$A30,RawDataDead!BC:BC)</f>
        <v>0</v>
      </c>
      <c r="BA30">
        <f>SUMIF(RawDataDead!$B:$B,$A30,RawDataDead!BD:BD)</f>
        <v>0</v>
      </c>
      <c r="BB30">
        <f>SUMIF(RawDataDead!$B:$B,$A30,RawDataDead!BE:BE)</f>
        <v>0</v>
      </c>
      <c r="BC30">
        <f>SUMIF(RawDataDead!$B:$B,$A30,RawDataDead!BF:BF)</f>
        <v>0</v>
      </c>
      <c r="BD30">
        <f>SUMIF(RawDataDead!$B:$B,$A30,RawDataDead!BG:BG)</f>
        <v>0</v>
      </c>
      <c r="BE30">
        <f>SUMIF(RawDataDead!$B:$B,$A30,RawDataDead!BH:BH)</f>
        <v>0</v>
      </c>
      <c r="BF30">
        <f>SUMIF(RawDataDead!$B:$B,$A30,RawDataDead!BI:BI)</f>
        <v>0</v>
      </c>
      <c r="BG30">
        <f>SUMIF(RawDataDead!$B:$B,$A30,RawDataDead!BJ:BJ)</f>
        <v>0</v>
      </c>
      <c r="BH30">
        <f>SUMIF(RawDataDead!$B:$B,$A30,RawDataDead!BK:BK)</f>
        <v>0</v>
      </c>
      <c r="BI30">
        <f>SUMIF(RawDataDead!$B:$B,$A30,RawDataDead!BL:BL)</f>
        <v>0</v>
      </c>
      <c r="BJ30">
        <f>SUMIF(RawDataDead!$B:$B,$A30,RawDataDead!BM:BM)</f>
        <v>0</v>
      </c>
      <c r="BK30">
        <f>SUMIF(RawDataDead!$B:$B,$A30,RawDataDead!BN:BN)</f>
        <v>0</v>
      </c>
      <c r="BL30">
        <f>SUMIF(RawDataDead!$B:$B,$A30,RawDataDead!BO:BO)</f>
        <v>0</v>
      </c>
      <c r="BM30">
        <f>SUMIF(RawDataDead!$B:$B,$A30,RawDataDead!BP:BP)</f>
        <v>0</v>
      </c>
      <c r="BN30">
        <f>SUMIF(RawDataDead!$B:$B,$A30,RawDataDead!BQ:BQ)</f>
        <v>0</v>
      </c>
      <c r="BO30">
        <f>SUMIF(RawDataDead!$B:$B,$A30,RawDataDead!BR:BR)</f>
        <v>0</v>
      </c>
      <c r="BP30">
        <f>SUMIF(RawDataDead!$B:$B,$A30,RawDataDead!BS:BS)</f>
        <v>0</v>
      </c>
      <c r="BQ30">
        <f>SUMIF(RawDataDead!$B:$B,$A30,RawDataDead!BT:BT)</f>
        <v>0</v>
      </c>
      <c r="BR30">
        <f>SUMIF(RawDataDead!$B:$B,$A30,RawDataDead!BU:BU)</f>
        <v>0</v>
      </c>
      <c r="BS30">
        <f>SUMIF(RawDataDead!$B:$B,$A30,RawDataDead!BV:BV)</f>
        <v>0</v>
      </c>
      <c r="BT30">
        <f>SUMIF(RawDataDead!$B:$B,$A30,RawDataDead!BW:BW)</f>
        <v>0</v>
      </c>
    </row>
    <row r="31" spans="1:72" ht="15" thickBot="1" x14ac:dyDescent="0.35">
      <c r="A31" s="4" t="s">
        <v>168</v>
      </c>
      <c r="B31">
        <f>SUMIF(RawDataDead!$B:$B,$A31,RawDataDead!E:E)</f>
        <v>0</v>
      </c>
      <c r="C31">
        <f>SUMIF(RawDataDead!$B:$B,$A31,RawDataDead!F:F)</f>
        <v>0</v>
      </c>
      <c r="D31">
        <f>SUMIF(RawDataDead!$B:$B,$A31,RawDataDead!G:G)</f>
        <v>0</v>
      </c>
      <c r="E31">
        <f>SUMIF(RawDataDead!$B:$B,$A31,RawDataDead!H:H)</f>
        <v>0</v>
      </c>
      <c r="F31">
        <f>SUMIF(RawDataDead!$B:$B,$A31,RawDataDead!I:I)</f>
        <v>0</v>
      </c>
      <c r="G31">
        <f>SUMIF(RawDataDead!$B:$B,$A31,RawDataDead!J:J)</f>
        <v>0</v>
      </c>
      <c r="H31">
        <f>SUMIF(RawDataDead!$B:$B,$A31,RawDataDead!K:K)</f>
        <v>0</v>
      </c>
      <c r="I31">
        <f>SUMIF(RawDataDead!$B:$B,$A31,RawDataDead!L:L)</f>
        <v>0</v>
      </c>
      <c r="J31">
        <f>SUMIF(RawDataDead!$B:$B,$A31,RawDataDead!M:M)</f>
        <v>0</v>
      </c>
      <c r="K31">
        <f>SUMIF(RawDataDead!$B:$B,$A31,RawDataDead!N:N)</f>
        <v>0</v>
      </c>
      <c r="L31">
        <f>SUMIF(RawDataDead!$B:$B,$A31,RawDataDead!O:O)</f>
        <v>0</v>
      </c>
      <c r="M31">
        <f>SUMIF(RawDataDead!$B:$B,$A31,RawDataDead!P:P)</f>
        <v>0</v>
      </c>
      <c r="N31">
        <f>SUMIF(RawDataDead!$B:$B,$A31,RawDataDead!Q:Q)</f>
        <v>0</v>
      </c>
      <c r="O31">
        <f>SUMIF(RawDataDead!$B:$B,$A31,RawDataDead!R:R)</f>
        <v>0</v>
      </c>
      <c r="P31">
        <f>SUMIF(RawDataDead!$B:$B,$A31,RawDataDead!S:S)</f>
        <v>0</v>
      </c>
      <c r="Q31">
        <f>SUMIF(RawDataDead!$B:$B,$A31,RawDataDead!T:T)</f>
        <v>0</v>
      </c>
      <c r="R31">
        <f>SUMIF(RawDataDead!$B:$B,$A31,RawDataDead!U:U)</f>
        <v>0</v>
      </c>
      <c r="S31">
        <f>SUMIF(RawDataDead!$B:$B,$A31,RawDataDead!V:V)</f>
        <v>0</v>
      </c>
      <c r="T31">
        <f>SUMIF(RawDataDead!$B:$B,$A31,RawDataDead!W:W)</f>
        <v>0</v>
      </c>
      <c r="U31">
        <f>SUMIF(RawDataDead!$B:$B,$A31,RawDataDead!X:X)</f>
        <v>0</v>
      </c>
      <c r="V31">
        <f>SUMIF(RawDataDead!$B:$B,$A31,RawDataDead!Y:Y)</f>
        <v>0</v>
      </c>
      <c r="W31">
        <f>SUMIF(RawDataDead!$B:$B,$A31,RawDataDead!Z:Z)</f>
        <v>0</v>
      </c>
      <c r="X31">
        <f>SUMIF(RawDataDead!$B:$B,$A31,RawDataDead!AA:AA)</f>
        <v>0</v>
      </c>
      <c r="Y31">
        <f>SUMIF(RawDataDead!$B:$B,$A31,RawDataDead!AB:AB)</f>
        <v>0</v>
      </c>
      <c r="Z31">
        <f>SUMIF(RawDataDead!$B:$B,$A31,RawDataDead!AC:AC)</f>
        <v>0</v>
      </c>
      <c r="AA31">
        <f>SUMIF(RawDataDead!$B:$B,$A31,RawDataDead!AD:AD)</f>
        <v>0</v>
      </c>
      <c r="AB31">
        <f>SUMIF(RawDataDead!$B:$B,$A31,RawDataDead!AE:AE)</f>
        <v>0</v>
      </c>
      <c r="AC31">
        <f>SUMIF(RawDataDead!$B:$B,$A31,RawDataDead!AF:AF)</f>
        <v>0</v>
      </c>
      <c r="AD31">
        <f>SUMIF(RawDataDead!$B:$B,$A31,RawDataDead!AG:AG)</f>
        <v>0</v>
      </c>
      <c r="AE31">
        <f>SUMIF(RawDataDead!$B:$B,$A31,RawDataDead!AH:AH)</f>
        <v>0</v>
      </c>
      <c r="AF31">
        <f>SUMIF(RawDataDead!$B:$B,$A31,RawDataDead!AI:AI)</f>
        <v>0</v>
      </c>
      <c r="AG31">
        <f>SUMIF(RawDataDead!$B:$B,$A31,RawDataDead!AJ:AJ)</f>
        <v>0</v>
      </c>
      <c r="AH31">
        <f>SUMIF(RawDataDead!$B:$B,$A31,RawDataDead!AK:AK)</f>
        <v>0</v>
      </c>
      <c r="AI31">
        <f>SUMIF(RawDataDead!$B:$B,$A31,RawDataDead!AL:AL)</f>
        <v>0</v>
      </c>
      <c r="AJ31">
        <f>SUMIF(RawDataDead!$B:$B,$A31,RawDataDead!AM:AM)</f>
        <v>0</v>
      </c>
      <c r="AK31">
        <f>SUMIF(RawDataDead!$B:$B,$A31,RawDataDead!AN:AN)</f>
        <v>0</v>
      </c>
      <c r="AL31">
        <f>SUMIF(RawDataDead!$B:$B,$A31,RawDataDead!AO:AO)</f>
        <v>0</v>
      </c>
      <c r="AM31">
        <f>SUMIF(RawDataDead!$B:$B,$A31,RawDataDead!AP:AP)</f>
        <v>0</v>
      </c>
      <c r="AN31">
        <f>SUMIF(RawDataDead!$B:$B,$A31,RawDataDead!AQ:AQ)</f>
        <v>0</v>
      </c>
      <c r="AO31">
        <f>SUMIF(RawDataDead!$B:$B,$A31,RawDataDead!AR:AR)</f>
        <v>0</v>
      </c>
      <c r="AP31">
        <f>SUMIF(RawDataDead!$B:$B,$A31,RawDataDead!AS:AS)</f>
        <v>0</v>
      </c>
      <c r="AQ31">
        <f>SUMIF(RawDataDead!$B:$B,$A31,RawDataDead!AT:AT)</f>
        <v>0</v>
      </c>
      <c r="AR31">
        <f>SUMIF(RawDataDead!$B:$B,$A31,RawDataDead!AU:AU)</f>
        <v>0</v>
      </c>
      <c r="AS31">
        <f>SUMIF(RawDataDead!$B:$B,$A31,RawDataDead!AV:AV)</f>
        <v>0</v>
      </c>
      <c r="AT31">
        <f>SUMIF(RawDataDead!$B:$B,$A31,RawDataDead!AW:AW)</f>
        <v>0</v>
      </c>
      <c r="AU31">
        <f>SUMIF(RawDataDead!$B:$B,$A31,RawDataDead!AX:AX)</f>
        <v>0</v>
      </c>
      <c r="AV31">
        <f>SUMIF(RawDataDead!$B:$B,$A31,RawDataDead!AY:AY)</f>
        <v>0</v>
      </c>
      <c r="AW31">
        <f>SUMIF(RawDataDead!$B:$B,$A31,RawDataDead!AZ:AZ)</f>
        <v>0</v>
      </c>
      <c r="AX31">
        <f>SUMIF(RawDataDead!$B:$B,$A31,RawDataDead!BA:BA)</f>
        <v>0</v>
      </c>
      <c r="AY31">
        <f>SUMIF(RawDataDead!$B:$B,$A31,RawDataDead!BB:BB)</f>
        <v>0</v>
      </c>
      <c r="AZ31">
        <f>SUMIF(RawDataDead!$B:$B,$A31,RawDataDead!BC:BC)</f>
        <v>0</v>
      </c>
      <c r="BA31">
        <f>SUMIF(RawDataDead!$B:$B,$A31,RawDataDead!BD:BD)</f>
        <v>0</v>
      </c>
      <c r="BB31">
        <f>SUMIF(RawDataDead!$B:$B,$A31,RawDataDead!BE:BE)</f>
        <v>1</v>
      </c>
      <c r="BC31">
        <f>SUMIF(RawDataDead!$B:$B,$A31,RawDataDead!BF:BF)</f>
        <v>1</v>
      </c>
      <c r="BD31">
        <f>SUMIF(RawDataDead!$B:$B,$A31,RawDataDead!BG:BG)</f>
        <v>1</v>
      </c>
      <c r="BE31">
        <f>SUMIF(RawDataDead!$B:$B,$A31,RawDataDead!BH:BH)</f>
        <v>1</v>
      </c>
      <c r="BF31">
        <f>SUMIF(RawDataDead!$B:$B,$A31,RawDataDead!BI:BI)</f>
        <v>0</v>
      </c>
      <c r="BG31">
        <f>SUMIF(RawDataDead!$B:$B,$A31,RawDataDead!BJ:BJ)</f>
        <v>0</v>
      </c>
      <c r="BH31">
        <f>SUMIF(RawDataDead!$B:$B,$A31,RawDataDead!BK:BK)</f>
        <v>0</v>
      </c>
      <c r="BI31">
        <f>SUMIF(RawDataDead!$B:$B,$A31,RawDataDead!BL:BL)</f>
        <v>0</v>
      </c>
      <c r="BJ31">
        <f>SUMIF(RawDataDead!$B:$B,$A31,RawDataDead!BM:BM)</f>
        <v>0</v>
      </c>
      <c r="BK31">
        <f>SUMIF(RawDataDead!$B:$B,$A31,RawDataDead!BN:BN)</f>
        <v>0</v>
      </c>
      <c r="BL31">
        <f>SUMIF(RawDataDead!$B:$B,$A31,RawDataDead!BO:BO)</f>
        <v>0</v>
      </c>
      <c r="BM31">
        <f>SUMIF(RawDataDead!$B:$B,$A31,RawDataDead!BP:BP)</f>
        <v>0</v>
      </c>
      <c r="BN31">
        <f>SUMIF(RawDataDead!$B:$B,$A31,RawDataDead!BQ:BQ)</f>
        <v>0</v>
      </c>
      <c r="BO31">
        <f>SUMIF(RawDataDead!$B:$B,$A31,RawDataDead!BR:BR)</f>
        <v>0</v>
      </c>
      <c r="BP31">
        <f>SUMIF(RawDataDead!$B:$B,$A31,RawDataDead!BS:BS)</f>
        <v>0</v>
      </c>
      <c r="BQ31">
        <f>SUMIF(RawDataDead!$B:$B,$A31,RawDataDead!BT:BT)</f>
        <v>0</v>
      </c>
      <c r="BR31">
        <f>SUMIF(RawDataDead!$B:$B,$A31,RawDataDead!BU:BU)</f>
        <v>0</v>
      </c>
      <c r="BS31">
        <f>SUMIF(RawDataDead!$B:$B,$A31,RawDataDead!BV:BV)</f>
        <v>0</v>
      </c>
      <c r="BT31">
        <f>SUMIF(RawDataDead!$B:$B,$A31,RawDataDead!BW:BW)</f>
        <v>0</v>
      </c>
    </row>
    <row r="32" spans="1:72" ht="15" thickBot="1" x14ac:dyDescent="0.35">
      <c r="A32" s="4" t="s">
        <v>119</v>
      </c>
      <c r="B32">
        <f>SUMIF(RawDataDead!$B:$B,$A32,RawDataDead!E:E)</f>
        <v>0</v>
      </c>
      <c r="C32">
        <f>SUMIF(RawDataDead!$B:$B,$A32,RawDataDead!F:F)</f>
        <v>0</v>
      </c>
      <c r="D32">
        <f>SUMIF(RawDataDead!$B:$B,$A32,RawDataDead!G:G)</f>
        <v>0</v>
      </c>
      <c r="E32">
        <f>SUMIF(RawDataDead!$B:$B,$A32,RawDataDead!H:H)</f>
        <v>0</v>
      </c>
      <c r="F32">
        <f>SUMIF(RawDataDead!$B:$B,$A32,RawDataDead!I:I)</f>
        <v>0</v>
      </c>
      <c r="G32">
        <f>SUMIF(RawDataDead!$B:$B,$A32,RawDataDead!J:J)</f>
        <v>0</v>
      </c>
      <c r="H32">
        <f>SUMIF(RawDataDead!$B:$B,$A32,RawDataDead!K:K)</f>
        <v>0</v>
      </c>
      <c r="I32">
        <f>SUMIF(RawDataDead!$B:$B,$A32,RawDataDead!L:L)</f>
        <v>0</v>
      </c>
      <c r="J32">
        <f>SUMIF(RawDataDead!$B:$B,$A32,RawDataDead!M:M)</f>
        <v>0</v>
      </c>
      <c r="K32">
        <f>SUMIF(RawDataDead!$B:$B,$A32,RawDataDead!N:N)</f>
        <v>0</v>
      </c>
      <c r="L32">
        <f>SUMIF(RawDataDead!$B:$B,$A32,RawDataDead!O:O)</f>
        <v>0</v>
      </c>
      <c r="M32">
        <f>SUMIF(RawDataDead!$B:$B,$A32,RawDataDead!P:P)</f>
        <v>0</v>
      </c>
      <c r="N32">
        <f>SUMIF(RawDataDead!$B:$B,$A32,RawDataDead!Q:Q)</f>
        <v>0</v>
      </c>
      <c r="O32">
        <f>SUMIF(RawDataDead!$B:$B,$A32,RawDataDead!R:R)</f>
        <v>0</v>
      </c>
      <c r="P32">
        <f>SUMIF(RawDataDead!$B:$B,$A32,RawDataDead!S:S)</f>
        <v>0</v>
      </c>
      <c r="Q32">
        <f>SUMIF(RawDataDead!$B:$B,$A32,RawDataDead!T:T)</f>
        <v>0</v>
      </c>
      <c r="R32">
        <f>SUMIF(RawDataDead!$B:$B,$A32,RawDataDead!U:U)</f>
        <v>0</v>
      </c>
      <c r="S32">
        <f>SUMIF(RawDataDead!$B:$B,$A32,RawDataDead!V:V)</f>
        <v>0</v>
      </c>
      <c r="T32">
        <f>SUMIF(RawDataDead!$B:$B,$A32,RawDataDead!W:W)</f>
        <v>0</v>
      </c>
      <c r="U32">
        <f>SUMIF(RawDataDead!$B:$B,$A32,RawDataDead!X:X)</f>
        <v>0</v>
      </c>
      <c r="V32">
        <f>SUMIF(RawDataDead!$B:$B,$A32,RawDataDead!Y:Y)</f>
        <v>0</v>
      </c>
      <c r="W32">
        <f>SUMIF(RawDataDead!$B:$B,$A32,RawDataDead!Z:Z)</f>
        <v>0</v>
      </c>
      <c r="X32">
        <f>SUMIF(RawDataDead!$B:$B,$A32,RawDataDead!AA:AA)</f>
        <v>0</v>
      </c>
      <c r="Y32">
        <f>SUMIF(RawDataDead!$B:$B,$A32,RawDataDead!AB:AB)</f>
        <v>0</v>
      </c>
      <c r="Z32">
        <f>SUMIF(RawDataDead!$B:$B,$A32,RawDataDead!AC:AC)</f>
        <v>0</v>
      </c>
      <c r="AA32">
        <f>SUMIF(RawDataDead!$B:$B,$A32,RawDataDead!AD:AD)</f>
        <v>0</v>
      </c>
      <c r="AB32">
        <f>SUMIF(RawDataDead!$B:$B,$A32,RawDataDead!AE:AE)</f>
        <v>0</v>
      </c>
      <c r="AC32">
        <f>SUMIF(RawDataDead!$B:$B,$A32,RawDataDead!AF:AF)</f>
        <v>0</v>
      </c>
      <c r="AD32">
        <f>SUMIF(RawDataDead!$B:$B,$A32,RawDataDead!AG:AG)</f>
        <v>0</v>
      </c>
      <c r="AE32">
        <f>SUMIF(RawDataDead!$B:$B,$A32,RawDataDead!AH:AH)</f>
        <v>0</v>
      </c>
      <c r="AF32">
        <f>SUMIF(RawDataDead!$B:$B,$A32,RawDataDead!AI:AI)</f>
        <v>0</v>
      </c>
      <c r="AG32">
        <f>SUMIF(RawDataDead!$B:$B,$A32,RawDataDead!AJ:AJ)</f>
        <v>0</v>
      </c>
      <c r="AH32">
        <f>SUMIF(RawDataDead!$B:$B,$A32,RawDataDead!AK:AK)</f>
        <v>0</v>
      </c>
      <c r="AI32">
        <f>SUMIF(RawDataDead!$B:$B,$A32,RawDataDead!AL:AL)</f>
        <v>0</v>
      </c>
      <c r="AJ32">
        <f>SUMIF(RawDataDead!$B:$B,$A32,RawDataDead!AM:AM)</f>
        <v>0</v>
      </c>
      <c r="AK32">
        <f>SUMIF(RawDataDead!$B:$B,$A32,RawDataDead!AN:AN)</f>
        <v>0</v>
      </c>
      <c r="AL32">
        <f>SUMIF(RawDataDead!$B:$B,$A32,RawDataDead!AO:AO)</f>
        <v>0</v>
      </c>
      <c r="AM32">
        <f>SUMIF(RawDataDead!$B:$B,$A32,RawDataDead!AP:AP)</f>
        <v>0</v>
      </c>
      <c r="AN32">
        <f>SUMIF(RawDataDead!$B:$B,$A32,RawDataDead!AQ:AQ)</f>
        <v>0</v>
      </c>
      <c r="AO32">
        <f>SUMIF(RawDataDead!$B:$B,$A32,RawDataDead!AR:AR)</f>
        <v>0</v>
      </c>
      <c r="AP32">
        <f>SUMIF(RawDataDead!$B:$B,$A32,RawDataDead!AS:AS)</f>
        <v>0</v>
      </c>
      <c r="AQ32">
        <f>SUMIF(RawDataDead!$B:$B,$A32,RawDataDead!AT:AT)</f>
        <v>0</v>
      </c>
      <c r="AR32">
        <f>SUMIF(RawDataDead!$B:$B,$A32,RawDataDead!AU:AU)</f>
        <v>0</v>
      </c>
      <c r="AS32">
        <f>SUMIF(RawDataDead!$B:$B,$A32,RawDataDead!AV:AV)</f>
        <v>0</v>
      </c>
      <c r="AT32">
        <f>SUMIF(RawDataDead!$B:$B,$A32,RawDataDead!AW:AW)</f>
        <v>0</v>
      </c>
      <c r="AU32">
        <f>SUMIF(RawDataDead!$B:$B,$A32,RawDataDead!AX:AX)</f>
        <v>0</v>
      </c>
      <c r="AV32">
        <f>SUMIF(RawDataDead!$B:$B,$A32,RawDataDead!AY:AY)</f>
        <v>0</v>
      </c>
      <c r="AW32">
        <f>SUMIF(RawDataDead!$B:$B,$A32,RawDataDead!AZ:AZ)</f>
        <v>0</v>
      </c>
      <c r="AX32">
        <f>SUMIF(RawDataDead!$B:$B,$A32,RawDataDead!BA:BA)</f>
        <v>0</v>
      </c>
      <c r="AY32">
        <f>SUMIF(RawDataDead!$B:$B,$A32,RawDataDead!BB:BB)</f>
        <v>0</v>
      </c>
      <c r="AZ32">
        <f>SUMIF(RawDataDead!$B:$B,$A32,RawDataDead!BC:BC)</f>
        <v>0</v>
      </c>
      <c r="BA32">
        <f>SUMIF(RawDataDead!$B:$B,$A32,RawDataDead!BD:BD)</f>
        <v>0</v>
      </c>
      <c r="BB32">
        <f>SUMIF(RawDataDead!$B:$B,$A32,RawDataDead!BE:BE)</f>
        <v>0</v>
      </c>
      <c r="BC32">
        <f>SUMIF(RawDataDead!$B:$B,$A32,RawDataDead!BF:BF)</f>
        <v>5</v>
      </c>
      <c r="BD32">
        <f>SUMIF(RawDataDead!$B:$B,$A32,RawDataDead!BG:BG)</f>
        <v>0</v>
      </c>
      <c r="BE32">
        <f>SUMIF(RawDataDead!$B:$B,$A32,RawDataDead!BH:BH)</f>
        <v>1</v>
      </c>
      <c r="BF32">
        <f>SUMIF(RawDataDead!$B:$B,$A32,RawDataDead!BI:BI)</f>
        <v>0</v>
      </c>
      <c r="BG32">
        <f>SUMIF(RawDataDead!$B:$B,$A32,RawDataDead!BJ:BJ)</f>
        <v>0</v>
      </c>
      <c r="BH32">
        <f>SUMIF(RawDataDead!$B:$B,$A32,RawDataDead!BK:BK)</f>
        <v>0</v>
      </c>
      <c r="BI32">
        <f>SUMIF(RawDataDead!$B:$B,$A32,RawDataDead!BL:BL)</f>
        <v>0</v>
      </c>
      <c r="BJ32">
        <f>SUMIF(RawDataDead!$B:$B,$A32,RawDataDead!BM:BM)</f>
        <v>0</v>
      </c>
      <c r="BK32">
        <f>SUMIF(RawDataDead!$B:$B,$A32,RawDataDead!BN:BN)</f>
        <v>0</v>
      </c>
      <c r="BL32">
        <f>SUMIF(RawDataDead!$B:$B,$A32,RawDataDead!BO:BO)</f>
        <v>0</v>
      </c>
      <c r="BM32">
        <f>SUMIF(RawDataDead!$B:$B,$A32,RawDataDead!BP:BP)</f>
        <v>0</v>
      </c>
      <c r="BN32">
        <f>SUMIF(RawDataDead!$B:$B,$A32,RawDataDead!BQ:BQ)</f>
        <v>0</v>
      </c>
      <c r="BO32">
        <f>SUMIF(RawDataDead!$B:$B,$A32,RawDataDead!BR:BR)</f>
        <v>0</v>
      </c>
      <c r="BP32">
        <f>SUMIF(RawDataDead!$B:$B,$A32,RawDataDead!BS:BS)</f>
        <v>0</v>
      </c>
      <c r="BQ32">
        <f>SUMIF(RawDataDead!$B:$B,$A32,RawDataDead!BT:BT)</f>
        <v>0</v>
      </c>
      <c r="BR32">
        <f>SUMIF(RawDataDead!$B:$B,$A32,RawDataDead!BU:BU)</f>
        <v>0</v>
      </c>
      <c r="BS32">
        <f>SUMIF(RawDataDead!$B:$B,$A32,RawDataDead!BV:BV)</f>
        <v>0</v>
      </c>
      <c r="BT32">
        <f>SUMIF(RawDataDead!$B:$B,$A32,RawDataDead!BW:BW)</f>
        <v>0</v>
      </c>
    </row>
    <row r="33" spans="1:72" ht="15" thickBot="1" x14ac:dyDescent="0.35">
      <c r="A33" s="3" t="s">
        <v>135</v>
      </c>
      <c r="B33">
        <f>SUMIF(RawDataDead!$B:$B,$A33,RawDataDead!E:E)</f>
        <v>0</v>
      </c>
      <c r="C33">
        <f>SUMIF(RawDataDead!$B:$B,$A33,RawDataDead!F:F)</f>
        <v>0</v>
      </c>
      <c r="D33">
        <f>SUMIF(RawDataDead!$B:$B,$A33,RawDataDead!G:G)</f>
        <v>0</v>
      </c>
      <c r="E33">
        <f>SUMIF(RawDataDead!$B:$B,$A33,RawDataDead!H:H)</f>
        <v>0</v>
      </c>
      <c r="F33">
        <f>SUMIF(RawDataDead!$B:$B,$A33,RawDataDead!I:I)</f>
        <v>0</v>
      </c>
      <c r="G33">
        <f>SUMIF(RawDataDead!$B:$B,$A33,RawDataDead!J:J)</f>
        <v>0</v>
      </c>
      <c r="H33">
        <f>SUMIF(RawDataDead!$B:$B,$A33,RawDataDead!K:K)</f>
        <v>0</v>
      </c>
      <c r="I33">
        <f>SUMIF(RawDataDead!$B:$B,$A33,RawDataDead!L:L)</f>
        <v>0</v>
      </c>
      <c r="J33">
        <f>SUMIF(RawDataDead!$B:$B,$A33,RawDataDead!M:M)</f>
        <v>0</v>
      </c>
      <c r="K33">
        <f>SUMIF(RawDataDead!$B:$B,$A33,RawDataDead!N:N)</f>
        <v>0</v>
      </c>
      <c r="L33">
        <f>SUMIF(RawDataDead!$B:$B,$A33,RawDataDead!O:O)</f>
        <v>0</v>
      </c>
      <c r="M33">
        <f>SUMIF(RawDataDead!$B:$B,$A33,RawDataDead!P:P)</f>
        <v>0</v>
      </c>
      <c r="N33">
        <f>SUMIF(RawDataDead!$B:$B,$A33,RawDataDead!Q:Q)</f>
        <v>0</v>
      </c>
      <c r="O33">
        <f>SUMIF(RawDataDead!$B:$B,$A33,RawDataDead!R:R)</f>
        <v>0</v>
      </c>
      <c r="P33">
        <f>SUMIF(RawDataDead!$B:$B,$A33,RawDataDead!S:S)</f>
        <v>0</v>
      </c>
      <c r="Q33">
        <f>SUMIF(RawDataDead!$B:$B,$A33,RawDataDead!T:T)</f>
        <v>0</v>
      </c>
      <c r="R33">
        <f>SUMIF(RawDataDead!$B:$B,$A33,RawDataDead!U:U)</f>
        <v>0</v>
      </c>
      <c r="S33">
        <f>SUMIF(RawDataDead!$B:$B,$A33,RawDataDead!V:V)</f>
        <v>0</v>
      </c>
      <c r="T33">
        <f>SUMIF(RawDataDead!$B:$B,$A33,RawDataDead!W:W)</f>
        <v>0</v>
      </c>
      <c r="U33">
        <f>SUMIF(RawDataDead!$B:$B,$A33,RawDataDead!X:X)</f>
        <v>0</v>
      </c>
      <c r="V33">
        <f>SUMIF(RawDataDead!$B:$B,$A33,RawDataDead!Y:Y)</f>
        <v>0</v>
      </c>
      <c r="W33">
        <f>SUMIF(RawDataDead!$B:$B,$A33,RawDataDead!Z:Z)</f>
        <v>0</v>
      </c>
      <c r="X33">
        <f>SUMIF(RawDataDead!$B:$B,$A33,RawDataDead!AA:AA)</f>
        <v>0</v>
      </c>
      <c r="Y33">
        <f>SUMIF(RawDataDead!$B:$B,$A33,RawDataDead!AB:AB)</f>
        <v>0</v>
      </c>
      <c r="Z33">
        <f>SUMIF(RawDataDead!$B:$B,$A33,RawDataDead!AC:AC)</f>
        <v>0</v>
      </c>
      <c r="AA33">
        <f>SUMIF(RawDataDead!$B:$B,$A33,RawDataDead!AD:AD)</f>
        <v>0</v>
      </c>
      <c r="AB33">
        <f>SUMIF(RawDataDead!$B:$B,$A33,RawDataDead!AE:AE)</f>
        <v>0</v>
      </c>
      <c r="AC33">
        <f>SUMIF(RawDataDead!$B:$B,$A33,RawDataDead!AF:AF)</f>
        <v>0</v>
      </c>
      <c r="AD33">
        <f>SUMIF(RawDataDead!$B:$B,$A33,RawDataDead!AG:AG)</f>
        <v>0</v>
      </c>
      <c r="AE33">
        <f>SUMIF(RawDataDead!$B:$B,$A33,RawDataDead!AH:AH)</f>
        <v>0</v>
      </c>
      <c r="AF33">
        <f>SUMIF(RawDataDead!$B:$B,$A33,RawDataDead!AI:AI)</f>
        <v>0</v>
      </c>
      <c r="AG33">
        <f>SUMIF(RawDataDead!$B:$B,$A33,RawDataDead!AJ:AJ)</f>
        <v>0</v>
      </c>
      <c r="AH33">
        <f>SUMIF(RawDataDead!$B:$B,$A33,RawDataDead!AK:AK)</f>
        <v>0</v>
      </c>
      <c r="AI33">
        <f>SUMIF(RawDataDead!$B:$B,$A33,RawDataDead!AL:AL)</f>
        <v>0</v>
      </c>
      <c r="AJ33">
        <f>SUMIF(RawDataDead!$B:$B,$A33,RawDataDead!AM:AM)</f>
        <v>0</v>
      </c>
      <c r="AK33">
        <f>SUMIF(RawDataDead!$B:$B,$A33,RawDataDead!AN:AN)</f>
        <v>0</v>
      </c>
      <c r="AL33">
        <f>SUMIF(RawDataDead!$B:$B,$A33,RawDataDead!AO:AO)</f>
        <v>0</v>
      </c>
      <c r="AM33">
        <f>SUMIF(RawDataDead!$B:$B,$A33,RawDataDead!AP:AP)</f>
        <v>0</v>
      </c>
      <c r="AN33">
        <f>SUMIF(RawDataDead!$B:$B,$A33,RawDataDead!AQ:AQ)</f>
        <v>0</v>
      </c>
      <c r="AO33">
        <f>SUMIF(RawDataDead!$B:$B,$A33,RawDataDead!AR:AR)</f>
        <v>0</v>
      </c>
      <c r="AP33">
        <f>SUMIF(RawDataDead!$B:$B,$A33,RawDataDead!AS:AS)</f>
        <v>0</v>
      </c>
      <c r="AQ33">
        <f>SUMIF(RawDataDead!$B:$B,$A33,RawDataDead!AT:AT)</f>
        <v>0</v>
      </c>
      <c r="AR33">
        <f>SUMIF(RawDataDead!$B:$B,$A33,RawDataDead!AU:AU)</f>
        <v>0</v>
      </c>
      <c r="AS33">
        <f>SUMIF(RawDataDead!$B:$B,$A33,RawDataDead!AV:AV)</f>
        <v>0</v>
      </c>
      <c r="AT33">
        <f>SUMIF(RawDataDead!$B:$B,$A33,RawDataDead!AW:AW)</f>
        <v>0</v>
      </c>
      <c r="AU33">
        <f>SUMIF(RawDataDead!$B:$B,$A33,RawDataDead!AX:AX)</f>
        <v>0</v>
      </c>
      <c r="AV33">
        <f>SUMIF(RawDataDead!$B:$B,$A33,RawDataDead!AY:AY)</f>
        <v>0</v>
      </c>
      <c r="AW33">
        <f>SUMIF(RawDataDead!$B:$B,$A33,RawDataDead!AZ:AZ)</f>
        <v>0</v>
      </c>
      <c r="AX33">
        <f>SUMIF(RawDataDead!$B:$B,$A33,RawDataDead!BA:BA)</f>
        <v>0</v>
      </c>
      <c r="AY33">
        <f>SUMIF(RawDataDead!$B:$B,$A33,RawDataDead!BB:BB)</f>
        <v>0</v>
      </c>
      <c r="AZ33">
        <f>SUMIF(RawDataDead!$B:$B,$A33,RawDataDead!BC:BC)</f>
        <v>0</v>
      </c>
      <c r="BA33">
        <f>SUMIF(RawDataDead!$B:$B,$A33,RawDataDead!BD:BD)</f>
        <v>0</v>
      </c>
      <c r="BB33">
        <f>SUMIF(RawDataDead!$B:$B,$A33,RawDataDead!BE:BE)</f>
        <v>0</v>
      </c>
      <c r="BC33">
        <f>SUMIF(RawDataDead!$B:$B,$A33,RawDataDead!BF:BF)</f>
        <v>0</v>
      </c>
      <c r="BD33">
        <f>SUMIF(RawDataDead!$B:$B,$A33,RawDataDead!BG:BG)</f>
        <v>0</v>
      </c>
      <c r="BE33">
        <f>SUMIF(RawDataDead!$B:$B,$A33,RawDataDead!BH:BH)</f>
        <v>1</v>
      </c>
      <c r="BF33">
        <f>SUMIF(RawDataDead!$B:$B,$A33,RawDataDead!BI:BI)</f>
        <v>0</v>
      </c>
      <c r="BG33">
        <f>SUMIF(RawDataDead!$B:$B,$A33,RawDataDead!BJ:BJ)</f>
        <v>0</v>
      </c>
      <c r="BH33">
        <f>SUMIF(RawDataDead!$B:$B,$A33,RawDataDead!BK:BK)</f>
        <v>0</v>
      </c>
      <c r="BI33">
        <f>SUMIF(RawDataDead!$B:$B,$A33,RawDataDead!BL:BL)</f>
        <v>0</v>
      </c>
      <c r="BJ33">
        <f>SUMIF(RawDataDead!$B:$B,$A33,RawDataDead!BM:BM)</f>
        <v>0</v>
      </c>
      <c r="BK33">
        <f>SUMIF(RawDataDead!$B:$B,$A33,RawDataDead!BN:BN)</f>
        <v>0</v>
      </c>
      <c r="BL33">
        <f>SUMIF(RawDataDead!$B:$B,$A33,RawDataDead!BO:BO)</f>
        <v>0</v>
      </c>
      <c r="BM33">
        <f>SUMIF(RawDataDead!$B:$B,$A33,RawDataDead!BP:BP)</f>
        <v>0</v>
      </c>
      <c r="BN33">
        <f>SUMIF(RawDataDead!$B:$B,$A33,RawDataDead!BQ:BQ)</f>
        <v>0</v>
      </c>
      <c r="BO33">
        <f>SUMIF(RawDataDead!$B:$B,$A33,RawDataDead!BR:BR)</f>
        <v>0</v>
      </c>
      <c r="BP33">
        <f>SUMIF(RawDataDead!$B:$B,$A33,RawDataDead!BS:BS)</f>
        <v>0</v>
      </c>
      <c r="BQ33">
        <f>SUMIF(RawDataDead!$B:$B,$A33,RawDataDead!BT:BT)</f>
        <v>0</v>
      </c>
      <c r="BR33">
        <f>SUMIF(RawDataDead!$B:$B,$A33,RawDataDead!BU:BU)</f>
        <v>0</v>
      </c>
      <c r="BS33">
        <f>SUMIF(RawDataDead!$B:$B,$A33,RawDataDead!BV:BV)</f>
        <v>0</v>
      </c>
      <c r="BT33">
        <f>SUMIF(RawDataDead!$B:$B,$A33,RawDataDead!BW:BW)</f>
        <v>0</v>
      </c>
    </row>
    <row r="34" spans="1:72" ht="15" thickBot="1" x14ac:dyDescent="0.35">
      <c r="A34" s="3" t="s">
        <v>97</v>
      </c>
      <c r="B34">
        <f>SUMIF(RawDataDead!$B:$B,$A34,RawDataDead!E:E)</f>
        <v>0</v>
      </c>
      <c r="C34">
        <f>SUMIF(RawDataDead!$B:$B,$A34,RawDataDead!F:F)</f>
        <v>0</v>
      </c>
      <c r="D34">
        <f>SUMIF(RawDataDead!$B:$B,$A34,RawDataDead!G:G)</f>
        <v>0</v>
      </c>
      <c r="E34">
        <f>SUMIF(RawDataDead!$B:$B,$A34,RawDataDead!H:H)</f>
        <v>0</v>
      </c>
      <c r="F34">
        <f>SUMIF(RawDataDead!$B:$B,$A34,RawDataDead!I:I)</f>
        <v>0</v>
      </c>
      <c r="G34">
        <f>SUMIF(RawDataDead!$B:$B,$A34,RawDataDead!J:J)</f>
        <v>0</v>
      </c>
      <c r="H34">
        <f>SUMIF(RawDataDead!$B:$B,$A34,RawDataDead!K:K)</f>
        <v>0</v>
      </c>
      <c r="I34">
        <f>SUMIF(RawDataDead!$B:$B,$A34,RawDataDead!L:L)</f>
        <v>0</v>
      </c>
      <c r="J34">
        <f>SUMIF(RawDataDead!$B:$B,$A34,RawDataDead!M:M)</f>
        <v>0</v>
      </c>
      <c r="K34">
        <f>SUMIF(RawDataDead!$B:$B,$A34,RawDataDead!N:N)</f>
        <v>0</v>
      </c>
      <c r="L34">
        <f>SUMIF(RawDataDead!$B:$B,$A34,RawDataDead!O:O)</f>
        <v>0</v>
      </c>
      <c r="M34">
        <f>SUMIF(RawDataDead!$B:$B,$A34,RawDataDead!P:P)</f>
        <v>0</v>
      </c>
      <c r="N34">
        <f>SUMIF(RawDataDead!$B:$B,$A34,RawDataDead!Q:Q)</f>
        <v>0</v>
      </c>
      <c r="O34">
        <f>SUMIF(RawDataDead!$B:$B,$A34,RawDataDead!R:R)</f>
        <v>0</v>
      </c>
      <c r="P34">
        <f>SUMIF(RawDataDead!$B:$B,$A34,RawDataDead!S:S)</f>
        <v>0</v>
      </c>
      <c r="Q34">
        <f>SUMIF(RawDataDead!$B:$B,$A34,RawDataDead!T:T)</f>
        <v>0</v>
      </c>
      <c r="R34">
        <f>SUMIF(RawDataDead!$B:$B,$A34,RawDataDead!U:U)</f>
        <v>0</v>
      </c>
      <c r="S34">
        <f>SUMIF(RawDataDead!$B:$B,$A34,RawDataDead!V:V)</f>
        <v>0</v>
      </c>
      <c r="T34">
        <f>SUMIF(RawDataDead!$B:$B,$A34,RawDataDead!W:W)</f>
        <v>0</v>
      </c>
      <c r="U34">
        <f>SUMIF(RawDataDead!$B:$B,$A34,RawDataDead!X:X)</f>
        <v>0</v>
      </c>
      <c r="V34">
        <f>SUMIF(RawDataDead!$B:$B,$A34,RawDataDead!Y:Y)</f>
        <v>0</v>
      </c>
      <c r="W34">
        <f>SUMIF(RawDataDead!$B:$B,$A34,RawDataDead!Z:Z)</f>
        <v>0</v>
      </c>
      <c r="X34">
        <f>SUMIF(RawDataDead!$B:$B,$A34,RawDataDead!AA:AA)</f>
        <v>0</v>
      </c>
      <c r="Y34">
        <f>SUMIF(RawDataDead!$B:$B,$A34,RawDataDead!AB:AB)</f>
        <v>0</v>
      </c>
      <c r="Z34">
        <f>SUMIF(RawDataDead!$B:$B,$A34,RawDataDead!AC:AC)</f>
        <v>0</v>
      </c>
      <c r="AA34">
        <f>SUMIF(RawDataDead!$B:$B,$A34,RawDataDead!AD:AD)</f>
        <v>0</v>
      </c>
      <c r="AB34">
        <f>SUMIF(RawDataDead!$B:$B,$A34,RawDataDead!AE:AE)</f>
        <v>0</v>
      </c>
      <c r="AC34">
        <f>SUMIF(RawDataDead!$B:$B,$A34,RawDataDead!AF:AF)</f>
        <v>0</v>
      </c>
      <c r="AD34">
        <f>SUMIF(RawDataDead!$B:$B,$A34,RawDataDead!AG:AG)</f>
        <v>0</v>
      </c>
      <c r="AE34">
        <f>SUMIF(RawDataDead!$B:$B,$A34,RawDataDead!AH:AH)</f>
        <v>0</v>
      </c>
      <c r="AF34">
        <f>SUMIF(RawDataDead!$B:$B,$A34,RawDataDead!AI:AI)</f>
        <v>0</v>
      </c>
      <c r="AG34">
        <f>SUMIF(RawDataDead!$B:$B,$A34,RawDataDead!AJ:AJ)</f>
        <v>0</v>
      </c>
      <c r="AH34">
        <f>SUMIF(RawDataDead!$B:$B,$A34,RawDataDead!AK:AK)</f>
        <v>0</v>
      </c>
      <c r="AI34">
        <f>SUMIF(RawDataDead!$B:$B,$A34,RawDataDead!AL:AL)</f>
        <v>0</v>
      </c>
      <c r="AJ34">
        <f>SUMIF(RawDataDead!$B:$B,$A34,RawDataDead!AM:AM)</f>
        <v>0</v>
      </c>
      <c r="AK34">
        <f>SUMIF(RawDataDead!$B:$B,$A34,RawDataDead!AN:AN)</f>
        <v>0</v>
      </c>
      <c r="AL34">
        <f>SUMIF(RawDataDead!$B:$B,$A34,RawDataDead!AO:AO)</f>
        <v>0</v>
      </c>
      <c r="AM34">
        <f>SUMIF(RawDataDead!$B:$B,$A34,RawDataDead!AP:AP)</f>
        <v>0</v>
      </c>
      <c r="AN34">
        <f>SUMIF(RawDataDead!$B:$B,$A34,RawDataDead!AQ:AQ)</f>
        <v>0</v>
      </c>
      <c r="AO34">
        <f>SUMIF(RawDataDead!$B:$B,$A34,RawDataDead!AR:AR)</f>
        <v>0</v>
      </c>
      <c r="AP34">
        <f>SUMIF(RawDataDead!$B:$B,$A34,RawDataDead!AS:AS)</f>
        <v>0</v>
      </c>
      <c r="AQ34">
        <f>SUMIF(RawDataDead!$B:$B,$A34,RawDataDead!AT:AT)</f>
        <v>0</v>
      </c>
      <c r="AR34">
        <f>SUMIF(RawDataDead!$B:$B,$A34,RawDataDead!AU:AU)</f>
        <v>2</v>
      </c>
      <c r="AS34">
        <f>SUMIF(RawDataDead!$B:$B,$A34,RawDataDead!AV:AV)</f>
        <v>2</v>
      </c>
      <c r="AT34">
        <f>SUMIF(RawDataDead!$B:$B,$A34,RawDataDead!AW:AW)</f>
        <v>3</v>
      </c>
      <c r="AU34">
        <f>SUMIF(RawDataDead!$B:$B,$A34,RawDataDead!AX:AX)</f>
        <v>4</v>
      </c>
      <c r="AV34">
        <f>SUMIF(RawDataDead!$B:$B,$A34,RawDataDead!AY:AY)</f>
        <v>6</v>
      </c>
      <c r="AW34">
        <f>SUMIF(RawDataDead!$B:$B,$A34,RawDataDead!AZ:AZ)</f>
        <v>6</v>
      </c>
      <c r="AX34">
        <f>SUMIF(RawDataDead!$B:$B,$A34,RawDataDead!BA:BA)</f>
        <v>7</v>
      </c>
      <c r="AY34">
        <f>SUMIF(RawDataDead!$B:$B,$A34,RawDataDead!BB:BB)</f>
        <v>7</v>
      </c>
      <c r="AZ34">
        <f>SUMIF(RawDataDead!$B:$B,$A34,RawDataDead!BC:BC)</f>
        <v>8</v>
      </c>
      <c r="BA34">
        <f>SUMIF(RawDataDead!$B:$B,$A34,RawDataDead!BD:BD)</f>
        <v>9</v>
      </c>
      <c r="BB34">
        <f>SUMIF(RawDataDead!$B:$B,$A34,RawDataDead!BE:BE)</f>
        <v>10</v>
      </c>
      <c r="BC34">
        <f>SUMIF(RawDataDead!$B:$B,$A34,RawDataDead!BF:BF)</f>
        <v>10</v>
      </c>
      <c r="BD34">
        <f>SUMIF(RawDataDead!$B:$B,$A34,RawDataDead!BG:BG)</f>
        <v>10</v>
      </c>
      <c r="BE34">
        <f>SUMIF(RawDataDead!$B:$B,$A34,RawDataDead!BH:BH)</f>
        <v>11</v>
      </c>
      <c r="BF34">
        <f>SUMIF(RawDataDead!$B:$B,$A34,RawDataDead!BI:BI)</f>
        <v>0</v>
      </c>
      <c r="BG34">
        <f>SUMIF(RawDataDead!$B:$B,$A34,RawDataDead!BJ:BJ)</f>
        <v>0</v>
      </c>
      <c r="BH34">
        <f>SUMIF(RawDataDead!$B:$B,$A34,RawDataDead!BK:BK)</f>
        <v>0</v>
      </c>
      <c r="BI34">
        <f>SUMIF(RawDataDead!$B:$B,$A34,RawDataDead!BL:BL)</f>
        <v>0</v>
      </c>
      <c r="BJ34">
        <f>SUMIF(RawDataDead!$B:$B,$A34,RawDataDead!BM:BM)</f>
        <v>0</v>
      </c>
      <c r="BK34">
        <f>SUMIF(RawDataDead!$B:$B,$A34,RawDataDead!BN:BN)</f>
        <v>0</v>
      </c>
      <c r="BL34">
        <f>SUMIF(RawDataDead!$B:$B,$A34,RawDataDead!BO:BO)</f>
        <v>0</v>
      </c>
      <c r="BM34">
        <f>SUMIF(RawDataDead!$B:$B,$A34,RawDataDead!BP:BP)</f>
        <v>0</v>
      </c>
      <c r="BN34">
        <f>SUMIF(RawDataDead!$B:$B,$A34,RawDataDead!BQ:BQ)</f>
        <v>0</v>
      </c>
      <c r="BO34">
        <f>SUMIF(RawDataDead!$B:$B,$A34,RawDataDead!BR:BR)</f>
        <v>0</v>
      </c>
      <c r="BP34">
        <f>SUMIF(RawDataDead!$B:$B,$A34,RawDataDead!BS:BS)</f>
        <v>0</v>
      </c>
      <c r="BQ34">
        <f>SUMIF(RawDataDead!$B:$B,$A34,RawDataDead!BT:BT)</f>
        <v>0</v>
      </c>
      <c r="BR34">
        <f>SUMIF(RawDataDead!$B:$B,$A34,RawDataDead!BU:BU)</f>
        <v>0</v>
      </c>
      <c r="BS34">
        <f>SUMIF(RawDataDead!$B:$B,$A34,RawDataDead!BV:BV)</f>
        <v>0</v>
      </c>
      <c r="BT34">
        <f>SUMIF(RawDataDead!$B:$B,$A34,RawDataDead!BW:BW)</f>
        <v>0</v>
      </c>
    </row>
    <row r="35" spans="1:72" ht="15" thickBot="1" x14ac:dyDescent="0.35">
      <c r="A35" s="4" t="s">
        <v>125</v>
      </c>
      <c r="B35">
        <f>SUMIF(RawDataDead!$B:$B,$A35,RawDataDead!E:E)</f>
        <v>0</v>
      </c>
      <c r="C35">
        <f>SUMIF(RawDataDead!$B:$B,$A35,RawDataDead!F:F)</f>
        <v>0</v>
      </c>
      <c r="D35">
        <f>SUMIF(RawDataDead!$B:$B,$A35,RawDataDead!G:G)</f>
        <v>0</v>
      </c>
      <c r="E35">
        <f>SUMIF(RawDataDead!$B:$B,$A35,RawDataDead!H:H)</f>
        <v>0</v>
      </c>
      <c r="F35">
        <f>SUMIF(RawDataDead!$B:$B,$A35,RawDataDead!I:I)</f>
        <v>0</v>
      </c>
      <c r="G35">
        <f>SUMIF(RawDataDead!$B:$B,$A35,RawDataDead!J:J)</f>
        <v>0</v>
      </c>
      <c r="H35">
        <f>SUMIF(RawDataDead!$B:$B,$A35,RawDataDead!K:K)</f>
        <v>0</v>
      </c>
      <c r="I35">
        <f>SUMIF(RawDataDead!$B:$B,$A35,RawDataDead!L:L)</f>
        <v>0</v>
      </c>
      <c r="J35">
        <f>SUMIF(RawDataDead!$B:$B,$A35,RawDataDead!M:M)</f>
        <v>0</v>
      </c>
      <c r="K35">
        <f>SUMIF(RawDataDead!$B:$B,$A35,RawDataDead!N:N)</f>
        <v>0</v>
      </c>
      <c r="L35">
        <f>SUMIF(RawDataDead!$B:$B,$A35,RawDataDead!O:O)</f>
        <v>0</v>
      </c>
      <c r="M35">
        <f>SUMIF(RawDataDead!$B:$B,$A35,RawDataDead!P:P)</f>
        <v>0</v>
      </c>
      <c r="N35">
        <f>SUMIF(RawDataDead!$B:$B,$A35,RawDataDead!Q:Q)</f>
        <v>0</v>
      </c>
      <c r="O35">
        <f>SUMIF(RawDataDead!$B:$B,$A35,RawDataDead!R:R)</f>
        <v>0</v>
      </c>
      <c r="P35">
        <f>SUMIF(RawDataDead!$B:$B,$A35,RawDataDead!S:S)</f>
        <v>0</v>
      </c>
      <c r="Q35">
        <f>SUMIF(RawDataDead!$B:$B,$A35,RawDataDead!T:T)</f>
        <v>0</v>
      </c>
      <c r="R35">
        <f>SUMIF(RawDataDead!$B:$B,$A35,RawDataDead!U:U)</f>
        <v>0</v>
      </c>
      <c r="S35">
        <f>SUMIF(RawDataDead!$B:$B,$A35,RawDataDead!V:V)</f>
        <v>0</v>
      </c>
      <c r="T35">
        <f>SUMIF(RawDataDead!$B:$B,$A35,RawDataDead!W:W)</f>
        <v>0</v>
      </c>
      <c r="U35">
        <f>SUMIF(RawDataDead!$B:$B,$A35,RawDataDead!X:X)</f>
        <v>0</v>
      </c>
      <c r="V35">
        <f>SUMIF(RawDataDead!$B:$B,$A35,RawDataDead!Y:Y)</f>
        <v>0</v>
      </c>
      <c r="W35">
        <f>SUMIF(RawDataDead!$B:$B,$A35,RawDataDead!Z:Z)</f>
        <v>0</v>
      </c>
      <c r="X35">
        <f>SUMIF(RawDataDead!$B:$B,$A35,RawDataDead!AA:AA)</f>
        <v>0</v>
      </c>
      <c r="Y35">
        <f>SUMIF(RawDataDead!$B:$B,$A35,RawDataDead!AB:AB)</f>
        <v>0</v>
      </c>
      <c r="Z35">
        <f>SUMIF(RawDataDead!$B:$B,$A35,RawDataDead!AC:AC)</f>
        <v>0</v>
      </c>
      <c r="AA35">
        <f>SUMIF(RawDataDead!$B:$B,$A35,RawDataDead!AD:AD)</f>
        <v>0</v>
      </c>
      <c r="AB35">
        <f>SUMIF(RawDataDead!$B:$B,$A35,RawDataDead!AE:AE)</f>
        <v>0</v>
      </c>
      <c r="AC35">
        <f>SUMIF(RawDataDead!$B:$B,$A35,RawDataDead!AF:AF)</f>
        <v>0</v>
      </c>
      <c r="AD35">
        <f>SUMIF(RawDataDead!$B:$B,$A35,RawDataDead!AG:AG)</f>
        <v>0</v>
      </c>
      <c r="AE35">
        <f>SUMIF(RawDataDead!$B:$B,$A35,RawDataDead!AH:AH)</f>
        <v>0</v>
      </c>
      <c r="AF35">
        <f>SUMIF(RawDataDead!$B:$B,$A35,RawDataDead!AI:AI)</f>
        <v>0</v>
      </c>
      <c r="AG35">
        <f>SUMIF(RawDataDead!$B:$B,$A35,RawDataDead!AJ:AJ)</f>
        <v>0</v>
      </c>
      <c r="AH35">
        <f>SUMIF(RawDataDead!$B:$B,$A35,RawDataDead!AK:AK)</f>
        <v>0</v>
      </c>
      <c r="AI35">
        <f>SUMIF(RawDataDead!$B:$B,$A35,RawDataDead!AL:AL)</f>
        <v>0</v>
      </c>
      <c r="AJ35">
        <f>SUMIF(RawDataDead!$B:$B,$A35,RawDataDead!AM:AM)</f>
        <v>0</v>
      </c>
      <c r="AK35">
        <f>SUMIF(RawDataDead!$B:$B,$A35,RawDataDead!AN:AN)</f>
        <v>0</v>
      </c>
      <c r="AL35">
        <f>SUMIF(RawDataDead!$B:$B,$A35,RawDataDead!AO:AO)</f>
        <v>0</v>
      </c>
      <c r="AM35">
        <f>SUMIF(RawDataDead!$B:$B,$A35,RawDataDead!AP:AP)</f>
        <v>0</v>
      </c>
      <c r="AN35">
        <f>SUMIF(RawDataDead!$B:$B,$A35,RawDataDead!AQ:AQ)</f>
        <v>0</v>
      </c>
      <c r="AO35">
        <f>SUMIF(RawDataDead!$B:$B,$A35,RawDataDead!AR:AR)</f>
        <v>0</v>
      </c>
      <c r="AP35">
        <f>SUMIF(RawDataDead!$B:$B,$A35,RawDataDead!AS:AS)</f>
        <v>0</v>
      </c>
      <c r="AQ35">
        <f>SUMIF(RawDataDead!$B:$B,$A35,RawDataDead!AT:AT)</f>
        <v>0</v>
      </c>
      <c r="AR35">
        <f>SUMIF(RawDataDead!$B:$B,$A35,RawDataDead!AU:AU)</f>
        <v>0</v>
      </c>
      <c r="AS35">
        <f>SUMIF(RawDataDead!$B:$B,$A35,RawDataDead!AV:AV)</f>
        <v>0</v>
      </c>
      <c r="AT35">
        <f>SUMIF(RawDataDead!$B:$B,$A35,RawDataDead!AW:AW)</f>
        <v>0</v>
      </c>
      <c r="AU35">
        <f>SUMIF(RawDataDead!$B:$B,$A35,RawDataDead!AX:AX)</f>
        <v>0</v>
      </c>
      <c r="AV35">
        <f>SUMIF(RawDataDead!$B:$B,$A35,RawDataDead!AY:AY)</f>
        <v>0</v>
      </c>
      <c r="AW35">
        <f>SUMIF(RawDataDead!$B:$B,$A35,RawDataDead!AZ:AZ)</f>
        <v>0</v>
      </c>
      <c r="AX35">
        <f>SUMIF(RawDataDead!$B:$B,$A35,RawDataDead!BA:BA)</f>
        <v>0</v>
      </c>
      <c r="AY35">
        <f>SUMIF(RawDataDead!$B:$B,$A35,RawDataDead!BB:BB)</f>
        <v>1</v>
      </c>
      <c r="AZ35">
        <f>SUMIF(RawDataDead!$B:$B,$A35,RawDataDead!BC:BC)</f>
        <v>1</v>
      </c>
      <c r="BA35">
        <f>SUMIF(RawDataDead!$B:$B,$A35,RawDataDead!BD:BD)</f>
        <v>1</v>
      </c>
      <c r="BB35">
        <f>SUMIF(RawDataDead!$B:$B,$A35,RawDataDead!BE:BE)</f>
        <v>2</v>
      </c>
      <c r="BC35">
        <f>SUMIF(RawDataDead!$B:$B,$A35,RawDataDead!BF:BF)</f>
        <v>2</v>
      </c>
      <c r="BD35">
        <f>SUMIF(RawDataDead!$B:$B,$A35,RawDataDead!BG:BG)</f>
        <v>2</v>
      </c>
      <c r="BE35">
        <f>SUMIF(RawDataDead!$B:$B,$A35,RawDataDead!BH:BH)</f>
        <v>2</v>
      </c>
      <c r="BF35">
        <f>SUMIF(RawDataDead!$B:$B,$A35,RawDataDead!BI:BI)</f>
        <v>0</v>
      </c>
      <c r="BG35">
        <f>SUMIF(RawDataDead!$B:$B,$A35,RawDataDead!BJ:BJ)</f>
        <v>0</v>
      </c>
      <c r="BH35">
        <f>SUMIF(RawDataDead!$B:$B,$A35,RawDataDead!BK:BK)</f>
        <v>0</v>
      </c>
      <c r="BI35">
        <f>SUMIF(RawDataDead!$B:$B,$A35,RawDataDead!BL:BL)</f>
        <v>0</v>
      </c>
      <c r="BJ35">
        <f>SUMIF(RawDataDead!$B:$B,$A35,RawDataDead!BM:BM)</f>
        <v>0</v>
      </c>
      <c r="BK35">
        <f>SUMIF(RawDataDead!$B:$B,$A35,RawDataDead!BN:BN)</f>
        <v>0</v>
      </c>
      <c r="BL35">
        <f>SUMIF(RawDataDead!$B:$B,$A35,RawDataDead!BO:BO)</f>
        <v>0</v>
      </c>
      <c r="BM35">
        <f>SUMIF(RawDataDead!$B:$B,$A35,RawDataDead!BP:BP)</f>
        <v>0</v>
      </c>
      <c r="BN35">
        <f>SUMIF(RawDataDead!$B:$B,$A35,RawDataDead!BQ:BQ)</f>
        <v>0</v>
      </c>
      <c r="BO35">
        <f>SUMIF(RawDataDead!$B:$B,$A35,RawDataDead!BR:BR)</f>
        <v>0</v>
      </c>
      <c r="BP35">
        <f>SUMIF(RawDataDead!$B:$B,$A35,RawDataDead!BS:BS)</f>
        <v>0</v>
      </c>
      <c r="BQ35">
        <f>SUMIF(RawDataDead!$B:$B,$A35,RawDataDead!BT:BT)</f>
        <v>0</v>
      </c>
      <c r="BR35">
        <f>SUMIF(RawDataDead!$B:$B,$A35,RawDataDead!BU:BU)</f>
        <v>0</v>
      </c>
      <c r="BS35">
        <f>SUMIF(RawDataDead!$B:$B,$A35,RawDataDead!BV:BV)</f>
        <v>0</v>
      </c>
      <c r="BT35">
        <f>SUMIF(RawDataDead!$B:$B,$A35,RawDataDead!BW:BW)</f>
        <v>0</v>
      </c>
    </row>
    <row r="36" spans="1:72" ht="15" thickBot="1" x14ac:dyDescent="0.35">
      <c r="A36" s="3" t="s">
        <v>113</v>
      </c>
      <c r="B36">
        <f>SUMIF(RawDataDead!$B:$B,$A36,RawDataDead!E:E)</f>
        <v>0</v>
      </c>
      <c r="C36">
        <f>SUMIF(RawDataDead!$B:$B,$A36,RawDataDead!F:F)</f>
        <v>0</v>
      </c>
      <c r="D36">
        <f>SUMIF(RawDataDead!$B:$B,$A36,RawDataDead!G:G)</f>
        <v>0</v>
      </c>
      <c r="E36">
        <f>SUMIF(RawDataDead!$B:$B,$A36,RawDataDead!H:H)</f>
        <v>0</v>
      </c>
      <c r="F36">
        <f>SUMIF(RawDataDead!$B:$B,$A36,RawDataDead!I:I)</f>
        <v>0</v>
      </c>
      <c r="G36">
        <f>SUMIF(RawDataDead!$B:$B,$A36,RawDataDead!J:J)</f>
        <v>0</v>
      </c>
      <c r="H36">
        <f>SUMIF(RawDataDead!$B:$B,$A36,RawDataDead!K:K)</f>
        <v>0</v>
      </c>
      <c r="I36">
        <f>SUMIF(RawDataDead!$B:$B,$A36,RawDataDead!L:L)</f>
        <v>0</v>
      </c>
      <c r="J36">
        <f>SUMIF(RawDataDead!$B:$B,$A36,RawDataDead!M:M)</f>
        <v>0</v>
      </c>
      <c r="K36">
        <f>SUMIF(RawDataDead!$B:$B,$A36,RawDataDead!N:N)</f>
        <v>0</v>
      </c>
      <c r="L36">
        <f>SUMIF(RawDataDead!$B:$B,$A36,RawDataDead!O:O)</f>
        <v>0</v>
      </c>
      <c r="M36">
        <f>SUMIF(RawDataDead!$B:$B,$A36,RawDataDead!P:P)</f>
        <v>0</v>
      </c>
      <c r="N36">
        <f>SUMIF(RawDataDead!$B:$B,$A36,RawDataDead!Q:Q)</f>
        <v>0</v>
      </c>
      <c r="O36">
        <f>SUMIF(RawDataDead!$B:$B,$A36,RawDataDead!R:R)</f>
        <v>0</v>
      </c>
      <c r="P36">
        <f>SUMIF(RawDataDead!$B:$B,$A36,RawDataDead!S:S)</f>
        <v>0</v>
      </c>
      <c r="Q36">
        <f>SUMIF(RawDataDead!$B:$B,$A36,RawDataDead!T:T)</f>
        <v>0</v>
      </c>
      <c r="R36">
        <f>SUMIF(RawDataDead!$B:$B,$A36,RawDataDead!U:U)</f>
        <v>0</v>
      </c>
      <c r="S36">
        <f>SUMIF(RawDataDead!$B:$B,$A36,RawDataDead!V:V)</f>
        <v>0</v>
      </c>
      <c r="T36">
        <f>SUMIF(RawDataDead!$B:$B,$A36,RawDataDead!W:W)</f>
        <v>0</v>
      </c>
      <c r="U36">
        <f>SUMIF(RawDataDead!$B:$B,$A36,RawDataDead!X:X)</f>
        <v>0</v>
      </c>
      <c r="V36">
        <f>SUMIF(RawDataDead!$B:$B,$A36,RawDataDead!Y:Y)</f>
        <v>0</v>
      </c>
      <c r="W36">
        <f>SUMIF(RawDataDead!$B:$B,$A36,RawDataDead!Z:Z)</f>
        <v>0</v>
      </c>
      <c r="X36">
        <f>SUMIF(RawDataDead!$B:$B,$A36,RawDataDead!AA:AA)</f>
        <v>0</v>
      </c>
      <c r="Y36">
        <f>SUMIF(RawDataDead!$B:$B,$A36,RawDataDead!AB:AB)</f>
        <v>0</v>
      </c>
      <c r="Z36">
        <f>SUMIF(RawDataDead!$B:$B,$A36,RawDataDead!AC:AC)</f>
        <v>0</v>
      </c>
      <c r="AA36">
        <f>SUMIF(RawDataDead!$B:$B,$A36,RawDataDead!AD:AD)</f>
        <v>0</v>
      </c>
      <c r="AB36">
        <f>SUMIF(RawDataDead!$B:$B,$A36,RawDataDead!AE:AE)</f>
        <v>0</v>
      </c>
      <c r="AC36">
        <f>SUMIF(RawDataDead!$B:$B,$A36,RawDataDead!AF:AF)</f>
        <v>0</v>
      </c>
      <c r="AD36">
        <f>SUMIF(RawDataDead!$B:$B,$A36,RawDataDead!AG:AG)</f>
        <v>0</v>
      </c>
      <c r="AE36">
        <f>SUMIF(RawDataDead!$B:$B,$A36,RawDataDead!AH:AH)</f>
        <v>0</v>
      </c>
      <c r="AF36">
        <f>SUMIF(RawDataDead!$B:$B,$A36,RawDataDead!AI:AI)</f>
        <v>0</v>
      </c>
      <c r="AG36">
        <f>SUMIF(RawDataDead!$B:$B,$A36,RawDataDead!AJ:AJ)</f>
        <v>0</v>
      </c>
      <c r="AH36">
        <f>SUMIF(RawDataDead!$B:$B,$A36,RawDataDead!AK:AK)</f>
        <v>0</v>
      </c>
      <c r="AI36">
        <f>SUMIF(RawDataDead!$B:$B,$A36,RawDataDead!AL:AL)</f>
        <v>0</v>
      </c>
      <c r="AJ36">
        <f>SUMIF(RawDataDead!$B:$B,$A36,RawDataDead!AM:AM)</f>
        <v>0</v>
      </c>
      <c r="AK36">
        <f>SUMIF(RawDataDead!$B:$B,$A36,RawDataDead!AN:AN)</f>
        <v>0</v>
      </c>
      <c r="AL36">
        <f>SUMIF(RawDataDead!$B:$B,$A36,RawDataDead!AO:AO)</f>
        <v>0</v>
      </c>
      <c r="AM36">
        <f>SUMIF(RawDataDead!$B:$B,$A36,RawDataDead!AP:AP)</f>
        <v>0</v>
      </c>
      <c r="AN36">
        <f>SUMIF(RawDataDead!$B:$B,$A36,RawDataDead!AQ:AQ)</f>
        <v>0</v>
      </c>
      <c r="AO36">
        <f>SUMIF(RawDataDead!$B:$B,$A36,RawDataDead!AR:AR)</f>
        <v>0</v>
      </c>
      <c r="AP36">
        <f>SUMIF(RawDataDead!$B:$B,$A36,RawDataDead!AS:AS)</f>
        <v>0</v>
      </c>
      <c r="AQ36">
        <f>SUMIF(RawDataDead!$B:$B,$A36,RawDataDead!AT:AT)</f>
        <v>0</v>
      </c>
      <c r="AR36">
        <f>SUMIF(RawDataDead!$B:$B,$A36,RawDataDead!AU:AU)</f>
        <v>0</v>
      </c>
      <c r="AS36">
        <f>SUMIF(RawDataDead!$B:$B,$A36,RawDataDead!AV:AV)</f>
        <v>0</v>
      </c>
      <c r="AT36">
        <f>SUMIF(RawDataDead!$B:$B,$A36,RawDataDead!AW:AW)</f>
        <v>0</v>
      </c>
      <c r="AU36">
        <f>SUMIF(RawDataDead!$B:$B,$A36,RawDataDead!AX:AX)</f>
        <v>0</v>
      </c>
      <c r="AV36">
        <f>SUMIF(RawDataDead!$B:$B,$A36,RawDataDead!AY:AY)</f>
        <v>0</v>
      </c>
      <c r="AW36">
        <f>SUMIF(RawDataDead!$B:$B,$A36,RawDataDead!AZ:AZ)</f>
        <v>0</v>
      </c>
      <c r="AX36">
        <f>SUMIF(RawDataDead!$B:$B,$A36,RawDataDead!BA:BA)</f>
        <v>0</v>
      </c>
      <c r="AY36">
        <f>SUMIF(RawDataDead!$B:$B,$A36,RawDataDead!BB:BB)</f>
        <v>0</v>
      </c>
      <c r="AZ36">
        <f>SUMIF(RawDataDead!$B:$B,$A36,RawDataDead!BC:BC)</f>
        <v>0</v>
      </c>
      <c r="BA36">
        <f>SUMIF(RawDataDead!$B:$B,$A36,RawDataDead!BD:BD)</f>
        <v>0</v>
      </c>
      <c r="BB36">
        <f>SUMIF(RawDataDead!$B:$B,$A36,RawDataDead!BE:BE)</f>
        <v>0</v>
      </c>
      <c r="BC36">
        <f>SUMIF(RawDataDead!$B:$B,$A36,RawDataDead!BF:BF)</f>
        <v>0</v>
      </c>
      <c r="BD36">
        <f>SUMIF(RawDataDead!$B:$B,$A36,RawDataDead!BG:BG)</f>
        <v>0</v>
      </c>
      <c r="BE36">
        <f>SUMIF(RawDataDead!$B:$B,$A36,RawDataDead!BH:BH)</f>
        <v>0</v>
      </c>
      <c r="BF36">
        <f>SUMIF(RawDataDead!$B:$B,$A36,RawDataDead!BI:BI)</f>
        <v>0</v>
      </c>
      <c r="BG36">
        <f>SUMIF(RawDataDead!$B:$B,$A36,RawDataDead!BJ:BJ)</f>
        <v>0</v>
      </c>
      <c r="BH36">
        <f>SUMIF(RawDataDead!$B:$B,$A36,RawDataDead!BK:BK)</f>
        <v>0</v>
      </c>
      <c r="BI36">
        <f>SUMIF(RawDataDead!$B:$B,$A36,RawDataDead!BL:BL)</f>
        <v>0</v>
      </c>
      <c r="BJ36">
        <f>SUMIF(RawDataDead!$B:$B,$A36,RawDataDead!BM:BM)</f>
        <v>0</v>
      </c>
      <c r="BK36">
        <f>SUMIF(RawDataDead!$B:$B,$A36,RawDataDead!BN:BN)</f>
        <v>0</v>
      </c>
      <c r="BL36">
        <f>SUMIF(RawDataDead!$B:$B,$A36,RawDataDead!BO:BO)</f>
        <v>0</v>
      </c>
      <c r="BM36">
        <f>SUMIF(RawDataDead!$B:$B,$A36,RawDataDead!BP:BP)</f>
        <v>0</v>
      </c>
      <c r="BN36">
        <f>SUMIF(RawDataDead!$B:$B,$A36,RawDataDead!BQ:BQ)</f>
        <v>0</v>
      </c>
      <c r="BO36">
        <f>SUMIF(RawDataDead!$B:$B,$A36,RawDataDead!BR:BR)</f>
        <v>0</v>
      </c>
      <c r="BP36">
        <f>SUMIF(RawDataDead!$B:$B,$A36,RawDataDead!BS:BS)</f>
        <v>0</v>
      </c>
      <c r="BQ36">
        <f>SUMIF(RawDataDead!$B:$B,$A36,RawDataDead!BT:BT)</f>
        <v>0</v>
      </c>
      <c r="BR36">
        <f>SUMIF(RawDataDead!$B:$B,$A36,RawDataDead!BU:BU)</f>
        <v>0</v>
      </c>
      <c r="BS36">
        <f>SUMIF(RawDataDead!$B:$B,$A36,RawDataDead!BV:BV)</f>
        <v>0</v>
      </c>
      <c r="BT36">
        <f>SUMIF(RawDataDead!$B:$B,$A36,RawDataDead!BW:BW)</f>
        <v>0</v>
      </c>
    </row>
    <row r="37" spans="1:72" ht="15" thickBot="1" x14ac:dyDescent="0.35">
      <c r="A37" s="4" t="s">
        <v>140</v>
      </c>
      <c r="B37">
        <f>SUMIF(RawDataDead!$B:$B,$A37,RawDataDead!E:E)</f>
        <v>0</v>
      </c>
      <c r="C37">
        <f>SUMIF(RawDataDead!$B:$B,$A37,RawDataDead!F:F)</f>
        <v>0</v>
      </c>
      <c r="D37">
        <f>SUMIF(RawDataDead!$B:$B,$A37,RawDataDead!G:G)</f>
        <v>0</v>
      </c>
      <c r="E37">
        <f>SUMIF(RawDataDead!$B:$B,$A37,RawDataDead!H:H)</f>
        <v>0</v>
      </c>
      <c r="F37">
        <f>SUMIF(RawDataDead!$B:$B,$A37,RawDataDead!I:I)</f>
        <v>0</v>
      </c>
      <c r="G37">
        <f>SUMIF(RawDataDead!$B:$B,$A37,RawDataDead!J:J)</f>
        <v>0</v>
      </c>
      <c r="H37">
        <f>SUMIF(RawDataDead!$B:$B,$A37,RawDataDead!K:K)</f>
        <v>0</v>
      </c>
      <c r="I37">
        <f>SUMIF(RawDataDead!$B:$B,$A37,RawDataDead!L:L)</f>
        <v>0</v>
      </c>
      <c r="J37">
        <f>SUMIF(RawDataDead!$B:$B,$A37,RawDataDead!M:M)</f>
        <v>0</v>
      </c>
      <c r="K37">
        <f>SUMIF(RawDataDead!$B:$B,$A37,RawDataDead!N:N)</f>
        <v>0</v>
      </c>
      <c r="L37">
        <f>SUMIF(RawDataDead!$B:$B,$A37,RawDataDead!O:O)</f>
        <v>0</v>
      </c>
      <c r="M37">
        <f>SUMIF(RawDataDead!$B:$B,$A37,RawDataDead!P:P)</f>
        <v>0</v>
      </c>
      <c r="N37">
        <f>SUMIF(RawDataDead!$B:$B,$A37,RawDataDead!Q:Q)</f>
        <v>0</v>
      </c>
      <c r="O37">
        <f>SUMIF(RawDataDead!$B:$B,$A37,RawDataDead!R:R)</f>
        <v>0</v>
      </c>
      <c r="P37">
        <f>SUMIF(RawDataDead!$B:$B,$A37,RawDataDead!S:S)</f>
        <v>0</v>
      </c>
      <c r="Q37">
        <f>SUMIF(RawDataDead!$B:$B,$A37,RawDataDead!T:T)</f>
        <v>0</v>
      </c>
      <c r="R37">
        <f>SUMIF(RawDataDead!$B:$B,$A37,RawDataDead!U:U)</f>
        <v>0</v>
      </c>
      <c r="S37">
        <f>SUMIF(RawDataDead!$B:$B,$A37,RawDataDead!V:V)</f>
        <v>0</v>
      </c>
      <c r="T37">
        <f>SUMIF(RawDataDead!$B:$B,$A37,RawDataDead!W:W)</f>
        <v>0</v>
      </c>
      <c r="U37">
        <f>SUMIF(RawDataDead!$B:$B,$A37,RawDataDead!X:X)</f>
        <v>0</v>
      </c>
      <c r="V37">
        <f>SUMIF(RawDataDead!$B:$B,$A37,RawDataDead!Y:Y)</f>
        <v>0</v>
      </c>
      <c r="W37">
        <f>SUMIF(RawDataDead!$B:$B,$A37,RawDataDead!Z:Z)</f>
        <v>0</v>
      </c>
      <c r="X37">
        <f>SUMIF(RawDataDead!$B:$B,$A37,RawDataDead!AA:AA)</f>
        <v>0</v>
      </c>
      <c r="Y37">
        <f>SUMIF(RawDataDead!$B:$B,$A37,RawDataDead!AB:AB)</f>
        <v>0</v>
      </c>
      <c r="Z37">
        <f>SUMIF(RawDataDead!$B:$B,$A37,RawDataDead!AC:AC)</f>
        <v>0</v>
      </c>
      <c r="AA37">
        <f>SUMIF(RawDataDead!$B:$B,$A37,RawDataDead!AD:AD)</f>
        <v>0</v>
      </c>
      <c r="AB37">
        <f>SUMIF(RawDataDead!$B:$B,$A37,RawDataDead!AE:AE)</f>
        <v>0</v>
      </c>
      <c r="AC37">
        <f>SUMIF(RawDataDead!$B:$B,$A37,RawDataDead!AF:AF)</f>
        <v>0</v>
      </c>
      <c r="AD37">
        <f>SUMIF(RawDataDead!$B:$B,$A37,RawDataDead!AG:AG)</f>
        <v>0</v>
      </c>
      <c r="AE37">
        <f>SUMIF(RawDataDead!$B:$B,$A37,RawDataDead!AH:AH)</f>
        <v>0</v>
      </c>
      <c r="AF37">
        <f>SUMIF(RawDataDead!$B:$B,$A37,RawDataDead!AI:AI)</f>
        <v>0</v>
      </c>
      <c r="AG37">
        <f>SUMIF(RawDataDead!$B:$B,$A37,RawDataDead!AJ:AJ)</f>
        <v>0</v>
      </c>
      <c r="AH37">
        <f>SUMIF(RawDataDead!$B:$B,$A37,RawDataDead!AK:AK)</f>
        <v>0</v>
      </c>
      <c r="AI37">
        <f>SUMIF(RawDataDead!$B:$B,$A37,RawDataDead!AL:AL)</f>
        <v>0</v>
      </c>
      <c r="AJ37">
        <f>SUMIF(RawDataDead!$B:$B,$A37,RawDataDead!AM:AM)</f>
        <v>0</v>
      </c>
      <c r="AK37">
        <f>SUMIF(RawDataDead!$B:$B,$A37,RawDataDead!AN:AN)</f>
        <v>0</v>
      </c>
      <c r="AL37">
        <f>SUMIF(RawDataDead!$B:$B,$A37,RawDataDead!AO:AO)</f>
        <v>0</v>
      </c>
      <c r="AM37">
        <f>SUMIF(RawDataDead!$B:$B,$A37,RawDataDead!AP:AP)</f>
        <v>0</v>
      </c>
      <c r="AN37">
        <f>SUMIF(RawDataDead!$B:$B,$A37,RawDataDead!AQ:AQ)</f>
        <v>0</v>
      </c>
      <c r="AO37">
        <f>SUMIF(RawDataDead!$B:$B,$A37,RawDataDead!AR:AR)</f>
        <v>0</v>
      </c>
      <c r="AP37">
        <f>SUMIF(RawDataDead!$B:$B,$A37,RawDataDead!AS:AS)</f>
        <v>0</v>
      </c>
      <c r="AQ37">
        <f>SUMIF(RawDataDead!$B:$B,$A37,RawDataDead!AT:AT)</f>
        <v>0</v>
      </c>
      <c r="AR37">
        <f>SUMIF(RawDataDead!$B:$B,$A37,RawDataDead!AU:AU)</f>
        <v>0</v>
      </c>
      <c r="AS37">
        <f>SUMIF(RawDataDead!$B:$B,$A37,RawDataDead!AV:AV)</f>
        <v>0</v>
      </c>
      <c r="AT37">
        <f>SUMIF(RawDataDead!$B:$B,$A37,RawDataDead!AW:AW)</f>
        <v>0</v>
      </c>
      <c r="AU37">
        <f>SUMIF(RawDataDead!$B:$B,$A37,RawDataDead!AX:AX)</f>
        <v>0</v>
      </c>
      <c r="AV37">
        <f>SUMIF(RawDataDead!$B:$B,$A37,RawDataDead!AY:AY)</f>
        <v>0</v>
      </c>
      <c r="AW37">
        <f>SUMIF(RawDataDead!$B:$B,$A37,RawDataDead!AZ:AZ)</f>
        <v>0</v>
      </c>
      <c r="AX37">
        <f>SUMIF(RawDataDead!$B:$B,$A37,RawDataDead!BA:BA)</f>
        <v>0</v>
      </c>
      <c r="AY37">
        <f>SUMIF(RawDataDead!$B:$B,$A37,RawDataDead!BB:BB)</f>
        <v>0</v>
      </c>
      <c r="AZ37">
        <f>SUMIF(RawDataDead!$B:$B,$A37,RawDataDead!BC:BC)</f>
        <v>0</v>
      </c>
      <c r="BA37">
        <f>SUMIF(RawDataDead!$B:$B,$A37,RawDataDead!BD:BD)</f>
        <v>0</v>
      </c>
      <c r="BB37">
        <f>SUMIF(RawDataDead!$B:$B,$A37,RawDataDead!BE:BE)</f>
        <v>0</v>
      </c>
      <c r="BC37">
        <f>SUMIF(RawDataDead!$B:$B,$A37,RawDataDead!BF:BF)</f>
        <v>0</v>
      </c>
      <c r="BD37">
        <f>SUMIF(RawDataDead!$B:$B,$A37,RawDataDead!BG:BG)</f>
        <v>0</v>
      </c>
      <c r="BE37">
        <f>SUMIF(RawDataDead!$B:$B,$A37,RawDataDead!BH:BH)</f>
        <v>0</v>
      </c>
      <c r="BF37">
        <f>SUMIF(RawDataDead!$B:$B,$A37,RawDataDead!BI:BI)</f>
        <v>0</v>
      </c>
      <c r="BG37">
        <f>SUMIF(RawDataDead!$B:$B,$A37,RawDataDead!BJ:BJ)</f>
        <v>0</v>
      </c>
      <c r="BH37">
        <f>SUMIF(RawDataDead!$B:$B,$A37,RawDataDead!BK:BK)</f>
        <v>0</v>
      </c>
      <c r="BI37">
        <f>SUMIF(RawDataDead!$B:$B,$A37,RawDataDead!BL:BL)</f>
        <v>0</v>
      </c>
      <c r="BJ37">
        <f>SUMIF(RawDataDead!$B:$B,$A37,RawDataDead!BM:BM)</f>
        <v>0</v>
      </c>
      <c r="BK37">
        <f>SUMIF(RawDataDead!$B:$B,$A37,RawDataDead!BN:BN)</f>
        <v>0</v>
      </c>
      <c r="BL37">
        <f>SUMIF(RawDataDead!$B:$B,$A37,RawDataDead!BO:BO)</f>
        <v>0</v>
      </c>
      <c r="BM37">
        <f>SUMIF(RawDataDead!$B:$B,$A37,RawDataDead!BP:BP)</f>
        <v>0</v>
      </c>
      <c r="BN37">
        <f>SUMIF(RawDataDead!$B:$B,$A37,RawDataDead!BQ:BQ)</f>
        <v>0</v>
      </c>
      <c r="BO37">
        <f>SUMIF(RawDataDead!$B:$B,$A37,RawDataDead!BR:BR)</f>
        <v>0</v>
      </c>
      <c r="BP37">
        <f>SUMIF(RawDataDead!$B:$B,$A37,RawDataDead!BS:BS)</f>
        <v>0</v>
      </c>
      <c r="BQ37">
        <f>SUMIF(RawDataDead!$B:$B,$A37,RawDataDead!BT:BT)</f>
        <v>0</v>
      </c>
      <c r="BR37">
        <f>SUMIF(RawDataDead!$B:$B,$A37,RawDataDead!BU:BU)</f>
        <v>0</v>
      </c>
      <c r="BS37">
        <f>SUMIF(RawDataDead!$B:$B,$A37,RawDataDead!BV:BV)</f>
        <v>0</v>
      </c>
      <c r="BT37">
        <f>SUMIF(RawDataDead!$B:$B,$A37,RawDataDead!BW:BW)</f>
        <v>0</v>
      </c>
    </row>
    <row r="38" spans="1:72" ht="15" thickBot="1" x14ac:dyDescent="0.35">
      <c r="A38" s="4" t="s">
        <v>82</v>
      </c>
      <c r="B38">
        <f>SUMIF(RawDataDead!$B:$B,$A38,RawDataDead!E:E)</f>
        <v>0</v>
      </c>
      <c r="C38">
        <f>SUMIF(RawDataDead!$B:$B,$A38,RawDataDead!F:F)</f>
        <v>0</v>
      </c>
      <c r="D38">
        <f>SUMIF(RawDataDead!$B:$B,$A38,RawDataDead!G:G)</f>
        <v>0</v>
      </c>
      <c r="E38">
        <f>SUMIF(RawDataDead!$B:$B,$A38,RawDataDead!H:H)</f>
        <v>0</v>
      </c>
      <c r="F38">
        <f>SUMIF(RawDataDead!$B:$B,$A38,RawDataDead!I:I)</f>
        <v>0</v>
      </c>
      <c r="G38">
        <f>SUMIF(RawDataDead!$B:$B,$A38,RawDataDead!J:J)</f>
        <v>0</v>
      </c>
      <c r="H38">
        <f>SUMIF(RawDataDead!$B:$B,$A38,RawDataDead!K:K)</f>
        <v>0</v>
      </c>
      <c r="I38">
        <f>SUMIF(RawDataDead!$B:$B,$A38,RawDataDead!L:L)</f>
        <v>0</v>
      </c>
      <c r="J38">
        <f>SUMIF(RawDataDead!$B:$B,$A38,RawDataDead!M:M)</f>
        <v>0</v>
      </c>
      <c r="K38">
        <f>SUMIF(RawDataDead!$B:$B,$A38,RawDataDead!N:N)</f>
        <v>0</v>
      </c>
      <c r="L38">
        <f>SUMIF(RawDataDead!$B:$B,$A38,RawDataDead!O:O)</f>
        <v>0</v>
      </c>
      <c r="M38">
        <f>SUMIF(RawDataDead!$B:$B,$A38,RawDataDead!P:P)</f>
        <v>0</v>
      </c>
      <c r="N38">
        <f>SUMIF(RawDataDead!$B:$B,$A38,RawDataDead!Q:Q)</f>
        <v>0</v>
      </c>
      <c r="O38">
        <f>SUMIF(RawDataDead!$B:$B,$A38,RawDataDead!R:R)</f>
        <v>0</v>
      </c>
      <c r="P38">
        <f>SUMIF(RawDataDead!$B:$B,$A38,RawDataDead!S:S)</f>
        <v>0</v>
      </c>
      <c r="Q38">
        <f>SUMIF(RawDataDead!$B:$B,$A38,RawDataDead!T:T)</f>
        <v>0</v>
      </c>
      <c r="R38">
        <f>SUMIF(RawDataDead!$B:$B,$A38,RawDataDead!U:U)</f>
        <v>0</v>
      </c>
      <c r="S38">
        <f>SUMIF(RawDataDead!$B:$B,$A38,RawDataDead!V:V)</f>
        <v>0</v>
      </c>
      <c r="T38">
        <f>SUMIF(RawDataDead!$B:$B,$A38,RawDataDead!W:W)</f>
        <v>0</v>
      </c>
      <c r="U38">
        <f>SUMIF(RawDataDead!$B:$B,$A38,RawDataDead!X:X)</f>
        <v>0</v>
      </c>
      <c r="V38">
        <f>SUMIF(RawDataDead!$B:$B,$A38,RawDataDead!Y:Y)</f>
        <v>0</v>
      </c>
      <c r="W38">
        <f>SUMIF(RawDataDead!$B:$B,$A38,RawDataDead!Z:Z)</f>
        <v>0</v>
      </c>
      <c r="X38">
        <f>SUMIF(RawDataDead!$B:$B,$A38,RawDataDead!AA:AA)</f>
        <v>0</v>
      </c>
      <c r="Y38">
        <f>SUMIF(RawDataDead!$B:$B,$A38,RawDataDead!AB:AB)</f>
        <v>0</v>
      </c>
      <c r="Z38">
        <f>SUMIF(RawDataDead!$B:$B,$A38,RawDataDead!AC:AC)</f>
        <v>0</v>
      </c>
      <c r="AA38">
        <f>SUMIF(RawDataDead!$B:$B,$A38,RawDataDead!AD:AD)</f>
        <v>0</v>
      </c>
      <c r="AB38">
        <f>SUMIF(RawDataDead!$B:$B,$A38,RawDataDead!AE:AE)</f>
        <v>0</v>
      </c>
      <c r="AC38">
        <f>SUMIF(RawDataDead!$B:$B,$A38,RawDataDead!AF:AF)</f>
        <v>0</v>
      </c>
      <c r="AD38">
        <f>SUMIF(RawDataDead!$B:$B,$A38,RawDataDead!AG:AG)</f>
        <v>0</v>
      </c>
      <c r="AE38">
        <f>SUMIF(RawDataDead!$B:$B,$A38,RawDataDead!AH:AH)</f>
        <v>0</v>
      </c>
      <c r="AF38">
        <f>SUMIF(RawDataDead!$B:$B,$A38,RawDataDead!AI:AI)</f>
        <v>0</v>
      </c>
      <c r="AG38">
        <f>SUMIF(RawDataDead!$B:$B,$A38,RawDataDead!AJ:AJ)</f>
        <v>0</v>
      </c>
      <c r="AH38">
        <f>SUMIF(RawDataDead!$B:$B,$A38,RawDataDead!AK:AK)</f>
        <v>0</v>
      </c>
      <c r="AI38">
        <f>SUMIF(RawDataDead!$B:$B,$A38,RawDataDead!AL:AL)</f>
        <v>0</v>
      </c>
      <c r="AJ38">
        <f>SUMIF(RawDataDead!$B:$B,$A38,RawDataDead!AM:AM)</f>
        <v>0</v>
      </c>
      <c r="AK38">
        <f>SUMIF(RawDataDead!$B:$B,$A38,RawDataDead!AN:AN)</f>
        <v>0</v>
      </c>
      <c r="AL38">
        <f>SUMIF(RawDataDead!$B:$B,$A38,RawDataDead!AO:AO)</f>
        <v>0</v>
      </c>
      <c r="AM38">
        <f>SUMIF(RawDataDead!$B:$B,$A38,RawDataDead!AP:AP)</f>
        <v>0</v>
      </c>
      <c r="AN38">
        <f>SUMIF(RawDataDead!$B:$B,$A38,RawDataDead!AQ:AQ)</f>
        <v>0</v>
      </c>
      <c r="AO38">
        <f>SUMIF(RawDataDead!$B:$B,$A38,RawDataDead!AR:AR)</f>
        <v>0</v>
      </c>
      <c r="AP38">
        <f>SUMIF(RawDataDead!$B:$B,$A38,RawDataDead!AS:AS)</f>
        <v>0</v>
      </c>
      <c r="AQ38">
        <f>SUMIF(RawDataDead!$B:$B,$A38,RawDataDead!AT:AT)</f>
        <v>0</v>
      </c>
      <c r="AR38">
        <f>SUMIF(RawDataDead!$B:$B,$A38,RawDataDead!AU:AU)</f>
        <v>0</v>
      </c>
      <c r="AS38">
        <f>SUMIF(RawDataDead!$B:$B,$A38,RawDataDead!AV:AV)</f>
        <v>0</v>
      </c>
      <c r="AT38">
        <f>SUMIF(RawDataDead!$B:$B,$A38,RawDataDead!AW:AW)</f>
        <v>0</v>
      </c>
      <c r="AU38">
        <f>SUMIF(RawDataDead!$B:$B,$A38,RawDataDead!AX:AX)</f>
        <v>0</v>
      </c>
      <c r="AV38">
        <f>SUMIF(RawDataDead!$B:$B,$A38,RawDataDead!AY:AY)</f>
        <v>0</v>
      </c>
      <c r="AW38">
        <f>SUMIF(RawDataDead!$B:$B,$A38,RawDataDead!AZ:AZ)</f>
        <v>0</v>
      </c>
      <c r="AX38">
        <f>SUMIF(RawDataDead!$B:$B,$A38,RawDataDead!BA:BA)</f>
        <v>0</v>
      </c>
      <c r="AY38">
        <f>SUMIF(RawDataDead!$B:$B,$A38,RawDataDead!BB:BB)</f>
        <v>0</v>
      </c>
      <c r="AZ38">
        <f>SUMIF(RawDataDead!$B:$B,$A38,RawDataDead!BC:BC)</f>
        <v>0</v>
      </c>
      <c r="BA38">
        <f>SUMIF(RawDataDead!$B:$B,$A38,RawDataDead!BD:BD)</f>
        <v>0</v>
      </c>
      <c r="BB38">
        <f>SUMIF(RawDataDead!$B:$B,$A38,RawDataDead!BE:BE)</f>
        <v>0</v>
      </c>
      <c r="BC38">
        <f>SUMIF(RawDataDead!$B:$B,$A38,RawDataDead!BF:BF)</f>
        <v>0</v>
      </c>
      <c r="BD38">
        <f>SUMIF(RawDataDead!$B:$B,$A38,RawDataDead!BG:BG)</f>
        <v>0</v>
      </c>
      <c r="BE38">
        <f>SUMIF(RawDataDead!$B:$B,$A38,RawDataDead!BH:BH)</f>
        <v>0</v>
      </c>
      <c r="BF38">
        <f>SUMIF(RawDataDead!$B:$B,$A38,RawDataDead!BI:BI)</f>
        <v>0</v>
      </c>
      <c r="BG38">
        <f>SUMIF(RawDataDead!$B:$B,$A38,RawDataDead!BJ:BJ)</f>
        <v>0</v>
      </c>
      <c r="BH38">
        <f>SUMIF(RawDataDead!$B:$B,$A38,RawDataDead!BK:BK)</f>
        <v>0</v>
      </c>
      <c r="BI38">
        <f>SUMIF(RawDataDead!$B:$B,$A38,RawDataDead!BL:BL)</f>
        <v>0</v>
      </c>
      <c r="BJ38">
        <f>SUMIF(RawDataDead!$B:$B,$A38,RawDataDead!BM:BM)</f>
        <v>0</v>
      </c>
      <c r="BK38">
        <f>SUMIF(RawDataDead!$B:$B,$A38,RawDataDead!BN:BN)</f>
        <v>0</v>
      </c>
      <c r="BL38">
        <f>SUMIF(RawDataDead!$B:$B,$A38,RawDataDead!BO:BO)</f>
        <v>0</v>
      </c>
      <c r="BM38">
        <f>SUMIF(RawDataDead!$B:$B,$A38,RawDataDead!BP:BP)</f>
        <v>0</v>
      </c>
      <c r="BN38">
        <f>SUMIF(RawDataDead!$B:$B,$A38,RawDataDead!BQ:BQ)</f>
        <v>0</v>
      </c>
      <c r="BO38">
        <f>SUMIF(RawDataDead!$B:$B,$A38,RawDataDead!BR:BR)</f>
        <v>0</v>
      </c>
      <c r="BP38">
        <f>SUMIF(RawDataDead!$B:$B,$A38,RawDataDead!BS:BS)</f>
        <v>0</v>
      </c>
      <c r="BQ38">
        <f>SUMIF(RawDataDead!$B:$B,$A38,RawDataDead!BT:BT)</f>
        <v>0</v>
      </c>
      <c r="BR38">
        <f>SUMIF(RawDataDead!$B:$B,$A38,RawDataDead!BU:BU)</f>
        <v>0</v>
      </c>
      <c r="BS38">
        <f>SUMIF(RawDataDead!$B:$B,$A38,RawDataDead!BV:BV)</f>
        <v>0</v>
      </c>
      <c r="BT38">
        <f>SUMIF(RawDataDead!$B:$B,$A38,RawDataDead!BW:BW)</f>
        <v>0</v>
      </c>
    </row>
    <row r="39" spans="1:72" ht="15" thickBot="1" x14ac:dyDescent="0.35">
      <c r="A39" s="4" t="s">
        <v>84</v>
      </c>
      <c r="B39">
        <f>SUMIF(RawDataDead!$B:$B,$A39,RawDataDead!E:E)</f>
        <v>0</v>
      </c>
      <c r="C39">
        <f>SUMIF(RawDataDead!$B:$B,$A39,RawDataDead!F:F)</f>
        <v>0</v>
      </c>
      <c r="D39">
        <f>SUMIF(RawDataDead!$B:$B,$A39,RawDataDead!G:G)</f>
        <v>0</v>
      </c>
      <c r="E39">
        <f>SUMIF(RawDataDead!$B:$B,$A39,RawDataDead!H:H)</f>
        <v>0</v>
      </c>
      <c r="F39">
        <f>SUMIF(RawDataDead!$B:$B,$A39,RawDataDead!I:I)</f>
        <v>0</v>
      </c>
      <c r="G39">
        <f>SUMIF(RawDataDead!$B:$B,$A39,RawDataDead!J:J)</f>
        <v>0</v>
      </c>
      <c r="H39">
        <f>SUMIF(RawDataDead!$B:$B,$A39,RawDataDead!K:K)</f>
        <v>0</v>
      </c>
      <c r="I39">
        <f>SUMIF(RawDataDead!$B:$B,$A39,RawDataDead!L:L)</f>
        <v>0</v>
      </c>
      <c r="J39">
        <f>SUMIF(RawDataDead!$B:$B,$A39,RawDataDead!M:M)</f>
        <v>0</v>
      </c>
      <c r="K39">
        <f>SUMIF(RawDataDead!$B:$B,$A39,RawDataDead!N:N)</f>
        <v>0</v>
      </c>
      <c r="L39">
        <f>SUMIF(RawDataDead!$B:$B,$A39,RawDataDead!O:O)</f>
        <v>0</v>
      </c>
      <c r="M39">
        <f>SUMIF(RawDataDead!$B:$B,$A39,RawDataDead!P:P)</f>
        <v>0</v>
      </c>
      <c r="N39">
        <f>SUMIF(RawDataDead!$B:$B,$A39,RawDataDead!Q:Q)</f>
        <v>0</v>
      </c>
      <c r="O39">
        <f>SUMIF(RawDataDead!$B:$B,$A39,RawDataDead!R:R)</f>
        <v>0</v>
      </c>
      <c r="P39">
        <f>SUMIF(RawDataDead!$B:$B,$A39,RawDataDead!S:S)</f>
        <v>0</v>
      </c>
      <c r="Q39">
        <f>SUMIF(RawDataDead!$B:$B,$A39,RawDataDead!T:T)</f>
        <v>0</v>
      </c>
      <c r="R39">
        <f>SUMIF(RawDataDead!$B:$B,$A39,RawDataDead!U:U)</f>
        <v>0</v>
      </c>
      <c r="S39">
        <f>SUMIF(RawDataDead!$B:$B,$A39,RawDataDead!V:V)</f>
        <v>0</v>
      </c>
      <c r="T39">
        <f>SUMIF(RawDataDead!$B:$B,$A39,RawDataDead!W:W)</f>
        <v>0</v>
      </c>
      <c r="U39">
        <f>SUMIF(RawDataDead!$B:$B,$A39,RawDataDead!X:X)</f>
        <v>0</v>
      </c>
      <c r="V39">
        <f>SUMIF(RawDataDead!$B:$B,$A39,RawDataDead!Y:Y)</f>
        <v>0</v>
      </c>
      <c r="W39">
        <f>SUMIF(RawDataDead!$B:$B,$A39,RawDataDead!Z:Z)</f>
        <v>0</v>
      </c>
      <c r="X39">
        <f>SUMIF(RawDataDead!$B:$B,$A39,RawDataDead!AA:AA)</f>
        <v>0</v>
      </c>
      <c r="Y39">
        <f>SUMIF(RawDataDead!$B:$B,$A39,RawDataDead!AB:AB)</f>
        <v>0</v>
      </c>
      <c r="Z39">
        <f>SUMIF(RawDataDead!$B:$B,$A39,RawDataDead!AC:AC)</f>
        <v>0</v>
      </c>
      <c r="AA39">
        <f>SUMIF(RawDataDead!$B:$B,$A39,RawDataDead!AD:AD)</f>
        <v>0</v>
      </c>
      <c r="AB39">
        <f>SUMIF(RawDataDead!$B:$B,$A39,RawDataDead!AE:AE)</f>
        <v>0</v>
      </c>
      <c r="AC39">
        <f>SUMIF(RawDataDead!$B:$B,$A39,RawDataDead!AF:AF)</f>
        <v>0</v>
      </c>
      <c r="AD39">
        <f>SUMIF(RawDataDead!$B:$B,$A39,RawDataDead!AG:AG)</f>
        <v>0</v>
      </c>
      <c r="AE39">
        <f>SUMIF(RawDataDead!$B:$B,$A39,RawDataDead!AH:AH)</f>
        <v>0</v>
      </c>
      <c r="AF39">
        <f>SUMIF(RawDataDead!$B:$B,$A39,RawDataDead!AI:AI)</f>
        <v>0</v>
      </c>
      <c r="AG39">
        <f>SUMIF(RawDataDead!$B:$B,$A39,RawDataDead!AJ:AJ)</f>
        <v>0</v>
      </c>
      <c r="AH39">
        <f>SUMIF(RawDataDead!$B:$B,$A39,RawDataDead!AK:AK)</f>
        <v>0</v>
      </c>
      <c r="AI39">
        <f>SUMIF(RawDataDead!$B:$B,$A39,RawDataDead!AL:AL)</f>
        <v>0</v>
      </c>
      <c r="AJ39">
        <f>SUMIF(RawDataDead!$B:$B,$A39,RawDataDead!AM:AM)</f>
        <v>0</v>
      </c>
      <c r="AK39">
        <f>SUMIF(RawDataDead!$B:$B,$A39,RawDataDead!AN:AN)</f>
        <v>0</v>
      </c>
      <c r="AL39">
        <f>SUMIF(RawDataDead!$B:$B,$A39,RawDataDead!AO:AO)</f>
        <v>0</v>
      </c>
      <c r="AM39">
        <f>SUMIF(RawDataDead!$B:$B,$A39,RawDataDead!AP:AP)</f>
        <v>0</v>
      </c>
      <c r="AN39">
        <f>SUMIF(RawDataDead!$B:$B,$A39,RawDataDead!AQ:AQ)</f>
        <v>0</v>
      </c>
      <c r="AO39">
        <f>SUMIF(RawDataDead!$B:$B,$A39,RawDataDead!AR:AR)</f>
        <v>0</v>
      </c>
      <c r="AP39">
        <f>SUMIF(RawDataDead!$B:$B,$A39,RawDataDead!AS:AS)</f>
        <v>0</v>
      </c>
      <c r="AQ39">
        <f>SUMIF(RawDataDead!$B:$B,$A39,RawDataDead!AT:AT)</f>
        <v>0</v>
      </c>
      <c r="AR39">
        <f>SUMIF(RawDataDead!$B:$B,$A39,RawDataDead!AU:AU)</f>
        <v>0</v>
      </c>
      <c r="AS39">
        <f>SUMIF(RawDataDead!$B:$B,$A39,RawDataDead!AV:AV)</f>
        <v>0</v>
      </c>
      <c r="AT39">
        <f>SUMIF(RawDataDead!$B:$B,$A39,RawDataDead!AW:AW)</f>
        <v>0</v>
      </c>
      <c r="AU39">
        <f>SUMIF(RawDataDead!$B:$B,$A39,RawDataDead!AX:AX)</f>
        <v>0</v>
      </c>
      <c r="AV39">
        <f>SUMIF(RawDataDead!$B:$B,$A39,RawDataDead!AY:AY)</f>
        <v>0</v>
      </c>
      <c r="AW39">
        <f>SUMIF(RawDataDead!$B:$B,$A39,RawDataDead!AZ:AZ)</f>
        <v>0</v>
      </c>
      <c r="AX39">
        <f>SUMIF(RawDataDead!$B:$B,$A39,RawDataDead!BA:BA)</f>
        <v>0</v>
      </c>
      <c r="AY39">
        <f>SUMIF(RawDataDead!$B:$B,$A39,RawDataDead!BB:BB)</f>
        <v>1</v>
      </c>
      <c r="AZ39">
        <f>SUMIF(RawDataDead!$B:$B,$A39,RawDataDead!BC:BC)</f>
        <v>1</v>
      </c>
      <c r="BA39">
        <f>SUMIF(RawDataDead!$B:$B,$A39,RawDataDead!BD:BD)</f>
        <v>2</v>
      </c>
      <c r="BB39">
        <f>SUMIF(RawDataDead!$B:$B,$A39,RawDataDead!BE:BE)</f>
        <v>2</v>
      </c>
      <c r="BC39">
        <f>SUMIF(RawDataDead!$B:$B,$A39,RawDataDead!BF:BF)</f>
        <v>2</v>
      </c>
      <c r="BD39">
        <f>SUMIF(RawDataDead!$B:$B,$A39,RawDataDead!BG:BG)</f>
        <v>2</v>
      </c>
      <c r="BE39">
        <f>SUMIF(RawDataDead!$B:$B,$A39,RawDataDead!BH:BH)</f>
        <v>3</v>
      </c>
      <c r="BF39">
        <f>SUMIF(RawDataDead!$B:$B,$A39,RawDataDead!BI:BI)</f>
        <v>0</v>
      </c>
      <c r="BG39">
        <f>SUMIF(RawDataDead!$B:$B,$A39,RawDataDead!BJ:BJ)</f>
        <v>0</v>
      </c>
      <c r="BH39">
        <f>SUMIF(RawDataDead!$B:$B,$A39,RawDataDead!BK:BK)</f>
        <v>0</v>
      </c>
      <c r="BI39">
        <f>SUMIF(RawDataDead!$B:$B,$A39,RawDataDead!BL:BL)</f>
        <v>0</v>
      </c>
      <c r="BJ39">
        <f>SUMIF(RawDataDead!$B:$B,$A39,RawDataDead!BM:BM)</f>
        <v>0</v>
      </c>
      <c r="BK39">
        <f>SUMIF(RawDataDead!$B:$B,$A39,RawDataDead!BN:BN)</f>
        <v>0</v>
      </c>
      <c r="BL39">
        <f>SUMIF(RawDataDead!$B:$B,$A39,RawDataDead!BO:BO)</f>
        <v>0</v>
      </c>
      <c r="BM39">
        <f>SUMIF(RawDataDead!$B:$B,$A39,RawDataDead!BP:BP)</f>
        <v>0</v>
      </c>
      <c r="BN39">
        <f>SUMIF(RawDataDead!$B:$B,$A39,RawDataDead!BQ:BQ)</f>
        <v>0</v>
      </c>
      <c r="BO39">
        <f>SUMIF(RawDataDead!$B:$B,$A39,RawDataDead!BR:BR)</f>
        <v>0</v>
      </c>
      <c r="BP39">
        <f>SUMIF(RawDataDead!$B:$B,$A39,RawDataDead!BS:BS)</f>
        <v>0</v>
      </c>
      <c r="BQ39">
        <f>SUMIF(RawDataDead!$B:$B,$A39,RawDataDead!BT:BT)</f>
        <v>0</v>
      </c>
      <c r="BR39">
        <f>SUMIF(RawDataDead!$B:$B,$A39,RawDataDead!BU:BU)</f>
        <v>0</v>
      </c>
      <c r="BS39">
        <f>SUMIF(RawDataDead!$B:$B,$A39,RawDataDead!BV:BV)</f>
        <v>0</v>
      </c>
      <c r="BT39">
        <f>SUMIF(RawDataDead!$B:$B,$A39,RawDataDead!BW:BW)</f>
        <v>0</v>
      </c>
    </row>
    <row r="40" spans="1:72" ht="15" thickBot="1" x14ac:dyDescent="0.35">
      <c r="A40" s="4" t="s">
        <v>92</v>
      </c>
      <c r="B40">
        <f>SUMIF(RawDataDead!$B:$B,$A40,RawDataDead!E:E)</f>
        <v>0</v>
      </c>
      <c r="C40">
        <f>SUMIF(RawDataDead!$B:$B,$A40,RawDataDead!F:F)</f>
        <v>0</v>
      </c>
      <c r="D40">
        <f>SUMIF(RawDataDead!$B:$B,$A40,RawDataDead!G:G)</f>
        <v>0</v>
      </c>
      <c r="E40">
        <f>SUMIF(RawDataDead!$B:$B,$A40,RawDataDead!H:H)</f>
        <v>0</v>
      </c>
      <c r="F40">
        <f>SUMIF(RawDataDead!$B:$B,$A40,RawDataDead!I:I)</f>
        <v>0</v>
      </c>
      <c r="G40">
        <f>SUMIF(RawDataDead!$B:$B,$A40,RawDataDead!J:J)</f>
        <v>0</v>
      </c>
      <c r="H40">
        <f>SUMIF(RawDataDead!$B:$B,$A40,RawDataDead!K:K)</f>
        <v>0</v>
      </c>
      <c r="I40">
        <f>SUMIF(RawDataDead!$B:$B,$A40,RawDataDead!L:L)</f>
        <v>0</v>
      </c>
      <c r="J40">
        <f>SUMIF(RawDataDead!$B:$B,$A40,RawDataDead!M:M)</f>
        <v>0</v>
      </c>
      <c r="K40">
        <f>SUMIF(RawDataDead!$B:$B,$A40,RawDataDead!N:N)</f>
        <v>0</v>
      </c>
      <c r="L40">
        <f>SUMIF(RawDataDead!$B:$B,$A40,RawDataDead!O:O)</f>
        <v>0</v>
      </c>
      <c r="M40">
        <f>SUMIF(RawDataDead!$B:$B,$A40,RawDataDead!P:P)</f>
        <v>0</v>
      </c>
      <c r="N40">
        <f>SUMIF(RawDataDead!$B:$B,$A40,RawDataDead!Q:Q)</f>
        <v>0</v>
      </c>
      <c r="O40">
        <f>SUMIF(RawDataDead!$B:$B,$A40,RawDataDead!R:R)</f>
        <v>0</v>
      </c>
      <c r="P40">
        <f>SUMIF(RawDataDead!$B:$B,$A40,RawDataDead!S:S)</f>
        <v>0</v>
      </c>
      <c r="Q40">
        <f>SUMIF(RawDataDead!$B:$B,$A40,RawDataDead!T:T)</f>
        <v>0</v>
      </c>
      <c r="R40">
        <f>SUMIF(RawDataDead!$B:$B,$A40,RawDataDead!U:U)</f>
        <v>0</v>
      </c>
      <c r="S40">
        <f>SUMIF(RawDataDead!$B:$B,$A40,RawDataDead!V:V)</f>
        <v>0</v>
      </c>
      <c r="T40">
        <f>SUMIF(RawDataDead!$B:$B,$A40,RawDataDead!W:W)</f>
        <v>0</v>
      </c>
      <c r="U40">
        <f>SUMIF(RawDataDead!$B:$B,$A40,RawDataDead!X:X)</f>
        <v>0</v>
      </c>
      <c r="V40">
        <f>SUMIF(RawDataDead!$B:$B,$A40,RawDataDead!Y:Y)</f>
        <v>0</v>
      </c>
      <c r="W40">
        <f>SUMIF(RawDataDead!$B:$B,$A40,RawDataDead!Z:Z)</f>
        <v>0</v>
      </c>
      <c r="X40">
        <f>SUMIF(RawDataDead!$B:$B,$A40,RawDataDead!AA:AA)</f>
        <v>0</v>
      </c>
      <c r="Y40">
        <f>SUMIF(RawDataDead!$B:$B,$A40,RawDataDead!AB:AB)</f>
        <v>0</v>
      </c>
      <c r="Z40">
        <f>SUMIF(RawDataDead!$B:$B,$A40,RawDataDead!AC:AC)</f>
        <v>0</v>
      </c>
      <c r="AA40">
        <f>SUMIF(RawDataDead!$B:$B,$A40,RawDataDead!AD:AD)</f>
        <v>0</v>
      </c>
      <c r="AB40">
        <f>SUMIF(RawDataDead!$B:$B,$A40,RawDataDead!AE:AE)</f>
        <v>0</v>
      </c>
      <c r="AC40">
        <f>SUMIF(RawDataDead!$B:$B,$A40,RawDataDead!AF:AF)</f>
        <v>0</v>
      </c>
      <c r="AD40">
        <f>SUMIF(RawDataDead!$B:$B,$A40,RawDataDead!AG:AG)</f>
        <v>0</v>
      </c>
      <c r="AE40">
        <f>SUMIF(RawDataDead!$B:$B,$A40,RawDataDead!AH:AH)</f>
        <v>0</v>
      </c>
      <c r="AF40">
        <f>SUMIF(RawDataDead!$B:$B,$A40,RawDataDead!AI:AI)</f>
        <v>0</v>
      </c>
      <c r="AG40">
        <f>SUMIF(RawDataDead!$B:$B,$A40,RawDataDead!AJ:AJ)</f>
        <v>0</v>
      </c>
      <c r="AH40">
        <f>SUMIF(RawDataDead!$B:$B,$A40,RawDataDead!AK:AK)</f>
        <v>0</v>
      </c>
      <c r="AI40">
        <f>SUMIF(RawDataDead!$B:$B,$A40,RawDataDead!AL:AL)</f>
        <v>0</v>
      </c>
      <c r="AJ40">
        <f>SUMIF(RawDataDead!$B:$B,$A40,RawDataDead!AM:AM)</f>
        <v>0</v>
      </c>
      <c r="AK40">
        <f>SUMIF(RawDataDead!$B:$B,$A40,RawDataDead!AN:AN)</f>
        <v>0</v>
      </c>
      <c r="AL40">
        <f>SUMIF(RawDataDead!$B:$B,$A40,RawDataDead!AO:AO)</f>
        <v>0</v>
      </c>
      <c r="AM40">
        <f>SUMIF(RawDataDead!$B:$B,$A40,RawDataDead!AP:AP)</f>
        <v>0</v>
      </c>
      <c r="AN40">
        <f>SUMIF(RawDataDead!$B:$B,$A40,RawDataDead!AQ:AQ)</f>
        <v>0</v>
      </c>
      <c r="AO40">
        <f>SUMIF(RawDataDead!$B:$B,$A40,RawDataDead!AR:AR)</f>
        <v>0</v>
      </c>
      <c r="AP40">
        <f>SUMIF(RawDataDead!$B:$B,$A40,RawDataDead!AS:AS)</f>
        <v>0</v>
      </c>
      <c r="AQ40">
        <f>SUMIF(RawDataDead!$B:$B,$A40,RawDataDead!AT:AT)</f>
        <v>0</v>
      </c>
      <c r="AR40">
        <f>SUMIF(RawDataDead!$B:$B,$A40,RawDataDead!AU:AU)</f>
        <v>0</v>
      </c>
      <c r="AS40">
        <f>SUMIF(RawDataDead!$B:$B,$A40,RawDataDead!AV:AV)</f>
        <v>0</v>
      </c>
      <c r="AT40">
        <f>SUMIF(RawDataDead!$B:$B,$A40,RawDataDead!AW:AW)</f>
        <v>0</v>
      </c>
      <c r="AU40">
        <f>SUMIF(RawDataDead!$B:$B,$A40,RawDataDead!AX:AX)</f>
        <v>0</v>
      </c>
      <c r="AV40">
        <f>SUMIF(RawDataDead!$B:$B,$A40,RawDataDead!AY:AY)</f>
        <v>1</v>
      </c>
      <c r="AW40">
        <f>SUMIF(RawDataDead!$B:$B,$A40,RawDataDead!AZ:AZ)</f>
        <v>1</v>
      </c>
      <c r="AX40">
        <f>SUMIF(RawDataDead!$B:$B,$A40,RawDataDead!BA:BA)</f>
        <v>1</v>
      </c>
      <c r="AY40">
        <f>SUMIF(RawDataDead!$B:$B,$A40,RawDataDead!BB:BB)</f>
        <v>1</v>
      </c>
      <c r="AZ40">
        <f>SUMIF(RawDataDead!$B:$B,$A40,RawDataDead!BC:BC)</f>
        <v>1</v>
      </c>
      <c r="BA40">
        <f>SUMIF(RawDataDead!$B:$B,$A40,RawDataDead!BD:BD)</f>
        <v>2</v>
      </c>
      <c r="BB40">
        <f>SUMIF(RawDataDead!$B:$B,$A40,RawDataDead!BE:BE)</f>
        <v>2</v>
      </c>
      <c r="BC40">
        <f>SUMIF(RawDataDead!$B:$B,$A40,RawDataDead!BF:BF)</f>
        <v>2</v>
      </c>
      <c r="BD40">
        <f>SUMIF(RawDataDead!$B:$B,$A40,RawDataDead!BG:BG)</f>
        <v>2</v>
      </c>
      <c r="BE40">
        <f>SUMIF(RawDataDead!$B:$B,$A40,RawDataDead!BH:BH)</f>
        <v>4</v>
      </c>
      <c r="BF40">
        <f>SUMIF(RawDataDead!$B:$B,$A40,RawDataDead!BI:BI)</f>
        <v>0</v>
      </c>
      <c r="BG40">
        <f>SUMIF(RawDataDead!$B:$B,$A40,RawDataDead!BJ:BJ)</f>
        <v>0</v>
      </c>
      <c r="BH40">
        <f>SUMIF(RawDataDead!$B:$B,$A40,RawDataDead!BK:BK)</f>
        <v>0</v>
      </c>
      <c r="BI40">
        <f>SUMIF(RawDataDead!$B:$B,$A40,RawDataDead!BL:BL)</f>
        <v>0</v>
      </c>
      <c r="BJ40">
        <f>SUMIF(RawDataDead!$B:$B,$A40,RawDataDead!BM:BM)</f>
        <v>0</v>
      </c>
      <c r="BK40">
        <f>SUMIF(RawDataDead!$B:$B,$A40,RawDataDead!BN:BN)</f>
        <v>0</v>
      </c>
      <c r="BL40">
        <f>SUMIF(RawDataDead!$B:$B,$A40,RawDataDead!BO:BO)</f>
        <v>0</v>
      </c>
      <c r="BM40">
        <f>SUMIF(RawDataDead!$B:$B,$A40,RawDataDead!BP:BP)</f>
        <v>0</v>
      </c>
      <c r="BN40">
        <f>SUMIF(RawDataDead!$B:$B,$A40,RawDataDead!BQ:BQ)</f>
        <v>0</v>
      </c>
      <c r="BO40">
        <f>SUMIF(RawDataDead!$B:$B,$A40,RawDataDead!BR:BR)</f>
        <v>0</v>
      </c>
      <c r="BP40">
        <f>SUMIF(RawDataDead!$B:$B,$A40,RawDataDead!BS:BS)</f>
        <v>0</v>
      </c>
      <c r="BQ40">
        <f>SUMIF(RawDataDead!$B:$B,$A40,RawDataDead!BT:BT)</f>
        <v>0</v>
      </c>
      <c r="BR40">
        <f>SUMIF(RawDataDead!$B:$B,$A40,RawDataDead!BU:BU)</f>
        <v>0</v>
      </c>
      <c r="BS40">
        <f>SUMIF(RawDataDead!$B:$B,$A40,RawDataDead!BV:BV)</f>
        <v>0</v>
      </c>
      <c r="BT40">
        <f>SUMIF(RawDataDead!$B:$B,$A40,RawDataDead!BW:BW)</f>
        <v>0</v>
      </c>
    </row>
    <row r="41" spans="1:72" ht="15" thickBot="1" x14ac:dyDescent="0.35">
      <c r="A41" s="3" t="s">
        <v>101</v>
      </c>
      <c r="B41">
        <f>SUMIF(RawDataDead!$B:$B,$A41,RawDataDead!E:E)</f>
        <v>0</v>
      </c>
      <c r="C41">
        <f>SUMIF(RawDataDead!$B:$B,$A41,RawDataDead!F:F)</f>
        <v>0</v>
      </c>
      <c r="D41">
        <f>SUMIF(RawDataDead!$B:$B,$A41,RawDataDead!G:G)</f>
        <v>0</v>
      </c>
      <c r="E41">
        <f>SUMIF(RawDataDead!$B:$B,$A41,RawDataDead!H:H)</f>
        <v>0</v>
      </c>
      <c r="F41">
        <f>SUMIF(RawDataDead!$B:$B,$A41,RawDataDead!I:I)</f>
        <v>0</v>
      </c>
      <c r="G41">
        <f>SUMIF(RawDataDead!$B:$B,$A41,RawDataDead!J:J)</f>
        <v>0</v>
      </c>
      <c r="H41">
        <f>SUMIF(RawDataDead!$B:$B,$A41,RawDataDead!K:K)</f>
        <v>0</v>
      </c>
      <c r="I41">
        <f>SUMIF(RawDataDead!$B:$B,$A41,RawDataDead!L:L)</f>
        <v>0</v>
      </c>
      <c r="J41">
        <f>SUMIF(RawDataDead!$B:$B,$A41,RawDataDead!M:M)</f>
        <v>0</v>
      </c>
      <c r="K41">
        <f>SUMIF(RawDataDead!$B:$B,$A41,RawDataDead!N:N)</f>
        <v>0</v>
      </c>
      <c r="L41">
        <f>SUMIF(RawDataDead!$B:$B,$A41,RawDataDead!O:O)</f>
        <v>0</v>
      </c>
      <c r="M41">
        <f>SUMIF(RawDataDead!$B:$B,$A41,RawDataDead!P:P)</f>
        <v>0</v>
      </c>
      <c r="N41">
        <f>SUMIF(RawDataDead!$B:$B,$A41,RawDataDead!Q:Q)</f>
        <v>0</v>
      </c>
      <c r="O41">
        <f>SUMIF(RawDataDead!$B:$B,$A41,RawDataDead!R:R)</f>
        <v>0</v>
      </c>
      <c r="P41">
        <f>SUMIF(RawDataDead!$B:$B,$A41,RawDataDead!S:S)</f>
        <v>0</v>
      </c>
      <c r="Q41">
        <f>SUMIF(RawDataDead!$B:$B,$A41,RawDataDead!T:T)</f>
        <v>0</v>
      </c>
      <c r="R41">
        <f>SUMIF(RawDataDead!$B:$B,$A41,RawDataDead!U:U)</f>
        <v>0</v>
      </c>
      <c r="S41">
        <f>SUMIF(RawDataDead!$B:$B,$A41,RawDataDead!V:V)</f>
        <v>0</v>
      </c>
      <c r="T41">
        <f>SUMIF(RawDataDead!$B:$B,$A41,RawDataDead!W:W)</f>
        <v>0</v>
      </c>
      <c r="U41">
        <f>SUMIF(RawDataDead!$B:$B,$A41,RawDataDead!X:X)</f>
        <v>0</v>
      </c>
      <c r="V41">
        <f>SUMIF(RawDataDead!$B:$B,$A41,RawDataDead!Y:Y)</f>
        <v>0</v>
      </c>
      <c r="W41">
        <f>SUMIF(RawDataDead!$B:$B,$A41,RawDataDead!Z:Z)</f>
        <v>0</v>
      </c>
      <c r="X41">
        <f>SUMIF(RawDataDead!$B:$B,$A41,RawDataDead!AA:AA)</f>
        <v>0</v>
      </c>
      <c r="Y41">
        <f>SUMIF(RawDataDead!$B:$B,$A41,RawDataDead!AB:AB)</f>
        <v>0</v>
      </c>
      <c r="Z41">
        <f>SUMIF(RawDataDead!$B:$B,$A41,RawDataDead!AC:AC)</f>
        <v>0</v>
      </c>
      <c r="AA41">
        <f>SUMIF(RawDataDead!$B:$B,$A41,RawDataDead!AD:AD)</f>
        <v>0</v>
      </c>
      <c r="AB41">
        <f>SUMIF(RawDataDead!$B:$B,$A41,RawDataDead!AE:AE)</f>
        <v>0</v>
      </c>
      <c r="AC41">
        <f>SUMIF(RawDataDead!$B:$B,$A41,RawDataDead!AF:AF)</f>
        <v>0</v>
      </c>
      <c r="AD41">
        <f>SUMIF(RawDataDead!$B:$B,$A41,RawDataDead!AG:AG)</f>
        <v>0</v>
      </c>
      <c r="AE41">
        <f>SUMIF(RawDataDead!$B:$B,$A41,RawDataDead!AH:AH)</f>
        <v>0</v>
      </c>
      <c r="AF41">
        <f>SUMIF(RawDataDead!$B:$B,$A41,RawDataDead!AI:AI)</f>
        <v>0</v>
      </c>
      <c r="AG41">
        <f>SUMIF(RawDataDead!$B:$B,$A41,RawDataDead!AJ:AJ)</f>
        <v>0</v>
      </c>
      <c r="AH41">
        <f>SUMIF(RawDataDead!$B:$B,$A41,RawDataDead!AK:AK)</f>
        <v>0</v>
      </c>
      <c r="AI41">
        <f>SUMIF(RawDataDead!$B:$B,$A41,RawDataDead!AL:AL)</f>
        <v>0</v>
      </c>
      <c r="AJ41">
        <f>SUMIF(RawDataDead!$B:$B,$A41,RawDataDead!AM:AM)</f>
        <v>0</v>
      </c>
      <c r="AK41">
        <f>SUMIF(RawDataDead!$B:$B,$A41,RawDataDead!AN:AN)</f>
        <v>0</v>
      </c>
      <c r="AL41">
        <f>SUMIF(RawDataDead!$B:$B,$A41,RawDataDead!AO:AO)</f>
        <v>0</v>
      </c>
      <c r="AM41">
        <f>SUMIF(RawDataDead!$B:$B,$A41,RawDataDead!AP:AP)</f>
        <v>0</v>
      </c>
      <c r="AN41">
        <f>SUMIF(RawDataDead!$B:$B,$A41,RawDataDead!AQ:AQ)</f>
        <v>0</v>
      </c>
      <c r="AO41">
        <f>SUMIF(RawDataDead!$B:$B,$A41,RawDataDead!AR:AR)</f>
        <v>0</v>
      </c>
      <c r="AP41">
        <f>SUMIF(RawDataDead!$B:$B,$A41,RawDataDead!AS:AS)</f>
        <v>0</v>
      </c>
      <c r="AQ41">
        <f>SUMIF(RawDataDead!$B:$B,$A41,RawDataDead!AT:AT)</f>
        <v>0</v>
      </c>
      <c r="AR41">
        <f>SUMIF(RawDataDead!$B:$B,$A41,RawDataDead!AU:AU)</f>
        <v>0</v>
      </c>
      <c r="AS41">
        <f>SUMIF(RawDataDead!$B:$B,$A41,RawDataDead!AV:AV)</f>
        <v>0</v>
      </c>
      <c r="AT41">
        <f>SUMIF(RawDataDead!$B:$B,$A41,RawDataDead!AW:AW)</f>
        <v>0</v>
      </c>
      <c r="AU41">
        <f>SUMIF(RawDataDead!$B:$B,$A41,RawDataDead!AX:AX)</f>
        <v>0</v>
      </c>
      <c r="AV41">
        <f>SUMIF(RawDataDead!$B:$B,$A41,RawDataDead!AY:AY)</f>
        <v>0</v>
      </c>
      <c r="AW41">
        <f>SUMIF(RawDataDead!$B:$B,$A41,RawDataDead!AZ:AZ)</f>
        <v>0</v>
      </c>
      <c r="AX41">
        <f>SUMIF(RawDataDead!$B:$B,$A41,RawDataDead!BA:BA)</f>
        <v>0</v>
      </c>
      <c r="AY41">
        <f>SUMIF(RawDataDead!$B:$B,$A41,RawDataDead!BB:BB)</f>
        <v>0</v>
      </c>
      <c r="AZ41">
        <f>SUMIF(RawDataDead!$B:$B,$A41,RawDataDead!BC:BC)</f>
        <v>0</v>
      </c>
      <c r="BA41">
        <f>SUMIF(RawDataDead!$B:$B,$A41,RawDataDead!BD:BD)</f>
        <v>0</v>
      </c>
      <c r="BB41">
        <f>SUMIF(RawDataDead!$B:$B,$A41,RawDataDead!BE:BE)</f>
        <v>0</v>
      </c>
      <c r="BC41">
        <f>SUMIF(RawDataDead!$B:$B,$A41,RawDataDead!BF:BF)</f>
        <v>0</v>
      </c>
      <c r="BD41">
        <f>SUMIF(RawDataDead!$B:$B,$A41,RawDataDead!BG:BG)</f>
        <v>0</v>
      </c>
      <c r="BE41">
        <f>SUMIF(RawDataDead!$B:$B,$A41,RawDataDead!BH:BH)</f>
        <v>0</v>
      </c>
      <c r="BF41">
        <f>SUMIF(RawDataDead!$B:$B,$A41,RawDataDead!BI:BI)</f>
        <v>0</v>
      </c>
      <c r="BG41">
        <f>SUMIF(RawDataDead!$B:$B,$A41,RawDataDead!BJ:BJ)</f>
        <v>0</v>
      </c>
      <c r="BH41">
        <f>SUMIF(RawDataDead!$B:$B,$A41,RawDataDead!BK:BK)</f>
        <v>0</v>
      </c>
      <c r="BI41">
        <f>SUMIF(RawDataDead!$B:$B,$A41,RawDataDead!BL:BL)</f>
        <v>0</v>
      </c>
      <c r="BJ41">
        <f>SUMIF(RawDataDead!$B:$B,$A41,RawDataDead!BM:BM)</f>
        <v>0</v>
      </c>
      <c r="BK41">
        <f>SUMIF(RawDataDead!$B:$B,$A41,RawDataDead!BN:BN)</f>
        <v>0</v>
      </c>
      <c r="BL41">
        <f>SUMIF(RawDataDead!$B:$B,$A41,RawDataDead!BO:BO)</f>
        <v>0</v>
      </c>
      <c r="BM41">
        <f>SUMIF(RawDataDead!$B:$B,$A41,RawDataDead!BP:BP)</f>
        <v>0</v>
      </c>
      <c r="BN41">
        <f>SUMIF(RawDataDead!$B:$B,$A41,RawDataDead!BQ:BQ)</f>
        <v>0</v>
      </c>
      <c r="BO41">
        <f>SUMIF(RawDataDead!$B:$B,$A41,RawDataDead!BR:BR)</f>
        <v>0</v>
      </c>
      <c r="BP41">
        <f>SUMIF(RawDataDead!$B:$B,$A41,RawDataDead!BS:BS)</f>
        <v>0</v>
      </c>
      <c r="BQ41">
        <f>SUMIF(RawDataDead!$B:$B,$A41,RawDataDead!BT:BT)</f>
        <v>0</v>
      </c>
      <c r="BR41">
        <f>SUMIF(RawDataDead!$B:$B,$A41,RawDataDead!BU:BU)</f>
        <v>0</v>
      </c>
      <c r="BS41">
        <f>SUMIF(RawDataDead!$B:$B,$A41,RawDataDead!BV:BV)</f>
        <v>0</v>
      </c>
      <c r="BT41">
        <f>SUMIF(RawDataDead!$B:$B,$A41,RawDataDead!BW:BW)</f>
        <v>0</v>
      </c>
    </row>
    <row r="42" spans="1:72" ht="15" thickBot="1" x14ac:dyDescent="0.35">
      <c r="A42" s="4" t="s">
        <v>117</v>
      </c>
      <c r="B42">
        <f>SUMIF(RawDataDead!$B:$B,$A42,RawDataDead!E:E)</f>
        <v>0</v>
      </c>
      <c r="C42">
        <f>SUMIF(RawDataDead!$B:$B,$A42,RawDataDead!F:F)</f>
        <v>0</v>
      </c>
      <c r="D42">
        <f>SUMIF(RawDataDead!$B:$B,$A42,RawDataDead!G:G)</f>
        <v>0</v>
      </c>
      <c r="E42">
        <f>SUMIF(RawDataDead!$B:$B,$A42,RawDataDead!H:H)</f>
        <v>0</v>
      </c>
      <c r="F42">
        <f>SUMIF(RawDataDead!$B:$B,$A42,RawDataDead!I:I)</f>
        <v>0</v>
      </c>
      <c r="G42">
        <f>SUMIF(RawDataDead!$B:$B,$A42,RawDataDead!J:J)</f>
        <v>0</v>
      </c>
      <c r="H42">
        <f>SUMIF(RawDataDead!$B:$B,$A42,RawDataDead!K:K)</f>
        <v>0</v>
      </c>
      <c r="I42">
        <f>SUMIF(RawDataDead!$B:$B,$A42,RawDataDead!L:L)</f>
        <v>0</v>
      </c>
      <c r="J42">
        <f>SUMIF(RawDataDead!$B:$B,$A42,RawDataDead!M:M)</f>
        <v>0</v>
      </c>
      <c r="K42">
        <f>SUMIF(RawDataDead!$B:$B,$A42,RawDataDead!N:N)</f>
        <v>0</v>
      </c>
      <c r="L42">
        <f>SUMIF(RawDataDead!$B:$B,$A42,RawDataDead!O:O)</f>
        <v>0</v>
      </c>
      <c r="M42">
        <f>SUMIF(RawDataDead!$B:$B,$A42,RawDataDead!P:P)</f>
        <v>0</v>
      </c>
      <c r="N42">
        <f>SUMIF(RawDataDead!$B:$B,$A42,RawDataDead!Q:Q)</f>
        <v>0</v>
      </c>
      <c r="O42">
        <f>SUMIF(RawDataDead!$B:$B,$A42,RawDataDead!R:R)</f>
        <v>0</v>
      </c>
      <c r="P42">
        <f>SUMIF(RawDataDead!$B:$B,$A42,RawDataDead!S:S)</f>
        <v>0</v>
      </c>
      <c r="Q42">
        <f>SUMIF(RawDataDead!$B:$B,$A42,RawDataDead!T:T)</f>
        <v>0</v>
      </c>
      <c r="R42">
        <f>SUMIF(RawDataDead!$B:$B,$A42,RawDataDead!U:U)</f>
        <v>0</v>
      </c>
      <c r="S42">
        <f>SUMIF(RawDataDead!$B:$B,$A42,RawDataDead!V:V)</f>
        <v>0</v>
      </c>
      <c r="T42">
        <f>SUMIF(RawDataDead!$B:$B,$A42,RawDataDead!W:W)</f>
        <v>0</v>
      </c>
      <c r="U42">
        <f>SUMIF(RawDataDead!$B:$B,$A42,RawDataDead!X:X)</f>
        <v>0</v>
      </c>
      <c r="V42">
        <f>SUMIF(RawDataDead!$B:$B,$A42,RawDataDead!Y:Y)</f>
        <v>0</v>
      </c>
      <c r="W42">
        <f>SUMIF(RawDataDead!$B:$B,$A42,RawDataDead!Z:Z)</f>
        <v>0</v>
      </c>
      <c r="X42">
        <f>SUMIF(RawDataDead!$B:$B,$A42,RawDataDead!AA:AA)</f>
        <v>0</v>
      </c>
      <c r="Y42">
        <f>SUMIF(RawDataDead!$B:$B,$A42,RawDataDead!AB:AB)</f>
        <v>0</v>
      </c>
      <c r="Z42">
        <f>SUMIF(RawDataDead!$B:$B,$A42,RawDataDead!AC:AC)</f>
        <v>0</v>
      </c>
      <c r="AA42">
        <f>SUMIF(RawDataDead!$B:$B,$A42,RawDataDead!AD:AD)</f>
        <v>0</v>
      </c>
      <c r="AB42">
        <f>SUMIF(RawDataDead!$B:$B,$A42,RawDataDead!AE:AE)</f>
        <v>0</v>
      </c>
      <c r="AC42">
        <f>SUMIF(RawDataDead!$B:$B,$A42,RawDataDead!AF:AF)</f>
        <v>0</v>
      </c>
      <c r="AD42">
        <f>SUMIF(RawDataDead!$B:$B,$A42,RawDataDead!AG:AG)</f>
        <v>0</v>
      </c>
      <c r="AE42">
        <f>SUMIF(RawDataDead!$B:$B,$A42,RawDataDead!AH:AH)</f>
        <v>0</v>
      </c>
      <c r="AF42">
        <f>SUMIF(RawDataDead!$B:$B,$A42,RawDataDead!AI:AI)</f>
        <v>0</v>
      </c>
      <c r="AG42">
        <f>SUMIF(RawDataDead!$B:$B,$A42,RawDataDead!AJ:AJ)</f>
        <v>0</v>
      </c>
      <c r="AH42">
        <f>SUMIF(RawDataDead!$B:$B,$A42,RawDataDead!AK:AK)</f>
        <v>0</v>
      </c>
      <c r="AI42">
        <f>SUMIF(RawDataDead!$B:$B,$A42,RawDataDead!AL:AL)</f>
        <v>0</v>
      </c>
      <c r="AJ42">
        <f>SUMIF(RawDataDead!$B:$B,$A42,RawDataDead!AM:AM)</f>
        <v>0</v>
      </c>
      <c r="AK42">
        <f>SUMIF(RawDataDead!$B:$B,$A42,RawDataDead!AN:AN)</f>
        <v>0</v>
      </c>
      <c r="AL42">
        <f>SUMIF(RawDataDead!$B:$B,$A42,RawDataDead!AO:AO)</f>
        <v>0</v>
      </c>
      <c r="AM42">
        <f>SUMIF(RawDataDead!$B:$B,$A42,RawDataDead!AP:AP)</f>
        <v>0</v>
      </c>
      <c r="AN42">
        <f>SUMIF(RawDataDead!$B:$B,$A42,RawDataDead!AQ:AQ)</f>
        <v>0</v>
      </c>
      <c r="AO42">
        <f>SUMIF(RawDataDead!$B:$B,$A42,RawDataDead!AR:AR)</f>
        <v>0</v>
      </c>
      <c r="AP42">
        <f>SUMIF(RawDataDead!$B:$B,$A42,RawDataDead!AS:AS)</f>
        <v>0</v>
      </c>
      <c r="AQ42">
        <f>SUMIF(RawDataDead!$B:$B,$A42,RawDataDead!AT:AT)</f>
        <v>1</v>
      </c>
      <c r="AR42">
        <f>SUMIF(RawDataDead!$B:$B,$A42,RawDataDead!AU:AU)</f>
        <v>1</v>
      </c>
      <c r="AS42">
        <f>SUMIF(RawDataDead!$B:$B,$A42,RawDataDead!AV:AV)</f>
        <v>1</v>
      </c>
      <c r="AT42">
        <f>SUMIF(RawDataDead!$B:$B,$A42,RawDataDead!AW:AW)</f>
        <v>1</v>
      </c>
      <c r="AU42">
        <f>SUMIF(RawDataDead!$B:$B,$A42,RawDataDead!AX:AX)</f>
        <v>1</v>
      </c>
      <c r="AV42">
        <f>SUMIF(RawDataDead!$B:$B,$A42,RawDataDead!AY:AY)</f>
        <v>1</v>
      </c>
      <c r="AW42">
        <f>SUMIF(RawDataDead!$B:$B,$A42,RawDataDead!AZ:AZ)</f>
        <v>1</v>
      </c>
      <c r="AX42">
        <f>SUMIF(RawDataDead!$B:$B,$A42,RawDataDead!BA:BA)</f>
        <v>2</v>
      </c>
      <c r="AY42">
        <f>SUMIF(RawDataDead!$B:$B,$A42,RawDataDead!BB:BB)</f>
        <v>2</v>
      </c>
      <c r="AZ42">
        <f>SUMIF(RawDataDead!$B:$B,$A42,RawDataDead!BC:BC)</f>
        <v>3</v>
      </c>
      <c r="BA42">
        <f>SUMIF(RawDataDead!$B:$B,$A42,RawDataDead!BD:BD)</f>
        <v>5</v>
      </c>
      <c r="BB42">
        <f>SUMIF(RawDataDead!$B:$B,$A42,RawDataDead!BE:BE)</f>
        <v>5</v>
      </c>
      <c r="BC42">
        <f>SUMIF(RawDataDead!$B:$B,$A42,RawDataDead!BF:BF)</f>
        <v>5</v>
      </c>
      <c r="BD42">
        <f>SUMIF(RawDataDead!$B:$B,$A42,RawDataDead!BG:BG)</f>
        <v>7</v>
      </c>
      <c r="BE42">
        <f>SUMIF(RawDataDead!$B:$B,$A42,RawDataDead!BH:BH)</f>
        <v>7</v>
      </c>
      <c r="BF42">
        <f>SUMIF(RawDataDead!$B:$B,$A42,RawDataDead!BI:BI)</f>
        <v>0</v>
      </c>
      <c r="BG42">
        <f>SUMIF(RawDataDead!$B:$B,$A42,RawDataDead!BJ:BJ)</f>
        <v>0</v>
      </c>
      <c r="BH42">
        <f>SUMIF(RawDataDead!$B:$B,$A42,RawDataDead!BK:BK)</f>
        <v>0</v>
      </c>
      <c r="BI42">
        <f>SUMIF(RawDataDead!$B:$B,$A42,RawDataDead!BL:BL)</f>
        <v>0</v>
      </c>
      <c r="BJ42">
        <f>SUMIF(RawDataDead!$B:$B,$A42,RawDataDead!BM:BM)</f>
        <v>0</v>
      </c>
      <c r="BK42">
        <f>SUMIF(RawDataDead!$B:$B,$A42,RawDataDead!BN:BN)</f>
        <v>0</v>
      </c>
      <c r="BL42">
        <f>SUMIF(RawDataDead!$B:$B,$A42,RawDataDead!BO:BO)</f>
        <v>0</v>
      </c>
      <c r="BM42">
        <f>SUMIF(RawDataDead!$B:$B,$A42,RawDataDead!BP:BP)</f>
        <v>0</v>
      </c>
      <c r="BN42">
        <f>SUMIF(RawDataDead!$B:$B,$A42,RawDataDead!BQ:BQ)</f>
        <v>0</v>
      </c>
      <c r="BO42">
        <f>SUMIF(RawDataDead!$B:$B,$A42,RawDataDead!BR:BR)</f>
        <v>0</v>
      </c>
      <c r="BP42">
        <f>SUMIF(RawDataDead!$B:$B,$A42,RawDataDead!BS:BS)</f>
        <v>0</v>
      </c>
      <c r="BQ42">
        <f>SUMIF(RawDataDead!$B:$B,$A42,RawDataDead!BT:BT)</f>
        <v>0</v>
      </c>
      <c r="BR42">
        <f>SUMIF(RawDataDead!$B:$B,$A42,RawDataDead!BU:BU)</f>
        <v>0</v>
      </c>
      <c r="BS42">
        <f>SUMIF(RawDataDead!$B:$B,$A42,RawDataDead!BV:BV)</f>
        <v>0</v>
      </c>
      <c r="BT42">
        <f>SUMIF(RawDataDead!$B:$B,$A42,RawDataDead!BW:BW)</f>
        <v>0</v>
      </c>
    </row>
    <row r="43" spans="1:72" ht="15" thickBot="1" x14ac:dyDescent="0.35">
      <c r="A43" s="4" t="s">
        <v>115</v>
      </c>
      <c r="B43">
        <f>SUMIF(RawDataDead!$B:$B,$A43,RawDataDead!E:E)</f>
        <v>0</v>
      </c>
      <c r="C43">
        <f>SUMIF(RawDataDead!$B:$B,$A43,RawDataDead!F:F)</f>
        <v>0</v>
      </c>
      <c r="D43">
        <f>SUMIF(RawDataDead!$B:$B,$A43,RawDataDead!G:G)</f>
        <v>0</v>
      </c>
      <c r="E43">
        <f>SUMIF(RawDataDead!$B:$B,$A43,RawDataDead!H:H)</f>
        <v>0</v>
      </c>
      <c r="F43">
        <f>SUMIF(RawDataDead!$B:$B,$A43,RawDataDead!I:I)</f>
        <v>0</v>
      </c>
      <c r="G43">
        <f>SUMIF(RawDataDead!$B:$B,$A43,RawDataDead!J:J)</f>
        <v>0</v>
      </c>
      <c r="H43">
        <f>SUMIF(RawDataDead!$B:$B,$A43,RawDataDead!K:K)</f>
        <v>0</v>
      </c>
      <c r="I43">
        <f>SUMIF(RawDataDead!$B:$B,$A43,RawDataDead!L:L)</f>
        <v>0</v>
      </c>
      <c r="J43">
        <f>SUMIF(RawDataDead!$B:$B,$A43,RawDataDead!M:M)</f>
        <v>0</v>
      </c>
      <c r="K43">
        <f>SUMIF(RawDataDead!$B:$B,$A43,RawDataDead!N:N)</f>
        <v>0</v>
      </c>
      <c r="L43">
        <f>SUMIF(RawDataDead!$B:$B,$A43,RawDataDead!O:O)</f>
        <v>0</v>
      </c>
      <c r="M43">
        <f>SUMIF(RawDataDead!$B:$B,$A43,RawDataDead!P:P)</f>
        <v>0</v>
      </c>
      <c r="N43">
        <f>SUMIF(RawDataDead!$B:$B,$A43,RawDataDead!Q:Q)</f>
        <v>0</v>
      </c>
      <c r="O43">
        <f>SUMIF(RawDataDead!$B:$B,$A43,RawDataDead!R:R)</f>
        <v>0</v>
      </c>
      <c r="P43">
        <f>SUMIF(RawDataDead!$B:$B,$A43,RawDataDead!S:S)</f>
        <v>0</v>
      </c>
      <c r="Q43">
        <f>SUMIF(RawDataDead!$B:$B,$A43,RawDataDead!T:T)</f>
        <v>0</v>
      </c>
      <c r="R43">
        <f>SUMIF(RawDataDead!$B:$B,$A43,RawDataDead!U:U)</f>
        <v>0</v>
      </c>
      <c r="S43">
        <f>SUMIF(RawDataDead!$B:$B,$A43,RawDataDead!V:V)</f>
        <v>0</v>
      </c>
      <c r="T43">
        <f>SUMIF(RawDataDead!$B:$B,$A43,RawDataDead!W:W)</f>
        <v>0</v>
      </c>
      <c r="U43">
        <f>SUMIF(RawDataDead!$B:$B,$A43,RawDataDead!X:X)</f>
        <v>0</v>
      </c>
      <c r="V43">
        <f>SUMIF(RawDataDead!$B:$B,$A43,RawDataDead!Y:Y)</f>
        <v>0</v>
      </c>
      <c r="W43">
        <f>SUMIF(RawDataDead!$B:$B,$A43,RawDataDead!Z:Z)</f>
        <v>0</v>
      </c>
      <c r="X43">
        <f>SUMIF(RawDataDead!$B:$B,$A43,RawDataDead!AA:AA)</f>
        <v>0</v>
      </c>
      <c r="Y43">
        <f>SUMIF(RawDataDead!$B:$B,$A43,RawDataDead!AB:AB)</f>
        <v>0</v>
      </c>
      <c r="Z43">
        <f>SUMIF(RawDataDead!$B:$B,$A43,RawDataDead!AC:AC)</f>
        <v>0</v>
      </c>
      <c r="AA43">
        <f>SUMIF(RawDataDead!$B:$B,$A43,RawDataDead!AD:AD)</f>
        <v>0</v>
      </c>
      <c r="AB43">
        <f>SUMIF(RawDataDead!$B:$B,$A43,RawDataDead!AE:AE)</f>
        <v>0</v>
      </c>
      <c r="AC43">
        <f>SUMIF(RawDataDead!$B:$B,$A43,RawDataDead!AF:AF)</f>
        <v>0</v>
      </c>
      <c r="AD43">
        <f>SUMIF(RawDataDead!$B:$B,$A43,RawDataDead!AG:AG)</f>
        <v>0</v>
      </c>
      <c r="AE43">
        <f>SUMIF(RawDataDead!$B:$B,$A43,RawDataDead!AH:AH)</f>
        <v>0</v>
      </c>
      <c r="AF43">
        <f>SUMIF(RawDataDead!$B:$B,$A43,RawDataDead!AI:AI)</f>
        <v>0</v>
      </c>
      <c r="AG43">
        <f>SUMIF(RawDataDead!$B:$B,$A43,RawDataDead!AJ:AJ)</f>
        <v>0</v>
      </c>
      <c r="AH43">
        <f>SUMIF(RawDataDead!$B:$B,$A43,RawDataDead!AK:AK)</f>
        <v>0</v>
      </c>
      <c r="AI43">
        <f>SUMIF(RawDataDead!$B:$B,$A43,RawDataDead!AL:AL)</f>
        <v>0</v>
      </c>
      <c r="AJ43">
        <f>SUMIF(RawDataDead!$B:$B,$A43,RawDataDead!AM:AM)</f>
        <v>0</v>
      </c>
      <c r="AK43">
        <f>SUMIF(RawDataDead!$B:$B,$A43,RawDataDead!AN:AN)</f>
        <v>0</v>
      </c>
      <c r="AL43">
        <f>SUMIF(RawDataDead!$B:$B,$A43,RawDataDead!AO:AO)</f>
        <v>0</v>
      </c>
      <c r="AM43">
        <f>SUMIF(RawDataDead!$B:$B,$A43,RawDataDead!AP:AP)</f>
        <v>0</v>
      </c>
      <c r="AN43">
        <f>SUMIF(RawDataDead!$B:$B,$A43,RawDataDead!AQ:AQ)</f>
        <v>0</v>
      </c>
      <c r="AO43">
        <f>SUMIF(RawDataDead!$B:$B,$A43,RawDataDead!AR:AR)</f>
        <v>0</v>
      </c>
      <c r="AP43">
        <f>SUMIF(RawDataDead!$B:$B,$A43,RawDataDead!AS:AS)</f>
        <v>0</v>
      </c>
      <c r="AQ43">
        <f>SUMIF(RawDataDead!$B:$B,$A43,RawDataDead!AT:AT)</f>
        <v>0</v>
      </c>
      <c r="AR43">
        <f>SUMIF(RawDataDead!$B:$B,$A43,RawDataDead!AU:AU)</f>
        <v>0</v>
      </c>
      <c r="AS43">
        <f>SUMIF(RawDataDead!$B:$B,$A43,RawDataDead!AV:AV)</f>
        <v>0</v>
      </c>
      <c r="AT43">
        <f>SUMIF(RawDataDead!$B:$B,$A43,RawDataDead!AW:AW)</f>
        <v>0</v>
      </c>
      <c r="AU43">
        <f>SUMIF(RawDataDead!$B:$B,$A43,RawDataDead!AX:AX)</f>
        <v>0</v>
      </c>
      <c r="AV43">
        <f>SUMIF(RawDataDead!$B:$B,$A43,RawDataDead!AY:AY)</f>
        <v>0</v>
      </c>
      <c r="AW43">
        <f>SUMIF(RawDataDead!$B:$B,$A43,RawDataDead!AZ:AZ)</f>
        <v>0</v>
      </c>
      <c r="AX43">
        <f>SUMIF(RawDataDead!$B:$B,$A43,RawDataDead!BA:BA)</f>
        <v>0</v>
      </c>
      <c r="AY43">
        <f>SUMIF(RawDataDead!$B:$B,$A43,RawDataDead!BB:BB)</f>
        <v>0</v>
      </c>
      <c r="AZ43">
        <f>SUMIF(RawDataDead!$B:$B,$A43,RawDataDead!BC:BC)</f>
        <v>0</v>
      </c>
      <c r="BA43">
        <f>SUMIF(RawDataDead!$B:$B,$A43,RawDataDead!BD:BD)</f>
        <v>0</v>
      </c>
      <c r="BB43">
        <f>SUMIF(RawDataDead!$B:$B,$A43,RawDataDead!BE:BE)</f>
        <v>0</v>
      </c>
      <c r="BC43">
        <f>SUMIF(RawDataDead!$B:$B,$A43,RawDataDead!BF:BF)</f>
        <v>0</v>
      </c>
      <c r="BD43">
        <f>SUMIF(RawDataDead!$B:$B,$A43,RawDataDead!BG:BG)</f>
        <v>0</v>
      </c>
      <c r="BE43">
        <f>SUMIF(RawDataDead!$B:$B,$A43,RawDataDead!BH:BH)</f>
        <v>0</v>
      </c>
      <c r="BF43">
        <f>SUMIF(RawDataDead!$B:$B,$A43,RawDataDead!BI:BI)</f>
        <v>0</v>
      </c>
      <c r="BG43">
        <f>SUMIF(RawDataDead!$B:$B,$A43,RawDataDead!BJ:BJ)</f>
        <v>0</v>
      </c>
      <c r="BH43">
        <f>SUMIF(RawDataDead!$B:$B,$A43,RawDataDead!BK:BK)</f>
        <v>0</v>
      </c>
      <c r="BI43">
        <f>SUMIF(RawDataDead!$B:$B,$A43,RawDataDead!BL:BL)</f>
        <v>0</v>
      </c>
      <c r="BJ43">
        <f>SUMIF(RawDataDead!$B:$B,$A43,RawDataDead!BM:BM)</f>
        <v>0</v>
      </c>
      <c r="BK43">
        <f>SUMIF(RawDataDead!$B:$B,$A43,RawDataDead!BN:BN)</f>
        <v>0</v>
      </c>
      <c r="BL43">
        <f>SUMIF(RawDataDead!$B:$B,$A43,RawDataDead!BO:BO)</f>
        <v>0</v>
      </c>
      <c r="BM43">
        <f>SUMIF(RawDataDead!$B:$B,$A43,RawDataDead!BP:BP)</f>
        <v>0</v>
      </c>
      <c r="BN43">
        <f>SUMIF(RawDataDead!$B:$B,$A43,RawDataDead!BQ:BQ)</f>
        <v>0</v>
      </c>
      <c r="BO43">
        <f>SUMIF(RawDataDead!$B:$B,$A43,RawDataDead!BR:BR)</f>
        <v>0</v>
      </c>
      <c r="BP43">
        <f>SUMIF(RawDataDead!$B:$B,$A43,RawDataDead!BS:BS)</f>
        <v>0</v>
      </c>
      <c r="BQ43">
        <f>SUMIF(RawDataDead!$B:$B,$A43,RawDataDead!BT:BT)</f>
        <v>0</v>
      </c>
      <c r="BR43">
        <f>SUMIF(RawDataDead!$B:$B,$A43,RawDataDead!BU:BU)</f>
        <v>0</v>
      </c>
      <c r="BS43">
        <f>SUMIF(RawDataDead!$B:$B,$A43,RawDataDead!BV:BV)</f>
        <v>0</v>
      </c>
      <c r="BT43">
        <f>SUMIF(RawDataDead!$B:$B,$A43,RawDataDead!BW:BW)</f>
        <v>0</v>
      </c>
    </row>
    <row r="44" spans="1:72" ht="15" thickBot="1" x14ac:dyDescent="0.35">
      <c r="A44" s="4" t="s">
        <v>94</v>
      </c>
      <c r="B44">
        <f>SUMIF(RawDataDead!$B:$B,$A44,RawDataDead!E:E)</f>
        <v>0</v>
      </c>
      <c r="C44">
        <f>SUMIF(RawDataDead!$B:$B,$A44,RawDataDead!F:F)</f>
        <v>0</v>
      </c>
      <c r="D44">
        <f>SUMIF(RawDataDead!$B:$B,$A44,RawDataDead!G:G)</f>
        <v>0</v>
      </c>
      <c r="E44">
        <f>SUMIF(RawDataDead!$B:$B,$A44,RawDataDead!H:H)</f>
        <v>0</v>
      </c>
      <c r="F44">
        <f>SUMIF(RawDataDead!$B:$B,$A44,RawDataDead!I:I)</f>
        <v>0</v>
      </c>
      <c r="G44">
        <f>SUMIF(RawDataDead!$B:$B,$A44,RawDataDead!J:J)</f>
        <v>0</v>
      </c>
      <c r="H44">
        <f>SUMIF(RawDataDead!$B:$B,$A44,RawDataDead!K:K)</f>
        <v>0</v>
      </c>
      <c r="I44">
        <f>SUMIF(RawDataDead!$B:$B,$A44,RawDataDead!L:L)</f>
        <v>0</v>
      </c>
      <c r="J44">
        <f>SUMIF(RawDataDead!$B:$B,$A44,RawDataDead!M:M)</f>
        <v>0</v>
      </c>
      <c r="K44">
        <f>SUMIF(RawDataDead!$B:$B,$A44,RawDataDead!N:N)</f>
        <v>0</v>
      </c>
      <c r="L44">
        <f>SUMIF(RawDataDead!$B:$B,$A44,RawDataDead!O:O)</f>
        <v>0</v>
      </c>
      <c r="M44">
        <f>SUMIF(RawDataDead!$B:$B,$A44,RawDataDead!P:P)</f>
        <v>0</v>
      </c>
      <c r="N44">
        <f>SUMIF(RawDataDead!$B:$B,$A44,RawDataDead!Q:Q)</f>
        <v>0</v>
      </c>
      <c r="O44">
        <f>SUMIF(RawDataDead!$B:$B,$A44,RawDataDead!R:R)</f>
        <v>0</v>
      </c>
      <c r="P44">
        <f>SUMIF(RawDataDead!$B:$B,$A44,RawDataDead!S:S)</f>
        <v>0</v>
      </c>
      <c r="Q44">
        <f>SUMIF(RawDataDead!$B:$B,$A44,RawDataDead!T:T)</f>
        <v>0</v>
      </c>
      <c r="R44">
        <f>SUMIF(RawDataDead!$B:$B,$A44,RawDataDead!U:U)</f>
        <v>0</v>
      </c>
      <c r="S44">
        <f>SUMIF(RawDataDead!$B:$B,$A44,RawDataDead!V:V)</f>
        <v>0</v>
      </c>
      <c r="T44">
        <f>SUMIF(RawDataDead!$B:$B,$A44,RawDataDead!W:W)</f>
        <v>0</v>
      </c>
      <c r="U44">
        <f>SUMIF(RawDataDead!$B:$B,$A44,RawDataDead!X:X)</f>
        <v>0</v>
      </c>
      <c r="V44">
        <f>SUMIF(RawDataDead!$B:$B,$A44,RawDataDead!Y:Y)</f>
        <v>0</v>
      </c>
      <c r="W44">
        <f>SUMIF(RawDataDead!$B:$B,$A44,RawDataDead!Z:Z)</f>
        <v>0</v>
      </c>
      <c r="X44">
        <f>SUMIF(RawDataDead!$B:$B,$A44,RawDataDead!AA:AA)</f>
        <v>0</v>
      </c>
      <c r="Y44">
        <f>SUMIF(RawDataDead!$B:$B,$A44,RawDataDead!AB:AB)</f>
        <v>0</v>
      </c>
      <c r="Z44">
        <f>SUMIF(RawDataDead!$B:$B,$A44,RawDataDead!AC:AC)</f>
        <v>0</v>
      </c>
      <c r="AA44">
        <f>SUMIF(RawDataDead!$B:$B,$A44,RawDataDead!AD:AD)</f>
        <v>0</v>
      </c>
      <c r="AB44">
        <f>SUMIF(RawDataDead!$B:$B,$A44,RawDataDead!AE:AE)</f>
        <v>0</v>
      </c>
      <c r="AC44">
        <f>SUMIF(RawDataDead!$B:$B,$A44,RawDataDead!AF:AF)</f>
        <v>0</v>
      </c>
      <c r="AD44">
        <f>SUMIF(RawDataDead!$B:$B,$A44,RawDataDead!AG:AG)</f>
        <v>0</v>
      </c>
      <c r="AE44">
        <f>SUMIF(RawDataDead!$B:$B,$A44,RawDataDead!AH:AH)</f>
        <v>0</v>
      </c>
      <c r="AF44">
        <f>SUMIF(RawDataDead!$B:$B,$A44,RawDataDead!AI:AI)</f>
        <v>0</v>
      </c>
      <c r="AG44">
        <f>SUMIF(RawDataDead!$B:$B,$A44,RawDataDead!AJ:AJ)</f>
        <v>0</v>
      </c>
      <c r="AH44">
        <f>SUMIF(RawDataDead!$B:$B,$A44,RawDataDead!AK:AK)</f>
        <v>0</v>
      </c>
      <c r="AI44">
        <f>SUMIF(RawDataDead!$B:$B,$A44,RawDataDead!AL:AL)</f>
        <v>0</v>
      </c>
      <c r="AJ44">
        <f>SUMIF(RawDataDead!$B:$B,$A44,RawDataDead!AM:AM)</f>
        <v>0</v>
      </c>
      <c r="AK44">
        <f>SUMIF(RawDataDead!$B:$B,$A44,RawDataDead!AN:AN)</f>
        <v>0</v>
      </c>
      <c r="AL44">
        <f>SUMIF(RawDataDead!$B:$B,$A44,RawDataDead!AO:AO)</f>
        <v>0</v>
      </c>
      <c r="AM44">
        <f>SUMIF(RawDataDead!$B:$B,$A44,RawDataDead!AP:AP)</f>
        <v>0</v>
      </c>
      <c r="AN44">
        <f>SUMIF(RawDataDead!$B:$B,$A44,RawDataDead!AQ:AQ)</f>
        <v>0</v>
      </c>
      <c r="AO44">
        <f>SUMIF(RawDataDead!$B:$B,$A44,RawDataDead!AR:AR)</f>
        <v>0</v>
      </c>
      <c r="AP44">
        <f>SUMIF(RawDataDead!$B:$B,$A44,RawDataDead!AS:AS)</f>
        <v>0</v>
      </c>
      <c r="AQ44">
        <f>SUMIF(RawDataDead!$B:$B,$A44,RawDataDead!AT:AT)</f>
        <v>0</v>
      </c>
      <c r="AR44">
        <f>SUMIF(RawDataDead!$B:$B,$A44,RawDataDead!AU:AU)</f>
        <v>0</v>
      </c>
      <c r="AS44">
        <f>SUMIF(RawDataDead!$B:$B,$A44,RawDataDead!AV:AV)</f>
        <v>0</v>
      </c>
      <c r="AT44">
        <f>SUMIF(RawDataDead!$B:$B,$A44,RawDataDead!AW:AW)</f>
        <v>0</v>
      </c>
      <c r="AU44">
        <f>SUMIF(RawDataDead!$B:$B,$A44,RawDataDead!AX:AX)</f>
        <v>0</v>
      </c>
      <c r="AV44">
        <f>SUMIF(RawDataDead!$B:$B,$A44,RawDataDead!AY:AY)</f>
        <v>0</v>
      </c>
      <c r="AW44">
        <f>SUMIF(RawDataDead!$B:$B,$A44,RawDataDead!AZ:AZ)</f>
        <v>0</v>
      </c>
      <c r="AX44">
        <f>SUMIF(RawDataDead!$B:$B,$A44,RawDataDead!BA:BA)</f>
        <v>1</v>
      </c>
      <c r="AY44">
        <f>SUMIF(RawDataDead!$B:$B,$A44,RawDataDead!BB:BB)</f>
        <v>3</v>
      </c>
      <c r="AZ44">
        <f>SUMIF(RawDataDead!$B:$B,$A44,RawDataDead!BC:BC)</f>
        <v>3</v>
      </c>
      <c r="BA44">
        <f>SUMIF(RawDataDead!$B:$B,$A44,RawDataDead!BD:BD)</f>
        <v>3</v>
      </c>
      <c r="BB44">
        <f>SUMIF(RawDataDead!$B:$B,$A44,RawDataDead!BE:BE)</f>
        <v>3</v>
      </c>
      <c r="BC44">
        <f>SUMIF(RawDataDead!$B:$B,$A44,RawDataDead!BF:BF)</f>
        <v>3</v>
      </c>
      <c r="BD44">
        <f>SUMIF(RawDataDead!$B:$B,$A44,RawDataDead!BG:BG)</f>
        <v>3</v>
      </c>
      <c r="BE44">
        <f>SUMIF(RawDataDead!$B:$B,$A44,RawDataDead!BH:BH)</f>
        <v>3</v>
      </c>
      <c r="BF44">
        <f>SUMIF(RawDataDead!$B:$B,$A44,RawDataDead!BI:BI)</f>
        <v>0</v>
      </c>
      <c r="BG44">
        <f>SUMIF(RawDataDead!$B:$B,$A44,RawDataDead!BJ:BJ)</f>
        <v>0</v>
      </c>
      <c r="BH44">
        <f>SUMIF(RawDataDead!$B:$B,$A44,RawDataDead!BK:BK)</f>
        <v>0</v>
      </c>
      <c r="BI44">
        <f>SUMIF(RawDataDead!$B:$B,$A44,RawDataDead!BL:BL)</f>
        <v>0</v>
      </c>
      <c r="BJ44">
        <f>SUMIF(RawDataDead!$B:$B,$A44,RawDataDead!BM:BM)</f>
        <v>0</v>
      </c>
      <c r="BK44">
        <f>SUMIF(RawDataDead!$B:$B,$A44,RawDataDead!BN:BN)</f>
        <v>0</v>
      </c>
      <c r="BL44">
        <f>SUMIF(RawDataDead!$B:$B,$A44,RawDataDead!BO:BO)</f>
        <v>0</v>
      </c>
      <c r="BM44">
        <f>SUMIF(RawDataDead!$B:$B,$A44,RawDataDead!BP:BP)</f>
        <v>0</v>
      </c>
      <c r="BN44">
        <f>SUMIF(RawDataDead!$B:$B,$A44,RawDataDead!BQ:BQ)</f>
        <v>0</v>
      </c>
      <c r="BO44">
        <f>SUMIF(RawDataDead!$B:$B,$A44,RawDataDead!BR:BR)</f>
        <v>0</v>
      </c>
      <c r="BP44">
        <f>SUMIF(RawDataDead!$B:$B,$A44,RawDataDead!BS:BS)</f>
        <v>0</v>
      </c>
      <c r="BQ44">
        <f>SUMIF(RawDataDead!$B:$B,$A44,RawDataDead!BT:BT)</f>
        <v>0</v>
      </c>
      <c r="BR44">
        <f>SUMIF(RawDataDead!$B:$B,$A44,RawDataDead!BU:BU)</f>
        <v>0</v>
      </c>
      <c r="BS44">
        <f>SUMIF(RawDataDead!$B:$B,$A44,RawDataDead!BV:BV)</f>
        <v>0</v>
      </c>
      <c r="BT44">
        <f>SUMIF(RawDataDead!$B:$B,$A44,RawDataDead!BW:BW)</f>
        <v>0</v>
      </c>
    </row>
    <row r="45" spans="1:72" ht="15" thickBot="1" x14ac:dyDescent="0.35">
      <c r="A45" s="3" t="s">
        <v>62</v>
      </c>
      <c r="B45">
        <f>SUMIF(RawDataDead!$B:$B,$A45,RawDataDead!E:E)</f>
        <v>0</v>
      </c>
      <c r="C45">
        <f>SUMIF(RawDataDead!$B:$B,$A45,RawDataDead!F:F)</f>
        <v>0</v>
      </c>
      <c r="D45">
        <f>SUMIF(RawDataDead!$B:$B,$A45,RawDataDead!G:G)</f>
        <v>0</v>
      </c>
      <c r="E45">
        <f>SUMIF(RawDataDead!$B:$B,$A45,RawDataDead!H:H)</f>
        <v>0</v>
      </c>
      <c r="F45">
        <f>SUMIF(RawDataDead!$B:$B,$A45,RawDataDead!I:I)</f>
        <v>0</v>
      </c>
      <c r="G45">
        <f>SUMIF(RawDataDead!$B:$B,$A45,RawDataDead!J:J)</f>
        <v>0</v>
      </c>
      <c r="H45">
        <f>SUMIF(RawDataDead!$B:$B,$A45,RawDataDead!K:K)</f>
        <v>0</v>
      </c>
      <c r="I45">
        <f>SUMIF(RawDataDead!$B:$B,$A45,RawDataDead!L:L)</f>
        <v>0</v>
      </c>
      <c r="J45">
        <f>SUMIF(RawDataDead!$B:$B,$A45,RawDataDead!M:M)</f>
        <v>0</v>
      </c>
      <c r="K45">
        <f>SUMIF(RawDataDead!$B:$B,$A45,RawDataDead!N:N)</f>
        <v>0</v>
      </c>
      <c r="L45">
        <f>SUMIF(RawDataDead!$B:$B,$A45,RawDataDead!O:O)</f>
        <v>0</v>
      </c>
      <c r="M45">
        <f>SUMIF(RawDataDead!$B:$B,$A45,RawDataDead!P:P)</f>
        <v>0</v>
      </c>
      <c r="N45">
        <f>SUMIF(RawDataDead!$B:$B,$A45,RawDataDead!Q:Q)</f>
        <v>0</v>
      </c>
      <c r="O45">
        <f>SUMIF(RawDataDead!$B:$B,$A45,RawDataDead!R:R)</f>
        <v>0</v>
      </c>
      <c r="P45">
        <f>SUMIF(RawDataDead!$B:$B,$A45,RawDataDead!S:S)</f>
        <v>0</v>
      </c>
      <c r="Q45">
        <f>SUMIF(RawDataDead!$B:$B,$A45,RawDataDead!T:T)</f>
        <v>0</v>
      </c>
      <c r="R45">
        <f>SUMIF(RawDataDead!$B:$B,$A45,RawDataDead!U:U)</f>
        <v>0</v>
      </c>
      <c r="S45">
        <f>SUMIF(RawDataDead!$B:$B,$A45,RawDataDead!V:V)</f>
        <v>0</v>
      </c>
      <c r="T45">
        <f>SUMIF(RawDataDead!$B:$B,$A45,RawDataDead!W:W)</f>
        <v>0</v>
      </c>
      <c r="U45">
        <f>SUMIF(RawDataDead!$B:$B,$A45,RawDataDead!X:X)</f>
        <v>0</v>
      </c>
      <c r="V45">
        <f>SUMIF(RawDataDead!$B:$B,$A45,RawDataDead!Y:Y)</f>
        <v>0</v>
      </c>
      <c r="W45">
        <f>SUMIF(RawDataDead!$B:$B,$A45,RawDataDead!Z:Z)</f>
        <v>0</v>
      </c>
      <c r="X45">
        <f>SUMIF(RawDataDead!$B:$B,$A45,RawDataDead!AA:AA)</f>
        <v>0</v>
      </c>
      <c r="Y45">
        <f>SUMIF(RawDataDead!$B:$B,$A45,RawDataDead!AB:AB)</f>
        <v>0</v>
      </c>
      <c r="Z45">
        <f>SUMIF(RawDataDead!$B:$B,$A45,RawDataDead!AC:AC)</f>
        <v>0</v>
      </c>
      <c r="AA45">
        <f>SUMIF(RawDataDead!$B:$B,$A45,RawDataDead!AD:AD)</f>
        <v>0</v>
      </c>
      <c r="AB45">
        <f>SUMIF(RawDataDead!$B:$B,$A45,RawDataDead!AE:AE)</f>
        <v>0</v>
      </c>
      <c r="AC45">
        <f>SUMIF(RawDataDead!$B:$B,$A45,RawDataDead!AF:AF)</f>
        <v>0</v>
      </c>
      <c r="AD45">
        <f>SUMIF(RawDataDead!$B:$B,$A45,RawDataDead!AG:AG)</f>
        <v>0</v>
      </c>
      <c r="AE45">
        <f>SUMIF(RawDataDead!$B:$B,$A45,RawDataDead!AH:AH)</f>
        <v>0</v>
      </c>
      <c r="AF45">
        <f>SUMIF(RawDataDead!$B:$B,$A45,RawDataDead!AI:AI)</f>
        <v>0</v>
      </c>
      <c r="AG45">
        <f>SUMIF(RawDataDead!$B:$B,$A45,RawDataDead!AJ:AJ)</f>
        <v>0</v>
      </c>
      <c r="AH45">
        <f>SUMIF(RawDataDead!$B:$B,$A45,RawDataDead!AK:AK)</f>
        <v>0</v>
      </c>
      <c r="AI45">
        <f>SUMIF(RawDataDead!$B:$B,$A45,RawDataDead!AL:AL)</f>
        <v>0</v>
      </c>
      <c r="AJ45">
        <f>SUMIF(RawDataDead!$B:$B,$A45,RawDataDead!AM:AM)</f>
        <v>0</v>
      </c>
      <c r="AK45">
        <f>SUMIF(RawDataDead!$B:$B,$A45,RawDataDead!AN:AN)</f>
        <v>0</v>
      </c>
      <c r="AL45">
        <f>SUMIF(RawDataDead!$B:$B,$A45,RawDataDead!AO:AO)</f>
        <v>0</v>
      </c>
      <c r="AM45">
        <f>SUMIF(RawDataDead!$B:$B,$A45,RawDataDead!AP:AP)</f>
        <v>0</v>
      </c>
      <c r="AN45">
        <f>SUMIF(RawDataDead!$B:$B,$A45,RawDataDead!AQ:AQ)</f>
        <v>0</v>
      </c>
      <c r="AO45">
        <f>SUMIF(RawDataDead!$B:$B,$A45,RawDataDead!AR:AR)</f>
        <v>1</v>
      </c>
      <c r="AP45">
        <f>SUMIF(RawDataDead!$B:$B,$A45,RawDataDead!AS:AS)</f>
        <v>1</v>
      </c>
      <c r="AQ45">
        <f>SUMIF(RawDataDead!$B:$B,$A45,RawDataDead!AT:AT)</f>
        <v>1</v>
      </c>
      <c r="AR45">
        <f>SUMIF(RawDataDead!$B:$B,$A45,RawDataDead!AU:AU)</f>
        <v>1</v>
      </c>
      <c r="AS45">
        <f>SUMIF(RawDataDead!$B:$B,$A45,RawDataDead!AV:AV)</f>
        <v>1</v>
      </c>
      <c r="AT45">
        <f>SUMIF(RawDataDead!$B:$B,$A45,RawDataDead!AW:AW)</f>
        <v>1</v>
      </c>
      <c r="AU45">
        <f>SUMIF(RawDataDead!$B:$B,$A45,RawDataDead!AX:AX)</f>
        <v>1</v>
      </c>
      <c r="AV45">
        <f>SUMIF(RawDataDead!$B:$B,$A45,RawDataDead!AY:AY)</f>
        <v>1</v>
      </c>
      <c r="AW45">
        <f>SUMIF(RawDataDead!$B:$B,$A45,RawDataDead!AZ:AZ)</f>
        <v>1</v>
      </c>
      <c r="AX45">
        <f>SUMIF(RawDataDead!$B:$B,$A45,RawDataDead!BA:BA)</f>
        <v>1</v>
      </c>
      <c r="AY45">
        <f>SUMIF(RawDataDead!$B:$B,$A45,RawDataDead!BB:BB)</f>
        <v>1</v>
      </c>
      <c r="AZ45">
        <f>SUMIF(RawDataDead!$B:$B,$A45,RawDataDead!BC:BC)</f>
        <v>1</v>
      </c>
      <c r="BA45">
        <f>SUMIF(RawDataDead!$B:$B,$A45,RawDataDead!BD:BD)</f>
        <v>1</v>
      </c>
      <c r="BB45">
        <f>SUMIF(RawDataDead!$B:$B,$A45,RawDataDead!BE:BE)</f>
        <v>1</v>
      </c>
      <c r="BC45">
        <f>SUMIF(RawDataDead!$B:$B,$A45,RawDataDead!BF:BF)</f>
        <v>1</v>
      </c>
      <c r="BD45">
        <f>SUMIF(RawDataDead!$B:$B,$A45,RawDataDead!BG:BG)</f>
        <v>1</v>
      </c>
      <c r="BE45">
        <f>SUMIF(RawDataDead!$B:$B,$A45,RawDataDead!BH:BH)</f>
        <v>1</v>
      </c>
      <c r="BF45">
        <f>SUMIF(RawDataDead!$B:$B,$A45,RawDataDead!BI:BI)</f>
        <v>0</v>
      </c>
      <c r="BG45">
        <f>SUMIF(RawDataDead!$B:$B,$A45,RawDataDead!BJ:BJ)</f>
        <v>0</v>
      </c>
      <c r="BH45">
        <f>SUMIF(RawDataDead!$B:$B,$A45,RawDataDead!BK:BK)</f>
        <v>0</v>
      </c>
      <c r="BI45">
        <f>SUMIF(RawDataDead!$B:$B,$A45,RawDataDead!BL:BL)</f>
        <v>0</v>
      </c>
      <c r="BJ45">
        <f>SUMIF(RawDataDead!$B:$B,$A45,RawDataDead!BM:BM)</f>
        <v>0</v>
      </c>
      <c r="BK45">
        <f>SUMIF(RawDataDead!$B:$B,$A45,RawDataDead!BN:BN)</f>
        <v>0</v>
      </c>
      <c r="BL45">
        <f>SUMIF(RawDataDead!$B:$B,$A45,RawDataDead!BO:BO)</f>
        <v>0</v>
      </c>
      <c r="BM45">
        <f>SUMIF(RawDataDead!$B:$B,$A45,RawDataDead!BP:BP)</f>
        <v>0</v>
      </c>
      <c r="BN45">
        <f>SUMIF(RawDataDead!$B:$B,$A45,RawDataDead!BQ:BQ)</f>
        <v>0</v>
      </c>
      <c r="BO45">
        <f>SUMIF(RawDataDead!$B:$B,$A45,RawDataDead!BR:BR)</f>
        <v>0</v>
      </c>
      <c r="BP45">
        <f>SUMIF(RawDataDead!$B:$B,$A45,RawDataDead!BS:BS)</f>
        <v>0</v>
      </c>
      <c r="BQ45">
        <f>SUMIF(RawDataDead!$B:$B,$A45,RawDataDead!BT:BT)</f>
        <v>0</v>
      </c>
      <c r="BR45">
        <f>SUMIF(RawDataDead!$B:$B,$A45,RawDataDead!BU:BU)</f>
        <v>0</v>
      </c>
      <c r="BS45">
        <f>SUMIF(RawDataDead!$B:$B,$A45,RawDataDead!BV:BV)</f>
        <v>0</v>
      </c>
      <c r="BT45">
        <f>SUMIF(RawDataDead!$B:$B,$A45,RawDataDead!BW:BW)</f>
        <v>0</v>
      </c>
    </row>
    <row r="46" spans="1:72" ht="15" thickBot="1" x14ac:dyDescent="0.35">
      <c r="A46" s="4" t="s">
        <v>134</v>
      </c>
      <c r="B46">
        <f>SUMIF(RawDataDead!$B:$B,$A46,RawDataDead!E:E)</f>
        <v>0</v>
      </c>
      <c r="C46">
        <f>SUMIF(RawDataDead!$B:$B,$A46,RawDataDead!F:F)</f>
        <v>0</v>
      </c>
      <c r="D46">
        <f>SUMIF(RawDataDead!$B:$B,$A46,RawDataDead!G:G)</f>
        <v>0</v>
      </c>
      <c r="E46">
        <f>SUMIF(RawDataDead!$B:$B,$A46,RawDataDead!H:H)</f>
        <v>0</v>
      </c>
      <c r="F46">
        <f>SUMIF(RawDataDead!$B:$B,$A46,RawDataDead!I:I)</f>
        <v>0</v>
      </c>
      <c r="G46">
        <f>SUMIF(RawDataDead!$B:$B,$A46,RawDataDead!J:J)</f>
        <v>0</v>
      </c>
      <c r="H46">
        <f>SUMIF(RawDataDead!$B:$B,$A46,RawDataDead!K:K)</f>
        <v>0</v>
      </c>
      <c r="I46">
        <f>SUMIF(RawDataDead!$B:$B,$A46,RawDataDead!L:L)</f>
        <v>0</v>
      </c>
      <c r="J46">
        <f>SUMIF(RawDataDead!$B:$B,$A46,RawDataDead!M:M)</f>
        <v>0</v>
      </c>
      <c r="K46">
        <f>SUMIF(RawDataDead!$B:$B,$A46,RawDataDead!N:N)</f>
        <v>0</v>
      </c>
      <c r="L46">
        <f>SUMIF(RawDataDead!$B:$B,$A46,RawDataDead!O:O)</f>
        <v>0</v>
      </c>
      <c r="M46">
        <f>SUMIF(RawDataDead!$B:$B,$A46,RawDataDead!P:P)</f>
        <v>0</v>
      </c>
      <c r="N46">
        <f>SUMIF(RawDataDead!$B:$B,$A46,RawDataDead!Q:Q)</f>
        <v>0</v>
      </c>
      <c r="O46">
        <f>SUMIF(RawDataDead!$B:$B,$A46,RawDataDead!R:R)</f>
        <v>0</v>
      </c>
      <c r="P46">
        <f>SUMIF(RawDataDead!$B:$B,$A46,RawDataDead!S:S)</f>
        <v>0</v>
      </c>
      <c r="Q46">
        <f>SUMIF(RawDataDead!$B:$B,$A46,RawDataDead!T:T)</f>
        <v>0</v>
      </c>
      <c r="R46">
        <f>SUMIF(RawDataDead!$B:$B,$A46,RawDataDead!U:U)</f>
        <v>0</v>
      </c>
      <c r="S46">
        <f>SUMIF(RawDataDead!$B:$B,$A46,RawDataDead!V:V)</f>
        <v>0</v>
      </c>
      <c r="T46">
        <f>SUMIF(RawDataDead!$B:$B,$A46,RawDataDead!W:W)</f>
        <v>0</v>
      </c>
      <c r="U46">
        <f>SUMIF(RawDataDead!$B:$B,$A46,RawDataDead!X:X)</f>
        <v>0</v>
      </c>
      <c r="V46">
        <f>SUMIF(RawDataDead!$B:$B,$A46,RawDataDead!Y:Y)</f>
        <v>0</v>
      </c>
      <c r="W46">
        <f>SUMIF(RawDataDead!$B:$B,$A46,RawDataDead!Z:Z)</f>
        <v>0</v>
      </c>
      <c r="X46">
        <f>SUMIF(RawDataDead!$B:$B,$A46,RawDataDead!AA:AA)</f>
        <v>0</v>
      </c>
      <c r="Y46">
        <f>SUMIF(RawDataDead!$B:$B,$A46,RawDataDead!AB:AB)</f>
        <v>0</v>
      </c>
      <c r="Z46">
        <f>SUMIF(RawDataDead!$B:$B,$A46,RawDataDead!AC:AC)</f>
        <v>0</v>
      </c>
      <c r="AA46">
        <f>SUMIF(RawDataDead!$B:$B,$A46,RawDataDead!AD:AD)</f>
        <v>0</v>
      </c>
      <c r="AB46">
        <f>SUMIF(RawDataDead!$B:$B,$A46,RawDataDead!AE:AE)</f>
        <v>0</v>
      </c>
      <c r="AC46">
        <f>SUMIF(RawDataDead!$B:$B,$A46,RawDataDead!AF:AF)</f>
        <v>0</v>
      </c>
      <c r="AD46">
        <f>SUMIF(RawDataDead!$B:$B,$A46,RawDataDead!AG:AG)</f>
        <v>0</v>
      </c>
      <c r="AE46">
        <f>SUMIF(RawDataDead!$B:$B,$A46,RawDataDead!AH:AH)</f>
        <v>0</v>
      </c>
      <c r="AF46">
        <f>SUMIF(RawDataDead!$B:$B,$A46,RawDataDead!AI:AI)</f>
        <v>0</v>
      </c>
      <c r="AG46">
        <f>SUMIF(RawDataDead!$B:$B,$A46,RawDataDead!AJ:AJ)</f>
        <v>0</v>
      </c>
      <c r="AH46">
        <f>SUMIF(RawDataDead!$B:$B,$A46,RawDataDead!AK:AK)</f>
        <v>0</v>
      </c>
      <c r="AI46">
        <f>SUMIF(RawDataDead!$B:$B,$A46,RawDataDead!AL:AL)</f>
        <v>0</v>
      </c>
      <c r="AJ46">
        <f>SUMIF(RawDataDead!$B:$B,$A46,RawDataDead!AM:AM)</f>
        <v>0</v>
      </c>
      <c r="AK46">
        <f>SUMIF(RawDataDead!$B:$B,$A46,RawDataDead!AN:AN)</f>
        <v>0</v>
      </c>
      <c r="AL46">
        <f>SUMIF(RawDataDead!$B:$B,$A46,RawDataDead!AO:AO)</f>
        <v>0</v>
      </c>
      <c r="AM46">
        <f>SUMIF(RawDataDead!$B:$B,$A46,RawDataDead!AP:AP)</f>
        <v>0</v>
      </c>
      <c r="AN46">
        <f>SUMIF(RawDataDead!$B:$B,$A46,RawDataDead!AQ:AQ)</f>
        <v>0</v>
      </c>
      <c r="AO46">
        <f>SUMIF(RawDataDead!$B:$B,$A46,RawDataDead!AR:AR)</f>
        <v>0</v>
      </c>
      <c r="AP46">
        <f>SUMIF(RawDataDead!$B:$B,$A46,RawDataDead!AS:AS)</f>
        <v>0</v>
      </c>
      <c r="AQ46">
        <f>SUMIF(RawDataDead!$B:$B,$A46,RawDataDead!AT:AT)</f>
        <v>0</v>
      </c>
      <c r="AR46">
        <f>SUMIF(RawDataDead!$B:$B,$A46,RawDataDead!AU:AU)</f>
        <v>0</v>
      </c>
      <c r="AS46">
        <f>SUMIF(RawDataDead!$B:$B,$A46,RawDataDead!AV:AV)</f>
        <v>0</v>
      </c>
      <c r="AT46">
        <f>SUMIF(RawDataDead!$B:$B,$A46,RawDataDead!AW:AW)</f>
        <v>0</v>
      </c>
      <c r="AU46">
        <f>SUMIF(RawDataDead!$B:$B,$A46,RawDataDead!AX:AX)</f>
        <v>0</v>
      </c>
      <c r="AV46">
        <f>SUMIF(RawDataDead!$B:$B,$A46,RawDataDead!AY:AY)</f>
        <v>0</v>
      </c>
      <c r="AW46">
        <f>SUMIF(RawDataDead!$B:$B,$A46,RawDataDead!AZ:AZ)</f>
        <v>0</v>
      </c>
      <c r="AX46">
        <f>SUMIF(RawDataDead!$B:$B,$A46,RawDataDead!BA:BA)</f>
        <v>0</v>
      </c>
      <c r="AY46">
        <f>SUMIF(RawDataDead!$B:$B,$A46,RawDataDead!BB:BB)</f>
        <v>1</v>
      </c>
      <c r="AZ46">
        <f>SUMIF(RawDataDead!$B:$B,$A46,RawDataDead!BC:BC)</f>
        <v>1</v>
      </c>
      <c r="BA46">
        <f>SUMIF(RawDataDead!$B:$B,$A46,RawDataDead!BD:BD)</f>
        <v>4</v>
      </c>
      <c r="BB46">
        <f>SUMIF(RawDataDead!$B:$B,$A46,RawDataDead!BE:BE)</f>
        <v>5</v>
      </c>
      <c r="BC46">
        <f>SUMIF(RawDataDead!$B:$B,$A46,RawDataDead!BF:BF)</f>
        <v>5</v>
      </c>
      <c r="BD46">
        <f>SUMIF(RawDataDead!$B:$B,$A46,RawDataDead!BG:BG)</f>
        <v>5</v>
      </c>
      <c r="BE46">
        <f>SUMIF(RawDataDead!$B:$B,$A46,RawDataDead!BH:BH)</f>
        <v>5</v>
      </c>
      <c r="BF46">
        <f>SUMIF(RawDataDead!$B:$B,$A46,RawDataDead!BI:BI)</f>
        <v>0</v>
      </c>
      <c r="BG46">
        <f>SUMIF(RawDataDead!$B:$B,$A46,RawDataDead!BJ:BJ)</f>
        <v>0</v>
      </c>
      <c r="BH46">
        <f>SUMIF(RawDataDead!$B:$B,$A46,RawDataDead!BK:BK)</f>
        <v>0</v>
      </c>
      <c r="BI46">
        <f>SUMIF(RawDataDead!$B:$B,$A46,RawDataDead!BL:BL)</f>
        <v>0</v>
      </c>
      <c r="BJ46">
        <f>SUMIF(RawDataDead!$B:$B,$A46,RawDataDead!BM:BM)</f>
        <v>0</v>
      </c>
      <c r="BK46">
        <f>SUMIF(RawDataDead!$B:$B,$A46,RawDataDead!BN:BN)</f>
        <v>0</v>
      </c>
      <c r="BL46">
        <f>SUMIF(RawDataDead!$B:$B,$A46,RawDataDead!BO:BO)</f>
        <v>0</v>
      </c>
      <c r="BM46">
        <f>SUMIF(RawDataDead!$B:$B,$A46,RawDataDead!BP:BP)</f>
        <v>0</v>
      </c>
      <c r="BN46">
        <f>SUMIF(RawDataDead!$B:$B,$A46,RawDataDead!BQ:BQ)</f>
        <v>0</v>
      </c>
      <c r="BO46">
        <f>SUMIF(RawDataDead!$B:$B,$A46,RawDataDead!BR:BR)</f>
        <v>0</v>
      </c>
      <c r="BP46">
        <f>SUMIF(RawDataDead!$B:$B,$A46,RawDataDead!BS:BS)</f>
        <v>0</v>
      </c>
      <c r="BQ46">
        <f>SUMIF(RawDataDead!$B:$B,$A46,RawDataDead!BT:BT)</f>
        <v>0</v>
      </c>
      <c r="BR46">
        <f>SUMIF(RawDataDead!$B:$B,$A46,RawDataDead!BU:BU)</f>
        <v>0</v>
      </c>
      <c r="BS46">
        <f>SUMIF(RawDataDead!$B:$B,$A46,RawDataDead!BV:BV)</f>
        <v>0</v>
      </c>
      <c r="BT46">
        <f>SUMIF(RawDataDead!$B:$B,$A46,RawDataDead!BW:BW)</f>
        <v>0</v>
      </c>
    </row>
    <row r="47" spans="1:72" ht="15" thickBot="1" x14ac:dyDescent="0.35">
      <c r="A47" s="3" t="s">
        <v>164</v>
      </c>
      <c r="B47">
        <f>SUMIF(RawDataDead!$B:$B,$A47,RawDataDead!E:E)</f>
        <v>0</v>
      </c>
      <c r="C47">
        <f>SUMIF(RawDataDead!$B:$B,$A47,RawDataDead!F:F)</f>
        <v>0</v>
      </c>
      <c r="D47">
        <f>SUMIF(RawDataDead!$B:$B,$A47,RawDataDead!G:G)</f>
        <v>0</v>
      </c>
      <c r="E47">
        <f>SUMIF(RawDataDead!$B:$B,$A47,RawDataDead!H:H)</f>
        <v>0</v>
      </c>
      <c r="F47">
        <f>SUMIF(RawDataDead!$B:$B,$A47,RawDataDead!I:I)</f>
        <v>0</v>
      </c>
      <c r="G47">
        <f>SUMIF(RawDataDead!$B:$B,$A47,RawDataDead!J:J)</f>
        <v>0</v>
      </c>
      <c r="H47">
        <f>SUMIF(RawDataDead!$B:$B,$A47,RawDataDead!K:K)</f>
        <v>0</v>
      </c>
      <c r="I47">
        <f>SUMIF(RawDataDead!$B:$B,$A47,RawDataDead!L:L)</f>
        <v>0</v>
      </c>
      <c r="J47">
        <f>SUMIF(RawDataDead!$B:$B,$A47,RawDataDead!M:M)</f>
        <v>0</v>
      </c>
      <c r="K47">
        <f>SUMIF(RawDataDead!$B:$B,$A47,RawDataDead!N:N)</f>
        <v>0</v>
      </c>
      <c r="L47">
        <f>SUMIF(RawDataDead!$B:$B,$A47,RawDataDead!O:O)</f>
        <v>0</v>
      </c>
      <c r="M47">
        <f>SUMIF(RawDataDead!$B:$B,$A47,RawDataDead!P:P)</f>
        <v>0</v>
      </c>
      <c r="N47">
        <f>SUMIF(RawDataDead!$B:$B,$A47,RawDataDead!Q:Q)</f>
        <v>0</v>
      </c>
      <c r="O47">
        <f>SUMIF(RawDataDead!$B:$B,$A47,RawDataDead!R:R)</f>
        <v>0</v>
      </c>
      <c r="P47">
        <f>SUMIF(RawDataDead!$B:$B,$A47,RawDataDead!S:S)</f>
        <v>0</v>
      </c>
      <c r="Q47">
        <f>SUMIF(RawDataDead!$B:$B,$A47,RawDataDead!T:T)</f>
        <v>0</v>
      </c>
      <c r="R47">
        <f>SUMIF(RawDataDead!$B:$B,$A47,RawDataDead!U:U)</f>
        <v>0</v>
      </c>
      <c r="S47">
        <f>SUMIF(RawDataDead!$B:$B,$A47,RawDataDead!V:V)</f>
        <v>0</v>
      </c>
      <c r="T47">
        <f>SUMIF(RawDataDead!$B:$B,$A47,RawDataDead!W:W)</f>
        <v>0</v>
      </c>
      <c r="U47">
        <f>SUMIF(RawDataDead!$B:$B,$A47,RawDataDead!X:X)</f>
        <v>0</v>
      </c>
      <c r="V47">
        <f>SUMIF(RawDataDead!$B:$B,$A47,RawDataDead!Y:Y)</f>
        <v>0</v>
      </c>
      <c r="W47">
        <f>SUMIF(RawDataDead!$B:$B,$A47,RawDataDead!Z:Z)</f>
        <v>0</v>
      </c>
      <c r="X47">
        <f>SUMIF(RawDataDead!$B:$B,$A47,RawDataDead!AA:AA)</f>
        <v>0</v>
      </c>
      <c r="Y47">
        <f>SUMIF(RawDataDead!$B:$B,$A47,RawDataDead!AB:AB)</f>
        <v>0</v>
      </c>
      <c r="Z47">
        <f>SUMIF(RawDataDead!$B:$B,$A47,RawDataDead!AC:AC)</f>
        <v>0</v>
      </c>
      <c r="AA47">
        <f>SUMIF(RawDataDead!$B:$B,$A47,RawDataDead!AD:AD)</f>
        <v>0</v>
      </c>
      <c r="AB47">
        <f>SUMIF(RawDataDead!$B:$B,$A47,RawDataDead!AE:AE)</f>
        <v>0</v>
      </c>
      <c r="AC47">
        <f>SUMIF(RawDataDead!$B:$B,$A47,RawDataDead!AF:AF)</f>
        <v>0</v>
      </c>
      <c r="AD47">
        <f>SUMIF(RawDataDead!$B:$B,$A47,RawDataDead!AG:AG)</f>
        <v>0</v>
      </c>
      <c r="AE47">
        <f>SUMIF(RawDataDead!$B:$B,$A47,RawDataDead!AH:AH)</f>
        <v>0</v>
      </c>
      <c r="AF47">
        <f>SUMIF(RawDataDead!$B:$B,$A47,RawDataDead!AI:AI)</f>
        <v>0</v>
      </c>
      <c r="AG47">
        <f>SUMIF(RawDataDead!$B:$B,$A47,RawDataDead!AJ:AJ)</f>
        <v>0</v>
      </c>
      <c r="AH47">
        <f>SUMIF(RawDataDead!$B:$B,$A47,RawDataDead!AK:AK)</f>
        <v>0</v>
      </c>
      <c r="AI47">
        <f>SUMIF(RawDataDead!$B:$B,$A47,RawDataDead!AL:AL)</f>
        <v>0</v>
      </c>
      <c r="AJ47">
        <f>SUMIF(RawDataDead!$B:$B,$A47,RawDataDead!AM:AM)</f>
        <v>0</v>
      </c>
      <c r="AK47">
        <f>SUMIF(RawDataDead!$B:$B,$A47,RawDataDead!AN:AN)</f>
        <v>0</v>
      </c>
      <c r="AL47">
        <f>SUMIF(RawDataDead!$B:$B,$A47,RawDataDead!AO:AO)</f>
        <v>0</v>
      </c>
      <c r="AM47">
        <f>SUMIF(RawDataDead!$B:$B,$A47,RawDataDead!AP:AP)</f>
        <v>0</v>
      </c>
      <c r="AN47">
        <f>SUMIF(RawDataDead!$B:$B,$A47,RawDataDead!AQ:AQ)</f>
        <v>0</v>
      </c>
      <c r="AO47">
        <f>SUMIF(RawDataDead!$B:$B,$A47,RawDataDead!AR:AR)</f>
        <v>0</v>
      </c>
      <c r="AP47">
        <f>SUMIF(RawDataDead!$B:$B,$A47,RawDataDead!AS:AS)</f>
        <v>0</v>
      </c>
      <c r="AQ47">
        <f>SUMIF(RawDataDead!$B:$B,$A47,RawDataDead!AT:AT)</f>
        <v>0</v>
      </c>
      <c r="AR47">
        <f>SUMIF(RawDataDead!$B:$B,$A47,RawDataDead!AU:AU)</f>
        <v>0</v>
      </c>
      <c r="AS47">
        <f>SUMIF(RawDataDead!$B:$B,$A47,RawDataDead!AV:AV)</f>
        <v>0</v>
      </c>
      <c r="AT47">
        <f>SUMIF(RawDataDead!$B:$B,$A47,RawDataDead!AW:AW)</f>
        <v>0</v>
      </c>
      <c r="AU47">
        <f>SUMIF(RawDataDead!$B:$B,$A47,RawDataDead!AX:AX)</f>
        <v>0</v>
      </c>
      <c r="AV47">
        <f>SUMIF(RawDataDead!$B:$B,$A47,RawDataDead!AY:AY)</f>
        <v>0</v>
      </c>
      <c r="AW47">
        <f>SUMIF(RawDataDead!$B:$B,$A47,RawDataDead!AZ:AZ)</f>
        <v>0</v>
      </c>
      <c r="AX47">
        <f>SUMIF(RawDataDead!$B:$B,$A47,RawDataDead!BA:BA)</f>
        <v>0</v>
      </c>
      <c r="AY47">
        <f>SUMIF(RawDataDead!$B:$B,$A47,RawDataDead!BB:BB)</f>
        <v>0</v>
      </c>
      <c r="AZ47">
        <f>SUMIF(RawDataDead!$B:$B,$A47,RawDataDead!BC:BC)</f>
        <v>1</v>
      </c>
      <c r="BA47">
        <f>SUMIF(RawDataDead!$B:$B,$A47,RawDataDead!BD:BD)</f>
        <v>2</v>
      </c>
      <c r="BB47">
        <f>SUMIF(RawDataDead!$B:$B,$A47,RawDataDead!BE:BE)</f>
        <v>3</v>
      </c>
      <c r="BC47">
        <f>SUMIF(RawDataDead!$B:$B,$A47,RawDataDead!BF:BF)</f>
        <v>3</v>
      </c>
      <c r="BD47">
        <f>SUMIF(RawDataDead!$B:$B,$A47,RawDataDead!BG:BG)</f>
        <v>4</v>
      </c>
      <c r="BE47">
        <f>SUMIF(RawDataDead!$B:$B,$A47,RawDataDead!BH:BH)</f>
        <v>5</v>
      </c>
      <c r="BF47">
        <f>SUMIF(RawDataDead!$B:$B,$A47,RawDataDead!BI:BI)</f>
        <v>0</v>
      </c>
      <c r="BG47">
        <f>SUMIF(RawDataDead!$B:$B,$A47,RawDataDead!BJ:BJ)</f>
        <v>0</v>
      </c>
      <c r="BH47">
        <f>SUMIF(RawDataDead!$B:$B,$A47,RawDataDead!BK:BK)</f>
        <v>0</v>
      </c>
      <c r="BI47">
        <f>SUMIF(RawDataDead!$B:$B,$A47,RawDataDead!BL:BL)</f>
        <v>0</v>
      </c>
      <c r="BJ47">
        <f>SUMIF(RawDataDead!$B:$B,$A47,RawDataDead!BM:BM)</f>
        <v>0</v>
      </c>
      <c r="BK47">
        <f>SUMIF(RawDataDead!$B:$B,$A47,RawDataDead!BN:BN)</f>
        <v>0</v>
      </c>
      <c r="BL47">
        <f>SUMIF(RawDataDead!$B:$B,$A47,RawDataDead!BO:BO)</f>
        <v>0</v>
      </c>
      <c r="BM47">
        <f>SUMIF(RawDataDead!$B:$B,$A47,RawDataDead!BP:BP)</f>
        <v>0</v>
      </c>
      <c r="BN47">
        <f>SUMIF(RawDataDead!$B:$B,$A47,RawDataDead!BQ:BQ)</f>
        <v>0</v>
      </c>
      <c r="BO47">
        <f>SUMIF(RawDataDead!$B:$B,$A47,RawDataDead!BR:BR)</f>
        <v>0</v>
      </c>
      <c r="BP47">
        <f>SUMIF(RawDataDead!$B:$B,$A47,RawDataDead!BS:BS)</f>
        <v>0</v>
      </c>
      <c r="BQ47">
        <f>SUMIF(RawDataDead!$B:$B,$A47,RawDataDead!BT:BT)</f>
        <v>0</v>
      </c>
      <c r="BR47">
        <f>SUMIF(RawDataDead!$B:$B,$A47,RawDataDead!BU:BU)</f>
        <v>0</v>
      </c>
      <c r="BS47">
        <f>SUMIF(RawDataDead!$B:$B,$A47,RawDataDead!BV:BV)</f>
        <v>0</v>
      </c>
      <c r="BT47">
        <f>SUMIF(RawDataDead!$B:$B,$A47,RawDataDead!BW:BW)</f>
        <v>0</v>
      </c>
    </row>
    <row r="48" spans="1:72" ht="15" thickBot="1" x14ac:dyDescent="0.35">
      <c r="A48" s="3" t="s">
        <v>83</v>
      </c>
      <c r="B48">
        <f>SUMIF(RawDataDead!$B:$B,$A48,RawDataDead!E:E)</f>
        <v>0</v>
      </c>
      <c r="C48">
        <f>SUMIF(RawDataDead!$B:$B,$A48,RawDataDead!F:F)</f>
        <v>0</v>
      </c>
      <c r="D48">
        <f>SUMIF(RawDataDead!$B:$B,$A48,RawDataDead!G:G)</f>
        <v>0</v>
      </c>
      <c r="E48">
        <f>SUMIF(RawDataDead!$B:$B,$A48,RawDataDead!H:H)</f>
        <v>0</v>
      </c>
      <c r="F48">
        <f>SUMIF(RawDataDead!$B:$B,$A48,RawDataDead!I:I)</f>
        <v>0</v>
      </c>
      <c r="G48">
        <f>SUMIF(RawDataDead!$B:$B,$A48,RawDataDead!J:J)</f>
        <v>0</v>
      </c>
      <c r="H48">
        <f>SUMIF(RawDataDead!$B:$B,$A48,RawDataDead!K:K)</f>
        <v>0</v>
      </c>
      <c r="I48">
        <f>SUMIF(RawDataDead!$B:$B,$A48,RawDataDead!L:L)</f>
        <v>0</v>
      </c>
      <c r="J48">
        <f>SUMIF(RawDataDead!$B:$B,$A48,RawDataDead!M:M)</f>
        <v>0</v>
      </c>
      <c r="K48">
        <f>SUMIF(RawDataDead!$B:$B,$A48,RawDataDead!N:N)</f>
        <v>0</v>
      </c>
      <c r="L48">
        <f>SUMIF(RawDataDead!$B:$B,$A48,RawDataDead!O:O)</f>
        <v>0</v>
      </c>
      <c r="M48">
        <f>SUMIF(RawDataDead!$B:$B,$A48,RawDataDead!P:P)</f>
        <v>1</v>
      </c>
      <c r="N48">
        <f>SUMIF(RawDataDead!$B:$B,$A48,RawDataDead!Q:Q)</f>
        <v>1</v>
      </c>
      <c r="O48">
        <f>SUMIF(RawDataDead!$B:$B,$A48,RawDataDead!R:R)</f>
        <v>1</v>
      </c>
      <c r="P48">
        <f>SUMIF(RawDataDead!$B:$B,$A48,RawDataDead!S:S)</f>
        <v>1</v>
      </c>
      <c r="Q48">
        <f>SUMIF(RawDataDead!$B:$B,$A48,RawDataDead!T:T)</f>
        <v>1</v>
      </c>
      <c r="R48">
        <f>SUMIF(RawDataDead!$B:$B,$A48,RawDataDead!U:U)</f>
        <v>1</v>
      </c>
      <c r="S48">
        <f>SUMIF(RawDataDead!$B:$B,$A48,RawDataDead!V:V)</f>
        <v>1</v>
      </c>
      <c r="T48">
        <f>SUMIF(RawDataDead!$B:$B,$A48,RawDataDead!W:W)</f>
        <v>1</v>
      </c>
      <c r="U48">
        <f>SUMIF(RawDataDead!$B:$B,$A48,RawDataDead!X:X)</f>
        <v>1</v>
      </c>
      <c r="V48">
        <f>SUMIF(RawDataDead!$B:$B,$A48,RawDataDead!Y:Y)</f>
        <v>1</v>
      </c>
      <c r="W48">
        <f>SUMIF(RawDataDead!$B:$B,$A48,RawDataDead!Z:Z)</f>
        <v>1</v>
      </c>
      <c r="X48">
        <f>SUMIF(RawDataDead!$B:$B,$A48,RawDataDead!AA:AA)</f>
        <v>1</v>
      </c>
      <c r="Y48">
        <f>SUMIF(RawDataDead!$B:$B,$A48,RawDataDead!AB:AB)</f>
        <v>1</v>
      </c>
      <c r="Z48">
        <f>SUMIF(RawDataDead!$B:$B,$A48,RawDataDead!AC:AC)</f>
        <v>1</v>
      </c>
      <c r="AA48">
        <f>SUMIF(RawDataDead!$B:$B,$A48,RawDataDead!AD:AD)</f>
        <v>1</v>
      </c>
      <c r="AB48">
        <f>SUMIF(RawDataDead!$B:$B,$A48,RawDataDead!AE:AE)</f>
        <v>1</v>
      </c>
      <c r="AC48">
        <f>SUMIF(RawDataDead!$B:$B,$A48,RawDataDead!AF:AF)</f>
        <v>1</v>
      </c>
      <c r="AD48">
        <f>SUMIF(RawDataDead!$B:$B,$A48,RawDataDead!AG:AG)</f>
        <v>1</v>
      </c>
      <c r="AE48">
        <f>SUMIF(RawDataDead!$B:$B,$A48,RawDataDead!AH:AH)</f>
        <v>1</v>
      </c>
      <c r="AF48">
        <f>SUMIF(RawDataDead!$B:$B,$A48,RawDataDead!AI:AI)</f>
        <v>1</v>
      </c>
      <c r="AG48">
        <f>SUMIF(RawDataDead!$B:$B,$A48,RawDataDead!AJ:AJ)</f>
        <v>1</v>
      </c>
      <c r="AH48">
        <f>SUMIF(RawDataDead!$B:$B,$A48,RawDataDead!AK:AK)</f>
        <v>1</v>
      </c>
      <c r="AI48">
        <f>SUMIF(RawDataDead!$B:$B,$A48,RawDataDead!AL:AL)</f>
        <v>1</v>
      </c>
      <c r="AJ48">
        <f>SUMIF(RawDataDead!$B:$B,$A48,RawDataDead!AM:AM)</f>
        <v>1</v>
      </c>
      <c r="AK48">
        <f>SUMIF(RawDataDead!$B:$B,$A48,RawDataDead!AN:AN)</f>
        <v>1</v>
      </c>
      <c r="AL48">
        <f>SUMIF(RawDataDead!$B:$B,$A48,RawDataDead!AO:AO)</f>
        <v>1</v>
      </c>
      <c r="AM48">
        <f>SUMIF(RawDataDead!$B:$B,$A48,RawDataDead!AP:AP)</f>
        <v>1</v>
      </c>
      <c r="AN48">
        <f>SUMIF(RawDataDead!$B:$B,$A48,RawDataDead!AQ:AQ)</f>
        <v>1</v>
      </c>
      <c r="AO48">
        <f>SUMIF(RawDataDead!$B:$B,$A48,RawDataDead!AR:AR)</f>
        <v>1</v>
      </c>
      <c r="AP48">
        <f>SUMIF(RawDataDead!$B:$B,$A48,RawDataDead!AS:AS)</f>
        <v>1</v>
      </c>
      <c r="AQ48">
        <f>SUMIF(RawDataDead!$B:$B,$A48,RawDataDead!AT:AT)</f>
        <v>1</v>
      </c>
      <c r="AR48">
        <f>SUMIF(RawDataDead!$B:$B,$A48,RawDataDead!AU:AU)</f>
        <v>1</v>
      </c>
      <c r="AS48">
        <f>SUMIF(RawDataDead!$B:$B,$A48,RawDataDead!AV:AV)</f>
        <v>1</v>
      </c>
      <c r="AT48">
        <f>SUMIF(RawDataDead!$B:$B,$A48,RawDataDead!AW:AW)</f>
        <v>1</v>
      </c>
      <c r="AU48">
        <f>SUMIF(RawDataDead!$B:$B,$A48,RawDataDead!AX:AX)</f>
        <v>1</v>
      </c>
      <c r="AV48">
        <f>SUMIF(RawDataDead!$B:$B,$A48,RawDataDead!AY:AY)</f>
        <v>1</v>
      </c>
      <c r="AW48">
        <f>SUMIF(RawDataDead!$B:$B,$A48,RawDataDead!AZ:AZ)</f>
        <v>1</v>
      </c>
      <c r="AX48">
        <f>SUMIF(RawDataDead!$B:$B,$A48,RawDataDead!BA:BA)</f>
        <v>1</v>
      </c>
      <c r="AY48">
        <f>SUMIF(RawDataDead!$B:$B,$A48,RawDataDead!BB:BB)</f>
        <v>1</v>
      </c>
      <c r="AZ48">
        <f>SUMIF(RawDataDead!$B:$B,$A48,RawDataDead!BC:BC)</f>
        <v>2</v>
      </c>
      <c r="BA48">
        <f>SUMIF(RawDataDead!$B:$B,$A48,RawDataDead!BD:BD)</f>
        <v>5</v>
      </c>
      <c r="BB48">
        <f>SUMIF(RawDataDead!$B:$B,$A48,RawDataDead!BE:BE)</f>
        <v>8</v>
      </c>
      <c r="BC48">
        <f>SUMIF(RawDataDead!$B:$B,$A48,RawDataDead!BF:BF)</f>
        <v>11</v>
      </c>
      <c r="BD48">
        <f>SUMIF(RawDataDead!$B:$B,$A48,RawDataDead!BG:BG)</f>
        <v>12</v>
      </c>
      <c r="BE48">
        <f>SUMIF(RawDataDead!$B:$B,$A48,RawDataDead!BH:BH)</f>
        <v>12</v>
      </c>
      <c r="BF48">
        <f>SUMIF(RawDataDead!$B:$B,$A48,RawDataDead!BI:BI)</f>
        <v>0</v>
      </c>
      <c r="BG48">
        <f>SUMIF(RawDataDead!$B:$B,$A48,RawDataDead!BJ:BJ)</f>
        <v>0</v>
      </c>
      <c r="BH48">
        <f>SUMIF(RawDataDead!$B:$B,$A48,RawDataDead!BK:BK)</f>
        <v>0</v>
      </c>
      <c r="BI48">
        <f>SUMIF(RawDataDead!$B:$B,$A48,RawDataDead!BL:BL)</f>
        <v>0</v>
      </c>
      <c r="BJ48">
        <f>SUMIF(RawDataDead!$B:$B,$A48,RawDataDead!BM:BM)</f>
        <v>0</v>
      </c>
      <c r="BK48">
        <f>SUMIF(RawDataDead!$B:$B,$A48,RawDataDead!BN:BN)</f>
        <v>0</v>
      </c>
      <c r="BL48">
        <f>SUMIF(RawDataDead!$B:$B,$A48,RawDataDead!BO:BO)</f>
        <v>0</v>
      </c>
      <c r="BM48">
        <f>SUMIF(RawDataDead!$B:$B,$A48,RawDataDead!BP:BP)</f>
        <v>0</v>
      </c>
      <c r="BN48">
        <f>SUMIF(RawDataDead!$B:$B,$A48,RawDataDead!BQ:BQ)</f>
        <v>0</v>
      </c>
      <c r="BO48">
        <f>SUMIF(RawDataDead!$B:$B,$A48,RawDataDead!BR:BR)</f>
        <v>0</v>
      </c>
      <c r="BP48">
        <f>SUMIF(RawDataDead!$B:$B,$A48,RawDataDead!BS:BS)</f>
        <v>0</v>
      </c>
      <c r="BQ48">
        <f>SUMIF(RawDataDead!$B:$B,$A48,RawDataDead!BT:BT)</f>
        <v>0</v>
      </c>
      <c r="BR48">
        <f>SUMIF(RawDataDead!$B:$B,$A48,RawDataDead!BU:BU)</f>
        <v>0</v>
      </c>
      <c r="BS48">
        <f>SUMIF(RawDataDead!$B:$B,$A48,RawDataDead!BV:BV)</f>
        <v>0</v>
      </c>
      <c r="BT48">
        <f>SUMIF(RawDataDead!$B:$B,$A48,RawDataDead!BW:BW)</f>
        <v>0</v>
      </c>
    </row>
    <row r="49" spans="1:72" ht="15" thickBot="1" x14ac:dyDescent="0.35">
      <c r="A49" s="3" t="s">
        <v>370</v>
      </c>
      <c r="B49">
        <f>SUMIF(RawDataDead!$B:$B,$A49,RawDataDead!E:E)</f>
        <v>0</v>
      </c>
      <c r="C49">
        <f>SUMIF(RawDataDead!$B:$B,$A49,RawDataDead!F:F)</f>
        <v>0</v>
      </c>
      <c r="D49">
        <f>SUMIF(RawDataDead!$B:$B,$A49,RawDataDead!G:G)</f>
        <v>0</v>
      </c>
      <c r="E49">
        <f>SUMIF(RawDataDead!$B:$B,$A49,RawDataDead!H:H)</f>
        <v>0</v>
      </c>
      <c r="F49">
        <f>SUMIF(RawDataDead!$B:$B,$A49,RawDataDead!I:I)</f>
        <v>0</v>
      </c>
      <c r="G49">
        <f>SUMIF(RawDataDead!$B:$B,$A49,RawDataDead!J:J)</f>
        <v>0</v>
      </c>
      <c r="H49">
        <f>SUMIF(RawDataDead!$B:$B,$A49,RawDataDead!K:K)</f>
        <v>0</v>
      </c>
      <c r="I49">
        <f>SUMIF(RawDataDead!$B:$B,$A49,RawDataDead!L:L)</f>
        <v>0</v>
      </c>
      <c r="J49">
        <f>SUMIF(RawDataDead!$B:$B,$A49,RawDataDead!M:M)</f>
        <v>0</v>
      </c>
      <c r="K49">
        <f>SUMIF(RawDataDead!$B:$B,$A49,RawDataDead!N:N)</f>
        <v>0</v>
      </c>
      <c r="L49">
        <f>SUMIF(RawDataDead!$B:$B,$A49,RawDataDead!O:O)</f>
        <v>0</v>
      </c>
      <c r="M49">
        <f>SUMIF(RawDataDead!$B:$B,$A49,RawDataDead!P:P)</f>
        <v>0</v>
      </c>
      <c r="N49">
        <f>SUMIF(RawDataDead!$B:$B,$A49,RawDataDead!Q:Q)</f>
        <v>0</v>
      </c>
      <c r="O49">
        <f>SUMIF(RawDataDead!$B:$B,$A49,RawDataDead!R:R)</f>
        <v>0</v>
      </c>
      <c r="P49">
        <f>SUMIF(RawDataDead!$B:$B,$A49,RawDataDead!S:S)</f>
        <v>0</v>
      </c>
      <c r="Q49">
        <f>SUMIF(RawDataDead!$B:$B,$A49,RawDataDead!T:T)</f>
        <v>0</v>
      </c>
      <c r="R49">
        <f>SUMIF(RawDataDead!$B:$B,$A49,RawDataDead!U:U)</f>
        <v>0</v>
      </c>
      <c r="S49">
        <f>SUMIF(RawDataDead!$B:$B,$A49,RawDataDead!V:V)</f>
        <v>0</v>
      </c>
      <c r="T49">
        <f>SUMIF(RawDataDead!$B:$B,$A49,RawDataDead!W:W)</f>
        <v>0</v>
      </c>
      <c r="U49">
        <f>SUMIF(RawDataDead!$B:$B,$A49,RawDataDead!X:X)</f>
        <v>0</v>
      </c>
      <c r="V49">
        <f>SUMIF(RawDataDead!$B:$B,$A49,RawDataDead!Y:Y)</f>
        <v>0</v>
      </c>
      <c r="W49">
        <f>SUMIF(RawDataDead!$B:$B,$A49,RawDataDead!Z:Z)</f>
        <v>0</v>
      </c>
      <c r="X49">
        <f>SUMIF(RawDataDead!$B:$B,$A49,RawDataDead!AA:AA)</f>
        <v>0</v>
      </c>
      <c r="Y49">
        <f>SUMIF(RawDataDead!$B:$B,$A49,RawDataDead!AB:AB)</f>
        <v>0</v>
      </c>
      <c r="Z49">
        <f>SUMIF(RawDataDead!$B:$B,$A49,RawDataDead!AC:AC)</f>
        <v>0</v>
      </c>
      <c r="AA49">
        <f>SUMIF(RawDataDead!$B:$B,$A49,RawDataDead!AD:AD)</f>
        <v>1</v>
      </c>
      <c r="AB49">
        <f>SUMIF(RawDataDead!$B:$B,$A49,RawDataDead!AE:AE)</f>
        <v>1</v>
      </c>
      <c r="AC49">
        <f>SUMIF(RawDataDead!$B:$B,$A49,RawDataDead!AF:AF)</f>
        <v>1</v>
      </c>
      <c r="AD49">
        <f>SUMIF(RawDataDead!$B:$B,$A49,RawDataDead!AG:AG)</f>
        <v>1</v>
      </c>
      <c r="AE49">
        <f>SUMIF(RawDataDead!$B:$B,$A49,RawDataDead!AH:AH)</f>
        <v>1</v>
      </c>
      <c r="AF49">
        <f>SUMIF(RawDataDead!$B:$B,$A49,RawDataDead!AI:AI)</f>
        <v>1</v>
      </c>
      <c r="AG49">
        <f>SUMIF(RawDataDead!$B:$B,$A49,RawDataDead!AJ:AJ)</f>
        <v>1</v>
      </c>
      <c r="AH49">
        <f>SUMIF(RawDataDead!$B:$B,$A49,RawDataDead!AK:AK)</f>
        <v>1</v>
      </c>
      <c r="AI49">
        <f>SUMIF(RawDataDead!$B:$B,$A49,RawDataDead!AL:AL)</f>
        <v>1</v>
      </c>
      <c r="AJ49">
        <f>SUMIF(RawDataDead!$B:$B,$A49,RawDataDead!AM:AM)</f>
        <v>1</v>
      </c>
      <c r="AK49">
        <f>SUMIF(RawDataDead!$B:$B,$A49,RawDataDead!AN:AN)</f>
        <v>1</v>
      </c>
      <c r="AL49">
        <f>SUMIF(RawDataDead!$B:$B,$A49,RawDataDead!AO:AO)</f>
        <v>1</v>
      </c>
      <c r="AM49">
        <f>SUMIF(RawDataDead!$B:$B,$A49,RawDataDead!AP:AP)</f>
        <v>1</v>
      </c>
      <c r="AN49">
        <f>SUMIF(RawDataDead!$B:$B,$A49,RawDataDead!AQ:AQ)</f>
        <v>1</v>
      </c>
      <c r="AO49">
        <f>SUMIF(RawDataDead!$B:$B,$A49,RawDataDead!AR:AR)</f>
        <v>1</v>
      </c>
      <c r="AP49">
        <f>SUMIF(RawDataDead!$B:$B,$A49,RawDataDead!AS:AS)</f>
        <v>1</v>
      </c>
      <c r="AQ49">
        <f>SUMIF(RawDataDead!$B:$B,$A49,RawDataDead!AT:AT)</f>
        <v>1</v>
      </c>
      <c r="AR49">
        <f>SUMIF(RawDataDead!$B:$B,$A49,RawDataDead!AU:AU)</f>
        <v>1</v>
      </c>
      <c r="AS49">
        <f>SUMIF(RawDataDead!$B:$B,$A49,RawDataDead!AV:AV)</f>
        <v>1</v>
      </c>
      <c r="AT49">
        <f>SUMIF(RawDataDead!$B:$B,$A49,RawDataDead!AW:AW)</f>
        <v>1</v>
      </c>
      <c r="AU49">
        <f>SUMIF(RawDataDead!$B:$B,$A49,RawDataDead!AX:AX)</f>
        <v>1</v>
      </c>
      <c r="AV49">
        <f>SUMIF(RawDataDead!$B:$B,$A49,RawDataDead!AY:AY)</f>
        <v>1</v>
      </c>
      <c r="AW49">
        <f>SUMIF(RawDataDead!$B:$B,$A49,RawDataDead!AZ:AZ)</f>
        <v>1</v>
      </c>
      <c r="AX49">
        <f>SUMIF(RawDataDead!$B:$B,$A49,RawDataDead!BA:BA)</f>
        <v>1</v>
      </c>
      <c r="AY49">
        <f>SUMIF(RawDataDead!$B:$B,$A49,RawDataDead!BB:BB)</f>
        <v>1</v>
      </c>
      <c r="AZ49">
        <f>SUMIF(RawDataDead!$B:$B,$A49,RawDataDead!BC:BC)</f>
        <v>1</v>
      </c>
      <c r="BA49">
        <f>SUMIF(RawDataDead!$B:$B,$A49,RawDataDead!BD:BD)</f>
        <v>1</v>
      </c>
      <c r="BB49">
        <f>SUMIF(RawDataDead!$B:$B,$A49,RawDataDead!BE:BE)</f>
        <v>1</v>
      </c>
      <c r="BC49">
        <f>SUMIF(RawDataDead!$B:$B,$A49,RawDataDead!BF:BF)</f>
        <v>1</v>
      </c>
      <c r="BD49">
        <f>SUMIF(RawDataDead!$B:$B,$A49,RawDataDead!BG:BG)</f>
        <v>1</v>
      </c>
      <c r="BE49">
        <f>SUMIF(RawDataDead!$B:$B,$A49,RawDataDead!BH:BH)</f>
        <v>1</v>
      </c>
      <c r="BF49">
        <f>SUMIF(RawDataDead!$B:$B,$A49,RawDataDead!BI:BI)</f>
        <v>0</v>
      </c>
      <c r="BG49">
        <f>SUMIF(RawDataDead!$B:$B,$A49,RawDataDead!BJ:BJ)</f>
        <v>0</v>
      </c>
      <c r="BH49">
        <f>SUMIF(RawDataDead!$B:$B,$A49,RawDataDead!BK:BK)</f>
        <v>0</v>
      </c>
      <c r="BI49">
        <f>SUMIF(RawDataDead!$B:$B,$A49,RawDataDead!BL:BL)</f>
        <v>0</v>
      </c>
      <c r="BJ49">
        <f>SUMIF(RawDataDead!$B:$B,$A49,RawDataDead!BM:BM)</f>
        <v>0</v>
      </c>
      <c r="BK49">
        <f>SUMIF(RawDataDead!$B:$B,$A49,RawDataDead!BN:BN)</f>
        <v>0</v>
      </c>
      <c r="BL49">
        <f>SUMIF(RawDataDead!$B:$B,$A49,RawDataDead!BO:BO)</f>
        <v>0</v>
      </c>
      <c r="BM49">
        <f>SUMIF(RawDataDead!$B:$B,$A49,RawDataDead!BP:BP)</f>
        <v>0</v>
      </c>
      <c r="BN49">
        <f>SUMIF(RawDataDead!$B:$B,$A49,RawDataDead!BQ:BQ)</f>
        <v>0</v>
      </c>
      <c r="BO49">
        <f>SUMIF(RawDataDead!$B:$B,$A49,RawDataDead!BR:BR)</f>
        <v>0</v>
      </c>
      <c r="BP49">
        <f>SUMIF(RawDataDead!$B:$B,$A49,RawDataDead!BS:BS)</f>
        <v>0</v>
      </c>
      <c r="BQ49">
        <f>SUMIF(RawDataDead!$B:$B,$A49,RawDataDead!BT:BT)</f>
        <v>0</v>
      </c>
      <c r="BR49">
        <f>SUMIF(RawDataDead!$B:$B,$A49,RawDataDead!BU:BU)</f>
        <v>0</v>
      </c>
      <c r="BS49">
        <f>SUMIF(RawDataDead!$B:$B,$A49,RawDataDead!BV:BV)</f>
        <v>0</v>
      </c>
      <c r="BT49">
        <f>SUMIF(RawDataDead!$B:$B,$A49,RawDataDead!BW:BW)</f>
        <v>0</v>
      </c>
    </row>
    <row r="50" spans="1:72" ht="15" thickBot="1" x14ac:dyDescent="0.35">
      <c r="A50" s="4" t="s">
        <v>371</v>
      </c>
      <c r="B50">
        <f>SUMIF(RawDataDead!$B:$B,$A50,RawDataDead!E:E)</f>
        <v>0</v>
      </c>
      <c r="C50">
        <f>SUMIF(RawDataDead!$B:$B,$A50,RawDataDead!F:F)</f>
        <v>0</v>
      </c>
      <c r="D50">
        <f>SUMIF(RawDataDead!$B:$B,$A50,RawDataDead!G:G)</f>
        <v>0</v>
      </c>
      <c r="E50">
        <f>SUMIF(RawDataDead!$B:$B,$A50,RawDataDead!H:H)</f>
        <v>0</v>
      </c>
      <c r="F50">
        <f>SUMIF(RawDataDead!$B:$B,$A50,RawDataDead!I:I)</f>
        <v>0</v>
      </c>
      <c r="G50">
        <f>SUMIF(RawDataDead!$B:$B,$A50,RawDataDead!J:J)</f>
        <v>0</v>
      </c>
      <c r="H50">
        <f>SUMIF(RawDataDead!$B:$B,$A50,RawDataDead!K:K)</f>
        <v>0</v>
      </c>
      <c r="I50">
        <f>SUMIF(RawDataDead!$B:$B,$A50,RawDataDead!L:L)</f>
        <v>0</v>
      </c>
      <c r="J50">
        <f>SUMIF(RawDataDead!$B:$B,$A50,RawDataDead!M:M)</f>
        <v>0</v>
      </c>
      <c r="K50">
        <f>SUMIF(RawDataDead!$B:$B,$A50,RawDataDead!N:N)</f>
        <v>0</v>
      </c>
      <c r="L50">
        <f>SUMIF(RawDataDead!$B:$B,$A50,RawDataDead!O:O)</f>
        <v>0</v>
      </c>
      <c r="M50">
        <f>SUMIF(RawDataDead!$B:$B,$A50,RawDataDead!P:P)</f>
        <v>0</v>
      </c>
      <c r="N50">
        <f>SUMIF(RawDataDead!$B:$B,$A50,RawDataDead!Q:Q)</f>
        <v>0</v>
      </c>
      <c r="O50">
        <f>SUMIF(RawDataDead!$B:$B,$A50,RawDataDead!R:R)</f>
        <v>0</v>
      </c>
      <c r="P50">
        <f>SUMIF(RawDataDead!$B:$B,$A50,RawDataDead!S:S)</f>
        <v>0</v>
      </c>
      <c r="Q50">
        <f>SUMIF(RawDataDead!$B:$B,$A50,RawDataDead!T:T)</f>
        <v>0</v>
      </c>
      <c r="R50">
        <f>SUMIF(RawDataDead!$B:$B,$A50,RawDataDead!U:U)</f>
        <v>0</v>
      </c>
      <c r="S50">
        <f>SUMIF(RawDataDead!$B:$B,$A50,RawDataDead!V:V)</f>
        <v>0</v>
      </c>
      <c r="T50">
        <f>SUMIF(RawDataDead!$B:$B,$A50,RawDataDead!W:W)</f>
        <v>0</v>
      </c>
      <c r="U50">
        <f>SUMIF(RawDataDead!$B:$B,$A50,RawDataDead!X:X)</f>
        <v>0</v>
      </c>
      <c r="V50">
        <f>SUMIF(RawDataDead!$B:$B,$A50,RawDataDead!Y:Y)</f>
        <v>0</v>
      </c>
      <c r="W50">
        <f>SUMIF(RawDataDead!$B:$B,$A50,RawDataDead!Z:Z)</f>
        <v>0</v>
      </c>
      <c r="X50">
        <f>SUMIF(RawDataDead!$B:$B,$A50,RawDataDead!AA:AA)</f>
        <v>0</v>
      </c>
      <c r="Y50">
        <f>SUMIF(RawDataDead!$B:$B,$A50,RawDataDead!AB:AB)</f>
        <v>0</v>
      </c>
      <c r="Z50">
        <f>SUMIF(RawDataDead!$B:$B,$A50,RawDataDead!AC:AC)</f>
        <v>0</v>
      </c>
      <c r="AA50">
        <f>SUMIF(RawDataDead!$B:$B,$A50,RawDataDead!AD:AD)</f>
        <v>0</v>
      </c>
      <c r="AB50">
        <f>SUMIF(RawDataDead!$B:$B,$A50,RawDataDead!AE:AE)</f>
        <v>0</v>
      </c>
      <c r="AC50">
        <f>SUMIF(RawDataDead!$B:$B,$A50,RawDataDead!AF:AF)</f>
        <v>0</v>
      </c>
      <c r="AD50">
        <f>SUMIF(RawDataDead!$B:$B,$A50,RawDataDead!AG:AG)</f>
        <v>0</v>
      </c>
      <c r="AE50">
        <f>SUMIF(RawDataDead!$B:$B,$A50,RawDataDead!AH:AH)</f>
        <v>0</v>
      </c>
      <c r="AF50">
        <f>SUMIF(RawDataDead!$B:$B,$A50,RawDataDead!AI:AI)</f>
        <v>0</v>
      </c>
      <c r="AG50">
        <f>SUMIF(RawDataDead!$B:$B,$A50,RawDataDead!AJ:AJ)</f>
        <v>0</v>
      </c>
      <c r="AH50">
        <f>SUMIF(RawDataDead!$B:$B,$A50,RawDataDead!AK:AK)</f>
        <v>0</v>
      </c>
      <c r="AI50">
        <f>SUMIF(RawDataDead!$B:$B,$A50,RawDataDead!AL:AL)</f>
        <v>0</v>
      </c>
      <c r="AJ50">
        <f>SUMIF(RawDataDead!$B:$B,$A50,RawDataDead!AM:AM)</f>
        <v>0</v>
      </c>
      <c r="AK50">
        <f>SUMIF(RawDataDead!$B:$B,$A50,RawDataDead!AN:AN)</f>
        <v>0</v>
      </c>
      <c r="AL50">
        <f>SUMIF(RawDataDead!$B:$B,$A50,RawDataDead!AO:AO)</f>
        <v>0</v>
      </c>
      <c r="AM50">
        <f>SUMIF(RawDataDead!$B:$B,$A50,RawDataDead!AP:AP)</f>
        <v>0</v>
      </c>
      <c r="AN50">
        <f>SUMIF(RawDataDead!$B:$B,$A50,RawDataDead!AQ:AQ)</f>
        <v>0</v>
      </c>
      <c r="AO50">
        <f>SUMIF(RawDataDead!$B:$B,$A50,RawDataDead!AR:AR)</f>
        <v>0</v>
      </c>
      <c r="AP50">
        <f>SUMIF(RawDataDead!$B:$B,$A50,RawDataDead!AS:AS)</f>
        <v>0</v>
      </c>
      <c r="AQ50">
        <f>SUMIF(RawDataDead!$B:$B,$A50,RawDataDead!AT:AT)</f>
        <v>0</v>
      </c>
      <c r="AR50">
        <f>SUMIF(RawDataDead!$B:$B,$A50,RawDataDead!AU:AU)</f>
        <v>0</v>
      </c>
      <c r="AS50">
        <f>SUMIF(RawDataDead!$B:$B,$A50,RawDataDead!AV:AV)</f>
        <v>0</v>
      </c>
      <c r="AT50">
        <f>SUMIF(RawDataDead!$B:$B,$A50,RawDataDead!AW:AW)</f>
        <v>0</v>
      </c>
      <c r="AU50">
        <f>SUMIF(RawDataDead!$B:$B,$A50,RawDataDead!AX:AX)</f>
        <v>0</v>
      </c>
      <c r="AV50">
        <f>SUMIF(RawDataDead!$B:$B,$A50,RawDataDead!AY:AY)</f>
        <v>0</v>
      </c>
      <c r="AW50">
        <f>SUMIF(RawDataDead!$B:$B,$A50,RawDataDead!AZ:AZ)</f>
        <v>0</v>
      </c>
      <c r="AX50">
        <f>SUMIF(RawDataDead!$B:$B,$A50,RawDataDead!BA:BA)</f>
        <v>0</v>
      </c>
      <c r="AY50">
        <f>SUMIF(RawDataDead!$B:$B,$A50,RawDataDead!BB:BB)</f>
        <v>0</v>
      </c>
      <c r="AZ50">
        <f>SUMIF(RawDataDead!$B:$B,$A50,RawDataDead!BC:BC)</f>
        <v>0</v>
      </c>
      <c r="BA50">
        <f>SUMIF(RawDataDead!$B:$B,$A50,RawDataDead!BD:BD)</f>
        <v>0</v>
      </c>
      <c r="BB50">
        <f>SUMIF(RawDataDead!$B:$B,$A50,RawDataDead!BE:BE)</f>
        <v>0</v>
      </c>
      <c r="BC50">
        <f>SUMIF(RawDataDead!$B:$B,$A50,RawDataDead!BF:BF)</f>
        <v>0</v>
      </c>
      <c r="BD50">
        <f>SUMIF(RawDataDead!$B:$B,$A50,RawDataDead!BG:BG)</f>
        <v>0</v>
      </c>
      <c r="BE50">
        <f>SUMIF(RawDataDead!$B:$B,$A50,RawDataDead!BH:BH)</f>
        <v>0</v>
      </c>
      <c r="BF50">
        <f>SUMIF(RawDataDead!$B:$B,$A50,RawDataDead!BI:BI)</f>
        <v>0</v>
      </c>
      <c r="BG50">
        <f>SUMIF(RawDataDead!$B:$B,$A50,RawDataDead!BJ:BJ)</f>
        <v>0</v>
      </c>
      <c r="BH50">
        <f>SUMIF(RawDataDead!$B:$B,$A50,RawDataDead!BK:BK)</f>
        <v>0</v>
      </c>
      <c r="BI50">
        <f>SUMIF(RawDataDead!$B:$B,$A50,RawDataDead!BL:BL)</f>
        <v>0</v>
      </c>
      <c r="BJ50">
        <f>SUMIF(RawDataDead!$B:$B,$A50,RawDataDead!BM:BM)</f>
        <v>0</v>
      </c>
      <c r="BK50">
        <f>SUMIF(RawDataDead!$B:$B,$A50,RawDataDead!BN:BN)</f>
        <v>0</v>
      </c>
      <c r="BL50">
        <f>SUMIF(RawDataDead!$B:$B,$A50,RawDataDead!BO:BO)</f>
        <v>0</v>
      </c>
      <c r="BM50">
        <f>SUMIF(RawDataDead!$B:$B,$A50,RawDataDead!BP:BP)</f>
        <v>0</v>
      </c>
      <c r="BN50">
        <f>SUMIF(RawDataDead!$B:$B,$A50,RawDataDead!BQ:BQ)</f>
        <v>0</v>
      </c>
      <c r="BO50">
        <f>SUMIF(RawDataDead!$B:$B,$A50,RawDataDead!BR:BR)</f>
        <v>0</v>
      </c>
      <c r="BP50">
        <f>SUMIF(RawDataDead!$B:$B,$A50,RawDataDead!BS:BS)</f>
        <v>0</v>
      </c>
      <c r="BQ50">
        <f>SUMIF(RawDataDead!$B:$B,$A50,RawDataDead!BT:BT)</f>
        <v>0</v>
      </c>
      <c r="BR50">
        <f>SUMIF(RawDataDead!$B:$B,$A50,RawDataDead!BU:BU)</f>
        <v>0</v>
      </c>
      <c r="BS50">
        <f>SUMIF(RawDataDead!$B:$B,$A50,RawDataDead!BV:BV)</f>
        <v>0</v>
      </c>
      <c r="BT50">
        <f>SUMIF(RawDataDead!$B:$B,$A50,RawDataDead!BW:BW)</f>
        <v>0</v>
      </c>
    </row>
    <row r="51" spans="1:72" ht="15" thickBot="1" x14ac:dyDescent="0.35">
      <c r="A51" s="3" t="s">
        <v>372</v>
      </c>
      <c r="B51">
        <f>SUMIF(RawDataDead!$B:$B,$A51,RawDataDead!E:E)</f>
        <v>0</v>
      </c>
      <c r="C51">
        <f>SUMIF(RawDataDead!$B:$B,$A51,RawDataDead!F:F)</f>
        <v>0</v>
      </c>
      <c r="D51">
        <f>SUMIF(RawDataDead!$B:$B,$A51,RawDataDead!G:G)</f>
        <v>0</v>
      </c>
      <c r="E51">
        <f>SUMIF(RawDataDead!$B:$B,$A51,RawDataDead!H:H)</f>
        <v>0</v>
      </c>
      <c r="F51">
        <f>SUMIF(RawDataDead!$B:$B,$A51,RawDataDead!I:I)</f>
        <v>0</v>
      </c>
      <c r="G51">
        <f>SUMIF(RawDataDead!$B:$B,$A51,RawDataDead!J:J)</f>
        <v>0</v>
      </c>
      <c r="H51">
        <f>SUMIF(RawDataDead!$B:$B,$A51,RawDataDead!K:K)</f>
        <v>0</v>
      </c>
      <c r="I51">
        <f>SUMIF(RawDataDead!$B:$B,$A51,RawDataDead!L:L)</f>
        <v>0</v>
      </c>
      <c r="J51">
        <f>SUMIF(RawDataDead!$B:$B,$A51,RawDataDead!M:M)</f>
        <v>0</v>
      </c>
      <c r="K51">
        <f>SUMIF(RawDataDead!$B:$B,$A51,RawDataDead!N:N)</f>
        <v>0</v>
      </c>
      <c r="L51">
        <f>SUMIF(RawDataDead!$B:$B,$A51,RawDataDead!O:O)</f>
        <v>0</v>
      </c>
      <c r="M51">
        <f>SUMIF(RawDataDead!$B:$B,$A51,RawDataDead!P:P)</f>
        <v>0</v>
      </c>
      <c r="N51">
        <f>SUMIF(RawDataDead!$B:$B,$A51,RawDataDead!Q:Q)</f>
        <v>0</v>
      </c>
      <c r="O51">
        <f>SUMIF(RawDataDead!$B:$B,$A51,RawDataDead!R:R)</f>
        <v>0</v>
      </c>
      <c r="P51">
        <f>SUMIF(RawDataDead!$B:$B,$A51,RawDataDead!S:S)</f>
        <v>0</v>
      </c>
      <c r="Q51">
        <f>SUMIF(RawDataDead!$B:$B,$A51,RawDataDead!T:T)</f>
        <v>0</v>
      </c>
      <c r="R51">
        <f>SUMIF(RawDataDead!$B:$B,$A51,RawDataDead!U:U)</f>
        <v>0</v>
      </c>
      <c r="S51">
        <f>SUMIF(RawDataDead!$B:$B,$A51,RawDataDead!V:V)</f>
        <v>0</v>
      </c>
      <c r="T51">
        <f>SUMIF(RawDataDead!$B:$B,$A51,RawDataDead!W:W)</f>
        <v>0</v>
      </c>
      <c r="U51">
        <f>SUMIF(RawDataDead!$B:$B,$A51,RawDataDead!X:X)</f>
        <v>0</v>
      </c>
      <c r="V51">
        <f>SUMIF(RawDataDead!$B:$B,$A51,RawDataDead!Y:Y)</f>
        <v>0</v>
      </c>
      <c r="W51">
        <f>SUMIF(RawDataDead!$B:$B,$A51,RawDataDead!Z:Z)</f>
        <v>0</v>
      </c>
      <c r="X51">
        <f>SUMIF(RawDataDead!$B:$B,$A51,RawDataDead!AA:AA)</f>
        <v>0</v>
      </c>
      <c r="Y51">
        <f>SUMIF(RawDataDead!$B:$B,$A51,RawDataDead!AB:AB)</f>
        <v>0</v>
      </c>
      <c r="Z51">
        <f>SUMIF(RawDataDead!$B:$B,$A51,RawDataDead!AC:AC)</f>
        <v>0</v>
      </c>
      <c r="AA51">
        <f>SUMIF(RawDataDead!$B:$B,$A51,RawDataDead!AD:AD)</f>
        <v>0</v>
      </c>
      <c r="AB51">
        <f>SUMIF(RawDataDead!$B:$B,$A51,RawDataDead!AE:AE)</f>
        <v>0</v>
      </c>
      <c r="AC51">
        <f>SUMIF(RawDataDead!$B:$B,$A51,RawDataDead!AF:AF)</f>
        <v>0</v>
      </c>
      <c r="AD51">
        <f>SUMIF(RawDataDead!$B:$B,$A51,RawDataDead!AG:AG)</f>
        <v>0</v>
      </c>
      <c r="AE51">
        <f>SUMIF(RawDataDead!$B:$B,$A51,RawDataDead!AH:AH)</f>
        <v>0</v>
      </c>
      <c r="AF51">
        <f>SUMIF(RawDataDead!$B:$B,$A51,RawDataDead!AI:AI)</f>
        <v>0</v>
      </c>
      <c r="AG51">
        <f>SUMIF(RawDataDead!$B:$B,$A51,RawDataDead!AJ:AJ)</f>
        <v>0</v>
      </c>
      <c r="AH51">
        <f>SUMIF(RawDataDead!$B:$B,$A51,RawDataDead!AK:AK)</f>
        <v>0</v>
      </c>
      <c r="AI51">
        <f>SUMIF(RawDataDead!$B:$B,$A51,RawDataDead!AL:AL)</f>
        <v>0</v>
      </c>
      <c r="AJ51">
        <f>SUMIF(RawDataDead!$B:$B,$A51,RawDataDead!AM:AM)</f>
        <v>0</v>
      </c>
      <c r="AK51">
        <f>SUMIF(RawDataDead!$B:$B,$A51,RawDataDead!AN:AN)</f>
        <v>0</v>
      </c>
      <c r="AL51">
        <f>SUMIF(RawDataDead!$B:$B,$A51,RawDataDead!AO:AO)</f>
        <v>0</v>
      </c>
      <c r="AM51">
        <f>SUMIF(RawDataDead!$B:$B,$A51,RawDataDead!AP:AP)</f>
        <v>0</v>
      </c>
      <c r="AN51">
        <f>SUMIF(RawDataDead!$B:$B,$A51,RawDataDead!AQ:AQ)</f>
        <v>0</v>
      </c>
      <c r="AO51">
        <f>SUMIF(RawDataDead!$B:$B,$A51,RawDataDead!AR:AR)</f>
        <v>0</v>
      </c>
      <c r="AP51">
        <f>SUMIF(RawDataDead!$B:$B,$A51,RawDataDead!AS:AS)</f>
        <v>0</v>
      </c>
      <c r="AQ51">
        <f>SUMIF(RawDataDead!$B:$B,$A51,RawDataDead!AT:AT)</f>
        <v>0</v>
      </c>
      <c r="AR51">
        <f>SUMIF(RawDataDead!$B:$B,$A51,RawDataDead!AU:AU)</f>
        <v>0</v>
      </c>
      <c r="AS51">
        <f>SUMIF(RawDataDead!$B:$B,$A51,RawDataDead!AV:AV)</f>
        <v>0</v>
      </c>
      <c r="AT51">
        <f>SUMIF(RawDataDead!$B:$B,$A51,RawDataDead!AW:AW)</f>
        <v>0</v>
      </c>
      <c r="AU51">
        <f>SUMIF(RawDataDead!$B:$B,$A51,RawDataDead!AX:AX)</f>
        <v>0</v>
      </c>
      <c r="AV51">
        <f>SUMIF(RawDataDead!$B:$B,$A51,RawDataDead!AY:AY)</f>
        <v>0</v>
      </c>
      <c r="AW51">
        <f>SUMIF(RawDataDead!$B:$B,$A51,RawDataDead!AZ:AZ)</f>
        <v>0</v>
      </c>
      <c r="AX51">
        <f>SUMIF(RawDataDead!$B:$B,$A51,RawDataDead!BA:BA)</f>
        <v>0</v>
      </c>
      <c r="AY51">
        <f>SUMIF(RawDataDead!$B:$B,$A51,RawDataDead!BB:BB)</f>
        <v>0</v>
      </c>
      <c r="AZ51">
        <f>SUMIF(RawDataDead!$B:$B,$A51,RawDataDead!BC:BC)</f>
        <v>0</v>
      </c>
      <c r="BA51">
        <f>SUMIF(RawDataDead!$B:$B,$A51,RawDataDead!BD:BD)</f>
        <v>0</v>
      </c>
      <c r="BB51">
        <f>SUMIF(RawDataDead!$B:$B,$A51,RawDataDead!BE:BE)</f>
        <v>0</v>
      </c>
      <c r="BC51">
        <f>SUMIF(RawDataDead!$B:$B,$A51,RawDataDead!BF:BF)</f>
        <v>0</v>
      </c>
      <c r="BD51">
        <f>SUMIF(RawDataDead!$B:$B,$A51,RawDataDead!BG:BG)</f>
        <v>0</v>
      </c>
      <c r="BE51">
        <f>SUMIF(RawDataDead!$B:$B,$A51,RawDataDead!BH:BH)</f>
        <v>0</v>
      </c>
      <c r="BF51">
        <f>SUMIF(RawDataDead!$B:$B,$A51,RawDataDead!BI:BI)</f>
        <v>0</v>
      </c>
      <c r="BG51">
        <f>SUMIF(RawDataDead!$B:$B,$A51,RawDataDead!BJ:BJ)</f>
        <v>0</v>
      </c>
      <c r="BH51">
        <f>SUMIF(RawDataDead!$B:$B,$A51,RawDataDead!BK:BK)</f>
        <v>0</v>
      </c>
      <c r="BI51">
        <f>SUMIF(RawDataDead!$B:$B,$A51,RawDataDead!BL:BL)</f>
        <v>0</v>
      </c>
      <c r="BJ51">
        <f>SUMIF(RawDataDead!$B:$B,$A51,RawDataDead!BM:BM)</f>
        <v>0</v>
      </c>
      <c r="BK51">
        <f>SUMIF(RawDataDead!$B:$B,$A51,RawDataDead!BN:BN)</f>
        <v>0</v>
      </c>
      <c r="BL51">
        <f>SUMIF(RawDataDead!$B:$B,$A51,RawDataDead!BO:BO)</f>
        <v>0</v>
      </c>
      <c r="BM51">
        <f>SUMIF(RawDataDead!$B:$B,$A51,RawDataDead!BP:BP)</f>
        <v>0</v>
      </c>
      <c r="BN51">
        <f>SUMIF(RawDataDead!$B:$B,$A51,RawDataDead!BQ:BQ)</f>
        <v>0</v>
      </c>
      <c r="BO51">
        <f>SUMIF(RawDataDead!$B:$B,$A51,RawDataDead!BR:BR)</f>
        <v>0</v>
      </c>
      <c r="BP51">
        <f>SUMIF(RawDataDead!$B:$B,$A51,RawDataDead!BS:BS)</f>
        <v>0</v>
      </c>
      <c r="BQ51">
        <f>SUMIF(RawDataDead!$B:$B,$A51,RawDataDead!BT:BT)</f>
        <v>0</v>
      </c>
      <c r="BR51">
        <f>SUMIF(RawDataDead!$B:$B,$A51,RawDataDead!BU:BU)</f>
        <v>0</v>
      </c>
      <c r="BS51">
        <f>SUMIF(RawDataDead!$B:$B,$A51,RawDataDead!BV:BV)</f>
        <v>0</v>
      </c>
      <c r="BT51">
        <f>SUMIF(RawDataDead!$B:$B,$A51,RawDataDead!BW:BW)</f>
        <v>0</v>
      </c>
    </row>
    <row r="52" spans="1:72" ht="15" thickBot="1" x14ac:dyDescent="0.35">
      <c r="A52" s="3" t="s">
        <v>151</v>
      </c>
      <c r="B52">
        <f>SUMIF(RawDataDead!$B:$B,$A52,RawDataDead!E:E)</f>
        <v>0</v>
      </c>
      <c r="C52">
        <f>SUMIF(RawDataDead!$B:$B,$A52,RawDataDead!F:F)</f>
        <v>0</v>
      </c>
      <c r="D52">
        <f>SUMIF(RawDataDead!$B:$B,$A52,RawDataDead!G:G)</f>
        <v>0</v>
      </c>
      <c r="E52">
        <f>SUMIF(RawDataDead!$B:$B,$A52,RawDataDead!H:H)</f>
        <v>0</v>
      </c>
      <c r="F52">
        <f>SUMIF(RawDataDead!$B:$B,$A52,RawDataDead!I:I)</f>
        <v>0</v>
      </c>
      <c r="G52">
        <f>SUMIF(RawDataDead!$B:$B,$A52,RawDataDead!J:J)</f>
        <v>0</v>
      </c>
      <c r="H52">
        <f>SUMIF(RawDataDead!$B:$B,$A52,RawDataDead!K:K)</f>
        <v>0</v>
      </c>
      <c r="I52">
        <f>SUMIF(RawDataDead!$B:$B,$A52,RawDataDead!L:L)</f>
        <v>0</v>
      </c>
      <c r="J52">
        <f>SUMIF(RawDataDead!$B:$B,$A52,RawDataDead!M:M)</f>
        <v>0</v>
      </c>
      <c r="K52">
        <f>SUMIF(RawDataDead!$B:$B,$A52,RawDataDead!N:N)</f>
        <v>0</v>
      </c>
      <c r="L52">
        <f>SUMIF(RawDataDead!$B:$B,$A52,RawDataDead!O:O)</f>
        <v>0</v>
      </c>
      <c r="M52">
        <f>SUMIF(RawDataDead!$B:$B,$A52,RawDataDead!P:P)</f>
        <v>0</v>
      </c>
      <c r="N52">
        <f>SUMIF(RawDataDead!$B:$B,$A52,RawDataDead!Q:Q)</f>
        <v>0</v>
      </c>
      <c r="O52">
        <f>SUMIF(RawDataDead!$B:$B,$A52,RawDataDead!R:R)</f>
        <v>0</v>
      </c>
      <c r="P52">
        <f>SUMIF(RawDataDead!$B:$B,$A52,RawDataDead!S:S)</f>
        <v>0</v>
      </c>
      <c r="Q52">
        <f>SUMIF(RawDataDead!$B:$B,$A52,RawDataDead!T:T)</f>
        <v>0</v>
      </c>
      <c r="R52">
        <f>SUMIF(RawDataDead!$B:$B,$A52,RawDataDead!U:U)</f>
        <v>0</v>
      </c>
      <c r="S52">
        <f>SUMIF(RawDataDead!$B:$B,$A52,RawDataDead!V:V)</f>
        <v>0</v>
      </c>
      <c r="T52">
        <f>SUMIF(RawDataDead!$B:$B,$A52,RawDataDead!W:W)</f>
        <v>0</v>
      </c>
      <c r="U52">
        <f>SUMIF(RawDataDead!$B:$B,$A52,RawDataDead!X:X)</f>
        <v>0</v>
      </c>
      <c r="V52">
        <f>SUMIF(RawDataDead!$B:$B,$A52,RawDataDead!Y:Y)</f>
        <v>0</v>
      </c>
      <c r="W52">
        <f>SUMIF(RawDataDead!$B:$B,$A52,RawDataDead!Z:Z)</f>
        <v>0</v>
      </c>
      <c r="X52">
        <f>SUMIF(RawDataDead!$B:$B,$A52,RawDataDead!AA:AA)</f>
        <v>0</v>
      </c>
      <c r="Y52">
        <f>SUMIF(RawDataDead!$B:$B,$A52,RawDataDead!AB:AB)</f>
        <v>0</v>
      </c>
      <c r="Z52">
        <f>SUMIF(RawDataDead!$B:$B,$A52,RawDataDead!AC:AC)</f>
        <v>0</v>
      </c>
      <c r="AA52">
        <f>SUMIF(RawDataDead!$B:$B,$A52,RawDataDead!AD:AD)</f>
        <v>0</v>
      </c>
      <c r="AB52">
        <f>SUMIF(RawDataDead!$B:$B,$A52,RawDataDead!AE:AE)</f>
        <v>0</v>
      </c>
      <c r="AC52">
        <f>SUMIF(RawDataDead!$B:$B,$A52,RawDataDead!AF:AF)</f>
        <v>0</v>
      </c>
      <c r="AD52">
        <f>SUMIF(RawDataDead!$B:$B,$A52,RawDataDead!AG:AG)</f>
        <v>0</v>
      </c>
      <c r="AE52">
        <f>SUMIF(RawDataDead!$B:$B,$A52,RawDataDead!AH:AH)</f>
        <v>0</v>
      </c>
      <c r="AF52">
        <f>SUMIF(RawDataDead!$B:$B,$A52,RawDataDead!AI:AI)</f>
        <v>0</v>
      </c>
      <c r="AG52">
        <f>SUMIF(RawDataDead!$B:$B,$A52,RawDataDead!AJ:AJ)</f>
        <v>0</v>
      </c>
      <c r="AH52">
        <f>SUMIF(RawDataDead!$B:$B,$A52,RawDataDead!AK:AK)</f>
        <v>0</v>
      </c>
      <c r="AI52">
        <f>SUMIF(RawDataDead!$B:$B,$A52,RawDataDead!AL:AL)</f>
        <v>0</v>
      </c>
      <c r="AJ52">
        <f>SUMIF(RawDataDead!$B:$B,$A52,RawDataDead!AM:AM)</f>
        <v>0</v>
      </c>
      <c r="AK52">
        <f>SUMIF(RawDataDead!$B:$B,$A52,RawDataDead!AN:AN)</f>
        <v>0</v>
      </c>
      <c r="AL52">
        <f>SUMIF(RawDataDead!$B:$B,$A52,RawDataDead!AO:AO)</f>
        <v>0</v>
      </c>
      <c r="AM52">
        <f>SUMIF(RawDataDead!$B:$B,$A52,RawDataDead!AP:AP)</f>
        <v>0</v>
      </c>
      <c r="AN52">
        <f>SUMIF(RawDataDead!$B:$B,$A52,RawDataDead!AQ:AQ)</f>
        <v>0</v>
      </c>
      <c r="AO52">
        <f>SUMIF(RawDataDead!$B:$B,$A52,RawDataDead!AR:AR)</f>
        <v>0</v>
      </c>
      <c r="AP52">
        <f>SUMIF(RawDataDead!$B:$B,$A52,RawDataDead!AS:AS)</f>
        <v>0</v>
      </c>
      <c r="AQ52">
        <f>SUMIF(RawDataDead!$B:$B,$A52,RawDataDead!AT:AT)</f>
        <v>0</v>
      </c>
      <c r="AR52">
        <f>SUMIF(RawDataDead!$B:$B,$A52,RawDataDead!AU:AU)</f>
        <v>0</v>
      </c>
      <c r="AS52">
        <f>SUMIF(RawDataDead!$B:$B,$A52,RawDataDead!AV:AV)</f>
        <v>0</v>
      </c>
      <c r="AT52">
        <f>SUMIF(RawDataDead!$B:$B,$A52,RawDataDead!AW:AW)</f>
        <v>0</v>
      </c>
      <c r="AU52">
        <f>SUMIF(RawDataDead!$B:$B,$A52,RawDataDead!AX:AX)</f>
        <v>0</v>
      </c>
      <c r="AV52">
        <f>SUMIF(RawDataDead!$B:$B,$A52,RawDataDead!AY:AY)</f>
        <v>0</v>
      </c>
      <c r="AW52">
        <f>SUMIF(RawDataDead!$B:$B,$A52,RawDataDead!AZ:AZ)</f>
        <v>0</v>
      </c>
      <c r="AX52">
        <f>SUMIF(RawDataDead!$B:$B,$A52,RawDataDead!BA:BA)</f>
        <v>0</v>
      </c>
      <c r="AY52">
        <f>SUMIF(RawDataDead!$B:$B,$A52,RawDataDead!BB:BB)</f>
        <v>0</v>
      </c>
      <c r="AZ52">
        <f>SUMIF(RawDataDead!$B:$B,$A52,RawDataDead!BC:BC)</f>
        <v>0</v>
      </c>
      <c r="BA52">
        <f>SUMIF(RawDataDead!$B:$B,$A52,RawDataDead!BD:BD)</f>
        <v>0</v>
      </c>
      <c r="BB52">
        <f>SUMIF(RawDataDead!$B:$B,$A52,RawDataDead!BE:BE)</f>
        <v>0</v>
      </c>
      <c r="BC52">
        <f>SUMIF(RawDataDead!$B:$B,$A52,RawDataDead!BF:BF)</f>
        <v>0</v>
      </c>
      <c r="BD52">
        <f>SUMIF(RawDataDead!$B:$B,$A52,RawDataDead!BG:BG)</f>
        <v>0</v>
      </c>
      <c r="BE52">
        <f>SUMIF(RawDataDead!$B:$B,$A52,RawDataDead!BH:BH)</f>
        <v>0</v>
      </c>
      <c r="BF52">
        <f>SUMIF(RawDataDead!$B:$B,$A52,RawDataDead!BI:BI)</f>
        <v>0</v>
      </c>
      <c r="BG52">
        <f>SUMIF(RawDataDead!$B:$B,$A52,RawDataDead!BJ:BJ)</f>
        <v>0</v>
      </c>
      <c r="BH52">
        <f>SUMIF(RawDataDead!$B:$B,$A52,RawDataDead!BK:BK)</f>
        <v>0</v>
      </c>
      <c r="BI52">
        <f>SUMIF(RawDataDead!$B:$B,$A52,RawDataDead!BL:BL)</f>
        <v>0</v>
      </c>
      <c r="BJ52">
        <f>SUMIF(RawDataDead!$B:$B,$A52,RawDataDead!BM:BM)</f>
        <v>0</v>
      </c>
      <c r="BK52">
        <f>SUMIF(RawDataDead!$B:$B,$A52,RawDataDead!BN:BN)</f>
        <v>0</v>
      </c>
      <c r="BL52">
        <f>SUMIF(RawDataDead!$B:$B,$A52,RawDataDead!BO:BO)</f>
        <v>0</v>
      </c>
      <c r="BM52">
        <f>SUMIF(RawDataDead!$B:$B,$A52,RawDataDead!BP:BP)</f>
        <v>0</v>
      </c>
      <c r="BN52">
        <f>SUMIF(RawDataDead!$B:$B,$A52,RawDataDead!BQ:BQ)</f>
        <v>0</v>
      </c>
      <c r="BO52">
        <f>SUMIF(RawDataDead!$B:$B,$A52,RawDataDead!BR:BR)</f>
        <v>0</v>
      </c>
      <c r="BP52">
        <f>SUMIF(RawDataDead!$B:$B,$A52,RawDataDead!BS:BS)</f>
        <v>0</v>
      </c>
      <c r="BQ52">
        <f>SUMIF(RawDataDead!$B:$B,$A52,RawDataDead!BT:BT)</f>
        <v>0</v>
      </c>
      <c r="BR52">
        <f>SUMIF(RawDataDead!$B:$B,$A52,RawDataDead!BU:BU)</f>
        <v>0</v>
      </c>
      <c r="BS52">
        <f>SUMIF(RawDataDead!$B:$B,$A52,RawDataDead!BV:BV)</f>
        <v>0</v>
      </c>
      <c r="BT52">
        <f>SUMIF(RawDataDead!$B:$B,$A52,RawDataDead!BW:BW)</f>
        <v>0</v>
      </c>
    </row>
    <row r="53" spans="1:72" ht="15" thickBot="1" x14ac:dyDescent="0.35">
      <c r="A53" s="4" t="s">
        <v>260</v>
      </c>
      <c r="B53">
        <f>SUMIF(RawDataDead!$B:$B,$A53,RawDataDead!E:E)</f>
        <v>0</v>
      </c>
      <c r="C53">
        <f>SUMIF(RawDataDead!$B:$B,$A53,RawDataDead!F:F)</f>
        <v>0</v>
      </c>
      <c r="D53">
        <f>SUMIF(RawDataDead!$B:$B,$A53,RawDataDead!G:G)</f>
        <v>0</v>
      </c>
      <c r="E53">
        <f>SUMIF(RawDataDead!$B:$B,$A53,RawDataDead!H:H)</f>
        <v>0</v>
      </c>
      <c r="F53">
        <f>SUMIF(RawDataDead!$B:$B,$A53,RawDataDead!I:I)</f>
        <v>0</v>
      </c>
      <c r="G53">
        <f>SUMIF(RawDataDead!$B:$B,$A53,RawDataDead!J:J)</f>
        <v>0</v>
      </c>
      <c r="H53">
        <f>SUMIF(RawDataDead!$B:$B,$A53,RawDataDead!K:K)</f>
        <v>0</v>
      </c>
      <c r="I53">
        <f>SUMIF(RawDataDead!$B:$B,$A53,RawDataDead!L:L)</f>
        <v>0</v>
      </c>
      <c r="J53">
        <f>SUMIF(RawDataDead!$B:$B,$A53,RawDataDead!M:M)</f>
        <v>0</v>
      </c>
      <c r="K53">
        <f>SUMIF(RawDataDead!$B:$B,$A53,RawDataDead!N:N)</f>
        <v>0</v>
      </c>
      <c r="L53">
        <f>SUMIF(RawDataDead!$B:$B,$A53,RawDataDead!O:O)</f>
        <v>0</v>
      </c>
      <c r="M53">
        <f>SUMIF(RawDataDead!$B:$B,$A53,RawDataDead!P:P)</f>
        <v>0</v>
      </c>
      <c r="N53">
        <f>SUMIF(RawDataDead!$B:$B,$A53,RawDataDead!Q:Q)</f>
        <v>0</v>
      </c>
      <c r="O53">
        <f>SUMIF(RawDataDead!$B:$B,$A53,RawDataDead!R:R)</f>
        <v>0</v>
      </c>
      <c r="P53">
        <f>SUMIF(RawDataDead!$B:$B,$A53,RawDataDead!S:S)</f>
        <v>0</v>
      </c>
      <c r="Q53">
        <f>SUMIF(RawDataDead!$B:$B,$A53,RawDataDead!T:T)</f>
        <v>0</v>
      </c>
      <c r="R53">
        <f>SUMIF(RawDataDead!$B:$B,$A53,RawDataDead!U:U)</f>
        <v>0</v>
      </c>
      <c r="S53">
        <f>SUMIF(RawDataDead!$B:$B,$A53,RawDataDead!V:V)</f>
        <v>0</v>
      </c>
      <c r="T53">
        <f>SUMIF(RawDataDead!$B:$B,$A53,RawDataDead!W:W)</f>
        <v>0</v>
      </c>
      <c r="U53">
        <f>SUMIF(RawDataDead!$B:$B,$A53,RawDataDead!X:X)</f>
        <v>0</v>
      </c>
      <c r="V53">
        <f>SUMIF(RawDataDead!$B:$B,$A53,RawDataDead!Y:Y)</f>
        <v>0</v>
      </c>
      <c r="W53">
        <f>SUMIF(RawDataDead!$B:$B,$A53,RawDataDead!Z:Z)</f>
        <v>0</v>
      </c>
      <c r="X53">
        <f>SUMIF(RawDataDead!$B:$B,$A53,RawDataDead!AA:AA)</f>
        <v>0</v>
      </c>
      <c r="Y53">
        <f>SUMIF(RawDataDead!$B:$B,$A53,RawDataDead!AB:AB)</f>
        <v>0</v>
      </c>
      <c r="Z53">
        <f>SUMIF(RawDataDead!$B:$B,$A53,RawDataDead!AC:AC)</f>
        <v>0</v>
      </c>
      <c r="AA53">
        <f>SUMIF(RawDataDead!$B:$B,$A53,RawDataDead!AD:AD)</f>
        <v>0</v>
      </c>
      <c r="AB53">
        <f>SUMIF(RawDataDead!$B:$B,$A53,RawDataDead!AE:AE)</f>
        <v>0</v>
      </c>
      <c r="AC53">
        <f>SUMIF(RawDataDead!$B:$B,$A53,RawDataDead!AF:AF)</f>
        <v>0</v>
      </c>
      <c r="AD53">
        <f>SUMIF(RawDataDead!$B:$B,$A53,RawDataDead!AG:AG)</f>
        <v>0</v>
      </c>
      <c r="AE53">
        <f>SUMIF(RawDataDead!$B:$B,$A53,RawDataDead!AH:AH)</f>
        <v>0</v>
      </c>
      <c r="AF53">
        <f>SUMIF(RawDataDead!$B:$B,$A53,RawDataDead!AI:AI)</f>
        <v>0</v>
      </c>
      <c r="AG53">
        <f>SUMIF(RawDataDead!$B:$B,$A53,RawDataDead!AJ:AJ)</f>
        <v>0</v>
      </c>
      <c r="AH53">
        <f>SUMIF(RawDataDead!$B:$B,$A53,RawDataDead!AK:AK)</f>
        <v>0</v>
      </c>
      <c r="AI53">
        <f>SUMIF(RawDataDead!$B:$B,$A53,RawDataDead!AL:AL)</f>
        <v>0</v>
      </c>
      <c r="AJ53">
        <f>SUMIF(RawDataDead!$B:$B,$A53,RawDataDead!AM:AM)</f>
        <v>0</v>
      </c>
      <c r="AK53">
        <f>SUMIF(RawDataDead!$B:$B,$A53,RawDataDead!AN:AN)</f>
        <v>0</v>
      </c>
      <c r="AL53">
        <f>SUMIF(RawDataDead!$B:$B,$A53,RawDataDead!AO:AO)</f>
        <v>0</v>
      </c>
      <c r="AM53">
        <f>SUMIF(RawDataDead!$B:$B,$A53,RawDataDead!AP:AP)</f>
        <v>0</v>
      </c>
      <c r="AN53">
        <f>SUMIF(RawDataDead!$B:$B,$A53,RawDataDead!AQ:AQ)</f>
        <v>0</v>
      </c>
      <c r="AO53">
        <f>SUMIF(RawDataDead!$B:$B,$A53,RawDataDead!AR:AR)</f>
        <v>0</v>
      </c>
      <c r="AP53">
        <f>SUMIF(RawDataDead!$B:$B,$A53,RawDataDead!AS:AS)</f>
        <v>0</v>
      </c>
      <c r="AQ53">
        <f>SUMIF(RawDataDead!$B:$B,$A53,RawDataDead!AT:AT)</f>
        <v>0</v>
      </c>
      <c r="AR53">
        <f>SUMIF(RawDataDead!$B:$B,$A53,RawDataDead!AU:AU)</f>
        <v>0</v>
      </c>
      <c r="AS53">
        <f>SUMIF(RawDataDead!$B:$B,$A53,RawDataDead!AV:AV)</f>
        <v>0</v>
      </c>
      <c r="AT53">
        <f>SUMIF(RawDataDead!$B:$B,$A53,RawDataDead!AW:AW)</f>
        <v>0</v>
      </c>
      <c r="AU53">
        <f>SUMIF(RawDataDead!$B:$B,$A53,RawDataDead!AX:AX)</f>
        <v>0</v>
      </c>
      <c r="AV53">
        <f>SUMIF(RawDataDead!$B:$B,$A53,RawDataDead!AY:AY)</f>
        <v>0</v>
      </c>
      <c r="AW53">
        <f>SUMIF(RawDataDead!$B:$B,$A53,RawDataDead!AZ:AZ)</f>
        <v>0</v>
      </c>
      <c r="AX53">
        <f>SUMIF(RawDataDead!$B:$B,$A53,RawDataDead!BA:BA)</f>
        <v>0</v>
      </c>
      <c r="AY53">
        <f>SUMIF(RawDataDead!$B:$B,$A53,RawDataDead!BB:BB)</f>
        <v>0</v>
      </c>
      <c r="AZ53">
        <f>SUMIF(RawDataDead!$B:$B,$A53,RawDataDead!BC:BC)</f>
        <v>0</v>
      </c>
      <c r="BA53">
        <f>SUMIF(RawDataDead!$B:$B,$A53,RawDataDead!BD:BD)</f>
        <v>0</v>
      </c>
      <c r="BB53">
        <f>SUMIF(RawDataDead!$B:$B,$A53,RawDataDead!BE:BE)</f>
        <v>0</v>
      </c>
      <c r="BC53">
        <f>SUMIF(RawDataDead!$B:$B,$A53,RawDataDead!BF:BF)</f>
        <v>0</v>
      </c>
      <c r="BD53">
        <f>SUMIF(RawDataDead!$B:$B,$A53,RawDataDead!BG:BG)</f>
        <v>0</v>
      </c>
      <c r="BE53">
        <f>SUMIF(RawDataDead!$B:$B,$A53,RawDataDead!BH:BH)</f>
        <v>0</v>
      </c>
      <c r="BF53">
        <f>SUMIF(RawDataDead!$B:$B,$A53,RawDataDead!BI:BI)</f>
        <v>0</v>
      </c>
      <c r="BG53">
        <f>SUMIF(RawDataDead!$B:$B,$A53,RawDataDead!BJ:BJ)</f>
        <v>0</v>
      </c>
      <c r="BH53">
        <f>SUMIF(RawDataDead!$B:$B,$A53,RawDataDead!BK:BK)</f>
        <v>0</v>
      </c>
      <c r="BI53">
        <f>SUMIF(RawDataDead!$B:$B,$A53,RawDataDead!BL:BL)</f>
        <v>0</v>
      </c>
      <c r="BJ53">
        <f>SUMIF(RawDataDead!$B:$B,$A53,RawDataDead!BM:BM)</f>
        <v>0</v>
      </c>
      <c r="BK53">
        <f>SUMIF(RawDataDead!$B:$B,$A53,RawDataDead!BN:BN)</f>
        <v>0</v>
      </c>
      <c r="BL53">
        <f>SUMIF(RawDataDead!$B:$B,$A53,RawDataDead!BO:BO)</f>
        <v>0</v>
      </c>
      <c r="BM53">
        <f>SUMIF(RawDataDead!$B:$B,$A53,RawDataDead!BP:BP)</f>
        <v>0</v>
      </c>
      <c r="BN53">
        <f>SUMIF(RawDataDead!$B:$B,$A53,RawDataDead!BQ:BQ)</f>
        <v>0</v>
      </c>
      <c r="BO53">
        <f>SUMIF(RawDataDead!$B:$B,$A53,RawDataDead!BR:BR)</f>
        <v>0</v>
      </c>
      <c r="BP53">
        <f>SUMIF(RawDataDead!$B:$B,$A53,RawDataDead!BS:BS)</f>
        <v>0</v>
      </c>
      <c r="BQ53">
        <f>SUMIF(RawDataDead!$B:$B,$A53,RawDataDead!BT:BT)</f>
        <v>0</v>
      </c>
      <c r="BR53">
        <f>SUMIF(RawDataDead!$B:$B,$A53,RawDataDead!BU:BU)</f>
        <v>0</v>
      </c>
      <c r="BS53">
        <f>SUMIF(RawDataDead!$B:$B,$A53,RawDataDead!BV:BV)</f>
        <v>0</v>
      </c>
      <c r="BT53">
        <f>SUMIF(RawDataDead!$B:$B,$A53,RawDataDead!BW:BW)</f>
        <v>0</v>
      </c>
    </row>
    <row r="54" spans="1:72" ht="15" thickBot="1" x14ac:dyDescent="0.35">
      <c r="A54" s="3" t="s">
        <v>188</v>
      </c>
      <c r="B54">
        <f>SUMIF(RawDataDead!$B:$B,$A54,RawDataDead!E:E)</f>
        <v>0</v>
      </c>
      <c r="C54">
        <f>SUMIF(RawDataDead!$B:$B,$A54,RawDataDead!F:F)</f>
        <v>0</v>
      </c>
      <c r="D54">
        <f>SUMIF(RawDataDead!$B:$B,$A54,RawDataDead!G:G)</f>
        <v>0</v>
      </c>
      <c r="E54">
        <f>SUMIF(RawDataDead!$B:$B,$A54,RawDataDead!H:H)</f>
        <v>0</v>
      </c>
      <c r="F54">
        <f>SUMIF(RawDataDead!$B:$B,$A54,RawDataDead!I:I)</f>
        <v>0</v>
      </c>
      <c r="G54">
        <f>SUMIF(RawDataDead!$B:$B,$A54,RawDataDead!J:J)</f>
        <v>0</v>
      </c>
      <c r="H54">
        <f>SUMIF(RawDataDead!$B:$B,$A54,RawDataDead!K:K)</f>
        <v>0</v>
      </c>
      <c r="I54">
        <f>SUMIF(RawDataDead!$B:$B,$A54,RawDataDead!L:L)</f>
        <v>0</v>
      </c>
      <c r="J54">
        <f>SUMIF(RawDataDead!$B:$B,$A54,RawDataDead!M:M)</f>
        <v>0</v>
      </c>
      <c r="K54">
        <f>SUMIF(RawDataDead!$B:$B,$A54,RawDataDead!N:N)</f>
        <v>0</v>
      </c>
      <c r="L54">
        <f>SUMIF(RawDataDead!$B:$B,$A54,RawDataDead!O:O)</f>
        <v>0</v>
      </c>
      <c r="M54">
        <f>SUMIF(RawDataDead!$B:$B,$A54,RawDataDead!P:P)</f>
        <v>0</v>
      </c>
      <c r="N54">
        <f>SUMIF(RawDataDead!$B:$B,$A54,RawDataDead!Q:Q)</f>
        <v>0</v>
      </c>
      <c r="O54">
        <f>SUMIF(RawDataDead!$B:$B,$A54,RawDataDead!R:R)</f>
        <v>0</v>
      </c>
      <c r="P54">
        <f>SUMIF(RawDataDead!$B:$B,$A54,RawDataDead!S:S)</f>
        <v>0</v>
      </c>
      <c r="Q54">
        <f>SUMIF(RawDataDead!$B:$B,$A54,RawDataDead!T:T)</f>
        <v>0</v>
      </c>
      <c r="R54">
        <f>SUMIF(RawDataDead!$B:$B,$A54,RawDataDead!U:U)</f>
        <v>0</v>
      </c>
      <c r="S54">
        <f>SUMIF(RawDataDead!$B:$B,$A54,RawDataDead!V:V)</f>
        <v>0</v>
      </c>
      <c r="T54">
        <f>SUMIF(RawDataDead!$B:$B,$A54,RawDataDead!W:W)</f>
        <v>0</v>
      </c>
      <c r="U54">
        <f>SUMIF(RawDataDead!$B:$B,$A54,RawDataDead!X:X)</f>
        <v>0</v>
      </c>
      <c r="V54">
        <f>SUMIF(RawDataDead!$B:$B,$A54,RawDataDead!Y:Y)</f>
        <v>0</v>
      </c>
      <c r="W54">
        <f>SUMIF(RawDataDead!$B:$B,$A54,RawDataDead!Z:Z)</f>
        <v>0</v>
      </c>
      <c r="X54">
        <f>SUMIF(RawDataDead!$B:$B,$A54,RawDataDead!AA:AA)</f>
        <v>0</v>
      </c>
      <c r="Y54">
        <f>SUMIF(RawDataDead!$B:$B,$A54,RawDataDead!AB:AB)</f>
        <v>0</v>
      </c>
      <c r="Z54">
        <f>SUMIF(RawDataDead!$B:$B,$A54,RawDataDead!AC:AC)</f>
        <v>0</v>
      </c>
      <c r="AA54">
        <f>SUMIF(RawDataDead!$B:$B,$A54,RawDataDead!AD:AD)</f>
        <v>0</v>
      </c>
      <c r="AB54">
        <f>SUMIF(RawDataDead!$B:$B,$A54,RawDataDead!AE:AE)</f>
        <v>0</v>
      </c>
      <c r="AC54">
        <f>SUMIF(RawDataDead!$B:$B,$A54,RawDataDead!AF:AF)</f>
        <v>0</v>
      </c>
      <c r="AD54">
        <f>SUMIF(RawDataDead!$B:$B,$A54,RawDataDead!AG:AG)</f>
        <v>0</v>
      </c>
      <c r="AE54">
        <f>SUMIF(RawDataDead!$B:$B,$A54,RawDataDead!AH:AH)</f>
        <v>0</v>
      </c>
      <c r="AF54">
        <f>SUMIF(RawDataDead!$B:$B,$A54,RawDataDead!AI:AI)</f>
        <v>0</v>
      </c>
      <c r="AG54">
        <f>SUMIF(RawDataDead!$B:$B,$A54,RawDataDead!AJ:AJ)</f>
        <v>0</v>
      </c>
      <c r="AH54">
        <f>SUMIF(RawDataDead!$B:$B,$A54,RawDataDead!AK:AK)</f>
        <v>0</v>
      </c>
      <c r="AI54">
        <f>SUMIF(RawDataDead!$B:$B,$A54,RawDataDead!AL:AL)</f>
        <v>0</v>
      </c>
      <c r="AJ54">
        <f>SUMIF(RawDataDead!$B:$B,$A54,RawDataDead!AM:AM)</f>
        <v>0</v>
      </c>
      <c r="AK54">
        <f>SUMIF(RawDataDead!$B:$B,$A54,RawDataDead!AN:AN)</f>
        <v>0</v>
      </c>
      <c r="AL54">
        <f>SUMIF(RawDataDead!$B:$B,$A54,RawDataDead!AO:AO)</f>
        <v>0</v>
      </c>
      <c r="AM54">
        <f>SUMIF(RawDataDead!$B:$B,$A54,RawDataDead!AP:AP)</f>
        <v>0</v>
      </c>
      <c r="AN54">
        <f>SUMIF(RawDataDead!$B:$B,$A54,RawDataDead!AQ:AQ)</f>
        <v>0</v>
      </c>
      <c r="AO54">
        <f>SUMIF(RawDataDead!$B:$B,$A54,RawDataDead!AR:AR)</f>
        <v>0</v>
      </c>
      <c r="AP54">
        <f>SUMIF(RawDataDead!$B:$B,$A54,RawDataDead!AS:AS)</f>
        <v>0</v>
      </c>
      <c r="AQ54">
        <f>SUMIF(RawDataDead!$B:$B,$A54,RawDataDead!AT:AT)</f>
        <v>0</v>
      </c>
      <c r="AR54">
        <f>SUMIF(RawDataDead!$B:$B,$A54,RawDataDead!AU:AU)</f>
        <v>0</v>
      </c>
      <c r="AS54">
        <f>SUMIF(RawDataDead!$B:$B,$A54,RawDataDead!AV:AV)</f>
        <v>0</v>
      </c>
      <c r="AT54">
        <f>SUMIF(RawDataDead!$B:$B,$A54,RawDataDead!AW:AW)</f>
        <v>0</v>
      </c>
      <c r="AU54">
        <f>SUMIF(RawDataDead!$B:$B,$A54,RawDataDead!AX:AX)</f>
        <v>0</v>
      </c>
      <c r="AV54">
        <f>SUMIF(RawDataDead!$B:$B,$A54,RawDataDead!AY:AY)</f>
        <v>0</v>
      </c>
      <c r="AW54">
        <f>SUMIF(RawDataDead!$B:$B,$A54,RawDataDead!AZ:AZ)</f>
        <v>0</v>
      </c>
      <c r="AX54">
        <f>SUMIF(RawDataDead!$B:$B,$A54,RawDataDead!BA:BA)</f>
        <v>0</v>
      </c>
      <c r="AY54">
        <f>SUMIF(RawDataDead!$B:$B,$A54,RawDataDead!BB:BB)</f>
        <v>0</v>
      </c>
      <c r="AZ54">
        <f>SUMIF(RawDataDead!$B:$B,$A54,RawDataDead!BC:BC)</f>
        <v>0</v>
      </c>
      <c r="BA54">
        <f>SUMIF(RawDataDead!$B:$B,$A54,RawDataDead!BD:BD)</f>
        <v>0</v>
      </c>
      <c r="BB54">
        <f>SUMIF(RawDataDead!$B:$B,$A54,RawDataDead!BE:BE)</f>
        <v>0</v>
      </c>
      <c r="BC54">
        <f>SUMIF(RawDataDead!$B:$B,$A54,RawDataDead!BF:BF)</f>
        <v>0</v>
      </c>
      <c r="BD54">
        <f>SUMIF(RawDataDead!$B:$B,$A54,RawDataDead!BG:BG)</f>
        <v>0</v>
      </c>
      <c r="BE54">
        <f>SUMIF(RawDataDead!$B:$B,$A54,RawDataDead!BH:BH)</f>
        <v>0</v>
      </c>
      <c r="BF54">
        <f>SUMIF(RawDataDead!$B:$B,$A54,RawDataDead!BI:BI)</f>
        <v>0</v>
      </c>
      <c r="BG54">
        <f>SUMIF(RawDataDead!$B:$B,$A54,RawDataDead!BJ:BJ)</f>
        <v>0</v>
      </c>
      <c r="BH54">
        <f>SUMIF(RawDataDead!$B:$B,$A54,RawDataDead!BK:BK)</f>
        <v>0</v>
      </c>
      <c r="BI54">
        <f>SUMIF(RawDataDead!$B:$B,$A54,RawDataDead!BL:BL)</f>
        <v>0</v>
      </c>
      <c r="BJ54">
        <f>SUMIF(RawDataDead!$B:$B,$A54,RawDataDead!BM:BM)</f>
        <v>0</v>
      </c>
      <c r="BK54">
        <f>SUMIF(RawDataDead!$B:$B,$A54,RawDataDead!BN:BN)</f>
        <v>0</v>
      </c>
      <c r="BL54">
        <f>SUMIF(RawDataDead!$B:$B,$A54,RawDataDead!BO:BO)</f>
        <v>0</v>
      </c>
      <c r="BM54">
        <f>SUMIF(RawDataDead!$B:$B,$A54,RawDataDead!BP:BP)</f>
        <v>0</v>
      </c>
      <c r="BN54">
        <f>SUMIF(RawDataDead!$B:$B,$A54,RawDataDead!BQ:BQ)</f>
        <v>0</v>
      </c>
      <c r="BO54">
        <f>SUMIF(RawDataDead!$B:$B,$A54,RawDataDead!BR:BR)</f>
        <v>0</v>
      </c>
      <c r="BP54">
        <f>SUMIF(RawDataDead!$B:$B,$A54,RawDataDead!BS:BS)</f>
        <v>0</v>
      </c>
      <c r="BQ54">
        <f>SUMIF(RawDataDead!$B:$B,$A54,RawDataDead!BT:BT)</f>
        <v>0</v>
      </c>
      <c r="BR54">
        <f>SUMIF(RawDataDead!$B:$B,$A54,RawDataDead!BU:BU)</f>
        <v>0</v>
      </c>
      <c r="BS54">
        <f>SUMIF(RawDataDead!$B:$B,$A54,RawDataDead!BV:BV)</f>
        <v>0</v>
      </c>
      <c r="BT54">
        <f>SUMIF(RawDataDead!$B:$B,$A54,RawDataDead!BW:BW)</f>
        <v>0</v>
      </c>
    </row>
    <row r="55" spans="1:72" ht="15" thickBot="1" x14ac:dyDescent="0.35">
      <c r="A55" s="3" t="s">
        <v>126</v>
      </c>
      <c r="B55">
        <f>SUMIF(RawDataDead!$B:$B,$A55,RawDataDead!E:E)</f>
        <v>0</v>
      </c>
      <c r="C55">
        <f>SUMIF(RawDataDead!$B:$B,$A55,RawDataDead!F:F)</f>
        <v>0</v>
      </c>
      <c r="D55">
        <f>SUMIF(RawDataDead!$B:$B,$A55,RawDataDead!G:G)</f>
        <v>0</v>
      </c>
      <c r="E55">
        <f>SUMIF(RawDataDead!$B:$B,$A55,RawDataDead!H:H)</f>
        <v>0</v>
      </c>
      <c r="F55">
        <f>SUMIF(RawDataDead!$B:$B,$A55,RawDataDead!I:I)</f>
        <v>0</v>
      </c>
      <c r="G55">
        <f>SUMIF(RawDataDead!$B:$B,$A55,RawDataDead!J:J)</f>
        <v>0</v>
      </c>
      <c r="H55">
        <f>SUMIF(RawDataDead!$B:$B,$A55,RawDataDead!K:K)</f>
        <v>0</v>
      </c>
      <c r="I55">
        <f>SUMIF(RawDataDead!$B:$B,$A55,RawDataDead!L:L)</f>
        <v>0</v>
      </c>
      <c r="J55">
        <f>SUMIF(RawDataDead!$B:$B,$A55,RawDataDead!M:M)</f>
        <v>0</v>
      </c>
      <c r="K55">
        <f>SUMIF(RawDataDead!$B:$B,$A55,RawDataDead!N:N)</f>
        <v>0</v>
      </c>
      <c r="L55">
        <f>SUMIF(RawDataDead!$B:$B,$A55,RawDataDead!O:O)</f>
        <v>0</v>
      </c>
      <c r="M55">
        <f>SUMIF(RawDataDead!$B:$B,$A55,RawDataDead!P:P)</f>
        <v>0</v>
      </c>
      <c r="N55">
        <f>SUMIF(RawDataDead!$B:$B,$A55,RawDataDead!Q:Q)</f>
        <v>0</v>
      </c>
      <c r="O55">
        <f>SUMIF(RawDataDead!$B:$B,$A55,RawDataDead!R:R)</f>
        <v>0</v>
      </c>
      <c r="P55">
        <f>SUMIF(RawDataDead!$B:$B,$A55,RawDataDead!S:S)</f>
        <v>0</v>
      </c>
      <c r="Q55">
        <f>SUMIF(RawDataDead!$B:$B,$A55,RawDataDead!T:T)</f>
        <v>0</v>
      </c>
      <c r="R55">
        <f>SUMIF(RawDataDead!$B:$B,$A55,RawDataDead!U:U)</f>
        <v>0</v>
      </c>
      <c r="S55">
        <f>SUMIF(RawDataDead!$B:$B,$A55,RawDataDead!V:V)</f>
        <v>0</v>
      </c>
      <c r="T55">
        <f>SUMIF(RawDataDead!$B:$B,$A55,RawDataDead!W:W)</f>
        <v>0</v>
      </c>
      <c r="U55">
        <f>SUMIF(RawDataDead!$B:$B,$A55,RawDataDead!X:X)</f>
        <v>0</v>
      </c>
      <c r="V55">
        <f>SUMIF(RawDataDead!$B:$B,$A55,RawDataDead!Y:Y)</f>
        <v>0</v>
      </c>
      <c r="W55">
        <f>SUMIF(RawDataDead!$B:$B,$A55,RawDataDead!Z:Z)</f>
        <v>0</v>
      </c>
      <c r="X55">
        <f>SUMIF(RawDataDead!$B:$B,$A55,RawDataDead!AA:AA)</f>
        <v>0</v>
      </c>
      <c r="Y55">
        <f>SUMIF(RawDataDead!$B:$B,$A55,RawDataDead!AB:AB)</f>
        <v>0</v>
      </c>
      <c r="Z55">
        <f>SUMIF(RawDataDead!$B:$B,$A55,RawDataDead!AC:AC)</f>
        <v>0</v>
      </c>
      <c r="AA55">
        <f>SUMIF(RawDataDead!$B:$B,$A55,RawDataDead!AD:AD)</f>
        <v>0</v>
      </c>
      <c r="AB55">
        <f>SUMIF(RawDataDead!$B:$B,$A55,RawDataDead!AE:AE)</f>
        <v>0</v>
      </c>
      <c r="AC55">
        <f>SUMIF(RawDataDead!$B:$B,$A55,RawDataDead!AF:AF)</f>
        <v>0</v>
      </c>
      <c r="AD55">
        <f>SUMIF(RawDataDead!$B:$B,$A55,RawDataDead!AG:AG)</f>
        <v>0</v>
      </c>
      <c r="AE55">
        <f>SUMIF(RawDataDead!$B:$B,$A55,RawDataDead!AH:AH)</f>
        <v>0</v>
      </c>
      <c r="AF55">
        <f>SUMIF(RawDataDead!$B:$B,$A55,RawDataDead!AI:AI)</f>
        <v>0</v>
      </c>
      <c r="AG55">
        <f>SUMIF(RawDataDead!$B:$B,$A55,RawDataDead!AJ:AJ)</f>
        <v>0</v>
      </c>
      <c r="AH55">
        <f>SUMIF(RawDataDead!$B:$B,$A55,RawDataDead!AK:AK)</f>
        <v>0</v>
      </c>
      <c r="AI55">
        <f>SUMIF(RawDataDead!$B:$B,$A55,RawDataDead!AL:AL)</f>
        <v>0</v>
      </c>
      <c r="AJ55">
        <f>SUMIF(RawDataDead!$B:$B,$A55,RawDataDead!AM:AM)</f>
        <v>0</v>
      </c>
      <c r="AK55">
        <f>SUMIF(RawDataDead!$B:$B,$A55,RawDataDead!AN:AN)</f>
        <v>0</v>
      </c>
      <c r="AL55">
        <f>SUMIF(RawDataDead!$B:$B,$A55,RawDataDead!AO:AO)</f>
        <v>0</v>
      </c>
      <c r="AM55">
        <f>SUMIF(RawDataDead!$B:$B,$A55,RawDataDead!AP:AP)</f>
        <v>0</v>
      </c>
      <c r="AN55">
        <f>SUMIF(RawDataDead!$B:$B,$A55,RawDataDead!AQ:AQ)</f>
        <v>0</v>
      </c>
      <c r="AO55">
        <f>SUMIF(RawDataDead!$B:$B,$A55,RawDataDead!AR:AR)</f>
        <v>0</v>
      </c>
      <c r="AP55">
        <f>SUMIF(RawDataDead!$B:$B,$A55,RawDataDead!AS:AS)</f>
        <v>0</v>
      </c>
      <c r="AQ55">
        <f>SUMIF(RawDataDead!$B:$B,$A55,RawDataDead!AT:AT)</f>
        <v>0</v>
      </c>
      <c r="AR55">
        <f>SUMIF(RawDataDead!$B:$B,$A55,RawDataDead!AU:AU)</f>
        <v>0</v>
      </c>
      <c r="AS55">
        <f>SUMIF(RawDataDead!$B:$B,$A55,RawDataDead!AV:AV)</f>
        <v>0</v>
      </c>
      <c r="AT55">
        <f>SUMIF(RawDataDead!$B:$B,$A55,RawDataDead!AW:AW)</f>
        <v>0</v>
      </c>
      <c r="AU55">
        <f>SUMIF(RawDataDead!$B:$B,$A55,RawDataDead!AX:AX)</f>
        <v>0</v>
      </c>
      <c r="AV55">
        <f>SUMIF(RawDataDead!$B:$B,$A55,RawDataDead!AY:AY)</f>
        <v>0</v>
      </c>
      <c r="AW55">
        <f>SUMIF(RawDataDead!$B:$B,$A55,RawDataDead!AZ:AZ)</f>
        <v>0</v>
      </c>
      <c r="AX55">
        <f>SUMIF(RawDataDead!$B:$B,$A55,RawDataDead!BA:BA)</f>
        <v>0</v>
      </c>
      <c r="AY55">
        <f>SUMIF(RawDataDead!$B:$B,$A55,RawDataDead!BB:BB)</f>
        <v>0</v>
      </c>
      <c r="AZ55">
        <f>SUMIF(RawDataDead!$B:$B,$A55,RawDataDead!BC:BC)</f>
        <v>0</v>
      </c>
      <c r="BA55">
        <f>SUMIF(RawDataDead!$B:$B,$A55,RawDataDead!BD:BD)</f>
        <v>0</v>
      </c>
      <c r="BB55">
        <f>SUMIF(RawDataDead!$B:$B,$A55,RawDataDead!BE:BE)</f>
        <v>1</v>
      </c>
      <c r="BC55">
        <f>SUMIF(RawDataDead!$B:$B,$A55,RawDataDead!BF:BF)</f>
        <v>1</v>
      </c>
      <c r="BD55">
        <f>SUMIF(RawDataDead!$B:$B,$A55,RawDataDead!BG:BG)</f>
        <v>1</v>
      </c>
      <c r="BE55">
        <f>SUMIF(RawDataDead!$B:$B,$A55,RawDataDead!BH:BH)</f>
        <v>1</v>
      </c>
      <c r="BF55">
        <f>SUMIF(RawDataDead!$B:$B,$A55,RawDataDead!BI:BI)</f>
        <v>0</v>
      </c>
      <c r="BG55">
        <f>SUMIF(RawDataDead!$B:$B,$A55,RawDataDead!BJ:BJ)</f>
        <v>0</v>
      </c>
      <c r="BH55">
        <f>SUMIF(RawDataDead!$B:$B,$A55,RawDataDead!BK:BK)</f>
        <v>0</v>
      </c>
      <c r="BI55">
        <f>SUMIF(RawDataDead!$B:$B,$A55,RawDataDead!BL:BL)</f>
        <v>0</v>
      </c>
      <c r="BJ55">
        <f>SUMIF(RawDataDead!$B:$B,$A55,RawDataDead!BM:BM)</f>
        <v>0</v>
      </c>
      <c r="BK55">
        <f>SUMIF(RawDataDead!$B:$B,$A55,RawDataDead!BN:BN)</f>
        <v>0</v>
      </c>
      <c r="BL55">
        <f>SUMIF(RawDataDead!$B:$B,$A55,RawDataDead!BO:BO)</f>
        <v>0</v>
      </c>
      <c r="BM55">
        <f>SUMIF(RawDataDead!$B:$B,$A55,RawDataDead!BP:BP)</f>
        <v>0</v>
      </c>
      <c r="BN55">
        <f>SUMIF(RawDataDead!$B:$B,$A55,RawDataDead!BQ:BQ)</f>
        <v>0</v>
      </c>
      <c r="BO55">
        <f>SUMIF(RawDataDead!$B:$B,$A55,RawDataDead!BR:BR)</f>
        <v>0</v>
      </c>
      <c r="BP55">
        <f>SUMIF(RawDataDead!$B:$B,$A55,RawDataDead!BS:BS)</f>
        <v>0</v>
      </c>
      <c r="BQ55">
        <f>SUMIF(RawDataDead!$B:$B,$A55,RawDataDead!BT:BT)</f>
        <v>0</v>
      </c>
      <c r="BR55">
        <f>SUMIF(RawDataDead!$B:$B,$A55,RawDataDead!BU:BU)</f>
        <v>0</v>
      </c>
      <c r="BS55">
        <f>SUMIF(RawDataDead!$B:$B,$A55,RawDataDead!BV:BV)</f>
        <v>0</v>
      </c>
      <c r="BT55">
        <f>SUMIF(RawDataDead!$B:$B,$A55,RawDataDead!BW:BW)</f>
        <v>0</v>
      </c>
    </row>
    <row r="56" spans="1:72" ht="15" thickBot="1" x14ac:dyDescent="0.35">
      <c r="A56" s="4" t="s">
        <v>257</v>
      </c>
      <c r="B56">
        <f>SUMIF(RawDataDead!$B:$B,$A56,RawDataDead!E:E)</f>
        <v>0</v>
      </c>
      <c r="C56">
        <f>SUMIF(RawDataDead!$B:$B,$A56,RawDataDead!F:F)</f>
        <v>0</v>
      </c>
      <c r="D56">
        <f>SUMIF(RawDataDead!$B:$B,$A56,RawDataDead!G:G)</f>
        <v>0</v>
      </c>
      <c r="E56">
        <f>SUMIF(RawDataDead!$B:$B,$A56,RawDataDead!H:H)</f>
        <v>0</v>
      </c>
      <c r="F56">
        <f>SUMIF(RawDataDead!$B:$B,$A56,RawDataDead!I:I)</f>
        <v>0</v>
      </c>
      <c r="G56">
        <f>SUMIF(RawDataDead!$B:$B,$A56,RawDataDead!J:J)</f>
        <v>0</v>
      </c>
      <c r="H56">
        <f>SUMIF(RawDataDead!$B:$B,$A56,RawDataDead!K:K)</f>
        <v>0</v>
      </c>
      <c r="I56">
        <f>SUMIF(RawDataDead!$B:$B,$A56,RawDataDead!L:L)</f>
        <v>0</v>
      </c>
      <c r="J56">
        <f>SUMIF(RawDataDead!$B:$B,$A56,RawDataDead!M:M)</f>
        <v>0</v>
      </c>
      <c r="K56">
        <f>SUMIF(RawDataDead!$B:$B,$A56,RawDataDead!N:N)</f>
        <v>0</v>
      </c>
      <c r="L56">
        <f>SUMIF(RawDataDead!$B:$B,$A56,RawDataDead!O:O)</f>
        <v>0</v>
      </c>
      <c r="M56">
        <f>SUMIF(RawDataDead!$B:$B,$A56,RawDataDead!P:P)</f>
        <v>0</v>
      </c>
      <c r="N56">
        <f>SUMIF(RawDataDead!$B:$B,$A56,RawDataDead!Q:Q)</f>
        <v>0</v>
      </c>
      <c r="O56">
        <f>SUMIF(RawDataDead!$B:$B,$A56,RawDataDead!R:R)</f>
        <v>0</v>
      </c>
      <c r="P56">
        <f>SUMIF(RawDataDead!$B:$B,$A56,RawDataDead!S:S)</f>
        <v>0</v>
      </c>
      <c r="Q56">
        <f>SUMIF(RawDataDead!$B:$B,$A56,RawDataDead!T:T)</f>
        <v>0</v>
      </c>
      <c r="R56">
        <f>SUMIF(RawDataDead!$B:$B,$A56,RawDataDead!U:U)</f>
        <v>0</v>
      </c>
      <c r="S56">
        <f>SUMIF(RawDataDead!$B:$B,$A56,RawDataDead!V:V)</f>
        <v>0</v>
      </c>
      <c r="T56">
        <f>SUMIF(RawDataDead!$B:$B,$A56,RawDataDead!W:W)</f>
        <v>0</v>
      </c>
      <c r="U56">
        <f>SUMIF(RawDataDead!$B:$B,$A56,RawDataDead!X:X)</f>
        <v>0</v>
      </c>
      <c r="V56">
        <f>SUMIF(RawDataDead!$B:$B,$A56,RawDataDead!Y:Y)</f>
        <v>0</v>
      </c>
      <c r="W56">
        <f>SUMIF(RawDataDead!$B:$B,$A56,RawDataDead!Z:Z)</f>
        <v>0</v>
      </c>
      <c r="X56">
        <f>SUMIF(RawDataDead!$B:$B,$A56,RawDataDead!AA:AA)</f>
        <v>0</v>
      </c>
      <c r="Y56">
        <f>SUMIF(RawDataDead!$B:$B,$A56,RawDataDead!AB:AB)</f>
        <v>0</v>
      </c>
      <c r="Z56">
        <f>SUMIF(RawDataDead!$B:$B,$A56,RawDataDead!AC:AC)</f>
        <v>0</v>
      </c>
      <c r="AA56">
        <f>SUMIF(RawDataDead!$B:$B,$A56,RawDataDead!AD:AD)</f>
        <v>0</v>
      </c>
      <c r="AB56">
        <f>SUMIF(RawDataDead!$B:$B,$A56,RawDataDead!AE:AE)</f>
        <v>0</v>
      </c>
      <c r="AC56">
        <f>SUMIF(RawDataDead!$B:$B,$A56,RawDataDead!AF:AF)</f>
        <v>0</v>
      </c>
      <c r="AD56">
        <f>SUMIF(RawDataDead!$B:$B,$A56,RawDataDead!AG:AG)</f>
        <v>0</v>
      </c>
      <c r="AE56">
        <f>SUMIF(RawDataDead!$B:$B,$A56,RawDataDead!AH:AH)</f>
        <v>0</v>
      </c>
      <c r="AF56">
        <f>SUMIF(RawDataDead!$B:$B,$A56,RawDataDead!AI:AI)</f>
        <v>0</v>
      </c>
      <c r="AG56">
        <f>SUMIF(RawDataDead!$B:$B,$A56,RawDataDead!AJ:AJ)</f>
        <v>0</v>
      </c>
      <c r="AH56">
        <f>SUMIF(RawDataDead!$B:$B,$A56,RawDataDead!AK:AK)</f>
        <v>0</v>
      </c>
      <c r="AI56">
        <f>SUMIF(RawDataDead!$B:$B,$A56,RawDataDead!AL:AL)</f>
        <v>0</v>
      </c>
      <c r="AJ56">
        <f>SUMIF(RawDataDead!$B:$B,$A56,RawDataDead!AM:AM)</f>
        <v>0</v>
      </c>
      <c r="AK56">
        <f>SUMIF(RawDataDead!$B:$B,$A56,RawDataDead!AN:AN)</f>
        <v>0</v>
      </c>
      <c r="AL56">
        <f>SUMIF(RawDataDead!$B:$B,$A56,RawDataDead!AO:AO)</f>
        <v>0</v>
      </c>
      <c r="AM56">
        <f>SUMIF(RawDataDead!$B:$B,$A56,RawDataDead!AP:AP)</f>
        <v>0</v>
      </c>
      <c r="AN56">
        <f>SUMIF(RawDataDead!$B:$B,$A56,RawDataDead!AQ:AQ)</f>
        <v>0</v>
      </c>
      <c r="AO56">
        <f>SUMIF(RawDataDead!$B:$B,$A56,RawDataDead!AR:AR)</f>
        <v>0</v>
      </c>
      <c r="AP56">
        <f>SUMIF(RawDataDead!$B:$B,$A56,RawDataDead!AS:AS)</f>
        <v>0</v>
      </c>
      <c r="AQ56">
        <f>SUMIF(RawDataDead!$B:$B,$A56,RawDataDead!AT:AT)</f>
        <v>0</v>
      </c>
      <c r="AR56">
        <f>SUMIF(RawDataDead!$B:$B,$A56,RawDataDead!AU:AU)</f>
        <v>0</v>
      </c>
      <c r="AS56">
        <f>SUMIF(RawDataDead!$B:$B,$A56,RawDataDead!AV:AV)</f>
        <v>0</v>
      </c>
      <c r="AT56">
        <f>SUMIF(RawDataDead!$B:$B,$A56,RawDataDead!AW:AW)</f>
        <v>0</v>
      </c>
      <c r="AU56">
        <f>SUMIF(RawDataDead!$B:$B,$A56,RawDataDead!AX:AX)</f>
        <v>0</v>
      </c>
      <c r="AV56">
        <f>SUMIF(RawDataDead!$B:$B,$A56,RawDataDead!AY:AY)</f>
        <v>0</v>
      </c>
      <c r="AW56">
        <f>SUMIF(RawDataDead!$B:$B,$A56,RawDataDead!AZ:AZ)</f>
        <v>0</v>
      </c>
      <c r="AX56">
        <f>SUMIF(RawDataDead!$B:$B,$A56,RawDataDead!BA:BA)</f>
        <v>0</v>
      </c>
      <c r="AY56">
        <f>SUMIF(RawDataDead!$B:$B,$A56,RawDataDead!BB:BB)</f>
        <v>1</v>
      </c>
      <c r="AZ56">
        <f>SUMIF(RawDataDead!$B:$B,$A56,RawDataDead!BC:BC)</f>
        <v>1</v>
      </c>
      <c r="BA56">
        <f>SUMIF(RawDataDead!$B:$B,$A56,RawDataDead!BD:BD)</f>
        <v>1</v>
      </c>
      <c r="BB56">
        <f>SUMIF(RawDataDead!$B:$B,$A56,RawDataDead!BE:BE)</f>
        <v>1</v>
      </c>
      <c r="BC56">
        <f>SUMIF(RawDataDead!$B:$B,$A56,RawDataDead!BF:BF)</f>
        <v>1</v>
      </c>
      <c r="BD56">
        <f>SUMIF(RawDataDead!$B:$B,$A56,RawDataDead!BG:BG)</f>
        <v>1</v>
      </c>
      <c r="BE56">
        <f>SUMIF(RawDataDead!$B:$B,$A56,RawDataDead!BH:BH)</f>
        <v>1</v>
      </c>
      <c r="BF56">
        <f>SUMIF(RawDataDead!$B:$B,$A56,RawDataDead!BI:BI)</f>
        <v>0</v>
      </c>
      <c r="BG56">
        <f>SUMIF(RawDataDead!$B:$B,$A56,RawDataDead!BJ:BJ)</f>
        <v>0</v>
      </c>
      <c r="BH56">
        <f>SUMIF(RawDataDead!$B:$B,$A56,RawDataDead!BK:BK)</f>
        <v>0</v>
      </c>
      <c r="BI56">
        <f>SUMIF(RawDataDead!$B:$B,$A56,RawDataDead!BL:BL)</f>
        <v>0</v>
      </c>
      <c r="BJ56">
        <f>SUMIF(RawDataDead!$B:$B,$A56,RawDataDead!BM:BM)</f>
        <v>0</v>
      </c>
      <c r="BK56">
        <f>SUMIF(RawDataDead!$B:$B,$A56,RawDataDead!BN:BN)</f>
        <v>0</v>
      </c>
      <c r="BL56">
        <f>SUMIF(RawDataDead!$B:$B,$A56,RawDataDead!BO:BO)</f>
        <v>0</v>
      </c>
      <c r="BM56">
        <f>SUMIF(RawDataDead!$B:$B,$A56,RawDataDead!BP:BP)</f>
        <v>0</v>
      </c>
      <c r="BN56">
        <f>SUMIF(RawDataDead!$B:$B,$A56,RawDataDead!BQ:BQ)</f>
        <v>0</v>
      </c>
      <c r="BO56">
        <f>SUMIF(RawDataDead!$B:$B,$A56,RawDataDead!BR:BR)</f>
        <v>0</v>
      </c>
      <c r="BP56">
        <f>SUMIF(RawDataDead!$B:$B,$A56,RawDataDead!BS:BS)</f>
        <v>0</v>
      </c>
      <c r="BQ56">
        <f>SUMIF(RawDataDead!$B:$B,$A56,RawDataDead!BT:BT)</f>
        <v>0</v>
      </c>
      <c r="BR56">
        <f>SUMIF(RawDataDead!$B:$B,$A56,RawDataDead!BU:BU)</f>
        <v>0</v>
      </c>
      <c r="BS56">
        <f>SUMIF(RawDataDead!$B:$B,$A56,RawDataDead!BV:BV)</f>
        <v>0</v>
      </c>
      <c r="BT56">
        <f>SUMIF(RawDataDead!$B:$B,$A56,RawDataDead!BW:BW)</f>
        <v>0</v>
      </c>
    </row>
    <row r="57" spans="1:72" ht="15" thickBot="1" x14ac:dyDescent="0.35">
      <c r="A57" s="3" t="s">
        <v>103</v>
      </c>
      <c r="B57">
        <f>SUMIF(RawDataDead!$B:$B,$A57,RawDataDead!E:E)</f>
        <v>0</v>
      </c>
      <c r="C57">
        <f>SUMIF(RawDataDead!$B:$B,$A57,RawDataDead!F:F)</f>
        <v>0</v>
      </c>
      <c r="D57">
        <f>SUMIF(RawDataDead!$B:$B,$A57,RawDataDead!G:G)</f>
        <v>0</v>
      </c>
      <c r="E57">
        <f>SUMIF(RawDataDead!$B:$B,$A57,RawDataDead!H:H)</f>
        <v>0</v>
      </c>
      <c r="F57">
        <f>SUMIF(RawDataDead!$B:$B,$A57,RawDataDead!I:I)</f>
        <v>0</v>
      </c>
      <c r="G57">
        <f>SUMIF(RawDataDead!$B:$B,$A57,RawDataDead!J:J)</f>
        <v>0</v>
      </c>
      <c r="H57">
        <f>SUMIF(RawDataDead!$B:$B,$A57,RawDataDead!K:K)</f>
        <v>0</v>
      </c>
      <c r="I57">
        <f>SUMIF(RawDataDead!$B:$B,$A57,RawDataDead!L:L)</f>
        <v>0</v>
      </c>
      <c r="J57">
        <f>SUMIF(RawDataDead!$B:$B,$A57,RawDataDead!M:M)</f>
        <v>0</v>
      </c>
      <c r="K57">
        <f>SUMIF(RawDataDead!$B:$B,$A57,RawDataDead!N:N)</f>
        <v>0</v>
      </c>
      <c r="L57">
        <f>SUMIF(RawDataDead!$B:$B,$A57,RawDataDead!O:O)</f>
        <v>0</v>
      </c>
      <c r="M57">
        <f>SUMIF(RawDataDead!$B:$B,$A57,RawDataDead!P:P)</f>
        <v>0</v>
      </c>
      <c r="N57">
        <f>SUMIF(RawDataDead!$B:$B,$A57,RawDataDead!Q:Q)</f>
        <v>0</v>
      </c>
      <c r="O57">
        <f>SUMIF(RawDataDead!$B:$B,$A57,RawDataDead!R:R)</f>
        <v>0</v>
      </c>
      <c r="P57">
        <f>SUMIF(RawDataDead!$B:$B,$A57,RawDataDead!S:S)</f>
        <v>0</v>
      </c>
      <c r="Q57">
        <f>SUMIF(RawDataDead!$B:$B,$A57,RawDataDead!T:T)</f>
        <v>0</v>
      </c>
      <c r="R57">
        <f>SUMIF(RawDataDead!$B:$B,$A57,RawDataDead!U:U)</f>
        <v>0</v>
      </c>
      <c r="S57">
        <f>SUMIF(RawDataDead!$B:$B,$A57,RawDataDead!V:V)</f>
        <v>0</v>
      </c>
      <c r="T57">
        <f>SUMIF(RawDataDead!$B:$B,$A57,RawDataDead!W:W)</f>
        <v>0</v>
      </c>
      <c r="U57">
        <f>SUMIF(RawDataDead!$B:$B,$A57,RawDataDead!X:X)</f>
        <v>0</v>
      </c>
      <c r="V57">
        <f>SUMIF(RawDataDead!$B:$B,$A57,RawDataDead!Y:Y)</f>
        <v>0</v>
      </c>
      <c r="W57">
        <f>SUMIF(RawDataDead!$B:$B,$A57,RawDataDead!Z:Z)</f>
        <v>0</v>
      </c>
      <c r="X57">
        <f>SUMIF(RawDataDead!$B:$B,$A57,RawDataDead!AA:AA)</f>
        <v>0</v>
      </c>
      <c r="Y57">
        <f>SUMIF(RawDataDead!$B:$B,$A57,RawDataDead!AB:AB)</f>
        <v>0</v>
      </c>
      <c r="Z57">
        <f>SUMIF(RawDataDead!$B:$B,$A57,RawDataDead!AC:AC)</f>
        <v>0</v>
      </c>
      <c r="AA57">
        <f>SUMIF(RawDataDead!$B:$B,$A57,RawDataDead!AD:AD)</f>
        <v>0</v>
      </c>
      <c r="AB57">
        <f>SUMIF(RawDataDead!$B:$B,$A57,RawDataDead!AE:AE)</f>
        <v>0</v>
      </c>
      <c r="AC57">
        <f>SUMIF(RawDataDead!$B:$B,$A57,RawDataDead!AF:AF)</f>
        <v>0</v>
      </c>
      <c r="AD57">
        <f>SUMIF(RawDataDead!$B:$B,$A57,RawDataDead!AG:AG)</f>
        <v>0</v>
      </c>
      <c r="AE57">
        <f>SUMIF(RawDataDead!$B:$B,$A57,RawDataDead!AH:AH)</f>
        <v>0</v>
      </c>
      <c r="AF57">
        <f>SUMIF(RawDataDead!$B:$B,$A57,RawDataDead!AI:AI)</f>
        <v>0</v>
      </c>
      <c r="AG57">
        <f>SUMIF(RawDataDead!$B:$B,$A57,RawDataDead!AJ:AJ)</f>
        <v>0</v>
      </c>
      <c r="AH57">
        <f>SUMIF(RawDataDead!$B:$B,$A57,RawDataDead!AK:AK)</f>
        <v>0</v>
      </c>
      <c r="AI57">
        <f>SUMIF(RawDataDead!$B:$B,$A57,RawDataDead!AL:AL)</f>
        <v>0</v>
      </c>
      <c r="AJ57">
        <f>SUMIF(RawDataDead!$B:$B,$A57,RawDataDead!AM:AM)</f>
        <v>0</v>
      </c>
      <c r="AK57">
        <f>SUMIF(RawDataDead!$B:$B,$A57,RawDataDead!AN:AN)</f>
        <v>0</v>
      </c>
      <c r="AL57">
        <f>SUMIF(RawDataDead!$B:$B,$A57,RawDataDead!AO:AO)</f>
        <v>0</v>
      </c>
      <c r="AM57">
        <f>SUMIF(RawDataDead!$B:$B,$A57,RawDataDead!AP:AP)</f>
        <v>0</v>
      </c>
      <c r="AN57">
        <f>SUMIF(RawDataDead!$B:$B,$A57,RawDataDead!AQ:AQ)</f>
        <v>0</v>
      </c>
      <c r="AO57">
        <f>SUMIF(RawDataDead!$B:$B,$A57,RawDataDead!AR:AR)</f>
        <v>0</v>
      </c>
      <c r="AP57">
        <f>SUMIF(RawDataDead!$B:$B,$A57,RawDataDead!AS:AS)</f>
        <v>0</v>
      </c>
      <c r="AQ57">
        <f>SUMIF(RawDataDead!$B:$B,$A57,RawDataDead!AT:AT)</f>
        <v>0</v>
      </c>
      <c r="AR57">
        <f>SUMIF(RawDataDead!$B:$B,$A57,RawDataDead!AU:AU)</f>
        <v>0</v>
      </c>
      <c r="AS57">
        <f>SUMIF(RawDataDead!$B:$B,$A57,RawDataDead!AV:AV)</f>
        <v>0</v>
      </c>
      <c r="AT57">
        <f>SUMIF(RawDataDead!$B:$B,$A57,RawDataDead!AW:AW)</f>
        <v>0</v>
      </c>
      <c r="AU57">
        <f>SUMIF(RawDataDead!$B:$B,$A57,RawDataDead!AX:AX)</f>
        <v>0</v>
      </c>
      <c r="AV57">
        <f>SUMIF(RawDataDead!$B:$B,$A57,RawDataDead!AY:AY)</f>
        <v>0</v>
      </c>
      <c r="AW57">
        <f>SUMIF(RawDataDead!$B:$B,$A57,RawDataDead!AZ:AZ)</f>
        <v>0</v>
      </c>
      <c r="AX57">
        <f>SUMIF(RawDataDead!$B:$B,$A57,RawDataDead!BA:BA)</f>
        <v>0</v>
      </c>
      <c r="AY57">
        <f>SUMIF(RawDataDead!$B:$B,$A57,RawDataDead!BB:BB)</f>
        <v>0</v>
      </c>
      <c r="AZ57">
        <f>SUMIF(RawDataDead!$B:$B,$A57,RawDataDead!BC:BC)</f>
        <v>0</v>
      </c>
      <c r="BA57">
        <f>SUMIF(RawDataDead!$B:$B,$A57,RawDataDead!BD:BD)</f>
        <v>0</v>
      </c>
      <c r="BB57">
        <f>SUMIF(RawDataDead!$B:$B,$A57,RawDataDead!BE:BE)</f>
        <v>0</v>
      </c>
      <c r="BC57">
        <f>SUMIF(RawDataDead!$B:$B,$A57,RawDataDead!BF:BF)</f>
        <v>0</v>
      </c>
      <c r="BD57">
        <f>SUMIF(RawDataDead!$B:$B,$A57,RawDataDead!BG:BG)</f>
        <v>0</v>
      </c>
      <c r="BE57">
        <f>SUMIF(RawDataDead!$B:$B,$A57,RawDataDead!BH:BH)</f>
        <v>0</v>
      </c>
      <c r="BF57">
        <f>SUMIF(RawDataDead!$B:$B,$A57,RawDataDead!BI:BI)</f>
        <v>0</v>
      </c>
      <c r="BG57">
        <f>SUMIF(RawDataDead!$B:$B,$A57,RawDataDead!BJ:BJ)</f>
        <v>0</v>
      </c>
      <c r="BH57">
        <f>SUMIF(RawDataDead!$B:$B,$A57,RawDataDead!BK:BK)</f>
        <v>0</v>
      </c>
      <c r="BI57">
        <f>SUMIF(RawDataDead!$B:$B,$A57,RawDataDead!BL:BL)</f>
        <v>0</v>
      </c>
      <c r="BJ57">
        <f>SUMIF(RawDataDead!$B:$B,$A57,RawDataDead!BM:BM)</f>
        <v>0</v>
      </c>
      <c r="BK57">
        <f>SUMIF(RawDataDead!$B:$B,$A57,RawDataDead!BN:BN)</f>
        <v>0</v>
      </c>
      <c r="BL57">
        <f>SUMIF(RawDataDead!$B:$B,$A57,RawDataDead!BO:BO)</f>
        <v>0</v>
      </c>
      <c r="BM57">
        <f>SUMIF(RawDataDead!$B:$B,$A57,RawDataDead!BP:BP)</f>
        <v>0</v>
      </c>
      <c r="BN57">
        <f>SUMIF(RawDataDead!$B:$B,$A57,RawDataDead!BQ:BQ)</f>
        <v>0</v>
      </c>
      <c r="BO57">
        <f>SUMIF(RawDataDead!$B:$B,$A57,RawDataDead!BR:BR)</f>
        <v>0</v>
      </c>
      <c r="BP57">
        <f>SUMIF(RawDataDead!$B:$B,$A57,RawDataDead!BS:BS)</f>
        <v>0</v>
      </c>
      <c r="BQ57">
        <f>SUMIF(RawDataDead!$B:$B,$A57,RawDataDead!BT:BT)</f>
        <v>0</v>
      </c>
      <c r="BR57">
        <f>SUMIF(RawDataDead!$B:$B,$A57,RawDataDead!BU:BU)</f>
        <v>0</v>
      </c>
      <c r="BS57">
        <f>SUMIF(RawDataDead!$B:$B,$A57,RawDataDead!BV:BV)</f>
        <v>0</v>
      </c>
      <c r="BT57">
        <f>SUMIF(RawDataDead!$B:$B,$A57,RawDataDead!BW:BW)</f>
        <v>0</v>
      </c>
    </row>
    <row r="58" spans="1:72" ht="15" thickBot="1" x14ac:dyDescent="0.35">
      <c r="A58" s="4" t="s">
        <v>189</v>
      </c>
      <c r="B58">
        <f>SUMIF(RawDataDead!$B:$B,$A58,RawDataDead!E:E)</f>
        <v>0</v>
      </c>
      <c r="C58">
        <f>SUMIF(RawDataDead!$B:$B,$A58,RawDataDead!F:F)</f>
        <v>0</v>
      </c>
      <c r="D58">
        <f>SUMIF(RawDataDead!$B:$B,$A58,RawDataDead!G:G)</f>
        <v>0</v>
      </c>
      <c r="E58">
        <f>SUMIF(RawDataDead!$B:$B,$A58,RawDataDead!H:H)</f>
        <v>0</v>
      </c>
      <c r="F58">
        <f>SUMIF(RawDataDead!$B:$B,$A58,RawDataDead!I:I)</f>
        <v>0</v>
      </c>
      <c r="G58">
        <f>SUMIF(RawDataDead!$B:$B,$A58,RawDataDead!J:J)</f>
        <v>0</v>
      </c>
      <c r="H58">
        <f>SUMIF(RawDataDead!$B:$B,$A58,RawDataDead!K:K)</f>
        <v>0</v>
      </c>
      <c r="I58">
        <f>SUMIF(RawDataDead!$B:$B,$A58,RawDataDead!L:L)</f>
        <v>0</v>
      </c>
      <c r="J58">
        <f>SUMIF(RawDataDead!$B:$B,$A58,RawDataDead!M:M)</f>
        <v>0</v>
      </c>
      <c r="K58">
        <f>SUMIF(RawDataDead!$B:$B,$A58,RawDataDead!N:N)</f>
        <v>0</v>
      </c>
      <c r="L58">
        <f>SUMIF(RawDataDead!$B:$B,$A58,RawDataDead!O:O)</f>
        <v>0</v>
      </c>
      <c r="M58">
        <f>SUMIF(RawDataDead!$B:$B,$A58,RawDataDead!P:P)</f>
        <v>0</v>
      </c>
      <c r="N58">
        <f>SUMIF(RawDataDead!$B:$B,$A58,RawDataDead!Q:Q)</f>
        <v>0</v>
      </c>
      <c r="O58">
        <f>SUMIF(RawDataDead!$B:$B,$A58,RawDataDead!R:R)</f>
        <v>0</v>
      </c>
      <c r="P58">
        <f>SUMIF(RawDataDead!$B:$B,$A58,RawDataDead!S:S)</f>
        <v>0</v>
      </c>
      <c r="Q58">
        <f>SUMIF(RawDataDead!$B:$B,$A58,RawDataDead!T:T)</f>
        <v>0</v>
      </c>
      <c r="R58">
        <f>SUMIF(RawDataDead!$B:$B,$A58,RawDataDead!U:U)</f>
        <v>0</v>
      </c>
      <c r="S58">
        <f>SUMIF(RawDataDead!$B:$B,$A58,RawDataDead!V:V)</f>
        <v>0</v>
      </c>
      <c r="T58">
        <f>SUMIF(RawDataDead!$B:$B,$A58,RawDataDead!W:W)</f>
        <v>0</v>
      </c>
      <c r="U58">
        <f>SUMIF(RawDataDead!$B:$B,$A58,RawDataDead!X:X)</f>
        <v>0</v>
      </c>
      <c r="V58">
        <f>SUMIF(RawDataDead!$B:$B,$A58,RawDataDead!Y:Y)</f>
        <v>0</v>
      </c>
      <c r="W58">
        <f>SUMIF(RawDataDead!$B:$B,$A58,RawDataDead!Z:Z)</f>
        <v>0</v>
      </c>
      <c r="X58">
        <f>SUMIF(RawDataDead!$B:$B,$A58,RawDataDead!AA:AA)</f>
        <v>0</v>
      </c>
      <c r="Y58">
        <f>SUMIF(RawDataDead!$B:$B,$A58,RawDataDead!AB:AB)</f>
        <v>0</v>
      </c>
      <c r="Z58">
        <f>SUMIF(RawDataDead!$B:$B,$A58,RawDataDead!AC:AC)</f>
        <v>0</v>
      </c>
      <c r="AA58">
        <f>SUMIF(RawDataDead!$B:$B,$A58,RawDataDead!AD:AD)</f>
        <v>0</v>
      </c>
      <c r="AB58">
        <f>SUMIF(RawDataDead!$B:$B,$A58,RawDataDead!AE:AE)</f>
        <v>0</v>
      </c>
      <c r="AC58">
        <f>SUMIF(RawDataDead!$B:$B,$A58,RawDataDead!AF:AF)</f>
        <v>0</v>
      </c>
      <c r="AD58">
        <f>SUMIF(RawDataDead!$B:$B,$A58,RawDataDead!AG:AG)</f>
        <v>0</v>
      </c>
      <c r="AE58">
        <f>SUMIF(RawDataDead!$B:$B,$A58,RawDataDead!AH:AH)</f>
        <v>0</v>
      </c>
      <c r="AF58">
        <f>SUMIF(RawDataDead!$B:$B,$A58,RawDataDead!AI:AI)</f>
        <v>0</v>
      </c>
      <c r="AG58">
        <f>SUMIF(RawDataDead!$B:$B,$A58,RawDataDead!AJ:AJ)</f>
        <v>0</v>
      </c>
      <c r="AH58">
        <f>SUMIF(RawDataDead!$B:$B,$A58,RawDataDead!AK:AK)</f>
        <v>0</v>
      </c>
      <c r="AI58">
        <f>SUMIF(RawDataDead!$B:$B,$A58,RawDataDead!AL:AL)</f>
        <v>0</v>
      </c>
      <c r="AJ58">
        <f>SUMIF(RawDataDead!$B:$B,$A58,RawDataDead!AM:AM)</f>
        <v>0</v>
      </c>
      <c r="AK58">
        <f>SUMIF(RawDataDead!$B:$B,$A58,RawDataDead!AN:AN)</f>
        <v>0</v>
      </c>
      <c r="AL58">
        <f>SUMIF(RawDataDead!$B:$B,$A58,RawDataDead!AO:AO)</f>
        <v>0</v>
      </c>
      <c r="AM58">
        <f>SUMIF(RawDataDead!$B:$B,$A58,RawDataDead!AP:AP)</f>
        <v>0</v>
      </c>
      <c r="AN58">
        <f>SUMIF(RawDataDead!$B:$B,$A58,RawDataDead!AQ:AQ)</f>
        <v>0</v>
      </c>
      <c r="AO58">
        <f>SUMIF(RawDataDead!$B:$B,$A58,RawDataDead!AR:AR)</f>
        <v>0</v>
      </c>
      <c r="AP58">
        <f>SUMIF(RawDataDead!$B:$B,$A58,RawDataDead!AS:AS)</f>
        <v>0</v>
      </c>
      <c r="AQ58">
        <f>SUMIF(RawDataDead!$B:$B,$A58,RawDataDead!AT:AT)</f>
        <v>0</v>
      </c>
      <c r="AR58">
        <f>SUMIF(RawDataDead!$B:$B,$A58,RawDataDead!AU:AU)</f>
        <v>0</v>
      </c>
      <c r="AS58">
        <f>SUMIF(RawDataDead!$B:$B,$A58,RawDataDead!AV:AV)</f>
        <v>0</v>
      </c>
      <c r="AT58">
        <f>SUMIF(RawDataDead!$B:$B,$A58,RawDataDead!AW:AW)</f>
        <v>0</v>
      </c>
      <c r="AU58">
        <f>SUMIF(RawDataDead!$B:$B,$A58,RawDataDead!AX:AX)</f>
        <v>0</v>
      </c>
      <c r="AV58">
        <f>SUMIF(RawDataDead!$B:$B,$A58,RawDataDead!AY:AY)</f>
        <v>0</v>
      </c>
      <c r="AW58">
        <f>SUMIF(RawDataDead!$B:$B,$A58,RawDataDead!AZ:AZ)</f>
        <v>0</v>
      </c>
      <c r="AX58">
        <f>SUMIF(RawDataDead!$B:$B,$A58,RawDataDead!BA:BA)</f>
        <v>0</v>
      </c>
      <c r="AY58">
        <f>SUMIF(RawDataDead!$B:$B,$A58,RawDataDead!BB:BB)</f>
        <v>0</v>
      </c>
      <c r="AZ58">
        <f>SUMIF(RawDataDead!$B:$B,$A58,RawDataDead!BC:BC)</f>
        <v>0</v>
      </c>
      <c r="BA58">
        <f>SUMIF(RawDataDead!$B:$B,$A58,RawDataDead!BD:BD)</f>
        <v>0</v>
      </c>
      <c r="BB58">
        <f>SUMIF(RawDataDead!$B:$B,$A58,RawDataDead!BE:BE)</f>
        <v>0</v>
      </c>
      <c r="BC58">
        <f>SUMIF(RawDataDead!$B:$B,$A58,RawDataDead!BF:BF)</f>
        <v>0</v>
      </c>
      <c r="BD58">
        <f>SUMIF(RawDataDead!$B:$B,$A58,RawDataDead!BG:BG)</f>
        <v>0</v>
      </c>
      <c r="BE58">
        <f>SUMIF(RawDataDead!$B:$B,$A58,RawDataDead!BH:BH)</f>
        <v>0</v>
      </c>
      <c r="BF58">
        <f>SUMIF(RawDataDead!$B:$B,$A58,RawDataDead!BI:BI)</f>
        <v>0</v>
      </c>
      <c r="BG58">
        <f>SUMIF(RawDataDead!$B:$B,$A58,RawDataDead!BJ:BJ)</f>
        <v>0</v>
      </c>
      <c r="BH58">
        <f>SUMIF(RawDataDead!$B:$B,$A58,RawDataDead!BK:BK)</f>
        <v>0</v>
      </c>
      <c r="BI58">
        <f>SUMIF(RawDataDead!$B:$B,$A58,RawDataDead!BL:BL)</f>
        <v>0</v>
      </c>
      <c r="BJ58">
        <f>SUMIF(RawDataDead!$B:$B,$A58,RawDataDead!BM:BM)</f>
        <v>0</v>
      </c>
      <c r="BK58">
        <f>SUMIF(RawDataDead!$B:$B,$A58,RawDataDead!BN:BN)</f>
        <v>0</v>
      </c>
      <c r="BL58">
        <f>SUMIF(RawDataDead!$B:$B,$A58,RawDataDead!BO:BO)</f>
        <v>0</v>
      </c>
      <c r="BM58">
        <f>SUMIF(RawDataDead!$B:$B,$A58,RawDataDead!BP:BP)</f>
        <v>0</v>
      </c>
      <c r="BN58">
        <f>SUMIF(RawDataDead!$B:$B,$A58,RawDataDead!BQ:BQ)</f>
        <v>0</v>
      </c>
      <c r="BO58">
        <f>SUMIF(RawDataDead!$B:$B,$A58,RawDataDead!BR:BR)</f>
        <v>0</v>
      </c>
      <c r="BP58">
        <f>SUMIF(RawDataDead!$B:$B,$A58,RawDataDead!BS:BS)</f>
        <v>0</v>
      </c>
      <c r="BQ58">
        <f>SUMIF(RawDataDead!$B:$B,$A58,RawDataDead!BT:BT)</f>
        <v>0</v>
      </c>
      <c r="BR58">
        <f>SUMIF(RawDataDead!$B:$B,$A58,RawDataDead!BU:BU)</f>
        <v>0</v>
      </c>
      <c r="BS58">
        <f>SUMIF(RawDataDead!$B:$B,$A58,RawDataDead!BV:BV)</f>
        <v>0</v>
      </c>
      <c r="BT58">
        <f>SUMIF(RawDataDead!$B:$B,$A58,RawDataDead!BW:BW)</f>
        <v>0</v>
      </c>
    </row>
    <row r="59" spans="1:72" ht="15" thickBot="1" x14ac:dyDescent="0.35">
      <c r="A59" s="4" t="s">
        <v>150</v>
      </c>
      <c r="B59">
        <f>SUMIF(RawDataDead!$B:$B,$A59,RawDataDead!E:E)</f>
        <v>0</v>
      </c>
      <c r="C59">
        <f>SUMIF(RawDataDead!$B:$B,$A59,RawDataDead!F:F)</f>
        <v>0</v>
      </c>
      <c r="D59">
        <f>SUMIF(RawDataDead!$B:$B,$A59,RawDataDead!G:G)</f>
        <v>0</v>
      </c>
      <c r="E59">
        <f>SUMIF(RawDataDead!$B:$B,$A59,RawDataDead!H:H)</f>
        <v>0</v>
      </c>
      <c r="F59">
        <f>SUMIF(RawDataDead!$B:$B,$A59,RawDataDead!I:I)</f>
        <v>0</v>
      </c>
      <c r="G59">
        <f>SUMIF(RawDataDead!$B:$B,$A59,RawDataDead!J:J)</f>
        <v>0</v>
      </c>
      <c r="H59">
        <f>SUMIF(RawDataDead!$B:$B,$A59,RawDataDead!K:K)</f>
        <v>0</v>
      </c>
      <c r="I59">
        <f>SUMIF(RawDataDead!$B:$B,$A59,RawDataDead!L:L)</f>
        <v>0</v>
      </c>
      <c r="J59">
        <f>SUMIF(RawDataDead!$B:$B,$A59,RawDataDead!M:M)</f>
        <v>0</v>
      </c>
      <c r="K59">
        <f>SUMIF(RawDataDead!$B:$B,$A59,RawDataDead!N:N)</f>
        <v>0</v>
      </c>
      <c r="L59">
        <f>SUMIF(RawDataDead!$B:$B,$A59,RawDataDead!O:O)</f>
        <v>0</v>
      </c>
      <c r="M59">
        <f>SUMIF(RawDataDead!$B:$B,$A59,RawDataDead!P:P)</f>
        <v>0</v>
      </c>
      <c r="N59">
        <f>SUMIF(RawDataDead!$B:$B,$A59,RawDataDead!Q:Q)</f>
        <v>0</v>
      </c>
      <c r="O59">
        <f>SUMIF(RawDataDead!$B:$B,$A59,RawDataDead!R:R)</f>
        <v>0</v>
      </c>
      <c r="P59">
        <f>SUMIF(RawDataDead!$B:$B,$A59,RawDataDead!S:S)</f>
        <v>0</v>
      </c>
      <c r="Q59">
        <f>SUMIF(RawDataDead!$B:$B,$A59,RawDataDead!T:T)</f>
        <v>0</v>
      </c>
      <c r="R59">
        <f>SUMIF(RawDataDead!$B:$B,$A59,RawDataDead!U:U)</f>
        <v>0</v>
      </c>
      <c r="S59">
        <f>SUMIF(RawDataDead!$B:$B,$A59,RawDataDead!V:V)</f>
        <v>0</v>
      </c>
      <c r="T59">
        <f>SUMIF(RawDataDead!$B:$B,$A59,RawDataDead!W:W)</f>
        <v>0</v>
      </c>
      <c r="U59">
        <f>SUMIF(RawDataDead!$B:$B,$A59,RawDataDead!X:X)</f>
        <v>0</v>
      </c>
      <c r="V59">
        <f>SUMIF(RawDataDead!$B:$B,$A59,RawDataDead!Y:Y)</f>
        <v>0</v>
      </c>
      <c r="W59">
        <f>SUMIF(RawDataDead!$B:$B,$A59,RawDataDead!Z:Z)</f>
        <v>0</v>
      </c>
      <c r="X59">
        <f>SUMIF(RawDataDead!$B:$B,$A59,RawDataDead!AA:AA)</f>
        <v>0</v>
      </c>
      <c r="Y59">
        <f>SUMIF(RawDataDead!$B:$B,$A59,RawDataDead!AB:AB)</f>
        <v>0</v>
      </c>
      <c r="Z59">
        <f>SUMIF(RawDataDead!$B:$B,$A59,RawDataDead!AC:AC)</f>
        <v>0</v>
      </c>
      <c r="AA59">
        <f>SUMIF(RawDataDead!$B:$B,$A59,RawDataDead!AD:AD)</f>
        <v>0</v>
      </c>
      <c r="AB59">
        <f>SUMIF(RawDataDead!$B:$B,$A59,RawDataDead!AE:AE)</f>
        <v>0</v>
      </c>
      <c r="AC59">
        <f>SUMIF(RawDataDead!$B:$B,$A59,RawDataDead!AF:AF)</f>
        <v>0</v>
      </c>
      <c r="AD59">
        <f>SUMIF(RawDataDead!$B:$B,$A59,RawDataDead!AG:AG)</f>
        <v>0</v>
      </c>
      <c r="AE59">
        <f>SUMIF(RawDataDead!$B:$B,$A59,RawDataDead!AH:AH)</f>
        <v>0</v>
      </c>
      <c r="AF59">
        <f>SUMIF(RawDataDead!$B:$B,$A59,RawDataDead!AI:AI)</f>
        <v>0</v>
      </c>
      <c r="AG59">
        <f>SUMIF(RawDataDead!$B:$B,$A59,RawDataDead!AJ:AJ)</f>
        <v>0</v>
      </c>
      <c r="AH59">
        <f>SUMIF(RawDataDead!$B:$B,$A59,RawDataDead!AK:AK)</f>
        <v>0</v>
      </c>
      <c r="AI59">
        <f>SUMIF(RawDataDead!$B:$B,$A59,RawDataDead!AL:AL)</f>
        <v>0</v>
      </c>
      <c r="AJ59">
        <f>SUMIF(RawDataDead!$B:$B,$A59,RawDataDead!AM:AM)</f>
        <v>0</v>
      </c>
      <c r="AK59">
        <f>SUMIF(RawDataDead!$B:$B,$A59,RawDataDead!AN:AN)</f>
        <v>0</v>
      </c>
      <c r="AL59">
        <f>SUMIF(RawDataDead!$B:$B,$A59,RawDataDead!AO:AO)</f>
        <v>0</v>
      </c>
      <c r="AM59">
        <f>SUMIF(RawDataDead!$B:$B,$A59,RawDataDead!AP:AP)</f>
        <v>0</v>
      </c>
      <c r="AN59">
        <f>SUMIF(RawDataDead!$B:$B,$A59,RawDataDead!AQ:AQ)</f>
        <v>0</v>
      </c>
      <c r="AO59">
        <f>SUMIF(RawDataDead!$B:$B,$A59,RawDataDead!AR:AR)</f>
        <v>0</v>
      </c>
      <c r="AP59">
        <f>SUMIF(RawDataDead!$B:$B,$A59,RawDataDead!AS:AS)</f>
        <v>0</v>
      </c>
      <c r="AQ59">
        <f>SUMIF(RawDataDead!$B:$B,$A59,RawDataDead!AT:AT)</f>
        <v>0</v>
      </c>
      <c r="AR59">
        <f>SUMIF(RawDataDead!$B:$B,$A59,RawDataDead!AU:AU)</f>
        <v>0</v>
      </c>
      <c r="AS59">
        <f>SUMIF(RawDataDead!$B:$B,$A59,RawDataDead!AV:AV)</f>
        <v>0</v>
      </c>
      <c r="AT59">
        <f>SUMIF(RawDataDead!$B:$B,$A59,RawDataDead!AW:AW)</f>
        <v>0</v>
      </c>
      <c r="AU59">
        <f>SUMIF(RawDataDead!$B:$B,$A59,RawDataDead!AX:AX)</f>
        <v>0</v>
      </c>
      <c r="AV59">
        <f>SUMIF(RawDataDead!$B:$B,$A59,RawDataDead!AY:AY)</f>
        <v>1</v>
      </c>
      <c r="AW59">
        <f>SUMIF(RawDataDead!$B:$B,$A59,RawDataDead!AZ:AZ)</f>
        <v>1</v>
      </c>
      <c r="AX59">
        <f>SUMIF(RawDataDead!$B:$B,$A59,RawDataDead!BA:BA)</f>
        <v>1</v>
      </c>
      <c r="AY59">
        <f>SUMIF(RawDataDead!$B:$B,$A59,RawDataDead!BB:BB)</f>
        <v>1</v>
      </c>
      <c r="AZ59">
        <f>SUMIF(RawDataDead!$B:$B,$A59,RawDataDead!BC:BC)</f>
        <v>1</v>
      </c>
      <c r="BA59">
        <f>SUMIF(RawDataDead!$B:$B,$A59,RawDataDead!BD:BD)</f>
        <v>2</v>
      </c>
      <c r="BB59">
        <f>SUMIF(RawDataDead!$B:$B,$A59,RawDataDead!BE:BE)</f>
        <v>2</v>
      </c>
      <c r="BC59">
        <f>SUMIF(RawDataDead!$B:$B,$A59,RawDataDead!BF:BF)</f>
        <v>2</v>
      </c>
      <c r="BD59">
        <f>SUMIF(RawDataDead!$B:$B,$A59,RawDataDead!BG:BG)</f>
        <v>2</v>
      </c>
      <c r="BE59">
        <f>SUMIF(RawDataDead!$B:$B,$A59,RawDataDead!BH:BH)</f>
        <v>2</v>
      </c>
      <c r="BF59">
        <f>SUMIF(RawDataDead!$B:$B,$A59,RawDataDead!BI:BI)</f>
        <v>0</v>
      </c>
      <c r="BG59">
        <f>SUMIF(RawDataDead!$B:$B,$A59,RawDataDead!BJ:BJ)</f>
        <v>0</v>
      </c>
      <c r="BH59">
        <f>SUMIF(RawDataDead!$B:$B,$A59,RawDataDead!BK:BK)</f>
        <v>0</v>
      </c>
      <c r="BI59">
        <f>SUMIF(RawDataDead!$B:$B,$A59,RawDataDead!BL:BL)</f>
        <v>0</v>
      </c>
      <c r="BJ59">
        <f>SUMIF(RawDataDead!$B:$B,$A59,RawDataDead!BM:BM)</f>
        <v>0</v>
      </c>
      <c r="BK59">
        <f>SUMIF(RawDataDead!$B:$B,$A59,RawDataDead!BN:BN)</f>
        <v>0</v>
      </c>
      <c r="BL59">
        <f>SUMIF(RawDataDead!$B:$B,$A59,RawDataDead!BO:BO)</f>
        <v>0</v>
      </c>
      <c r="BM59">
        <f>SUMIF(RawDataDead!$B:$B,$A59,RawDataDead!BP:BP)</f>
        <v>0</v>
      </c>
      <c r="BN59">
        <f>SUMIF(RawDataDead!$B:$B,$A59,RawDataDead!BQ:BQ)</f>
        <v>0</v>
      </c>
      <c r="BO59">
        <f>SUMIF(RawDataDead!$B:$B,$A59,RawDataDead!BR:BR)</f>
        <v>0</v>
      </c>
      <c r="BP59">
        <f>SUMIF(RawDataDead!$B:$B,$A59,RawDataDead!BS:BS)</f>
        <v>0</v>
      </c>
      <c r="BQ59">
        <f>SUMIF(RawDataDead!$B:$B,$A59,RawDataDead!BT:BT)</f>
        <v>0</v>
      </c>
      <c r="BR59">
        <f>SUMIF(RawDataDead!$B:$B,$A59,RawDataDead!BU:BU)</f>
        <v>0</v>
      </c>
      <c r="BS59">
        <f>SUMIF(RawDataDead!$B:$B,$A59,RawDataDead!BV:BV)</f>
        <v>0</v>
      </c>
      <c r="BT59">
        <f>SUMIF(RawDataDead!$B:$B,$A59,RawDataDead!BW:BW)</f>
        <v>0</v>
      </c>
    </row>
    <row r="60" spans="1:72" ht="15" thickBot="1" x14ac:dyDescent="0.35">
      <c r="A60" s="3" t="s">
        <v>107</v>
      </c>
      <c r="B60">
        <f>SUMIF(RawDataDead!$B:$B,$A60,RawDataDead!E:E)</f>
        <v>0</v>
      </c>
      <c r="C60">
        <f>SUMIF(RawDataDead!$B:$B,$A60,RawDataDead!F:F)</f>
        <v>0</v>
      </c>
      <c r="D60">
        <f>SUMIF(RawDataDead!$B:$B,$A60,RawDataDead!G:G)</f>
        <v>0</v>
      </c>
      <c r="E60">
        <f>SUMIF(RawDataDead!$B:$B,$A60,RawDataDead!H:H)</f>
        <v>0</v>
      </c>
      <c r="F60">
        <f>SUMIF(RawDataDead!$B:$B,$A60,RawDataDead!I:I)</f>
        <v>0</v>
      </c>
      <c r="G60">
        <f>SUMIF(RawDataDead!$B:$B,$A60,RawDataDead!J:J)</f>
        <v>0</v>
      </c>
      <c r="H60">
        <f>SUMIF(RawDataDead!$B:$B,$A60,RawDataDead!K:K)</f>
        <v>0</v>
      </c>
      <c r="I60">
        <f>SUMIF(RawDataDead!$B:$B,$A60,RawDataDead!L:L)</f>
        <v>0</v>
      </c>
      <c r="J60">
        <f>SUMIF(RawDataDead!$B:$B,$A60,RawDataDead!M:M)</f>
        <v>0</v>
      </c>
      <c r="K60">
        <f>SUMIF(RawDataDead!$B:$B,$A60,RawDataDead!N:N)</f>
        <v>0</v>
      </c>
      <c r="L60">
        <f>SUMIF(RawDataDead!$B:$B,$A60,RawDataDead!O:O)</f>
        <v>0</v>
      </c>
      <c r="M60">
        <f>SUMIF(RawDataDead!$B:$B,$A60,RawDataDead!P:P)</f>
        <v>0</v>
      </c>
      <c r="N60">
        <f>SUMIF(RawDataDead!$B:$B,$A60,RawDataDead!Q:Q)</f>
        <v>0</v>
      </c>
      <c r="O60">
        <f>SUMIF(RawDataDead!$B:$B,$A60,RawDataDead!R:R)</f>
        <v>0</v>
      </c>
      <c r="P60">
        <f>SUMIF(RawDataDead!$B:$B,$A60,RawDataDead!S:S)</f>
        <v>0</v>
      </c>
      <c r="Q60">
        <f>SUMIF(RawDataDead!$B:$B,$A60,RawDataDead!T:T)</f>
        <v>0</v>
      </c>
      <c r="R60">
        <f>SUMIF(RawDataDead!$B:$B,$A60,RawDataDead!U:U)</f>
        <v>0</v>
      </c>
      <c r="S60">
        <f>SUMIF(RawDataDead!$B:$B,$A60,RawDataDead!V:V)</f>
        <v>0</v>
      </c>
      <c r="T60">
        <f>SUMIF(RawDataDead!$B:$B,$A60,RawDataDead!W:W)</f>
        <v>0</v>
      </c>
      <c r="U60">
        <f>SUMIF(RawDataDead!$B:$B,$A60,RawDataDead!X:X)</f>
        <v>0</v>
      </c>
      <c r="V60">
        <f>SUMIF(RawDataDead!$B:$B,$A60,RawDataDead!Y:Y)</f>
        <v>0</v>
      </c>
      <c r="W60">
        <f>SUMIF(RawDataDead!$B:$B,$A60,RawDataDead!Z:Z)</f>
        <v>0</v>
      </c>
      <c r="X60">
        <f>SUMIF(RawDataDead!$B:$B,$A60,RawDataDead!AA:AA)</f>
        <v>0</v>
      </c>
      <c r="Y60">
        <f>SUMIF(RawDataDead!$B:$B,$A60,RawDataDead!AB:AB)</f>
        <v>0</v>
      </c>
      <c r="Z60">
        <f>SUMIF(RawDataDead!$B:$B,$A60,RawDataDead!AC:AC)</f>
        <v>0</v>
      </c>
      <c r="AA60">
        <f>SUMIF(RawDataDead!$B:$B,$A60,RawDataDead!AD:AD)</f>
        <v>0</v>
      </c>
      <c r="AB60">
        <f>SUMIF(RawDataDead!$B:$B,$A60,RawDataDead!AE:AE)</f>
        <v>0</v>
      </c>
      <c r="AC60">
        <f>SUMIF(RawDataDead!$B:$B,$A60,RawDataDead!AF:AF)</f>
        <v>0</v>
      </c>
      <c r="AD60">
        <f>SUMIF(RawDataDead!$B:$B,$A60,RawDataDead!AG:AG)</f>
        <v>0</v>
      </c>
      <c r="AE60">
        <f>SUMIF(RawDataDead!$B:$B,$A60,RawDataDead!AH:AH)</f>
        <v>0</v>
      </c>
      <c r="AF60">
        <f>SUMIF(RawDataDead!$B:$B,$A60,RawDataDead!AI:AI)</f>
        <v>0</v>
      </c>
      <c r="AG60">
        <f>SUMIF(RawDataDead!$B:$B,$A60,RawDataDead!AJ:AJ)</f>
        <v>0</v>
      </c>
      <c r="AH60">
        <f>SUMIF(RawDataDead!$B:$B,$A60,RawDataDead!AK:AK)</f>
        <v>0</v>
      </c>
      <c r="AI60">
        <f>SUMIF(RawDataDead!$B:$B,$A60,RawDataDead!AL:AL)</f>
        <v>0</v>
      </c>
      <c r="AJ60">
        <f>SUMIF(RawDataDead!$B:$B,$A60,RawDataDead!AM:AM)</f>
        <v>0</v>
      </c>
      <c r="AK60">
        <f>SUMIF(RawDataDead!$B:$B,$A60,RawDataDead!AN:AN)</f>
        <v>0</v>
      </c>
      <c r="AL60">
        <f>SUMIF(RawDataDead!$B:$B,$A60,RawDataDead!AO:AO)</f>
        <v>0</v>
      </c>
      <c r="AM60">
        <f>SUMIF(RawDataDead!$B:$B,$A60,RawDataDead!AP:AP)</f>
        <v>0</v>
      </c>
      <c r="AN60">
        <f>SUMIF(RawDataDead!$B:$B,$A60,RawDataDead!AQ:AQ)</f>
        <v>0</v>
      </c>
      <c r="AO60">
        <f>SUMIF(RawDataDead!$B:$B,$A60,RawDataDead!AR:AR)</f>
        <v>0</v>
      </c>
      <c r="AP60">
        <f>SUMIF(RawDataDead!$B:$B,$A60,RawDataDead!AS:AS)</f>
        <v>0</v>
      </c>
      <c r="AQ60">
        <f>SUMIF(RawDataDead!$B:$B,$A60,RawDataDead!AT:AT)</f>
        <v>0</v>
      </c>
      <c r="AR60">
        <f>SUMIF(RawDataDead!$B:$B,$A60,RawDataDead!AU:AU)</f>
        <v>0</v>
      </c>
      <c r="AS60">
        <f>SUMIF(RawDataDead!$B:$B,$A60,RawDataDead!AV:AV)</f>
        <v>0</v>
      </c>
      <c r="AT60">
        <f>SUMIF(RawDataDead!$B:$B,$A60,RawDataDead!AW:AW)</f>
        <v>0</v>
      </c>
      <c r="AU60">
        <f>SUMIF(RawDataDead!$B:$B,$A60,RawDataDead!AX:AX)</f>
        <v>0</v>
      </c>
      <c r="AV60">
        <f>SUMIF(RawDataDead!$B:$B,$A60,RawDataDead!AY:AY)</f>
        <v>0</v>
      </c>
      <c r="AW60">
        <f>SUMIF(RawDataDead!$B:$B,$A60,RawDataDead!AZ:AZ)</f>
        <v>0</v>
      </c>
      <c r="AX60">
        <f>SUMIF(RawDataDead!$B:$B,$A60,RawDataDead!BA:BA)</f>
        <v>0</v>
      </c>
      <c r="AY60">
        <f>SUMIF(RawDataDead!$B:$B,$A60,RawDataDead!BB:BB)</f>
        <v>0</v>
      </c>
      <c r="AZ60">
        <f>SUMIF(RawDataDead!$B:$B,$A60,RawDataDead!BC:BC)</f>
        <v>0</v>
      </c>
      <c r="BA60">
        <f>SUMIF(RawDataDead!$B:$B,$A60,RawDataDead!BD:BD)</f>
        <v>0</v>
      </c>
      <c r="BB60">
        <f>SUMIF(RawDataDead!$B:$B,$A60,RawDataDead!BE:BE)</f>
        <v>0</v>
      </c>
      <c r="BC60">
        <f>SUMIF(RawDataDead!$B:$B,$A60,RawDataDead!BF:BF)</f>
        <v>0</v>
      </c>
      <c r="BD60">
        <f>SUMIF(RawDataDead!$B:$B,$A60,RawDataDead!BG:BG)</f>
        <v>0</v>
      </c>
      <c r="BE60">
        <f>SUMIF(RawDataDead!$B:$B,$A60,RawDataDead!BH:BH)</f>
        <v>0</v>
      </c>
      <c r="BF60">
        <f>SUMIF(RawDataDead!$B:$B,$A60,RawDataDead!BI:BI)</f>
        <v>0</v>
      </c>
      <c r="BG60">
        <f>SUMIF(RawDataDead!$B:$B,$A60,RawDataDead!BJ:BJ)</f>
        <v>0</v>
      </c>
      <c r="BH60">
        <f>SUMIF(RawDataDead!$B:$B,$A60,RawDataDead!BK:BK)</f>
        <v>0</v>
      </c>
      <c r="BI60">
        <f>SUMIF(RawDataDead!$B:$B,$A60,RawDataDead!BL:BL)</f>
        <v>0</v>
      </c>
      <c r="BJ60">
        <f>SUMIF(RawDataDead!$B:$B,$A60,RawDataDead!BM:BM)</f>
        <v>0</v>
      </c>
      <c r="BK60">
        <f>SUMIF(RawDataDead!$B:$B,$A60,RawDataDead!BN:BN)</f>
        <v>0</v>
      </c>
      <c r="BL60">
        <f>SUMIF(RawDataDead!$B:$B,$A60,RawDataDead!BO:BO)</f>
        <v>0</v>
      </c>
      <c r="BM60">
        <f>SUMIF(RawDataDead!$B:$B,$A60,RawDataDead!BP:BP)</f>
        <v>0</v>
      </c>
      <c r="BN60">
        <f>SUMIF(RawDataDead!$B:$B,$A60,RawDataDead!BQ:BQ)</f>
        <v>0</v>
      </c>
      <c r="BO60">
        <f>SUMIF(RawDataDead!$B:$B,$A60,RawDataDead!BR:BR)</f>
        <v>0</v>
      </c>
      <c r="BP60">
        <f>SUMIF(RawDataDead!$B:$B,$A60,RawDataDead!BS:BS)</f>
        <v>0</v>
      </c>
      <c r="BQ60">
        <f>SUMIF(RawDataDead!$B:$B,$A60,RawDataDead!BT:BT)</f>
        <v>0</v>
      </c>
      <c r="BR60">
        <f>SUMIF(RawDataDead!$B:$B,$A60,RawDataDead!BU:BU)</f>
        <v>0</v>
      </c>
      <c r="BS60">
        <f>SUMIF(RawDataDead!$B:$B,$A60,RawDataDead!BV:BV)</f>
        <v>0</v>
      </c>
      <c r="BT60">
        <f>SUMIF(RawDataDead!$B:$B,$A60,RawDataDead!BW:BW)</f>
        <v>0</v>
      </c>
    </row>
    <row r="61" spans="1:72" ht="15" thickBot="1" x14ac:dyDescent="0.35">
      <c r="A61" s="4" t="s">
        <v>187</v>
      </c>
      <c r="B61">
        <f>SUMIF(RawDataDead!$B:$B,$A61,RawDataDead!E:E)</f>
        <v>0</v>
      </c>
      <c r="C61">
        <f>SUMIF(RawDataDead!$B:$B,$A61,RawDataDead!F:F)</f>
        <v>0</v>
      </c>
      <c r="D61">
        <f>SUMIF(RawDataDead!$B:$B,$A61,RawDataDead!G:G)</f>
        <v>0</v>
      </c>
      <c r="E61">
        <f>SUMIF(RawDataDead!$B:$B,$A61,RawDataDead!H:H)</f>
        <v>0</v>
      </c>
      <c r="F61">
        <f>SUMIF(RawDataDead!$B:$B,$A61,RawDataDead!I:I)</f>
        <v>0</v>
      </c>
      <c r="G61">
        <f>SUMIF(RawDataDead!$B:$B,$A61,RawDataDead!J:J)</f>
        <v>0</v>
      </c>
      <c r="H61">
        <f>SUMIF(RawDataDead!$B:$B,$A61,RawDataDead!K:K)</f>
        <v>0</v>
      </c>
      <c r="I61">
        <f>SUMIF(RawDataDead!$B:$B,$A61,RawDataDead!L:L)</f>
        <v>0</v>
      </c>
      <c r="J61">
        <f>SUMIF(RawDataDead!$B:$B,$A61,RawDataDead!M:M)</f>
        <v>0</v>
      </c>
      <c r="K61">
        <f>SUMIF(RawDataDead!$B:$B,$A61,RawDataDead!N:N)</f>
        <v>0</v>
      </c>
      <c r="L61">
        <f>SUMIF(RawDataDead!$B:$B,$A61,RawDataDead!O:O)</f>
        <v>0</v>
      </c>
      <c r="M61">
        <f>SUMIF(RawDataDead!$B:$B,$A61,RawDataDead!P:P)</f>
        <v>0</v>
      </c>
      <c r="N61">
        <f>SUMIF(RawDataDead!$B:$B,$A61,RawDataDead!Q:Q)</f>
        <v>0</v>
      </c>
      <c r="O61">
        <f>SUMIF(RawDataDead!$B:$B,$A61,RawDataDead!R:R)</f>
        <v>0</v>
      </c>
      <c r="P61">
        <f>SUMIF(RawDataDead!$B:$B,$A61,RawDataDead!S:S)</f>
        <v>0</v>
      </c>
      <c r="Q61">
        <f>SUMIF(RawDataDead!$B:$B,$A61,RawDataDead!T:T)</f>
        <v>0</v>
      </c>
      <c r="R61">
        <f>SUMIF(RawDataDead!$B:$B,$A61,RawDataDead!U:U)</f>
        <v>0</v>
      </c>
      <c r="S61">
        <f>SUMIF(RawDataDead!$B:$B,$A61,RawDataDead!V:V)</f>
        <v>0</v>
      </c>
      <c r="T61">
        <f>SUMIF(RawDataDead!$B:$B,$A61,RawDataDead!W:W)</f>
        <v>0</v>
      </c>
      <c r="U61">
        <f>SUMIF(RawDataDead!$B:$B,$A61,RawDataDead!X:X)</f>
        <v>0</v>
      </c>
      <c r="V61">
        <f>SUMIF(RawDataDead!$B:$B,$A61,RawDataDead!Y:Y)</f>
        <v>0</v>
      </c>
      <c r="W61">
        <f>SUMIF(RawDataDead!$B:$B,$A61,RawDataDead!Z:Z)</f>
        <v>0</v>
      </c>
      <c r="X61">
        <f>SUMIF(RawDataDead!$B:$B,$A61,RawDataDead!AA:AA)</f>
        <v>0</v>
      </c>
      <c r="Y61">
        <f>SUMIF(RawDataDead!$B:$B,$A61,RawDataDead!AB:AB)</f>
        <v>0</v>
      </c>
      <c r="Z61">
        <f>SUMIF(RawDataDead!$B:$B,$A61,RawDataDead!AC:AC)</f>
        <v>0</v>
      </c>
      <c r="AA61">
        <f>SUMIF(RawDataDead!$B:$B,$A61,RawDataDead!AD:AD)</f>
        <v>0</v>
      </c>
      <c r="AB61">
        <f>SUMIF(RawDataDead!$B:$B,$A61,RawDataDead!AE:AE)</f>
        <v>0</v>
      </c>
      <c r="AC61">
        <f>SUMIF(RawDataDead!$B:$B,$A61,RawDataDead!AF:AF)</f>
        <v>0</v>
      </c>
      <c r="AD61">
        <f>SUMIF(RawDataDead!$B:$B,$A61,RawDataDead!AG:AG)</f>
        <v>0</v>
      </c>
      <c r="AE61">
        <f>SUMIF(RawDataDead!$B:$B,$A61,RawDataDead!AH:AH)</f>
        <v>0</v>
      </c>
      <c r="AF61">
        <f>SUMIF(RawDataDead!$B:$B,$A61,RawDataDead!AI:AI)</f>
        <v>0</v>
      </c>
      <c r="AG61">
        <f>SUMIF(RawDataDead!$B:$B,$A61,RawDataDead!AJ:AJ)</f>
        <v>0</v>
      </c>
      <c r="AH61">
        <f>SUMIF(RawDataDead!$B:$B,$A61,RawDataDead!AK:AK)</f>
        <v>0</v>
      </c>
      <c r="AI61">
        <f>SUMIF(RawDataDead!$B:$B,$A61,RawDataDead!AL:AL)</f>
        <v>0</v>
      </c>
      <c r="AJ61">
        <f>SUMIF(RawDataDead!$B:$B,$A61,RawDataDead!AM:AM)</f>
        <v>0</v>
      </c>
      <c r="AK61">
        <f>SUMIF(RawDataDead!$B:$B,$A61,RawDataDead!AN:AN)</f>
        <v>0</v>
      </c>
      <c r="AL61">
        <f>SUMIF(RawDataDead!$B:$B,$A61,RawDataDead!AO:AO)</f>
        <v>0</v>
      </c>
      <c r="AM61">
        <f>SUMIF(RawDataDead!$B:$B,$A61,RawDataDead!AP:AP)</f>
        <v>0</v>
      </c>
      <c r="AN61">
        <f>SUMIF(RawDataDead!$B:$B,$A61,RawDataDead!AQ:AQ)</f>
        <v>0</v>
      </c>
      <c r="AO61">
        <f>SUMIF(RawDataDead!$B:$B,$A61,RawDataDead!AR:AR)</f>
        <v>0</v>
      </c>
      <c r="AP61">
        <f>SUMIF(RawDataDead!$B:$B,$A61,RawDataDead!AS:AS)</f>
        <v>0</v>
      </c>
      <c r="AQ61">
        <f>SUMIF(RawDataDead!$B:$B,$A61,RawDataDead!AT:AT)</f>
        <v>0</v>
      </c>
      <c r="AR61">
        <f>SUMIF(RawDataDead!$B:$B,$A61,RawDataDead!AU:AU)</f>
        <v>0</v>
      </c>
      <c r="AS61">
        <f>SUMIF(RawDataDead!$B:$B,$A61,RawDataDead!AV:AV)</f>
        <v>0</v>
      </c>
      <c r="AT61">
        <f>SUMIF(RawDataDead!$B:$B,$A61,RawDataDead!AW:AW)</f>
        <v>0</v>
      </c>
      <c r="AU61">
        <f>SUMIF(RawDataDead!$B:$B,$A61,RawDataDead!AX:AX)</f>
        <v>0</v>
      </c>
      <c r="AV61">
        <f>SUMIF(RawDataDead!$B:$B,$A61,RawDataDead!AY:AY)</f>
        <v>0</v>
      </c>
      <c r="AW61">
        <f>SUMIF(RawDataDead!$B:$B,$A61,RawDataDead!AZ:AZ)</f>
        <v>0</v>
      </c>
      <c r="AX61">
        <f>SUMIF(RawDataDead!$B:$B,$A61,RawDataDead!BA:BA)</f>
        <v>0</v>
      </c>
      <c r="AY61">
        <f>SUMIF(RawDataDead!$B:$B,$A61,RawDataDead!BB:BB)</f>
        <v>0</v>
      </c>
      <c r="AZ61">
        <f>SUMIF(RawDataDead!$B:$B,$A61,RawDataDead!BC:BC)</f>
        <v>0</v>
      </c>
      <c r="BA61">
        <f>SUMIF(RawDataDead!$B:$B,$A61,RawDataDead!BD:BD)</f>
        <v>0</v>
      </c>
      <c r="BB61">
        <f>SUMIF(RawDataDead!$B:$B,$A61,RawDataDead!BE:BE)</f>
        <v>0</v>
      </c>
      <c r="BC61">
        <f>SUMIF(RawDataDead!$B:$B,$A61,RawDataDead!BF:BF)</f>
        <v>0</v>
      </c>
      <c r="BD61">
        <f>SUMIF(RawDataDead!$B:$B,$A61,RawDataDead!BG:BG)</f>
        <v>0</v>
      </c>
      <c r="BE61">
        <f>SUMIF(RawDataDead!$B:$B,$A61,RawDataDead!BH:BH)</f>
        <v>0</v>
      </c>
      <c r="BF61">
        <f>SUMIF(RawDataDead!$B:$B,$A61,RawDataDead!BI:BI)</f>
        <v>0</v>
      </c>
      <c r="BG61">
        <f>SUMIF(RawDataDead!$B:$B,$A61,RawDataDead!BJ:BJ)</f>
        <v>0</v>
      </c>
      <c r="BH61">
        <f>SUMIF(RawDataDead!$B:$B,$A61,RawDataDead!BK:BK)</f>
        <v>0</v>
      </c>
      <c r="BI61">
        <f>SUMIF(RawDataDead!$B:$B,$A61,RawDataDead!BL:BL)</f>
        <v>0</v>
      </c>
      <c r="BJ61">
        <f>SUMIF(RawDataDead!$B:$B,$A61,RawDataDead!BM:BM)</f>
        <v>0</v>
      </c>
      <c r="BK61">
        <f>SUMIF(RawDataDead!$B:$B,$A61,RawDataDead!BN:BN)</f>
        <v>0</v>
      </c>
      <c r="BL61">
        <f>SUMIF(RawDataDead!$B:$B,$A61,RawDataDead!BO:BO)</f>
        <v>0</v>
      </c>
      <c r="BM61">
        <f>SUMIF(RawDataDead!$B:$B,$A61,RawDataDead!BP:BP)</f>
        <v>0</v>
      </c>
      <c r="BN61">
        <f>SUMIF(RawDataDead!$B:$B,$A61,RawDataDead!BQ:BQ)</f>
        <v>0</v>
      </c>
      <c r="BO61">
        <f>SUMIF(RawDataDead!$B:$B,$A61,RawDataDead!BR:BR)</f>
        <v>0</v>
      </c>
      <c r="BP61">
        <f>SUMIF(RawDataDead!$B:$B,$A61,RawDataDead!BS:BS)</f>
        <v>0</v>
      </c>
      <c r="BQ61">
        <f>SUMIF(RawDataDead!$B:$B,$A61,RawDataDead!BT:BT)</f>
        <v>0</v>
      </c>
      <c r="BR61">
        <f>SUMIF(RawDataDead!$B:$B,$A61,RawDataDead!BU:BU)</f>
        <v>0</v>
      </c>
      <c r="BS61">
        <f>SUMIF(RawDataDead!$B:$B,$A61,RawDataDead!BV:BV)</f>
        <v>0</v>
      </c>
      <c r="BT61">
        <f>SUMIF(RawDataDead!$B:$B,$A61,RawDataDead!BW:BW)</f>
        <v>0</v>
      </c>
    </row>
    <row r="62" spans="1:72" ht="15" thickBot="1" x14ac:dyDescent="0.35">
      <c r="A62" s="3" t="s">
        <v>118</v>
      </c>
      <c r="B62">
        <f>SUMIF(RawDataDead!$B:$B,$A62,RawDataDead!E:E)</f>
        <v>0</v>
      </c>
      <c r="C62">
        <f>SUMIF(RawDataDead!$B:$B,$A62,RawDataDead!F:F)</f>
        <v>0</v>
      </c>
      <c r="D62">
        <f>SUMIF(RawDataDead!$B:$B,$A62,RawDataDead!G:G)</f>
        <v>0</v>
      </c>
      <c r="E62">
        <f>SUMIF(RawDataDead!$B:$B,$A62,RawDataDead!H:H)</f>
        <v>0</v>
      </c>
      <c r="F62">
        <f>SUMIF(RawDataDead!$B:$B,$A62,RawDataDead!I:I)</f>
        <v>0</v>
      </c>
      <c r="G62">
        <f>SUMIF(RawDataDead!$B:$B,$A62,RawDataDead!J:J)</f>
        <v>0</v>
      </c>
      <c r="H62">
        <f>SUMIF(RawDataDead!$B:$B,$A62,RawDataDead!K:K)</f>
        <v>0</v>
      </c>
      <c r="I62">
        <f>SUMIF(RawDataDead!$B:$B,$A62,RawDataDead!L:L)</f>
        <v>0</v>
      </c>
      <c r="J62">
        <f>SUMIF(RawDataDead!$B:$B,$A62,RawDataDead!M:M)</f>
        <v>0</v>
      </c>
      <c r="K62">
        <f>SUMIF(RawDataDead!$B:$B,$A62,RawDataDead!N:N)</f>
        <v>0</v>
      </c>
      <c r="L62">
        <f>SUMIF(RawDataDead!$B:$B,$A62,RawDataDead!O:O)</f>
        <v>0</v>
      </c>
      <c r="M62">
        <f>SUMIF(RawDataDead!$B:$B,$A62,RawDataDead!P:P)</f>
        <v>0</v>
      </c>
      <c r="N62">
        <f>SUMIF(RawDataDead!$B:$B,$A62,RawDataDead!Q:Q)</f>
        <v>0</v>
      </c>
      <c r="O62">
        <f>SUMIF(RawDataDead!$B:$B,$A62,RawDataDead!R:R)</f>
        <v>0</v>
      </c>
      <c r="P62">
        <f>SUMIF(RawDataDead!$B:$B,$A62,RawDataDead!S:S)</f>
        <v>0</v>
      </c>
      <c r="Q62">
        <f>SUMIF(RawDataDead!$B:$B,$A62,RawDataDead!T:T)</f>
        <v>0</v>
      </c>
      <c r="R62">
        <f>SUMIF(RawDataDead!$B:$B,$A62,RawDataDead!U:U)</f>
        <v>0</v>
      </c>
      <c r="S62">
        <f>SUMIF(RawDataDead!$B:$B,$A62,RawDataDead!V:V)</f>
        <v>0</v>
      </c>
      <c r="T62">
        <f>SUMIF(RawDataDead!$B:$B,$A62,RawDataDead!W:W)</f>
        <v>0</v>
      </c>
      <c r="U62">
        <f>SUMIF(RawDataDead!$B:$B,$A62,RawDataDead!X:X)</f>
        <v>0</v>
      </c>
      <c r="V62">
        <f>SUMIF(RawDataDead!$B:$B,$A62,RawDataDead!Y:Y)</f>
        <v>0</v>
      </c>
      <c r="W62">
        <f>SUMIF(RawDataDead!$B:$B,$A62,RawDataDead!Z:Z)</f>
        <v>0</v>
      </c>
      <c r="X62">
        <f>SUMIF(RawDataDead!$B:$B,$A62,RawDataDead!AA:AA)</f>
        <v>0</v>
      </c>
      <c r="Y62">
        <f>SUMIF(RawDataDead!$B:$B,$A62,RawDataDead!AB:AB)</f>
        <v>0</v>
      </c>
      <c r="Z62">
        <f>SUMIF(RawDataDead!$B:$B,$A62,RawDataDead!AC:AC)</f>
        <v>0</v>
      </c>
      <c r="AA62">
        <f>SUMIF(RawDataDead!$B:$B,$A62,RawDataDead!AD:AD)</f>
        <v>0</v>
      </c>
      <c r="AB62">
        <f>SUMIF(RawDataDead!$B:$B,$A62,RawDataDead!AE:AE)</f>
        <v>0</v>
      </c>
      <c r="AC62">
        <f>SUMIF(RawDataDead!$B:$B,$A62,RawDataDead!AF:AF)</f>
        <v>0</v>
      </c>
      <c r="AD62">
        <f>SUMIF(RawDataDead!$B:$B,$A62,RawDataDead!AG:AG)</f>
        <v>0</v>
      </c>
      <c r="AE62">
        <f>SUMIF(RawDataDead!$B:$B,$A62,RawDataDead!AH:AH)</f>
        <v>0</v>
      </c>
      <c r="AF62">
        <f>SUMIF(RawDataDead!$B:$B,$A62,RawDataDead!AI:AI)</f>
        <v>0</v>
      </c>
      <c r="AG62">
        <f>SUMIF(RawDataDead!$B:$B,$A62,RawDataDead!AJ:AJ)</f>
        <v>0</v>
      </c>
      <c r="AH62">
        <f>SUMIF(RawDataDead!$B:$B,$A62,RawDataDead!AK:AK)</f>
        <v>0</v>
      </c>
      <c r="AI62">
        <f>SUMIF(RawDataDead!$B:$B,$A62,RawDataDead!AL:AL)</f>
        <v>0</v>
      </c>
      <c r="AJ62">
        <f>SUMIF(RawDataDead!$B:$B,$A62,RawDataDead!AM:AM)</f>
        <v>0</v>
      </c>
      <c r="AK62">
        <f>SUMIF(RawDataDead!$B:$B,$A62,RawDataDead!AN:AN)</f>
        <v>0</v>
      </c>
      <c r="AL62">
        <f>SUMIF(RawDataDead!$B:$B,$A62,RawDataDead!AO:AO)</f>
        <v>0</v>
      </c>
      <c r="AM62">
        <f>SUMIF(RawDataDead!$B:$B,$A62,RawDataDead!AP:AP)</f>
        <v>0</v>
      </c>
      <c r="AN62">
        <f>SUMIF(RawDataDead!$B:$B,$A62,RawDataDead!AQ:AQ)</f>
        <v>0</v>
      </c>
      <c r="AO62">
        <f>SUMIF(RawDataDead!$B:$B,$A62,RawDataDead!AR:AR)</f>
        <v>0</v>
      </c>
      <c r="AP62">
        <f>SUMIF(RawDataDead!$B:$B,$A62,RawDataDead!AS:AS)</f>
        <v>0</v>
      </c>
      <c r="AQ62">
        <f>SUMIF(RawDataDead!$B:$B,$A62,RawDataDead!AT:AT)</f>
        <v>0</v>
      </c>
      <c r="AR62">
        <f>SUMIF(RawDataDead!$B:$B,$A62,RawDataDead!AU:AU)</f>
        <v>0</v>
      </c>
      <c r="AS62">
        <f>SUMIF(RawDataDead!$B:$B,$A62,RawDataDead!AV:AV)</f>
        <v>0</v>
      </c>
      <c r="AT62">
        <f>SUMIF(RawDataDead!$B:$B,$A62,RawDataDead!AW:AW)</f>
        <v>0</v>
      </c>
      <c r="AU62">
        <f>SUMIF(RawDataDead!$B:$B,$A62,RawDataDead!AX:AX)</f>
        <v>0</v>
      </c>
      <c r="AV62">
        <f>SUMIF(RawDataDead!$B:$B,$A62,RawDataDead!AY:AY)</f>
        <v>0</v>
      </c>
      <c r="AW62">
        <f>SUMIF(RawDataDead!$B:$B,$A62,RawDataDead!AZ:AZ)</f>
        <v>0</v>
      </c>
      <c r="AX62">
        <f>SUMIF(RawDataDead!$B:$B,$A62,RawDataDead!BA:BA)</f>
        <v>0</v>
      </c>
      <c r="AY62">
        <f>SUMIF(RawDataDead!$B:$B,$A62,RawDataDead!BB:BB)</f>
        <v>0</v>
      </c>
      <c r="AZ62">
        <f>SUMIF(RawDataDead!$B:$B,$A62,RawDataDead!BC:BC)</f>
        <v>0</v>
      </c>
      <c r="BA62">
        <f>SUMIF(RawDataDead!$B:$B,$A62,RawDataDead!BD:BD)</f>
        <v>0</v>
      </c>
      <c r="BB62">
        <f>SUMIF(RawDataDead!$B:$B,$A62,RawDataDead!BE:BE)</f>
        <v>0</v>
      </c>
      <c r="BC62">
        <f>SUMIF(RawDataDead!$B:$B,$A62,RawDataDead!BF:BF)</f>
        <v>0</v>
      </c>
      <c r="BD62">
        <f>SUMIF(RawDataDead!$B:$B,$A62,RawDataDead!BG:BG)</f>
        <v>0</v>
      </c>
      <c r="BE62">
        <f>SUMIF(RawDataDead!$B:$B,$A62,RawDataDead!BH:BH)</f>
        <v>0</v>
      </c>
      <c r="BF62">
        <f>SUMIF(RawDataDead!$B:$B,$A62,RawDataDead!BI:BI)</f>
        <v>0</v>
      </c>
      <c r="BG62">
        <f>SUMIF(RawDataDead!$B:$B,$A62,RawDataDead!BJ:BJ)</f>
        <v>0</v>
      </c>
      <c r="BH62">
        <f>SUMIF(RawDataDead!$B:$B,$A62,RawDataDead!BK:BK)</f>
        <v>0</v>
      </c>
      <c r="BI62">
        <f>SUMIF(RawDataDead!$B:$B,$A62,RawDataDead!BL:BL)</f>
        <v>0</v>
      </c>
      <c r="BJ62">
        <f>SUMIF(RawDataDead!$B:$B,$A62,RawDataDead!BM:BM)</f>
        <v>0</v>
      </c>
      <c r="BK62">
        <f>SUMIF(RawDataDead!$B:$B,$A62,RawDataDead!BN:BN)</f>
        <v>0</v>
      </c>
      <c r="BL62">
        <f>SUMIF(RawDataDead!$B:$B,$A62,RawDataDead!BO:BO)</f>
        <v>0</v>
      </c>
      <c r="BM62">
        <f>SUMIF(RawDataDead!$B:$B,$A62,RawDataDead!BP:BP)</f>
        <v>0</v>
      </c>
      <c r="BN62">
        <f>SUMIF(RawDataDead!$B:$B,$A62,RawDataDead!BQ:BQ)</f>
        <v>0</v>
      </c>
      <c r="BO62">
        <f>SUMIF(RawDataDead!$B:$B,$A62,RawDataDead!BR:BR)</f>
        <v>0</v>
      </c>
      <c r="BP62">
        <f>SUMIF(RawDataDead!$B:$B,$A62,RawDataDead!BS:BS)</f>
        <v>0</v>
      </c>
      <c r="BQ62">
        <f>SUMIF(RawDataDead!$B:$B,$A62,RawDataDead!BT:BT)</f>
        <v>0</v>
      </c>
      <c r="BR62">
        <f>SUMIF(RawDataDead!$B:$B,$A62,RawDataDead!BU:BU)</f>
        <v>0</v>
      </c>
      <c r="BS62">
        <f>SUMIF(RawDataDead!$B:$B,$A62,RawDataDead!BV:BV)</f>
        <v>0</v>
      </c>
      <c r="BT62">
        <f>SUMIF(RawDataDead!$B:$B,$A62,RawDataDead!BW:BW)</f>
        <v>0</v>
      </c>
    </row>
    <row r="63" spans="1:72" ht="15" thickBot="1" x14ac:dyDescent="0.35">
      <c r="A63" s="3" t="s">
        <v>310</v>
      </c>
      <c r="B63">
        <f>SUMIF(RawDataDead!$B:$B,$A63,RawDataDead!E:E)</f>
        <v>0</v>
      </c>
      <c r="C63">
        <f>SUMIF(RawDataDead!$B:$B,$A63,RawDataDead!F:F)</f>
        <v>0</v>
      </c>
      <c r="D63">
        <f>SUMIF(RawDataDead!$B:$B,$A63,RawDataDead!G:G)</f>
        <v>0</v>
      </c>
      <c r="E63">
        <f>SUMIF(RawDataDead!$B:$B,$A63,RawDataDead!H:H)</f>
        <v>0</v>
      </c>
      <c r="F63">
        <f>SUMIF(RawDataDead!$B:$B,$A63,RawDataDead!I:I)</f>
        <v>0</v>
      </c>
      <c r="G63">
        <f>SUMIF(RawDataDead!$B:$B,$A63,RawDataDead!J:J)</f>
        <v>0</v>
      </c>
      <c r="H63">
        <f>SUMIF(RawDataDead!$B:$B,$A63,RawDataDead!K:K)</f>
        <v>0</v>
      </c>
      <c r="I63">
        <f>SUMIF(RawDataDead!$B:$B,$A63,RawDataDead!L:L)</f>
        <v>0</v>
      </c>
      <c r="J63">
        <f>SUMIF(RawDataDead!$B:$B,$A63,RawDataDead!M:M)</f>
        <v>0</v>
      </c>
      <c r="K63">
        <f>SUMIF(RawDataDead!$B:$B,$A63,RawDataDead!N:N)</f>
        <v>0</v>
      </c>
      <c r="L63">
        <f>SUMIF(RawDataDead!$B:$B,$A63,RawDataDead!O:O)</f>
        <v>0</v>
      </c>
      <c r="M63">
        <f>SUMIF(RawDataDead!$B:$B,$A63,RawDataDead!P:P)</f>
        <v>0</v>
      </c>
      <c r="N63">
        <f>SUMIF(RawDataDead!$B:$B,$A63,RawDataDead!Q:Q)</f>
        <v>0</v>
      </c>
      <c r="O63">
        <f>SUMIF(RawDataDead!$B:$B,$A63,RawDataDead!R:R)</f>
        <v>0</v>
      </c>
      <c r="P63">
        <f>SUMIF(RawDataDead!$B:$B,$A63,RawDataDead!S:S)</f>
        <v>0</v>
      </c>
      <c r="Q63">
        <f>SUMIF(RawDataDead!$B:$B,$A63,RawDataDead!T:T)</f>
        <v>0</v>
      </c>
      <c r="R63">
        <f>SUMIF(RawDataDead!$B:$B,$A63,RawDataDead!U:U)</f>
        <v>0</v>
      </c>
      <c r="S63">
        <f>SUMIF(RawDataDead!$B:$B,$A63,RawDataDead!V:V)</f>
        <v>0</v>
      </c>
      <c r="T63">
        <f>SUMIF(RawDataDead!$B:$B,$A63,RawDataDead!W:W)</f>
        <v>0</v>
      </c>
      <c r="U63">
        <f>SUMIF(RawDataDead!$B:$B,$A63,RawDataDead!X:X)</f>
        <v>0</v>
      </c>
      <c r="V63">
        <f>SUMIF(RawDataDead!$B:$B,$A63,RawDataDead!Y:Y)</f>
        <v>0</v>
      </c>
      <c r="W63">
        <f>SUMIF(RawDataDead!$B:$B,$A63,RawDataDead!Z:Z)</f>
        <v>0</v>
      </c>
      <c r="X63">
        <f>SUMIF(RawDataDead!$B:$B,$A63,RawDataDead!AA:AA)</f>
        <v>0</v>
      </c>
      <c r="Y63">
        <f>SUMIF(RawDataDead!$B:$B,$A63,RawDataDead!AB:AB)</f>
        <v>0</v>
      </c>
      <c r="Z63">
        <f>SUMIF(RawDataDead!$B:$B,$A63,RawDataDead!AC:AC)</f>
        <v>0</v>
      </c>
      <c r="AA63">
        <f>SUMIF(RawDataDead!$B:$B,$A63,RawDataDead!AD:AD)</f>
        <v>0</v>
      </c>
      <c r="AB63">
        <f>SUMIF(RawDataDead!$B:$B,$A63,RawDataDead!AE:AE)</f>
        <v>0</v>
      </c>
      <c r="AC63">
        <f>SUMIF(RawDataDead!$B:$B,$A63,RawDataDead!AF:AF)</f>
        <v>0</v>
      </c>
      <c r="AD63">
        <f>SUMIF(RawDataDead!$B:$B,$A63,RawDataDead!AG:AG)</f>
        <v>0</v>
      </c>
      <c r="AE63">
        <f>SUMIF(RawDataDead!$B:$B,$A63,RawDataDead!AH:AH)</f>
        <v>0</v>
      </c>
      <c r="AF63">
        <f>SUMIF(RawDataDead!$B:$B,$A63,RawDataDead!AI:AI)</f>
        <v>0</v>
      </c>
      <c r="AG63">
        <f>SUMIF(RawDataDead!$B:$B,$A63,RawDataDead!AJ:AJ)</f>
        <v>0</v>
      </c>
      <c r="AH63">
        <f>SUMIF(RawDataDead!$B:$B,$A63,RawDataDead!AK:AK)</f>
        <v>0</v>
      </c>
      <c r="AI63">
        <f>SUMIF(RawDataDead!$B:$B,$A63,RawDataDead!AL:AL)</f>
        <v>0</v>
      </c>
      <c r="AJ63">
        <f>SUMIF(RawDataDead!$B:$B,$A63,RawDataDead!AM:AM)</f>
        <v>0</v>
      </c>
      <c r="AK63">
        <f>SUMIF(RawDataDead!$B:$B,$A63,RawDataDead!AN:AN)</f>
        <v>0</v>
      </c>
      <c r="AL63">
        <f>SUMIF(RawDataDead!$B:$B,$A63,RawDataDead!AO:AO)</f>
        <v>0</v>
      </c>
      <c r="AM63">
        <f>SUMIF(RawDataDead!$B:$B,$A63,RawDataDead!AP:AP)</f>
        <v>0</v>
      </c>
      <c r="AN63">
        <f>SUMIF(RawDataDead!$B:$B,$A63,RawDataDead!AQ:AQ)</f>
        <v>0</v>
      </c>
      <c r="AO63">
        <f>SUMIF(RawDataDead!$B:$B,$A63,RawDataDead!AR:AR)</f>
        <v>0</v>
      </c>
      <c r="AP63">
        <f>SUMIF(RawDataDead!$B:$B,$A63,RawDataDead!AS:AS)</f>
        <v>0</v>
      </c>
      <c r="AQ63">
        <f>SUMIF(RawDataDead!$B:$B,$A63,RawDataDead!AT:AT)</f>
        <v>0</v>
      </c>
      <c r="AR63">
        <f>SUMIF(RawDataDead!$B:$B,$A63,RawDataDead!AU:AU)</f>
        <v>0</v>
      </c>
      <c r="AS63">
        <f>SUMIF(RawDataDead!$B:$B,$A63,RawDataDead!AV:AV)</f>
        <v>0</v>
      </c>
      <c r="AT63">
        <f>SUMIF(RawDataDead!$B:$B,$A63,RawDataDead!AW:AW)</f>
        <v>0</v>
      </c>
      <c r="AU63">
        <f>SUMIF(RawDataDead!$B:$B,$A63,RawDataDead!AX:AX)</f>
        <v>0</v>
      </c>
      <c r="AV63">
        <f>SUMIF(RawDataDead!$B:$B,$A63,RawDataDead!AY:AY)</f>
        <v>0</v>
      </c>
      <c r="AW63">
        <f>SUMIF(RawDataDead!$B:$B,$A63,RawDataDead!AZ:AZ)</f>
        <v>0</v>
      </c>
      <c r="AX63">
        <f>SUMIF(RawDataDead!$B:$B,$A63,RawDataDead!BA:BA)</f>
        <v>0</v>
      </c>
      <c r="AY63">
        <f>SUMIF(RawDataDead!$B:$B,$A63,RawDataDead!BB:BB)</f>
        <v>1</v>
      </c>
      <c r="AZ63">
        <f>SUMIF(RawDataDead!$B:$B,$A63,RawDataDead!BC:BC)</f>
        <v>1</v>
      </c>
      <c r="BA63">
        <f>SUMIF(RawDataDead!$B:$B,$A63,RawDataDead!BD:BD)</f>
        <v>1</v>
      </c>
      <c r="BB63">
        <f>SUMIF(RawDataDead!$B:$B,$A63,RawDataDead!BE:BE)</f>
        <v>1</v>
      </c>
      <c r="BC63">
        <f>SUMIF(RawDataDead!$B:$B,$A63,RawDataDead!BF:BF)</f>
        <v>1</v>
      </c>
      <c r="BD63">
        <f>SUMIF(RawDataDead!$B:$B,$A63,RawDataDead!BG:BG)</f>
        <v>1</v>
      </c>
      <c r="BE63">
        <f>SUMIF(RawDataDead!$B:$B,$A63,RawDataDead!BH:BH)</f>
        <v>1</v>
      </c>
      <c r="BF63">
        <f>SUMIF(RawDataDead!$B:$B,$A63,RawDataDead!BI:BI)</f>
        <v>0</v>
      </c>
      <c r="BG63">
        <f>SUMIF(RawDataDead!$B:$B,$A63,RawDataDead!BJ:BJ)</f>
        <v>0</v>
      </c>
      <c r="BH63">
        <f>SUMIF(RawDataDead!$B:$B,$A63,RawDataDead!BK:BK)</f>
        <v>0</v>
      </c>
      <c r="BI63">
        <f>SUMIF(RawDataDead!$B:$B,$A63,RawDataDead!BL:BL)</f>
        <v>0</v>
      </c>
      <c r="BJ63">
        <f>SUMIF(RawDataDead!$B:$B,$A63,RawDataDead!BM:BM)</f>
        <v>0</v>
      </c>
      <c r="BK63">
        <f>SUMIF(RawDataDead!$B:$B,$A63,RawDataDead!BN:BN)</f>
        <v>0</v>
      </c>
      <c r="BL63">
        <f>SUMIF(RawDataDead!$B:$B,$A63,RawDataDead!BO:BO)</f>
        <v>0</v>
      </c>
      <c r="BM63">
        <f>SUMIF(RawDataDead!$B:$B,$A63,RawDataDead!BP:BP)</f>
        <v>0</v>
      </c>
      <c r="BN63">
        <f>SUMIF(RawDataDead!$B:$B,$A63,RawDataDead!BQ:BQ)</f>
        <v>0</v>
      </c>
      <c r="BO63">
        <f>SUMIF(RawDataDead!$B:$B,$A63,RawDataDead!BR:BR)</f>
        <v>0</v>
      </c>
      <c r="BP63">
        <f>SUMIF(RawDataDead!$B:$B,$A63,RawDataDead!BS:BS)</f>
        <v>0</v>
      </c>
      <c r="BQ63">
        <f>SUMIF(RawDataDead!$B:$B,$A63,RawDataDead!BT:BT)</f>
        <v>0</v>
      </c>
      <c r="BR63">
        <f>SUMIF(RawDataDead!$B:$B,$A63,RawDataDead!BU:BU)</f>
        <v>0</v>
      </c>
      <c r="BS63">
        <f>SUMIF(RawDataDead!$B:$B,$A63,RawDataDead!BV:BV)</f>
        <v>0</v>
      </c>
      <c r="BT63">
        <f>SUMIF(RawDataDead!$B:$B,$A63,RawDataDead!BW:BW)</f>
        <v>0</v>
      </c>
    </row>
    <row r="64" spans="1:72" ht="15" thickBot="1" x14ac:dyDescent="0.35">
      <c r="A64" s="4" t="s">
        <v>102</v>
      </c>
      <c r="B64">
        <f>SUMIF(RawDataDead!$B:$B,$A64,RawDataDead!E:E)</f>
        <v>0</v>
      </c>
      <c r="C64">
        <f>SUMIF(RawDataDead!$B:$B,$A64,RawDataDead!F:F)</f>
        <v>0</v>
      </c>
      <c r="D64">
        <f>SUMIF(RawDataDead!$B:$B,$A64,RawDataDead!G:G)</f>
        <v>0</v>
      </c>
      <c r="E64">
        <f>SUMIF(RawDataDead!$B:$B,$A64,RawDataDead!H:H)</f>
        <v>0</v>
      </c>
      <c r="F64">
        <f>SUMIF(RawDataDead!$B:$B,$A64,RawDataDead!I:I)</f>
        <v>0</v>
      </c>
      <c r="G64">
        <f>SUMIF(RawDataDead!$B:$B,$A64,RawDataDead!J:J)</f>
        <v>0</v>
      </c>
      <c r="H64">
        <f>SUMIF(RawDataDead!$B:$B,$A64,RawDataDead!K:K)</f>
        <v>0</v>
      </c>
      <c r="I64">
        <f>SUMIF(RawDataDead!$B:$B,$A64,RawDataDead!L:L)</f>
        <v>0</v>
      </c>
      <c r="J64">
        <f>SUMIF(RawDataDead!$B:$B,$A64,RawDataDead!M:M)</f>
        <v>0</v>
      </c>
      <c r="K64">
        <f>SUMIF(RawDataDead!$B:$B,$A64,RawDataDead!N:N)</f>
        <v>0</v>
      </c>
      <c r="L64">
        <f>SUMIF(RawDataDead!$B:$B,$A64,RawDataDead!O:O)</f>
        <v>0</v>
      </c>
      <c r="M64">
        <f>SUMIF(RawDataDead!$B:$B,$A64,RawDataDead!P:P)</f>
        <v>0</v>
      </c>
      <c r="N64">
        <f>SUMIF(RawDataDead!$B:$B,$A64,RawDataDead!Q:Q)</f>
        <v>0</v>
      </c>
      <c r="O64">
        <f>SUMIF(RawDataDead!$B:$B,$A64,RawDataDead!R:R)</f>
        <v>0</v>
      </c>
      <c r="P64">
        <f>SUMIF(RawDataDead!$B:$B,$A64,RawDataDead!S:S)</f>
        <v>0</v>
      </c>
      <c r="Q64">
        <f>SUMIF(RawDataDead!$B:$B,$A64,RawDataDead!T:T)</f>
        <v>0</v>
      </c>
      <c r="R64">
        <f>SUMIF(RawDataDead!$B:$B,$A64,RawDataDead!U:U)</f>
        <v>0</v>
      </c>
      <c r="S64">
        <f>SUMIF(RawDataDead!$B:$B,$A64,RawDataDead!V:V)</f>
        <v>0</v>
      </c>
      <c r="T64">
        <f>SUMIF(RawDataDead!$B:$B,$A64,RawDataDead!W:W)</f>
        <v>0</v>
      </c>
      <c r="U64">
        <f>SUMIF(RawDataDead!$B:$B,$A64,RawDataDead!X:X)</f>
        <v>0</v>
      </c>
      <c r="V64">
        <f>SUMIF(RawDataDead!$B:$B,$A64,RawDataDead!Y:Y)</f>
        <v>0</v>
      </c>
      <c r="W64">
        <f>SUMIF(RawDataDead!$B:$B,$A64,RawDataDead!Z:Z)</f>
        <v>0</v>
      </c>
      <c r="X64">
        <f>SUMIF(RawDataDead!$B:$B,$A64,RawDataDead!AA:AA)</f>
        <v>0</v>
      </c>
      <c r="Y64">
        <f>SUMIF(RawDataDead!$B:$B,$A64,RawDataDead!AB:AB)</f>
        <v>0</v>
      </c>
      <c r="Z64">
        <f>SUMIF(RawDataDead!$B:$B,$A64,RawDataDead!AC:AC)</f>
        <v>0</v>
      </c>
      <c r="AA64">
        <f>SUMIF(RawDataDead!$B:$B,$A64,RawDataDead!AD:AD)</f>
        <v>0</v>
      </c>
      <c r="AB64">
        <f>SUMIF(RawDataDead!$B:$B,$A64,RawDataDead!AE:AE)</f>
        <v>0</v>
      </c>
      <c r="AC64">
        <f>SUMIF(RawDataDead!$B:$B,$A64,RawDataDead!AF:AF)</f>
        <v>0</v>
      </c>
      <c r="AD64">
        <f>SUMIF(RawDataDead!$B:$B,$A64,RawDataDead!AG:AG)</f>
        <v>0</v>
      </c>
      <c r="AE64">
        <f>SUMIF(RawDataDead!$B:$B,$A64,RawDataDead!AH:AH)</f>
        <v>0</v>
      </c>
      <c r="AF64">
        <f>SUMIF(RawDataDead!$B:$B,$A64,RawDataDead!AI:AI)</f>
        <v>0</v>
      </c>
      <c r="AG64">
        <f>SUMIF(RawDataDead!$B:$B,$A64,RawDataDead!AJ:AJ)</f>
        <v>0</v>
      </c>
      <c r="AH64">
        <f>SUMIF(RawDataDead!$B:$B,$A64,RawDataDead!AK:AK)</f>
        <v>0</v>
      </c>
      <c r="AI64">
        <f>SUMIF(RawDataDead!$B:$B,$A64,RawDataDead!AL:AL)</f>
        <v>0</v>
      </c>
      <c r="AJ64">
        <f>SUMIF(RawDataDead!$B:$B,$A64,RawDataDead!AM:AM)</f>
        <v>0</v>
      </c>
      <c r="AK64">
        <f>SUMIF(RawDataDead!$B:$B,$A64,RawDataDead!AN:AN)</f>
        <v>0</v>
      </c>
      <c r="AL64">
        <f>SUMIF(RawDataDead!$B:$B,$A64,RawDataDead!AO:AO)</f>
        <v>0</v>
      </c>
      <c r="AM64">
        <f>SUMIF(RawDataDead!$B:$B,$A64,RawDataDead!AP:AP)</f>
        <v>0</v>
      </c>
      <c r="AN64">
        <f>SUMIF(RawDataDead!$B:$B,$A64,RawDataDead!AQ:AQ)</f>
        <v>0</v>
      </c>
      <c r="AO64">
        <f>SUMIF(RawDataDead!$B:$B,$A64,RawDataDead!AR:AR)</f>
        <v>0</v>
      </c>
      <c r="AP64">
        <f>SUMIF(RawDataDead!$B:$B,$A64,RawDataDead!AS:AS)</f>
        <v>0</v>
      </c>
      <c r="AQ64">
        <f>SUMIF(RawDataDead!$B:$B,$A64,RawDataDead!AT:AT)</f>
        <v>0</v>
      </c>
      <c r="AR64">
        <f>SUMIF(RawDataDead!$B:$B,$A64,RawDataDead!AU:AU)</f>
        <v>0</v>
      </c>
      <c r="AS64">
        <f>SUMIF(RawDataDead!$B:$B,$A64,RawDataDead!AV:AV)</f>
        <v>0</v>
      </c>
      <c r="AT64">
        <f>SUMIF(RawDataDead!$B:$B,$A64,RawDataDead!AW:AW)</f>
        <v>0</v>
      </c>
      <c r="AU64">
        <f>SUMIF(RawDataDead!$B:$B,$A64,RawDataDead!AX:AX)</f>
        <v>0</v>
      </c>
      <c r="AV64">
        <f>SUMIF(RawDataDead!$B:$B,$A64,RawDataDead!AY:AY)</f>
        <v>0</v>
      </c>
      <c r="AW64">
        <f>SUMIF(RawDataDead!$B:$B,$A64,RawDataDead!AZ:AZ)</f>
        <v>0</v>
      </c>
      <c r="AX64">
        <f>SUMIF(RawDataDead!$B:$B,$A64,RawDataDead!BA:BA)</f>
        <v>0</v>
      </c>
      <c r="AY64">
        <f>SUMIF(RawDataDead!$B:$B,$A64,RawDataDead!BB:BB)</f>
        <v>0</v>
      </c>
      <c r="AZ64">
        <f>SUMIF(RawDataDead!$B:$B,$A64,RawDataDead!BC:BC)</f>
        <v>1</v>
      </c>
      <c r="BA64">
        <f>SUMIF(RawDataDead!$B:$B,$A64,RawDataDead!BD:BD)</f>
        <v>2</v>
      </c>
      <c r="BB64">
        <f>SUMIF(RawDataDead!$B:$B,$A64,RawDataDead!BE:BE)</f>
        <v>3</v>
      </c>
      <c r="BC64">
        <f>SUMIF(RawDataDead!$B:$B,$A64,RawDataDead!BF:BF)</f>
        <v>4</v>
      </c>
      <c r="BD64">
        <f>SUMIF(RawDataDead!$B:$B,$A64,RawDataDead!BG:BG)</f>
        <v>4</v>
      </c>
      <c r="BE64">
        <f>SUMIF(RawDataDead!$B:$B,$A64,RawDataDead!BH:BH)</f>
        <v>4</v>
      </c>
      <c r="BF64">
        <f>SUMIF(RawDataDead!$B:$B,$A64,RawDataDead!BI:BI)</f>
        <v>0</v>
      </c>
      <c r="BG64">
        <f>SUMIF(RawDataDead!$B:$B,$A64,RawDataDead!BJ:BJ)</f>
        <v>0</v>
      </c>
      <c r="BH64">
        <f>SUMIF(RawDataDead!$B:$B,$A64,RawDataDead!BK:BK)</f>
        <v>0</v>
      </c>
      <c r="BI64">
        <f>SUMIF(RawDataDead!$B:$B,$A64,RawDataDead!BL:BL)</f>
        <v>0</v>
      </c>
      <c r="BJ64">
        <f>SUMIF(RawDataDead!$B:$B,$A64,RawDataDead!BM:BM)</f>
        <v>0</v>
      </c>
      <c r="BK64">
        <f>SUMIF(RawDataDead!$B:$B,$A64,RawDataDead!BN:BN)</f>
        <v>0</v>
      </c>
      <c r="BL64">
        <f>SUMIF(RawDataDead!$B:$B,$A64,RawDataDead!BO:BO)</f>
        <v>0</v>
      </c>
      <c r="BM64">
        <f>SUMIF(RawDataDead!$B:$B,$A64,RawDataDead!BP:BP)</f>
        <v>0</v>
      </c>
      <c r="BN64">
        <f>SUMIF(RawDataDead!$B:$B,$A64,RawDataDead!BQ:BQ)</f>
        <v>0</v>
      </c>
      <c r="BO64">
        <f>SUMIF(RawDataDead!$B:$B,$A64,RawDataDead!BR:BR)</f>
        <v>0</v>
      </c>
      <c r="BP64">
        <f>SUMIF(RawDataDead!$B:$B,$A64,RawDataDead!BS:BS)</f>
        <v>0</v>
      </c>
      <c r="BQ64">
        <f>SUMIF(RawDataDead!$B:$B,$A64,RawDataDead!BT:BT)</f>
        <v>0</v>
      </c>
      <c r="BR64">
        <f>SUMIF(RawDataDead!$B:$B,$A64,RawDataDead!BU:BU)</f>
        <v>0</v>
      </c>
      <c r="BS64">
        <f>SUMIF(RawDataDead!$B:$B,$A64,RawDataDead!BV:BV)</f>
        <v>0</v>
      </c>
      <c r="BT64">
        <f>SUMIF(RawDataDead!$B:$B,$A64,RawDataDead!BW:BW)</f>
        <v>0</v>
      </c>
    </row>
    <row r="65" spans="1:72" ht="15" thickBot="1" x14ac:dyDescent="0.35">
      <c r="A65" s="3" t="s">
        <v>109</v>
      </c>
      <c r="B65">
        <f>SUMIF(RawDataDead!$B:$B,$A65,RawDataDead!E:E)</f>
        <v>0</v>
      </c>
      <c r="C65">
        <f>SUMIF(RawDataDead!$B:$B,$A65,RawDataDead!F:F)</f>
        <v>0</v>
      </c>
      <c r="D65">
        <f>SUMIF(RawDataDead!$B:$B,$A65,RawDataDead!G:G)</f>
        <v>0</v>
      </c>
      <c r="E65">
        <f>SUMIF(RawDataDead!$B:$B,$A65,RawDataDead!H:H)</f>
        <v>0</v>
      </c>
      <c r="F65">
        <f>SUMIF(RawDataDead!$B:$B,$A65,RawDataDead!I:I)</f>
        <v>0</v>
      </c>
      <c r="G65">
        <f>SUMIF(RawDataDead!$B:$B,$A65,RawDataDead!J:J)</f>
        <v>0</v>
      </c>
      <c r="H65">
        <f>SUMIF(RawDataDead!$B:$B,$A65,RawDataDead!K:K)</f>
        <v>0</v>
      </c>
      <c r="I65">
        <f>SUMIF(RawDataDead!$B:$B,$A65,RawDataDead!L:L)</f>
        <v>0</v>
      </c>
      <c r="J65">
        <f>SUMIF(RawDataDead!$B:$B,$A65,RawDataDead!M:M)</f>
        <v>0</v>
      </c>
      <c r="K65">
        <f>SUMIF(RawDataDead!$B:$B,$A65,RawDataDead!N:N)</f>
        <v>0</v>
      </c>
      <c r="L65">
        <f>SUMIF(RawDataDead!$B:$B,$A65,RawDataDead!O:O)</f>
        <v>0</v>
      </c>
      <c r="M65">
        <f>SUMIF(RawDataDead!$B:$B,$A65,RawDataDead!P:P)</f>
        <v>0</v>
      </c>
      <c r="N65">
        <f>SUMIF(RawDataDead!$B:$B,$A65,RawDataDead!Q:Q)</f>
        <v>0</v>
      </c>
      <c r="O65">
        <f>SUMIF(RawDataDead!$B:$B,$A65,RawDataDead!R:R)</f>
        <v>0</v>
      </c>
      <c r="P65">
        <f>SUMIF(RawDataDead!$B:$B,$A65,RawDataDead!S:S)</f>
        <v>0</v>
      </c>
      <c r="Q65">
        <f>SUMIF(RawDataDead!$B:$B,$A65,RawDataDead!T:T)</f>
        <v>0</v>
      </c>
      <c r="R65">
        <f>SUMIF(RawDataDead!$B:$B,$A65,RawDataDead!U:U)</f>
        <v>0</v>
      </c>
      <c r="S65">
        <f>SUMIF(RawDataDead!$B:$B,$A65,RawDataDead!V:V)</f>
        <v>0</v>
      </c>
      <c r="T65">
        <f>SUMIF(RawDataDead!$B:$B,$A65,RawDataDead!W:W)</f>
        <v>0</v>
      </c>
      <c r="U65">
        <f>SUMIF(RawDataDead!$B:$B,$A65,RawDataDead!X:X)</f>
        <v>0</v>
      </c>
      <c r="V65">
        <f>SUMIF(RawDataDead!$B:$B,$A65,RawDataDead!Y:Y)</f>
        <v>0</v>
      </c>
      <c r="W65">
        <f>SUMIF(RawDataDead!$B:$B,$A65,RawDataDead!Z:Z)</f>
        <v>0</v>
      </c>
      <c r="X65">
        <f>SUMIF(RawDataDead!$B:$B,$A65,RawDataDead!AA:AA)</f>
        <v>0</v>
      </c>
      <c r="Y65">
        <f>SUMIF(RawDataDead!$B:$B,$A65,RawDataDead!AB:AB)</f>
        <v>0</v>
      </c>
      <c r="Z65">
        <f>SUMIF(RawDataDead!$B:$B,$A65,RawDataDead!AC:AC)</f>
        <v>0</v>
      </c>
      <c r="AA65">
        <f>SUMIF(RawDataDead!$B:$B,$A65,RawDataDead!AD:AD)</f>
        <v>0</v>
      </c>
      <c r="AB65">
        <f>SUMIF(RawDataDead!$B:$B,$A65,RawDataDead!AE:AE)</f>
        <v>0</v>
      </c>
      <c r="AC65">
        <f>SUMIF(RawDataDead!$B:$B,$A65,RawDataDead!AF:AF)</f>
        <v>0</v>
      </c>
      <c r="AD65">
        <f>SUMIF(RawDataDead!$B:$B,$A65,RawDataDead!AG:AG)</f>
        <v>0</v>
      </c>
      <c r="AE65">
        <f>SUMIF(RawDataDead!$B:$B,$A65,RawDataDead!AH:AH)</f>
        <v>0</v>
      </c>
      <c r="AF65">
        <f>SUMIF(RawDataDead!$B:$B,$A65,RawDataDead!AI:AI)</f>
        <v>0</v>
      </c>
      <c r="AG65">
        <f>SUMIF(RawDataDead!$B:$B,$A65,RawDataDead!AJ:AJ)</f>
        <v>0</v>
      </c>
      <c r="AH65">
        <f>SUMIF(RawDataDead!$B:$B,$A65,RawDataDead!AK:AK)</f>
        <v>0</v>
      </c>
      <c r="AI65">
        <f>SUMIF(RawDataDead!$B:$B,$A65,RawDataDead!AL:AL)</f>
        <v>0</v>
      </c>
      <c r="AJ65">
        <f>SUMIF(RawDataDead!$B:$B,$A65,RawDataDead!AM:AM)</f>
        <v>0</v>
      </c>
      <c r="AK65">
        <f>SUMIF(RawDataDead!$B:$B,$A65,RawDataDead!AN:AN)</f>
        <v>0</v>
      </c>
      <c r="AL65">
        <f>SUMIF(RawDataDead!$B:$B,$A65,RawDataDead!AO:AO)</f>
        <v>0</v>
      </c>
      <c r="AM65">
        <f>SUMIF(RawDataDead!$B:$B,$A65,RawDataDead!AP:AP)</f>
        <v>0</v>
      </c>
      <c r="AN65">
        <f>SUMIF(RawDataDead!$B:$B,$A65,RawDataDead!AQ:AQ)</f>
        <v>0</v>
      </c>
      <c r="AO65">
        <f>SUMIF(RawDataDead!$B:$B,$A65,RawDataDead!AR:AR)</f>
        <v>0</v>
      </c>
      <c r="AP65">
        <f>SUMIF(RawDataDead!$B:$B,$A65,RawDataDead!AS:AS)</f>
        <v>0</v>
      </c>
      <c r="AQ65">
        <f>SUMIF(RawDataDead!$B:$B,$A65,RawDataDead!AT:AT)</f>
        <v>0</v>
      </c>
      <c r="AR65">
        <f>SUMIF(RawDataDead!$B:$B,$A65,RawDataDead!AU:AU)</f>
        <v>0</v>
      </c>
      <c r="AS65">
        <f>SUMIF(RawDataDead!$B:$B,$A65,RawDataDead!AV:AV)</f>
        <v>0</v>
      </c>
      <c r="AT65">
        <f>SUMIF(RawDataDead!$B:$B,$A65,RawDataDead!AW:AW)</f>
        <v>0</v>
      </c>
      <c r="AU65">
        <f>SUMIF(RawDataDead!$B:$B,$A65,RawDataDead!AX:AX)</f>
        <v>0</v>
      </c>
      <c r="AV65">
        <f>SUMIF(RawDataDead!$B:$B,$A65,RawDataDead!AY:AY)</f>
        <v>0</v>
      </c>
      <c r="AW65">
        <f>SUMIF(RawDataDead!$B:$B,$A65,RawDataDead!AZ:AZ)</f>
        <v>0</v>
      </c>
      <c r="AX65">
        <f>SUMIF(RawDataDead!$B:$B,$A65,RawDataDead!BA:BA)</f>
        <v>0</v>
      </c>
      <c r="AY65">
        <f>SUMIF(RawDataDead!$B:$B,$A65,RawDataDead!BB:BB)</f>
        <v>0</v>
      </c>
      <c r="AZ65">
        <f>SUMIF(RawDataDead!$B:$B,$A65,RawDataDead!BC:BC)</f>
        <v>0</v>
      </c>
      <c r="BA65">
        <f>SUMIF(RawDataDead!$B:$B,$A65,RawDataDead!BD:BD)</f>
        <v>0</v>
      </c>
      <c r="BB65">
        <f>SUMIF(RawDataDead!$B:$B,$A65,RawDataDead!BE:BE)</f>
        <v>0</v>
      </c>
      <c r="BC65">
        <f>SUMIF(RawDataDead!$B:$B,$A65,RawDataDead!BF:BF)</f>
        <v>0</v>
      </c>
      <c r="BD65">
        <f>SUMIF(RawDataDead!$B:$B,$A65,RawDataDead!BG:BG)</f>
        <v>0</v>
      </c>
      <c r="BE65">
        <f>SUMIF(RawDataDead!$B:$B,$A65,RawDataDead!BH:BH)</f>
        <v>0</v>
      </c>
      <c r="BF65">
        <f>SUMIF(RawDataDead!$B:$B,$A65,RawDataDead!BI:BI)</f>
        <v>0</v>
      </c>
      <c r="BG65">
        <f>SUMIF(RawDataDead!$B:$B,$A65,RawDataDead!BJ:BJ)</f>
        <v>0</v>
      </c>
      <c r="BH65">
        <f>SUMIF(RawDataDead!$B:$B,$A65,RawDataDead!BK:BK)</f>
        <v>0</v>
      </c>
      <c r="BI65">
        <f>SUMIF(RawDataDead!$B:$B,$A65,RawDataDead!BL:BL)</f>
        <v>0</v>
      </c>
      <c r="BJ65">
        <f>SUMIF(RawDataDead!$B:$B,$A65,RawDataDead!BM:BM)</f>
        <v>0</v>
      </c>
      <c r="BK65">
        <f>SUMIF(RawDataDead!$B:$B,$A65,RawDataDead!BN:BN)</f>
        <v>0</v>
      </c>
      <c r="BL65">
        <f>SUMIF(RawDataDead!$B:$B,$A65,RawDataDead!BO:BO)</f>
        <v>0</v>
      </c>
      <c r="BM65">
        <f>SUMIF(RawDataDead!$B:$B,$A65,RawDataDead!BP:BP)</f>
        <v>0</v>
      </c>
      <c r="BN65">
        <f>SUMIF(RawDataDead!$B:$B,$A65,RawDataDead!BQ:BQ)</f>
        <v>0</v>
      </c>
      <c r="BO65">
        <f>SUMIF(RawDataDead!$B:$B,$A65,RawDataDead!BR:BR)</f>
        <v>0</v>
      </c>
      <c r="BP65">
        <f>SUMIF(RawDataDead!$B:$B,$A65,RawDataDead!BS:BS)</f>
        <v>0</v>
      </c>
      <c r="BQ65">
        <f>SUMIF(RawDataDead!$B:$B,$A65,RawDataDead!BT:BT)</f>
        <v>0</v>
      </c>
      <c r="BR65">
        <f>SUMIF(RawDataDead!$B:$B,$A65,RawDataDead!BU:BU)</f>
        <v>0</v>
      </c>
      <c r="BS65">
        <f>SUMIF(RawDataDead!$B:$B,$A65,RawDataDead!BV:BV)</f>
        <v>0</v>
      </c>
      <c r="BT65">
        <f>SUMIF(RawDataDead!$B:$B,$A65,RawDataDead!BW:BW)</f>
        <v>0</v>
      </c>
    </row>
    <row r="66" spans="1:72" ht="15" thickBot="1" x14ac:dyDescent="0.35">
      <c r="A66" s="3" t="s">
        <v>172</v>
      </c>
      <c r="B66">
        <f>SUMIF(RawDataDead!$B:$B,$A66,RawDataDead!E:E)</f>
        <v>0</v>
      </c>
      <c r="C66">
        <f>SUMIF(RawDataDead!$B:$B,$A66,RawDataDead!F:F)</f>
        <v>0</v>
      </c>
      <c r="D66">
        <f>SUMIF(RawDataDead!$B:$B,$A66,RawDataDead!G:G)</f>
        <v>0</v>
      </c>
      <c r="E66">
        <f>SUMIF(RawDataDead!$B:$B,$A66,RawDataDead!H:H)</f>
        <v>0</v>
      </c>
      <c r="F66">
        <f>SUMIF(RawDataDead!$B:$B,$A66,RawDataDead!I:I)</f>
        <v>0</v>
      </c>
      <c r="G66">
        <f>SUMIF(RawDataDead!$B:$B,$A66,RawDataDead!J:J)</f>
        <v>0</v>
      </c>
      <c r="H66">
        <f>SUMIF(RawDataDead!$B:$B,$A66,RawDataDead!K:K)</f>
        <v>0</v>
      </c>
      <c r="I66">
        <f>SUMIF(RawDataDead!$B:$B,$A66,RawDataDead!L:L)</f>
        <v>0</v>
      </c>
      <c r="J66">
        <f>SUMIF(RawDataDead!$B:$B,$A66,RawDataDead!M:M)</f>
        <v>0</v>
      </c>
      <c r="K66">
        <f>SUMIF(RawDataDead!$B:$B,$A66,RawDataDead!N:N)</f>
        <v>0</v>
      </c>
      <c r="L66">
        <f>SUMIF(RawDataDead!$B:$B,$A66,RawDataDead!O:O)</f>
        <v>0</v>
      </c>
      <c r="M66">
        <f>SUMIF(RawDataDead!$B:$B,$A66,RawDataDead!P:P)</f>
        <v>0</v>
      </c>
      <c r="N66">
        <f>SUMIF(RawDataDead!$B:$B,$A66,RawDataDead!Q:Q)</f>
        <v>0</v>
      </c>
      <c r="O66">
        <f>SUMIF(RawDataDead!$B:$B,$A66,RawDataDead!R:R)</f>
        <v>0</v>
      </c>
      <c r="P66">
        <f>SUMIF(RawDataDead!$B:$B,$A66,RawDataDead!S:S)</f>
        <v>0</v>
      </c>
      <c r="Q66">
        <f>SUMIF(RawDataDead!$B:$B,$A66,RawDataDead!T:T)</f>
        <v>0</v>
      </c>
      <c r="R66">
        <f>SUMIF(RawDataDead!$B:$B,$A66,RawDataDead!U:U)</f>
        <v>0</v>
      </c>
      <c r="S66">
        <f>SUMIF(RawDataDead!$B:$B,$A66,RawDataDead!V:V)</f>
        <v>0</v>
      </c>
      <c r="T66">
        <f>SUMIF(RawDataDead!$B:$B,$A66,RawDataDead!W:W)</f>
        <v>0</v>
      </c>
      <c r="U66">
        <f>SUMIF(RawDataDead!$B:$B,$A66,RawDataDead!X:X)</f>
        <v>0</v>
      </c>
      <c r="V66">
        <f>SUMIF(RawDataDead!$B:$B,$A66,RawDataDead!Y:Y)</f>
        <v>0</v>
      </c>
      <c r="W66">
        <f>SUMIF(RawDataDead!$B:$B,$A66,RawDataDead!Z:Z)</f>
        <v>0</v>
      </c>
      <c r="X66">
        <f>SUMIF(RawDataDead!$B:$B,$A66,RawDataDead!AA:AA)</f>
        <v>0</v>
      </c>
      <c r="Y66">
        <f>SUMIF(RawDataDead!$B:$B,$A66,RawDataDead!AB:AB)</f>
        <v>0</v>
      </c>
      <c r="Z66">
        <f>SUMIF(RawDataDead!$B:$B,$A66,RawDataDead!AC:AC)</f>
        <v>0</v>
      </c>
      <c r="AA66">
        <f>SUMIF(RawDataDead!$B:$B,$A66,RawDataDead!AD:AD)</f>
        <v>0</v>
      </c>
      <c r="AB66">
        <f>SUMIF(RawDataDead!$B:$B,$A66,RawDataDead!AE:AE)</f>
        <v>0</v>
      </c>
      <c r="AC66">
        <f>SUMIF(RawDataDead!$B:$B,$A66,RawDataDead!AF:AF)</f>
        <v>0</v>
      </c>
      <c r="AD66">
        <f>SUMIF(RawDataDead!$B:$B,$A66,RawDataDead!AG:AG)</f>
        <v>0</v>
      </c>
      <c r="AE66">
        <f>SUMIF(RawDataDead!$B:$B,$A66,RawDataDead!AH:AH)</f>
        <v>0</v>
      </c>
      <c r="AF66">
        <f>SUMIF(RawDataDead!$B:$B,$A66,RawDataDead!AI:AI)</f>
        <v>0</v>
      </c>
      <c r="AG66">
        <f>SUMIF(RawDataDead!$B:$B,$A66,RawDataDead!AJ:AJ)</f>
        <v>0</v>
      </c>
      <c r="AH66">
        <f>SUMIF(RawDataDead!$B:$B,$A66,RawDataDead!AK:AK)</f>
        <v>0</v>
      </c>
      <c r="AI66">
        <f>SUMIF(RawDataDead!$B:$B,$A66,RawDataDead!AL:AL)</f>
        <v>0</v>
      </c>
      <c r="AJ66">
        <f>SUMIF(RawDataDead!$B:$B,$A66,RawDataDead!AM:AM)</f>
        <v>0</v>
      </c>
      <c r="AK66">
        <f>SUMIF(RawDataDead!$B:$B,$A66,RawDataDead!AN:AN)</f>
        <v>0</v>
      </c>
      <c r="AL66">
        <f>SUMIF(RawDataDead!$B:$B,$A66,RawDataDead!AO:AO)</f>
        <v>0</v>
      </c>
      <c r="AM66">
        <f>SUMIF(RawDataDead!$B:$B,$A66,RawDataDead!AP:AP)</f>
        <v>0</v>
      </c>
      <c r="AN66">
        <f>SUMIF(RawDataDead!$B:$B,$A66,RawDataDead!AQ:AQ)</f>
        <v>0</v>
      </c>
      <c r="AO66">
        <f>SUMIF(RawDataDead!$B:$B,$A66,RawDataDead!AR:AR)</f>
        <v>0</v>
      </c>
      <c r="AP66">
        <f>SUMIF(RawDataDead!$B:$B,$A66,RawDataDead!AS:AS)</f>
        <v>0</v>
      </c>
      <c r="AQ66">
        <f>SUMIF(RawDataDead!$B:$B,$A66,RawDataDead!AT:AT)</f>
        <v>0</v>
      </c>
      <c r="AR66">
        <f>SUMIF(RawDataDead!$B:$B,$A66,RawDataDead!AU:AU)</f>
        <v>0</v>
      </c>
      <c r="AS66">
        <f>SUMIF(RawDataDead!$B:$B,$A66,RawDataDead!AV:AV)</f>
        <v>0</v>
      </c>
      <c r="AT66">
        <f>SUMIF(RawDataDead!$B:$B,$A66,RawDataDead!AW:AW)</f>
        <v>0</v>
      </c>
      <c r="AU66">
        <f>SUMIF(RawDataDead!$B:$B,$A66,RawDataDead!AX:AX)</f>
        <v>0</v>
      </c>
      <c r="AV66">
        <f>SUMIF(RawDataDead!$B:$B,$A66,RawDataDead!AY:AY)</f>
        <v>0</v>
      </c>
      <c r="AW66">
        <f>SUMIF(RawDataDead!$B:$B,$A66,RawDataDead!AZ:AZ)</f>
        <v>0</v>
      </c>
      <c r="AX66">
        <f>SUMIF(RawDataDead!$B:$B,$A66,RawDataDead!BA:BA)</f>
        <v>0</v>
      </c>
      <c r="AY66">
        <f>SUMIF(RawDataDead!$B:$B,$A66,RawDataDead!BB:BB)</f>
        <v>0</v>
      </c>
      <c r="AZ66">
        <f>SUMIF(RawDataDead!$B:$B,$A66,RawDataDead!BC:BC)</f>
        <v>0</v>
      </c>
      <c r="BA66">
        <f>SUMIF(RawDataDead!$B:$B,$A66,RawDataDead!BD:BD)</f>
        <v>0</v>
      </c>
      <c r="BB66">
        <f>SUMIF(RawDataDead!$B:$B,$A66,RawDataDead!BE:BE)</f>
        <v>0</v>
      </c>
      <c r="BC66">
        <f>SUMIF(RawDataDead!$B:$B,$A66,RawDataDead!BF:BF)</f>
        <v>0</v>
      </c>
      <c r="BD66">
        <f>SUMIF(RawDataDead!$B:$B,$A66,RawDataDead!BG:BG)</f>
        <v>0</v>
      </c>
      <c r="BE66">
        <f>SUMIF(RawDataDead!$B:$B,$A66,RawDataDead!BH:BH)</f>
        <v>0</v>
      </c>
      <c r="BF66">
        <f>SUMIF(RawDataDead!$B:$B,$A66,RawDataDead!BI:BI)</f>
        <v>0</v>
      </c>
      <c r="BG66">
        <f>SUMIF(RawDataDead!$B:$B,$A66,RawDataDead!BJ:BJ)</f>
        <v>0</v>
      </c>
      <c r="BH66">
        <f>SUMIF(RawDataDead!$B:$B,$A66,RawDataDead!BK:BK)</f>
        <v>0</v>
      </c>
      <c r="BI66">
        <f>SUMIF(RawDataDead!$B:$B,$A66,RawDataDead!BL:BL)</f>
        <v>0</v>
      </c>
      <c r="BJ66">
        <f>SUMIF(RawDataDead!$B:$B,$A66,RawDataDead!BM:BM)</f>
        <v>0</v>
      </c>
      <c r="BK66">
        <f>SUMIF(RawDataDead!$B:$B,$A66,RawDataDead!BN:BN)</f>
        <v>0</v>
      </c>
      <c r="BL66">
        <f>SUMIF(RawDataDead!$B:$B,$A66,RawDataDead!BO:BO)</f>
        <v>0</v>
      </c>
      <c r="BM66">
        <f>SUMIF(RawDataDead!$B:$B,$A66,RawDataDead!BP:BP)</f>
        <v>0</v>
      </c>
      <c r="BN66">
        <f>SUMIF(RawDataDead!$B:$B,$A66,RawDataDead!BQ:BQ)</f>
        <v>0</v>
      </c>
      <c r="BO66">
        <f>SUMIF(RawDataDead!$B:$B,$A66,RawDataDead!BR:BR)</f>
        <v>0</v>
      </c>
      <c r="BP66">
        <f>SUMIF(RawDataDead!$B:$B,$A66,RawDataDead!BS:BS)</f>
        <v>0</v>
      </c>
      <c r="BQ66">
        <f>SUMIF(RawDataDead!$B:$B,$A66,RawDataDead!BT:BT)</f>
        <v>0</v>
      </c>
      <c r="BR66">
        <f>SUMIF(RawDataDead!$B:$B,$A66,RawDataDead!BU:BU)</f>
        <v>0</v>
      </c>
      <c r="BS66">
        <f>SUMIF(RawDataDead!$B:$B,$A66,RawDataDead!BV:BV)</f>
        <v>0</v>
      </c>
      <c r="BT66">
        <f>SUMIF(RawDataDead!$B:$B,$A66,RawDataDead!BW:BW)</f>
        <v>0</v>
      </c>
    </row>
    <row r="67" spans="1:72" ht="15" thickBot="1" x14ac:dyDescent="0.35">
      <c r="A67" s="3" t="s">
        <v>226</v>
      </c>
      <c r="B67">
        <f>SUMIF(RawDataDead!$B:$B,$A67,RawDataDead!E:E)</f>
        <v>0</v>
      </c>
      <c r="C67">
        <f>SUMIF(RawDataDead!$B:$B,$A67,RawDataDead!F:F)</f>
        <v>0</v>
      </c>
      <c r="D67">
        <f>SUMIF(RawDataDead!$B:$B,$A67,RawDataDead!G:G)</f>
        <v>0</v>
      </c>
      <c r="E67">
        <f>SUMIF(RawDataDead!$B:$B,$A67,RawDataDead!H:H)</f>
        <v>0</v>
      </c>
      <c r="F67">
        <f>SUMIF(RawDataDead!$B:$B,$A67,RawDataDead!I:I)</f>
        <v>0</v>
      </c>
      <c r="G67">
        <f>SUMIF(RawDataDead!$B:$B,$A67,RawDataDead!J:J)</f>
        <v>0</v>
      </c>
      <c r="H67">
        <f>SUMIF(RawDataDead!$B:$B,$A67,RawDataDead!K:K)</f>
        <v>0</v>
      </c>
      <c r="I67">
        <f>SUMIF(RawDataDead!$B:$B,$A67,RawDataDead!L:L)</f>
        <v>0</v>
      </c>
      <c r="J67">
        <f>SUMIF(RawDataDead!$B:$B,$A67,RawDataDead!M:M)</f>
        <v>0</v>
      </c>
      <c r="K67">
        <f>SUMIF(RawDataDead!$B:$B,$A67,RawDataDead!N:N)</f>
        <v>0</v>
      </c>
      <c r="L67">
        <f>SUMIF(RawDataDead!$B:$B,$A67,RawDataDead!O:O)</f>
        <v>0</v>
      </c>
      <c r="M67">
        <f>SUMIF(RawDataDead!$B:$B,$A67,RawDataDead!P:P)</f>
        <v>0</v>
      </c>
      <c r="N67">
        <f>SUMIF(RawDataDead!$B:$B,$A67,RawDataDead!Q:Q)</f>
        <v>0</v>
      </c>
      <c r="O67">
        <f>SUMIF(RawDataDead!$B:$B,$A67,RawDataDead!R:R)</f>
        <v>0</v>
      </c>
      <c r="P67">
        <f>SUMIF(RawDataDead!$B:$B,$A67,RawDataDead!S:S)</f>
        <v>0</v>
      </c>
      <c r="Q67">
        <f>SUMIF(RawDataDead!$B:$B,$A67,RawDataDead!T:T)</f>
        <v>0</v>
      </c>
      <c r="R67">
        <f>SUMIF(RawDataDead!$B:$B,$A67,RawDataDead!U:U)</f>
        <v>0</v>
      </c>
      <c r="S67">
        <f>SUMIF(RawDataDead!$B:$B,$A67,RawDataDead!V:V)</f>
        <v>0</v>
      </c>
      <c r="T67">
        <f>SUMIF(RawDataDead!$B:$B,$A67,RawDataDead!W:W)</f>
        <v>0</v>
      </c>
      <c r="U67">
        <f>SUMIF(RawDataDead!$B:$B,$A67,RawDataDead!X:X)</f>
        <v>0</v>
      </c>
      <c r="V67">
        <f>SUMIF(RawDataDead!$B:$B,$A67,RawDataDead!Y:Y)</f>
        <v>0</v>
      </c>
      <c r="W67">
        <f>SUMIF(RawDataDead!$B:$B,$A67,RawDataDead!Z:Z)</f>
        <v>0</v>
      </c>
      <c r="X67">
        <f>SUMIF(RawDataDead!$B:$B,$A67,RawDataDead!AA:AA)</f>
        <v>0</v>
      </c>
      <c r="Y67">
        <f>SUMIF(RawDataDead!$B:$B,$A67,RawDataDead!AB:AB)</f>
        <v>0</v>
      </c>
      <c r="Z67">
        <f>SUMIF(RawDataDead!$B:$B,$A67,RawDataDead!AC:AC)</f>
        <v>0</v>
      </c>
      <c r="AA67">
        <f>SUMIF(RawDataDead!$B:$B,$A67,RawDataDead!AD:AD)</f>
        <v>0</v>
      </c>
      <c r="AB67">
        <f>SUMIF(RawDataDead!$B:$B,$A67,RawDataDead!AE:AE)</f>
        <v>0</v>
      </c>
      <c r="AC67">
        <f>SUMIF(RawDataDead!$B:$B,$A67,RawDataDead!AF:AF)</f>
        <v>0</v>
      </c>
      <c r="AD67">
        <f>SUMIF(RawDataDead!$B:$B,$A67,RawDataDead!AG:AG)</f>
        <v>0</v>
      </c>
      <c r="AE67">
        <f>SUMIF(RawDataDead!$B:$B,$A67,RawDataDead!AH:AH)</f>
        <v>0</v>
      </c>
      <c r="AF67">
        <f>SUMIF(RawDataDead!$B:$B,$A67,RawDataDead!AI:AI)</f>
        <v>0</v>
      </c>
      <c r="AG67">
        <f>SUMIF(RawDataDead!$B:$B,$A67,RawDataDead!AJ:AJ)</f>
        <v>0</v>
      </c>
      <c r="AH67">
        <f>SUMIF(RawDataDead!$B:$B,$A67,RawDataDead!AK:AK)</f>
        <v>0</v>
      </c>
      <c r="AI67">
        <f>SUMIF(RawDataDead!$B:$B,$A67,RawDataDead!AL:AL)</f>
        <v>0</v>
      </c>
      <c r="AJ67">
        <f>SUMIF(RawDataDead!$B:$B,$A67,RawDataDead!AM:AM)</f>
        <v>0</v>
      </c>
      <c r="AK67">
        <f>SUMIF(RawDataDead!$B:$B,$A67,RawDataDead!AN:AN)</f>
        <v>0</v>
      </c>
      <c r="AL67">
        <f>SUMIF(RawDataDead!$B:$B,$A67,RawDataDead!AO:AO)</f>
        <v>0</v>
      </c>
      <c r="AM67">
        <f>SUMIF(RawDataDead!$B:$B,$A67,RawDataDead!AP:AP)</f>
        <v>0</v>
      </c>
      <c r="AN67">
        <f>SUMIF(RawDataDead!$B:$B,$A67,RawDataDead!AQ:AQ)</f>
        <v>0</v>
      </c>
      <c r="AO67">
        <f>SUMIF(RawDataDead!$B:$B,$A67,RawDataDead!AR:AR)</f>
        <v>0</v>
      </c>
      <c r="AP67">
        <f>SUMIF(RawDataDead!$B:$B,$A67,RawDataDead!AS:AS)</f>
        <v>0</v>
      </c>
      <c r="AQ67">
        <f>SUMIF(RawDataDead!$B:$B,$A67,RawDataDead!AT:AT)</f>
        <v>0</v>
      </c>
      <c r="AR67">
        <f>SUMIF(RawDataDead!$B:$B,$A67,RawDataDead!AU:AU)</f>
        <v>0</v>
      </c>
      <c r="AS67">
        <f>SUMIF(RawDataDead!$B:$B,$A67,RawDataDead!AV:AV)</f>
        <v>0</v>
      </c>
      <c r="AT67">
        <f>SUMIF(RawDataDead!$B:$B,$A67,RawDataDead!AW:AW)</f>
        <v>0</v>
      </c>
      <c r="AU67">
        <f>SUMIF(RawDataDead!$B:$B,$A67,RawDataDead!AX:AX)</f>
        <v>0</v>
      </c>
      <c r="AV67">
        <f>SUMIF(RawDataDead!$B:$B,$A67,RawDataDead!AY:AY)</f>
        <v>0</v>
      </c>
      <c r="AW67">
        <f>SUMIF(RawDataDead!$B:$B,$A67,RawDataDead!AZ:AZ)</f>
        <v>0</v>
      </c>
      <c r="AX67">
        <f>SUMIF(RawDataDead!$B:$B,$A67,RawDataDead!BA:BA)</f>
        <v>0</v>
      </c>
      <c r="AY67">
        <f>SUMIF(RawDataDead!$B:$B,$A67,RawDataDead!BB:BB)</f>
        <v>1</v>
      </c>
      <c r="AZ67">
        <f>SUMIF(RawDataDead!$B:$B,$A67,RawDataDead!BC:BC)</f>
        <v>1</v>
      </c>
      <c r="BA67">
        <f>SUMIF(RawDataDead!$B:$B,$A67,RawDataDead!BD:BD)</f>
        <v>1</v>
      </c>
      <c r="BB67">
        <f>SUMIF(RawDataDead!$B:$B,$A67,RawDataDead!BE:BE)</f>
        <v>2</v>
      </c>
      <c r="BC67">
        <f>SUMIF(RawDataDead!$B:$B,$A67,RawDataDead!BF:BF)</f>
        <v>2</v>
      </c>
      <c r="BD67">
        <f>SUMIF(RawDataDead!$B:$B,$A67,RawDataDead!BG:BG)</f>
        <v>2</v>
      </c>
      <c r="BE67">
        <f>SUMIF(RawDataDead!$B:$B,$A67,RawDataDead!BH:BH)</f>
        <v>2</v>
      </c>
      <c r="BF67">
        <f>SUMIF(RawDataDead!$B:$B,$A67,RawDataDead!BI:BI)</f>
        <v>0</v>
      </c>
      <c r="BG67">
        <f>SUMIF(RawDataDead!$B:$B,$A67,RawDataDead!BJ:BJ)</f>
        <v>0</v>
      </c>
      <c r="BH67">
        <f>SUMIF(RawDataDead!$B:$B,$A67,RawDataDead!BK:BK)</f>
        <v>0</v>
      </c>
      <c r="BI67">
        <f>SUMIF(RawDataDead!$B:$B,$A67,RawDataDead!BL:BL)</f>
        <v>0</v>
      </c>
      <c r="BJ67">
        <f>SUMIF(RawDataDead!$B:$B,$A67,RawDataDead!BM:BM)</f>
        <v>0</v>
      </c>
      <c r="BK67">
        <f>SUMIF(RawDataDead!$B:$B,$A67,RawDataDead!BN:BN)</f>
        <v>0</v>
      </c>
      <c r="BL67">
        <f>SUMIF(RawDataDead!$B:$B,$A67,RawDataDead!BO:BO)</f>
        <v>0</v>
      </c>
      <c r="BM67">
        <f>SUMIF(RawDataDead!$B:$B,$A67,RawDataDead!BP:BP)</f>
        <v>0</v>
      </c>
      <c r="BN67">
        <f>SUMIF(RawDataDead!$B:$B,$A67,RawDataDead!BQ:BQ)</f>
        <v>0</v>
      </c>
      <c r="BO67">
        <f>SUMIF(RawDataDead!$B:$B,$A67,RawDataDead!BR:BR)</f>
        <v>0</v>
      </c>
      <c r="BP67">
        <f>SUMIF(RawDataDead!$B:$B,$A67,RawDataDead!BS:BS)</f>
        <v>0</v>
      </c>
      <c r="BQ67">
        <f>SUMIF(RawDataDead!$B:$B,$A67,RawDataDead!BT:BT)</f>
        <v>0</v>
      </c>
      <c r="BR67">
        <f>SUMIF(RawDataDead!$B:$B,$A67,RawDataDead!BU:BU)</f>
        <v>0</v>
      </c>
      <c r="BS67">
        <f>SUMIF(RawDataDead!$B:$B,$A67,RawDataDead!BV:BV)</f>
        <v>0</v>
      </c>
      <c r="BT67">
        <f>SUMIF(RawDataDead!$B:$B,$A67,RawDataDead!BW:BW)</f>
        <v>0</v>
      </c>
    </row>
    <row r="68" spans="1:72" ht="15" thickBot="1" x14ac:dyDescent="0.35">
      <c r="A68" s="3" t="s">
        <v>186</v>
      </c>
      <c r="B68">
        <f>SUMIF(RawDataDead!$B:$B,$A68,RawDataDead!E:E)</f>
        <v>0</v>
      </c>
      <c r="C68">
        <f>SUMIF(RawDataDead!$B:$B,$A68,RawDataDead!F:F)</f>
        <v>0</v>
      </c>
      <c r="D68">
        <f>SUMIF(RawDataDead!$B:$B,$A68,RawDataDead!G:G)</f>
        <v>0</v>
      </c>
      <c r="E68">
        <f>SUMIF(RawDataDead!$B:$B,$A68,RawDataDead!H:H)</f>
        <v>0</v>
      </c>
      <c r="F68">
        <f>SUMIF(RawDataDead!$B:$B,$A68,RawDataDead!I:I)</f>
        <v>0</v>
      </c>
      <c r="G68">
        <f>SUMIF(RawDataDead!$B:$B,$A68,RawDataDead!J:J)</f>
        <v>0</v>
      </c>
      <c r="H68">
        <f>SUMIF(RawDataDead!$B:$B,$A68,RawDataDead!K:K)</f>
        <v>0</v>
      </c>
      <c r="I68">
        <f>SUMIF(RawDataDead!$B:$B,$A68,RawDataDead!L:L)</f>
        <v>0</v>
      </c>
      <c r="J68">
        <f>SUMIF(RawDataDead!$B:$B,$A68,RawDataDead!M:M)</f>
        <v>0</v>
      </c>
      <c r="K68">
        <f>SUMIF(RawDataDead!$B:$B,$A68,RawDataDead!N:N)</f>
        <v>0</v>
      </c>
      <c r="L68">
        <f>SUMIF(RawDataDead!$B:$B,$A68,RawDataDead!O:O)</f>
        <v>0</v>
      </c>
      <c r="M68">
        <f>SUMIF(RawDataDead!$B:$B,$A68,RawDataDead!P:P)</f>
        <v>0</v>
      </c>
      <c r="N68">
        <f>SUMIF(RawDataDead!$B:$B,$A68,RawDataDead!Q:Q)</f>
        <v>0</v>
      </c>
      <c r="O68">
        <f>SUMIF(RawDataDead!$B:$B,$A68,RawDataDead!R:R)</f>
        <v>0</v>
      </c>
      <c r="P68">
        <f>SUMIF(RawDataDead!$B:$B,$A68,RawDataDead!S:S)</f>
        <v>0</v>
      </c>
      <c r="Q68">
        <f>SUMIF(RawDataDead!$B:$B,$A68,RawDataDead!T:T)</f>
        <v>0</v>
      </c>
      <c r="R68">
        <f>SUMIF(RawDataDead!$B:$B,$A68,RawDataDead!U:U)</f>
        <v>0</v>
      </c>
      <c r="S68">
        <f>SUMIF(RawDataDead!$B:$B,$A68,RawDataDead!V:V)</f>
        <v>0</v>
      </c>
      <c r="T68">
        <f>SUMIF(RawDataDead!$B:$B,$A68,RawDataDead!W:W)</f>
        <v>0</v>
      </c>
      <c r="U68">
        <f>SUMIF(RawDataDead!$B:$B,$A68,RawDataDead!X:X)</f>
        <v>0</v>
      </c>
      <c r="V68">
        <f>SUMIF(RawDataDead!$B:$B,$A68,RawDataDead!Y:Y)</f>
        <v>0</v>
      </c>
      <c r="W68">
        <f>SUMIF(RawDataDead!$B:$B,$A68,RawDataDead!Z:Z)</f>
        <v>0</v>
      </c>
      <c r="X68">
        <f>SUMIF(RawDataDead!$B:$B,$A68,RawDataDead!AA:AA)</f>
        <v>0</v>
      </c>
      <c r="Y68">
        <f>SUMIF(RawDataDead!$B:$B,$A68,RawDataDead!AB:AB)</f>
        <v>0</v>
      </c>
      <c r="Z68">
        <f>SUMIF(RawDataDead!$B:$B,$A68,RawDataDead!AC:AC)</f>
        <v>0</v>
      </c>
      <c r="AA68">
        <f>SUMIF(RawDataDead!$B:$B,$A68,RawDataDead!AD:AD)</f>
        <v>0</v>
      </c>
      <c r="AB68">
        <f>SUMIF(RawDataDead!$B:$B,$A68,RawDataDead!AE:AE)</f>
        <v>0</v>
      </c>
      <c r="AC68">
        <f>SUMIF(RawDataDead!$B:$B,$A68,RawDataDead!AF:AF)</f>
        <v>0</v>
      </c>
      <c r="AD68">
        <f>SUMIF(RawDataDead!$B:$B,$A68,RawDataDead!AG:AG)</f>
        <v>0</v>
      </c>
      <c r="AE68">
        <f>SUMIF(RawDataDead!$B:$B,$A68,RawDataDead!AH:AH)</f>
        <v>0</v>
      </c>
      <c r="AF68">
        <f>SUMIF(RawDataDead!$B:$B,$A68,RawDataDead!AI:AI)</f>
        <v>0</v>
      </c>
      <c r="AG68">
        <f>SUMIF(RawDataDead!$B:$B,$A68,RawDataDead!AJ:AJ)</f>
        <v>0</v>
      </c>
      <c r="AH68">
        <f>SUMIF(RawDataDead!$B:$B,$A68,RawDataDead!AK:AK)</f>
        <v>0</v>
      </c>
      <c r="AI68">
        <f>SUMIF(RawDataDead!$B:$B,$A68,RawDataDead!AL:AL)</f>
        <v>0</v>
      </c>
      <c r="AJ68">
        <f>SUMIF(RawDataDead!$B:$B,$A68,RawDataDead!AM:AM)</f>
        <v>0</v>
      </c>
      <c r="AK68">
        <f>SUMIF(RawDataDead!$B:$B,$A68,RawDataDead!AN:AN)</f>
        <v>0</v>
      </c>
      <c r="AL68">
        <f>SUMIF(RawDataDead!$B:$B,$A68,RawDataDead!AO:AO)</f>
        <v>0</v>
      </c>
      <c r="AM68">
        <f>SUMIF(RawDataDead!$B:$B,$A68,RawDataDead!AP:AP)</f>
        <v>0</v>
      </c>
      <c r="AN68">
        <f>SUMIF(RawDataDead!$B:$B,$A68,RawDataDead!AQ:AQ)</f>
        <v>0</v>
      </c>
      <c r="AO68">
        <f>SUMIF(RawDataDead!$B:$B,$A68,RawDataDead!AR:AR)</f>
        <v>0</v>
      </c>
      <c r="AP68">
        <f>SUMIF(RawDataDead!$B:$B,$A68,RawDataDead!AS:AS)</f>
        <v>0</v>
      </c>
      <c r="AQ68">
        <f>SUMIF(RawDataDead!$B:$B,$A68,RawDataDead!AT:AT)</f>
        <v>0</v>
      </c>
      <c r="AR68">
        <f>SUMIF(RawDataDead!$B:$B,$A68,RawDataDead!AU:AU)</f>
        <v>0</v>
      </c>
      <c r="AS68">
        <f>SUMIF(RawDataDead!$B:$B,$A68,RawDataDead!AV:AV)</f>
        <v>0</v>
      </c>
      <c r="AT68">
        <f>SUMIF(RawDataDead!$B:$B,$A68,RawDataDead!AW:AW)</f>
        <v>0</v>
      </c>
      <c r="AU68">
        <f>SUMIF(RawDataDead!$B:$B,$A68,RawDataDead!AX:AX)</f>
        <v>0</v>
      </c>
      <c r="AV68">
        <f>SUMIF(RawDataDead!$B:$B,$A68,RawDataDead!AY:AY)</f>
        <v>0</v>
      </c>
      <c r="AW68">
        <f>SUMIF(RawDataDead!$B:$B,$A68,RawDataDead!AZ:AZ)</f>
        <v>0</v>
      </c>
      <c r="AX68">
        <f>SUMIF(RawDataDead!$B:$B,$A68,RawDataDead!BA:BA)</f>
        <v>0</v>
      </c>
      <c r="AY68">
        <f>SUMIF(RawDataDead!$B:$B,$A68,RawDataDead!BB:BB)</f>
        <v>0</v>
      </c>
      <c r="AZ68">
        <f>SUMIF(RawDataDead!$B:$B,$A68,RawDataDead!BC:BC)</f>
        <v>0</v>
      </c>
      <c r="BA68">
        <f>SUMIF(RawDataDead!$B:$B,$A68,RawDataDead!BD:BD)</f>
        <v>0</v>
      </c>
      <c r="BB68">
        <f>SUMIF(RawDataDead!$B:$B,$A68,RawDataDead!BE:BE)</f>
        <v>0</v>
      </c>
      <c r="BC68">
        <f>SUMIF(RawDataDead!$B:$B,$A68,RawDataDead!BF:BF)</f>
        <v>0</v>
      </c>
      <c r="BD68">
        <f>SUMIF(RawDataDead!$B:$B,$A68,RawDataDead!BG:BG)</f>
        <v>0</v>
      </c>
      <c r="BE68">
        <f>SUMIF(RawDataDead!$B:$B,$A68,RawDataDead!BH:BH)</f>
        <v>0</v>
      </c>
      <c r="BF68">
        <f>SUMIF(RawDataDead!$B:$B,$A68,RawDataDead!BI:BI)</f>
        <v>0</v>
      </c>
      <c r="BG68">
        <f>SUMIF(RawDataDead!$B:$B,$A68,RawDataDead!BJ:BJ)</f>
        <v>0</v>
      </c>
      <c r="BH68">
        <f>SUMIF(RawDataDead!$B:$B,$A68,RawDataDead!BK:BK)</f>
        <v>0</v>
      </c>
      <c r="BI68">
        <f>SUMIF(RawDataDead!$B:$B,$A68,RawDataDead!BL:BL)</f>
        <v>0</v>
      </c>
      <c r="BJ68">
        <f>SUMIF(RawDataDead!$B:$B,$A68,RawDataDead!BM:BM)</f>
        <v>0</v>
      </c>
      <c r="BK68">
        <f>SUMIF(RawDataDead!$B:$B,$A68,RawDataDead!BN:BN)</f>
        <v>0</v>
      </c>
      <c r="BL68">
        <f>SUMIF(RawDataDead!$B:$B,$A68,RawDataDead!BO:BO)</f>
        <v>0</v>
      </c>
      <c r="BM68">
        <f>SUMIF(RawDataDead!$B:$B,$A68,RawDataDead!BP:BP)</f>
        <v>0</v>
      </c>
      <c r="BN68">
        <f>SUMIF(RawDataDead!$B:$B,$A68,RawDataDead!BQ:BQ)</f>
        <v>0</v>
      </c>
      <c r="BO68">
        <f>SUMIF(RawDataDead!$B:$B,$A68,RawDataDead!BR:BR)</f>
        <v>0</v>
      </c>
      <c r="BP68">
        <f>SUMIF(RawDataDead!$B:$B,$A68,RawDataDead!BS:BS)</f>
        <v>0</v>
      </c>
      <c r="BQ68">
        <f>SUMIF(RawDataDead!$B:$B,$A68,RawDataDead!BT:BT)</f>
        <v>0</v>
      </c>
      <c r="BR68">
        <f>SUMIF(RawDataDead!$B:$B,$A68,RawDataDead!BU:BU)</f>
        <v>0</v>
      </c>
      <c r="BS68">
        <f>SUMIF(RawDataDead!$B:$B,$A68,RawDataDead!BV:BV)</f>
        <v>0</v>
      </c>
      <c r="BT68">
        <f>SUMIF(RawDataDead!$B:$B,$A68,RawDataDead!BW:BW)</f>
        <v>0</v>
      </c>
    </row>
    <row r="69" spans="1:72" ht="15" thickBot="1" x14ac:dyDescent="0.35">
      <c r="A69" s="4" t="s">
        <v>159</v>
      </c>
      <c r="B69">
        <f>SUMIF(RawDataDead!$B:$B,$A69,RawDataDead!E:E)</f>
        <v>0</v>
      </c>
      <c r="C69">
        <f>SUMIF(RawDataDead!$B:$B,$A69,RawDataDead!F:F)</f>
        <v>0</v>
      </c>
      <c r="D69">
        <f>SUMIF(RawDataDead!$B:$B,$A69,RawDataDead!G:G)</f>
        <v>0</v>
      </c>
      <c r="E69">
        <f>SUMIF(RawDataDead!$B:$B,$A69,RawDataDead!H:H)</f>
        <v>0</v>
      </c>
      <c r="F69">
        <f>SUMIF(RawDataDead!$B:$B,$A69,RawDataDead!I:I)</f>
        <v>0</v>
      </c>
      <c r="G69">
        <f>SUMIF(RawDataDead!$B:$B,$A69,RawDataDead!J:J)</f>
        <v>0</v>
      </c>
      <c r="H69">
        <f>SUMIF(RawDataDead!$B:$B,$A69,RawDataDead!K:K)</f>
        <v>0</v>
      </c>
      <c r="I69">
        <f>SUMIF(RawDataDead!$B:$B,$A69,RawDataDead!L:L)</f>
        <v>0</v>
      </c>
      <c r="J69">
        <f>SUMIF(RawDataDead!$B:$B,$A69,RawDataDead!M:M)</f>
        <v>0</v>
      </c>
      <c r="K69">
        <f>SUMIF(RawDataDead!$B:$B,$A69,RawDataDead!N:N)</f>
        <v>0</v>
      </c>
      <c r="L69">
        <f>SUMIF(RawDataDead!$B:$B,$A69,RawDataDead!O:O)</f>
        <v>0</v>
      </c>
      <c r="M69">
        <f>SUMIF(RawDataDead!$B:$B,$A69,RawDataDead!P:P)</f>
        <v>0</v>
      </c>
      <c r="N69">
        <f>SUMIF(RawDataDead!$B:$B,$A69,RawDataDead!Q:Q)</f>
        <v>0</v>
      </c>
      <c r="O69">
        <f>SUMIF(RawDataDead!$B:$B,$A69,RawDataDead!R:R)</f>
        <v>0</v>
      </c>
      <c r="P69">
        <f>SUMIF(RawDataDead!$B:$B,$A69,RawDataDead!S:S)</f>
        <v>0</v>
      </c>
      <c r="Q69">
        <f>SUMIF(RawDataDead!$B:$B,$A69,RawDataDead!T:T)</f>
        <v>0</v>
      </c>
      <c r="R69">
        <f>SUMIF(RawDataDead!$B:$B,$A69,RawDataDead!U:U)</f>
        <v>0</v>
      </c>
      <c r="S69">
        <f>SUMIF(RawDataDead!$B:$B,$A69,RawDataDead!V:V)</f>
        <v>0</v>
      </c>
      <c r="T69">
        <f>SUMIF(RawDataDead!$B:$B,$A69,RawDataDead!W:W)</f>
        <v>0</v>
      </c>
      <c r="U69">
        <f>SUMIF(RawDataDead!$B:$B,$A69,RawDataDead!X:X)</f>
        <v>0</v>
      </c>
      <c r="V69">
        <f>SUMIF(RawDataDead!$B:$B,$A69,RawDataDead!Y:Y)</f>
        <v>0</v>
      </c>
      <c r="W69">
        <f>SUMIF(RawDataDead!$B:$B,$A69,RawDataDead!Z:Z)</f>
        <v>0</v>
      </c>
      <c r="X69">
        <f>SUMIF(RawDataDead!$B:$B,$A69,RawDataDead!AA:AA)</f>
        <v>0</v>
      </c>
      <c r="Y69">
        <f>SUMIF(RawDataDead!$B:$B,$A69,RawDataDead!AB:AB)</f>
        <v>0</v>
      </c>
      <c r="Z69">
        <f>SUMIF(RawDataDead!$B:$B,$A69,RawDataDead!AC:AC)</f>
        <v>0</v>
      </c>
      <c r="AA69">
        <f>SUMIF(RawDataDead!$B:$B,$A69,RawDataDead!AD:AD)</f>
        <v>0</v>
      </c>
      <c r="AB69">
        <f>SUMIF(RawDataDead!$B:$B,$A69,RawDataDead!AE:AE)</f>
        <v>0</v>
      </c>
      <c r="AC69">
        <f>SUMIF(RawDataDead!$B:$B,$A69,RawDataDead!AF:AF)</f>
        <v>0</v>
      </c>
      <c r="AD69">
        <f>SUMIF(RawDataDead!$B:$B,$A69,RawDataDead!AG:AG)</f>
        <v>0</v>
      </c>
      <c r="AE69">
        <f>SUMIF(RawDataDead!$B:$B,$A69,RawDataDead!AH:AH)</f>
        <v>0</v>
      </c>
      <c r="AF69">
        <f>SUMIF(RawDataDead!$B:$B,$A69,RawDataDead!AI:AI)</f>
        <v>0</v>
      </c>
      <c r="AG69">
        <f>SUMIF(RawDataDead!$B:$B,$A69,RawDataDead!AJ:AJ)</f>
        <v>0</v>
      </c>
      <c r="AH69">
        <f>SUMIF(RawDataDead!$B:$B,$A69,RawDataDead!AK:AK)</f>
        <v>0</v>
      </c>
      <c r="AI69">
        <f>SUMIF(RawDataDead!$B:$B,$A69,RawDataDead!AL:AL)</f>
        <v>0</v>
      </c>
      <c r="AJ69">
        <f>SUMIF(RawDataDead!$B:$B,$A69,RawDataDead!AM:AM)</f>
        <v>0</v>
      </c>
      <c r="AK69">
        <f>SUMIF(RawDataDead!$B:$B,$A69,RawDataDead!AN:AN)</f>
        <v>0</v>
      </c>
      <c r="AL69">
        <f>SUMIF(RawDataDead!$B:$B,$A69,RawDataDead!AO:AO)</f>
        <v>0</v>
      </c>
      <c r="AM69">
        <f>SUMIF(RawDataDead!$B:$B,$A69,RawDataDead!AP:AP)</f>
        <v>0</v>
      </c>
      <c r="AN69">
        <f>SUMIF(RawDataDead!$B:$B,$A69,RawDataDead!AQ:AQ)</f>
        <v>0</v>
      </c>
      <c r="AO69">
        <f>SUMIF(RawDataDead!$B:$B,$A69,RawDataDead!AR:AR)</f>
        <v>0</v>
      </c>
      <c r="AP69">
        <f>SUMIF(RawDataDead!$B:$B,$A69,RawDataDead!AS:AS)</f>
        <v>0</v>
      </c>
      <c r="AQ69">
        <f>SUMIF(RawDataDead!$B:$B,$A69,RawDataDead!AT:AT)</f>
        <v>0</v>
      </c>
      <c r="AR69">
        <f>SUMIF(RawDataDead!$B:$B,$A69,RawDataDead!AU:AU)</f>
        <v>0</v>
      </c>
      <c r="AS69">
        <f>SUMIF(RawDataDead!$B:$B,$A69,RawDataDead!AV:AV)</f>
        <v>0</v>
      </c>
      <c r="AT69">
        <f>SUMIF(RawDataDead!$B:$B,$A69,RawDataDead!AW:AW)</f>
        <v>0</v>
      </c>
      <c r="AU69">
        <f>SUMIF(RawDataDead!$B:$B,$A69,RawDataDead!AX:AX)</f>
        <v>0</v>
      </c>
      <c r="AV69">
        <f>SUMIF(RawDataDead!$B:$B,$A69,RawDataDead!AY:AY)</f>
        <v>0</v>
      </c>
      <c r="AW69">
        <f>SUMIF(RawDataDead!$B:$B,$A69,RawDataDead!AZ:AZ)</f>
        <v>0</v>
      </c>
      <c r="AX69">
        <f>SUMIF(RawDataDead!$B:$B,$A69,RawDataDead!BA:BA)</f>
        <v>0</v>
      </c>
      <c r="AY69">
        <f>SUMIF(RawDataDead!$B:$B,$A69,RawDataDead!BB:BB)</f>
        <v>0</v>
      </c>
      <c r="AZ69">
        <f>SUMIF(RawDataDead!$B:$B,$A69,RawDataDead!BC:BC)</f>
        <v>0</v>
      </c>
      <c r="BA69">
        <f>SUMIF(RawDataDead!$B:$B,$A69,RawDataDead!BD:BD)</f>
        <v>0</v>
      </c>
      <c r="BB69">
        <f>SUMIF(RawDataDead!$B:$B,$A69,RawDataDead!BE:BE)</f>
        <v>0</v>
      </c>
      <c r="BC69">
        <f>SUMIF(RawDataDead!$B:$B,$A69,RawDataDead!BF:BF)</f>
        <v>1</v>
      </c>
      <c r="BD69">
        <f>SUMIF(RawDataDead!$B:$B,$A69,RawDataDead!BG:BG)</f>
        <v>1</v>
      </c>
      <c r="BE69">
        <f>SUMIF(RawDataDead!$B:$B,$A69,RawDataDead!BH:BH)</f>
        <v>1</v>
      </c>
      <c r="BF69">
        <f>SUMIF(RawDataDead!$B:$B,$A69,RawDataDead!BI:BI)</f>
        <v>0</v>
      </c>
      <c r="BG69">
        <f>SUMIF(RawDataDead!$B:$B,$A69,RawDataDead!BJ:BJ)</f>
        <v>0</v>
      </c>
      <c r="BH69">
        <f>SUMIF(RawDataDead!$B:$B,$A69,RawDataDead!BK:BK)</f>
        <v>0</v>
      </c>
      <c r="BI69">
        <f>SUMIF(RawDataDead!$B:$B,$A69,RawDataDead!BL:BL)</f>
        <v>0</v>
      </c>
      <c r="BJ69">
        <f>SUMIF(RawDataDead!$B:$B,$A69,RawDataDead!BM:BM)</f>
        <v>0</v>
      </c>
      <c r="BK69">
        <f>SUMIF(RawDataDead!$B:$B,$A69,RawDataDead!BN:BN)</f>
        <v>0</v>
      </c>
      <c r="BL69">
        <f>SUMIF(RawDataDead!$B:$B,$A69,RawDataDead!BO:BO)</f>
        <v>0</v>
      </c>
      <c r="BM69">
        <f>SUMIF(RawDataDead!$B:$B,$A69,RawDataDead!BP:BP)</f>
        <v>0</v>
      </c>
      <c r="BN69">
        <f>SUMIF(RawDataDead!$B:$B,$A69,RawDataDead!BQ:BQ)</f>
        <v>0</v>
      </c>
      <c r="BO69">
        <f>SUMIF(RawDataDead!$B:$B,$A69,RawDataDead!BR:BR)</f>
        <v>0</v>
      </c>
      <c r="BP69">
        <f>SUMIF(RawDataDead!$B:$B,$A69,RawDataDead!BS:BS)</f>
        <v>0</v>
      </c>
      <c r="BQ69">
        <f>SUMIF(RawDataDead!$B:$B,$A69,RawDataDead!BT:BT)</f>
        <v>0</v>
      </c>
      <c r="BR69">
        <f>SUMIF(RawDataDead!$B:$B,$A69,RawDataDead!BU:BU)</f>
        <v>0</v>
      </c>
      <c r="BS69">
        <f>SUMIF(RawDataDead!$B:$B,$A69,RawDataDead!BV:BV)</f>
        <v>0</v>
      </c>
      <c r="BT69">
        <f>SUMIF(RawDataDead!$B:$B,$A69,RawDataDead!BW:BW)</f>
        <v>0</v>
      </c>
    </row>
    <row r="70" spans="1:72" ht="15" thickBot="1" x14ac:dyDescent="0.35">
      <c r="A70" s="4" t="s">
        <v>98</v>
      </c>
      <c r="B70">
        <f>SUMIF(RawDataDead!$B:$B,$A70,RawDataDead!E:E)</f>
        <v>0</v>
      </c>
      <c r="C70">
        <f>SUMIF(RawDataDead!$B:$B,$A70,RawDataDead!F:F)</f>
        <v>0</v>
      </c>
      <c r="D70">
        <f>SUMIF(RawDataDead!$B:$B,$A70,RawDataDead!G:G)</f>
        <v>0</v>
      </c>
      <c r="E70">
        <f>SUMIF(RawDataDead!$B:$B,$A70,RawDataDead!H:H)</f>
        <v>0</v>
      </c>
      <c r="F70">
        <f>SUMIF(RawDataDead!$B:$B,$A70,RawDataDead!I:I)</f>
        <v>0</v>
      </c>
      <c r="G70">
        <f>SUMIF(RawDataDead!$B:$B,$A70,RawDataDead!J:J)</f>
        <v>0</v>
      </c>
      <c r="H70">
        <f>SUMIF(RawDataDead!$B:$B,$A70,RawDataDead!K:K)</f>
        <v>0</v>
      </c>
      <c r="I70">
        <f>SUMIF(RawDataDead!$B:$B,$A70,RawDataDead!L:L)</f>
        <v>0</v>
      </c>
      <c r="J70">
        <f>SUMIF(RawDataDead!$B:$B,$A70,RawDataDead!M:M)</f>
        <v>0</v>
      </c>
      <c r="K70">
        <f>SUMIF(RawDataDead!$B:$B,$A70,RawDataDead!N:N)</f>
        <v>0</v>
      </c>
      <c r="L70">
        <f>SUMIF(RawDataDead!$B:$B,$A70,RawDataDead!O:O)</f>
        <v>0</v>
      </c>
      <c r="M70">
        <f>SUMIF(RawDataDead!$B:$B,$A70,RawDataDead!P:P)</f>
        <v>0</v>
      </c>
      <c r="N70">
        <f>SUMIF(RawDataDead!$B:$B,$A70,RawDataDead!Q:Q)</f>
        <v>0</v>
      </c>
      <c r="O70">
        <f>SUMIF(RawDataDead!$B:$B,$A70,RawDataDead!R:R)</f>
        <v>0</v>
      </c>
      <c r="P70">
        <f>SUMIF(RawDataDead!$B:$B,$A70,RawDataDead!S:S)</f>
        <v>0</v>
      </c>
      <c r="Q70">
        <f>SUMIF(RawDataDead!$B:$B,$A70,RawDataDead!T:T)</f>
        <v>0</v>
      </c>
      <c r="R70">
        <f>SUMIF(RawDataDead!$B:$B,$A70,RawDataDead!U:U)</f>
        <v>0</v>
      </c>
      <c r="S70">
        <f>SUMIF(RawDataDead!$B:$B,$A70,RawDataDead!V:V)</f>
        <v>0</v>
      </c>
      <c r="T70">
        <f>SUMIF(RawDataDead!$B:$B,$A70,RawDataDead!W:W)</f>
        <v>0</v>
      </c>
      <c r="U70">
        <f>SUMIF(RawDataDead!$B:$B,$A70,RawDataDead!X:X)</f>
        <v>0</v>
      </c>
      <c r="V70">
        <f>SUMIF(RawDataDead!$B:$B,$A70,RawDataDead!Y:Y)</f>
        <v>0</v>
      </c>
      <c r="W70">
        <f>SUMIF(RawDataDead!$B:$B,$A70,RawDataDead!Z:Z)</f>
        <v>0</v>
      </c>
      <c r="X70">
        <f>SUMIF(RawDataDead!$B:$B,$A70,RawDataDead!AA:AA)</f>
        <v>0</v>
      </c>
      <c r="Y70">
        <f>SUMIF(RawDataDead!$B:$B,$A70,RawDataDead!AB:AB)</f>
        <v>0</v>
      </c>
      <c r="Z70">
        <f>SUMIF(RawDataDead!$B:$B,$A70,RawDataDead!AC:AC)</f>
        <v>0</v>
      </c>
      <c r="AA70">
        <f>SUMIF(RawDataDead!$B:$B,$A70,RawDataDead!AD:AD)</f>
        <v>0</v>
      </c>
      <c r="AB70">
        <f>SUMIF(RawDataDead!$B:$B,$A70,RawDataDead!AE:AE)</f>
        <v>0</v>
      </c>
      <c r="AC70">
        <f>SUMIF(RawDataDead!$B:$B,$A70,RawDataDead!AF:AF)</f>
        <v>0</v>
      </c>
      <c r="AD70">
        <f>SUMIF(RawDataDead!$B:$B,$A70,RawDataDead!AG:AG)</f>
        <v>0</v>
      </c>
      <c r="AE70">
        <f>SUMIF(RawDataDead!$B:$B,$A70,RawDataDead!AH:AH)</f>
        <v>0</v>
      </c>
      <c r="AF70">
        <f>SUMIF(RawDataDead!$B:$B,$A70,RawDataDead!AI:AI)</f>
        <v>0</v>
      </c>
      <c r="AG70">
        <f>SUMIF(RawDataDead!$B:$B,$A70,RawDataDead!AJ:AJ)</f>
        <v>0</v>
      </c>
      <c r="AH70">
        <f>SUMIF(RawDataDead!$B:$B,$A70,RawDataDead!AK:AK)</f>
        <v>0</v>
      </c>
      <c r="AI70">
        <f>SUMIF(RawDataDead!$B:$B,$A70,RawDataDead!AL:AL)</f>
        <v>0</v>
      </c>
      <c r="AJ70">
        <f>SUMIF(RawDataDead!$B:$B,$A70,RawDataDead!AM:AM)</f>
        <v>0</v>
      </c>
      <c r="AK70">
        <f>SUMIF(RawDataDead!$B:$B,$A70,RawDataDead!AN:AN)</f>
        <v>0</v>
      </c>
      <c r="AL70">
        <f>SUMIF(RawDataDead!$B:$B,$A70,RawDataDead!AO:AO)</f>
        <v>0</v>
      </c>
      <c r="AM70">
        <f>SUMIF(RawDataDead!$B:$B,$A70,RawDataDead!AP:AP)</f>
        <v>0</v>
      </c>
      <c r="AN70">
        <f>SUMIF(RawDataDead!$B:$B,$A70,RawDataDead!AQ:AQ)</f>
        <v>0</v>
      </c>
      <c r="AO70">
        <f>SUMIF(RawDataDead!$B:$B,$A70,RawDataDead!AR:AR)</f>
        <v>0</v>
      </c>
      <c r="AP70">
        <f>SUMIF(RawDataDead!$B:$B,$A70,RawDataDead!AS:AS)</f>
        <v>0</v>
      </c>
      <c r="AQ70">
        <f>SUMIF(RawDataDead!$B:$B,$A70,RawDataDead!AT:AT)</f>
        <v>0</v>
      </c>
      <c r="AR70">
        <f>SUMIF(RawDataDead!$B:$B,$A70,RawDataDead!AU:AU)</f>
        <v>0</v>
      </c>
      <c r="AS70">
        <f>SUMIF(RawDataDead!$B:$B,$A70,RawDataDead!AV:AV)</f>
        <v>0</v>
      </c>
      <c r="AT70">
        <f>SUMIF(RawDataDead!$B:$B,$A70,RawDataDead!AW:AW)</f>
        <v>0</v>
      </c>
      <c r="AU70">
        <f>SUMIF(RawDataDead!$B:$B,$A70,RawDataDead!AX:AX)</f>
        <v>0</v>
      </c>
      <c r="AV70">
        <f>SUMIF(RawDataDead!$B:$B,$A70,RawDataDead!AY:AY)</f>
        <v>0</v>
      </c>
      <c r="AW70">
        <f>SUMIF(RawDataDead!$B:$B,$A70,RawDataDead!AZ:AZ)</f>
        <v>0</v>
      </c>
      <c r="AX70">
        <f>SUMIF(RawDataDead!$B:$B,$A70,RawDataDead!BA:BA)</f>
        <v>0</v>
      </c>
      <c r="AY70">
        <f>SUMIF(RawDataDead!$B:$B,$A70,RawDataDead!BB:BB)</f>
        <v>0</v>
      </c>
      <c r="AZ70">
        <f>SUMIF(RawDataDead!$B:$B,$A70,RawDataDead!BC:BC)</f>
        <v>0</v>
      </c>
      <c r="BA70">
        <f>SUMIF(RawDataDead!$B:$B,$A70,RawDataDead!BD:BD)</f>
        <v>0</v>
      </c>
      <c r="BB70">
        <f>SUMIF(RawDataDead!$B:$B,$A70,RawDataDead!BE:BE)</f>
        <v>0</v>
      </c>
      <c r="BC70">
        <f>SUMIF(RawDataDead!$B:$B,$A70,RawDataDead!BF:BF)</f>
        <v>0</v>
      </c>
      <c r="BD70">
        <f>SUMIF(RawDataDead!$B:$B,$A70,RawDataDead!BG:BG)</f>
        <v>0</v>
      </c>
      <c r="BE70">
        <f>SUMIF(RawDataDead!$B:$B,$A70,RawDataDead!BH:BH)</f>
        <v>0</v>
      </c>
      <c r="BF70">
        <f>SUMIF(RawDataDead!$B:$B,$A70,RawDataDead!BI:BI)</f>
        <v>0</v>
      </c>
      <c r="BG70">
        <f>SUMIF(RawDataDead!$B:$B,$A70,RawDataDead!BJ:BJ)</f>
        <v>0</v>
      </c>
      <c r="BH70">
        <f>SUMIF(RawDataDead!$B:$B,$A70,RawDataDead!BK:BK)</f>
        <v>0</v>
      </c>
      <c r="BI70">
        <f>SUMIF(RawDataDead!$B:$B,$A70,RawDataDead!BL:BL)</f>
        <v>0</v>
      </c>
      <c r="BJ70">
        <f>SUMIF(RawDataDead!$B:$B,$A70,RawDataDead!BM:BM)</f>
        <v>0</v>
      </c>
      <c r="BK70">
        <f>SUMIF(RawDataDead!$B:$B,$A70,RawDataDead!BN:BN)</f>
        <v>0</v>
      </c>
      <c r="BL70">
        <f>SUMIF(RawDataDead!$B:$B,$A70,RawDataDead!BO:BO)</f>
        <v>0</v>
      </c>
      <c r="BM70">
        <f>SUMIF(RawDataDead!$B:$B,$A70,RawDataDead!BP:BP)</f>
        <v>0</v>
      </c>
      <c r="BN70">
        <f>SUMIF(RawDataDead!$B:$B,$A70,RawDataDead!BQ:BQ)</f>
        <v>0</v>
      </c>
      <c r="BO70">
        <f>SUMIF(RawDataDead!$B:$B,$A70,RawDataDead!BR:BR)</f>
        <v>0</v>
      </c>
      <c r="BP70">
        <f>SUMIF(RawDataDead!$B:$B,$A70,RawDataDead!BS:BS)</f>
        <v>0</v>
      </c>
      <c r="BQ70">
        <f>SUMIF(RawDataDead!$B:$B,$A70,RawDataDead!BT:BT)</f>
        <v>0</v>
      </c>
      <c r="BR70">
        <f>SUMIF(RawDataDead!$B:$B,$A70,RawDataDead!BU:BU)</f>
        <v>0</v>
      </c>
      <c r="BS70">
        <f>SUMIF(RawDataDead!$B:$B,$A70,RawDataDead!BV:BV)</f>
        <v>0</v>
      </c>
      <c r="BT70">
        <f>SUMIF(RawDataDead!$B:$B,$A70,RawDataDead!BW:BW)</f>
        <v>0</v>
      </c>
    </row>
    <row r="71" spans="1:72" ht="15" thickBot="1" x14ac:dyDescent="0.35">
      <c r="A71" s="4" t="s">
        <v>130</v>
      </c>
      <c r="B71">
        <f>SUMIF(RawDataDead!$B:$B,$A71,RawDataDead!E:E)</f>
        <v>0</v>
      </c>
      <c r="C71">
        <f>SUMIF(RawDataDead!$B:$B,$A71,RawDataDead!F:F)</f>
        <v>0</v>
      </c>
      <c r="D71">
        <f>SUMIF(RawDataDead!$B:$B,$A71,RawDataDead!G:G)</f>
        <v>0</v>
      </c>
      <c r="E71">
        <f>SUMIF(RawDataDead!$B:$B,$A71,RawDataDead!H:H)</f>
        <v>0</v>
      </c>
      <c r="F71">
        <f>SUMIF(RawDataDead!$B:$B,$A71,RawDataDead!I:I)</f>
        <v>0</v>
      </c>
      <c r="G71">
        <f>SUMIF(RawDataDead!$B:$B,$A71,RawDataDead!J:J)</f>
        <v>0</v>
      </c>
      <c r="H71">
        <f>SUMIF(RawDataDead!$B:$B,$A71,RawDataDead!K:K)</f>
        <v>0</v>
      </c>
      <c r="I71">
        <f>SUMIF(RawDataDead!$B:$B,$A71,RawDataDead!L:L)</f>
        <v>0</v>
      </c>
      <c r="J71">
        <f>SUMIF(RawDataDead!$B:$B,$A71,RawDataDead!M:M)</f>
        <v>0</v>
      </c>
      <c r="K71">
        <f>SUMIF(RawDataDead!$B:$B,$A71,RawDataDead!N:N)</f>
        <v>0</v>
      </c>
      <c r="L71">
        <f>SUMIF(RawDataDead!$B:$B,$A71,RawDataDead!O:O)</f>
        <v>0</v>
      </c>
      <c r="M71">
        <f>SUMIF(RawDataDead!$B:$B,$A71,RawDataDead!P:P)</f>
        <v>0</v>
      </c>
      <c r="N71">
        <f>SUMIF(RawDataDead!$B:$B,$A71,RawDataDead!Q:Q)</f>
        <v>0</v>
      </c>
      <c r="O71">
        <f>SUMIF(RawDataDead!$B:$B,$A71,RawDataDead!R:R)</f>
        <v>0</v>
      </c>
      <c r="P71">
        <f>SUMIF(RawDataDead!$B:$B,$A71,RawDataDead!S:S)</f>
        <v>0</v>
      </c>
      <c r="Q71">
        <f>SUMIF(RawDataDead!$B:$B,$A71,RawDataDead!T:T)</f>
        <v>0</v>
      </c>
      <c r="R71">
        <f>SUMIF(RawDataDead!$B:$B,$A71,RawDataDead!U:U)</f>
        <v>0</v>
      </c>
      <c r="S71">
        <f>SUMIF(RawDataDead!$B:$B,$A71,RawDataDead!V:V)</f>
        <v>0</v>
      </c>
      <c r="T71">
        <f>SUMIF(RawDataDead!$B:$B,$A71,RawDataDead!W:W)</f>
        <v>0</v>
      </c>
      <c r="U71">
        <f>SUMIF(RawDataDead!$B:$B,$A71,RawDataDead!X:X)</f>
        <v>0</v>
      </c>
      <c r="V71">
        <f>SUMIF(RawDataDead!$B:$B,$A71,RawDataDead!Y:Y)</f>
        <v>0</v>
      </c>
      <c r="W71">
        <f>SUMIF(RawDataDead!$B:$B,$A71,RawDataDead!Z:Z)</f>
        <v>0</v>
      </c>
      <c r="X71">
        <f>SUMIF(RawDataDead!$B:$B,$A71,RawDataDead!AA:AA)</f>
        <v>0</v>
      </c>
      <c r="Y71">
        <f>SUMIF(RawDataDead!$B:$B,$A71,RawDataDead!AB:AB)</f>
        <v>0</v>
      </c>
      <c r="Z71">
        <f>SUMIF(RawDataDead!$B:$B,$A71,RawDataDead!AC:AC)</f>
        <v>0</v>
      </c>
      <c r="AA71">
        <f>SUMIF(RawDataDead!$B:$B,$A71,RawDataDead!AD:AD)</f>
        <v>0</v>
      </c>
      <c r="AB71">
        <f>SUMIF(RawDataDead!$B:$B,$A71,RawDataDead!AE:AE)</f>
        <v>0</v>
      </c>
      <c r="AC71">
        <f>SUMIF(RawDataDead!$B:$B,$A71,RawDataDead!AF:AF)</f>
        <v>0</v>
      </c>
      <c r="AD71">
        <f>SUMIF(RawDataDead!$B:$B,$A71,RawDataDead!AG:AG)</f>
        <v>0</v>
      </c>
      <c r="AE71">
        <f>SUMIF(RawDataDead!$B:$B,$A71,RawDataDead!AH:AH)</f>
        <v>0</v>
      </c>
      <c r="AF71">
        <f>SUMIF(RawDataDead!$B:$B,$A71,RawDataDead!AI:AI)</f>
        <v>0</v>
      </c>
      <c r="AG71">
        <f>SUMIF(RawDataDead!$B:$B,$A71,RawDataDead!AJ:AJ)</f>
        <v>0</v>
      </c>
      <c r="AH71">
        <f>SUMIF(RawDataDead!$B:$B,$A71,RawDataDead!AK:AK)</f>
        <v>0</v>
      </c>
      <c r="AI71">
        <f>SUMIF(RawDataDead!$B:$B,$A71,RawDataDead!AL:AL)</f>
        <v>0</v>
      </c>
      <c r="AJ71">
        <f>SUMIF(RawDataDead!$B:$B,$A71,RawDataDead!AM:AM)</f>
        <v>0</v>
      </c>
      <c r="AK71">
        <f>SUMIF(RawDataDead!$B:$B,$A71,RawDataDead!AN:AN)</f>
        <v>0</v>
      </c>
      <c r="AL71">
        <f>SUMIF(RawDataDead!$B:$B,$A71,RawDataDead!AO:AO)</f>
        <v>0</v>
      </c>
      <c r="AM71">
        <f>SUMIF(RawDataDead!$B:$B,$A71,RawDataDead!AP:AP)</f>
        <v>0</v>
      </c>
      <c r="AN71">
        <f>SUMIF(RawDataDead!$B:$B,$A71,RawDataDead!AQ:AQ)</f>
        <v>0</v>
      </c>
      <c r="AO71">
        <f>SUMIF(RawDataDead!$B:$B,$A71,RawDataDead!AR:AR)</f>
        <v>0</v>
      </c>
      <c r="AP71">
        <f>SUMIF(RawDataDead!$B:$B,$A71,RawDataDead!AS:AS)</f>
        <v>0</v>
      </c>
      <c r="AQ71">
        <f>SUMIF(RawDataDead!$B:$B,$A71,RawDataDead!AT:AT)</f>
        <v>0</v>
      </c>
      <c r="AR71">
        <f>SUMIF(RawDataDead!$B:$B,$A71,RawDataDead!AU:AU)</f>
        <v>0</v>
      </c>
      <c r="AS71">
        <f>SUMIF(RawDataDead!$B:$B,$A71,RawDataDead!AV:AV)</f>
        <v>0</v>
      </c>
      <c r="AT71">
        <f>SUMIF(RawDataDead!$B:$B,$A71,RawDataDead!AW:AW)</f>
        <v>0</v>
      </c>
      <c r="AU71">
        <f>SUMIF(RawDataDead!$B:$B,$A71,RawDataDead!AX:AX)</f>
        <v>0</v>
      </c>
      <c r="AV71">
        <f>SUMIF(RawDataDead!$B:$B,$A71,RawDataDead!AY:AY)</f>
        <v>0</v>
      </c>
      <c r="AW71">
        <f>SUMIF(RawDataDead!$B:$B,$A71,RawDataDead!AZ:AZ)</f>
        <v>0</v>
      </c>
      <c r="AX71">
        <f>SUMIF(RawDataDead!$B:$B,$A71,RawDataDead!BA:BA)</f>
        <v>0</v>
      </c>
      <c r="AY71">
        <f>SUMIF(RawDataDead!$B:$B,$A71,RawDataDead!BB:BB)</f>
        <v>0</v>
      </c>
      <c r="AZ71">
        <f>SUMIF(RawDataDead!$B:$B,$A71,RawDataDead!BC:BC)</f>
        <v>0</v>
      </c>
      <c r="BA71">
        <f>SUMIF(RawDataDead!$B:$B,$A71,RawDataDead!BD:BD)</f>
        <v>0</v>
      </c>
      <c r="BB71">
        <f>SUMIF(RawDataDead!$B:$B,$A71,RawDataDead!BE:BE)</f>
        <v>2</v>
      </c>
      <c r="BC71">
        <f>SUMIF(RawDataDead!$B:$B,$A71,RawDataDead!BF:BF)</f>
        <v>2</v>
      </c>
      <c r="BD71">
        <f>SUMIF(RawDataDead!$B:$B,$A71,RawDataDead!BG:BG)</f>
        <v>2</v>
      </c>
      <c r="BE71">
        <f>SUMIF(RawDataDead!$B:$B,$A71,RawDataDead!BH:BH)</f>
        <v>2</v>
      </c>
      <c r="BF71">
        <f>SUMIF(RawDataDead!$B:$B,$A71,RawDataDead!BI:BI)</f>
        <v>0</v>
      </c>
      <c r="BG71">
        <f>SUMIF(RawDataDead!$B:$B,$A71,RawDataDead!BJ:BJ)</f>
        <v>0</v>
      </c>
      <c r="BH71">
        <f>SUMIF(RawDataDead!$B:$B,$A71,RawDataDead!BK:BK)</f>
        <v>0</v>
      </c>
      <c r="BI71">
        <f>SUMIF(RawDataDead!$B:$B,$A71,RawDataDead!BL:BL)</f>
        <v>0</v>
      </c>
      <c r="BJ71">
        <f>SUMIF(RawDataDead!$B:$B,$A71,RawDataDead!BM:BM)</f>
        <v>0</v>
      </c>
      <c r="BK71">
        <f>SUMIF(RawDataDead!$B:$B,$A71,RawDataDead!BN:BN)</f>
        <v>0</v>
      </c>
      <c r="BL71">
        <f>SUMIF(RawDataDead!$B:$B,$A71,RawDataDead!BO:BO)</f>
        <v>0</v>
      </c>
      <c r="BM71">
        <f>SUMIF(RawDataDead!$B:$B,$A71,RawDataDead!BP:BP)</f>
        <v>0</v>
      </c>
      <c r="BN71">
        <f>SUMIF(RawDataDead!$B:$B,$A71,RawDataDead!BQ:BQ)</f>
        <v>0</v>
      </c>
      <c r="BO71">
        <f>SUMIF(RawDataDead!$B:$B,$A71,RawDataDead!BR:BR)</f>
        <v>0</v>
      </c>
      <c r="BP71">
        <f>SUMIF(RawDataDead!$B:$B,$A71,RawDataDead!BS:BS)</f>
        <v>0</v>
      </c>
      <c r="BQ71">
        <f>SUMIF(RawDataDead!$B:$B,$A71,RawDataDead!BT:BT)</f>
        <v>0</v>
      </c>
      <c r="BR71">
        <f>SUMIF(RawDataDead!$B:$B,$A71,RawDataDead!BU:BU)</f>
        <v>0</v>
      </c>
      <c r="BS71">
        <f>SUMIF(RawDataDead!$B:$B,$A71,RawDataDead!BV:BV)</f>
        <v>0</v>
      </c>
      <c r="BT71">
        <f>SUMIF(RawDataDead!$B:$B,$A71,RawDataDead!BW:BW)</f>
        <v>0</v>
      </c>
    </row>
    <row r="72" spans="1:72" ht="15" thickBot="1" x14ac:dyDescent="0.35">
      <c r="A72" s="4" t="s">
        <v>138</v>
      </c>
      <c r="B72">
        <f>SUMIF(RawDataDead!$B:$B,$A72,RawDataDead!E:E)</f>
        <v>0</v>
      </c>
      <c r="C72">
        <f>SUMIF(RawDataDead!$B:$B,$A72,RawDataDead!F:F)</f>
        <v>0</v>
      </c>
      <c r="D72">
        <f>SUMIF(RawDataDead!$B:$B,$A72,RawDataDead!G:G)</f>
        <v>0</v>
      </c>
      <c r="E72">
        <f>SUMIF(RawDataDead!$B:$B,$A72,RawDataDead!H:H)</f>
        <v>0</v>
      </c>
      <c r="F72">
        <f>SUMIF(RawDataDead!$B:$B,$A72,RawDataDead!I:I)</f>
        <v>0</v>
      </c>
      <c r="G72">
        <f>SUMIF(RawDataDead!$B:$B,$A72,RawDataDead!J:J)</f>
        <v>0</v>
      </c>
      <c r="H72">
        <f>SUMIF(RawDataDead!$B:$B,$A72,RawDataDead!K:K)</f>
        <v>0</v>
      </c>
      <c r="I72">
        <f>SUMIF(RawDataDead!$B:$B,$A72,RawDataDead!L:L)</f>
        <v>0</v>
      </c>
      <c r="J72">
        <f>SUMIF(RawDataDead!$B:$B,$A72,RawDataDead!M:M)</f>
        <v>0</v>
      </c>
      <c r="K72">
        <f>SUMIF(RawDataDead!$B:$B,$A72,RawDataDead!N:N)</f>
        <v>0</v>
      </c>
      <c r="L72">
        <f>SUMIF(RawDataDead!$B:$B,$A72,RawDataDead!O:O)</f>
        <v>0</v>
      </c>
      <c r="M72">
        <f>SUMIF(RawDataDead!$B:$B,$A72,RawDataDead!P:P)</f>
        <v>0</v>
      </c>
      <c r="N72">
        <f>SUMIF(RawDataDead!$B:$B,$A72,RawDataDead!Q:Q)</f>
        <v>0</v>
      </c>
      <c r="O72">
        <f>SUMIF(RawDataDead!$B:$B,$A72,RawDataDead!R:R)</f>
        <v>0</v>
      </c>
      <c r="P72">
        <f>SUMIF(RawDataDead!$B:$B,$A72,RawDataDead!S:S)</f>
        <v>0</v>
      </c>
      <c r="Q72">
        <f>SUMIF(RawDataDead!$B:$B,$A72,RawDataDead!T:T)</f>
        <v>0</v>
      </c>
      <c r="R72">
        <f>SUMIF(RawDataDead!$B:$B,$A72,RawDataDead!U:U)</f>
        <v>0</v>
      </c>
      <c r="S72">
        <f>SUMIF(RawDataDead!$B:$B,$A72,RawDataDead!V:V)</f>
        <v>0</v>
      </c>
      <c r="T72">
        <f>SUMIF(RawDataDead!$B:$B,$A72,RawDataDead!W:W)</f>
        <v>0</v>
      </c>
      <c r="U72">
        <f>SUMIF(RawDataDead!$B:$B,$A72,RawDataDead!X:X)</f>
        <v>0</v>
      </c>
      <c r="V72">
        <f>SUMIF(RawDataDead!$B:$B,$A72,RawDataDead!Y:Y)</f>
        <v>0</v>
      </c>
      <c r="W72">
        <f>SUMIF(RawDataDead!$B:$B,$A72,RawDataDead!Z:Z)</f>
        <v>0</v>
      </c>
      <c r="X72">
        <f>SUMIF(RawDataDead!$B:$B,$A72,RawDataDead!AA:AA)</f>
        <v>0</v>
      </c>
      <c r="Y72">
        <f>SUMIF(RawDataDead!$B:$B,$A72,RawDataDead!AB:AB)</f>
        <v>0</v>
      </c>
      <c r="Z72">
        <f>SUMIF(RawDataDead!$B:$B,$A72,RawDataDead!AC:AC)</f>
        <v>0</v>
      </c>
      <c r="AA72">
        <f>SUMIF(RawDataDead!$B:$B,$A72,RawDataDead!AD:AD)</f>
        <v>0</v>
      </c>
      <c r="AB72">
        <f>SUMIF(RawDataDead!$B:$B,$A72,RawDataDead!AE:AE)</f>
        <v>0</v>
      </c>
      <c r="AC72">
        <f>SUMIF(RawDataDead!$B:$B,$A72,RawDataDead!AF:AF)</f>
        <v>0</v>
      </c>
      <c r="AD72">
        <f>SUMIF(RawDataDead!$B:$B,$A72,RawDataDead!AG:AG)</f>
        <v>0</v>
      </c>
      <c r="AE72">
        <f>SUMIF(RawDataDead!$B:$B,$A72,RawDataDead!AH:AH)</f>
        <v>0</v>
      </c>
      <c r="AF72">
        <f>SUMIF(RawDataDead!$B:$B,$A72,RawDataDead!AI:AI)</f>
        <v>0</v>
      </c>
      <c r="AG72">
        <f>SUMIF(RawDataDead!$B:$B,$A72,RawDataDead!AJ:AJ)</f>
        <v>0</v>
      </c>
      <c r="AH72">
        <f>SUMIF(RawDataDead!$B:$B,$A72,RawDataDead!AK:AK)</f>
        <v>0</v>
      </c>
      <c r="AI72">
        <f>SUMIF(RawDataDead!$B:$B,$A72,RawDataDead!AL:AL)</f>
        <v>0</v>
      </c>
      <c r="AJ72">
        <f>SUMIF(RawDataDead!$B:$B,$A72,RawDataDead!AM:AM)</f>
        <v>0</v>
      </c>
      <c r="AK72">
        <f>SUMIF(RawDataDead!$B:$B,$A72,RawDataDead!AN:AN)</f>
        <v>0</v>
      </c>
      <c r="AL72">
        <f>SUMIF(RawDataDead!$B:$B,$A72,RawDataDead!AO:AO)</f>
        <v>0</v>
      </c>
      <c r="AM72">
        <f>SUMIF(RawDataDead!$B:$B,$A72,RawDataDead!AP:AP)</f>
        <v>0</v>
      </c>
      <c r="AN72">
        <f>SUMIF(RawDataDead!$B:$B,$A72,RawDataDead!AQ:AQ)</f>
        <v>0</v>
      </c>
      <c r="AO72">
        <f>SUMIF(RawDataDead!$B:$B,$A72,RawDataDead!AR:AR)</f>
        <v>0</v>
      </c>
      <c r="AP72">
        <f>SUMIF(RawDataDead!$B:$B,$A72,RawDataDead!AS:AS)</f>
        <v>0</v>
      </c>
      <c r="AQ72">
        <f>SUMIF(RawDataDead!$B:$B,$A72,RawDataDead!AT:AT)</f>
        <v>0</v>
      </c>
      <c r="AR72">
        <f>SUMIF(RawDataDead!$B:$B,$A72,RawDataDead!AU:AU)</f>
        <v>0</v>
      </c>
      <c r="AS72">
        <f>SUMIF(RawDataDead!$B:$B,$A72,RawDataDead!AV:AV)</f>
        <v>0</v>
      </c>
      <c r="AT72">
        <f>SUMIF(RawDataDead!$B:$B,$A72,RawDataDead!AW:AW)</f>
        <v>0</v>
      </c>
      <c r="AU72">
        <f>SUMIF(RawDataDead!$B:$B,$A72,RawDataDead!AX:AX)</f>
        <v>0</v>
      </c>
      <c r="AV72">
        <f>SUMIF(RawDataDead!$B:$B,$A72,RawDataDead!AY:AY)</f>
        <v>0</v>
      </c>
      <c r="AW72">
        <f>SUMIF(RawDataDead!$B:$B,$A72,RawDataDead!AZ:AZ)</f>
        <v>0</v>
      </c>
      <c r="AX72">
        <f>SUMIF(RawDataDead!$B:$B,$A72,RawDataDead!BA:BA)</f>
        <v>0</v>
      </c>
      <c r="AY72">
        <f>SUMIF(RawDataDead!$B:$B,$A72,RawDataDead!BB:BB)</f>
        <v>0</v>
      </c>
      <c r="AZ72">
        <f>SUMIF(RawDataDead!$B:$B,$A72,RawDataDead!BC:BC)</f>
        <v>0</v>
      </c>
      <c r="BA72">
        <f>SUMIF(RawDataDead!$B:$B,$A72,RawDataDead!BD:BD)</f>
        <v>0</v>
      </c>
      <c r="BB72">
        <f>SUMIF(RawDataDead!$B:$B,$A72,RawDataDead!BE:BE)</f>
        <v>0</v>
      </c>
      <c r="BC72">
        <f>SUMIF(RawDataDead!$B:$B,$A72,RawDataDead!BF:BF)</f>
        <v>0</v>
      </c>
      <c r="BD72">
        <f>SUMIF(RawDataDead!$B:$B,$A72,RawDataDead!BG:BG)</f>
        <v>0</v>
      </c>
      <c r="BE72">
        <f>SUMIF(RawDataDead!$B:$B,$A72,RawDataDead!BH:BH)</f>
        <v>0</v>
      </c>
      <c r="BF72">
        <f>SUMIF(RawDataDead!$B:$B,$A72,RawDataDead!BI:BI)</f>
        <v>0</v>
      </c>
      <c r="BG72">
        <f>SUMIF(RawDataDead!$B:$B,$A72,RawDataDead!BJ:BJ)</f>
        <v>0</v>
      </c>
      <c r="BH72">
        <f>SUMIF(RawDataDead!$B:$B,$A72,RawDataDead!BK:BK)</f>
        <v>0</v>
      </c>
      <c r="BI72">
        <f>SUMIF(RawDataDead!$B:$B,$A72,RawDataDead!BL:BL)</f>
        <v>0</v>
      </c>
      <c r="BJ72">
        <f>SUMIF(RawDataDead!$B:$B,$A72,RawDataDead!BM:BM)</f>
        <v>0</v>
      </c>
      <c r="BK72">
        <f>SUMIF(RawDataDead!$B:$B,$A72,RawDataDead!BN:BN)</f>
        <v>0</v>
      </c>
      <c r="BL72">
        <f>SUMIF(RawDataDead!$B:$B,$A72,RawDataDead!BO:BO)</f>
        <v>0</v>
      </c>
      <c r="BM72">
        <f>SUMIF(RawDataDead!$B:$B,$A72,RawDataDead!BP:BP)</f>
        <v>0</v>
      </c>
      <c r="BN72">
        <f>SUMIF(RawDataDead!$B:$B,$A72,RawDataDead!BQ:BQ)</f>
        <v>0</v>
      </c>
      <c r="BO72">
        <f>SUMIF(RawDataDead!$B:$B,$A72,RawDataDead!BR:BR)</f>
        <v>0</v>
      </c>
      <c r="BP72">
        <f>SUMIF(RawDataDead!$B:$B,$A72,RawDataDead!BS:BS)</f>
        <v>0</v>
      </c>
      <c r="BQ72">
        <f>SUMIF(RawDataDead!$B:$B,$A72,RawDataDead!BT:BT)</f>
        <v>0</v>
      </c>
      <c r="BR72">
        <f>SUMIF(RawDataDead!$B:$B,$A72,RawDataDead!BU:BU)</f>
        <v>0</v>
      </c>
      <c r="BS72">
        <f>SUMIF(RawDataDead!$B:$B,$A72,RawDataDead!BV:BV)</f>
        <v>0</v>
      </c>
      <c r="BT72">
        <f>SUMIF(RawDataDead!$B:$B,$A72,RawDataDead!BW:BW)</f>
        <v>0</v>
      </c>
    </row>
    <row r="73" spans="1:72" ht="15" thickBot="1" x14ac:dyDescent="0.35">
      <c r="A73" s="4" t="s">
        <v>165</v>
      </c>
      <c r="B73">
        <f>SUMIF(RawDataDead!$B:$B,$A73,RawDataDead!E:E)</f>
        <v>0</v>
      </c>
      <c r="C73">
        <f>SUMIF(RawDataDead!$B:$B,$A73,RawDataDead!F:F)</f>
        <v>0</v>
      </c>
      <c r="D73">
        <f>SUMIF(RawDataDead!$B:$B,$A73,RawDataDead!G:G)</f>
        <v>0</v>
      </c>
      <c r="E73">
        <f>SUMIF(RawDataDead!$B:$B,$A73,RawDataDead!H:H)</f>
        <v>0</v>
      </c>
      <c r="F73">
        <f>SUMIF(RawDataDead!$B:$B,$A73,RawDataDead!I:I)</f>
        <v>0</v>
      </c>
      <c r="G73">
        <f>SUMIF(RawDataDead!$B:$B,$A73,RawDataDead!J:J)</f>
        <v>0</v>
      </c>
      <c r="H73">
        <f>SUMIF(RawDataDead!$B:$B,$A73,RawDataDead!K:K)</f>
        <v>0</v>
      </c>
      <c r="I73">
        <f>SUMIF(RawDataDead!$B:$B,$A73,RawDataDead!L:L)</f>
        <v>0</v>
      </c>
      <c r="J73">
        <f>SUMIF(RawDataDead!$B:$B,$A73,RawDataDead!M:M)</f>
        <v>0</v>
      </c>
      <c r="K73">
        <f>SUMIF(RawDataDead!$B:$B,$A73,RawDataDead!N:N)</f>
        <v>0</v>
      </c>
      <c r="L73">
        <f>SUMIF(RawDataDead!$B:$B,$A73,RawDataDead!O:O)</f>
        <v>0</v>
      </c>
      <c r="M73">
        <f>SUMIF(RawDataDead!$B:$B,$A73,RawDataDead!P:P)</f>
        <v>0</v>
      </c>
      <c r="N73">
        <f>SUMIF(RawDataDead!$B:$B,$A73,RawDataDead!Q:Q)</f>
        <v>0</v>
      </c>
      <c r="O73">
        <f>SUMIF(RawDataDead!$B:$B,$A73,RawDataDead!R:R)</f>
        <v>0</v>
      </c>
      <c r="P73">
        <f>SUMIF(RawDataDead!$B:$B,$A73,RawDataDead!S:S)</f>
        <v>0</v>
      </c>
      <c r="Q73">
        <f>SUMIF(RawDataDead!$B:$B,$A73,RawDataDead!T:T)</f>
        <v>0</v>
      </c>
      <c r="R73">
        <f>SUMIF(RawDataDead!$B:$B,$A73,RawDataDead!U:U)</f>
        <v>0</v>
      </c>
      <c r="S73">
        <f>SUMIF(RawDataDead!$B:$B,$A73,RawDataDead!V:V)</f>
        <v>0</v>
      </c>
      <c r="T73">
        <f>SUMIF(RawDataDead!$B:$B,$A73,RawDataDead!W:W)</f>
        <v>0</v>
      </c>
      <c r="U73">
        <f>SUMIF(RawDataDead!$B:$B,$A73,RawDataDead!X:X)</f>
        <v>0</v>
      </c>
      <c r="V73">
        <f>SUMIF(RawDataDead!$B:$B,$A73,RawDataDead!Y:Y)</f>
        <v>0</v>
      </c>
      <c r="W73">
        <f>SUMIF(RawDataDead!$B:$B,$A73,RawDataDead!Z:Z)</f>
        <v>0</v>
      </c>
      <c r="X73">
        <f>SUMIF(RawDataDead!$B:$B,$A73,RawDataDead!AA:AA)</f>
        <v>0</v>
      </c>
      <c r="Y73">
        <f>SUMIF(RawDataDead!$B:$B,$A73,RawDataDead!AB:AB)</f>
        <v>0</v>
      </c>
      <c r="Z73">
        <f>SUMIF(RawDataDead!$B:$B,$A73,RawDataDead!AC:AC)</f>
        <v>0</v>
      </c>
      <c r="AA73">
        <f>SUMIF(RawDataDead!$B:$B,$A73,RawDataDead!AD:AD)</f>
        <v>0</v>
      </c>
      <c r="AB73">
        <f>SUMIF(RawDataDead!$B:$B,$A73,RawDataDead!AE:AE)</f>
        <v>0</v>
      </c>
      <c r="AC73">
        <f>SUMIF(RawDataDead!$B:$B,$A73,RawDataDead!AF:AF)</f>
        <v>0</v>
      </c>
      <c r="AD73">
        <f>SUMIF(RawDataDead!$B:$B,$A73,RawDataDead!AG:AG)</f>
        <v>0</v>
      </c>
      <c r="AE73">
        <f>SUMIF(RawDataDead!$B:$B,$A73,RawDataDead!AH:AH)</f>
        <v>0</v>
      </c>
      <c r="AF73">
        <f>SUMIF(RawDataDead!$B:$B,$A73,RawDataDead!AI:AI)</f>
        <v>0</v>
      </c>
      <c r="AG73">
        <f>SUMIF(RawDataDead!$B:$B,$A73,RawDataDead!AJ:AJ)</f>
        <v>0</v>
      </c>
      <c r="AH73">
        <f>SUMIF(RawDataDead!$B:$B,$A73,RawDataDead!AK:AK)</f>
        <v>0</v>
      </c>
      <c r="AI73">
        <f>SUMIF(RawDataDead!$B:$B,$A73,RawDataDead!AL:AL)</f>
        <v>0</v>
      </c>
      <c r="AJ73">
        <f>SUMIF(RawDataDead!$B:$B,$A73,RawDataDead!AM:AM)</f>
        <v>0</v>
      </c>
      <c r="AK73">
        <f>SUMIF(RawDataDead!$B:$B,$A73,RawDataDead!AN:AN)</f>
        <v>0</v>
      </c>
      <c r="AL73">
        <f>SUMIF(RawDataDead!$B:$B,$A73,RawDataDead!AO:AO)</f>
        <v>0</v>
      </c>
      <c r="AM73">
        <f>SUMIF(RawDataDead!$B:$B,$A73,RawDataDead!AP:AP)</f>
        <v>0</v>
      </c>
      <c r="AN73">
        <f>SUMIF(RawDataDead!$B:$B,$A73,RawDataDead!AQ:AQ)</f>
        <v>0</v>
      </c>
      <c r="AO73">
        <f>SUMIF(RawDataDead!$B:$B,$A73,RawDataDead!AR:AR)</f>
        <v>0</v>
      </c>
      <c r="AP73">
        <f>SUMIF(RawDataDead!$B:$B,$A73,RawDataDead!AS:AS)</f>
        <v>0</v>
      </c>
      <c r="AQ73">
        <f>SUMIF(RawDataDead!$B:$B,$A73,RawDataDead!AT:AT)</f>
        <v>0</v>
      </c>
      <c r="AR73">
        <f>SUMIF(RawDataDead!$B:$B,$A73,RawDataDead!AU:AU)</f>
        <v>0</v>
      </c>
      <c r="AS73">
        <f>SUMIF(RawDataDead!$B:$B,$A73,RawDataDead!AV:AV)</f>
        <v>0</v>
      </c>
      <c r="AT73">
        <f>SUMIF(RawDataDead!$B:$B,$A73,RawDataDead!AW:AW)</f>
        <v>0</v>
      </c>
      <c r="AU73">
        <f>SUMIF(RawDataDead!$B:$B,$A73,RawDataDead!AX:AX)</f>
        <v>0</v>
      </c>
      <c r="AV73">
        <f>SUMIF(RawDataDead!$B:$B,$A73,RawDataDead!AY:AY)</f>
        <v>0</v>
      </c>
      <c r="AW73">
        <f>SUMIF(RawDataDead!$B:$B,$A73,RawDataDead!AZ:AZ)</f>
        <v>0</v>
      </c>
      <c r="AX73">
        <f>SUMIF(RawDataDead!$B:$B,$A73,RawDataDead!BA:BA)</f>
        <v>0</v>
      </c>
      <c r="AY73">
        <f>SUMIF(RawDataDead!$B:$B,$A73,RawDataDead!BB:BB)</f>
        <v>0</v>
      </c>
      <c r="AZ73">
        <f>SUMIF(RawDataDead!$B:$B,$A73,RawDataDead!BC:BC)</f>
        <v>0</v>
      </c>
      <c r="BA73">
        <f>SUMIF(RawDataDead!$B:$B,$A73,RawDataDead!BD:BD)</f>
        <v>0</v>
      </c>
      <c r="BB73">
        <f>SUMIF(RawDataDead!$B:$B,$A73,RawDataDead!BE:BE)</f>
        <v>0</v>
      </c>
      <c r="BC73">
        <f>SUMIF(RawDataDead!$B:$B,$A73,RawDataDead!BF:BF)</f>
        <v>0</v>
      </c>
      <c r="BD73">
        <f>SUMIF(RawDataDead!$B:$B,$A73,RawDataDead!BG:BG)</f>
        <v>0</v>
      </c>
      <c r="BE73">
        <f>SUMIF(RawDataDead!$B:$B,$A73,RawDataDead!BH:BH)</f>
        <v>0</v>
      </c>
      <c r="BF73">
        <f>SUMIF(RawDataDead!$B:$B,$A73,RawDataDead!BI:BI)</f>
        <v>0</v>
      </c>
      <c r="BG73">
        <f>SUMIF(RawDataDead!$B:$B,$A73,RawDataDead!BJ:BJ)</f>
        <v>0</v>
      </c>
      <c r="BH73">
        <f>SUMIF(RawDataDead!$B:$B,$A73,RawDataDead!BK:BK)</f>
        <v>0</v>
      </c>
      <c r="BI73">
        <f>SUMIF(RawDataDead!$B:$B,$A73,RawDataDead!BL:BL)</f>
        <v>0</v>
      </c>
      <c r="BJ73">
        <f>SUMIF(RawDataDead!$B:$B,$A73,RawDataDead!BM:BM)</f>
        <v>0</v>
      </c>
      <c r="BK73">
        <f>SUMIF(RawDataDead!$B:$B,$A73,RawDataDead!BN:BN)</f>
        <v>0</v>
      </c>
      <c r="BL73">
        <f>SUMIF(RawDataDead!$B:$B,$A73,RawDataDead!BO:BO)</f>
        <v>0</v>
      </c>
      <c r="BM73">
        <f>SUMIF(RawDataDead!$B:$B,$A73,RawDataDead!BP:BP)</f>
        <v>0</v>
      </c>
      <c r="BN73">
        <f>SUMIF(RawDataDead!$B:$B,$A73,RawDataDead!BQ:BQ)</f>
        <v>0</v>
      </c>
      <c r="BO73">
        <f>SUMIF(RawDataDead!$B:$B,$A73,RawDataDead!BR:BR)</f>
        <v>0</v>
      </c>
      <c r="BP73">
        <f>SUMIF(RawDataDead!$B:$B,$A73,RawDataDead!BS:BS)</f>
        <v>0</v>
      </c>
      <c r="BQ73">
        <f>SUMIF(RawDataDead!$B:$B,$A73,RawDataDead!BT:BT)</f>
        <v>0</v>
      </c>
      <c r="BR73">
        <f>SUMIF(RawDataDead!$B:$B,$A73,RawDataDead!BU:BU)</f>
        <v>0</v>
      </c>
      <c r="BS73">
        <f>SUMIF(RawDataDead!$B:$B,$A73,RawDataDead!BV:BV)</f>
        <v>0</v>
      </c>
      <c r="BT73">
        <f>SUMIF(RawDataDead!$B:$B,$A73,RawDataDead!BW:BW)</f>
        <v>0</v>
      </c>
    </row>
    <row r="74" spans="1:72" ht="15" thickBot="1" x14ac:dyDescent="0.35">
      <c r="A74" s="3" t="s">
        <v>131</v>
      </c>
      <c r="B74">
        <f>SUMIF(RawDataDead!$B:$B,$A74,RawDataDead!E:E)</f>
        <v>0</v>
      </c>
      <c r="C74">
        <f>SUMIF(RawDataDead!$B:$B,$A74,RawDataDead!F:F)</f>
        <v>0</v>
      </c>
      <c r="D74">
        <f>SUMIF(RawDataDead!$B:$B,$A74,RawDataDead!G:G)</f>
        <v>0</v>
      </c>
      <c r="E74">
        <f>SUMIF(RawDataDead!$B:$B,$A74,RawDataDead!H:H)</f>
        <v>0</v>
      </c>
      <c r="F74">
        <f>SUMIF(RawDataDead!$B:$B,$A74,RawDataDead!I:I)</f>
        <v>0</v>
      </c>
      <c r="G74">
        <f>SUMIF(RawDataDead!$B:$B,$A74,RawDataDead!J:J)</f>
        <v>0</v>
      </c>
      <c r="H74">
        <f>SUMIF(RawDataDead!$B:$B,$A74,RawDataDead!K:K)</f>
        <v>0</v>
      </c>
      <c r="I74">
        <f>SUMIF(RawDataDead!$B:$B,$A74,RawDataDead!L:L)</f>
        <v>0</v>
      </c>
      <c r="J74">
        <f>SUMIF(RawDataDead!$B:$B,$A74,RawDataDead!M:M)</f>
        <v>0</v>
      </c>
      <c r="K74">
        <f>SUMIF(RawDataDead!$B:$B,$A74,RawDataDead!N:N)</f>
        <v>0</v>
      </c>
      <c r="L74">
        <f>SUMIF(RawDataDead!$B:$B,$A74,RawDataDead!O:O)</f>
        <v>0</v>
      </c>
      <c r="M74">
        <f>SUMIF(RawDataDead!$B:$B,$A74,RawDataDead!P:P)</f>
        <v>0</v>
      </c>
      <c r="N74">
        <f>SUMIF(RawDataDead!$B:$B,$A74,RawDataDead!Q:Q)</f>
        <v>0</v>
      </c>
      <c r="O74">
        <f>SUMIF(RawDataDead!$B:$B,$A74,RawDataDead!R:R)</f>
        <v>0</v>
      </c>
      <c r="P74">
        <f>SUMIF(RawDataDead!$B:$B,$A74,RawDataDead!S:S)</f>
        <v>0</v>
      </c>
      <c r="Q74">
        <f>SUMIF(RawDataDead!$B:$B,$A74,RawDataDead!T:T)</f>
        <v>0</v>
      </c>
      <c r="R74">
        <f>SUMIF(RawDataDead!$B:$B,$A74,RawDataDead!U:U)</f>
        <v>0</v>
      </c>
      <c r="S74">
        <f>SUMIF(RawDataDead!$B:$B,$A74,RawDataDead!V:V)</f>
        <v>0</v>
      </c>
      <c r="T74">
        <f>SUMIF(RawDataDead!$B:$B,$A74,RawDataDead!W:W)</f>
        <v>0</v>
      </c>
      <c r="U74">
        <f>SUMIF(RawDataDead!$B:$B,$A74,RawDataDead!X:X)</f>
        <v>0</v>
      </c>
      <c r="V74">
        <f>SUMIF(RawDataDead!$B:$B,$A74,RawDataDead!Y:Y)</f>
        <v>0</v>
      </c>
      <c r="W74">
        <f>SUMIF(RawDataDead!$B:$B,$A74,RawDataDead!Z:Z)</f>
        <v>0</v>
      </c>
      <c r="X74">
        <f>SUMIF(RawDataDead!$B:$B,$A74,RawDataDead!AA:AA)</f>
        <v>0</v>
      </c>
      <c r="Y74">
        <f>SUMIF(RawDataDead!$B:$B,$A74,RawDataDead!AB:AB)</f>
        <v>0</v>
      </c>
      <c r="Z74">
        <f>SUMIF(RawDataDead!$B:$B,$A74,RawDataDead!AC:AC)</f>
        <v>0</v>
      </c>
      <c r="AA74">
        <f>SUMIF(RawDataDead!$B:$B,$A74,RawDataDead!AD:AD)</f>
        <v>0</v>
      </c>
      <c r="AB74">
        <f>SUMIF(RawDataDead!$B:$B,$A74,RawDataDead!AE:AE)</f>
        <v>0</v>
      </c>
      <c r="AC74">
        <f>SUMIF(RawDataDead!$B:$B,$A74,RawDataDead!AF:AF)</f>
        <v>0</v>
      </c>
      <c r="AD74">
        <f>SUMIF(RawDataDead!$B:$B,$A74,RawDataDead!AG:AG)</f>
        <v>0</v>
      </c>
      <c r="AE74">
        <f>SUMIF(RawDataDead!$B:$B,$A74,RawDataDead!AH:AH)</f>
        <v>0</v>
      </c>
      <c r="AF74">
        <f>SUMIF(RawDataDead!$B:$B,$A74,RawDataDead!AI:AI)</f>
        <v>0</v>
      </c>
      <c r="AG74">
        <f>SUMIF(RawDataDead!$B:$B,$A74,RawDataDead!AJ:AJ)</f>
        <v>0</v>
      </c>
      <c r="AH74">
        <f>SUMIF(RawDataDead!$B:$B,$A74,RawDataDead!AK:AK)</f>
        <v>0</v>
      </c>
      <c r="AI74">
        <f>SUMIF(RawDataDead!$B:$B,$A74,RawDataDead!AL:AL)</f>
        <v>0</v>
      </c>
      <c r="AJ74">
        <f>SUMIF(RawDataDead!$B:$B,$A74,RawDataDead!AM:AM)</f>
        <v>0</v>
      </c>
      <c r="AK74">
        <f>SUMIF(RawDataDead!$B:$B,$A74,RawDataDead!AN:AN)</f>
        <v>0</v>
      </c>
      <c r="AL74">
        <f>SUMIF(RawDataDead!$B:$B,$A74,RawDataDead!AO:AO)</f>
        <v>0</v>
      </c>
      <c r="AM74">
        <f>SUMIF(RawDataDead!$B:$B,$A74,RawDataDead!AP:AP)</f>
        <v>0</v>
      </c>
      <c r="AN74">
        <f>SUMIF(RawDataDead!$B:$B,$A74,RawDataDead!AQ:AQ)</f>
        <v>0</v>
      </c>
      <c r="AO74">
        <f>SUMIF(RawDataDead!$B:$B,$A74,RawDataDead!AR:AR)</f>
        <v>0</v>
      </c>
      <c r="AP74">
        <f>SUMIF(RawDataDead!$B:$B,$A74,RawDataDead!AS:AS)</f>
        <v>0</v>
      </c>
      <c r="AQ74">
        <f>SUMIF(RawDataDead!$B:$B,$A74,RawDataDead!AT:AT)</f>
        <v>0</v>
      </c>
      <c r="AR74">
        <f>SUMIF(RawDataDead!$B:$B,$A74,RawDataDead!AU:AU)</f>
        <v>0</v>
      </c>
      <c r="AS74">
        <f>SUMIF(RawDataDead!$B:$B,$A74,RawDataDead!AV:AV)</f>
        <v>0</v>
      </c>
      <c r="AT74">
        <f>SUMIF(RawDataDead!$B:$B,$A74,RawDataDead!AW:AW)</f>
        <v>0</v>
      </c>
      <c r="AU74">
        <f>SUMIF(RawDataDead!$B:$B,$A74,RawDataDead!AX:AX)</f>
        <v>0</v>
      </c>
      <c r="AV74">
        <f>SUMIF(RawDataDead!$B:$B,$A74,RawDataDead!AY:AY)</f>
        <v>0</v>
      </c>
      <c r="AW74">
        <f>SUMIF(RawDataDead!$B:$B,$A74,RawDataDead!AZ:AZ)</f>
        <v>0</v>
      </c>
      <c r="AX74">
        <f>SUMIF(RawDataDead!$B:$B,$A74,RawDataDead!BA:BA)</f>
        <v>0</v>
      </c>
      <c r="AY74">
        <f>SUMIF(RawDataDead!$B:$B,$A74,RawDataDead!BB:BB)</f>
        <v>0</v>
      </c>
      <c r="AZ74">
        <f>SUMIF(RawDataDead!$B:$B,$A74,RawDataDead!BC:BC)</f>
        <v>0</v>
      </c>
      <c r="BA74">
        <f>SUMIF(RawDataDead!$B:$B,$A74,RawDataDead!BD:BD)</f>
        <v>1</v>
      </c>
      <c r="BB74">
        <f>SUMIF(RawDataDead!$B:$B,$A74,RawDataDead!BE:BE)</f>
        <v>1</v>
      </c>
      <c r="BC74">
        <f>SUMIF(RawDataDead!$B:$B,$A74,RawDataDead!BF:BF)</f>
        <v>1</v>
      </c>
      <c r="BD74">
        <f>SUMIF(RawDataDead!$B:$B,$A74,RawDataDead!BG:BG)</f>
        <v>1</v>
      </c>
      <c r="BE74">
        <f>SUMIF(RawDataDead!$B:$B,$A74,RawDataDead!BH:BH)</f>
        <v>1</v>
      </c>
      <c r="BF74">
        <f>SUMIF(RawDataDead!$B:$B,$A74,RawDataDead!BI:BI)</f>
        <v>0</v>
      </c>
      <c r="BG74">
        <f>SUMIF(RawDataDead!$B:$B,$A74,RawDataDead!BJ:BJ)</f>
        <v>0</v>
      </c>
      <c r="BH74">
        <f>SUMIF(RawDataDead!$B:$B,$A74,RawDataDead!BK:BK)</f>
        <v>0</v>
      </c>
      <c r="BI74">
        <f>SUMIF(RawDataDead!$B:$B,$A74,RawDataDead!BL:BL)</f>
        <v>0</v>
      </c>
      <c r="BJ74">
        <f>SUMIF(RawDataDead!$B:$B,$A74,RawDataDead!BM:BM)</f>
        <v>0</v>
      </c>
      <c r="BK74">
        <f>SUMIF(RawDataDead!$B:$B,$A74,RawDataDead!BN:BN)</f>
        <v>0</v>
      </c>
      <c r="BL74">
        <f>SUMIF(RawDataDead!$B:$B,$A74,RawDataDead!BO:BO)</f>
        <v>0</v>
      </c>
      <c r="BM74">
        <f>SUMIF(RawDataDead!$B:$B,$A74,RawDataDead!BP:BP)</f>
        <v>0</v>
      </c>
      <c r="BN74">
        <f>SUMIF(RawDataDead!$B:$B,$A74,RawDataDead!BQ:BQ)</f>
        <v>0</v>
      </c>
      <c r="BO74">
        <f>SUMIF(RawDataDead!$B:$B,$A74,RawDataDead!BR:BR)</f>
        <v>0</v>
      </c>
      <c r="BP74">
        <f>SUMIF(RawDataDead!$B:$B,$A74,RawDataDead!BS:BS)</f>
        <v>0</v>
      </c>
      <c r="BQ74">
        <f>SUMIF(RawDataDead!$B:$B,$A74,RawDataDead!BT:BT)</f>
        <v>0</v>
      </c>
      <c r="BR74">
        <f>SUMIF(RawDataDead!$B:$B,$A74,RawDataDead!BU:BU)</f>
        <v>0</v>
      </c>
      <c r="BS74">
        <f>SUMIF(RawDataDead!$B:$B,$A74,RawDataDead!BV:BV)</f>
        <v>0</v>
      </c>
      <c r="BT74">
        <f>SUMIF(RawDataDead!$B:$B,$A74,RawDataDead!BW:BW)</f>
        <v>0</v>
      </c>
    </row>
    <row r="75" spans="1:72" ht="15" thickBot="1" x14ac:dyDescent="0.35">
      <c r="A75" s="3" t="s">
        <v>258</v>
      </c>
      <c r="B75">
        <f>SUMIF(RawDataDead!$B:$B,$A75,RawDataDead!E:E)</f>
        <v>0</v>
      </c>
      <c r="C75">
        <f>SUMIF(RawDataDead!$B:$B,$A75,RawDataDead!F:F)</f>
        <v>0</v>
      </c>
      <c r="D75">
        <f>SUMIF(RawDataDead!$B:$B,$A75,RawDataDead!G:G)</f>
        <v>0</v>
      </c>
      <c r="E75">
        <f>SUMIF(RawDataDead!$B:$B,$A75,RawDataDead!H:H)</f>
        <v>0</v>
      </c>
      <c r="F75">
        <f>SUMIF(RawDataDead!$B:$B,$A75,RawDataDead!I:I)</f>
        <v>0</v>
      </c>
      <c r="G75">
        <f>SUMIF(RawDataDead!$B:$B,$A75,RawDataDead!J:J)</f>
        <v>0</v>
      </c>
      <c r="H75">
        <f>SUMIF(RawDataDead!$B:$B,$A75,RawDataDead!K:K)</f>
        <v>0</v>
      </c>
      <c r="I75">
        <f>SUMIF(RawDataDead!$B:$B,$A75,RawDataDead!L:L)</f>
        <v>0</v>
      </c>
      <c r="J75">
        <f>SUMIF(RawDataDead!$B:$B,$A75,RawDataDead!M:M)</f>
        <v>0</v>
      </c>
      <c r="K75">
        <f>SUMIF(RawDataDead!$B:$B,$A75,RawDataDead!N:N)</f>
        <v>0</v>
      </c>
      <c r="L75">
        <f>SUMIF(RawDataDead!$B:$B,$A75,RawDataDead!O:O)</f>
        <v>0</v>
      </c>
      <c r="M75">
        <f>SUMIF(RawDataDead!$B:$B,$A75,RawDataDead!P:P)</f>
        <v>0</v>
      </c>
      <c r="N75">
        <f>SUMIF(RawDataDead!$B:$B,$A75,RawDataDead!Q:Q)</f>
        <v>0</v>
      </c>
      <c r="O75">
        <f>SUMIF(RawDataDead!$B:$B,$A75,RawDataDead!R:R)</f>
        <v>0</v>
      </c>
      <c r="P75">
        <f>SUMIF(RawDataDead!$B:$B,$A75,RawDataDead!S:S)</f>
        <v>0</v>
      </c>
      <c r="Q75">
        <f>SUMIF(RawDataDead!$B:$B,$A75,RawDataDead!T:T)</f>
        <v>0</v>
      </c>
      <c r="R75">
        <f>SUMIF(RawDataDead!$B:$B,$A75,RawDataDead!U:U)</f>
        <v>0</v>
      </c>
      <c r="S75">
        <f>SUMIF(RawDataDead!$B:$B,$A75,RawDataDead!V:V)</f>
        <v>0</v>
      </c>
      <c r="T75">
        <f>SUMIF(RawDataDead!$B:$B,$A75,RawDataDead!W:W)</f>
        <v>0</v>
      </c>
      <c r="U75">
        <f>SUMIF(RawDataDead!$B:$B,$A75,RawDataDead!X:X)</f>
        <v>0</v>
      </c>
      <c r="V75">
        <f>SUMIF(RawDataDead!$B:$B,$A75,RawDataDead!Y:Y)</f>
        <v>0</v>
      </c>
      <c r="W75">
        <f>SUMIF(RawDataDead!$B:$B,$A75,RawDataDead!Z:Z)</f>
        <v>0</v>
      </c>
      <c r="X75">
        <f>SUMIF(RawDataDead!$B:$B,$A75,RawDataDead!AA:AA)</f>
        <v>0</v>
      </c>
      <c r="Y75">
        <f>SUMIF(RawDataDead!$B:$B,$A75,RawDataDead!AB:AB)</f>
        <v>0</v>
      </c>
      <c r="Z75">
        <f>SUMIF(RawDataDead!$B:$B,$A75,RawDataDead!AC:AC)</f>
        <v>0</v>
      </c>
      <c r="AA75">
        <f>SUMIF(RawDataDead!$B:$B,$A75,RawDataDead!AD:AD)</f>
        <v>0</v>
      </c>
      <c r="AB75">
        <f>SUMIF(RawDataDead!$B:$B,$A75,RawDataDead!AE:AE)</f>
        <v>0</v>
      </c>
      <c r="AC75">
        <f>SUMIF(RawDataDead!$B:$B,$A75,RawDataDead!AF:AF)</f>
        <v>0</v>
      </c>
      <c r="AD75">
        <f>SUMIF(RawDataDead!$B:$B,$A75,RawDataDead!AG:AG)</f>
        <v>0</v>
      </c>
      <c r="AE75">
        <f>SUMIF(RawDataDead!$B:$B,$A75,RawDataDead!AH:AH)</f>
        <v>0</v>
      </c>
      <c r="AF75">
        <f>SUMIF(RawDataDead!$B:$B,$A75,RawDataDead!AI:AI)</f>
        <v>0</v>
      </c>
      <c r="AG75">
        <f>SUMIF(RawDataDead!$B:$B,$A75,RawDataDead!AJ:AJ)</f>
        <v>0</v>
      </c>
      <c r="AH75">
        <f>SUMIF(RawDataDead!$B:$B,$A75,RawDataDead!AK:AK)</f>
        <v>0</v>
      </c>
      <c r="AI75">
        <f>SUMIF(RawDataDead!$B:$B,$A75,RawDataDead!AL:AL)</f>
        <v>0</v>
      </c>
      <c r="AJ75">
        <f>SUMIF(RawDataDead!$B:$B,$A75,RawDataDead!AM:AM)</f>
        <v>0</v>
      </c>
      <c r="AK75">
        <f>SUMIF(RawDataDead!$B:$B,$A75,RawDataDead!AN:AN)</f>
        <v>0</v>
      </c>
      <c r="AL75">
        <f>SUMIF(RawDataDead!$B:$B,$A75,RawDataDead!AO:AO)</f>
        <v>0</v>
      </c>
      <c r="AM75">
        <f>SUMIF(RawDataDead!$B:$B,$A75,RawDataDead!AP:AP)</f>
        <v>0</v>
      </c>
      <c r="AN75">
        <f>SUMIF(RawDataDead!$B:$B,$A75,RawDataDead!AQ:AQ)</f>
        <v>0</v>
      </c>
      <c r="AO75">
        <f>SUMIF(RawDataDead!$B:$B,$A75,RawDataDead!AR:AR)</f>
        <v>0</v>
      </c>
      <c r="AP75">
        <f>SUMIF(RawDataDead!$B:$B,$A75,RawDataDead!AS:AS)</f>
        <v>0</v>
      </c>
      <c r="AQ75">
        <f>SUMIF(RawDataDead!$B:$B,$A75,RawDataDead!AT:AT)</f>
        <v>0</v>
      </c>
      <c r="AR75">
        <f>SUMIF(RawDataDead!$B:$B,$A75,RawDataDead!AU:AU)</f>
        <v>0</v>
      </c>
      <c r="AS75">
        <f>SUMIF(RawDataDead!$B:$B,$A75,RawDataDead!AV:AV)</f>
        <v>0</v>
      </c>
      <c r="AT75">
        <f>SUMIF(RawDataDead!$B:$B,$A75,RawDataDead!AW:AW)</f>
        <v>0</v>
      </c>
      <c r="AU75">
        <f>SUMIF(RawDataDead!$B:$B,$A75,RawDataDead!AX:AX)</f>
        <v>0</v>
      </c>
      <c r="AV75">
        <f>SUMIF(RawDataDead!$B:$B,$A75,RawDataDead!AY:AY)</f>
        <v>0</v>
      </c>
      <c r="AW75">
        <f>SUMIF(RawDataDead!$B:$B,$A75,RawDataDead!AZ:AZ)</f>
        <v>0</v>
      </c>
      <c r="AX75">
        <f>SUMIF(RawDataDead!$B:$B,$A75,RawDataDead!BA:BA)</f>
        <v>0</v>
      </c>
      <c r="AY75">
        <f>SUMIF(RawDataDead!$B:$B,$A75,RawDataDead!BB:BB)</f>
        <v>0</v>
      </c>
      <c r="AZ75">
        <f>SUMIF(RawDataDead!$B:$B,$A75,RawDataDead!BC:BC)</f>
        <v>0</v>
      </c>
      <c r="BA75">
        <f>SUMIF(RawDataDead!$B:$B,$A75,RawDataDead!BD:BD)</f>
        <v>0</v>
      </c>
      <c r="BB75">
        <f>SUMIF(RawDataDead!$B:$B,$A75,RawDataDead!BE:BE)</f>
        <v>0</v>
      </c>
      <c r="BC75">
        <f>SUMIF(RawDataDead!$B:$B,$A75,RawDataDead!BF:BF)</f>
        <v>0</v>
      </c>
      <c r="BD75">
        <f>SUMIF(RawDataDead!$B:$B,$A75,RawDataDead!BG:BG)</f>
        <v>0</v>
      </c>
      <c r="BE75">
        <f>SUMIF(RawDataDead!$B:$B,$A75,RawDataDead!BH:BH)</f>
        <v>0</v>
      </c>
      <c r="BF75">
        <f>SUMIF(RawDataDead!$B:$B,$A75,RawDataDead!BI:BI)</f>
        <v>0</v>
      </c>
      <c r="BG75">
        <f>SUMIF(RawDataDead!$B:$B,$A75,RawDataDead!BJ:BJ)</f>
        <v>0</v>
      </c>
      <c r="BH75">
        <f>SUMIF(RawDataDead!$B:$B,$A75,RawDataDead!BK:BK)</f>
        <v>0</v>
      </c>
      <c r="BI75">
        <f>SUMIF(RawDataDead!$B:$B,$A75,RawDataDead!BL:BL)</f>
        <v>0</v>
      </c>
      <c r="BJ75">
        <f>SUMIF(RawDataDead!$B:$B,$A75,RawDataDead!BM:BM)</f>
        <v>0</v>
      </c>
      <c r="BK75">
        <f>SUMIF(RawDataDead!$B:$B,$A75,RawDataDead!BN:BN)</f>
        <v>0</v>
      </c>
      <c r="BL75">
        <f>SUMIF(RawDataDead!$B:$B,$A75,RawDataDead!BO:BO)</f>
        <v>0</v>
      </c>
      <c r="BM75">
        <f>SUMIF(RawDataDead!$B:$B,$A75,RawDataDead!BP:BP)</f>
        <v>0</v>
      </c>
      <c r="BN75">
        <f>SUMIF(RawDataDead!$B:$B,$A75,RawDataDead!BQ:BQ)</f>
        <v>0</v>
      </c>
      <c r="BO75">
        <f>SUMIF(RawDataDead!$B:$B,$A75,RawDataDead!BR:BR)</f>
        <v>0</v>
      </c>
      <c r="BP75">
        <f>SUMIF(RawDataDead!$B:$B,$A75,RawDataDead!BS:BS)</f>
        <v>0</v>
      </c>
      <c r="BQ75">
        <f>SUMIF(RawDataDead!$B:$B,$A75,RawDataDead!BT:BT)</f>
        <v>0</v>
      </c>
      <c r="BR75">
        <f>SUMIF(RawDataDead!$B:$B,$A75,RawDataDead!BU:BU)</f>
        <v>0</v>
      </c>
      <c r="BS75">
        <f>SUMIF(RawDataDead!$B:$B,$A75,RawDataDead!BV:BV)</f>
        <v>0</v>
      </c>
      <c r="BT75">
        <f>SUMIF(RawDataDead!$B:$B,$A75,RawDataDead!BW:BW)</f>
        <v>0</v>
      </c>
    </row>
    <row r="76" spans="1:72" ht="15" thickBot="1" x14ac:dyDescent="0.35">
      <c r="A76" s="3" t="s">
        <v>111</v>
      </c>
      <c r="B76">
        <f>SUMIF(RawDataDead!$B:$B,$A76,RawDataDead!E:E)</f>
        <v>0</v>
      </c>
      <c r="C76">
        <f>SUMIF(RawDataDead!$B:$B,$A76,RawDataDead!F:F)</f>
        <v>0</v>
      </c>
      <c r="D76">
        <f>SUMIF(RawDataDead!$B:$B,$A76,RawDataDead!G:G)</f>
        <v>0</v>
      </c>
      <c r="E76">
        <f>SUMIF(RawDataDead!$B:$B,$A76,RawDataDead!H:H)</f>
        <v>0</v>
      </c>
      <c r="F76">
        <f>SUMIF(RawDataDead!$B:$B,$A76,RawDataDead!I:I)</f>
        <v>0</v>
      </c>
      <c r="G76">
        <f>SUMIF(RawDataDead!$B:$B,$A76,RawDataDead!J:J)</f>
        <v>0</v>
      </c>
      <c r="H76">
        <f>SUMIF(RawDataDead!$B:$B,$A76,RawDataDead!K:K)</f>
        <v>0</v>
      </c>
      <c r="I76">
        <f>SUMIF(RawDataDead!$B:$B,$A76,RawDataDead!L:L)</f>
        <v>0</v>
      </c>
      <c r="J76">
        <f>SUMIF(RawDataDead!$B:$B,$A76,RawDataDead!M:M)</f>
        <v>0</v>
      </c>
      <c r="K76">
        <f>SUMIF(RawDataDead!$B:$B,$A76,RawDataDead!N:N)</f>
        <v>0</v>
      </c>
      <c r="L76">
        <f>SUMIF(RawDataDead!$B:$B,$A76,RawDataDead!O:O)</f>
        <v>0</v>
      </c>
      <c r="M76">
        <f>SUMIF(RawDataDead!$B:$B,$A76,RawDataDead!P:P)</f>
        <v>0</v>
      </c>
      <c r="N76">
        <f>SUMIF(RawDataDead!$B:$B,$A76,RawDataDead!Q:Q)</f>
        <v>0</v>
      </c>
      <c r="O76">
        <f>SUMIF(RawDataDead!$B:$B,$A76,RawDataDead!R:R)</f>
        <v>0</v>
      </c>
      <c r="P76">
        <f>SUMIF(RawDataDead!$B:$B,$A76,RawDataDead!S:S)</f>
        <v>0</v>
      </c>
      <c r="Q76">
        <f>SUMIF(RawDataDead!$B:$B,$A76,RawDataDead!T:T)</f>
        <v>0</v>
      </c>
      <c r="R76">
        <f>SUMIF(RawDataDead!$B:$B,$A76,RawDataDead!U:U)</f>
        <v>0</v>
      </c>
      <c r="S76">
        <f>SUMIF(RawDataDead!$B:$B,$A76,RawDataDead!V:V)</f>
        <v>0</v>
      </c>
      <c r="T76">
        <f>SUMIF(RawDataDead!$B:$B,$A76,RawDataDead!W:W)</f>
        <v>0</v>
      </c>
      <c r="U76">
        <f>SUMIF(RawDataDead!$B:$B,$A76,RawDataDead!X:X)</f>
        <v>0</v>
      </c>
      <c r="V76">
        <f>SUMIF(RawDataDead!$B:$B,$A76,RawDataDead!Y:Y)</f>
        <v>0</v>
      </c>
      <c r="W76">
        <f>SUMIF(RawDataDead!$B:$B,$A76,RawDataDead!Z:Z)</f>
        <v>0</v>
      </c>
      <c r="X76">
        <f>SUMIF(RawDataDead!$B:$B,$A76,RawDataDead!AA:AA)</f>
        <v>0</v>
      </c>
      <c r="Y76">
        <f>SUMIF(RawDataDead!$B:$B,$A76,RawDataDead!AB:AB)</f>
        <v>0</v>
      </c>
      <c r="Z76">
        <f>SUMIF(RawDataDead!$B:$B,$A76,RawDataDead!AC:AC)</f>
        <v>0</v>
      </c>
      <c r="AA76">
        <f>SUMIF(RawDataDead!$B:$B,$A76,RawDataDead!AD:AD)</f>
        <v>0</v>
      </c>
      <c r="AB76">
        <f>SUMIF(RawDataDead!$B:$B,$A76,RawDataDead!AE:AE)</f>
        <v>0</v>
      </c>
      <c r="AC76">
        <f>SUMIF(RawDataDead!$B:$B,$A76,RawDataDead!AF:AF)</f>
        <v>0</v>
      </c>
      <c r="AD76">
        <f>SUMIF(RawDataDead!$B:$B,$A76,RawDataDead!AG:AG)</f>
        <v>0</v>
      </c>
      <c r="AE76">
        <f>SUMIF(RawDataDead!$B:$B,$A76,RawDataDead!AH:AH)</f>
        <v>0</v>
      </c>
      <c r="AF76">
        <f>SUMIF(RawDataDead!$B:$B,$A76,RawDataDead!AI:AI)</f>
        <v>0</v>
      </c>
      <c r="AG76">
        <f>SUMIF(RawDataDead!$B:$B,$A76,RawDataDead!AJ:AJ)</f>
        <v>0</v>
      </c>
      <c r="AH76">
        <f>SUMIF(RawDataDead!$B:$B,$A76,RawDataDead!AK:AK)</f>
        <v>0</v>
      </c>
      <c r="AI76">
        <f>SUMIF(RawDataDead!$B:$B,$A76,RawDataDead!AL:AL)</f>
        <v>0</v>
      </c>
      <c r="AJ76">
        <f>SUMIF(RawDataDead!$B:$B,$A76,RawDataDead!AM:AM)</f>
        <v>0</v>
      </c>
      <c r="AK76">
        <f>SUMIF(RawDataDead!$B:$B,$A76,RawDataDead!AN:AN)</f>
        <v>0</v>
      </c>
      <c r="AL76">
        <f>SUMIF(RawDataDead!$B:$B,$A76,RawDataDead!AO:AO)</f>
        <v>0</v>
      </c>
      <c r="AM76">
        <f>SUMIF(RawDataDead!$B:$B,$A76,RawDataDead!AP:AP)</f>
        <v>0</v>
      </c>
      <c r="AN76">
        <f>SUMIF(RawDataDead!$B:$B,$A76,RawDataDead!AQ:AQ)</f>
        <v>0</v>
      </c>
      <c r="AO76">
        <f>SUMIF(RawDataDead!$B:$B,$A76,RawDataDead!AR:AR)</f>
        <v>0</v>
      </c>
      <c r="AP76">
        <f>SUMIF(RawDataDead!$B:$B,$A76,RawDataDead!AS:AS)</f>
        <v>0</v>
      </c>
      <c r="AQ76">
        <f>SUMIF(RawDataDead!$B:$B,$A76,RawDataDead!AT:AT)</f>
        <v>0</v>
      </c>
      <c r="AR76">
        <f>SUMIF(RawDataDead!$B:$B,$A76,RawDataDead!AU:AU)</f>
        <v>0</v>
      </c>
      <c r="AS76">
        <f>SUMIF(RawDataDead!$B:$B,$A76,RawDataDead!AV:AV)</f>
        <v>0</v>
      </c>
      <c r="AT76">
        <f>SUMIF(RawDataDead!$B:$B,$A76,RawDataDead!AW:AW)</f>
        <v>0</v>
      </c>
      <c r="AU76">
        <f>SUMIF(RawDataDead!$B:$B,$A76,RawDataDead!AX:AX)</f>
        <v>0</v>
      </c>
      <c r="AV76">
        <f>SUMIF(RawDataDead!$B:$B,$A76,RawDataDead!AY:AY)</f>
        <v>0</v>
      </c>
      <c r="AW76">
        <f>SUMIF(RawDataDead!$B:$B,$A76,RawDataDead!AZ:AZ)</f>
        <v>0</v>
      </c>
      <c r="AX76">
        <f>SUMIF(RawDataDead!$B:$B,$A76,RawDataDead!BA:BA)</f>
        <v>0</v>
      </c>
      <c r="AY76">
        <f>SUMIF(RawDataDead!$B:$B,$A76,RawDataDead!BB:BB)</f>
        <v>0</v>
      </c>
      <c r="AZ76">
        <f>SUMIF(RawDataDead!$B:$B,$A76,RawDataDead!BC:BC)</f>
        <v>0</v>
      </c>
      <c r="BA76">
        <f>SUMIF(RawDataDead!$B:$B,$A76,RawDataDead!BD:BD)</f>
        <v>0</v>
      </c>
      <c r="BB76">
        <f>SUMIF(RawDataDead!$B:$B,$A76,RawDataDead!BE:BE)</f>
        <v>0</v>
      </c>
      <c r="BC76">
        <f>SUMIF(RawDataDead!$B:$B,$A76,RawDataDead!BF:BF)</f>
        <v>0</v>
      </c>
      <c r="BD76">
        <f>SUMIF(RawDataDead!$B:$B,$A76,RawDataDead!BG:BG)</f>
        <v>0</v>
      </c>
      <c r="BE76">
        <f>SUMIF(RawDataDead!$B:$B,$A76,RawDataDead!BH:BH)</f>
        <v>0</v>
      </c>
      <c r="BF76">
        <f>SUMIF(RawDataDead!$B:$B,$A76,RawDataDead!BI:BI)</f>
        <v>0</v>
      </c>
      <c r="BG76">
        <f>SUMIF(RawDataDead!$B:$B,$A76,RawDataDead!BJ:BJ)</f>
        <v>0</v>
      </c>
      <c r="BH76">
        <f>SUMIF(RawDataDead!$B:$B,$A76,RawDataDead!BK:BK)</f>
        <v>0</v>
      </c>
      <c r="BI76">
        <f>SUMIF(RawDataDead!$B:$B,$A76,RawDataDead!BL:BL)</f>
        <v>0</v>
      </c>
      <c r="BJ76">
        <f>SUMIF(RawDataDead!$B:$B,$A76,RawDataDead!BM:BM)</f>
        <v>0</v>
      </c>
      <c r="BK76">
        <f>SUMIF(RawDataDead!$B:$B,$A76,RawDataDead!BN:BN)</f>
        <v>0</v>
      </c>
      <c r="BL76">
        <f>SUMIF(RawDataDead!$B:$B,$A76,RawDataDead!BO:BO)</f>
        <v>0</v>
      </c>
      <c r="BM76">
        <f>SUMIF(RawDataDead!$B:$B,$A76,RawDataDead!BP:BP)</f>
        <v>0</v>
      </c>
      <c r="BN76">
        <f>SUMIF(RawDataDead!$B:$B,$A76,RawDataDead!BQ:BQ)</f>
        <v>0</v>
      </c>
      <c r="BO76">
        <f>SUMIF(RawDataDead!$B:$B,$A76,RawDataDead!BR:BR)</f>
        <v>0</v>
      </c>
      <c r="BP76">
        <f>SUMIF(RawDataDead!$B:$B,$A76,RawDataDead!BS:BS)</f>
        <v>0</v>
      </c>
      <c r="BQ76">
        <f>SUMIF(RawDataDead!$B:$B,$A76,RawDataDead!BT:BT)</f>
        <v>0</v>
      </c>
      <c r="BR76">
        <f>SUMIF(RawDataDead!$B:$B,$A76,RawDataDead!BU:BU)</f>
        <v>0</v>
      </c>
      <c r="BS76">
        <f>SUMIF(RawDataDead!$B:$B,$A76,RawDataDead!BV:BV)</f>
        <v>0</v>
      </c>
      <c r="BT76">
        <f>SUMIF(RawDataDead!$B:$B,$A76,RawDataDead!BW:BW)</f>
        <v>0</v>
      </c>
    </row>
    <row r="77" spans="1:72" ht="15" thickBot="1" x14ac:dyDescent="0.35">
      <c r="A77" s="3" t="s">
        <v>167</v>
      </c>
      <c r="B77">
        <f>SUMIF(RawDataDead!$B:$B,$A77,RawDataDead!E:E)</f>
        <v>0</v>
      </c>
      <c r="C77">
        <f>SUMIF(RawDataDead!$B:$B,$A77,RawDataDead!F:F)</f>
        <v>0</v>
      </c>
      <c r="D77">
        <f>SUMIF(RawDataDead!$B:$B,$A77,RawDataDead!G:G)</f>
        <v>0</v>
      </c>
      <c r="E77">
        <f>SUMIF(RawDataDead!$B:$B,$A77,RawDataDead!H:H)</f>
        <v>0</v>
      </c>
      <c r="F77">
        <f>SUMIF(RawDataDead!$B:$B,$A77,RawDataDead!I:I)</f>
        <v>0</v>
      </c>
      <c r="G77">
        <f>SUMIF(RawDataDead!$B:$B,$A77,RawDataDead!J:J)</f>
        <v>0</v>
      </c>
      <c r="H77">
        <f>SUMIF(RawDataDead!$B:$B,$A77,RawDataDead!K:K)</f>
        <v>0</v>
      </c>
      <c r="I77">
        <f>SUMIF(RawDataDead!$B:$B,$A77,RawDataDead!L:L)</f>
        <v>0</v>
      </c>
      <c r="J77">
        <f>SUMIF(RawDataDead!$B:$B,$A77,RawDataDead!M:M)</f>
        <v>0</v>
      </c>
      <c r="K77">
        <f>SUMIF(RawDataDead!$B:$B,$A77,RawDataDead!N:N)</f>
        <v>0</v>
      </c>
      <c r="L77">
        <f>SUMIF(RawDataDead!$B:$B,$A77,RawDataDead!O:O)</f>
        <v>0</v>
      </c>
      <c r="M77">
        <f>SUMIF(RawDataDead!$B:$B,$A77,RawDataDead!P:P)</f>
        <v>0</v>
      </c>
      <c r="N77">
        <f>SUMIF(RawDataDead!$B:$B,$A77,RawDataDead!Q:Q)</f>
        <v>0</v>
      </c>
      <c r="O77">
        <f>SUMIF(RawDataDead!$B:$B,$A77,RawDataDead!R:R)</f>
        <v>0</v>
      </c>
      <c r="P77">
        <f>SUMIF(RawDataDead!$B:$B,$A77,RawDataDead!S:S)</f>
        <v>0</v>
      </c>
      <c r="Q77">
        <f>SUMIF(RawDataDead!$B:$B,$A77,RawDataDead!T:T)</f>
        <v>0</v>
      </c>
      <c r="R77">
        <f>SUMIF(RawDataDead!$B:$B,$A77,RawDataDead!U:U)</f>
        <v>0</v>
      </c>
      <c r="S77">
        <f>SUMIF(RawDataDead!$B:$B,$A77,RawDataDead!V:V)</f>
        <v>0</v>
      </c>
      <c r="T77">
        <f>SUMIF(RawDataDead!$B:$B,$A77,RawDataDead!W:W)</f>
        <v>0</v>
      </c>
      <c r="U77">
        <f>SUMIF(RawDataDead!$B:$B,$A77,RawDataDead!X:X)</f>
        <v>0</v>
      </c>
      <c r="V77">
        <f>SUMIF(RawDataDead!$B:$B,$A77,RawDataDead!Y:Y)</f>
        <v>0</v>
      </c>
      <c r="W77">
        <f>SUMIF(RawDataDead!$B:$B,$A77,RawDataDead!Z:Z)</f>
        <v>0</v>
      </c>
      <c r="X77">
        <f>SUMIF(RawDataDead!$B:$B,$A77,RawDataDead!AA:AA)</f>
        <v>0</v>
      </c>
      <c r="Y77">
        <f>SUMIF(RawDataDead!$B:$B,$A77,RawDataDead!AB:AB)</f>
        <v>0</v>
      </c>
      <c r="Z77">
        <f>SUMIF(RawDataDead!$B:$B,$A77,RawDataDead!AC:AC)</f>
        <v>0</v>
      </c>
      <c r="AA77">
        <f>SUMIF(RawDataDead!$B:$B,$A77,RawDataDead!AD:AD)</f>
        <v>0</v>
      </c>
      <c r="AB77">
        <f>SUMIF(RawDataDead!$B:$B,$A77,RawDataDead!AE:AE)</f>
        <v>0</v>
      </c>
      <c r="AC77">
        <f>SUMIF(RawDataDead!$B:$B,$A77,RawDataDead!AF:AF)</f>
        <v>0</v>
      </c>
      <c r="AD77">
        <f>SUMIF(RawDataDead!$B:$B,$A77,RawDataDead!AG:AG)</f>
        <v>0</v>
      </c>
      <c r="AE77">
        <f>SUMIF(RawDataDead!$B:$B,$A77,RawDataDead!AH:AH)</f>
        <v>0</v>
      </c>
      <c r="AF77">
        <f>SUMIF(RawDataDead!$B:$B,$A77,RawDataDead!AI:AI)</f>
        <v>0</v>
      </c>
      <c r="AG77">
        <f>SUMIF(RawDataDead!$B:$B,$A77,RawDataDead!AJ:AJ)</f>
        <v>0</v>
      </c>
      <c r="AH77">
        <f>SUMIF(RawDataDead!$B:$B,$A77,RawDataDead!AK:AK)</f>
        <v>0</v>
      </c>
      <c r="AI77">
        <f>SUMIF(RawDataDead!$B:$B,$A77,RawDataDead!AL:AL)</f>
        <v>0</v>
      </c>
      <c r="AJ77">
        <f>SUMIF(RawDataDead!$B:$B,$A77,RawDataDead!AM:AM)</f>
        <v>0</v>
      </c>
      <c r="AK77">
        <f>SUMIF(RawDataDead!$B:$B,$A77,RawDataDead!AN:AN)</f>
        <v>0</v>
      </c>
      <c r="AL77">
        <f>SUMIF(RawDataDead!$B:$B,$A77,RawDataDead!AO:AO)</f>
        <v>0</v>
      </c>
      <c r="AM77">
        <f>SUMIF(RawDataDead!$B:$B,$A77,RawDataDead!AP:AP)</f>
        <v>0</v>
      </c>
      <c r="AN77">
        <f>SUMIF(RawDataDead!$B:$B,$A77,RawDataDead!AQ:AQ)</f>
        <v>0</v>
      </c>
      <c r="AO77">
        <f>SUMIF(RawDataDead!$B:$B,$A77,RawDataDead!AR:AR)</f>
        <v>0</v>
      </c>
      <c r="AP77">
        <f>SUMIF(RawDataDead!$B:$B,$A77,RawDataDead!AS:AS)</f>
        <v>0</v>
      </c>
      <c r="AQ77">
        <f>SUMIF(RawDataDead!$B:$B,$A77,RawDataDead!AT:AT)</f>
        <v>0</v>
      </c>
      <c r="AR77">
        <f>SUMIF(RawDataDead!$B:$B,$A77,RawDataDead!AU:AU)</f>
        <v>0</v>
      </c>
      <c r="AS77">
        <f>SUMIF(RawDataDead!$B:$B,$A77,RawDataDead!AV:AV)</f>
        <v>0</v>
      </c>
      <c r="AT77">
        <f>SUMIF(RawDataDead!$B:$B,$A77,RawDataDead!AW:AW)</f>
        <v>0</v>
      </c>
      <c r="AU77">
        <f>SUMIF(RawDataDead!$B:$B,$A77,RawDataDead!AX:AX)</f>
        <v>0</v>
      </c>
      <c r="AV77">
        <f>SUMIF(RawDataDead!$B:$B,$A77,RawDataDead!AY:AY)</f>
        <v>0</v>
      </c>
      <c r="AW77">
        <f>SUMIF(RawDataDead!$B:$B,$A77,RawDataDead!AZ:AZ)</f>
        <v>0</v>
      </c>
      <c r="AX77">
        <f>SUMIF(RawDataDead!$B:$B,$A77,RawDataDead!BA:BA)</f>
        <v>0</v>
      </c>
      <c r="AY77">
        <f>SUMIF(RawDataDead!$B:$B,$A77,RawDataDead!BB:BB)</f>
        <v>0</v>
      </c>
      <c r="AZ77">
        <f>SUMIF(RawDataDead!$B:$B,$A77,RawDataDead!BC:BC)</f>
        <v>0</v>
      </c>
      <c r="BA77">
        <f>SUMIF(RawDataDead!$B:$B,$A77,RawDataDead!BD:BD)</f>
        <v>0</v>
      </c>
      <c r="BB77">
        <f>SUMIF(RawDataDead!$B:$B,$A77,RawDataDead!BE:BE)</f>
        <v>0</v>
      </c>
      <c r="BC77">
        <f>SUMIF(RawDataDead!$B:$B,$A77,RawDataDead!BF:BF)</f>
        <v>0</v>
      </c>
      <c r="BD77">
        <f>SUMIF(RawDataDead!$B:$B,$A77,RawDataDead!BG:BG)</f>
        <v>0</v>
      </c>
      <c r="BE77">
        <f>SUMIF(RawDataDead!$B:$B,$A77,RawDataDead!BH:BH)</f>
        <v>0</v>
      </c>
      <c r="BF77">
        <f>SUMIF(RawDataDead!$B:$B,$A77,RawDataDead!BI:BI)</f>
        <v>0</v>
      </c>
      <c r="BG77">
        <f>SUMIF(RawDataDead!$B:$B,$A77,RawDataDead!BJ:BJ)</f>
        <v>0</v>
      </c>
      <c r="BH77">
        <f>SUMIF(RawDataDead!$B:$B,$A77,RawDataDead!BK:BK)</f>
        <v>0</v>
      </c>
      <c r="BI77">
        <f>SUMIF(RawDataDead!$B:$B,$A77,RawDataDead!BL:BL)</f>
        <v>0</v>
      </c>
      <c r="BJ77">
        <f>SUMIF(RawDataDead!$B:$B,$A77,RawDataDead!BM:BM)</f>
        <v>0</v>
      </c>
      <c r="BK77">
        <f>SUMIF(RawDataDead!$B:$B,$A77,RawDataDead!BN:BN)</f>
        <v>0</v>
      </c>
      <c r="BL77">
        <f>SUMIF(RawDataDead!$B:$B,$A77,RawDataDead!BO:BO)</f>
        <v>0</v>
      </c>
      <c r="BM77">
        <f>SUMIF(RawDataDead!$B:$B,$A77,RawDataDead!BP:BP)</f>
        <v>0</v>
      </c>
      <c r="BN77">
        <f>SUMIF(RawDataDead!$B:$B,$A77,RawDataDead!BQ:BQ)</f>
        <v>0</v>
      </c>
      <c r="BO77">
        <f>SUMIF(RawDataDead!$B:$B,$A77,RawDataDead!BR:BR)</f>
        <v>0</v>
      </c>
      <c r="BP77">
        <f>SUMIF(RawDataDead!$B:$B,$A77,RawDataDead!BS:BS)</f>
        <v>0</v>
      </c>
      <c r="BQ77">
        <f>SUMIF(RawDataDead!$B:$B,$A77,RawDataDead!BT:BT)</f>
        <v>0</v>
      </c>
      <c r="BR77">
        <f>SUMIF(RawDataDead!$B:$B,$A77,RawDataDead!BU:BU)</f>
        <v>0</v>
      </c>
      <c r="BS77">
        <f>SUMIF(RawDataDead!$B:$B,$A77,RawDataDead!BV:BV)</f>
        <v>0</v>
      </c>
      <c r="BT77">
        <f>SUMIF(RawDataDead!$B:$B,$A77,RawDataDead!BW:BW)</f>
        <v>0</v>
      </c>
    </row>
    <row r="78" spans="1:72" ht="15" thickBot="1" x14ac:dyDescent="0.35">
      <c r="A78" s="4" t="s">
        <v>185</v>
      </c>
      <c r="B78">
        <f>SUMIF(RawDataDead!$B:$B,$A78,RawDataDead!E:E)</f>
        <v>0</v>
      </c>
      <c r="C78">
        <f>SUMIF(RawDataDead!$B:$B,$A78,RawDataDead!F:F)</f>
        <v>0</v>
      </c>
      <c r="D78">
        <f>SUMIF(RawDataDead!$B:$B,$A78,RawDataDead!G:G)</f>
        <v>0</v>
      </c>
      <c r="E78">
        <f>SUMIF(RawDataDead!$B:$B,$A78,RawDataDead!H:H)</f>
        <v>0</v>
      </c>
      <c r="F78">
        <f>SUMIF(RawDataDead!$B:$B,$A78,RawDataDead!I:I)</f>
        <v>0</v>
      </c>
      <c r="G78">
        <f>SUMIF(RawDataDead!$B:$B,$A78,RawDataDead!J:J)</f>
        <v>0</v>
      </c>
      <c r="H78">
        <f>SUMIF(RawDataDead!$B:$B,$A78,RawDataDead!K:K)</f>
        <v>0</v>
      </c>
      <c r="I78">
        <f>SUMIF(RawDataDead!$B:$B,$A78,RawDataDead!L:L)</f>
        <v>0</v>
      </c>
      <c r="J78">
        <f>SUMIF(RawDataDead!$B:$B,$A78,RawDataDead!M:M)</f>
        <v>0</v>
      </c>
      <c r="K78">
        <f>SUMIF(RawDataDead!$B:$B,$A78,RawDataDead!N:N)</f>
        <v>0</v>
      </c>
      <c r="L78">
        <f>SUMIF(RawDataDead!$B:$B,$A78,RawDataDead!O:O)</f>
        <v>0</v>
      </c>
      <c r="M78">
        <f>SUMIF(RawDataDead!$B:$B,$A78,RawDataDead!P:P)</f>
        <v>0</v>
      </c>
      <c r="N78">
        <f>SUMIF(RawDataDead!$B:$B,$A78,RawDataDead!Q:Q)</f>
        <v>0</v>
      </c>
      <c r="O78">
        <f>SUMIF(RawDataDead!$B:$B,$A78,RawDataDead!R:R)</f>
        <v>0</v>
      </c>
      <c r="P78">
        <f>SUMIF(RawDataDead!$B:$B,$A78,RawDataDead!S:S)</f>
        <v>0</v>
      </c>
      <c r="Q78">
        <f>SUMIF(RawDataDead!$B:$B,$A78,RawDataDead!T:T)</f>
        <v>0</v>
      </c>
      <c r="R78">
        <f>SUMIF(RawDataDead!$B:$B,$A78,RawDataDead!U:U)</f>
        <v>0</v>
      </c>
      <c r="S78">
        <f>SUMIF(RawDataDead!$B:$B,$A78,RawDataDead!V:V)</f>
        <v>0</v>
      </c>
      <c r="T78">
        <f>SUMIF(RawDataDead!$B:$B,$A78,RawDataDead!W:W)</f>
        <v>0</v>
      </c>
      <c r="U78">
        <f>SUMIF(RawDataDead!$B:$B,$A78,RawDataDead!X:X)</f>
        <v>0</v>
      </c>
      <c r="V78">
        <f>SUMIF(RawDataDead!$B:$B,$A78,RawDataDead!Y:Y)</f>
        <v>0</v>
      </c>
      <c r="W78">
        <f>SUMIF(RawDataDead!$B:$B,$A78,RawDataDead!Z:Z)</f>
        <v>0</v>
      </c>
      <c r="X78">
        <f>SUMIF(RawDataDead!$B:$B,$A78,RawDataDead!AA:AA)</f>
        <v>0</v>
      </c>
      <c r="Y78">
        <f>SUMIF(RawDataDead!$B:$B,$A78,RawDataDead!AB:AB)</f>
        <v>0</v>
      </c>
      <c r="Z78">
        <f>SUMIF(RawDataDead!$B:$B,$A78,RawDataDead!AC:AC)</f>
        <v>0</v>
      </c>
      <c r="AA78">
        <f>SUMIF(RawDataDead!$B:$B,$A78,RawDataDead!AD:AD)</f>
        <v>0</v>
      </c>
      <c r="AB78">
        <f>SUMIF(RawDataDead!$B:$B,$A78,RawDataDead!AE:AE)</f>
        <v>0</v>
      </c>
      <c r="AC78">
        <f>SUMIF(RawDataDead!$B:$B,$A78,RawDataDead!AF:AF)</f>
        <v>0</v>
      </c>
      <c r="AD78">
        <f>SUMIF(RawDataDead!$B:$B,$A78,RawDataDead!AG:AG)</f>
        <v>0</v>
      </c>
      <c r="AE78">
        <f>SUMIF(RawDataDead!$B:$B,$A78,RawDataDead!AH:AH)</f>
        <v>0</v>
      </c>
      <c r="AF78">
        <f>SUMIF(RawDataDead!$B:$B,$A78,RawDataDead!AI:AI)</f>
        <v>0</v>
      </c>
      <c r="AG78">
        <f>SUMIF(RawDataDead!$B:$B,$A78,RawDataDead!AJ:AJ)</f>
        <v>0</v>
      </c>
      <c r="AH78">
        <f>SUMIF(RawDataDead!$B:$B,$A78,RawDataDead!AK:AK)</f>
        <v>0</v>
      </c>
      <c r="AI78">
        <f>SUMIF(RawDataDead!$B:$B,$A78,RawDataDead!AL:AL)</f>
        <v>0</v>
      </c>
      <c r="AJ78">
        <f>SUMIF(RawDataDead!$B:$B,$A78,RawDataDead!AM:AM)</f>
        <v>0</v>
      </c>
      <c r="AK78">
        <f>SUMIF(RawDataDead!$B:$B,$A78,RawDataDead!AN:AN)</f>
        <v>0</v>
      </c>
      <c r="AL78">
        <f>SUMIF(RawDataDead!$B:$B,$A78,RawDataDead!AO:AO)</f>
        <v>0</v>
      </c>
      <c r="AM78">
        <f>SUMIF(RawDataDead!$B:$B,$A78,RawDataDead!AP:AP)</f>
        <v>0</v>
      </c>
      <c r="AN78">
        <f>SUMIF(RawDataDead!$B:$B,$A78,RawDataDead!AQ:AQ)</f>
        <v>0</v>
      </c>
      <c r="AO78">
        <f>SUMIF(RawDataDead!$B:$B,$A78,RawDataDead!AR:AR)</f>
        <v>0</v>
      </c>
      <c r="AP78">
        <f>SUMIF(RawDataDead!$B:$B,$A78,RawDataDead!AS:AS)</f>
        <v>0</v>
      </c>
      <c r="AQ78">
        <f>SUMIF(RawDataDead!$B:$B,$A78,RawDataDead!AT:AT)</f>
        <v>0</v>
      </c>
      <c r="AR78">
        <f>SUMIF(RawDataDead!$B:$B,$A78,RawDataDead!AU:AU)</f>
        <v>0</v>
      </c>
      <c r="AS78">
        <f>SUMIF(RawDataDead!$B:$B,$A78,RawDataDead!AV:AV)</f>
        <v>0</v>
      </c>
      <c r="AT78">
        <f>SUMIF(RawDataDead!$B:$B,$A78,RawDataDead!AW:AW)</f>
        <v>0</v>
      </c>
      <c r="AU78">
        <f>SUMIF(RawDataDead!$B:$B,$A78,RawDataDead!AX:AX)</f>
        <v>0</v>
      </c>
      <c r="AV78">
        <f>SUMIF(RawDataDead!$B:$B,$A78,RawDataDead!AY:AY)</f>
        <v>0</v>
      </c>
      <c r="AW78">
        <f>SUMIF(RawDataDead!$B:$B,$A78,RawDataDead!AZ:AZ)</f>
        <v>0</v>
      </c>
      <c r="AX78">
        <f>SUMIF(RawDataDead!$B:$B,$A78,RawDataDead!BA:BA)</f>
        <v>0</v>
      </c>
      <c r="AY78">
        <f>SUMIF(RawDataDead!$B:$B,$A78,RawDataDead!BB:BB)</f>
        <v>0</v>
      </c>
      <c r="AZ78">
        <f>SUMIF(RawDataDead!$B:$B,$A78,RawDataDead!BC:BC)</f>
        <v>0</v>
      </c>
      <c r="BA78">
        <f>SUMIF(RawDataDead!$B:$B,$A78,RawDataDead!BD:BD)</f>
        <v>0</v>
      </c>
      <c r="BB78">
        <f>SUMIF(RawDataDead!$B:$B,$A78,RawDataDead!BE:BE)</f>
        <v>0</v>
      </c>
      <c r="BC78">
        <f>SUMIF(RawDataDead!$B:$B,$A78,RawDataDead!BF:BF)</f>
        <v>0</v>
      </c>
      <c r="BD78">
        <f>SUMIF(RawDataDead!$B:$B,$A78,RawDataDead!BG:BG)</f>
        <v>0</v>
      </c>
      <c r="BE78">
        <f>SUMIF(RawDataDead!$B:$B,$A78,RawDataDead!BH:BH)</f>
        <v>0</v>
      </c>
      <c r="BF78">
        <f>SUMIF(RawDataDead!$B:$B,$A78,RawDataDead!BI:BI)</f>
        <v>0</v>
      </c>
      <c r="BG78">
        <f>SUMIF(RawDataDead!$B:$B,$A78,RawDataDead!BJ:BJ)</f>
        <v>0</v>
      </c>
      <c r="BH78">
        <f>SUMIF(RawDataDead!$B:$B,$A78,RawDataDead!BK:BK)</f>
        <v>0</v>
      </c>
      <c r="BI78">
        <f>SUMIF(RawDataDead!$B:$B,$A78,RawDataDead!BL:BL)</f>
        <v>0</v>
      </c>
      <c r="BJ78">
        <f>SUMIF(RawDataDead!$B:$B,$A78,RawDataDead!BM:BM)</f>
        <v>0</v>
      </c>
      <c r="BK78">
        <f>SUMIF(RawDataDead!$B:$B,$A78,RawDataDead!BN:BN)</f>
        <v>0</v>
      </c>
      <c r="BL78">
        <f>SUMIF(RawDataDead!$B:$B,$A78,RawDataDead!BO:BO)</f>
        <v>0</v>
      </c>
      <c r="BM78">
        <f>SUMIF(RawDataDead!$B:$B,$A78,RawDataDead!BP:BP)</f>
        <v>0</v>
      </c>
      <c r="BN78">
        <f>SUMIF(RawDataDead!$B:$B,$A78,RawDataDead!BQ:BQ)</f>
        <v>0</v>
      </c>
      <c r="BO78">
        <f>SUMIF(RawDataDead!$B:$B,$A78,RawDataDead!BR:BR)</f>
        <v>0</v>
      </c>
      <c r="BP78">
        <f>SUMIF(RawDataDead!$B:$B,$A78,RawDataDead!BS:BS)</f>
        <v>0</v>
      </c>
      <c r="BQ78">
        <f>SUMIF(RawDataDead!$B:$B,$A78,RawDataDead!BT:BT)</f>
        <v>0</v>
      </c>
      <c r="BR78">
        <f>SUMIF(RawDataDead!$B:$B,$A78,RawDataDead!BU:BU)</f>
        <v>0</v>
      </c>
      <c r="BS78">
        <f>SUMIF(RawDataDead!$B:$B,$A78,RawDataDead!BV:BV)</f>
        <v>0</v>
      </c>
      <c r="BT78">
        <f>SUMIF(RawDataDead!$B:$B,$A78,RawDataDead!BW:BW)</f>
        <v>0</v>
      </c>
    </row>
    <row r="79" spans="1:72" ht="15" thickBot="1" x14ac:dyDescent="0.35">
      <c r="A79" s="3" t="s">
        <v>204</v>
      </c>
      <c r="B79">
        <f>SUMIF(RawDataDead!$B:$B,$A79,RawDataDead!E:E)</f>
        <v>0</v>
      </c>
      <c r="C79">
        <f>SUMIF(RawDataDead!$B:$B,$A79,RawDataDead!F:F)</f>
        <v>0</v>
      </c>
      <c r="D79">
        <f>SUMIF(RawDataDead!$B:$B,$A79,RawDataDead!G:G)</f>
        <v>0</v>
      </c>
      <c r="E79">
        <f>SUMIF(RawDataDead!$B:$B,$A79,RawDataDead!H:H)</f>
        <v>0</v>
      </c>
      <c r="F79">
        <f>SUMIF(RawDataDead!$B:$B,$A79,RawDataDead!I:I)</f>
        <v>0</v>
      </c>
      <c r="G79">
        <f>SUMIF(RawDataDead!$B:$B,$A79,RawDataDead!J:J)</f>
        <v>0</v>
      </c>
      <c r="H79">
        <f>SUMIF(RawDataDead!$B:$B,$A79,RawDataDead!K:K)</f>
        <v>0</v>
      </c>
      <c r="I79">
        <f>SUMIF(RawDataDead!$B:$B,$A79,RawDataDead!L:L)</f>
        <v>0</v>
      </c>
      <c r="J79">
        <f>SUMIF(RawDataDead!$B:$B,$A79,RawDataDead!M:M)</f>
        <v>0</v>
      </c>
      <c r="K79">
        <f>SUMIF(RawDataDead!$B:$B,$A79,RawDataDead!N:N)</f>
        <v>0</v>
      </c>
      <c r="L79">
        <f>SUMIF(RawDataDead!$B:$B,$A79,RawDataDead!O:O)</f>
        <v>0</v>
      </c>
      <c r="M79">
        <f>SUMIF(RawDataDead!$B:$B,$A79,RawDataDead!P:P)</f>
        <v>0</v>
      </c>
      <c r="N79">
        <f>SUMIF(RawDataDead!$B:$B,$A79,RawDataDead!Q:Q)</f>
        <v>0</v>
      </c>
      <c r="O79">
        <f>SUMIF(RawDataDead!$B:$B,$A79,RawDataDead!R:R)</f>
        <v>0</v>
      </c>
      <c r="P79">
        <f>SUMIF(RawDataDead!$B:$B,$A79,RawDataDead!S:S)</f>
        <v>0</v>
      </c>
      <c r="Q79">
        <f>SUMIF(RawDataDead!$B:$B,$A79,RawDataDead!T:T)</f>
        <v>0</v>
      </c>
      <c r="R79">
        <f>SUMIF(RawDataDead!$B:$B,$A79,RawDataDead!U:U)</f>
        <v>0</v>
      </c>
      <c r="S79">
        <f>SUMIF(RawDataDead!$B:$B,$A79,RawDataDead!V:V)</f>
        <v>0</v>
      </c>
      <c r="T79">
        <f>SUMIF(RawDataDead!$B:$B,$A79,RawDataDead!W:W)</f>
        <v>0</v>
      </c>
      <c r="U79">
        <f>SUMIF(RawDataDead!$B:$B,$A79,RawDataDead!X:X)</f>
        <v>0</v>
      </c>
      <c r="V79">
        <f>SUMIF(RawDataDead!$B:$B,$A79,RawDataDead!Y:Y)</f>
        <v>0</v>
      </c>
      <c r="W79">
        <f>SUMIF(RawDataDead!$B:$B,$A79,RawDataDead!Z:Z)</f>
        <v>0</v>
      </c>
      <c r="X79">
        <f>SUMIF(RawDataDead!$B:$B,$A79,RawDataDead!AA:AA)</f>
        <v>0</v>
      </c>
      <c r="Y79">
        <f>SUMIF(RawDataDead!$B:$B,$A79,RawDataDead!AB:AB)</f>
        <v>0</v>
      </c>
      <c r="Z79">
        <f>SUMIF(RawDataDead!$B:$B,$A79,RawDataDead!AC:AC)</f>
        <v>0</v>
      </c>
      <c r="AA79">
        <f>SUMIF(RawDataDead!$B:$B,$A79,RawDataDead!AD:AD)</f>
        <v>0</v>
      </c>
      <c r="AB79">
        <f>SUMIF(RawDataDead!$B:$B,$A79,RawDataDead!AE:AE)</f>
        <v>0</v>
      </c>
      <c r="AC79">
        <f>SUMIF(RawDataDead!$B:$B,$A79,RawDataDead!AF:AF)</f>
        <v>0</v>
      </c>
      <c r="AD79">
        <f>SUMIF(RawDataDead!$B:$B,$A79,RawDataDead!AG:AG)</f>
        <v>0</v>
      </c>
      <c r="AE79">
        <f>SUMIF(RawDataDead!$B:$B,$A79,RawDataDead!AH:AH)</f>
        <v>0</v>
      </c>
      <c r="AF79">
        <f>SUMIF(RawDataDead!$B:$B,$A79,RawDataDead!AI:AI)</f>
        <v>0</v>
      </c>
      <c r="AG79">
        <f>SUMIF(RawDataDead!$B:$B,$A79,RawDataDead!AJ:AJ)</f>
        <v>0</v>
      </c>
      <c r="AH79">
        <f>SUMIF(RawDataDead!$B:$B,$A79,RawDataDead!AK:AK)</f>
        <v>0</v>
      </c>
      <c r="AI79">
        <f>SUMIF(RawDataDead!$B:$B,$A79,RawDataDead!AL:AL)</f>
        <v>0</v>
      </c>
      <c r="AJ79">
        <f>SUMIF(RawDataDead!$B:$B,$A79,RawDataDead!AM:AM)</f>
        <v>0</v>
      </c>
      <c r="AK79">
        <f>SUMIF(RawDataDead!$B:$B,$A79,RawDataDead!AN:AN)</f>
        <v>0</v>
      </c>
      <c r="AL79">
        <f>SUMIF(RawDataDead!$B:$B,$A79,RawDataDead!AO:AO)</f>
        <v>0</v>
      </c>
      <c r="AM79">
        <f>SUMIF(RawDataDead!$B:$B,$A79,RawDataDead!AP:AP)</f>
        <v>0</v>
      </c>
      <c r="AN79">
        <f>SUMIF(RawDataDead!$B:$B,$A79,RawDataDead!AQ:AQ)</f>
        <v>0</v>
      </c>
      <c r="AO79">
        <f>SUMIF(RawDataDead!$B:$B,$A79,RawDataDead!AR:AR)</f>
        <v>0</v>
      </c>
      <c r="AP79">
        <f>SUMIF(RawDataDead!$B:$B,$A79,RawDataDead!AS:AS)</f>
        <v>0</v>
      </c>
      <c r="AQ79">
        <f>SUMIF(RawDataDead!$B:$B,$A79,RawDataDead!AT:AT)</f>
        <v>0</v>
      </c>
      <c r="AR79">
        <f>SUMIF(RawDataDead!$B:$B,$A79,RawDataDead!AU:AU)</f>
        <v>0</v>
      </c>
      <c r="AS79">
        <f>SUMIF(RawDataDead!$B:$B,$A79,RawDataDead!AV:AV)</f>
        <v>0</v>
      </c>
      <c r="AT79">
        <f>SUMIF(RawDataDead!$B:$B,$A79,RawDataDead!AW:AW)</f>
        <v>0</v>
      </c>
      <c r="AU79">
        <f>SUMIF(RawDataDead!$B:$B,$A79,RawDataDead!AX:AX)</f>
        <v>0</v>
      </c>
      <c r="AV79">
        <f>SUMIF(RawDataDead!$B:$B,$A79,RawDataDead!AY:AY)</f>
        <v>0</v>
      </c>
      <c r="AW79">
        <f>SUMIF(RawDataDead!$B:$B,$A79,RawDataDead!AZ:AZ)</f>
        <v>0</v>
      </c>
      <c r="AX79">
        <f>SUMIF(RawDataDead!$B:$B,$A79,RawDataDead!BA:BA)</f>
        <v>0</v>
      </c>
      <c r="AY79">
        <f>SUMIF(RawDataDead!$B:$B,$A79,RawDataDead!BB:BB)</f>
        <v>0</v>
      </c>
      <c r="AZ79">
        <f>SUMIF(RawDataDead!$B:$B,$A79,RawDataDead!BC:BC)</f>
        <v>0</v>
      </c>
      <c r="BA79">
        <f>SUMIF(RawDataDead!$B:$B,$A79,RawDataDead!BD:BD)</f>
        <v>0</v>
      </c>
      <c r="BB79">
        <f>SUMIF(RawDataDead!$B:$B,$A79,RawDataDead!BE:BE)</f>
        <v>0</v>
      </c>
      <c r="BC79">
        <f>SUMIF(RawDataDead!$B:$B,$A79,RawDataDead!BF:BF)</f>
        <v>0</v>
      </c>
      <c r="BD79">
        <f>SUMIF(RawDataDead!$B:$B,$A79,RawDataDead!BG:BG)</f>
        <v>0</v>
      </c>
      <c r="BE79">
        <f>SUMIF(RawDataDead!$B:$B,$A79,RawDataDead!BH:BH)</f>
        <v>0</v>
      </c>
      <c r="BF79">
        <f>SUMIF(RawDataDead!$B:$B,$A79,RawDataDead!BI:BI)</f>
        <v>0</v>
      </c>
      <c r="BG79">
        <f>SUMIF(RawDataDead!$B:$B,$A79,RawDataDead!BJ:BJ)</f>
        <v>0</v>
      </c>
      <c r="BH79">
        <f>SUMIF(RawDataDead!$B:$B,$A79,RawDataDead!BK:BK)</f>
        <v>0</v>
      </c>
      <c r="BI79">
        <f>SUMIF(RawDataDead!$B:$B,$A79,RawDataDead!BL:BL)</f>
        <v>0</v>
      </c>
      <c r="BJ79">
        <f>SUMIF(RawDataDead!$B:$B,$A79,RawDataDead!BM:BM)</f>
        <v>0</v>
      </c>
      <c r="BK79">
        <f>SUMIF(RawDataDead!$B:$B,$A79,RawDataDead!BN:BN)</f>
        <v>0</v>
      </c>
      <c r="BL79">
        <f>SUMIF(RawDataDead!$B:$B,$A79,RawDataDead!BO:BO)</f>
        <v>0</v>
      </c>
      <c r="BM79">
        <f>SUMIF(RawDataDead!$B:$B,$A79,RawDataDead!BP:BP)</f>
        <v>0</v>
      </c>
      <c r="BN79">
        <f>SUMIF(RawDataDead!$B:$B,$A79,RawDataDead!BQ:BQ)</f>
        <v>0</v>
      </c>
      <c r="BO79">
        <f>SUMIF(RawDataDead!$B:$B,$A79,RawDataDead!BR:BR)</f>
        <v>0</v>
      </c>
      <c r="BP79">
        <f>SUMIF(RawDataDead!$B:$B,$A79,RawDataDead!BS:BS)</f>
        <v>0</v>
      </c>
      <c r="BQ79">
        <f>SUMIF(RawDataDead!$B:$B,$A79,RawDataDead!BT:BT)</f>
        <v>0</v>
      </c>
      <c r="BR79">
        <f>SUMIF(RawDataDead!$B:$B,$A79,RawDataDead!BU:BU)</f>
        <v>0</v>
      </c>
      <c r="BS79">
        <f>SUMIF(RawDataDead!$B:$B,$A79,RawDataDead!BV:BV)</f>
        <v>0</v>
      </c>
      <c r="BT79">
        <f>SUMIF(RawDataDead!$B:$B,$A79,RawDataDead!BW:BW)</f>
        <v>0</v>
      </c>
    </row>
    <row r="80" spans="1:72" ht="15" thickBot="1" x14ac:dyDescent="0.35">
      <c r="A80" s="4" t="s">
        <v>121</v>
      </c>
      <c r="B80">
        <f>SUMIF(RawDataDead!$B:$B,$A80,RawDataDead!E:E)</f>
        <v>0</v>
      </c>
      <c r="C80">
        <f>SUMIF(RawDataDead!$B:$B,$A80,RawDataDead!F:F)</f>
        <v>0</v>
      </c>
      <c r="D80">
        <f>SUMIF(RawDataDead!$B:$B,$A80,RawDataDead!G:G)</f>
        <v>0</v>
      </c>
      <c r="E80">
        <f>SUMIF(RawDataDead!$B:$B,$A80,RawDataDead!H:H)</f>
        <v>0</v>
      </c>
      <c r="F80">
        <f>SUMIF(RawDataDead!$B:$B,$A80,RawDataDead!I:I)</f>
        <v>0</v>
      </c>
      <c r="G80">
        <f>SUMIF(RawDataDead!$B:$B,$A80,RawDataDead!J:J)</f>
        <v>0</v>
      </c>
      <c r="H80">
        <f>SUMIF(RawDataDead!$B:$B,$A80,RawDataDead!K:K)</f>
        <v>0</v>
      </c>
      <c r="I80">
        <f>SUMIF(RawDataDead!$B:$B,$A80,RawDataDead!L:L)</f>
        <v>0</v>
      </c>
      <c r="J80">
        <f>SUMIF(RawDataDead!$B:$B,$A80,RawDataDead!M:M)</f>
        <v>0</v>
      </c>
      <c r="K80">
        <f>SUMIF(RawDataDead!$B:$B,$A80,RawDataDead!N:N)</f>
        <v>0</v>
      </c>
      <c r="L80">
        <f>SUMIF(RawDataDead!$B:$B,$A80,RawDataDead!O:O)</f>
        <v>0</v>
      </c>
      <c r="M80">
        <f>SUMIF(RawDataDead!$B:$B,$A80,RawDataDead!P:P)</f>
        <v>0</v>
      </c>
      <c r="N80">
        <f>SUMIF(RawDataDead!$B:$B,$A80,RawDataDead!Q:Q)</f>
        <v>0</v>
      </c>
      <c r="O80">
        <f>SUMIF(RawDataDead!$B:$B,$A80,RawDataDead!R:R)</f>
        <v>0</v>
      </c>
      <c r="P80">
        <f>SUMIF(RawDataDead!$B:$B,$A80,RawDataDead!S:S)</f>
        <v>0</v>
      </c>
      <c r="Q80">
        <f>SUMIF(RawDataDead!$B:$B,$A80,RawDataDead!T:T)</f>
        <v>0</v>
      </c>
      <c r="R80">
        <f>SUMIF(RawDataDead!$B:$B,$A80,RawDataDead!U:U)</f>
        <v>0</v>
      </c>
      <c r="S80">
        <f>SUMIF(RawDataDead!$B:$B,$A80,RawDataDead!V:V)</f>
        <v>0</v>
      </c>
      <c r="T80">
        <f>SUMIF(RawDataDead!$B:$B,$A80,RawDataDead!W:W)</f>
        <v>0</v>
      </c>
      <c r="U80">
        <f>SUMIF(RawDataDead!$B:$B,$A80,RawDataDead!X:X)</f>
        <v>0</v>
      </c>
      <c r="V80">
        <f>SUMIF(RawDataDead!$B:$B,$A80,RawDataDead!Y:Y)</f>
        <v>0</v>
      </c>
      <c r="W80">
        <f>SUMIF(RawDataDead!$B:$B,$A80,RawDataDead!Z:Z)</f>
        <v>0</v>
      </c>
      <c r="X80">
        <f>SUMIF(RawDataDead!$B:$B,$A80,RawDataDead!AA:AA)</f>
        <v>0</v>
      </c>
      <c r="Y80">
        <f>SUMIF(RawDataDead!$B:$B,$A80,RawDataDead!AB:AB)</f>
        <v>0</v>
      </c>
      <c r="Z80">
        <f>SUMIF(RawDataDead!$B:$B,$A80,RawDataDead!AC:AC)</f>
        <v>0</v>
      </c>
      <c r="AA80">
        <f>SUMIF(RawDataDead!$B:$B,$A80,RawDataDead!AD:AD)</f>
        <v>0</v>
      </c>
      <c r="AB80">
        <f>SUMIF(RawDataDead!$B:$B,$A80,RawDataDead!AE:AE)</f>
        <v>0</v>
      </c>
      <c r="AC80">
        <f>SUMIF(RawDataDead!$B:$B,$A80,RawDataDead!AF:AF)</f>
        <v>0</v>
      </c>
      <c r="AD80">
        <f>SUMIF(RawDataDead!$B:$B,$A80,RawDataDead!AG:AG)</f>
        <v>0</v>
      </c>
      <c r="AE80">
        <f>SUMIF(RawDataDead!$B:$B,$A80,RawDataDead!AH:AH)</f>
        <v>0</v>
      </c>
      <c r="AF80">
        <f>SUMIF(RawDataDead!$B:$B,$A80,RawDataDead!AI:AI)</f>
        <v>0</v>
      </c>
      <c r="AG80">
        <f>SUMIF(RawDataDead!$B:$B,$A80,RawDataDead!AJ:AJ)</f>
        <v>0</v>
      </c>
      <c r="AH80">
        <f>SUMIF(RawDataDead!$B:$B,$A80,RawDataDead!AK:AK)</f>
        <v>0</v>
      </c>
      <c r="AI80">
        <f>SUMIF(RawDataDead!$B:$B,$A80,RawDataDead!AL:AL)</f>
        <v>0</v>
      </c>
      <c r="AJ80">
        <f>SUMIF(RawDataDead!$B:$B,$A80,RawDataDead!AM:AM)</f>
        <v>0</v>
      </c>
      <c r="AK80">
        <f>SUMIF(RawDataDead!$B:$B,$A80,RawDataDead!AN:AN)</f>
        <v>0</v>
      </c>
      <c r="AL80">
        <f>SUMIF(RawDataDead!$B:$B,$A80,RawDataDead!AO:AO)</f>
        <v>0</v>
      </c>
      <c r="AM80">
        <f>SUMIF(RawDataDead!$B:$B,$A80,RawDataDead!AP:AP)</f>
        <v>0</v>
      </c>
      <c r="AN80">
        <f>SUMIF(RawDataDead!$B:$B,$A80,RawDataDead!AQ:AQ)</f>
        <v>0</v>
      </c>
      <c r="AO80">
        <f>SUMIF(RawDataDead!$B:$B,$A80,RawDataDead!AR:AR)</f>
        <v>0</v>
      </c>
      <c r="AP80">
        <f>SUMIF(RawDataDead!$B:$B,$A80,RawDataDead!AS:AS)</f>
        <v>0</v>
      </c>
      <c r="AQ80">
        <f>SUMIF(RawDataDead!$B:$B,$A80,RawDataDead!AT:AT)</f>
        <v>0</v>
      </c>
      <c r="AR80">
        <f>SUMIF(RawDataDead!$B:$B,$A80,RawDataDead!AU:AU)</f>
        <v>0</v>
      </c>
      <c r="AS80">
        <f>SUMIF(RawDataDead!$B:$B,$A80,RawDataDead!AV:AV)</f>
        <v>0</v>
      </c>
      <c r="AT80">
        <f>SUMIF(RawDataDead!$B:$B,$A80,RawDataDead!AW:AW)</f>
        <v>0</v>
      </c>
      <c r="AU80">
        <f>SUMIF(RawDataDead!$B:$B,$A80,RawDataDead!AX:AX)</f>
        <v>0</v>
      </c>
      <c r="AV80">
        <f>SUMIF(RawDataDead!$B:$B,$A80,RawDataDead!AY:AY)</f>
        <v>0</v>
      </c>
      <c r="AW80">
        <f>SUMIF(RawDataDead!$B:$B,$A80,RawDataDead!AZ:AZ)</f>
        <v>0</v>
      </c>
      <c r="AX80">
        <f>SUMIF(RawDataDead!$B:$B,$A80,RawDataDead!BA:BA)</f>
        <v>0</v>
      </c>
      <c r="AY80">
        <f>SUMIF(RawDataDead!$B:$B,$A80,RawDataDead!BB:BB)</f>
        <v>0</v>
      </c>
      <c r="AZ80">
        <f>SUMIF(RawDataDead!$B:$B,$A80,RawDataDead!BC:BC)</f>
        <v>0</v>
      </c>
      <c r="BA80">
        <f>SUMIF(RawDataDead!$B:$B,$A80,RawDataDead!BD:BD)</f>
        <v>0</v>
      </c>
      <c r="BB80">
        <f>SUMIF(RawDataDead!$B:$B,$A80,RawDataDead!BE:BE)</f>
        <v>0</v>
      </c>
      <c r="BC80">
        <f>SUMIF(RawDataDead!$B:$B,$A80,RawDataDead!BF:BF)</f>
        <v>0</v>
      </c>
      <c r="BD80">
        <f>SUMIF(RawDataDead!$B:$B,$A80,RawDataDead!BG:BG)</f>
        <v>0</v>
      </c>
      <c r="BE80">
        <f>SUMIF(RawDataDead!$B:$B,$A80,RawDataDead!BH:BH)</f>
        <v>0</v>
      </c>
      <c r="BF80">
        <f>SUMIF(RawDataDead!$B:$B,$A80,RawDataDead!BI:BI)</f>
        <v>0</v>
      </c>
      <c r="BG80">
        <f>SUMIF(RawDataDead!$B:$B,$A80,RawDataDead!BJ:BJ)</f>
        <v>0</v>
      </c>
      <c r="BH80">
        <f>SUMIF(RawDataDead!$B:$B,$A80,RawDataDead!BK:BK)</f>
        <v>0</v>
      </c>
      <c r="BI80">
        <f>SUMIF(RawDataDead!$B:$B,$A80,RawDataDead!BL:BL)</f>
        <v>0</v>
      </c>
      <c r="BJ80">
        <f>SUMIF(RawDataDead!$B:$B,$A80,RawDataDead!BM:BM)</f>
        <v>0</v>
      </c>
      <c r="BK80">
        <f>SUMIF(RawDataDead!$B:$B,$A80,RawDataDead!BN:BN)</f>
        <v>0</v>
      </c>
      <c r="BL80">
        <f>SUMIF(RawDataDead!$B:$B,$A80,RawDataDead!BO:BO)</f>
        <v>0</v>
      </c>
      <c r="BM80">
        <f>SUMIF(RawDataDead!$B:$B,$A80,RawDataDead!BP:BP)</f>
        <v>0</v>
      </c>
      <c r="BN80">
        <f>SUMIF(RawDataDead!$B:$B,$A80,RawDataDead!BQ:BQ)</f>
        <v>0</v>
      </c>
      <c r="BO80">
        <f>SUMIF(RawDataDead!$B:$B,$A80,RawDataDead!BR:BR)</f>
        <v>0</v>
      </c>
      <c r="BP80">
        <f>SUMIF(RawDataDead!$B:$B,$A80,RawDataDead!BS:BS)</f>
        <v>0</v>
      </c>
      <c r="BQ80">
        <f>SUMIF(RawDataDead!$B:$B,$A80,RawDataDead!BT:BT)</f>
        <v>0</v>
      </c>
      <c r="BR80">
        <f>SUMIF(RawDataDead!$B:$B,$A80,RawDataDead!BU:BU)</f>
        <v>0</v>
      </c>
      <c r="BS80">
        <f>SUMIF(RawDataDead!$B:$B,$A80,RawDataDead!BV:BV)</f>
        <v>0</v>
      </c>
      <c r="BT80">
        <f>SUMIF(RawDataDead!$B:$B,$A80,RawDataDead!BW:BW)</f>
        <v>0</v>
      </c>
    </row>
    <row r="81" spans="1:72" ht="15" thickBot="1" x14ac:dyDescent="0.35">
      <c r="A81" s="3" t="s">
        <v>141</v>
      </c>
      <c r="B81">
        <f>SUMIF(RawDataDead!$B:$B,$A81,RawDataDead!E:E)</f>
        <v>0</v>
      </c>
      <c r="C81">
        <f>SUMIF(RawDataDead!$B:$B,$A81,RawDataDead!F:F)</f>
        <v>0</v>
      </c>
      <c r="D81">
        <f>SUMIF(RawDataDead!$B:$B,$A81,RawDataDead!G:G)</f>
        <v>0</v>
      </c>
      <c r="E81">
        <f>SUMIF(RawDataDead!$B:$B,$A81,RawDataDead!H:H)</f>
        <v>0</v>
      </c>
      <c r="F81">
        <f>SUMIF(RawDataDead!$B:$B,$A81,RawDataDead!I:I)</f>
        <v>0</v>
      </c>
      <c r="G81">
        <f>SUMIF(RawDataDead!$B:$B,$A81,RawDataDead!J:J)</f>
        <v>0</v>
      </c>
      <c r="H81">
        <f>SUMIF(RawDataDead!$B:$B,$A81,RawDataDead!K:K)</f>
        <v>0</v>
      </c>
      <c r="I81">
        <f>SUMIF(RawDataDead!$B:$B,$A81,RawDataDead!L:L)</f>
        <v>0</v>
      </c>
      <c r="J81">
        <f>SUMIF(RawDataDead!$B:$B,$A81,RawDataDead!M:M)</f>
        <v>0</v>
      </c>
      <c r="K81">
        <f>SUMIF(RawDataDead!$B:$B,$A81,RawDataDead!N:N)</f>
        <v>0</v>
      </c>
      <c r="L81">
        <f>SUMIF(RawDataDead!$B:$B,$A81,RawDataDead!O:O)</f>
        <v>0</v>
      </c>
      <c r="M81">
        <f>SUMIF(RawDataDead!$B:$B,$A81,RawDataDead!P:P)</f>
        <v>0</v>
      </c>
      <c r="N81">
        <f>SUMIF(RawDataDead!$B:$B,$A81,RawDataDead!Q:Q)</f>
        <v>0</v>
      </c>
      <c r="O81">
        <f>SUMIF(RawDataDead!$B:$B,$A81,RawDataDead!R:R)</f>
        <v>0</v>
      </c>
      <c r="P81">
        <f>SUMIF(RawDataDead!$B:$B,$A81,RawDataDead!S:S)</f>
        <v>0</v>
      </c>
      <c r="Q81">
        <f>SUMIF(RawDataDead!$B:$B,$A81,RawDataDead!T:T)</f>
        <v>0</v>
      </c>
      <c r="R81">
        <f>SUMIF(RawDataDead!$B:$B,$A81,RawDataDead!U:U)</f>
        <v>0</v>
      </c>
      <c r="S81">
        <f>SUMIF(RawDataDead!$B:$B,$A81,RawDataDead!V:V)</f>
        <v>0</v>
      </c>
      <c r="T81">
        <f>SUMIF(RawDataDead!$B:$B,$A81,RawDataDead!W:W)</f>
        <v>0</v>
      </c>
      <c r="U81">
        <f>SUMIF(RawDataDead!$B:$B,$A81,RawDataDead!X:X)</f>
        <v>0</v>
      </c>
      <c r="V81">
        <f>SUMIF(RawDataDead!$B:$B,$A81,RawDataDead!Y:Y)</f>
        <v>0</v>
      </c>
      <c r="W81">
        <f>SUMIF(RawDataDead!$B:$B,$A81,RawDataDead!Z:Z)</f>
        <v>0</v>
      </c>
      <c r="X81">
        <f>SUMIF(RawDataDead!$B:$B,$A81,RawDataDead!AA:AA)</f>
        <v>0</v>
      </c>
      <c r="Y81">
        <f>SUMIF(RawDataDead!$B:$B,$A81,RawDataDead!AB:AB)</f>
        <v>0</v>
      </c>
      <c r="Z81">
        <f>SUMIF(RawDataDead!$B:$B,$A81,RawDataDead!AC:AC)</f>
        <v>0</v>
      </c>
      <c r="AA81">
        <f>SUMIF(RawDataDead!$B:$B,$A81,RawDataDead!AD:AD)</f>
        <v>0</v>
      </c>
      <c r="AB81">
        <f>SUMIF(RawDataDead!$B:$B,$A81,RawDataDead!AE:AE)</f>
        <v>0</v>
      </c>
      <c r="AC81">
        <f>SUMIF(RawDataDead!$B:$B,$A81,RawDataDead!AF:AF)</f>
        <v>0</v>
      </c>
      <c r="AD81">
        <f>SUMIF(RawDataDead!$B:$B,$A81,RawDataDead!AG:AG)</f>
        <v>0</v>
      </c>
      <c r="AE81">
        <f>SUMIF(RawDataDead!$B:$B,$A81,RawDataDead!AH:AH)</f>
        <v>0</v>
      </c>
      <c r="AF81">
        <f>SUMIF(RawDataDead!$B:$B,$A81,RawDataDead!AI:AI)</f>
        <v>0</v>
      </c>
      <c r="AG81">
        <f>SUMIF(RawDataDead!$B:$B,$A81,RawDataDead!AJ:AJ)</f>
        <v>0</v>
      </c>
      <c r="AH81">
        <f>SUMIF(RawDataDead!$B:$B,$A81,RawDataDead!AK:AK)</f>
        <v>0</v>
      </c>
      <c r="AI81">
        <f>SUMIF(RawDataDead!$B:$B,$A81,RawDataDead!AL:AL)</f>
        <v>0</v>
      </c>
      <c r="AJ81">
        <f>SUMIF(RawDataDead!$B:$B,$A81,RawDataDead!AM:AM)</f>
        <v>0</v>
      </c>
      <c r="AK81">
        <f>SUMIF(RawDataDead!$B:$B,$A81,RawDataDead!AN:AN)</f>
        <v>0</v>
      </c>
      <c r="AL81">
        <f>SUMIF(RawDataDead!$B:$B,$A81,RawDataDead!AO:AO)</f>
        <v>0</v>
      </c>
      <c r="AM81">
        <f>SUMIF(RawDataDead!$B:$B,$A81,RawDataDead!AP:AP)</f>
        <v>0</v>
      </c>
      <c r="AN81">
        <f>SUMIF(RawDataDead!$B:$B,$A81,RawDataDead!AQ:AQ)</f>
        <v>0</v>
      </c>
      <c r="AO81">
        <f>SUMIF(RawDataDead!$B:$B,$A81,RawDataDead!AR:AR)</f>
        <v>0</v>
      </c>
      <c r="AP81">
        <f>SUMIF(RawDataDead!$B:$B,$A81,RawDataDead!AS:AS)</f>
        <v>0</v>
      </c>
      <c r="AQ81">
        <f>SUMIF(RawDataDead!$B:$B,$A81,RawDataDead!AT:AT)</f>
        <v>0</v>
      </c>
      <c r="AR81">
        <f>SUMIF(RawDataDead!$B:$B,$A81,RawDataDead!AU:AU)</f>
        <v>0</v>
      </c>
      <c r="AS81">
        <f>SUMIF(RawDataDead!$B:$B,$A81,RawDataDead!AV:AV)</f>
        <v>0</v>
      </c>
      <c r="AT81">
        <f>SUMIF(RawDataDead!$B:$B,$A81,RawDataDead!AW:AW)</f>
        <v>0</v>
      </c>
      <c r="AU81">
        <f>SUMIF(RawDataDead!$B:$B,$A81,RawDataDead!AX:AX)</f>
        <v>0</v>
      </c>
      <c r="AV81">
        <f>SUMIF(RawDataDead!$B:$B,$A81,RawDataDead!AY:AY)</f>
        <v>0</v>
      </c>
      <c r="AW81">
        <f>SUMIF(RawDataDead!$B:$B,$A81,RawDataDead!AZ:AZ)</f>
        <v>0</v>
      </c>
      <c r="AX81">
        <f>SUMIF(RawDataDead!$B:$B,$A81,RawDataDead!BA:BA)</f>
        <v>0</v>
      </c>
      <c r="AY81">
        <f>SUMIF(RawDataDead!$B:$B,$A81,RawDataDead!BB:BB)</f>
        <v>0</v>
      </c>
      <c r="AZ81">
        <f>SUMIF(RawDataDead!$B:$B,$A81,RawDataDead!BC:BC)</f>
        <v>0</v>
      </c>
      <c r="BA81">
        <f>SUMIF(RawDataDead!$B:$B,$A81,RawDataDead!BD:BD)</f>
        <v>0</v>
      </c>
      <c r="BB81">
        <f>SUMIF(RawDataDead!$B:$B,$A81,RawDataDead!BE:BE)</f>
        <v>0</v>
      </c>
      <c r="BC81">
        <f>SUMIF(RawDataDead!$B:$B,$A81,RawDataDead!BF:BF)</f>
        <v>0</v>
      </c>
      <c r="BD81">
        <f>SUMIF(RawDataDead!$B:$B,$A81,RawDataDead!BG:BG)</f>
        <v>0</v>
      </c>
      <c r="BE81">
        <f>SUMIF(RawDataDead!$B:$B,$A81,RawDataDead!BH:BH)</f>
        <v>0</v>
      </c>
      <c r="BF81">
        <f>SUMIF(RawDataDead!$B:$B,$A81,RawDataDead!BI:BI)</f>
        <v>0</v>
      </c>
      <c r="BG81">
        <f>SUMIF(RawDataDead!$B:$B,$A81,RawDataDead!BJ:BJ)</f>
        <v>0</v>
      </c>
      <c r="BH81">
        <f>SUMIF(RawDataDead!$B:$B,$A81,RawDataDead!BK:BK)</f>
        <v>0</v>
      </c>
      <c r="BI81">
        <f>SUMIF(RawDataDead!$B:$B,$A81,RawDataDead!BL:BL)</f>
        <v>0</v>
      </c>
      <c r="BJ81">
        <f>SUMIF(RawDataDead!$B:$B,$A81,RawDataDead!BM:BM)</f>
        <v>0</v>
      </c>
      <c r="BK81">
        <f>SUMIF(RawDataDead!$B:$B,$A81,RawDataDead!BN:BN)</f>
        <v>0</v>
      </c>
      <c r="BL81">
        <f>SUMIF(RawDataDead!$B:$B,$A81,RawDataDead!BO:BO)</f>
        <v>0</v>
      </c>
      <c r="BM81">
        <f>SUMIF(RawDataDead!$B:$B,$A81,RawDataDead!BP:BP)</f>
        <v>0</v>
      </c>
      <c r="BN81">
        <f>SUMIF(RawDataDead!$B:$B,$A81,RawDataDead!BQ:BQ)</f>
        <v>0</v>
      </c>
      <c r="BO81">
        <f>SUMIF(RawDataDead!$B:$B,$A81,RawDataDead!BR:BR)</f>
        <v>0</v>
      </c>
      <c r="BP81">
        <f>SUMIF(RawDataDead!$B:$B,$A81,RawDataDead!BS:BS)</f>
        <v>0</v>
      </c>
      <c r="BQ81">
        <f>SUMIF(RawDataDead!$B:$B,$A81,RawDataDead!BT:BT)</f>
        <v>0</v>
      </c>
      <c r="BR81">
        <f>SUMIF(RawDataDead!$B:$B,$A81,RawDataDead!BU:BU)</f>
        <v>0</v>
      </c>
      <c r="BS81">
        <f>SUMIF(RawDataDead!$B:$B,$A81,RawDataDead!BV:BV)</f>
        <v>0</v>
      </c>
      <c r="BT81">
        <f>SUMIF(RawDataDead!$B:$B,$A81,RawDataDead!BW:BW)</f>
        <v>0</v>
      </c>
    </row>
    <row r="82" spans="1:72" ht="15" thickBot="1" x14ac:dyDescent="0.35">
      <c r="A82" s="4" t="s">
        <v>227</v>
      </c>
      <c r="B82">
        <f>SUMIF(RawDataDead!$B:$B,$A82,RawDataDead!E:E)</f>
        <v>0</v>
      </c>
      <c r="C82">
        <f>SUMIF(RawDataDead!$B:$B,$A82,RawDataDead!F:F)</f>
        <v>0</v>
      </c>
      <c r="D82">
        <f>SUMIF(RawDataDead!$B:$B,$A82,RawDataDead!G:G)</f>
        <v>0</v>
      </c>
      <c r="E82">
        <f>SUMIF(RawDataDead!$B:$B,$A82,RawDataDead!H:H)</f>
        <v>0</v>
      </c>
      <c r="F82">
        <f>SUMIF(RawDataDead!$B:$B,$A82,RawDataDead!I:I)</f>
        <v>0</v>
      </c>
      <c r="G82">
        <f>SUMIF(RawDataDead!$B:$B,$A82,RawDataDead!J:J)</f>
        <v>0</v>
      </c>
      <c r="H82">
        <f>SUMIF(RawDataDead!$B:$B,$A82,RawDataDead!K:K)</f>
        <v>0</v>
      </c>
      <c r="I82">
        <f>SUMIF(RawDataDead!$B:$B,$A82,RawDataDead!L:L)</f>
        <v>0</v>
      </c>
      <c r="J82">
        <f>SUMIF(RawDataDead!$B:$B,$A82,RawDataDead!M:M)</f>
        <v>0</v>
      </c>
      <c r="K82">
        <f>SUMIF(RawDataDead!$B:$B,$A82,RawDataDead!N:N)</f>
        <v>0</v>
      </c>
      <c r="L82">
        <f>SUMIF(RawDataDead!$B:$B,$A82,RawDataDead!O:O)</f>
        <v>0</v>
      </c>
      <c r="M82">
        <f>SUMIF(RawDataDead!$B:$B,$A82,RawDataDead!P:P)</f>
        <v>0</v>
      </c>
      <c r="N82">
        <f>SUMIF(RawDataDead!$B:$B,$A82,RawDataDead!Q:Q)</f>
        <v>0</v>
      </c>
      <c r="O82">
        <f>SUMIF(RawDataDead!$B:$B,$A82,RawDataDead!R:R)</f>
        <v>0</v>
      </c>
      <c r="P82">
        <f>SUMIF(RawDataDead!$B:$B,$A82,RawDataDead!S:S)</f>
        <v>0</v>
      </c>
      <c r="Q82">
        <f>SUMIF(RawDataDead!$B:$B,$A82,RawDataDead!T:T)</f>
        <v>0</v>
      </c>
      <c r="R82">
        <f>SUMIF(RawDataDead!$B:$B,$A82,RawDataDead!U:U)</f>
        <v>0</v>
      </c>
      <c r="S82">
        <f>SUMIF(RawDataDead!$B:$B,$A82,RawDataDead!V:V)</f>
        <v>0</v>
      </c>
      <c r="T82">
        <f>SUMIF(RawDataDead!$B:$B,$A82,RawDataDead!W:W)</f>
        <v>0</v>
      </c>
      <c r="U82">
        <f>SUMIF(RawDataDead!$B:$B,$A82,RawDataDead!X:X)</f>
        <v>0</v>
      </c>
      <c r="V82">
        <f>SUMIF(RawDataDead!$B:$B,$A82,RawDataDead!Y:Y)</f>
        <v>0</v>
      </c>
      <c r="W82">
        <f>SUMIF(RawDataDead!$B:$B,$A82,RawDataDead!Z:Z)</f>
        <v>0</v>
      </c>
      <c r="X82">
        <f>SUMIF(RawDataDead!$B:$B,$A82,RawDataDead!AA:AA)</f>
        <v>0</v>
      </c>
      <c r="Y82">
        <f>SUMIF(RawDataDead!$B:$B,$A82,RawDataDead!AB:AB)</f>
        <v>0</v>
      </c>
      <c r="Z82">
        <f>SUMIF(RawDataDead!$B:$B,$A82,RawDataDead!AC:AC)</f>
        <v>0</v>
      </c>
      <c r="AA82">
        <f>SUMIF(RawDataDead!$B:$B,$A82,RawDataDead!AD:AD)</f>
        <v>0</v>
      </c>
      <c r="AB82">
        <f>SUMIF(RawDataDead!$B:$B,$A82,RawDataDead!AE:AE)</f>
        <v>0</v>
      </c>
      <c r="AC82">
        <f>SUMIF(RawDataDead!$B:$B,$A82,RawDataDead!AF:AF)</f>
        <v>0</v>
      </c>
      <c r="AD82">
        <f>SUMIF(RawDataDead!$B:$B,$A82,RawDataDead!AG:AG)</f>
        <v>0</v>
      </c>
      <c r="AE82">
        <f>SUMIF(RawDataDead!$B:$B,$A82,RawDataDead!AH:AH)</f>
        <v>0</v>
      </c>
      <c r="AF82">
        <f>SUMIF(RawDataDead!$B:$B,$A82,RawDataDead!AI:AI)</f>
        <v>0</v>
      </c>
      <c r="AG82">
        <f>SUMIF(RawDataDead!$B:$B,$A82,RawDataDead!AJ:AJ)</f>
        <v>0</v>
      </c>
      <c r="AH82">
        <f>SUMIF(RawDataDead!$B:$B,$A82,RawDataDead!AK:AK)</f>
        <v>0</v>
      </c>
      <c r="AI82">
        <f>SUMIF(RawDataDead!$B:$B,$A82,RawDataDead!AL:AL)</f>
        <v>0</v>
      </c>
      <c r="AJ82">
        <f>SUMIF(RawDataDead!$B:$B,$A82,RawDataDead!AM:AM)</f>
        <v>0</v>
      </c>
      <c r="AK82">
        <f>SUMIF(RawDataDead!$B:$B,$A82,RawDataDead!AN:AN)</f>
        <v>0</v>
      </c>
      <c r="AL82">
        <f>SUMIF(RawDataDead!$B:$B,$A82,RawDataDead!AO:AO)</f>
        <v>0</v>
      </c>
      <c r="AM82">
        <f>SUMIF(RawDataDead!$B:$B,$A82,RawDataDead!AP:AP)</f>
        <v>0</v>
      </c>
      <c r="AN82">
        <f>SUMIF(RawDataDead!$B:$B,$A82,RawDataDead!AQ:AQ)</f>
        <v>0</v>
      </c>
      <c r="AO82">
        <f>SUMIF(RawDataDead!$B:$B,$A82,RawDataDead!AR:AR)</f>
        <v>0</v>
      </c>
      <c r="AP82">
        <f>SUMIF(RawDataDead!$B:$B,$A82,RawDataDead!AS:AS)</f>
        <v>0</v>
      </c>
      <c r="AQ82">
        <f>SUMIF(RawDataDead!$B:$B,$A82,RawDataDead!AT:AT)</f>
        <v>0</v>
      </c>
      <c r="AR82">
        <f>SUMIF(RawDataDead!$B:$B,$A82,RawDataDead!AU:AU)</f>
        <v>0</v>
      </c>
      <c r="AS82">
        <f>SUMIF(RawDataDead!$B:$B,$A82,RawDataDead!AV:AV)</f>
        <v>0</v>
      </c>
      <c r="AT82">
        <f>SUMIF(RawDataDead!$B:$B,$A82,RawDataDead!AW:AW)</f>
        <v>0</v>
      </c>
      <c r="AU82">
        <f>SUMIF(RawDataDead!$B:$B,$A82,RawDataDead!AX:AX)</f>
        <v>0</v>
      </c>
      <c r="AV82">
        <f>SUMIF(RawDataDead!$B:$B,$A82,RawDataDead!AY:AY)</f>
        <v>0</v>
      </c>
      <c r="AW82">
        <f>SUMIF(RawDataDead!$B:$B,$A82,RawDataDead!AZ:AZ)</f>
        <v>0</v>
      </c>
      <c r="AX82">
        <f>SUMIF(RawDataDead!$B:$B,$A82,RawDataDead!BA:BA)</f>
        <v>0</v>
      </c>
      <c r="AY82">
        <f>SUMIF(RawDataDead!$B:$B,$A82,RawDataDead!BB:BB)</f>
        <v>0</v>
      </c>
      <c r="AZ82">
        <f>SUMIF(RawDataDead!$B:$B,$A82,RawDataDead!BC:BC)</f>
        <v>0</v>
      </c>
      <c r="BA82">
        <f>SUMIF(RawDataDead!$B:$B,$A82,RawDataDead!BD:BD)</f>
        <v>0</v>
      </c>
      <c r="BB82">
        <f>SUMIF(RawDataDead!$B:$B,$A82,RawDataDead!BE:BE)</f>
        <v>0</v>
      </c>
      <c r="BC82">
        <f>SUMIF(RawDataDead!$B:$B,$A82,RawDataDead!BF:BF)</f>
        <v>0</v>
      </c>
      <c r="BD82">
        <f>SUMIF(RawDataDead!$B:$B,$A82,RawDataDead!BG:BG)</f>
        <v>0</v>
      </c>
      <c r="BE82">
        <f>SUMIF(RawDataDead!$B:$B,$A82,RawDataDead!BH:BH)</f>
        <v>0</v>
      </c>
      <c r="BF82">
        <f>SUMIF(RawDataDead!$B:$B,$A82,RawDataDead!BI:BI)</f>
        <v>0</v>
      </c>
      <c r="BG82">
        <f>SUMIF(RawDataDead!$B:$B,$A82,RawDataDead!BJ:BJ)</f>
        <v>0</v>
      </c>
      <c r="BH82">
        <f>SUMIF(RawDataDead!$B:$B,$A82,RawDataDead!BK:BK)</f>
        <v>0</v>
      </c>
      <c r="BI82">
        <f>SUMIF(RawDataDead!$B:$B,$A82,RawDataDead!BL:BL)</f>
        <v>0</v>
      </c>
      <c r="BJ82">
        <f>SUMIF(RawDataDead!$B:$B,$A82,RawDataDead!BM:BM)</f>
        <v>0</v>
      </c>
      <c r="BK82">
        <f>SUMIF(RawDataDead!$B:$B,$A82,RawDataDead!BN:BN)</f>
        <v>0</v>
      </c>
      <c r="BL82">
        <f>SUMIF(RawDataDead!$B:$B,$A82,RawDataDead!BO:BO)</f>
        <v>0</v>
      </c>
      <c r="BM82">
        <f>SUMIF(RawDataDead!$B:$B,$A82,RawDataDead!BP:BP)</f>
        <v>0</v>
      </c>
      <c r="BN82">
        <f>SUMIF(RawDataDead!$B:$B,$A82,RawDataDead!BQ:BQ)</f>
        <v>0</v>
      </c>
      <c r="BO82">
        <f>SUMIF(RawDataDead!$B:$B,$A82,RawDataDead!BR:BR)</f>
        <v>0</v>
      </c>
      <c r="BP82">
        <f>SUMIF(RawDataDead!$B:$B,$A82,RawDataDead!BS:BS)</f>
        <v>0</v>
      </c>
      <c r="BQ82">
        <f>SUMIF(RawDataDead!$B:$B,$A82,RawDataDead!BT:BT)</f>
        <v>0</v>
      </c>
      <c r="BR82">
        <f>SUMIF(RawDataDead!$B:$B,$A82,RawDataDead!BU:BU)</f>
        <v>0</v>
      </c>
      <c r="BS82">
        <f>SUMIF(RawDataDead!$B:$B,$A82,RawDataDead!BV:BV)</f>
        <v>0</v>
      </c>
      <c r="BT82">
        <f>SUMIF(RawDataDead!$B:$B,$A82,RawDataDead!BW:BW)</f>
        <v>0</v>
      </c>
    </row>
    <row r="83" spans="1:72" ht="15" thickBot="1" x14ac:dyDescent="0.35">
      <c r="A83" s="4" t="s">
        <v>132</v>
      </c>
      <c r="B83">
        <f>SUMIF(RawDataDead!$B:$B,$A83,RawDataDead!E:E)</f>
        <v>0</v>
      </c>
      <c r="C83">
        <f>SUMIF(RawDataDead!$B:$B,$A83,RawDataDead!F:F)</f>
        <v>0</v>
      </c>
      <c r="D83">
        <f>SUMIF(RawDataDead!$B:$B,$A83,RawDataDead!G:G)</f>
        <v>0</v>
      </c>
      <c r="E83">
        <f>SUMIF(RawDataDead!$B:$B,$A83,RawDataDead!H:H)</f>
        <v>0</v>
      </c>
      <c r="F83">
        <f>SUMIF(RawDataDead!$B:$B,$A83,RawDataDead!I:I)</f>
        <v>0</v>
      </c>
      <c r="G83">
        <f>SUMIF(RawDataDead!$B:$B,$A83,RawDataDead!J:J)</f>
        <v>0</v>
      </c>
      <c r="H83">
        <f>SUMIF(RawDataDead!$B:$B,$A83,RawDataDead!K:K)</f>
        <v>0</v>
      </c>
      <c r="I83">
        <f>SUMIF(RawDataDead!$B:$B,$A83,RawDataDead!L:L)</f>
        <v>0</v>
      </c>
      <c r="J83">
        <f>SUMIF(RawDataDead!$B:$B,$A83,RawDataDead!M:M)</f>
        <v>0</v>
      </c>
      <c r="K83">
        <f>SUMIF(RawDataDead!$B:$B,$A83,RawDataDead!N:N)</f>
        <v>0</v>
      </c>
      <c r="L83">
        <f>SUMIF(RawDataDead!$B:$B,$A83,RawDataDead!O:O)</f>
        <v>0</v>
      </c>
      <c r="M83">
        <f>SUMIF(RawDataDead!$B:$B,$A83,RawDataDead!P:P)</f>
        <v>0</v>
      </c>
      <c r="N83">
        <f>SUMIF(RawDataDead!$B:$B,$A83,RawDataDead!Q:Q)</f>
        <v>0</v>
      </c>
      <c r="O83">
        <f>SUMIF(RawDataDead!$B:$B,$A83,RawDataDead!R:R)</f>
        <v>0</v>
      </c>
      <c r="P83">
        <f>SUMIF(RawDataDead!$B:$B,$A83,RawDataDead!S:S)</f>
        <v>0</v>
      </c>
      <c r="Q83">
        <f>SUMIF(RawDataDead!$B:$B,$A83,RawDataDead!T:T)</f>
        <v>0</v>
      </c>
      <c r="R83">
        <f>SUMIF(RawDataDead!$B:$B,$A83,RawDataDead!U:U)</f>
        <v>0</v>
      </c>
      <c r="S83">
        <f>SUMIF(RawDataDead!$B:$B,$A83,RawDataDead!V:V)</f>
        <v>0</v>
      </c>
      <c r="T83">
        <f>SUMIF(RawDataDead!$B:$B,$A83,RawDataDead!W:W)</f>
        <v>0</v>
      </c>
      <c r="U83">
        <f>SUMIF(RawDataDead!$B:$B,$A83,RawDataDead!X:X)</f>
        <v>0</v>
      </c>
      <c r="V83">
        <f>SUMIF(RawDataDead!$B:$B,$A83,RawDataDead!Y:Y)</f>
        <v>0</v>
      </c>
      <c r="W83">
        <f>SUMIF(RawDataDead!$B:$B,$A83,RawDataDead!Z:Z)</f>
        <v>0</v>
      </c>
      <c r="X83">
        <f>SUMIF(RawDataDead!$B:$B,$A83,RawDataDead!AA:AA)</f>
        <v>0</v>
      </c>
      <c r="Y83">
        <f>SUMIF(RawDataDead!$B:$B,$A83,RawDataDead!AB:AB)</f>
        <v>0</v>
      </c>
      <c r="Z83">
        <f>SUMIF(RawDataDead!$B:$B,$A83,RawDataDead!AC:AC)</f>
        <v>0</v>
      </c>
      <c r="AA83">
        <f>SUMIF(RawDataDead!$B:$B,$A83,RawDataDead!AD:AD)</f>
        <v>0</v>
      </c>
      <c r="AB83">
        <f>SUMIF(RawDataDead!$B:$B,$A83,RawDataDead!AE:AE)</f>
        <v>0</v>
      </c>
      <c r="AC83">
        <f>SUMIF(RawDataDead!$B:$B,$A83,RawDataDead!AF:AF)</f>
        <v>0</v>
      </c>
      <c r="AD83">
        <f>SUMIF(RawDataDead!$B:$B,$A83,RawDataDead!AG:AG)</f>
        <v>0</v>
      </c>
      <c r="AE83">
        <f>SUMIF(RawDataDead!$B:$B,$A83,RawDataDead!AH:AH)</f>
        <v>0</v>
      </c>
      <c r="AF83">
        <f>SUMIF(RawDataDead!$B:$B,$A83,RawDataDead!AI:AI)</f>
        <v>0</v>
      </c>
      <c r="AG83">
        <f>SUMIF(RawDataDead!$B:$B,$A83,RawDataDead!AJ:AJ)</f>
        <v>0</v>
      </c>
      <c r="AH83">
        <f>SUMIF(RawDataDead!$B:$B,$A83,RawDataDead!AK:AK)</f>
        <v>0</v>
      </c>
      <c r="AI83">
        <f>SUMIF(RawDataDead!$B:$B,$A83,RawDataDead!AL:AL)</f>
        <v>0</v>
      </c>
      <c r="AJ83">
        <f>SUMIF(RawDataDead!$B:$B,$A83,RawDataDead!AM:AM)</f>
        <v>0</v>
      </c>
      <c r="AK83">
        <f>SUMIF(RawDataDead!$B:$B,$A83,RawDataDead!AN:AN)</f>
        <v>0</v>
      </c>
      <c r="AL83">
        <f>SUMIF(RawDataDead!$B:$B,$A83,RawDataDead!AO:AO)</f>
        <v>0</v>
      </c>
      <c r="AM83">
        <f>SUMIF(RawDataDead!$B:$B,$A83,RawDataDead!AP:AP)</f>
        <v>0</v>
      </c>
      <c r="AN83">
        <f>SUMIF(RawDataDead!$B:$B,$A83,RawDataDead!AQ:AQ)</f>
        <v>0</v>
      </c>
      <c r="AO83">
        <f>SUMIF(RawDataDead!$B:$B,$A83,RawDataDead!AR:AR)</f>
        <v>0</v>
      </c>
      <c r="AP83">
        <f>SUMIF(RawDataDead!$B:$B,$A83,RawDataDead!AS:AS)</f>
        <v>0</v>
      </c>
      <c r="AQ83">
        <f>SUMIF(RawDataDead!$B:$B,$A83,RawDataDead!AT:AT)</f>
        <v>0</v>
      </c>
      <c r="AR83">
        <f>SUMIF(RawDataDead!$B:$B,$A83,RawDataDead!AU:AU)</f>
        <v>0</v>
      </c>
      <c r="AS83">
        <f>SUMIF(RawDataDead!$B:$B,$A83,RawDataDead!AV:AV)</f>
        <v>0</v>
      </c>
      <c r="AT83">
        <f>SUMIF(RawDataDead!$B:$B,$A83,RawDataDead!AW:AW)</f>
        <v>0</v>
      </c>
      <c r="AU83">
        <f>SUMIF(RawDataDead!$B:$B,$A83,RawDataDead!AX:AX)</f>
        <v>0</v>
      </c>
      <c r="AV83">
        <f>SUMIF(RawDataDead!$B:$B,$A83,RawDataDead!AY:AY)</f>
        <v>0</v>
      </c>
      <c r="AW83">
        <f>SUMIF(RawDataDead!$B:$B,$A83,RawDataDead!AZ:AZ)</f>
        <v>0</v>
      </c>
      <c r="AX83">
        <f>SUMIF(RawDataDead!$B:$B,$A83,RawDataDead!BA:BA)</f>
        <v>0</v>
      </c>
      <c r="AY83">
        <f>SUMIF(RawDataDead!$B:$B,$A83,RawDataDead!BB:BB)</f>
        <v>0</v>
      </c>
      <c r="AZ83">
        <f>SUMIF(RawDataDead!$B:$B,$A83,RawDataDead!BC:BC)</f>
        <v>0</v>
      </c>
      <c r="BA83">
        <f>SUMIF(RawDataDead!$B:$B,$A83,RawDataDead!BD:BD)</f>
        <v>0</v>
      </c>
      <c r="BB83">
        <f>SUMIF(RawDataDead!$B:$B,$A83,RawDataDead!BE:BE)</f>
        <v>0</v>
      </c>
      <c r="BC83">
        <f>SUMIF(RawDataDead!$B:$B,$A83,RawDataDead!BF:BF)</f>
        <v>0</v>
      </c>
      <c r="BD83">
        <f>SUMIF(RawDataDead!$B:$B,$A83,RawDataDead!BG:BG)</f>
        <v>0</v>
      </c>
      <c r="BE83">
        <f>SUMIF(RawDataDead!$B:$B,$A83,RawDataDead!BH:BH)</f>
        <v>0</v>
      </c>
      <c r="BF83">
        <f>SUMIF(RawDataDead!$B:$B,$A83,RawDataDead!BI:BI)</f>
        <v>0</v>
      </c>
      <c r="BG83">
        <f>SUMIF(RawDataDead!$B:$B,$A83,RawDataDead!BJ:BJ)</f>
        <v>0</v>
      </c>
      <c r="BH83">
        <f>SUMIF(RawDataDead!$B:$B,$A83,RawDataDead!BK:BK)</f>
        <v>0</v>
      </c>
      <c r="BI83">
        <f>SUMIF(RawDataDead!$B:$B,$A83,RawDataDead!BL:BL)</f>
        <v>0</v>
      </c>
      <c r="BJ83">
        <f>SUMIF(RawDataDead!$B:$B,$A83,RawDataDead!BM:BM)</f>
        <v>0</v>
      </c>
      <c r="BK83">
        <f>SUMIF(RawDataDead!$B:$B,$A83,RawDataDead!BN:BN)</f>
        <v>0</v>
      </c>
      <c r="BL83">
        <f>SUMIF(RawDataDead!$B:$B,$A83,RawDataDead!BO:BO)</f>
        <v>0</v>
      </c>
      <c r="BM83">
        <f>SUMIF(RawDataDead!$B:$B,$A83,RawDataDead!BP:BP)</f>
        <v>0</v>
      </c>
      <c r="BN83">
        <f>SUMIF(RawDataDead!$B:$B,$A83,RawDataDead!BQ:BQ)</f>
        <v>0</v>
      </c>
      <c r="BO83">
        <f>SUMIF(RawDataDead!$B:$B,$A83,RawDataDead!BR:BR)</f>
        <v>0</v>
      </c>
      <c r="BP83">
        <f>SUMIF(RawDataDead!$B:$B,$A83,RawDataDead!BS:BS)</f>
        <v>0</v>
      </c>
      <c r="BQ83">
        <f>SUMIF(RawDataDead!$B:$B,$A83,RawDataDead!BT:BT)</f>
        <v>0</v>
      </c>
      <c r="BR83">
        <f>SUMIF(RawDataDead!$B:$B,$A83,RawDataDead!BU:BU)</f>
        <v>0</v>
      </c>
      <c r="BS83">
        <f>SUMIF(RawDataDead!$B:$B,$A83,RawDataDead!BV:BV)</f>
        <v>0</v>
      </c>
      <c r="BT83">
        <f>SUMIF(RawDataDead!$B:$B,$A83,RawDataDead!BW:BW)</f>
        <v>0</v>
      </c>
    </row>
    <row r="84" spans="1:72" ht="15" thickBot="1" x14ac:dyDescent="0.35">
      <c r="A84" s="3" t="s">
        <v>381</v>
      </c>
      <c r="B84">
        <f>SUMIF(RawDataDead!$B:$B,$A84,RawDataDead!E:E)</f>
        <v>0</v>
      </c>
      <c r="C84">
        <f>SUMIF(RawDataDead!$B:$B,$A84,RawDataDead!F:F)</f>
        <v>0</v>
      </c>
      <c r="D84">
        <f>SUMIF(RawDataDead!$B:$B,$A84,RawDataDead!G:G)</f>
        <v>0</v>
      </c>
      <c r="E84">
        <f>SUMIF(RawDataDead!$B:$B,$A84,RawDataDead!H:H)</f>
        <v>0</v>
      </c>
      <c r="F84">
        <f>SUMIF(RawDataDead!$B:$B,$A84,RawDataDead!I:I)</f>
        <v>0</v>
      </c>
      <c r="G84">
        <f>SUMIF(RawDataDead!$B:$B,$A84,RawDataDead!J:J)</f>
        <v>0</v>
      </c>
      <c r="H84">
        <f>SUMIF(RawDataDead!$B:$B,$A84,RawDataDead!K:K)</f>
        <v>0</v>
      </c>
      <c r="I84">
        <f>SUMIF(RawDataDead!$B:$B,$A84,RawDataDead!L:L)</f>
        <v>0</v>
      </c>
      <c r="J84">
        <f>SUMIF(RawDataDead!$B:$B,$A84,RawDataDead!M:M)</f>
        <v>0</v>
      </c>
      <c r="K84">
        <f>SUMIF(RawDataDead!$B:$B,$A84,RawDataDead!N:N)</f>
        <v>0</v>
      </c>
      <c r="L84">
        <f>SUMIF(RawDataDead!$B:$B,$A84,RawDataDead!O:O)</f>
        <v>0</v>
      </c>
      <c r="M84">
        <f>SUMIF(RawDataDead!$B:$B,$A84,RawDataDead!P:P)</f>
        <v>0</v>
      </c>
      <c r="N84">
        <f>SUMIF(RawDataDead!$B:$B,$A84,RawDataDead!Q:Q)</f>
        <v>0</v>
      </c>
      <c r="O84">
        <f>SUMIF(RawDataDead!$B:$B,$A84,RawDataDead!R:R)</f>
        <v>0</v>
      </c>
      <c r="P84">
        <f>SUMIF(RawDataDead!$B:$B,$A84,RawDataDead!S:S)</f>
        <v>0</v>
      </c>
      <c r="Q84">
        <f>SUMIF(RawDataDead!$B:$B,$A84,RawDataDead!T:T)</f>
        <v>0</v>
      </c>
      <c r="R84">
        <f>SUMIF(RawDataDead!$B:$B,$A84,RawDataDead!U:U)</f>
        <v>0</v>
      </c>
      <c r="S84">
        <f>SUMIF(RawDataDead!$B:$B,$A84,RawDataDead!V:V)</f>
        <v>0</v>
      </c>
      <c r="T84">
        <f>SUMIF(RawDataDead!$B:$B,$A84,RawDataDead!W:W)</f>
        <v>0</v>
      </c>
      <c r="U84">
        <f>SUMIF(RawDataDead!$B:$B,$A84,RawDataDead!X:X)</f>
        <v>0</v>
      </c>
      <c r="V84">
        <f>SUMIF(RawDataDead!$B:$B,$A84,RawDataDead!Y:Y)</f>
        <v>0</v>
      </c>
      <c r="W84">
        <f>SUMIF(RawDataDead!$B:$B,$A84,RawDataDead!Z:Z)</f>
        <v>0</v>
      </c>
      <c r="X84">
        <f>SUMIF(RawDataDead!$B:$B,$A84,RawDataDead!AA:AA)</f>
        <v>0</v>
      </c>
      <c r="Y84">
        <f>SUMIF(RawDataDead!$B:$B,$A84,RawDataDead!AB:AB)</f>
        <v>0</v>
      </c>
      <c r="Z84">
        <f>SUMIF(RawDataDead!$B:$B,$A84,RawDataDead!AC:AC)</f>
        <v>0</v>
      </c>
      <c r="AA84">
        <f>SUMIF(RawDataDead!$B:$B,$A84,RawDataDead!AD:AD)</f>
        <v>0</v>
      </c>
      <c r="AB84">
        <f>SUMIF(RawDataDead!$B:$B,$A84,RawDataDead!AE:AE)</f>
        <v>0</v>
      </c>
      <c r="AC84">
        <f>SUMIF(RawDataDead!$B:$B,$A84,RawDataDead!AF:AF)</f>
        <v>0</v>
      </c>
      <c r="AD84">
        <f>SUMIF(RawDataDead!$B:$B,$A84,RawDataDead!AG:AG)</f>
        <v>0</v>
      </c>
      <c r="AE84">
        <f>SUMIF(RawDataDead!$B:$B,$A84,RawDataDead!AH:AH)</f>
        <v>0</v>
      </c>
      <c r="AF84">
        <f>SUMIF(RawDataDead!$B:$B,$A84,RawDataDead!AI:AI)</f>
        <v>0</v>
      </c>
      <c r="AG84">
        <f>SUMIF(RawDataDead!$B:$B,$A84,RawDataDead!AJ:AJ)</f>
        <v>0</v>
      </c>
      <c r="AH84">
        <f>SUMIF(RawDataDead!$B:$B,$A84,RawDataDead!AK:AK)</f>
        <v>0</v>
      </c>
      <c r="AI84">
        <f>SUMIF(RawDataDead!$B:$B,$A84,RawDataDead!AL:AL)</f>
        <v>0</v>
      </c>
      <c r="AJ84">
        <f>SUMIF(RawDataDead!$B:$B,$A84,RawDataDead!AM:AM)</f>
        <v>0</v>
      </c>
      <c r="AK84">
        <f>SUMIF(RawDataDead!$B:$B,$A84,RawDataDead!AN:AN)</f>
        <v>0</v>
      </c>
      <c r="AL84">
        <f>SUMIF(RawDataDead!$B:$B,$A84,RawDataDead!AO:AO)</f>
        <v>0</v>
      </c>
      <c r="AM84">
        <f>SUMIF(RawDataDead!$B:$B,$A84,RawDataDead!AP:AP)</f>
        <v>0</v>
      </c>
      <c r="AN84">
        <f>SUMIF(RawDataDead!$B:$B,$A84,RawDataDead!AQ:AQ)</f>
        <v>0</v>
      </c>
      <c r="AO84">
        <f>SUMIF(RawDataDead!$B:$B,$A84,RawDataDead!AR:AR)</f>
        <v>0</v>
      </c>
      <c r="AP84">
        <f>SUMIF(RawDataDead!$B:$B,$A84,RawDataDead!AS:AS)</f>
        <v>0</v>
      </c>
      <c r="AQ84">
        <f>SUMIF(RawDataDead!$B:$B,$A84,RawDataDead!AT:AT)</f>
        <v>0</v>
      </c>
      <c r="AR84">
        <f>SUMIF(RawDataDead!$B:$B,$A84,RawDataDead!AU:AU)</f>
        <v>0</v>
      </c>
      <c r="AS84">
        <f>SUMIF(RawDataDead!$B:$B,$A84,RawDataDead!AV:AV)</f>
        <v>0</v>
      </c>
      <c r="AT84">
        <f>SUMIF(RawDataDead!$B:$B,$A84,RawDataDead!AW:AW)</f>
        <v>0</v>
      </c>
      <c r="AU84">
        <f>SUMIF(RawDataDead!$B:$B,$A84,RawDataDead!AX:AX)</f>
        <v>0</v>
      </c>
      <c r="AV84">
        <f>SUMIF(RawDataDead!$B:$B,$A84,RawDataDead!AY:AY)</f>
        <v>0</v>
      </c>
      <c r="AW84">
        <f>SUMIF(RawDataDead!$B:$B,$A84,RawDataDead!AZ:AZ)</f>
        <v>0</v>
      </c>
      <c r="AX84">
        <f>SUMIF(RawDataDead!$B:$B,$A84,RawDataDead!BA:BA)</f>
        <v>0</v>
      </c>
      <c r="AY84">
        <f>SUMIF(RawDataDead!$B:$B,$A84,RawDataDead!BB:BB)</f>
        <v>0</v>
      </c>
      <c r="AZ84">
        <f>SUMIF(RawDataDead!$B:$B,$A84,RawDataDead!BC:BC)</f>
        <v>0</v>
      </c>
      <c r="BA84">
        <f>SUMIF(RawDataDead!$B:$B,$A84,RawDataDead!BD:BD)</f>
        <v>0</v>
      </c>
      <c r="BB84">
        <f>SUMIF(RawDataDead!$B:$B,$A84,RawDataDead!BE:BE)</f>
        <v>0</v>
      </c>
      <c r="BC84">
        <f>SUMIF(RawDataDead!$B:$B,$A84,RawDataDead!BF:BF)</f>
        <v>0</v>
      </c>
      <c r="BD84">
        <f>SUMIF(RawDataDead!$B:$B,$A84,RawDataDead!BG:BG)</f>
        <v>0</v>
      </c>
      <c r="BE84">
        <f>SUMIF(RawDataDead!$B:$B,$A84,RawDataDead!BH:BH)</f>
        <v>0</v>
      </c>
      <c r="BF84">
        <f>SUMIF(RawDataDead!$B:$B,$A84,RawDataDead!BI:BI)</f>
        <v>0</v>
      </c>
      <c r="BG84">
        <f>SUMIF(RawDataDead!$B:$B,$A84,RawDataDead!BJ:BJ)</f>
        <v>0</v>
      </c>
      <c r="BH84">
        <f>SUMIF(RawDataDead!$B:$B,$A84,RawDataDead!BK:BK)</f>
        <v>0</v>
      </c>
      <c r="BI84">
        <f>SUMIF(RawDataDead!$B:$B,$A84,RawDataDead!BL:BL)</f>
        <v>0</v>
      </c>
      <c r="BJ84">
        <f>SUMIF(RawDataDead!$B:$B,$A84,RawDataDead!BM:BM)</f>
        <v>0</v>
      </c>
      <c r="BK84">
        <f>SUMIF(RawDataDead!$B:$B,$A84,RawDataDead!BN:BN)</f>
        <v>0</v>
      </c>
      <c r="BL84">
        <f>SUMIF(RawDataDead!$B:$B,$A84,RawDataDead!BO:BO)</f>
        <v>0</v>
      </c>
      <c r="BM84">
        <f>SUMIF(RawDataDead!$B:$B,$A84,RawDataDead!BP:BP)</f>
        <v>0</v>
      </c>
      <c r="BN84">
        <f>SUMIF(RawDataDead!$B:$B,$A84,RawDataDead!BQ:BQ)</f>
        <v>0</v>
      </c>
      <c r="BO84">
        <f>SUMIF(RawDataDead!$B:$B,$A84,RawDataDead!BR:BR)</f>
        <v>0</v>
      </c>
      <c r="BP84">
        <f>SUMIF(RawDataDead!$B:$B,$A84,RawDataDead!BS:BS)</f>
        <v>0</v>
      </c>
      <c r="BQ84">
        <f>SUMIF(RawDataDead!$B:$B,$A84,RawDataDead!BT:BT)</f>
        <v>0</v>
      </c>
      <c r="BR84">
        <f>SUMIF(RawDataDead!$B:$B,$A84,RawDataDead!BU:BU)</f>
        <v>0</v>
      </c>
      <c r="BS84">
        <f>SUMIF(RawDataDead!$B:$B,$A84,RawDataDead!BV:BV)</f>
        <v>0</v>
      </c>
      <c r="BT84">
        <f>SUMIF(RawDataDead!$B:$B,$A84,RawDataDead!BW:BW)</f>
        <v>0</v>
      </c>
    </row>
    <row r="85" spans="1:72" ht="15" thickBot="1" x14ac:dyDescent="0.35">
      <c r="A85" s="3" t="s">
        <v>99</v>
      </c>
      <c r="B85">
        <f>SUMIF(RawDataDead!$B:$B,$A85,RawDataDead!E:E)</f>
        <v>0</v>
      </c>
      <c r="C85">
        <f>SUMIF(RawDataDead!$B:$B,$A85,RawDataDead!F:F)</f>
        <v>0</v>
      </c>
      <c r="D85">
        <f>SUMIF(RawDataDead!$B:$B,$A85,RawDataDead!G:G)</f>
        <v>0</v>
      </c>
      <c r="E85">
        <f>SUMIF(RawDataDead!$B:$B,$A85,RawDataDead!H:H)</f>
        <v>0</v>
      </c>
      <c r="F85">
        <f>SUMIF(RawDataDead!$B:$B,$A85,RawDataDead!I:I)</f>
        <v>0</v>
      </c>
      <c r="G85">
        <f>SUMIF(RawDataDead!$B:$B,$A85,RawDataDead!J:J)</f>
        <v>0</v>
      </c>
      <c r="H85">
        <f>SUMIF(RawDataDead!$B:$B,$A85,RawDataDead!K:K)</f>
        <v>0</v>
      </c>
      <c r="I85">
        <f>SUMIF(RawDataDead!$B:$B,$A85,RawDataDead!L:L)</f>
        <v>0</v>
      </c>
      <c r="J85">
        <f>SUMIF(RawDataDead!$B:$B,$A85,RawDataDead!M:M)</f>
        <v>0</v>
      </c>
      <c r="K85">
        <f>SUMIF(RawDataDead!$B:$B,$A85,RawDataDead!N:N)</f>
        <v>0</v>
      </c>
      <c r="L85">
        <f>SUMIF(RawDataDead!$B:$B,$A85,RawDataDead!O:O)</f>
        <v>0</v>
      </c>
      <c r="M85">
        <f>SUMIF(RawDataDead!$B:$B,$A85,RawDataDead!P:P)</f>
        <v>0</v>
      </c>
      <c r="N85">
        <f>SUMIF(RawDataDead!$B:$B,$A85,RawDataDead!Q:Q)</f>
        <v>0</v>
      </c>
      <c r="O85">
        <f>SUMIF(RawDataDead!$B:$B,$A85,RawDataDead!R:R)</f>
        <v>0</v>
      </c>
      <c r="P85">
        <f>SUMIF(RawDataDead!$B:$B,$A85,RawDataDead!S:S)</f>
        <v>0</v>
      </c>
      <c r="Q85">
        <f>SUMIF(RawDataDead!$B:$B,$A85,RawDataDead!T:T)</f>
        <v>0</v>
      </c>
      <c r="R85">
        <f>SUMIF(RawDataDead!$B:$B,$A85,RawDataDead!U:U)</f>
        <v>0</v>
      </c>
      <c r="S85">
        <f>SUMIF(RawDataDead!$B:$B,$A85,RawDataDead!V:V)</f>
        <v>0</v>
      </c>
      <c r="T85">
        <f>SUMIF(RawDataDead!$B:$B,$A85,RawDataDead!W:W)</f>
        <v>0</v>
      </c>
      <c r="U85">
        <f>SUMIF(RawDataDead!$B:$B,$A85,RawDataDead!X:X)</f>
        <v>0</v>
      </c>
      <c r="V85">
        <f>SUMIF(RawDataDead!$B:$B,$A85,RawDataDead!Y:Y)</f>
        <v>0</v>
      </c>
      <c r="W85">
        <f>SUMIF(RawDataDead!$B:$B,$A85,RawDataDead!Z:Z)</f>
        <v>0</v>
      </c>
      <c r="X85">
        <f>SUMIF(RawDataDead!$B:$B,$A85,RawDataDead!AA:AA)</f>
        <v>0</v>
      </c>
      <c r="Y85">
        <f>SUMIF(RawDataDead!$B:$B,$A85,RawDataDead!AB:AB)</f>
        <v>0</v>
      </c>
      <c r="Z85">
        <f>SUMIF(RawDataDead!$B:$B,$A85,RawDataDead!AC:AC)</f>
        <v>0</v>
      </c>
      <c r="AA85">
        <f>SUMIF(RawDataDead!$B:$B,$A85,RawDataDead!AD:AD)</f>
        <v>0</v>
      </c>
      <c r="AB85">
        <f>SUMIF(RawDataDead!$B:$B,$A85,RawDataDead!AE:AE)</f>
        <v>0</v>
      </c>
      <c r="AC85">
        <f>SUMIF(RawDataDead!$B:$B,$A85,RawDataDead!AF:AF)</f>
        <v>0</v>
      </c>
      <c r="AD85">
        <f>SUMIF(RawDataDead!$B:$B,$A85,RawDataDead!AG:AG)</f>
        <v>0</v>
      </c>
      <c r="AE85">
        <f>SUMIF(RawDataDead!$B:$B,$A85,RawDataDead!AH:AH)</f>
        <v>0</v>
      </c>
      <c r="AF85">
        <f>SUMIF(RawDataDead!$B:$B,$A85,RawDataDead!AI:AI)</f>
        <v>0</v>
      </c>
      <c r="AG85">
        <f>SUMIF(RawDataDead!$B:$B,$A85,RawDataDead!AJ:AJ)</f>
        <v>0</v>
      </c>
      <c r="AH85">
        <f>SUMIF(RawDataDead!$B:$B,$A85,RawDataDead!AK:AK)</f>
        <v>0</v>
      </c>
      <c r="AI85">
        <f>SUMIF(RawDataDead!$B:$B,$A85,RawDataDead!AL:AL)</f>
        <v>0</v>
      </c>
      <c r="AJ85">
        <f>SUMIF(RawDataDead!$B:$B,$A85,RawDataDead!AM:AM)</f>
        <v>0</v>
      </c>
      <c r="AK85">
        <f>SUMIF(RawDataDead!$B:$B,$A85,RawDataDead!AN:AN)</f>
        <v>0</v>
      </c>
      <c r="AL85">
        <f>SUMIF(RawDataDead!$B:$B,$A85,RawDataDead!AO:AO)</f>
        <v>0</v>
      </c>
      <c r="AM85">
        <f>SUMIF(RawDataDead!$B:$B,$A85,RawDataDead!AP:AP)</f>
        <v>0</v>
      </c>
      <c r="AN85">
        <f>SUMIF(RawDataDead!$B:$B,$A85,RawDataDead!AQ:AQ)</f>
        <v>0</v>
      </c>
      <c r="AO85">
        <f>SUMIF(RawDataDead!$B:$B,$A85,RawDataDead!AR:AR)</f>
        <v>0</v>
      </c>
      <c r="AP85">
        <f>SUMIF(RawDataDead!$B:$B,$A85,RawDataDead!AS:AS)</f>
        <v>0</v>
      </c>
      <c r="AQ85">
        <f>SUMIF(RawDataDead!$B:$B,$A85,RawDataDead!AT:AT)</f>
        <v>0</v>
      </c>
      <c r="AR85">
        <f>SUMIF(RawDataDead!$B:$B,$A85,RawDataDead!AU:AU)</f>
        <v>0</v>
      </c>
      <c r="AS85">
        <f>SUMIF(RawDataDead!$B:$B,$A85,RawDataDead!AV:AV)</f>
        <v>0</v>
      </c>
      <c r="AT85">
        <f>SUMIF(RawDataDead!$B:$B,$A85,RawDataDead!AW:AW)</f>
        <v>0</v>
      </c>
      <c r="AU85">
        <f>SUMIF(RawDataDead!$B:$B,$A85,RawDataDead!AX:AX)</f>
        <v>0</v>
      </c>
      <c r="AV85">
        <f>SUMIF(RawDataDead!$B:$B,$A85,RawDataDead!AY:AY)</f>
        <v>0</v>
      </c>
      <c r="AW85">
        <f>SUMIF(RawDataDead!$B:$B,$A85,RawDataDead!AZ:AZ)</f>
        <v>0</v>
      </c>
      <c r="AX85">
        <f>SUMIF(RawDataDead!$B:$B,$A85,RawDataDead!BA:BA)</f>
        <v>0</v>
      </c>
      <c r="AY85">
        <f>SUMIF(RawDataDead!$B:$B,$A85,RawDataDead!BB:BB)</f>
        <v>0</v>
      </c>
      <c r="AZ85">
        <f>SUMIF(RawDataDead!$B:$B,$A85,RawDataDead!BC:BC)</f>
        <v>0</v>
      </c>
      <c r="BA85">
        <f>SUMIF(RawDataDead!$B:$B,$A85,RawDataDead!BD:BD)</f>
        <v>0</v>
      </c>
      <c r="BB85">
        <f>SUMIF(RawDataDead!$B:$B,$A85,RawDataDead!BE:BE)</f>
        <v>0</v>
      </c>
      <c r="BC85">
        <f>SUMIF(RawDataDead!$B:$B,$A85,RawDataDead!BF:BF)</f>
        <v>0</v>
      </c>
      <c r="BD85">
        <f>SUMIF(RawDataDead!$B:$B,$A85,RawDataDead!BG:BG)</f>
        <v>0</v>
      </c>
      <c r="BE85">
        <f>SUMIF(RawDataDead!$B:$B,$A85,RawDataDead!BH:BH)</f>
        <v>0</v>
      </c>
      <c r="BF85">
        <f>SUMIF(RawDataDead!$B:$B,$A85,RawDataDead!BI:BI)</f>
        <v>0</v>
      </c>
      <c r="BG85">
        <f>SUMIF(RawDataDead!$B:$B,$A85,RawDataDead!BJ:BJ)</f>
        <v>0</v>
      </c>
      <c r="BH85">
        <f>SUMIF(RawDataDead!$B:$B,$A85,RawDataDead!BK:BK)</f>
        <v>0</v>
      </c>
      <c r="BI85">
        <f>SUMIF(RawDataDead!$B:$B,$A85,RawDataDead!BL:BL)</f>
        <v>0</v>
      </c>
      <c r="BJ85">
        <f>SUMIF(RawDataDead!$B:$B,$A85,RawDataDead!BM:BM)</f>
        <v>0</v>
      </c>
      <c r="BK85">
        <f>SUMIF(RawDataDead!$B:$B,$A85,RawDataDead!BN:BN)</f>
        <v>0</v>
      </c>
      <c r="BL85">
        <f>SUMIF(RawDataDead!$B:$B,$A85,RawDataDead!BO:BO)</f>
        <v>0</v>
      </c>
      <c r="BM85">
        <f>SUMIF(RawDataDead!$B:$B,$A85,RawDataDead!BP:BP)</f>
        <v>0</v>
      </c>
      <c r="BN85">
        <f>SUMIF(RawDataDead!$B:$B,$A85,RawDataDead!BQ:BQ)</f>
        <v>0</v>
      </c>
      <c r="BO85">
        <f>SUMIF(RawDataDead!$B:$B,$A85,RawDataDead!BR:BR)</f>
        <v>0</v>
      </c>
      <c r="BP85">
        <f>SUMIF(RawDataDead!$B:$B,$A85,RawDataDead!BS:BS)</f>
        <v>0</v>
      </c>
      <c r="BQ85">
        <f>SUMIF(RawDataDead!$B:$B,$A85,RawDataDead!BT:BT)</f>
        <v>0</v>
      </c>
      <c r="BR85">
        <f>SUMIF(RawDataDead!$B:$B,$A85,RawDataDead!BU:BU)</f>
        <v>0</v>
      </c>
      <c r="BS85">
        <f>SUMIF(RawDataDead!$B:$B,$A85,RawDataDead!BV:BV)</f>
        <v>0</v>
      </c>
      <c r="BT85">
        <f>SUMIF(RawDataDead!$B:$B,$A85,RawDataDead!BW:BW)</f>
        <v>0</v>
      </c>
    </row>
    <row r="86" spans="1:72" ht="15" thickBot="1" x14ac:dyDescent="0.35">
      <c r="A86" s="3" t="s">
        <v>139</v>
      </c>
      <c r="B86">
        <f>SUMIF(RawDataDead!$B:$B,$A86,RawDataDead!E:E)</f>
        <v>0</v>
      </c>
      <c r="C86">
        <f>SUMIF(RawDataDead!$B:$B,$A86,RawDataDead!F:F)</f>
        <v>0</v>
      </c>
      <c r="D86">
        <f>SUMIF(RawDataDead!$B:$B,$A86,RawDataDead!G:G)</f>
        <v>0</v>
      </c>
      <c r="E86">
        <f>SUMIF(RawDataDead!$B:$B,$A86,RawDataDead!H:H)</f>
        <v>0</v>
      </c>
      <c r="F86">
        <f>SUMIF(RawDataDead!$B:$B,$A86,RawDataDead!I:I)</f>
        <v>0</v>
      </c>
      <c r="G86">
        <f>SUMIF(RawDataDead!$B:$B,$A86,RawDataDead!J:J)</f>
        <v>0</v>
      </c>
      <c r="H86">
        <f>SUMIF(RawDataDead!$B:$B,$A86,RawDataDead!K:K)</f>
        <v>0</v>
      </c>
      <c r="I86">
        <f>SUMIF(RawDataDead!$B:$B,$A86,RawDataDead!L:L)</f>
        <v>0</v>
      </c>
      <c r="J86">
        <f>SUMIF(RawDataDead!$B:$B,$A86,RawDataDead!M:M)</f>
        <v>0</v>
      </c>
      <c r="K86">
        <f>SUMIF(RawDataDead!$B:$B,$A86,RawDataDead!N:N)</f>
        <v>0</v>
      </c>
      <c r="L86">
        <f>SUMIF(RawDataDead!$B:$B,$A86,RawDataDead!O:O)</f>
        <v>0</v>
      </c>
      <c r="M86">
        <f>SUMIF(RawDataDead!$B:$B,$A86,RawDataDead!P:P)</f>
        <v>0</v>
      </c>
      <c r="N86">
        <f>SUMIF(RawDataDead!$B:$B,$A86,RawDataDead!Q:Q)</f>
        <v>0</v>
      </c>
      <c r="O86">
        <f>SUMIF(RawDataDead!$B:$B,$A86,RawDataDead!R:R)</f>
        <v>0</v>
      </c>
      <c r="P86">
        <f>SUMIF(RawDataDead!$B:$B,$A86,RawDataDead!S:S)</f>
        <v>0</v>
      </c>
      <c r="Q86">
        <f>SUMIF(RawDataDead!$B:$B,$A86,RawDataDead!T:T)</f>
        <v>0</v>
      </c>
      <c r="R86">
        <f>SUMIF(RawDataDead!$B:$B,$A86,RawDataDead!U:U)</f>
        <v>0</v>
      </c>
      <c r="S86">
        <f>SUMIF(RawDataDead!$B:$B,$A86,RawDataDead!V:V)</f>
        <v>0</v>
      </c>
      <c r="T86">
        <f>SUMIF(RawDataDead!$B:$B,$A86,RawDataDead!W:W)</f>
        <v>0</v>
      </c>
      <c r="U86">
        <f>SUMIF(RawDataDead!$B:$B,$A86,RawDataDead!X:X)</f>
        <v>0</v>
      </c>
      <c r="V86">
        <f>SUMIF(RawDataDead!$B:$B,$A86,RawDataDead!Y:Y)</f>
        <v>0</v>
      </c>
      <c r="W86">
        <f>SUMIF(RawDataDead!$B:$B,$A86,RawDataDead!Z:Z)</f>
        <v>0</v>
      </c>
      <c r="X86">
        <f>SUMIF(RawDataDead!$B:$B,$A86,RawDataDead!AA:AA)</f>
        <v>0</v>
      </c>
      <c r="Y86">
        <f>SUMIF(RawDataDead!$B:$B,$A86,RawDataDead!AB:AB)</f>
        <v>0</v>
      </c>
      <c r="Z86">
        <f>SUMIF(RawDataDead!$B:$B,$A86,RawDataDead!AC:AC)</f>
        <v>0</v>
      </c>
      <c r="AA86">
        <f>SUMIF(RawDataDead!$B:$B,$A86,RawDataDead!AD:AD)</f>
        <v>0</v>
      </c>
      <c r="AB86">
        <f>SUMIF(RawDataDead!$B:$B,$A86,RawDataDead!AE:AE)</f>
        <v>0</v>
      </c>
      <c r="AC86">
        <f>SUMIF(RawDataDead!$B:$B,$A86,RawDataDead!AF:AF)</f>
        <v>0</v>
      </c>
      <c r="AD86">
        <f>SUMIF(RawDataDead!$B:$B,$A86,RawDataDead!AG:AG)</f>
        <v>0</v>
      </c>
      <c r="AE86">
        <f>SUMIF(RawDataDead!$B:$B,$A86,RawDataDead!AH:AH)</f>
        <v>0</v>
      </c>
      <c r="AF86">
        <f>SUMIF(RawDataDead!$B:$B,$A86,RawDataDead!AI:AI)</f>
        <v>0</v>
      </c>
      <c r="AG86">
        <f>SUMIF(RawDataDead!$B:$B,$A86,RawDataDead!AJ:AJ)</f>
        <v>0</v>
      </c>
      <c r="AH86">
        <f>SUMIF(RawDataDead!$B:$B,$A86,RawDataDead!AK:AK)</f>
        <v>0</v>
      </c>
      <c r="AI86">
        <f>SUMIF(RawDataDead!$B:$B,$A86,RawDataDead!AL:AL)</f>
        <v>0</v>
      </c>
      <c r="AJ86">
        <f>SUMIF(RawDataDead!$B:$B,$A86,RawDataDead!AM:AM)</f>
        <v>0</v>
      </c>
      <c r="AK86">
        <f>SUMIF(RawDataDead!$B:$B,$A86,RawDataDead!AN:AN)</f>
        <v>0</v>
      </c>
      <c r="AL86">
        <f>SUMIF(RawDataDead!$B:$B,$A86,RawDataDead!AO:AO)</f>
        <v>0</v>
      </c>
      <c r="AM86">
        <f>SUMIF(RawDataDead!$B:$B,$A86,RawDataDead!AP:AP)</f>
        <v>0</v>
      </c>
      <c r="AN86">
        <f>SUMIF(RawDataDead!$B:$B,$A86,RawDataDead!AQ:AQ)</f>
        <v>0</v>
      </c>
      <c r="AO86">
        <f>SUMIF(RawDataDead!$B:$B,$A86,RawDataDead!AR:AR)</f>
        <v>0</v>
      </c>
      <c r="AP86">
        <f>SUMIF(RawDataDead!$B:$B,$A86,RawDataDead!AS:AS)</f>
        <v>0</v>
      </c>
      <c r="AQ86">
        <f>SUMIF(RawDataDead!$B:$B,$A86,RawDataDead!AT:AT)</f>
        <v>0</v>
      </c>
      <c r="AR86">
        <f>SUMIF(RawDataDead!$B:$B,$A86,RawDataDead!AU:AU)</f>
        <v>0</v>
      </c>
      <c r="AS86">
        <f>SUMIF(RawDataDead!$B:$B,$A86,RawDataDead!AV:AV)</f>
        <v>0</v>
      </c>
      <c r="AT86">
        <f>SUMIF(RawDataDead!$B:$B,$A86,RawDataDead!AW:AW)</f>
        <v>0</v>
      </c>
      <c r="AU86">
        <f>SUMIF(RawDataDead!$B:$B,$A86,RawDataDead!AX:AX)</f>
        <v>0</v>
      </c>
      <c r="AV86">
        <f>SUMIF(RawDataDead!$B:$B,$A86,RawDataDead!AY:AY)</f>
        <v>0</v>
      </c>
      <c r="AW86">
        <f>SUMIF(RawDataDead!$B:$B,$A86,RawDataDead!AZ:AZ)</f>
        <v>0</v>
      </c>
      <c r="AX86">
        <f>SUMIF(RawDataDead!$B:$B,$A86,RawDataDead!BA:BA)</f>
        <v>1</v>
      </c>
      <c r="AY86">
        <f>SUMIF(RawDataDead!$B:$B,$A86,RawDataDead!BB:BB)</f>
        <v>1</v>
      </c>
      <c r="AZ86">
        <f>SUMIF(RawDataDead!$B:$B,$A86,RawDataDead!BC:BC)</f>
        <v>1</v>
      </c>
      <c r="BA86">
        <f>SUMIF(RawDataDead!$B:$B,$A86,RawDataDead!BD:BD)</f>
        <v>1</v>
      </c>
      <c r="BB86">
        <f>SUMIF(RawDataDead!$B:$B,$A86,RawDataDead!BE:BE)</f>
        <v>1</v>
      </c>
      <c r="BC86">
        <f>SUMIF(RawDataDead!$B:$B,$A86,RawDataDead!BF:BF)</f>
        <v>1</v>
      </c>
      <c r="BD86">
        <f>SUMIF(RawDataDead!$B:$B,$A86,RawDataDead!BG:BG)</f>
        <v>1</v>
      </c>
      <c r="BE86">
        <f>SUMIF(RawDataDead!$B:$B,$A86,RawDataDead!BH:BH)</f>
        <v>2</v>
      </c>
      <c r="BF86">
        <f>SUMIF(RawDataDead!$B:$B,$A86,RawDataDead!BI:BI)</f>
        <v>0</v>
      </c>
      <c r="BG86">
        <f>SUMIF(RawDataDead!$B:$B,$A86,RawDataDead!BJ:BJ)</f>
        <v>0</v>
      </c>
      <c r="BH86">
        <f>SUMIF(RawDataDead!$B:$B,$A86,RawDataDead!BK:BK)</f>
        <v>0</v>
      </c>
      <c r="BI86">
        <f>SUMIF(RawDataDead!$B:$B,$A86,RawDataDead!BL:BL)</f>
        <v>0</v>
      </c>
      <c r="BJ86">
        <f>SUMIF(RawDataDead!$B:$B,$A86,RawDataDead!BM:BM)</f>
        <v>0</v>
      </c>
      <c r="BK86">
        <f>SUMIF(RawDataDead!$B:$B,$A86,RawDataDead!BN:BN)</f>
        <v>0</v>
      </c>
      <c r="BL86">
        <f>SUMIF(RawDataDead!$B:$B,$A86,RawDataDead!BO:BO)</f>
        <v>0</v>
      </c>
      <c r="BM86">
        <f>SUMIF(RawDataDead!$B:$B,$A86,RawDataDead!BP:BP)</f>
        <v>0</v>
      </c>
      <c r="BN86">
        <f>SUMIF(RawDataDead!$B:$B,$A86,RawDataDead!BQ:BQ)</f>
        <v>0</v>
      </c>
      <c r="BO86">
        <f>SUMIF(RawDataDead!$B:$B,$A86,RawDataDead!BR:BR)</f>
        <v>0</v>
      </c>
      <c r="BP86">
        <f>SUMIF(RawDataDead!$B:$B,$A86,RawDataDead!BS:BS)</f>
        <v>0</v>
      </c>
      <c r="BQ86">
        <f>SUMIF(RawDataDead!$B:$B,$A86,RawDataDead!BT:BT)</f>
        <v>0</v>
      </c>
      <c r="BR86">
        <f>SUMIF(RawDataDead!$B:$B,$A86,RawDataDead!BU:BU)</f>
        <v>0</v>
      </c>
      <c r="BS86">
        <f>SUMIF(RawDataDead!$B:$B,$A86,RawDataDead!BV:BV)</f>
        <v>0</v>
      </c>
      <c r="BT86">
        <f>SUMIF(RawDataDead!$B:$B,$A86,RawDataDead!BW:BW)</f>
        <v>0</v>
      </c>
    </row>
    <row r="87" spans="1:72" ht="15" thickBot="1" x14ac:dyDescent="0.35">
      <c r="A87" s="3" t="s">
        <v>120</v>
      </c>
      <c r="B87">
        <f>SUMIF(RawDataDead!$B:$B,$A87,RawDataDead!E:E)</f>
        <v>0</v>
      </c>
      <c r="C87">
        <f>SUMIF(RawDataDead!$B:$B,$A87,RawDataDead!F:F)</f>
        <v>0</v>
      </c>
      <c r="D87">
        <f>SUMIF(RawDataDead!$B:$B,$A87,RawDataDead!G:G)</f>
        <v>0</v>
      </c>
      <c r="E87">
        <f>SUMIF(RawDataDead!$B:$B,$A87,RawDataDead!H:H)</f>
        <v>0</v>
      </c>
      <c r="F87">
        <f>SUMIF(RawDataDead!$B:$B,$A87,RawDataDead!I:I)</f>
        <v>0</v>
      </c>
      <c r="G87">
        <f>SUMIF(RawDataDead!$B:$B,$A87,RawDataDead!J:J)</f>
        <v>0</v>
      </c>
      <c r="H87">
        <f>SUMIF(RawDataDead!$B:$B,$A87,RawDataDead!K:K)</f>
        <v>0</v>
      </c>
      <c r="I87">
        <f>SUMIF(RawDataDead!$B:$B,$A87,RawDataDead!L:L)</f>
        <v>0</v>
      </c>
      <c r="J87">
        <f>SUMIF(RawDataDead!$B:$B,$A87,RawDataDead!M:M)</f>
        <v>0</v>
      </c>
      <c r="K87">
        <f>SUMIF(RawDataDead!$B:$B,$A87,RawDataDead!N:N)</f>
        <v>0</v>
      </c>
      <c r="L87">
        <f>SUMIF(RawDataDead!$B:$B,$A87,RawDataDead!O:O)</f>
        <v>0</v>
      </c>
      <c r="M87">
        <f>SUMIF(RawDataDead!$B:$B,$A87,RawDataDead!P:P)</f>
        <v>0</v>
      </c>
      <c r="N87">
        <f>SUMIF(RawDataDead!$B:$B,$A87,RawDataDead!Q:Q)</f>
        <v>0</v>
      </c>
      <c r="O87">
        <f>SUMIF(RawDataDead!$B:$B,$A87,RawDataDead!R:R)</f>
        <v>0</v>
      </c>
      <c r="P87">
        <f>SUMIF(RawDataDead!$B:$B,$A87,RawDataDead!S:S)</f>
        <v>0</v>
      </c>
      <c r="Q87">
        <f>SUMIF(RawDataDead!$B:$B,$A87,RawDataDead!T:T)</f>
        <v>0</v>
      </c>
      <c r="R87">
        <f>SUMIF(RawDataDead!$B:$B,$A87,RawDataDead!U:U)</f>
        <v>0</v>
      </c>
      <c r="S87">
        <f>SUMIF(RawDataDead!$B:$B,$A87,RawDataDead!V:V)</f>
        <v>0</v>
      </c>
      <c r="T87">
        <f>SUMIF(RawDataDead!$B:$B,$A87,RawDataDead!W:W)</f>
        <v>0</v>
      </c>
      <c r="U87">
        <f>SUMIF(RawDataDead!$B:$B,$A87,RawDataDead!X:X)</f>
        <v>0</v>
      </c>
      <c r="V87">
        <f>SUMIF(RawDataDead!$B:$B,$A87,RawDataDead!Y:Y)</f>
        <v>0</v>
      </c>
      <c r="W87">
        <f>SUMIF(RawDataDead!$B:$B,$A87,RawDataDead!Z:Z)</f>
        <v>0</v>
      </c>
      <c r="X87">
        <f>SUMIF(RawDataDead!$B:$B,$A87,RawDataDead!AA:AA)</f>
        <v>0</v>
      </c>
      <c r="Y87">
        <f>SUMIF(RawDataDead!$B:$B,$A87,RawDataDead!AB:AB)</f>
        <v>0</v>
      </c>
      <c r="Z87">
        <f>SUMIF(RawDataDead!$B:$B,$A87,RawDataDead!AC:AC)</f>
        <v>0</v>
      </c>
      <c r="AA87">
        <f>SUMIF(RawDataDead!$B:$B,$A87,RawDataDead!AD:AD)</f>
        <v>0</v>
      </c>
      <c r="AB87">
        <f>SUMIF(RawDataDead!$B:$B,$A87,RawDataDead!AE:AE)</f>
        <v>0</v>
      </c>
      <c r="AC87">
        <f>SUMIF(RawDataDead!$B:$B,$A87,RawDataDead!AF:AF)</f>
        <v>0</v>
      </c>
      <c r="AD87">
        <f>SUMIF(RawDataDead!$B:$B,$A87,RawDataDead!AG:AG)</f>
        <v>0</v>
      </c>
      <c r="AE87">
        <f>SUMIF(RawDataDead!$B:$B,$A87,RawDataDead!AH:AH)</f>
        <v>0</v>
      </c>
      <c r="AF87">
        <f>SUMIF(RawDataDead!$B:$B,$A87,RawDataDead!AI:AI)</f>
        <v>0</v>
      </c>
      <c r="AG87">
        <f>SUMIF(RawDataDead!$B:$B,$A87,RawDataDead!AJ:AJ)</f>
        <v>0</v>
      </c>
      <c r="AH87">
        <f>SUMIF(RawDataDead!$B:$B,$A87,RawDataDead!AK:AK)</f>
        <v>0</v>
      </c>
      <c r="AI87">
        <f>SUMIF(RawDataDead!$B:$B,$A87,RawDataDead!AL:AL)</f>
        <v>0</v>
      </c>
      <c r="AJ87">
        <f>SUMIF(RawDataDead!$B:$B,$A87,RawDataDead!AM:AM)</f>
        <v>0</v>
      </c>
      <c r="AK87">
        <f>SUMIF(RawDataDead!$B:$B,$A87,RawDataDead!AN:AN)</f>
        <v>0</v>
      </c>
      <c r="AL87">
        <f>SUMIF(RawDataDead!$B:$B,$A87,RawDataDead!AO:AO)</f>
        <v>0</v>
      </c>
      <c r="AM87">
        <f>SUMIF(RawDataDead!$B:$B,$A87,RawDataDead!AP:AP)</f>
        <v>0</v>
      </c>
      <c r="AN87">
        <f>SUMIF(RawDataDead!$B:$B,$A87,RawDataDead!AQ:AQ)</f>
        <v>0</v>
      </c>
      <c r="AO87">
        <f>SUMIF(RawDataDead!$B:$B,$A87,RawDataDead!AR:AR)</f>
        <v>0</v>
      </c>
      <c r="AP87">
        <f>SUMIF(RawDataDead!$B:$B,$A87,RawDataDead!AS:AS)</f>
        <v>0</v>
      </c>
      <c r="AQ87">
        <f>SUMIF(RawDataDead!$B:$B,$A87,RawDataDead!AT:AT)</f>
        <v>0</v>
      </c>
      <c r="AR87">
        <f>SUMIF(RawDataDead!$B:$B,$A87,RawDataDead!AU:AU)</f>
        <v>0</v>
      </c>
      <c r="AS87">
        <f>SUMIF(RawDataDead!$B:$B,$A87,RawDataDead!AV:AV)</f>
        <v>0</v>
      </c>
      <c r="AT87">
        <f>SUMIF(RawDataDead!$B:$B,$A87,RawDataDead!AW:AW)</f>
        <v>0</v>
      </c>
      <c r="AU87">
        <f>SUMIF(RawDataDead!$B:$B,$A87,RawDataDead!AX:AX)</f>
        <v>0</v>
      </c>
      <c r="AV87">
        <f>SUMIF(RawDataDead!$B:$B,$A87,RawDataDead!AY:AY)</f>
        <v>0</v>
      </c>
      <c r="AW87">
        <f>SUMIF(RawDataDead!$B:$B,$A87,RawDataDead!AZ:AZ)</f>
        <v>0</v>
      </c>
      <c r="AX87">
        <f>SUMIF(RawDataDead!$B:$B,$A87,RawDataDead!BA:BA)</f>
        <v>0</v>
      </c>
      <c r="AY87">
        <f>SUMIF(RawDataDead!$B:$B,$A87,RawDataDead!BB:BB)</f>
        <v>0</v>
      </c>
      <c r="AZ87">
        <f>SUMIF(RawDataDead!$B:$B,$A87,RawDataDead!BC:BC)</f>
        <v>0</v>
      </c>
      <c r="BA87">
        <f>SUMIF(RawDataDead!$B:$B,$A87,RawDataDead!BD:BD)</f>
        <v>0</v>
      </c>
      <c r="BB87">
        <f>SUMIF(RawDataDead!$B:$B,$A87,RawDataDead!BE:BE)</f>
        <v>0</v>
      </c>
      <c r="BC87">
        <f>SUMIF(RawDataDead!$B:$B,$A87,RawDataDead!BF:BF)</f>
        <v>0</v>
      </c>
      <c r="BD87">
        <f>SUMIF(RawDataDead!$B:$B,$A87,RawDataDead!BG:BG)</f>
        <v>0</v>
      </c>
      <c r="BE87">
        <f>SUMIF(RawDataDead!$B:$B,$A87,RawDataDead!BH:BH)</f>
        <v>0</v>
      </c>
      <c r="BF87">
        <f>SUMIF(RawDataDead!$B:$B,$A87,RawDataDead!BI:BI)</f>
        <v>0</v>
      </c>
      <c r="BG87">
        <f>SUMIF(RawDataDead!$B:$B,$A87,RawDataDead!BJ:BJ)</f>
        <v>0</v>
      </c>
      <c r="BH87">
        <f>SUMIF(RawDataDead!$B:$B,$A87,RawDataDead!BK:BK)</f>
        <v>0</v>
      </c>
      <c r="BI87">
        <f>SUMIF(RawDataDead!$B:$B,$A87,RawDataDead!BL:BL)</f>
        <v>0</v>
      </c>
      <c r="BJ87">
        <f>SUMIF(RawDataDead!$B:$B,$A87,RawDataDead!BM:BM)</f>
        <v>0</v>
      </c>
      <c r="BK87">
        <f>SUMIF(RawDataDead!$B:$B,$A87,RawDataDead!BN:BN)</f>
        <v>0</v>
      </c>
      <c r="BL87">
        <f>SUMIF(RawDataDead!$B:$B,$A87,RawDataDead!BO:BO)</f>
        <v>0</v>
      </c>
      <c r="BM87">
        <f>SUMIF(RawDataDead!$B:$B,$A87,RawDataDead!BP:BP)</f>
        <v>0</v>
      </c>
      <c r="BN87">
        <f>SUMIF(RawDataDead!$B:$B,$A87,RawDataDead!BQ:BQ)</f>
        <v>0</v>
      </c>
      <c r="BO87">
        <f>SUMIF(RawDataDead!$B:$B,$A87,RawDataDead!BR:BR)</f>
        <v>0</v>
      </c>
      <c r="BP87">
        <f>SUMIF(RawDataDead!$B:$B,$A87,RawDataDead!BS:BS)</f>
        <v>0</v>
      </c>
      <c r="BQ87">
        <f>SUMIF(RawDataDead!$B:$B,$A87,RawDataDead!BT:BT)</f>
        <v>0</v>
      </c>
      <c r="BR87">
        <f>SUMIF(RawDataDead!$B:$B,$A87,RawDataDead!BU:BU)</f>
        <v>0</v>
      </c>
      <c r="BS87">
        <f>SUMIF(RawDataDead!$B:$B,$A87,RawDataDead!BV:BV)</f>
        <v>0</v>
      </c>
      <c r="BT87">
        <f>SUMIF(RawDataDead!$B:$B,$A87,RawDataDead!BW:BW)</f>
        <v>0</v>
      </c>
    </row>
    <row r="88" spans="1:72" ht="15" thickBot="1" x14ac:dyDescent="0.35">
      <c r="A88" s="4" t="s">
        <v>373</v>
      </c>
      <c r="B88">
        <f>SUMIF(RawDataDead!$B:$B,$A88,RawDataDead!E:E)</f>
        <v>0</v>
      </c>
      <c r="C88">
        <f>SUMIF(RawDataDead!$B:$B,$A88,RawDataDead!F:F)</f>
        <v>0</v>
      </c>
      <c r="D88">
        <f>SUMIF(RawDataDead!$B:$B,$A88,RawDataDead!G:G)</f>
        <v>0</v>
      </c>
      <c r="E88">
        <f>SUMIF(RawDataDead!$B:$B,$A88,RawDataDead!H:H)</f>
        <v>0</v>
      </c>
      <c r="F88">
        <f>SUMIF(RawDataDead!$B:$B,$A88,RawDataDead!I:I)</f>
        <v>0</v>
      </c>
      <c r="G88">
        <f>SUMIF(RawDataDead!$B:$B,$A88,RawDataDead!J:J)</f>
        <v>0</v>
      </c>
      <c r="H88">
        <f>SUMIF(RawDataDead!$B:$B,$A88,RawDataDead!K:K)</f>
        <v>0</v>
      </c>
      <c r="I88">
        <f>SUMIF(RawDataDead!$B:$B,$A88,RawDataDead!L:L)</f>
        <v>0</v>
      </c>
      <c r="J88">
        <f>SUMIF(RawDataDead!$B:$B,$A88,RawDataDead!M:M)</f>
        <v>0</v>
      </c>
      <c r="K88">
        <f>SUMIF(RawDataDead!$B:$B,$A88,RawDataDead!N:N)</f>
        <v>0</v>
      </c>
      <c r="L88">
        <f>SUMIF(RawDataDead!$B:$B,$A88,RawDataDead!O:O)</f>
        <v>0</v>
      </c>
      <c r="M88">
        <f>SUMIF(RawDataDead!$B:$B,$A88,RawDataDead!P:P)</f>
        <v>0</v>
      </c>
      <c r="N88">
        <f>SUMIF(RawDataDead!$B:$B,$A88,RawDataDead!Q:Q)</f>
        <v>0</v>
      </c>
      <c r="O88">
        <f>SUMIF(RawDataDead!$B:$B,$A88,RawDataDead!R:R)</f>
        <v>0</v>
      </c>
      <c r="P88">
        <f>SUMIF(RawDataDead!$B:$B,$A88,RawDataDead!S:S)</f>
        <v>0</v>
      </c>
      <c r="Q88">
        <f>SUMIF(RawDataDead!$B:$B,$A88,RawDataDead!T:T)</f>
        <v>0</v>
      </c>
      <c r="R88">
        <f>SUMIF(RawDataDead!$B:$B,$A88,RawDataDead!U:U)</f>
        <v>0</v>
      </c>
      <c r="S88">
        <f>SUMIF(RawDataDead!$B:$B,$A88,RawDataDead!V:V)</f>
        <v>0</v>
      </c>
      <c r="T88">
        <f>SUMIF(RawDataDead!$B:$B,$A88,RawDataDead!W:W)</f>
        <v>0</v>
      </c>
      <c r="U88">
        <f>SUMIF(RawDataDead!$B:$B,$A88,RawDataDead!X:X)</f>
        <v>0</v>
      </c>
      <c r="V88">
        <f>SUMIF(RawDataDead!$B:$B,$A88,RawDataDead!Y:Y)</f>
        <v>0</v>
      </c>
      <c r="W88">
        <f>SUMIF(RawDataDead!$B:$B,$A88,RawDataDead!Z:Z)</f>
        <v>0</v>
      </c>
      <c r="X88">
        <f>SUMIF(RawDataDead!$B:$B,$A88,RawDataDead!AA:AA)</f>
        <v>0</v>
      </c>
      <c r="Y88">
        <f>SUMIF(RawDataDead!$B:$B,$A88,RawDataDead!AB:AB)</f>
        <v>0</v>
      </c>
      <c r="Z88">
        <f>SUMIF(RawDataDead!$B:$B,$A88,RawDataDead!AC:AC)</f>
        <v>0</v>
      </c>
      <c r="AA88">
        <f>SUMIF(RawDataDead!$B:$B,$A88,RawDataDead!AD:AD)</f>
        <v>0</v>
      </c>
      <c r="AB88">
        <f>SUMIF(RawDataDead!$B:$B,$A88,RawDataDead!AE:AE)</f>
        <v>0</v>
      </c>
      <c r="AC88">
        <f>SUMIF(RawDataDead!$B:$B,$A88,RawDataDead!AF:AF)</f>
        <v>0</v>
      </c>
      <c r="AD88">
        <f>SUMIF(RawDataDead!$B:$B,$A88,RawDataDead!AG:AG)</f>
        <v>0</v>
      </c>
      <c r="AE88">
        <f>SUMIF(RawDataDead!$B:$B,$A88,RawDataDead!AH:AH)</f>
        <v>0</v>
      </c>
      <c r="AF88">
        <f>SUMIF(RawDataDead!$B:$B,$A88,RawDataDead!AI:AI)</f>
        <v>0</v>
      </c>
      <c r="AG88">
        <f>SUMIF(RawDataDead!$B:$B,$A88,RawDataDead!AJ:AJ)</f>
        <v>0</v>
      </c>
      <c r="AH88">
        <f>SUMIF(RawDataDead!$B:$B,$A88,RawDataDead!AK:AK)</f>
        <v>0</v>
      </c>
      <c r="AI88">
        <f>SUMIF(RawDataDead!$B:$B,$A88,RawDataDead!AL:AL)</f>
        <v>0</v>
      </c>
      <c r="AJ88">
        <f>SUMIF(RawDataDead!$B:$B,$A88,RawDataDead!AM:AM)</f>
        <v>0</v>
      </c>
      <c r="AK88">
        <f>SUMIF(RawDataDead!$B:$B,$A88,RawDataDead!AN:AN)</f>
        <v>0</v>
      </c>
      <c r="AL88">
        <f>SUMIF(RawDataDead!$B:$B,$A88,RawDataDead!AO:AO)</f>
        <v>0</v>
      </c>
      <c r="AM88">
        <f>SUMIF(RawDataDead!$B:$B,$A88,RawDataDead!AP:AP)</f>
        <v>0</v>
      </c>
      <c r="AN88">
        <f>SUMIF(RawDataDead!$B:$B,$A88,RawDataDead!AQ:AQ)</f>
        <v>0</v>
      </c>
      <c r="AO88">
        <f>SUMIF(RawDataDead!$B:$B,$A88,RawDataDead!AR:AR)</f>
        <v>0</v>
      </c>
      <c r="AP88">
        <f>SUMIF(RawDataDead!$B:$B,$A88,RawDataDead!AS:AS)</f>
        <v>0</v>
      </c>
      <c r="AQ88">
        <f>SUMIF(RawDataDead!$B:$B,$A88,RawDataDead!AT:AT)</f>
        <v>0</v>
      </c>
      <c r="AR88">
        <f>SUMIF(RawDataDead!$B:$B,$A88,RawDataDead!AU:AU)</f>
        <v>0</v>
      </c>
      <c r="AS88">
        <f>SUMIF(RawDataDead!$B:$B,$A88,RawDataDead!AV:AV)</f>
        <v>0</v>
      </c>
      <c r="AT88">
        <f>SUMIF(RawDataDead!$B:$B,$A88,RawDataDead!AW:AW)</f>
        <v>0</v>
      </c>
      <c r="AU88">
        <f>SUMIF(RawDataDead!$B:$B,$A88,RawDataDead!AX:AX)</f>
        <v>0</v>
      </c>
      <c r="AV88">
        <f>SUMIF(RawDataDead!$B:$B,$A88,RawDataDead!AY:AY)</f>
        <v>0</v>
      </c>
      <c r="AW88">
        <f>SUMIF(RawDataDead!$B:$B,$A88,RawDataDead!AZ:AZ)</f>
        <v>0</v>
      </c>
      <c r="AX88">
        <f>SUMIF(RawDataDead!$B:$B,$A88,RawDataDead!BA:BA)</f>
        <v>0</v>
      </c>
      <c r="AY88">
        <f>SUMIF(RawDataDead!$B:$B,$A88,RawDataDead!BB:BB)</f>
        <v>0</v>
      </c>
      <c r="AZ88">
        <f>SUMIF(RawDataDead!$B:$B,$A88,RawDataDead!BC:BC)</f>
        <v>0</v>
      </c>
      <c r="BA88">
        <f>SUMIF(RawDataDead!$B:$B,$A88,RawDataDead!BD:BD)</f>
        <v>0</v>
      </c>
      <c r="BB88">
        <f>SUMIF(RawDataDead!$B:$B,$A88,RawDataDead!BE:BE)</f>
        <v>0</v>
      </c>
      <c r="BC88">
        <f>SUMIF(RawDataDead!$B:$B,$A88,RawDataDead!BF:BF)</f>
        <v>0</v>
      </c>
      <c r="BD88">
        <f>SUMIF(RawDataDead!$B:$B,$A88,RawDataDead!BG:BG)</f>
        <v>0</v>
      </c>
      <c r="BE88">
        <f>SUMIF(RawDataDead!$B:$B,$A88,RawDataDead!BH:BH)</f>
        <v>0</v>
      </c>
      <c r="BF88">
        <f>SUMIF(RawDataDead!$B:$B,$A88,RawDataDead!BI:BI)</f>
        <v>0</v>
      </c>
      <c r="BG88">
        <f>SUMIF(RawDataDead!$B:$B,$A88,RawDataDead!BJ:BJ)</f>
        <v>0</v>
      </c>
      <c r="BH88">
        <f>SUMIF(RawDataDead!$B:$B,$A88,RawDataDead!BK:BK)</f>
        <v>0</v>
      </c>
      <c r="BI88">
        <f>SUMIF(RawDataDead!$B:$B,$A88,RawDataDead!BL:BL)</f>
        <v>0</v>
      </c>
      <c r="BJ88">
        <f>SUMIF(RawDataDead!$B:$B,$A88,RawDataDead!BM:BM)</f>
        <v>0</v>
      </c>
      <c r="BK88">
        <f>SUMIF(RawDataDead!$B:$B,$A88,RawDataDead!BN:BN)</f>
        <v>0</v>
      </c>
      <c r="BL88">
        <f>SUMIF(RawDataDead!$B:$B,$A88,RawDataDead!BO:BO)</f>
        <v>0</v>
      </c>
      <c r="BM88">
        <f>SUMIF(RawDataDead!$B:$B,$A88,RawDataDead!BP:BP)</f>
        <v>0</v>
      </c>
      <c r="BN88">
        <f>SUMIF(RawDataDead!$B:$B,$A88,RawDataDead!BQ:BQ)</f>
        <v>0</v>
      </c>
      <c r="BO88">
        <f>SUMIF(RawDataDead!$B:$B,$A88,RawDataDead!BR:BR)</f>
        <v>0</v>
      </c>
      <c r="BP88">
        <f>SUMIF(RawDataDead!$B:$B,$A88,RawDataDead!BS:BS)</f>
        <v>0</v>
      </c>
      <c r="BQ88">
        <f>SUMIF(RawDataDead!$B:$B,$A88,RawDataDead!BT:BT)</f>
        <v>0</v>
      </c>
      <c r="BR88">
        <f>SUMIF(RawDataDead!$B:$B,$A88,RawDataDead!BU:BU)</f>
        <v>0</v>
      </c>
      <c r="BS88">
        <f>SUMIF(RawDataDead!$B:$B,$A88,RawDataDead!BV:BV)</f>
        <v>0</v>
      </c>
      <c r="BT88">
        <f>SUMIF(RawDataDead!$B:$B,$A88,RawDataDead!BW:BW)</f>
        <v>0</v>
      </c>
    </row>
    <row r="89" spans="1:72" ht="15" thickBot="1" x14ac:dyDescent="0.35">
      <c r="A89" s="4" t="s">
        <v>233</v>
      </c>
      <c r="B89">
        <f>SUMIF(RawDataDead!$B:$B,$A89,RawDataDead!E:E)</f>
        <v>0</v>
      </c>
      <c r="C89">
        <f>SUMIF(RawDataDead!$B:$B,$A89,RawDataDead!F:F)</f>
        <v>0</v>
      </c>
      <c r="D89">
        <f>SUMIF(RawDataDead!$B:$B,$A89,RawDataDead!G:G)</f>
        <v>0</v>
      </c>
      <c r="E89">
        <f>SUMIF(RawDataDead!$B:$B,$A89,RawDataDead!H:H)</f>
        <v>0</v>
      </c>
      <c r="F89">
        <f>SUMIF(RawDataDead!$B:$B,$A89,RawDataDead!I:I)</f>
        <v>0</v>
      </c>
      <c r="G89">
        <f>SUMIF(RawDataDead!$B:$B,$A89,RawDataDead!J:J)</f>
        <v>0</v>
      </c>
      <c r="H89">
        <f>SUMIF(RawDataDead!$B:$B,$A89,RawDataDead!K:K)</f>
        <v>0</v>
      </c>
      <c r="I89">
        <f>SUMIF(RawDataDead!$B:$B,$A89,RawDataDead!L:L)</f>
        <v>0</v>
      </c>
      <c r="J89">
        <f>SUMIF(RawDataDead!$B:$B,$A89,RawDataDead!M:M)</f>
        <v>0</v>
      </c>
      <c r="K89">
        <f>SUMIF(RawDataDead!$B:$B,$A89,RawDataDead!N:N)</f>
        <v>0</v>
      </c>
      <c r="L89">
        <f>SUMIF(RawDataDead!$B:$B,$A89,RawDataDead!O:O)</f>
        <v>0</v>
      </c>
      <c r="M89">
        <f>SUMIF(RawDataDead!$B:$B,$A89,RawDataDead!P:P)</f>
        <v>0</v>
      </c>
      <c r="N89">
        <f>SUMIF(RawDataDead!$B:$B,$A89,RawDataDead!Q:Q)</f>
        <v>0</v>
      </c>
      <c r="O89">
        <f>SUMIF(RawDataDead!$B:$B,$A89,RawDataDead!R:R)</f>
        <v>0</v>
      </c>
      <c r="P89">
        <f>SUMIF(RawDataDead!$B:$B,$A89,RawDataDead!S:S)</f>
        <v>0</v>
      </c>
      <c r="Q89">
        <f>SUMIF(RawDataDead!$B:$B,$A89,RawDataDead!T:T)</f>
        <v>0</v>
      </c>
      <c r="R89">
        <f>SUMIF(RawDataDead!$B:$B,$A89,RawDataDead!U:U)</f>
        <v>0</v>
      </c>
      <c r="S89">
        <f>SUMIF(RawDataDead!$B:$B,$A89,RawDataDead!V:V)</f>
        <v>0</v>
      </c>
      <c r="T89">
        <f>SUMIF(RawDataDead!$B:$B,$A89,RawDataDead!W:W)</f>
        <v>0</v>
      </c>
      <c r="U89">
        <f>SUMIF(RawDataDead!$B:$B,$A89,RawDataDead!X:X)</f>
        <v>0</v>
      </c>
      <c r="V89">
        <f>SUMIF(RawDataDead!$B:$B,$A89,RawDataDead!Y:Y)</f>
        <v>0</v>
      </c>
      <c r="W89">
        <f>SUMIF(RawDataDead!$B:$B,$A89,RawDataDead!Z:Z)</f>
        <v>0</v>
      </c>
      <c r="X89">
        <f>SUMIF(RawDataDead!$B:$B,$A89,RawDataDead!AA:AA)</f>
        <v>0</v>
      </c>
      <c r="Y89">
        <f>SUMIF(RawDataDead!$B:$B,$A89,RawDataDead!AB:AB)</f>
        <v>0</v>
      </c>
      <c r="Z89">
        <f>SUMIF(RawDataDead!$B:$B,$A89,RawDataDead!AC:AC)</f>
        <v>0</v>
      </c>
      <c r="AA89">
        <f>SUMIF(RawDataDead!$B:$B,$A89,RawDataDead!AD:AD)</f>
        <v>0</v>
      </c>
      <c r="AB89">
        <f>SUMIF(RawDataDead!$B:$B,$A89,RawDataDead!AE:AE)</f>
        <v>0</v>
      </c>
      <c r="AC89">
        <f>SUMIF(RawDataDead!$B:$B,$A89,RawDataDead!AF:AF)</f>
        <v>0</v>
      </c>
      <c r="AD89">
        <f>SUMIF(RawDataDead!$B:$B,$A89,RawDataDead!AG:AG)</f>
        <v>0</v>
      </c>
      <c r="AE89">
        <f>SUMIF(RawDataDead!$B:$B,$A89,RawDataDead!AH:AH)</f>
        <v>0</v>
      </c>
      <c r="AF89">
        <f>SUMIF(RawDataDead!$B:$B,$A89,RawDataDead!AI:AI)</f>
        <v>0</v>
      </c>
      <c r="AG89">
        <f>SUMIF(RawDataDead!$B:$B,$A89,RawDataDead!AJ:AJ)</f>
        <v>0</v>
      </c>
      <c r="AH89">
        <f>SUMIF(RawDataDead!$B:$B,$A89,RawDataDead!AK:AK)</f>
        <v>0</v>
      </c>
      <c r="AI89">
        <f>SUMIF(RawDataDead!$B:$B,$A89,RawDataDead!AL:AL)</f>
        <v>0</v>
      </c>
      <c r="AJ89">
        <f>SUMIF(RawDataDead!$B:$B,$A89,RawDataDead!AM:AM)</f>
        <v>0</v>
      </c>
      <c r="AK89">
        <f>SUMIF(RawDataDead!$B:$B,$A89,RawDataDead!AN:AN)</f>
        <v>0</v>
      </c>
      <c r="AL89">
        <f>SUMIF(RawDataDead!$B:$B,$A89,RawDataDead!AO:AO)</f>
        <v>0</v>
      </c>
      <c r="AM89">
        <f>SUMIF(RawDataDead!$B:$B,$A89,RawDataDead!AP:AP)</f>
        <v>0</v>
      </c>
      <c r="AN89">
        <f>SUMIF(RawDataDead!$B:$B,$A89,RawDataDead!AQ:AQ)</f>
        <v>0</v>
      </c>
      <c r="AO89">
        <f>SUMIF(RawDataDead!$B:$B,$A89,RawDataDead!AR:AR)</f>
        <v>0</v>
      </c>
      <c r="AP89">
        <f>SUMIF(RawDataDead!$B:$B,$A89,RawDataDead!AS:AS)</f>
        <v>0</v>
      </c>
      <c r="AQ89">
        <f>SUMIF(RawDataDead!$B:$B,$A89,RawDataDead!AT:AT)</f>
        <v>0</v>
      </c>
      <c r="AR89">
        <f>SUMIF(RawDataDead!$B:$B,$A89,RawDataDead!AU:AU)</f>
        <v>0</v>
      </c>
      <c r="AS89">
        <f>SUMIF(RawDataDead!$B:$B,$A89,RawDataDead!AV:AV)</f>
        <v>0</v>
      </c>
      <c r="AT89">
        <f>SUMIF(RawDataDead!$B:$B,$A89,RawDataDead!AW:AW)</f>
        <v>0</v>
      </c>
      <c r="AU89">
        <f>SUMIF(RawDataDead!$B:$B,$A89,RawDataDead!AX:AX)</f>
        <v>0</v>
      </c>
      <c r="AV89">
        <f>SUMIF(RawDataDead!$B:$B,$A89,RawDataDead!AY:AY)</f>
        <v>0</v>
      </c>
      <c r="AW89">
        <f>SUMIF(RawDataDead!$B:$B,$A89,RawDataDead!AZ:AZ)</f>
        <v>0</v>
      </c>
      <c r="AX89">
        <f>SUMIF(RawDataDead!$B:$B,$A89,RawDataDead!BA:BA)</f>
        <v>0</v>
      </c>
      <c r="AY89">
        <f>SUMIF(RawDataDead!$B:$B,$A89,RawDataDead!BB:BB)</f>
        <v>0</v>
      </c>
      <c r="AZ89">
        <f>SUMIF(RawDataDead!$B:$B,$A89,RawDataDead!BC:BC)</f>
        <v>0</v>
      </c>
      <c r="BA89">
        <f>SUMIF(RawDataDead!$B:$B,$A89,RawDataDead!BD:BD)</f>
        <v>0</v>
      </c>
      <c r="BB89">
        <f>SUMIF(RawDataDead!$B:$B,$A89,RawDataDead!BE:BE)</f>
        <v>0</v>
      </c>
      <c r="BC89">
        <f>SUMIF(RawDataDead!$B:$B,$A89,RawDataDead!BF:BF)</f>
        <v>0</v>
      </c>
      <c r="BD89">
        <f>SUMIF(RawDataDead!$B:$B,$A89,RawDataDead!BG:BG)</f>
        <v>0</v>
      </c>
      <c r="BE89">
        <f>SUMIF(RawDataDead!$B:$B,$A89,RawDataDead!BH:BH)</f>
        <v>0</v>
      </c>
      <c r="BF89">
        <f>SUMIF(RawDataDead!$B:$B,$A89,RawDataDead!BI:BI)</f>
        <v>0</v>
      </c>
      <c r="BG89">
        <f>SUMIF(RawDataDead!$B:$B,$A89,RawDataDead!BJ:BJ)</f>
        <v>0</v>
      </c>
      <c r="BH89">
        <f>SUMIF(RawDataDead!$B:$B,$A89,RawDataDead!BK:BK)</f>
        <v>0</v>
      </c>
      <c r="BI89">
        <f>SUMIF(RawDataDead!$B:$B,$A89,RawDataDead!BL:BL)</f>
        <v>0</v>
      </c>
      <c r="BJ89">
        <f>SUMIF(RawDataDead!$B:$B,$A89,RawDataDead!BM:BM)</f>
        <v>0</v>
      </c>
      <c r="BK89">
        <f>SUMIF(RawDataDead!$B:$B,$A89,RawDataDead!BN:BN)</f>
        <v>0</v>
      </c>
      <c r="BL89">
        <f>SUMIF(RawDataDead!$B:$B,$A89,RawDataDead!BO:BO)</f>
        <v>0</v>
      </c>
      <c r="BM89">
        <f>SUMIF(RawDataDead!$B:$B,$A89,RawDataDead!BP:BP)</f>
        <v>0</v>
      </c>
      <c r="BN89">
        <f>SUMIF(RawDataDead!$B:$B,$A89,RawDataDead!BQ:BQ)</f>
        <v>0</v>
      </c>
      <c r="BO89">
        <f>SUMIF(RawDataDead!$B:$B,$A89,RawDataDead!BR:BR)</f>
        <v>0</v>
      </c>
      <c r="BP89">
        <f>SUMIF(RawDataDead!$B:$B,$A89,RawDataDead!BS:BS)</f>
        <v>0</v>
      </c>
      <c r="BQ89">
        <f>SUMIF(RawDataDead!$B:$B,$A89,RawDataDead!BT:BT)</f>
        <v>0</v>
      </c>
      <c r="BR89">
        <f>SUMIF(RawDataDead!$B:$B,$A89,RawDataDead!BU:BU)</f>
        <v>0</v>
      </c>
      <c r="BS89">
        <f>SUMIF(RawDataDead!$B:$B,$A89,RawDataDead!BV:BV)</f>
        <v>0</v>
      </c>
      <c r="BT89">
        <f>SUMIF(RawDataDead!$B:$B,$A89,RawDataDead!BW:BW)</f>
        <v>0</v>
      </c>
    </row>
    <row r="90" spans="1:72" ht="15" thickBot="1" x14ac:dyDescent="0.35">
      <c r="A90" s="3" t="s">
        <v>79</v>
      </c>
      <c r="B90">
        <f>SUMIF(RawDataDead!$B:$B,$A90,RawDataDead!E:E)</f>
        <v>0</v>
      </c>
      <c r="C90">
        <f>SUMIF(RawDataDead!$B:$B,$A90,RawDataDead!F:F)</f>
        <v>0</v>
      </c>
      <c r="D90">
        <f>SUMIF(RawDataDead!$B:$B,$A90,RawDataDead!G:G)</f>
        <v>0</v>
      </c>
      <c r="E90">
        <f>SUMIF(RawDataDead!$B:$B,$A90,RawDataDead!H:H)</f>
        <v>0</v>
      </c>
      <c r="F90">
        <f>SUMIF(RawDataDead!$B:$B,$A90,RawDataDead!I:I)</f>
        <v>0</v>
      </c>
      <c r="G90">
        <f>SUMIF(RawDataDead!$B:$B,$A90,RawDataDead!J:J)</f>
        <v>0</v>
      </c>
      <c r="H90">
        <f>SUMIF(RawDataDead!$B:$B,$A90,RawDataDead!K:K)</f>
        <v>0</v>
      </c>
      <c r="I90">
        <f>SUMIF(RawDataDead!$B:$B,$A90,RawDataDead!L:L)</f>
        <v>0</v>
      </c>
      <c r="J90">
        <f>SUMIF(RawDataDead!$B:$B,$A90,RawDataDead!M:M)</f>
        <v>0</v>
      </c>
      <c r="K90">
        <f>SUMIF(RawDataDead!$B:$B,$A90,RawDataDead!N:N)</f>
        <v>0</v>
      </c>
      <c r="L90">
        <f>SUMIF(RawDataDead!$B:$B,$A90,RawDataDead!O:O)</f>
        <v>0</v>
      </c>
      <c r="M90">
        <f>SUMIF(RawDataDead!$B:$B,$A90,RawDataDead!P:P)</f>
        <v>0</v>
      </c>
      <c r="N90">
        <f>SUMIF(RawDataDead!$B:$B,$A90,RawDataDead!Q:Q)</f>
        <v>0</v>
      </c>
      <c r="O90">
        <f>SUMIF(RawDataDead!$B:$B,$A90,RawDataDead!R:R)</f>
        <v>0</v>
      </c>
      <c r="P90">
        <f>SUMIF(RawDataDead!$B:$B,$A90,RawDataDead!S:S)</f>
        <v>0</v>
      </c>
      <c r="Q90">
        <f>SUMIF(RawDataDead!$B:$B,$A90,RawDataDead!T:T)</f>
        <v>0</v>
      </c>
      <c r="R90">
        <f>SUMIF(RawDataDead!$B:$B,$A90,RawDataDead!U:U)</f>
        <v>0</v>
      </c>
      <c r="S90">
        <f>SUMIF(RawDataDead!$B:$B,$A90,RawDataDead!V:V)</f>
        <v>0</v>
      </c>
      <c r="T90">
        <f>SUMIF(RawDataDead!$B:$B,$A90,RawDataDead!W:W)</f>
        <v>0</v>
      </c>
      <c r="U90">
        <f>SUMIF(RawDataDead!$B:$B,$A90,RawDataDead!X:X)</f>
        <v>0</v>
      </c>
      <c r="V90">
        <f>SUMIF(RawDataDead!$B:$B,$A90,RawDataDead!Y:Y)</f>
        <v>0</v>
      </c>
      <c r="W90">
        <f>SUMIF(RawDataDead!$B:$B,$A90,RawDataDead!Z:Z)</f>
        <v>0</v>
      </c>
      <c r="X90">
        <f>SUMIF(RawDataDead!$B:$B,$A90,RawDataDead!AA:AA)</f>
        <v>0</v>
      </c>
      <c r="Y90">
        <f>SUMIF(RawDataDead!$B:$B,$A90,RawDataDead!AB:AB)</f>
        <v>0</v>
      </c>
      <c r="Z90">
        <f>SUMIF(RawDataDead!$B:$B,$A90,RawDataDead!AC:AC)</f>
        <v>0</v>
      </c>
      <c r="AA90">
        <f>SUMIF(RawDataDead!$B:$B,$A90,RawDataDead!AD:AD)</f>
        <v>0</v>
      </c>
      <c r="AB90">
        <f>SUMIF(RawDataDead!$B:$B,$A90,RawDataDead!AE:AE)</f>
        <v>0</v>
      </c>
      <c r="AC90">
        <f>SUMIF(RawDataDead!$B:$B,$A90,RawDataDead!AF:AF)</f>
        <v>0</v>
      </c>
      <c r="AD90">
        <f>SUMIF(RawDataDead!$B:$B,$A90,RawDataDead!AG:AG)</f>
        <v>0</v>
      </c>
      <c r="AE90">
        <f>SUMIF(RawDataDead!$B:$B,$A90,RawDataDead!AH:AH)</f>
        <v>0</v>
      </c>
      <c r="AF90">
        <f>SUMIF(RawDataDead!$B:$B,$A90,RawDataDead!AI:AI)</f>
        <v>0</v>
      </c>
      <c r="AG90">
        <f>SUMIF(RawDataDead!$B:$B,$A90,RawDataDead!AJ:AJ)</f>
        <v>0</v>
      </c>
      <c r="AH90">
        <f>SUMIF(RawDataDead!$B:$B,$A90,RawDataDead!AK:AK)</f>
        <v>0</v>
      </c>
      <c r="AI90">
        <f>SUMIF(RawDataDead!$B:$B,$A90,RawDataDead!AL:AL)</f>
        <v>0</v>
      </c>
      <c r="AJ90">
        <f>SUMIF(RawDataDead!$B:$B,$A90,RawDataDead!AM:AM)</f>
        <v>0</v>
      </c>
      <c r="AK90">
        <f>SUMIF(RawDataDead!$B:$B,$A90,RawDataDead!AN:AN)</f>
        <v>0</v>
      </c>
      <c r="AL90">
        <f>SUMIF(RawDataDead!$B:$B,$A90,RawDataDead!AO:AO)</f>
        <v>0</v>
      </c>
      <c r="AM90">
        <f>SUMIF(RawDataDead!$B:$B,$A90,RawDataDead!AP:AP)</f>
        <v>0</v>
      </c>
      <c r="AN90">
        <f>SUMIF(RawDataDead!$B:$B,$A90,RawDataDead!AQ:AQ)</f>
        <v>0</v>
      </c>
      <c r="AO90">
        <f>SUMIF(RawDataDead!$B:$B,$A90,RawDataDead!AR:AR)</f>
        <v>0</v>
      </c>
      <c r="AP90">
        <f>SUMIF(RawDataDead!$B:$B,$A90,RawDataDead!AS:AS)</f>
        <v>0</v>
      </c>
      <c r="AQ90">
        <f>SUMIF(RawDataDead!$B:$B,$A90,RawDataDead!AT:AT)</f>
        <v>0</v>
      </c>
      <c r="AR90">
        <f>SUMIF(RawDataDead!$B:$B,$A90,RawDataDead!AU:AU)</f>
        <v>0</v>
      </c>
      <c r="AS90">
        <f>SUMIF(RawDataDead!$B:$B,$A90,RawDataDead!AV:AV)</f>
        <v>0</v>
      </c>
      <c r="AT90">
        <f>SUMIF(RawDataDead!$B:$B,$A90,RawDataDead!AW:AW)</f>
        <v>0</v>
      </c>
      <c r="AU90">
        <f>SUMIF(RawDataDead!$B:$B,$A90,RawDataDead!AX:AX)</f>
        <v>0</v>
      </c>
      <c r="AV90">
        <f>SUMIF(RawDataDead!$B:$B,$A90,RawDataDead!AY:AY)</f>
        <v>0</v>
      </c>
      <c r="AW90">
        <f>SUMIF(RawDataDead!$B:$B,$A90,RawDataDead!AZ:AZ)</f>
        <v>0</v>
      </c>
      <c r="AX90">
        <f>SUMIF(RawDataDead!$B:$B,$A90,RawDataDead!BA:BA)</f>
        <v>0</v>
      </c>
      <c r="AY90">
        <f>SUMIF(RawDataDead!$B:$B,$A90,RawDataDead!BB:BB)</f>
        <v>0</v>
      </c>
      <c r="AZ90">
        <f>SUMIF(RawDataDead!$B:$B,$A90,RawDataDead!BC:BC)</f>
        <v>0</v>
      </c>
      <c r="BA90">
        <f>SUMIF(RawDataDead!$B:$B,$A90,RawDataDead!BD:BD)</f>
        <v>0</v>
      </c>
      <c r="BB90">
        <f>SUMIF(RawDataDead!$B:$B,$A90,RawDataDead!BE:BE)</f>
        <v>0</v>
      </c>
      <c r="BC90">
        <f>SUMIF(RawDataDead!$B:$B,$A90,RawDataDead!BF:BF)</f>
        <v>0</v>
      </c>
      <c r="BD90">
        <f>SUMIF(RawDataDead!$B:$B,$A90,RawDataDead!BG:BG)</f>
        <v>0</v>
      </c>
      <c r="BE90">
        <f>SUMIF(RawDataDead!$B:$B,$A90,RawDataDead!BH:BH)</f>
        <v>0</v>
      </c>
      <c r="BF90">
        <f>SUMIF(RawDataDead!$B:$B,$A90,RawDataDead!BI:BI)</f>
        <v>0</v>
      </c>
      <c r="BG90">
        <f>SUMIF(RawDataDead!$B:$B,$A90,RawDataDead!BJ:BJ)</f>
        <v>0</v>
      </c>
      <c r="BH90">
        <f>SUMIF(RawDataDead!$B:$B,$A90,RawDataDead!BK:BK)</f>
        <v>0</v>
      </c>
      <c r="BI90">
        <f>SUMIF(RawDataDead!$B:$B,$A90,RawDataDead!BL:BL)</f>
        <v>0</v>
      </c>
      <c r="BJ90">
        <f>SUMIF(RawDataDead!$B:$B,$A90,RawDataDead!BM:BM)</f>
        <v>0</v>
      </c>
      <c r="BK90">
        <f>SUMIF(RawDataDead!$B:$B,$A90,RawDataDead!BN:BN)</f>
        <v>0</v>
      </c>
      <c r="BL90">
        <f>SUMIF(RawDataDead!$B:$B,$A90,RawDataDead!BO:BO)</f>
        <v>0</v>
      </c>
      <c r="BM90">
        <f>SUMIF(RawDataDead!$B:$B,$A90,RawDataDead!BP:BP)</f>
        <v>0</v>
      </c>
      <c r="BN90">
        <f>SUMIF(RawDataDead!$B:$B,$A90,RawDataDead!BQ:BQ)</f>
        <v>0</v>
      </c>
      <c r="BO90">
        <f>SUMIF(RawDataDead!$B:$B,$A90,RawDataDead!BR:BR)</f>
        <v>0</v>
      </c>
      <c r="BP90">
        <f>SUMIF(RawDataDead!$B:$B,$A90,RawDataDead!BS:BS)</f>
        <v>0</v>
      </c>
      <c r="BQ90">
        <f>SUMIF(RawDataDead!$B:$B,$A90,RawDataDead!BT:BT)</f>
        <v>0</v>
      </c>
      <c r="BR90">
        <f>SUMIF(RawDataDead!$B:$B,$A90,RawDataDead!BU:BU)</f>
        <v>0</v>
      </c>
      <c r="BS90">
        <f>SUMIF(RawDataDead!$B:$B,$A90,RawDataDead!BV:BV)</f>
        <v>0</v>
      </c>
      <c r="BT90">
        <f>SUMIF(RawDataDead!$B:$B,$A90,RawDataDead!BW:BW)</f>
        <v>0</v>
      </c>
    </row>
    <row r="91" spans="1:72" ht="15" thickBot="1" x14ac:dyDescent="0.35">
      <c r="A91" s="4" t="s">
        <v>78</v>
      </c>
      <c r="B91">
        <f>SUMIF(RawDataDead!$B:$B,$A91,RawDataDead!E:E)</f>
        <v>0</v>
      </c>
      <c r="C91">
        <f>SUMIF(RawDataDead!$B:$B,$A91,RawDataDead!F:F)</f>
        <v>0</v>
      </c>
      <c r="D91">
        <f>SUMIF(RawDataDead!$B:$B,$A91,RawDataDead!G:G)</f>
        <v>0</v>
      </c>
      <c r="E91">
        <f>SUMIF(RawDataDead!$B:$B,$A91,RawDataDead!H:H)</f>
        <v>0</v>
      </c>
      <c r="F91">
        <f>SUMIF(RawDataDead!$B:$B,$A91,RawDataDead!I:I)</f>
        <v>0</v>
      </c>
      <c r="G91">
        <f>SUMIF(RawDataDead!$B:$B,$A91,RawDataDead!J:J)</f>
        <v>0</v>
      </c>
      <c r="H91">
        <f>SUMIF(RawDataDead!$B:$B,$A91,RawDataDead!K:K)</f>
        <v>0</v>
      </c>
      <c r="I91">
        <f>SUMIF(RawDataDead!$B:$B,$A91,RawDataDead!L:L)</f>
        <v>0</v>
      </c>
      <c r="J91">
        <f>SUMIF(RawDataDead!$B:$B,$A91,RawDataDead!M:M)</f>
        <v>0</v>
      </c>
      <c r="K91">
        <f>SUMIF(RawDataDead!$B:$B,$A91,RawDataDead!N:N)</f>
        <v>0</v>
      </c>
      <c r="L91">
        <f>SUMIF(RawDataDead!$B:$B,$A91,RawDataDead!O:O)</f>
        <v>0</v>
      </c>
      <c r="M91">
        <f>SUMIF(RawDataDead!$B:$B,$A91,RawDataDead!P:P)</f>
        <v>0</v>
      </c>
      <c r="N91">
        <f>SUMIF(RawDataDead!$B:$B,$A91,RawDataDead!Q:Q)</f>
        <v>0</v>
      </c>
      <c r="O91">
        <f>SUMIF(RawDataDead!$B:$B,$A91,RawDataDead!R:R)</f>
        <v>0</v>
      </c>
      <c r="P91">
        <f>SUMIF(RawDataDead!$B:$B,$A91,RawDataDead!S:S)</f>
        <v>0</v>
      </c>
      <c r="Q91">
        <f>SUMIF(RawDataDead!$B:$B,$A91,RawDataDead!T:T)</f>
        <v>0</v>
      </c>
      <c r="R91">
        <f>SUMIF(RawDataDead!$B:$B,$A91,RawDataDead!U:U)</f>
        <v>0</v>
      </c>
      <c r="S91">
        <f>SUMIF(RawDataDead!$B:$B,$A91,RawDataDead!V:V)</f>
        <v>0</v>
      </c>
      <c r="T91">
        <f>SUMIF(RawDataDead!$B:$B,$A91,RawDataDead!W:W)</f>
        <v>0</v>
      </c>
      <c r="U91">
        <f>SUMIF(RawDataDead!$B:$B,$A91,RawDataDead!X:X)</f>
        <v>0</v>
      </c>
      <c r="V91">
        <f>SUMIF(RawDataDead!$B:$B,$A91,RawDataDead!Y:Y)</f>
        <v>0</v>
      </c>
      <c r="W91">
        <f>SUMIF(RawDataDead!$B:$B,$A91,RawDataDead!Z:Z)</f>
        <v>0</v>
      </c>
      <c r="X91">
        <f>SUMIF(RawDataDead!$B:$B,$A91,RawDataDead!AA:AA)</f>
        <v>0</v>
      </c>
      <c r="Y91">
        <f>SUMIF(RawDataDead!$B:$B,$A91,RawDataDead!AB:AB)</f>
        <v>0</v>
      </c>
      <c r="Z91">
        <f>SUMIF(RawDataDead!$B:$B,$A91,RawDataDead!AC:AC)</f>
        <v>0</v>
      </c>
      <c r="AA91">
        <f>SUMIF(RawDataDead!$B:$B,$A91,RawDataDead!AD:AD)</f>
        <v>0</v>
      </c>
      <c r="AB91">
        <f>SUMIF(RawDataDead!$B:$B,$A91,RawDataDead!AE:AE)</f>
        <v>0</v>
      </c>
      <c r="AC91">
        <f>SUMIF(RawDataDead!$B:$B,$A91,RawDataDead!AF:AF)</f>
        <v>0</v>
      </c>
      <c r="AD91">
        <f>SUMIF(RawDataDead!$B:$B,$A91,RawDataDead!AG:AG)</f>
        <v>0</v>
      </c>
      <c r="AE91">
        <f>SUMIF(RawDataDead!$B:$B,$A91,RawDataDead!AH:AH)</f>
        <v>0</v>
      </c>
      <c r="AF91">
        <f>SUMIF(RawDataDead!$B:$B,$A91,RawDataDead!AI:AI)</f>
        <v>0</v>
      </c>
      <c r="AG91">
        <f>SUMIF(RawDataDead!$B:$B,$A91,RawDataDead!AJ:AJ)</f>
        <v>0</v>
      </c>
      <c r="AH91">
        <f>SUMIF(RawDataDead!$B:$B,$A91,RawDataDead!AK:AK)</f>
        <v>0</v>
      </c>
      <c r="AI91">
        <f>SUMIF(RawDataDead!$B:$B,$A91,RawDataDead!AL:AL)</f>
        <v>0</v>
      </c>
      <c r="AJ91">
        <f>SUMIF(RawDataDead!$B:$B,$A91,RawDataDead!AM:AM)</f>
        <v>0</v>
      </c>
      <c r="AK91">
        <f>SUMIF(RawDataDead!$B:$B,$A91,RawDataDead!AN:AN)</f>
        <v>0</v>
      </c>
      <c r="AL91">
        <f>SUMIF(RawDataDead!$B:$B,$A91,RawDataDead!AO:AO)</f>
        <v>0</v>
      </c>
      <c r="AM91">
        <f>SUMIF(RawDataDead!$B:$B,$A91,RawDataDead!AP:AP)</f>
        <v>0</v>
      </c>
      <c r="AN91">
        <f>SUMIF(RawDataDead!$B:$B,$A91,RawDataDead!AQ:AQ)</f>
        <v>0</v>
      </c>
      <c r="AO91">
        <f>SUMIF(RawDataDead!$B:$B,$A91,RawDataDead!AR:AR)</f>
        <v>0</v>
      </c>
      <c r="AP91">
        <f>SUMIF(RawDataDead!$B:$B,$A91,RawDataDead!AS:AS)</f>
        <v>0</v>
      </c>
      <c r="AQ91">
        <f>SUMIF(RawDataDead!$B:$B,$A91,RawDataDead!AT:AT)</f>
        <v>0</v>
      </c>
      <c r="AR91">
        <f>SUMIF(RawDataDead!$B:$B,$A91,RawDataDead!AU:AU)</f>
        <v>0</v>
      </c>
      <c r="AS91">
        <f>SUMIF(RawDataDead!$B:$B,$A91,RawDataDead!AV:AV)</f>
        <v>0</v>
      </c>
      <c r="AT91">
        <f>SUMIF(RawDataDead!$B:$B,$A91,RawDataDead!AW:AW)</f>
        <v>0</v>
      </c>
      <c r="AU91">
        <f>SUMIF(RawDataDead!$B:$B,$A91,RawDataDead!AX:AX)</f>
        <v>0</v>
      </c>
      <c r="AV91">
        <f>SUMIF(RawDataDead!$B:$B,$A91,RawDataDead!AY:AY)</f>
        <v>0</v>
      </c>
      <c r="AW91">
        <f>SUMIF(RawDataDead!$B:$B,$A91,RawDataDead!AZ:AZ)</f>
        <v>0</v>
      </c>
      <c r="AX91">
        <f>SUMIF(RawDataDead!$B:$B,$A91,RawDataDead!BA:BA)</f>
        <v>0</v>
      </c>
      <c r="AY91">
        <f>SUMIF(RawDataDead!$B:$B,$A91,RawDataDead!BB:BB)</f>
        <v>0</v>
      </c>
      <c r="AZ91">
        <f>SUMIF(RawDataDead!$B:$B,$A91,RawDataDead!BC:BC)</f>
        <v>0</v>
      </c>
      <c r="BA91">
        <f>SUMIF(RawDataDead!$B:$B,$A91,RawDataDead!BD:BD)</f>
        <v>0</v>
      </c>
      <c r="BB91">
        <f>SUMIF(RawDataDead!$B:$B,$A91,RawDataDead!BE:BE)</f>
        <v>0</v>
      </c>
      <c r="BC91">
        <f>SUMIF(RawDataDead!$B:$B,$A91,RawDataDead!BF:BF)</f>
        <v>0</v>
      </c>
      <c r="BD91">
        <f>SUMIF(RawDataDead!$B:$B,$A91,RawDataDead!BG:BG)</f>
        <v>0</v>
      </c>
      <c r="BE91">
        <f>SUMIF(RawDataDead!$B:$B,$A91,RawDataDead!BH:BH)</f>
        <v>0</v>
      </c>
      <c r="BF91">
        <f>SUMIF(RawDataDead!$B:$B,$A91,RawDataDead!BI:BI)</f>
        <v>0</v>
      </c>
      <c r="BG91">
        <f>SUMIF(RawDataDead!$B:$B,$A91,RawDataDead!BJ:BJ)</f>
        <v>0</v>
      </c>
      <c r="BH91">
        <f>SUMIF(RawDataDead!$B:$B,$A91,RawDataDead!BK:BK)</f>
        <v>0</v>
      </c>
      <c r="BI91">
        <f>SUMIF(RawDataDead!$B:$B,$A91,RawDataDead!BL:BL)</f>
        <v>0</v>
      </c>
      <c r="BJ91">
        <f>SUMIF(RawDataDead!$B:$B,$A91,RawDataDead!BM:BM)</f>
        <v>0</v>
      </c>
      <c r="BK91">
        <f>SUMIF(RawDataDead!$B:$B,$A91,RawDataDead!BN:BN)</f>
        <v>0</v>
      </c>
      <c r="BL91">
        <f>SUMIF(RawDataDead!$B:$B,$A91,RawDataDead!BO:BO)</f>
        <v>0</v>
      </c>
      <c r="BM91">
        <f>SUMIF(RawDataDead!$B:$B,$A91,RawDataDead!BP:BP)</f>
        <v>0</v>
      </c>
      <c r="BN91">
        <f>SUMIF(RawDataDead!$B:$B,$A91,RawDataDead!BQ:BQ)</f>
        <v>0</v>
      </c>
      <c r="BO91">
        <f>SUMIF(RawDataDead!$B:$B,$A91,RawDataDead!BR:BR)</f>
        <v>0</v>
      </c>
      <c r="BP91">
        <f>SUMIF(RawDataDead!$B:$B,$A91,RawDataDead!BS:BS)</f>
        <v>0</v>
      </c>
      <c r="BQ91">
        <f>SUMIF(RawDataDead!$B:$B,$A91,RawDataDead!BT:BT)</f>
        <v>0</v>
      </c>
      <c r="BR91">
        <f>SUMIF(RawDataDead!$B:$B,$A91,RawDataDead!BU:BU)</f>
        <v>0</v>
      </c>
      <c r="BS91">
        <f>SUMIF(RawDataDead!$B:$B,$A91,RawDataDead!BV:BV)</f>
        <v>0</v>
      </c>
      <c r="BT91">
        <f>SUMIF(RawDataDead!$B:$B,$A91,RawDataDead!BW:BW)</f>
        <v>0</v>
      </c>
    </row>
    <row r="92" spans="1:72" ht="15" thickBot="1" x14ac:dyDescent="0.35">
      <c r="A92" s="3" t="s">
        <v>133</v>
      </c>
      <c r="B92">
        <f>SUMIF(RawDataDead!$B:$B,$A92,RawDataDead!E:E)</f>
        <v>0</v>
      </c>
      <c r="C92">
        <f>SUMIF(RawDataDead!$B:$B,$A92,RawDataDead!F:F)</f>
        <v>0</v>
      </c>
      <c r="D92">
        <f>SUMIF(RawDataDead!$B:$B,$A92,RawDataDead!G:G)</f>
        <v>0</v>
      </c>
      <c r="E92">
        <f>SUMIF(RawDataDead!$B:$B,$A92,RawDataDead!H:H)</f>
        <v>0</v>
      </c>
      <c r="F92">
        <f>SUMIF(RawDataDead!$B:$B,$A92,RawDataDead!I:I)</f>
        <v>0</v>
      </c>
      <c r="G92">
        <f>SUMIF(RawDataDead!$B:$B,$A92,RawDataDead!J:J)</f>
        <v>0</v>
      </c>
      <c r="H92">
        <f>SUMIF(RawDataDead!$B:$B,$A92,RawDataDead!K:K)</f>
        <v>0</v>
      </c>
      <c r="I92">
        <f>SUMIF(RawDataDead!$B:$B,$A92,RawDataDead!L:L)</f>
        <v>0</v>
      </c>
      <c r="J92">
        <f>SUMIF(RawDataDead!$B:$B,$A92,RawDataDead!M:M)</f>
        <v>0</v>
      </c>
      <c r="K92">
        <f>SUMIF(RawDataDead!$B:$B,$A92,RawDataDead!N:N)</f>
        <v>0</v>
      </c>
      <c r="L92">
        <f>SUMIF(RawDataDead!$B:$B,$A92,RawDataDead!O:O)</f>
        <v>0</v>
      </c>
      <c r="M92">
        <f>SUMIF(RawDataDead!$B:$B,$A92,RawDataDead!P:P)</f>
        <v>0</v>
      </c>
      <c r="N92">
        <f>SUMIF(RawDataDead!$B:$B,$A92,RawDataDead!Q:Q)</f>
        <v>0</v>
      </c>
      <c r="O92">
        <f>SUMIF(RawDataDead!$B:$B,$A92,RawDataDead!R:R)</f>
        <v>0</v>
      </c>
      <c r="P92">
        <f>SUMIF(RawDataDead!$B:$B,$A92,RawDataDead!S:S)</f>
        <v>0</v>
      </c>
      <c r="Q92">
        <f>SUMIF(RawDataDead!$B:$B,$A92,RawDataDead!T:T)</f>
        <v>0</v>
      </c>
      <c r="R92">
        <f>SUMIF(RawDataDead!$B:$B,$A92,RawDataDead!U:U)</f>
        <v>0</v>
      </c>
      <c r="S92">
        <f>SUMIF(RawDataDead!$B:$B,$A92,RawDataDead!V:V)</f>
        <v>0</v>
      </c>
      <c r="T92">
        <f>SUMIF(RawDataDead!$B:$B,$A92,RawDataDead!W:W)</f>
        <v>0</v>
      </c>
      <c r="U92">
        <f>SUMIF(RawDataDead!$B:$B,$A92,RawDataDead!X:X)</f>
        <v>0</v>
      </c>
      <c r="V92">
        <f>SUMIF(RawDataDead!$B:$B,$A92,RawDataDead!Y:Y)</f>
        <v>0</v>
      </c>
      <c r="W92">
        <f>SUMIF(RawDataDead!$B:$B,$A92,RawDataDead!Z:Z)</f>
        <v>0</v>
      </c>
      <c r="X92">
        <f>SUMIF(RawDataDead!$B:$B,$A92,RawDataDead!AA:AA)</f>
        <v>0</v>
      </c>
      <c r="Y92">
        <f>SUMIF(RawDataDead!$B:$B,$A92,RawDataDead!AB:AB)</f>
        <v>0</v>
      </c>
      <c r="Z92">
        <f>SUMIF(RawDataDead!$B:$B,$A92,RawDataDead!AC:AC)</f>
        <v>0</v>
      </c>
      <c r="AA92">
        <f>SUMIF(RawDataDead!$B:$B,$A92,RawDataDead!AD:AD)</f>
        <v>0</v>
      </c>
      <c r="AB92">
        <f>SUMIF(RawDataDead!$B:$B,$A92,RawDataDead!AE:AE)</f>
        <v>0</v>
      </c>
      <c r="AC92">
        <f>SUMIF(RawDataDead!$B:$B,$A92,RawDataDead!AF:AF)</f>
        <v>0</v>
      </c>
      <c r="AD92">
        <f>SUMIF(RawDataDead!$B:$B,$A92,RawDataDead!AG:AG)</f>
        <v>0</v>
      </c>
      <c r="AE92">
        <f>SUMIF(RawDataDead!$B:$B,$A92,RawDataDead!AH:AH)</f>
        <v>0</v>
      </c>
      <c r="AF92">
        <f>SUMIF(RawDataDead!$B:$B,$A92,RawDataDead!AI:AI)</f>
        <v>0</v>
      </c>
      <c r="AG92">
        <f>SUMIF(RawDataDead!$B:$B,$A92,RawDataDead!AJ:AJ)</f>
        <v>0</v>
      </c>
      <c r="AH92">
        <f>SUMIF(RawDataDead!$B:$B,$A92,RawDataDead!AK:AK)</f>
        <v>0</v>
      </c>
      <c r="AI92">
        <f>SUMIF(RawDataDead!$B:$B,$A92,RawDataDead!AL:AL)</f>
        <v>0</v>
      </c>
      <c r="AJ92">
        <f>SUMIF(RawDataDead!$B:$B,$A92,RawDataDead!AM:AM)</f>
        <v>0</v>
      </c>
      <c r="AK92">
        <f>SUMIF(RawDataDead!$B:$B,$A92,RawDataDead!AN:AN)</f>
        <v>0</v>
      </c>
      <c r="AL92">
        <f>SUMIF(RawDataDead!$B:$B,$A92,RawDataDead!AO:AO)</f>
        <v>0</v>
      </c>
      <c r="AM92">
        <f>SUMIF(RawDataDead!$B:$B,$A92,RawDataDead!AP:AP)</f>
        <v>0</v>
      </c>
      <c r="AN92">
        <f>SUMIF(RawDataDead!$B:$B,$A92,RawDataDead!AQ:AQ)</f>
        <v>0</v>
      </c>
      <c r="AO92">
        <f>SUMIF(RawDataDead!$B:$B,$A92,RawDataDead!AR:AR)</f>
        <v>0</v>
      </c>
      <c r="AP92">
        <f>SUMIF(RawDataDead!$B:$B,$A92,RawDataDead!AS:AS)</f>
        <v>0</v>
      </c>
      <c r="AQ92">
        <f>SUMIF(RawDataDead!$B:$B,$A92,RawDataDead!AT:AT)</f>
        <v>0</v>
      </c>
      <c r="AR92">
        <f>SUMIF(RawDataDead!$B:$B,$A92,RawDataDead!AU:AU)</f>
        <v>0</v>
      </c>
      <c r="AS92">
        <f>SUMIF(RawDataDead!$B:$B,$A92,RawDataDead!AV:AV)</f>
        <v>0</v>
      </c>
      <c r="AT92">
        <f>SUMIF(RawDataDead!$B:$B,$A92,RawDataDead!AW:AW)</f>
        <v>0</v>
      </c>
      <c r="AU92">
        <f>SUMIF(RawDataDead!$B:$B,$A92,RawDataDead!AX:AX)</f>
        <v>0</v>
      </c>
      <c r="AV92">
        <f>SUMIF(RawDataDead!$B:$B,$A92,RawDataDead!AY:AY)</f>
        <v>0</v>
      </c>
      <c r="AW92">
        <f>SUMIF(RawDataDead!$B:$B,$A92,RawDataDead!AZ:AZ)</f>
        <v>0</v>
      </c>
      <c r="AX92">
        <f>SUMIF(RawDataDead!$B:$B,$A92,RawDataDead!BA:BA)</f>
        <v>0</v>
      </c>
      <c r="AY92">
        <f>SUMIF(RawDataDead!$B:$B,$A92,RawDataDead!BB:BB)</f>
        <v>0</v>
      </c>
      <c r="AZ92">
        <f>SUMIF(RawDataDead!$B:$B,$A92,RawDataDead!BC:BC)</f>
        <v>0</v>
      </c>
      <c r="BA92">
        <f>SUMIF(RawDataDead!$B:$B,$A92,RawDataDead!BD:BD)</f>
        <v>0</v>
      </c>
      <c r="BB92">
        <f>SUMIF(RawDataDead!$B:$B,$A92,RawDataDead!BE:BE)</f>
        <v>0</v>
      </c>
      <c r="BC92">
        <f>SUMIF(RawDataDead!$B:$B,$A92,RawDataDead!BF:BF)</f>
        <v>0</v>
      </c>
      <c r="BD92">
        <f>SUMIF(RawDataDead!$B:$B,$A92,RawDataDead!BG:BG)</f>
        <v>0</v>
      </c>
      <c r="BE92">
        <f>SUMIF(RawDataDead!$B:$B,$A92,RawDataDead!BH:BH)</f>
        <v>1</v>
      </c>
      <c r="BF92">
        <f>SUMIF(RawDataDead!$B:$B,$A92,RawDataDead!BI:BI)</f>
        <v>0</v>
      </c>
      <c r="BG92">
        <f>SUMIF(RawDataDead!$B:$B,$A92,RawDataDead!BJ:BJ)</f>
        <v>0</v>
      </c>
      <c r="BH92">
        <f>SUMIF(RawDataDead!$B:$B,$A92,RawDataDead!BK:BK)</f>
        <v>0</v>
      </c>
      <c r="BI92">
        <f>SUMIF(RawDataDead!$B:$B,$A92,RawDataDead!BL:BL)</f>
        <v>0</v>
      </c>
      <c r="BJ92">
        <f>SUMIF(RawDataDead!$B:$B,$A92,RawDataDead!BM:BM)</f>
        <v>0</v>
      </c>
      <c r="BK92">
        <f>SUMIF(RawDataDead!$B:$B,$A92,RawDataDead!BN:BN)</f>
        <v>0</v>
      </c>
      <c r="BL92">
        <f>SUMIF(RawDataDead!$B:$B,$A92,RawDataDead!BO:BO)</f>
        <v>0</v>
      </c>
      <c r="BM92">
        <f>SUMIF(RawDataDead!$B:$B,$A92,RawDataDead!BP:BP)</f>
        <v>0</v>
      </c>
      <c r="BN92">
        <f>SUMIF(RawDataDead!$B:$B,$A92,RawDataDead!BQ:BQ)</f>
        <v>0</v>
      </c>
      <c r="BO92">
        <f>SUMIF(RawDataDead!$B:$B,$A92,RawDataDead!BR:BR)</f>
        <v>0</v>
      </c>
      <c r="BP92">
        <f>SUMIF(RawDataDead!$B:$B,$A92,RawDataDead!BS:BS)</f>
        <v>0</v>
      </c>
      <c r="BQ92">
        <f>SUMIF(RawDataDead!$B:$B,$A92,RawDataDead!BT:BT)</f>
        <v>0</v>
      </c>
      <c r="BR92">
        <f>SUMIF(RawDataDead!$B:$B,$A92,RawDataDead!BU:BU)</f>
        <v>0</v>
      </c>
      <c r="BS92">
        <f>SUMIF(RawDataDead!$B:$B,$A92,RawDataDead!BV:BV)</f>
        <v>0</v>
      </c>
      <c r="BT92">
        <f>SUMIF(RawDataDead!$B:$B,$A92,RawDataDead!BW:BW)</f>
        <v>0</v>
      </c>
    </row>
    <row r="93" spans="1:72" ht="15" thickBot="1" x14ac:dyDescent="0.35">
      <c r="A93" s="4" t="s">
        <v>203</v>
      </c>
      <c r="B93">
        <f>SUMIF(RawDataDead!$B:$B,$A93,RawDataDead!E:E)</f>
        <v>0</v>
      </c>
      <c r="C93">
        <f>SUMIF(RawDataDead!$B:$B,$A93,RawDataDead!F:F)</f>
        <v>0</v>
      </c>
      <c r="D93">
        <f>SUMIF(RawDataDead!$B:$B,$A93,RawDataDead!G:G)</f>
        <v>0</v>
      </c>
      <c r="E93">
        <f>SUMIF(RawDataDead!$B:$B,$A93,RawDataDead!H:H)</f>
        <v>0</v>
      </c>
      <c r="F93">
        <f>SUMIF(RawDataDead!$B:$B,$A93,RawDataDead!I:I)</f>
        <v>0</v>
      </c>
      <c r="G93">
        <f>SUMIF(RawDataDead!$B:$B,$A93,RawDataDead!J:J)</f>
        <v>0</v>
      </c>
      <c r="H93">
        <f>SUMIF(RawDataDead!$B:$B,$A93,RawDataDead!K:K)</f>
        <v>0</v>
      </c>
      <c r="I93">
        <f>SUMIF(RawDataDead!$B:$B,$A93,RawDataDead!L:L)</f>
        <v>0</v>
      </c>
      <c r="J93">
        <f>SUMIF(RawDataDead!$B:$B,$A93,RawDataDead!M:M)</f>
        <v>0</v>
      </c>
      <c r="K93">
        <f>SUMIF(RawDataDead!$B:$B,$A93,RawDataDead!N:N)</f>
        <v>0</v>
      </c>
      <c r="L93">
        <f>SUMIF(RawDataDead!$B:$B,$A93,RawDataDead!O:O)</f>
        <v>0</v>
      </c>
      <c r="M93">
        <f>SUMIF(RawDataDead!$B:$B,$A93,RawDataDead!P:P)</f>
        <v>0</v>
      </c>
      <c r="N93">
        <f>SUMIF(RawDataDead!$B:$B,$A93,RawDataDead!Q:Q)</f>
        <v>0</v>
      </c>
      <c r="O93">
        <f>SUMIF(RawDataDead!$B:$B,$A93,RawDataDead!R:R)</f>
        <v>0</v>
      </c>
      <c r="P93">
        <f>SUMIF(RawDataDead!$B:$B,$A93,RawDataDead!S:S)</f>
        <v>0</v>
      </c>
      <c r="Q93">
        <f>SUMIF(RawDataDead!$B:$B,$A93,RawDataDead!T:T)</f>
        <v>0</v>
      </c>
      <c r="R93">
        <f>SUMIF(RawDataDead!$B:$B,$A93,RawDataDead!U:U)</f>
        <v>0</v>
      </c>
      <c r="S93">
        <f>SUMIF(RawDataDead!$B:$B,$A93,RawDataDead!V:V)</f>
        <v>0</v>
      </c>
      <c r="T93">
        <f>SUMIF(RawDataDead!$B:$B,$A93,RawDataDead!W:W)</f>
        <v>0</v>
      </c>
      <c r="U93">
        <f>SUMIF(RawDataDead!$B:$B,$A93,RawDataDead!X:X)</f>
        <v>0</v>
      </c>
      <c r="V93">
        <f>SUMIF(RawDataDead!$B:$B,$A93,RawDataDead!Y:Y)</f>
        <v>0</v>
      </c>
      <c r="W93">
        <f>SUMIF(RawDataDead!$B:$B,$A93,RawDataDead!Z:Z)</f>
        <v>0</v>
      </c>
      <c r="X93">
        <f>SUMIF(RawDataDead!$B:$B,$A93,RawDataDead!AA:AA)</f>
        <v>0</v>
      </c>
      <c r="Y93">
        <f>SUMIF(RawDataDead!$B:$B,$A93,RawDataDead!AB:AB)</f>
        <v>0</v>
      </c>
      <c r="Z93">
        <f>SUMIF(RawDataDead!$B:$B,$A93,RawDataDead!AC:AC)</f>
        <v>0</v>
      </c>
      <c r="AA93">
        <f>SUMIF(RawDataDead!$B:$B,$A93,RawDataDead!AD:AD)</f>
        <v>0</v>
      </c>
      <c r="AB93">
        <f>SUMIF(RawDataDead!$B:$B,$A93,RawDataDead!AE:AE)</f>
        <v>0</v>
      </c>
      <c r="AC93">
        <f>SUMIF(RawDataDead!$B:$B,$A93,RawDataDead!AF:AF)</f>
        <v>0</v>
      </c>
      <c r="AD93">
        <f>SUMIF(RawDataDead!$B:$B,$A93,RawDataDead!AG:AG)</f>
        <v>0</v>
      </c>
      <c r="AE93">
        <f>SUMIF(RawDataDead!$B:$B,$A93,RawDataDead!AH:AH)</f>
        <v>0</v>
      </c>
      <c r="AF93">
        <f>SUMIF(RawDataDead!$B:$B,$A93,RawDataDead!AI:AI)</f>
        <v>0</v>
      </c>
      <c r="AG93">
        <f>SUMIF(RawDataDead!$B:$B,$A93,RawDataDead!AJ:AJ)</f>
        <v>0</v>
      </c>
      <c r="AH93">
        <f>SUMIF(RawDataDead!$B:$B,$A93,RawDataDead!AK:AK)</f>
        <v>0</v>
      </c>
      <c r="AI93">
        <f>SUMIF(RawDataDead!$B:$B,$A93,RawDataDead!AL:AL)</f>
        <v>0</v>
      </c>
      <c r="AJ93">
        <f>SUMIF(RawDataDead!$B:$B,$A93,RawDataDead!AM:AM)</f>
        <v>0</v>
      </c>
      <c r="AK93">
        <f>SUMIF(RawDataDead!$B:$B,$A93,RawDataDead!AN:AN)</f>
        <v>0</v>
      </c>
      <c r="AL93">
        <f>SUMIF(RawDataDead!$B:$B,$A93,RawDataDead!AO:AO)</f>
        <v>0</v>
      </c>
      <c r="AM93">
        <f>SUMIF(RawDataDead!$B:$B,$A93,RawDataDead!AP:AP)</f>
        <v>0</v>
      </c>
      <c r="AN93">
        <f>SUMIF(RawDataDead!$B:$B,$A93,RawDataDead!AQ:AQ)</f>
        <v>0</v>
      </c>
      <c r="AO93">
        <f>SUMIF(RawDataDead!$B:$B,$A93,RawDataDead!AR:AR)</f>
        <v>0</v>
      </c>
      <c r="AP93">
        <f>SUMIF(RawDataDead!$B:$B,$A93,RawDataDead!AS:AS)</f>
        <v>0</v>
      </c>
      <c r="AQ93">
        <f>SUMIF(RawDataDead!$B:$B,$A93,RawDataDead!AT:AT)</f>
        <v>0</v>
      </c>
      <c r="AR93">
        <f>SUMIF(RawDataDead!$B:$B,$A93,RawDataDead!AU:AU)</f>
        <v>0</v>
      </c>
      <c r="AS93">
        <f>SUMIF(RawDataDead!$B:$B,$A93,RawDataDead!AV:AV)</f>
        <v>0</v>
      </c>
      <c r="AT93">
        <f>SUMIF(RawDataDead!$B:$B,$A93,RawDataDead!AW:AW)</f>
        <v>0</v>
      </c>
      <c r="AU93">
        <f>SUMIF(RawDataDead!$B:$B,$A93,RawDataDead!AX:AX)</f>
        <v>0</v>
      </c>
      <c r="AV93">
        <f>SUMIF(RawDataDead!$B:$B,$A93,RawDataDead!AY:AY)</f>
        <v>0</v>
      </c>
      <c r="AW93">
        <f>SUMIF(RawDataDead!$B:$B,$A93,RawDataDead!AZ:AZ)</f>
        <v>0</v>
      </c>
      <c r="AX93">
        <f>SUMIF(RawDataDead!$B:$B,$A93,RawDataDead!BA:BA)</f>
        <v>0</v>
      </c>
      <c r="AY93">
        <f>SUMIF(RawDataDead!$B:$B,$A93,RawDataDead!BB:BB)</f>
        <v>0</v>
      </c>
      <c r="AZ93">
        <f>SUMIF(RawDataDead!$B:$B,$A93,RawDataDead!BC:BC)</f>
        <v>0</v>
      </c>
      <c r="BA93">
        <f>SUMIF(RawDataDead!$B:$B,$A93,RawDataDead!BD:BD)</f>
        <v>0</v>
      </c>
      <c r="BB93">
        <f>SUMIF(RawDataDead!$B:$B,$A93,RawDataDead!BE:BE)</f>
        <v>0</v>
      </c>
      <c r="BC93">
        <f>SUMIF(RawDataDead!$B:$B,$A93,RawDataDead!BF:BF)</f>
        <v>0</v>
      </c>
      <c r="BD93">
        <f>SUMIF(RawDataDead!$B:$B,$A93,RawDataDead!BG:BG)</f>
        <v>0</v>
      </c>
      <c r="BE93">
        <f>SUMIF(RawDataDead!$B:$B,$A93,RawDataDead!BH:BH)</f>
        <v>0</v>
      </c>
      <c r="BF93">
        <f>SUMIF(RawDataDead!$B:$B,$A93,RawDataDead!BI:BI)</f>
        <v>0</v>
      </c>
      <c r="BG93">
        <f>SUMIF(RawDataDead!$B:$B,$A93,RawDataDead!BJ:BJ)</f>
        <v>0</v>
      </c>
      <c r="BH93">
        <f>SUMIF(RawDataDead!$B:$B,$A93,RawDataDead!BK:BK)</f>
        <v>0</v>
      </c>
      <c r="BI93">
        <f>SUMIF(RawDataDead!$B:$B,$A93,RawDataDead!BL:BL)</f>
        <v>0</v>
      </c>
      <c r="BJ93">
        <f>SUMIF(RawDataDead!$B:$B,$A93,RawDataDead!BM:BM)</f>
        <v>0</v>
      </c>
      <c r="BK93">
        <f>SUMIF(RawDataDead!$B:$B,$A93,RawDataDead!BN:BN)</f>
        <v>0</v>
      </c>
      <c r="BL93">
        <f>SUMIF(RawDataDead!$B:$B,$A93,RawDataDead!BO:BO)</f>
        <v>0</v>
      </c>
      <c r="BM93">
        <f>SUMIF(RawDataDead!$B:$B,$A93,RawDataDead!BP:BP)</f>
        <v>0</v>
      </c>
      <c r="BN93">
        <f>SUMIF(RawDataDead!$B:$B,$A93,RawDataDead!BQ:BQ)</f>
        <v>0</v>
      </c>
      <c r="BO93">
        <f>SUMIF(RawDataDead!$B:$B,$A93,RawDataDead!BR:BR)</f>
        <v>0</v>
      </c>
      <c r="BP93">
        <f>SUMIF(RawDataDead!$B:$B,$A93,RawDataDead!BS:BS)</f>
        <v>0</v>
      </c>
      <c r="BQ93">
        <f>SUMIF(RawDataDead!$B:$B,$A93,RawDataDead!BT:BT)</f>
        <v>0</v>
      </c>
      <c r="BR93">
        <f>SUMIF(RawDataDead!$B:$B,$A93,RawDataDead!BU:BU)</f>
        <v>0</v>
      </c>
      <c r="BS93">
        <f>SUMIF(RawDataDead!$B:$B,$A93,RawDataDead!BV:BV)</f>
        <v>0</v>
      </c>
      <c r="BT93">
        <f>SUMIF(RawDataDead!$B:$B,$A93,RawDataDead!BW:BW)</f>
        <v>0</v>
      </c>
    </row>
    <row r="94" spans="1:72" ht="15" thickBot="1" x14ac:dyDescent="0.35">
      <c r="A94" s="3" t="s">
        <v>122</v>
      </c>
      <c r="B94">
        <f>SUMIF(RawDataDead!$B:$B,$A94,RawDataDead!E:E)</f>
        <v>0</v>
      </c>
      <c r="C94">
        <f>SUMIF(RawDataDead!$B:$B,$A94,RawDataDead!F:F)</f>
        <v>0</v>
      </c>
      <c r="D94">
        <f>SUMIF(RawDataDead!$B:$B,$A94,RawDataDead!G:G)</f>
        <v>0</v>
      </c>
      <c r="E94">
        <f>SUMIF(RawDataDead!$B:$B,$A94,RawDataDead!H:H)</f>
        <v>0</v>
      </c>
      <c r="F94">
        <f>SUMIF(RawDataDead!$B:$B,$A94,RawDataDead!I:I)</f>
        <v>0</v>
      </c>
      <c r="G94">
        <f>SUMIF(RawDataDead!$B:$B,$A94,RawDataDead!J:J)</f>
        <v>0</v>
      </c>
      <c r="H94">
        <f>SUMIF(RawDataDead!$B:$B,$A94,RawDataDead!K:K)</f>
        <v>0</v>
      </c>
      <c r="I94">
        <f>SUMIF(RawDataDead!$B:$B,$A94,RawDataDead!L:L)</f>
        <v>0</v>
      </c>
      <c r="J94">
        <f>SUMIF(RawDataDead!$B:$B,$A94,RawDataDead!M:M)</f>
        <v>0</v>
      </c>
      <c r="K94">
        <f>SUMIF(RawDataDead!$B:$B,$A94,RawDataDead!N:N)</f>
        <v>0</v>
      </c>
      <c r="L94">
        <f>SUMIF(RawDataDead!$B:$B,$A94,RawDataDead!O:O)</f>
        <v>0</v>
      </c>
      <c r="M94">
        <f>SUMIF(RawDataDead!$B:$B,$A94,RawDataDead!P:P)</f>
        <v>0</v>
      </c>
      <c r="N94">
        <f>SUMIF(RawDataDead!$B:$B,$A94,RawDataDead!Q:Q)</f>
        <v>0</v>
      </c>
      <c r="O94">
        <f>SUMIF(RawDataDead!$B:$B,$A94,RawDataDead!R:R)</f>
        <v>0</v>
      </c>
      <c r="P94">
        <f>SUMIF(RawDataDead!$B:$B,$A94,RawDataDead!S:S)</f>
        <v>0</v>
      </c>
      <c r="Q94">
        <f>SUMIF(RawDataDead!$B:$B,$A94,RawDataDead!T:T)</f>
        <v>0</v>
      </c>
      <c r="R94">
        <f>SUMIF(RawDataDead!$B:$B,$A94,RawDataDead!U:U)</f>
        <v>0</v>
      </c>
      <c r="S94">
        <f>SUMIF(RawDataDead!$B:$B,$A94,RawDataDead!V:V)</f>
        <v>0</v>
      </c>
      <c r="T94">
        <f>SUMIF(RawDataDead!$B:$B,$A94,RawDataDead!W:W)</f>
        <v>0</v>
      </c>
      <c r="U94">
        <f>SUMIF(RawDataDead!$B:$B,$A94,RawDataDead!X:X)</f>
        <v>0</v>
      </c>
      <c r="V94">
        <f>SUMIF(RawDataDead!$B:$B,$A94,RawDataDead!Y:Y)</f>
        <v>0</v>
      </c>
      <c r="W94">
        <f>SUMIF(RawDataDead!$B:$B,$A94,RawDataDead!Z:Z)</f>
        <v>0</v>
      </c>
      <c r="X94">
        <f>SUMIF(RawDataDead!$B:$B,$A94,RawDataDead!AA:AA)</f>
        <v>0</v>
      </c>
      <c r="Y94">
        <f>SUMIF(RawDataDead!$B:$B,$A94,RawDataDead!AB:AB)</f>
        <v>0</v>
      </c>
      <c r="Z94">
        <f>SUMIF(RawDataDead!$B:$B,$A94,RawDataDead!AC:AC)</f>
        <v>0</v>
      </c>
      <c r="AA94">
        <f>SUMIF(RawDataDead!$B:$B,$A94,RawDataDead!AD:AD)</f>
        <v>0</v>
      </c>
      <c r="AB94">
        <f>SUMIF(RawDataDead!$B:$B,$A94,RawDataDead!AE:AE)</f>
        <v>0</v>
      </c>
      <c r="AC94">
        <f>SUMIF(RawDataDead!$B:$B,$A94,RawDataDead!AF:AF)</f>
        <v>0</v>
      </c>
      <c r="AD94">
        <f>SUMIF(RawDataDead!$B:$B,$A94,RawDataDead!AG:AG)</f>
        <v>0</v>
      </c>
      <c r="AE94">
        <f>SUMIF(RawDataDead!$B:$B,$A94,RawDataDead!AH:AH)</f>
        <v>0</v>
      </c>
      <c r="AF94">
        <f>SUMIF(RawDataDead!$B:$B,$A94,RawDataDead!AI:AI)</f>
        <v>0</v>
      </c>
      <c r="AG94">
        <f>SUMIF(RawDataDead!$B:$B,$A94,RawDataDead!AJ:AJ)</f>
        <v>0</v>
      </c>
      <c r="AH94">
        <f>SUMIF(RawDataDead!$B:$B,$A94,RawDataDead!AK:AK)</f>
        <v>0</v>
      </c>
      <c r="AI94">
        <f>SUMIF(RawDataDead!$B:$B,$A94,RawDataDead!AL:AL)</f>
        <v>0</v>
      </c>
      <c r="AJ94">
        <f>SUMIF(RawDataDead!$B:$B,$A94,RawDataDead!AM:AM)</f>
        <v>0</v>
      </c>
      <c r="AK94">
        <f>SUMIF(RawDataDead!$B:$B,$A94,RawDataDead!AN:AN)</f>
        <v>0</v>
      </c>
      <c r="AL94">
        <f>SUMIF(RawDataDead!$B:$B,$A94,RawDataDead!AO:AO)</f>
        <v>0</v>
      </c>
      <c r="AM94">
        <f>SUMIF(RawDataDead!$B:$B,$A94,RawDataDead!AP:AP)</f>
        <v>0</v>
      </c>
      <c r="AN94">
        <f>SUMIF(RawDataDead!$B:$B,$A94,RawDataDead!AQ:AQ)</f>
        <v>0</v>
      </c>
      <c r="AO94">
        <f>SUMIF(RawDataDead!$B:$B,$A94,RawDataDead!AR:AR)</f>
        <v>0</v>
      </c>
      <c r="AP94">
        <f>SUMIF(RawDataDead!$B:$B,$A94,RawDataDead!AS:AS)</f>
        <v>0</v>
      </c>
      <c r="AQ94">
        <f>SUMIF(RawDataDead!$B:$B,$A94,RawDataDead!AT:AT)</f>
        <v>0</v>
      </c>
      <c r="AR94">
        <f>SUMIF(RawDataDead!$B:$B,$A94,RawDataDead!AU:AU)</f>
        <v>0</v>
      </c>
      <c r="AS94">
        <f>SUMIF(RawDataDead!$B:$B,$A94,RawDataDead!AV:AV)</f>
        <v>0</v>
      </c>
      <c r="AT94">
        <f>SUMIF(RawDataDead!$B:$B,$A94,RawDataDead!AW:AW)</f>
        <v>0</v>
      </c>
      <c r="AU94">
        <f>SUMIF(RawDataDead!$B:$B,$A94,RawDataDead!AX:AX)</f>
        <v>0</v>
      </c>
      <c r="AV94">
        <f>SUMIF(RawDataDead!$B:$B,$A94,RawDataDead!AY:AY)</f>
        <v>0</v>
      </c>
      <c r="AW94">
        <f>SUMIF(RawDataDead!$B:$B,$A94,RawDataDead!AZ:AZ)</f>
        <v>0</v>
      </c>
      <c r="AX94">
        <f>SUMIF(RawDataDead!$B:$B,$A94,RawDataDead!BA:BA)</f>
        <v>0</v>
      </c>
      <c r="AY94">
        <f>SUMIF(RawDataDead!$B:$B,$A94,RawDataDead!BB:BB)</f>
        <v>0</v>
      </c>
      <c r="AZ94">
        <f>SUMIF(RawDataDead!$B:$B,$A94,RawDataDead!BC:BC)</f>
        <v>0</v>
      </c>
      <c r="BA94">
        <f>SUMIF(RawDataDead!$B:$B,$A94,RawDataDead!BD:BD)</f>
        <v>0</v>
      </c>
      <c r="BB94">
        <f>SUMIF(RawDataDead!$B:$B,$A94,RawDataDead!BE:BE)</f>
        <v>0</v>
      </c>
      <c r="BC94">
        <f>SUMIF(RawDataDead!$B:$B,$A94,RawDataDead!BF:BF)</f>
        <v>0</v>
      </c>
      <c r="BD94">
        <f>SUMIF(RawDataDead!$B:$B,$A94,RawDataDead!BG:BG)</f>
        <v>0</v>
      </c>
      <c r="BE94">
        <f>SUMIF(RawDataDead!$B:$B,$A94,RawDataDead!BH:BH)</f>
        <v>0</v>
      </c>
      <c r="BF94">
        <f>SUMIF(RawDataDead!$B:$B,$A94,RawDataDead!BI:BI)</f>
        <v>0</v>
      </c>
      <c r="BG94">
        <f>SUMIF(RawDataDead!$B:$B,$A94,RawDataDead!BJ:BJ)</f>
        <v>0</v>
      </c>
      <c r="BH94">
        <f>SUMIF(RawDataDead!$B:$B,$A94,RawDataDead!BK:BK)</f>
        <v>0</v>
      </c>
      <c r="BI94">
        <f>SUMIF(RawDataDead!$B:$B,$A94,RawDataDead!BL:BL)</f>
        <v>0</v>
      </c>
      <c r="BJ94">
        <f>SUMIF(RawDataDead!$B:$B,$A94,RawDataDead!BM:BM)</f>
        <v>0</v>
      </c>
      <c r="BK94">
        <f>SUMIF(RawDataDead!$B:$B,$A94,RawDataDead!BN:BN)</f>
        <v>0</v>
      </c>
      <c r="BL94">
        <f>SUMIF(RawDataDead!$B:$B,$A94,RawDataDead!BO:BO)</f>
        <v>0</v>
      </c>
      <c r="BM94">
        <f>SUMIF(RawDataDead!$B:$B,$A94,RawDataDead!BP:BP)</f>
        <v>0</v>
      </c>
      <c r="BN94">
        <f>SUMIF(RawDataDead!$B:$B,$A94,RawDataDead!BQ:BQ)</f>
        <v>0</v>
      </c>
      <c r="BO94">
        <f>SUMIF(RawDataDead!$B:$B,$A94,RawDataDead!BR:BR)</f>
        <v>0</v>
      </c>
      <c r="BP94">
        <f>SUMIF(RawDataDead!$B:$B,$A94,RawDataDead!BS:BS)</f>
        <v>0</v>
      </c>
      <c r="BQ94">
        <f>SUMIF(RawDataDead!$B:$B,$A94,RawDataDead!BT:BT)</f>
        <v>0</v>
      </c>
      <c r="BR94">
        <f>SUMIF(RawDataDead!$B:$B,$A94,RawDataDead!BU:BU)</f>
        <v>0</v>
      </c>
      <c r="BS94">
        <f>SUMIF(RawDataDead!$B:$B,$A94,RawDataDead!BV:BV)</f>
        <v>0</v>
      </c>
      <c r="BT94">
        <f>SUMIF(RawDataDead!$B:$B,$A94,RawDataDead!BW:BW)</f>
        <v>0</v>
      </c>
    </row>
    <row r="95" spans="1:72" ht="15" thickBot="1" x14ac:dyDescent="0.35">
      <c r="A95" s="4" t="s">
        <v>382</v>
      </c>
      <c r="B95">
        <f>SUMIF(RawDataDead!$B:$B,$A95,RawDataDead!E:E)</f>
        <v>0</v>
      </c>
      <c r="C95">
        <f>SUMIF(RawDataDead!$B:$B,$A95,RawDataDead!F:F)</f>
        <v>0</v>
      </c>
      <c r="D95">
        <f>SUMIF(RawDataDead!$B:$B,$A95,RawDataDead!G:G)</f>
        <v>0</v>
      </c>
      <c r="E95">
        <f>SUMIF(RawDataDead!$B:$B,$A95,RawDataDead!H:H)</f>
        <v>0</v>
      </c>
      <c r="F95">
        <f>SUMIF(RawDataDead!$B:$B,$A95,RawDataDead!I:I)</f>
        <v>0</v>
      </c>
      <c r="G95">
        <f>SUMIF(RawDataDead!$B:$B,$A95,RawDataDead!J:J)</f>
        <v>0</v>
      </c>
      <c r="H95">
        <f>SUMIF(RawDataDead!$B:$B,$A95,RawDataDead!K:K)</f>
        <v>0</v>
      </c>
      <c r="I95">
        <f>SUMIF(RawDataDead!$B:$B,$A95,RawDataDead!L:L)</f>
        <v>0</v>
      </c>
      <c r="J95">
        <f>SUMIF(RawDataDead!$B:$B,$A95,RawDataDead!M:M)</f>
        <v>0</v>
      </c>
      <c r="K95">
        <f>SUMIF(RawDataDead!$B:$B,$A95,RawDataDead!N:N)</f>
        <v>0</v>
      </c>
      <c r="L95">
        <f>SUMIF(RawDataDead!$B:$B,$A95,RawDataDead!O:O)</f>
        <v>0</v>
      </c>
      <c r="M95">
        <f>SUMIF(RawDataDead!$B:$B,$A95,RawDataDead!P:P)</f>
        <v>0</v>
      </c>
      <c r="N95">
        <f>SUMIF(RawDataDead!$B:$B,$A95,RawDataDead!Q:Q)</f>
        <v>0</v>
      </c>
      <c r="O95">
        <f>SUMIF(RawDataDead!$B:$B,$A95,RawDataDead!R:R)</f>
        <v>0</v>
      </c>
      <c r="P95">
        <f>SUMIF(RawDataDead!$B:$B,$A95,RawDataDead!S:S)</f>
        <v>0</v>
      </c>
      <c r="Q95">
        <f>SUMIF(RawDataDead!$B:$B,$A95,RawDataDead!T:T)</f>
        <v>0</v>
      </c>
      <c r="R95">
        <f>SUMIF(RawDataDead!$B:$B,$A95,RawDataDead!U:U)</f>
        <v>0</v>
      </c>
      <c r="S95">
        <f>SUMIF(RawDataDead!$B:$B,$A95,RawDataDead!V:V)</f>
        <v>0</v>
      </c>
      <c r="T95">
        <f>SUMIF(RawDataDead!$B:$B,$A95,RawDataDead!W:W)</f>
        <v>0</v>
      </c>
      <c r="U95">
        <f>SUMIF(RawDataDead!$B:$B,$A95,RawDataDead!X:X)</f>
        <v>0</v>
      </c>
      <c r="V95">
        <f>SUMIF(RawDataDead!$B:$B,$A95,RawDataDead!Y:Y)</f>
        <v>0</v>
      </c>
      <c r="W95">
        <f>SUMIF(RawDataDead!$B:$B,$A95,RawDataDead!Z:Z)</f>
        <v>0</v>
      </c>
      <c r="X95">
        <f>SUMIF(RawDataDead!$B:$B,$A95,RawDataDead!AA:AA)</f>
        <v>0</v>
      </c>
      <c r="Y95">
        <f>SUMIF(RawDataDead!$B:$B,$A95,RawDataDead!AB:AB)</f>
        <v>0</v>
      </c>
      <c r="Z95">
        <f>SUMIF(RawDataDead!$B:$B,$A95,RawDataDead!AC:AC)</f>
        <v>0</v>
      </c>
      <c r="AA95">
        <f>SUMIF(RawDataDead!$B:$B,$A95,RawDataDead!AD:AD)</f>
        <v>0</v>
      </c>
      <c r="AB95">
        <f>SUMIF(RawDataDead!$B:$B,$A95,RawDataDead!AE:AE)</f>
        <v>0</v>
      </c>
      <c r="AC95">
        <f>SUMIF(RawDataDead!$B:$B,$A95,RawDataDead!AF:AF)</f>
        <v>0</v>
      </c>
      <c r="AD95">
        <f>SUMIF(RawDataDead!$B:$B,$A95,RawDataDead!AG:AG)</f>
        <v>0</v>
      </c>
      <c r="AE95">
        <f>SUMIF(RawDataDead!$B:$B,$A95,RawDataDead!AH:AH)</f>
        <v>0</v>
      </c>
      <c r="AF95">
        <f>SUMIF(RawDataDead!$B:$B,$A95,RawDataDead!AI:AI)</f>
        <v>0</v>
      </c>
      <c r="AG95">
        <f>SUMIF(RawDataDead!$B:$B,$A95,RawDataDead!AJ:AJ)</f>
        <v>0</v>
      </c>
      <c r="AH95">
        <f>SUMIF(RawDataDead!$B:$B,$A95,RawDataDead!AK:AK)</f>
        <v>0</v>
      </c>
      <c r="AI95">
        <f>SUMIF(RawDataDead!$B:$B,$A95,RawDataDead!AL:AL)</f>
        <v>0</v>
      </c>
      <c r="AJ95">
        <f>SUMIF(RawDataDead!$B:$B,$A95,RawDataDead!AM:AM)</f>
        <v>0</v>
      </c>
      <c r="AK95">
        <f>SUMIF(RawDataDead!$B:$B,$A95,RawDataDead!AN:AN)</f>
        <v>0</v>
      </c>
      <c r="AL95">
        <f>SUMIF(RawDataDead!$B:$B,$A95,RawDataDead!AO:AO)</f>
        <v>0</v>
      </c>
      <c r="AM95">
        <f>SUMIF(RawDataDead!$B:$B,$A95,RawDataDead!AP:AP)</f>
        <v>0</v>
      </c>
      <c r="AN95">
        <f>SUMIF(RawDataDead!$B:$B,$A95,RawDataDead!AQ:AQ)</f>
        <v>0</v>
      </c>
      <c r="AO95">
        <f>SUMIF(RawDataDead!$B:$B,$A95,RawDataDead!AR:AR)</f>
        <v>0</v>
      </c>
      <c r="AP95">
        <f>SUMIF(RawDataDead!$B:$B,$A95,RawDataDead!AS:AS)</f>
        <v>0</v>
      </c>
      <c r="AQ95">
        <f>SUMIF(RawDataDead!$B:$B,$A95,RawDataDead!AT:AT)</f>
        <v>0</v>
      </c>
      <c r="AR95">
        <f>SUMIF(RawDataDead!$B:$B,$A95,RawDataDead!AU:AU)</f>
        <v>0</v>
      </c>
      <c r="AS95">
        <f>SUMIF(RawDataDead!$B:$B,$A95,RawDataDead!AV:AV)</f>
        <v>0</v>
      </c>
      <c r="AT95">
        <f>SUMIF(RawDataDead!$B:$B,$A95,RawDataDead!AW:AW)</f>
        <v>0</v>
      </c>
      <c r="AU95">
        <f>SUMIF(RawDataDead!$B:$B,$A95,RawDataDead!AX:AX)</f>
        <v>0</v>
      </c>
      <c r="AV95">
        <f>SUMIF(RawDataDead!$B:$B,$A95,RawDataDead!AY:AY)</f>
        <v>0</v>
      </c>
      <c r="AW95">
        <f>SUMIF(RawDataDead!$B:$B,$A95,RawDataDead!AZ:AZ)</f>
        <v>0</v>
      </c>
      <c r="AX95">
        <f>SUMIF(RawDataDead!$B:$B,$A95,RawDataDead!BA:BA)</f>
        <v>0</v>
      </c>
      <c r="AY95">
        <f>SUMIF(RawDataDead!$B:$B,$A95,RawDataDead!BB:BB)</f>
        <v>0</v>
      </c>
      <c r="AZ95">
        <f>SUMIF(RawDataDead!$B:$B,$A95,RawDataDead!BC:BC)</f>
        <v>0</v>
      </c>
      <c r="BA95">
        <f>SUMIF(RawDataDead!$B:$B,$A95,RawDataDead!BD:BD)</f>
        <v>0</v>
      </c>
      <c r="BB95">
        <f>SUMIF(RawDataDead!$B:$B,$A95,RawDataDead!BE:BE)</f>
        <v>0</v>
      </c>
      <c r="BC95">
        <f>SUMIF(RawDataDead!$B:$B,$A95,RawDataDead!BF:BF)</f>
        <v>0</v>
      </c>
      <c r="BD95">
        <f>SUMIF(RawDataDead!$B:$B,$A95,RawDataDead!BG:BG)</f>
        <v>0</v>
      </c>
      <c r="BE95">
        <f>SUMIF(RawDataDead!$B:$B,$A95,RawDataDead!BH:BH)</f>
        <v>0</v>
      </c>
      <c r="BF95">
        <f>SUMIF(RawDataDead!$B:$B,$A95,RawDataDead!BI:BI)</f>
        <v>0</v>
      </c>
      <c r="BG95">
        <f>SUMIF(RawDataDead!$B:$B,$A95,RawDataDead!BJ:BJ)</f>
        <v>0</v>
      </c>
      <c r="BH95">
        <f>SUMIF(RawDataDead!$B:$B,$A95,RawDataDead!BK:BK)</f>
        <v>0</v>
      </c>
      <c r="BI95">
        <f>SUMIF(RawDataDead!$B:$B,$A95,RawDataDead!BL:BL)</f>
        <v>0</v>
      </c>
      <c r="BJ95">
        <f>SUMIF(RawDataDead!$B:$B,$A95,RawDataDead!BM:BM)</f>
        <v>0</v>
      </c>
      <c r="BK95">
        <f>SUMIF(RawDataDead!$B:$B,$A95,RawDataDead!BN:BN)</f>
        <v>0</v>
      </c>
      <c r="BL95">
        <f>SUMIF(RawDataDead!$B:$B,$A95,RawDataDead!BO:BO)</f>
        <v>0</v>
      </c>
      <c r="BM95">
        <f>SUMIF(RawDataDead!$B:$B,$A95,RawDataDead!BP:BP)</f>
        <v>0</v>
      </c>
      <c r="BN95">
        <f>SUMIF(RawDataDead!$B:$B,$A95,RawDataDead!BQ:BQ)</f>
        <v>0</v>
      </c>
      <c r="BO95">
        <f>SUMIF(RawDataDead!$B:$B,$A95,RawDataDead!BR:BR)</f>
        <v>0</v>
      </c>
      <c r="BP95">
        <f>SUMIF(RawDataDead!$B:$B,$A95,RawDataDead!BS:BS)</f>
        <v>0</v>
      </c>
      <c r="BQ95">
        <f>SUMIF(RawDataDead!$B:$B,$A95,RawDataDead!BT:BT)</f>
        <v>0</v>
      </c>
      <c r="BR95">
        <f>SUMIF(RawDataDead!$B:$B,$A95,RawDataDead!BU:BU)</f>
        <v>0</v>
      </c>
      <c r="BS95">
        <f>SUMIF(RawDataDead!$B:$B,$A95,RawDataDead!BV:BV)</f>
        <v>0</v>
      </c>
      <c r="BT95">
        <f>SUMIF(RawDataDead!$B:$B,$A95,RawDataDead!BW:BW)</f>
        <v>0</v>
      </c>
    </row>
    <row r="96" spans="1:72" ht="15" thickBot="1" x14ac:dyDescent="0.35">
      <c r="A96" s="3" t="s">
        <v>383</v>
      </c>
      <c r="B96">
        <f>SUMIF(RawDataDead!$B:$B,$A96,RawDataDead!E:E)</f>
        <v>0</v>
      </c>
      <c r="C96">
        <f>SUMIF(RawDataDead!$B:$B,$A96,RawDataDead!F:F)</f>
        <v>0</v>
      </c>
      <c r="D96">
        <f>SUMIF(RawDataDead!$B:$B,$A96,RawDataDead!G:G)</f>
        <v>0</v>
      </c>
      <c r="E96">
        <f>SUMIF(RawDataDead!$B:$B,$A96,RawDataDead!H:H)</f>
        <v>0</v>
      </c>
      <c r="F96">
        <f>SUMIF(RawDataDead!$B:$B,$A96,RawDataDead!I:I)</f>
        <v>0</v>
      </c>
      <c r="G96">
        <f>SUMIF(RawDataDead!$B:$B,$A96,RawDataDead!J:J)</f>
        <v>0</v>
      </c>
      <c r="H96">
        <f>SUMIF(RawDataDead!$B:$B,$A96,RawDataDead!K:K)</f>
        <v>0</v>
      </c>
      <c r="I96">
        <f>SUMIF(RawDataDead!$B:$B,$A96,RawDataDead!L:L)</f>
        <v>0</v>
      </c>
      <c r="J96">
        <f>SUMIF(RawDataDead!$B:$B,$A96,RawDataDead!M:M)</f>
        <v>0</v>
      </c>
      <c r="K96">
        <f>SUMIF(RawDataDead!$B:$B,$A96,RawDataDead!N:N)</f>
        <v>0</v>
      </c>
      <c r="L96">
        <f>SUMIF(RawDataDead!$B:$B,$A96,RawDataDead!O:O)</f>
        <v>0</v>
      </c>
      <c r="M96">
        <f>SUMIF(RawDataDead!$B:$B,$A96,RawDataDead!P:P)</f>
        <v>0</v>
      </c>
      <c r="N96">
        <f>SUMIF(RawDataDead!$B:$B,$A96,RawDataDead!Q:Q)</f>
        <v>0</v>
      </c>
      <c r="O96">
        <f>SUMIF(RawDataDead!$B:$B,$A96,RawDataDead!R:R)</f>
        <v>0</v>
      </c>
      <c r="P96">
        <f>SUMIF(RawDataDead!$B:$B,$A96,RawDataDead!S:S)</f>
        <v>0</v>
      </c>
      <c r="Q96">
        <f>SUMIF(RawDataDead!$B:$B,$A96,RawDataDead!T:T)</f>
        <v>0</v>
      </c>
      <c r="R96">
        <f>SUMIF(RawDataDead!$B:$B,$A96,RawDataDead!U:U)</f>
        <v>0</v>
      </c>
      <c r="S96">
        <f>SUMIF(RawDataDead!$B:$B,$A96,RawDataDead!V:V)</f>
        <v>0</v>
      </c>
      <c r="T96">
        <f>SUMIF(RawDataDead!$B:$B,$A96,RawDataDead!W:W)</f>
        <v>0</v>
      </c>
      <c r="U96">
        <f>SUMIF(RawDataDead!$B:$B,$A96,RawDataDead!X:X)</f>
        <v>0</v>
      </c>
      <c r="V96">
        <f>SUMIF(RawDataDead!$B:$B,$A96,RawDataDead!Y:Y)</f>
        <v>0</v>
      </c>
      <c r="W96">
        <f>SUMIF(RawDataDead!$B:$B,$A96,RawDataDead!Z:Z)</f>
        <v>0</v>
      </c>
      <c r="X96">
        <f>SUMIF(RawDataDead!$B:$B,$A96,RawDataDead!AA:AA)</f>
        <v>0</v>
      </c>
      <c r="Y96">
        <f>SUMIF(RawDataDead!$B:$B,$A96,RawDataDead!AB:AB)</f>
        <v>0</v>
      </c>
      <c r="Z96">
        <f>SUMIF(RawDataDead!$B:$B,$A96,RawDataDead!AC:AC)</f>
        <v>0</v>
      </c>
      <c r="AA96">
        <f>SUMIF(RawDataDead!$B:$B,$A96,RawDataDead!AD:AD)</f>
        <v>0</v>
      </c>
      <c r="AB96">
        <f>SUMIF(RawDataDead!$B:$B,$A96,RawDataDead!AE:AE)</f>
        <v>0</v>
      </c>
      <c r="AC96">
        <f>SUMIF(RawDataDead!$B:$B,$A96,RawDataDead!AF:AF)</f>
        <v>0</v>
      </c>
      <c r="AD96">
        <f>SUMIF(RawDataDead!$B:$B,$A96,RawDataDead!AG:AG)</f>
        <v>0</v>
      </c>
      <c r="AE96">
        <f>SUMIF(RawDataDead!$B:$B,$A96,RawDataDead!AH:AH)</f>
        <v>0</v>
      </c>
      <c r="AF96">
        <f>SUMIF(RawDataDead!$B:$B,$A96,RawDataDead!AI:AI)</f>
        <v>0</v>
      </c>
      <c r="AG96">
        <f>SUMIF(RawDataDead!$B:$B,$A96,RawDataDead!AJ:AJ)</f>
        <v>0</v>
      </c>
      <c r="AH96">
        <f>SUMIF(RawDataDead!$B:$B,$A96,RawDataDead!AK:AK)</f>
        <v>0</v>
      </c>
      <c r="AI96">
        <f>SUMIF(RawDataDead!$B:$B,$A96,RawDataDead!AL:AL)</f>
        <v>0</v>
      </c>
      <c r="AJ96">
        <f>SUMIF(RawDataDead!$B:$B,$A96,RawDataDead!AM:AM)</f>
        <v>0</v>
      </c>
      <c r="AK96">
        <f>SUMIF(RawDataDead!$B:$B,$A96,RawDataDead!AN:AN)</f>
        <v>0</v>
      </c>
      <c r="AL96">
        <f>SUMIF(RawDataDead!$B:$B,$A96,RawDataDead!AO:AO)</f>
        <v>0</v>
      </c>
      <c r="AM96">
        <f>SUMIF(RawDataDead!$B:$B,$A96,RawDataDead!AP:AP)</f>
        <v>0</v>
      </c>
      <c r="AN96">
        <f>SUMIF(RawDataDead!$B:$B,$A96,RawDataDead!AQ:AQ)</f>
        <v>0</v>
      </c>
      <c r="AO96">
        <f>SUMIF(RawDataDead!$B:$B,$A96,RawDataDead!AR:AR)</f>
        <v>0</v>
      </c>
      <c r="AP96">
        <f>SUMIF(RawDataDead!$B:$B,$A96,RawDataDead!AS:AS)</f>
        <v>0</v>
      </c>
      <c r="AQ96">
        <f>SUMIF(RawDataDead!$B:$B,$A96,RawDataDead!AT:AT)</f>
        <v>0</v>
      </c>
      <c r="AR96">
        <f>SUMIF(RawDataDead!$B:$B,$A96,RawDataDead!AU:AU)</f>
        <v>0</v>
      </c>
      <c r="AS96">
        <f>SUMIF(RawDataDead!$B:$B,$A96,RawDataDead!AV:AV)</f>
        <v>0</v>
      </c>
      <c r="AT96">
        <f>SUMIF(RawDataDead!$B:$B,$A96,RawDataDead!AW:AW)</f>
        <v>0</v>
      </c>
      <c r="AU96">
        <f>SUMIF(RawDataDead!$B:$B,$A96,RawDataDead!AX:AX)</f>
        <v>0</v>
      </c>
      <c r="AV96">
        <f>SUMIF(RawDataDead!$B:$B,$A96,RawDataDead!AY:AY)</f>
        <v>0</v>
      </c>
      <c r="AW96">
        <f>SUMIF(RawDataDead!$B:$B,$A96,RawDataDead!AZ:AZ)</f>
        <v>0</v>
      </c>
      <c r="AX96">
        <f>SUMIF(RawDataDead!$B:$B,$A96,RawDataDead!BA:BA)</f>
        <v>0</v>
      </c>
      <c r="AY96">
        <f>SUMIF(RawDataDead!$B:$B,$A96,RawDataDead!BB:BB)</f>
        <v>0</v>
      </c>
      <c r="AZ96">
        <f>SUMIF(RawDataDead!$B:$B,$A96,RawDataDead!BC:BC)</f>
        <v>0</v>
      </c>
      <c r="BA96">
        <f>SUMIF(RawDataDead!$B:$B,$A96,RawDataDead!BD:BD)</f>
        <v>0</v>
      </c>
      <c r="BB96">
        <f>SUMIF(RawDataDead!$B:$B,$A96,RawDataDead!BE:BE)</f>
        <v>0</v>
      </c>
      <c r="BC96">
        <f>SUMIF(RawDataDead!$B:$B,$A96,RawDataDead!BF:BF)</f>
        <v>0</v>
      </c>
      <c r="BD96">
        <f>SUMIF(RawDataDead!$B:$B,$A96,RawDataDead!BG:BG)</f>
        <v>0</v>
      </c>
      <c r="BE96">
        <f>SUMIF(RawDataDead!$B:$B,$A96,RawDataDead!BH:BH)</f>
        <v>1</v>
      </c>
      <c r="BF96">
        <f>SUMIF(RawDataDead!$B:$B,$A96,RawDataDead!BI:BI)</f>
        <v>0</v>
      </c>
      <c r="BG96">
        <f>SUMIF(RawDataDead!$B:$B,$A96,RawDataDead!BJ:BJ)</f>
        <v>0</v>
      </c>
      <c r="BH96">
        <f>SUMIF(RawDataDead!$B:$B,$A96,RawDataDead!BK:BK)</f>
        <v>0</v>
      </c>
      <c r="BI96">
        <f>SUMIF(RawDataDead!$B:$B,$A96,RawDataDead!BL:BL)</f>
        <v>0</v>
      </c>
      <c r="BJ96">
        <f>SUMIF(RawDataDead!$B:$B,$A96,RawDataDead!BM:BM)</f>
        <v>0</v>
      </c>
      <c r="BK96">
        <f>SUMIF(RawDataDead!$B:$B,$A96,RawDataDead!BN:BN)</f>
        <v>0</v>
      </c>
      <c r="BL96">
        <f>SUMIF(RawDataDead!$B:$B,$A96,RawDataDead!BO:BO)</f>
        <v>0</v>
      </c>
      <c r="BM96">
        <f>SUMIF(RawDataDead!$B:$B,$A96,RawDataDead!BP:BP)</f>
        <v>0</v>
      </c>
      <c r="BN96">
        <f>SUMIF(RawDataDead!$B:$B,$A96,RawDataDead!BQ:BQ)</f>
        <v>0</v>
      </c>
      <c r="BO96">
        <f>SUMIF(RawDataDead!$B:$B,$A96,RawDataDead!BR:BR)</f>
        <v>0</v>
      </c>
      <c r="BP96">
        <f>SUMIF(RawDataDead!$B:$B,$A96,RawDataDead!BS:BS)</f>
        <v>0</v>
      </c>
      <c r="BQ96">
        <f>SUMIF(RawDataDead!$B:$B,$A96,RawDataDead!BT:BT)</f>
        <v>0</v>
      </c>
      <c r="BR96">
        <f>SUMIF(RawDataDead!$B:$B,$A96,RawDataDead!BU:BU)</f>
        <v>0</v>
      </c>
      <c r="BS96">
        <f>SUMIF(RawDataDead!$B:$B,$A96,RawDataDead!BV:BV)</f>
        <v>0</v>
      </c>
      <c r="BT96">
        <f>SUMIF(RawDataDead!$B:$B,$A96,RawDataDead!BW:BW)</f>
        <v>0</v>
      </c>
    </row>
    <row r="97" spans="1:72" ht="15" thickBot="1" x14ac:dyDescent="0.35">
      <c r="A97" s="4" t="s">
        <v>438</v>
      </c>
      <c r="B97">
        <f>SUMIF(RawDataDead!$B:$B,$A97,RawDataDead!E:E)</f>
        <v>0</v>
      </c>
      <c r="C97">
        <f>SUMIF(RawDataDead!$B:$B,$A97,RawDataDead!F:F)</f>
        <v>0</v>
      </c>
      <c r="D97">
        <f>SUMIF(RawDataDead!$B:$B,$A97,RawDataDead!G:G)</f>
        <v>0</v>
      </c>
      <c r="E97">
        <f>SUMIF(RawDataDead!$B:$B,$A97,RawDataDead!H:H)</f>
        <v>0</v>
      </c>
      <c r="F97">
        <f>SUMIF(RawDataDead!$B:$B,$A97,RawDataDead!I:I)</f>
        <v>0</v>
      </c>
      <c r="G97">
        <f>SUMIF(RawDataDead!$B:$B,$A97,RawDataDead!J:J)</f>
        <v>0</v>
      </c>
      <c r="H97">
        <f>SUMIF(RawDataDead!$B:$B,$A97,RawDataDead!K:K)</f>
        <v>0</v>
      </c>
      <c r="I97">
        <f>SUMIF(RawDataDead!$B:$B,$A97,RawDataDead!L:L)</f>
        <v>0</v>
      </c>
      <c r="J97">
        <f>SUMIF(RawDataDead!$B:$B,$A97,RawDataDead!M:M)</f>
        <v>0</v>
      </c>
      <c r="K97">
        <f>SUMIF(RawDataDead!$B:$B,$A97,RawDataDead!N:N)</f>
        <v>0</v>
      </c>
      <c r="L97">
        <f>SUMIF(RawDataDead!$B:$B,$A97,RawDataDead!O:O)</f>
        <v>0</v>
      </c>
      <c r="M97">
        <f>SUMIF(RawDataDead!$B:$B,$A97,RawDataDead!P:P)</f>
        <v>0</v>
      </c>
      <c r="N97">
        <f>SUMIF(RawDataDead!$B:$B,$A97,RawDataDead!Q:Q)</f>
        <v>0</v>
      </c>
      <c r="O97">
        <f>SUMIF(RawDataDead!$B:$B,$A97,RawDataDead!R:R)</f>
        <v>0</v>
      </c>
      <c r="P97">
        <f>SUMIF(RawDataDead!$B:$B,$A97,RawDataDead!S:S)</f>
        <v>0</v>
      </c>
      <c r="Q97">
        <f>SUMIF(RawDataDead!$B:$B,$A97,RawDataDead!T:T)</f>
        <v>0</v>
      </c>
      <c r="R97">
        <f>SUMIF(RawDataDead!$B:$B,$A97,RawDataDead!U:U)</f>
        <v>0</v>
      </c>
      <c r="S97">
        <f>SUMIF(RawDataDead!$B:$B,$A97,RawDataDead!V:V)</f>
        <v>0</v>
      </c>
      <c r="T97">
        <f>SUMIF(RawDataDead!$B:$B,$A97,RawDataDead!W:W)</f>
        <v>0</v>
      </c>
      <c r="U97">
        <f>SUMIF(RawDataDead!$B:$B,$A97,RawDataDead!X:X)</f>
        <v>0</v>
      </c>
      <c r="V97">
        <f>SUMIF(RawDataDead!$B:$B,$A97,RawDataDead!Y:Y)</f>
        <v>0</v>
      </c>
      <c r="W97">
        <f>SUMIF(RawDataDead!$B:$B,$A97,RawDataDead!Z:Z)</f>
        <v>0</v>
      </c>
      <c r="X97">
        <f>SUMIF(RawDataDead!$B:$B,$A97,RawDataDead!AA:AA)</f>
        <v>0</v>
      </c>
      <c r="Y97">
        <f>SUMIF(RawDataDead!$B:$B,$A97,RawDataDead!AB:AB)</f>
        <v>0</v>
      </c>
      <c r="Z97">
        <f>SUMIF(RawDataDead!$B:$B,$A97,RawDataDead!AC:AC)</f>
        <v>0</v>
      </c>
      <c r="AA97">
        <f>SUMIF(RawDataDead!$B:$B,$A97,RawDataDead!AD:AD)</f>
        <v>0</v>
      </c>
      <c r="AB97">
        <f>SUMIF(RawDataDead!$B:$B,$A97,RawDataDead!AE:AE)</f>
        <v>0</v>
      </c>
      <c r="AC97">
        <f>SUMIF(RawDataDead!$B:$B,$A97,RawDataDead!AF:AF)</f>
        <v>0</v>
      </c>
      <c r="AD97">
        <f>SUMIF(RawDataDead!$B:$B,$A97,RawDataDead!AG:AG)</f>
        <v>0</v>
      </c>
      <c r="AE97">
        <f>SUMIF(RawDataDead!$B:$B,$A97,RawDataDead!AH:AH)</f>
        <v>0</v>
      </c>
      <c r="AF97">
        <f>SUMIF(RawDataDead!$B:$B,$A97,RawDataDead!AI:AI)</f>
        <v>0</v>
      </c>
      <c r="AG97">
        <f>SUMIF(RawDataDead!$B:$B,$A97,RawDataDead!AJ:AJ)</f>
        <v>0</v>
      </c>
      <c r="AH97">
        <f>SUMIF(RawDataDead!$B:$B,$A97,RawDataDead!AK:AK)</f>
        <v>0</v>
      </c>
      <c r="AI97">
        <f>SUMIF(RawDataDead!$B:$B,$A97,RawDataDead!AL:AL)</f>
        <v>0</v>
      </c>
      <c r="AJ97">
        <f>SUMIF(RawDataDead!$B:$B,$A97,RawDataDead!AM:AM)</f>
        <v>0</v>
      </c>
      <c r="AK97">
        <f>SUMIF(RawDataDead!$B:$B,$A97,RawDataDead!AN:AN)</f>
        <v>0</v>
      </c>
      <c r="AL97">
        <f>SUMIF(RawDataDead!$B:$B,$A97,RawDataDead!AO:AO)</f>
        <v>0</v>
      </c>
      <c r="AM97">
        <f>SUMIF(RawDataDead!$B:$B,$A97,RawDataDead!AP:AP)</f>
        <v>0</v>
      </c>
      <c r="AN97">
        <f>SUMIF(RawDataDead!$B:$B,$A97,RawDataDead!AQ:AQ)</f>
        <v>0</v>
      </c>
      <c r="AO97">
        <f>SUMIF(RawDataDead!$B:$B,$A97,RawDataDead!AR:AR)</f>
        <v>0</v>
      </c>
      <c r="AP97">
        <f>SUMIF(RawDataDead!$B:$B,$A97,RawDataDead!AS:AS)</f>
        <v>0</v>
      </c>
      <c r="AQ97">
        <f>SUMIF(RawDataDead!$B:$B,$A97,RawDataDead!AT:AT)</f>
        <v>0</v>
      </c>
      <c r="AR97">
        <f>SUMIF(RawDataDead!$B:$B,$A97,RawDataDead!AU:AU)</f>
        <v>0</v>
      </c>
      <c r="AS97">
        <f>SUMIF(RawDataDead!$B:$B,$A97,RawDataDead!AV:AV)</f>
        <v>0</v>
      </c>
      <c r="AT97">
        <f>SUMIF(RawDataDead!$B:$B,$A97,RawDataDead!AW:AW)</f>
        <v>0</v>
      </c>
      <c r="AU97">
        <f>SUMIF(RawDataDead!$B:$B,$A97,RawDataDead!AX:AX)</f>
        <v>0</v>
      </c>
      <c r="AV97">
        <f>SUMIF(RawDataDead!$B:$B,$A97,RawDataDead!AY:AY)</f>
        <v>0</v>
      </c>
      <c r="AW97">
        <f>SUMIF(RawDataDead!$B:$B,$A97,RawDataDead!AZ:AZ)</f>
        <v>0</v>
      </c>
      <c r="AX97">
        <f>SUMIF(RawDataDead!$B:$B,$A97,RawDataDead!BA:BA)</f>
        <v>0</v>
      </c>
      <c r="AY97">
        <f>SUMIF(RawDataDead!$B:$B,$A97,RawDataDead!BB:BB)</f>
        <v>0</v>
      </c>
      <c r="AZ97">
        <f>SUMIF(RawDataDead!$B:$B,$A97,RawDataDead!BC:BC)</f>
        <v>0</v>
      </c>
      <c r="BA97">
        <f>SUMIF(RawDataDead!$B:$B,$A97,RawDataDead!BD:BD)</f>
        <v>0</v>
      </c>
      <c r="BB97">
        <f>SUMIF(RawDataDead!$B:$B,$A97,RawDataDead!BE:BE)</f>
        <v>0</v>
      </c>
      <c r="BC97">
        <f>SUMIF(RawDataDead!$B:$B,$A97,RawDataDead!BF:BF)</f>
        <v>0</v>
      </c>
      <c r="BD97">
        <f>SUMIF(RawDataDead!$B:$B,$A97,RawDataDead!BG:BG)</f>
        <v>0</v>
      </c>
      <c r="BE97">
        <f>SUMIF(RawDataDead!$B:$B,$A97,RawDataDead!BH:BH)</f>
        <v>0</v>
      </c>
      <c r="BF97">
        <f>SUMIF(RawDataDead!$B:$B,$A97,RawDataDead!BI:BI)</f>
        <v>0</v>
      </c>
      <c r="BG97">
        <f>SUMIF(RawDataDead!$B:$B,$A97,RawDataDead!BJ:BJ)</f>
        <v>0</v>
      </c>
      <c r="BH97">
        <f>SUMIF(RawDataDead!$B:$B,$A97,RawDataDead!BK:BK)</f>
        <v>0</v>
      </c>
      <c r="BI97">
        <f>SUMIF(RawDataDead!$B:$B,$A97,RawDataDead!BL:BL)</f>
        <v>0</v>
      </c>
      <c r="BJ97">
        <f>SUMIF(RawDataDead!$B:$B,$A97,RawDataDead!BM:BM)</f>
        <v>0</v>
      </c>
      <c r="BK97">
        <f>SUMIF(RawDataDead!$B:$B,$A97,RawDataDead!BN:BN)</f>
        <v>0</v>
      </c>
      <c r="BL97">
        <f>SUMIF(RawDataDead!$B:$B,$A97,RawDataDead!BO:BO)</f>
        <v>0</v>
      </c>
      <c r="BM97">
        <f>SUMIF(RawDataDead!$B:$B,$A97,RawDataDead!BP:BP)</f>
        <v>0</v>
      </c>
      <c r="BN97">
        <f>SUMIF(RawDataDead!$B:$B,$A97,RawDataDead!BQ:BQ)</f>
        <v>0</v>
      </c>
      <c r="BO97">
        <f>SUMIF(RawDataDead!$B:$B,$A97,RawDataDead!BR:BR)</f>
        <v>0</v>
      </c>
      <c r="BP97">
        <f>SUMIF(RawDataDead!$B:$B,$A97,RawDataDead!BS:BS)</f>
        <v>0</v>
      </c>
      <c r="BQ97">
        <f>SUMIF(RawDataDead!$B:$B,$A97,RawDataDead!BT:BT)</f>
        <v>0</v>
      </c>
      <c r="BR97">
        <f>SUMIF(RawDataDead!$B:$B,$A97,RawDataDead!BU:BU)</f>
        <v>0</v>
      </c>
      <c r="BS97">
        <f>SUMIF(RawDataDead!$B:$B,$A97,RawDataDead!BV:BV)</f>
        <v>0</v>
      </c>
      <c r="BT97">
        <f>SUMIF(RawDataDead!$B:$B,$A97,RawDataDead!BW:BW)</f>
        <v>0</v>
      </c>
    </row>
    <row r="98" spans="1:72" ht="15" thickBot="1" x14ac:dyDescent="0.35">
      <c r="A98" s="4" t="s">
        <v>441</v>
      </c>
      <c r="B98">
        <f>SUMIF(RawDataDead!$B:$B,$A98,RawDataDead!E:E)</f>
        <v>0</v>
      </c>
      <c r="C98">
        <f>SUMIF(RawDataDead!$B:$B,$A98,RawDataDead!F:F)</f>
        <v>0</v>
      </c>
      <c r="D98">
        <f>SUMIF(RawDataDead!$B:$B,$A98,RawDataDead!G:G)</f>
        <v>0</v>
      </c>
      <c r="E98">
        <f>SUMIF(RawDataDead!$B:$B,$A98,RawDataDead!H:H)</f>
        <v>0</v>
      </c>
      <c r="F98">
        <f>SUMIF(RawDataDead!$B:$B,$A98,RawDataDead!I:I)</f>
        <v>0</v>
      </c>
      <c r="G98">
        <f>SUMIF(RawDataDead!$B:$B,$A98,RawDataDead!J:J)</f>
        <v>0</v>
      </c>
      <c r="H98">
        <f>SUMIF(RawDataDead!$B:$B,$A98,RawDataDead!K:K)</f>
        <v>0</v>
      </c>
      <c r="I98">
        <f>SUMIF(RawDataDead!$B:$B,$A98,RawDataDead!L:L)</f>
        <v>0</v>
      </c>
      <c r="J98">
        <f>SUMIF(RawDataDead!$B:$B,$A98,RawDataDead!M:M)</f>
        <v>0</v>
      </c>
      <c r="K98">
        <f>SUMIF(RawDataDead!$B:$B,$A98,RawDataDead!N:N)</f>
        <v>0</v>
      </c>
      <c r="L98">
        <f>SUMIF(RawDataDead!$B:$B,$A98,RawDataDead!O:O)</f>
        <v>0</v>
      </c>
      <c r="M98">
        <f>SUMIF(RawDataDead!$B:$B,$A98,RawDataDead!P:P)</f>
        <v>0</v>
      </c>
      <c r="N98">
        <f>SUMIF(RawDataDead!$B:$B,$A98,RawDataDead!Q:Q)</f>
        <v>0</v>
      </c>
      <c r="O98">
        <f>SUMIF(RawDataDead!$B:$B,$A98,RawDataDead!R:R)</f>
        <v>0</v>
      </c>
      <c r="P98">
        <f>SUMIF(RawDataDead!$B:$B,$A98,RawDataDead!S:S)</f>
        <v>0</v>
      </c>
      <c r="Q98">
        <f>SUMIF(RawDataDead!$B:$B,$A98,RawDataDead!T:T)</f>
        <v>0</v>
      </c>
      <c r="R98">
        <f>SUMIF(RawDataDead!$B:$B,$A98,RawDataDead!U:U)</f>
        <v>0</v>
      </c>
      <c r="S98">
        <f>SUMIF(RawDataDead!$B:$B,$A98,RawDataDead!V:V)</f>
        <v>0</v>
      </c>
      <c r="T98">
        <f>SUMIF(RawDataDead!$B:$B,$A98,RawDataDead!W:W)</f>
        <v>0</v>
      </c>
      <c r="U98">
        <f>SUMIF(RawDataDead!$B:$B,$A98,RawDataDead!X:X)</f>
        <v>0</v>
      </c>
      <c r="V98">
        <f>SUMIF(RawDataDead!$B:$B,$A98,RawDataDead!Y:Y)</f>
        <v>0</v>
      </c>
      <c r="W98">
        <f>SUMIF(RawDataDead!$B:$B,$A98,RawDataDead!Z:Z)</f>
        <v>0</v>
      </c>
      <c r="X98">
        <f>SUMIF(RawDataDead!$B:$B,$A98,RawDataDead!AA:AA)</f>
        <v>0</v>
      </c>
      <c r="Y98">
        <f>SUMIF(RawDataDead!$B:$B,$A98,RawDataDead!AB:AB)</f>
        <v>0</v>
      </c>
      <c r="Z98">
        <f>SUMIF(RawDataDead!$B:$B,$A98,RawDataDead!AC:AC)</f>
        <v>0</v>
      </c>
      <c r="AA98">
        <f>SUMIF(RawDataDead!$B:$B,$A98,RawDataDead!AD:AD)</f>
        <v>0</v>
      </c>
      <c r="AB98">
        <f>SUMIF(RawDataDead!$B:$B,$A98,RawDataDead!AE:AE)</f>
        <v>0</v>
      </c>
      <c r="AC98">
        <f>SUMIF(RawDataDead!$B:$B,$A98,RawDataDead!AF:AF)</f>
        <v>0</v>
      </c>
      <c r="AD98">
        <f>SUMIF(RawDataDead!$B:$B,$A98,RawDataDead!AG:AG)</f>
        <v>0</v>
      </c>
      <c r="AE98">
        <f>SUMIF(RawDataDead!$B:$B,$A98,RawDataDead!AH:AH)</f>
        <v>0</v>
      </c>
      <c r="AF98">
        <f>SUMIF(RawDataDead!$B:$B,$A98,RawDataDead!AI:AI)</f>
        <v>0</v>
      </c>
      <c r="AG98">
        <f>SUMIF(RawDataDead!$B:$B,$A98,RawDataDead!AJ:AJ)</f>
        <v>0</v>
      </c>
      <c r="AH98">
        <f>SUMIF(RawDataDead!$B:$B,$A98,RawDataDead!AK:AK)</f>
        <v>0</v>
      </c>
      <c r="AI98">
        <f>SUMIF(RawDataDead!$B:$B,$A98,RawDataDead!AL:AL)</f>
        <v>0</v>
      </c>
      <c r="AJ98">
        <f>SUMIF(RawDataDead!$B:$B,$A98,RawDataDead!AM:AM)</f>
        <v>0</v>
      </c>
      <c r="AK98">
        <f>SUMIF(RawDataDead!$B:$B,$A98,RawDataDead!AN:AN)</f>
        <v>0</v>
      </c>
      <c r="AL98">
        <f>SUMIF(RawDataDead!$B:$B,$A98,RawDataDead!AO:AO)</f>
        <v>0</v>
      </c>
      <c r="AM98">
        <f>SUMIF(RawDataDead!$B:$B,$A98,RawDataDead!AP:AP)</f>
        <v>0</v>
      </c>
      <c r="AN98">
        <f>SUMIF(RawDataDead!$B:$B,$A98,RawDataDead!AQ:AQ)</f>
        <v>0</v>
      </c>
      <c r="AO98">
        <f>SUMIF(RawDataDead!$B:$B,$A98,RawDataDead!AR:AR)</f>
        <v>0</v>
      </c>
      <c r="AP98">
        <f>SUMIF(RawDataDead!$B:$B,$A98,RawDataDead!AS:AS)</f>
        <v>0</v>
      </c>
      <c r="AQ98">
        <f>SUMIF(RawDataDead!$B:$B,$A98,RawDataDead!AT:AT)</f>
        <v>0</v>
      </c>
      <c r="AR98">
        <f>SUMIF(RawDataDead!$B:$B,$A98,RawDataDead!AU:AU)</f>
        <v>0</v>
      </c>
      <c r="AS98">
        <f>SUMIF(RawDataDead!$B:$B,$A98,RawDataDead!AV:AV)</f>
        <v>0</v>
      </c>
      <c r="AT98">
        <f>SUMIF(RawDataDead!$B:$B,$A98,RawDataDead!AW:AW)</f>
        <v>0</v>
      </c>
      <c r="AU98">
        <f>SUMIF(RawDataDead!$B:$B,$A98,RawDataDead!AX:AX)</f>
        <v>0</v>
      </c>
      <c r="AV98">
        <f>SUMIF(RawDataDead!$B:$B,$A98,RawDataDead!AY:AY)</f>
        <v>0</v>
      </c>
      <c r="AW98">
        <f>SUMIF(RawDataDead!$B:$B,$A98,RawDataDead!AZ:AZ)</f>
        <v>0</v>
      </c>
      <c r="AX98">
        <f>SUMIF(RawDataDead!$B:$B,$A98,RawDataDead!BA:BA)</f>
        <v>0</v>
      </c>
      <c r="AY98">
        <f>SUMIF(RawDataDead!$B:$B,$A98,RawDataDead!BB:BB)</f>
        <v>0</v>
      </c>
      <c r="AZ98">
        <f>SUMIF(RawDataDead!$B:$B,$A98,RawDataDead!BC:BC)</f>
        <v>0</v>
      </c>
      <c r="BA98">
        <f>SUMIF(RawDataDead!$B:$B,$A98,RawDataDead!BD:BD)</f>
        <v>0</v>
      </c>
      <c r="BB98">
        <f>SUMIF(RawDataDead!$B:$B,$A98,RawDataDead!BE:BE)</f>
        <v>0</v>
      </c>
      <c r="BC98">
        <f>SUMIF(RawDataDead!$B:$B,$A98,RawDataDead!BF:BF)</f>
        <v>0</v>
      </c>
      <c r="BD98">
        <f>SUMIF(RawDataDead!$B:$B,$A98,RawDataDead!BG:BG)</f>
        <v>0</v>
      </c>
      <c r="BE98">
        <f>SUMIF(RawDataDead!$B:$B,$A98,RawDataDead!BH:BH)</f>
        <v>0</v>
      </c>
      <c r="BF98">
        <f>SUMIF(RawDataDead!$B:$B,$A98,RawDataDead!BI:BI)</f>
        <v>0</v>
      </c>
      <c r="BG98">
        <f>SUMIF(RawDataDead!$B:$B,$A98,RawDataDead!BJ:BJ)</f>
        <v>0</v>
      </c>
      <c r="BH98">
        <f>SUMIF(RawDataDead!$B:$B,$A98,RawDataDead!BK:BK)</f>
        <v>0</v>
      </c>
      <c r="BI98">
        <f>SUMIF(RawDataDead!$B:$B,$A98,RawDataDead!BL:BL)</f>
        <v>0</v>
      </c>
      <c r="BJ98">
        <f>SUMIF(RawDataDead!$B:$B,$A98,RawDataDead!BM:BM)</f>
        <v>0</v>
      </c>
      <c r="BK98">
        <f>SUMIF(RawDataDead!$B:$B,$A98,RawDataDead!BN:BN)</f>
        <v>0</v>
      </c>
      <c r="BL98">
        <f>SUMIF(RawDataDead!$B:$B,$A98,RawDataDead!BO:BO)</f>
        <v>0</v>
      </c>
      <c r="BM98">
        <f>SUMIF(RawDataDead!$B:$B,$A98,RawDataDead!BP:BP)</f>
        <v>0</v>
      </c>
      <c r="BN98">
        <f>SUMIF(RawDataDead!$B:$B,$A98,RawDataDead!BQ:BQ)</f>
        <v>0</v>
      </c>
      <c r="BO98">
        <f>SUMIF(RawDataDead!$B:$B,$A98,RawDataDead!BR:BR)</f>
        <v>0</v>
      </c>
      <c r="BP98">
        <f>SUMIF(RawDataDead!$B:$B,$A98,RawDataDead!BS:BS)</f>
        <v>0</v>
      </c>
      <c r="BQ98">
        <f>SUMIF(RawDataDead!$B:$B,$A98,RawDataDead!BT:BT)</f>
        <v>0</v>
      </c>
      <c r="BR98">
        <f>SUMIF(RawDataDead!$B:$B,$A98,RawDataDead!BU:BU)</f>
        <v>0</v>
      </c>
      <c r="BS98">
        <f>SUMIF(RawDataDead!$B:$B,$A98,RawDataDead!BV:BV)</f>
        <v>0</v>
      </c>
      <c r="BT98">
        <f>SUMIF(RawDataDead!$B:$B,$A98,RawDataDead!BW:BW)</f>
        <v>0</v>
      </c>
    </row>
    <row r="99" spans="1:72" ht="15" thickBot="1" x14ac:dyDescent="0.35">
      <c r="A99" s="3" t="s">
        <v>229</v>
      </c>
      <c r="B99">
        <f>SUMIF(RawDataDead!$B:$B,$A99,RawDataDead!E:E)</f>
        <v>0</v>
      </c>
      <c r="C99">
        <f>SUMIF(RawDataDead!$B:$B,$A99,RawDataDead!F:F)</f>
        <v>0</v>
      </c>
      <c r="D99">
        <f>SUMIF(RawDataDead!$B:$B,$A99,RawDataDead!G:G)</f>
        <v>0</v>
      </c>
      <c r="E99">
        <f>SUMIF(RawDataDead!$B:$B,$A99,RawDataDead!H:H)</f>
        <v>0</v>
      </c>
      <c r="F99">
        <f>SUMIF(RawDataDead!$B:$B,$A99,RawDataDead!I:I)</f>
        <v>0</v>
      </c>
      <c r="G99">
        <f>SUMIF(RawDataDead!$B:$B,$A99,RawDataDead!J:J)</f>
        <v>0</v>
      </c>
      <c r="H99">
        <f>SUMIF(RawDataDead!$B:$B,$A99,RawDataDead!K:K)</f>
        <v>0</v>
      </c>
      <c r="I99">
        <f>SUMIF(RawDataDead!$B:$B,$A99,RawDataDead!L:L)</f>
        <v>0</v>
      </c>
      <c r="J99">
        <f>SUMIF(RawDataDead!$B:$B,$A99,RawDataDead!M:M)</f>
        <v>0</v>
      </c>
      <c r="K99">
        <f>SUMIF(RawDataDead!$B:$B,$A99,RawDataDead!N:N)</f>
        <v>0</v>
      </c>
      <c r="L99">
        <f>SUMIF(RawDataDead!$B:$B,$A99,RawDataDead!O:O)</f>
        <v>0</v>
      </c>
      <c r="M99">
        <f>SUMIF(RawDataDead!$B:$B,$A99,RawDataDead!P:P)</f>
        <v>0</v>
      </c>
      <c r="N99">
        <f>SUMIF(RawDataDead!$B:$B,$A99,RawDataDead!Q:Q)</f>
        <v>0</v>
      </c>
      <c r="O99">
        <f>SUMIF(RawDataDead!$B:$B,$A99,RawDataDead!R:R)</f>
        <v>0</v>
      </c>
      <c r="P99">
        <f>SUMIF(RawDataDead!$B:$B,$A99,RawDataDead!S:S)</f>
        <v>0</v>
      </c>
      <c r="Q99">
        <f>SUMIF(RawDataDead!$B:$B,$A99,RawDataDead!T:T)</f>
        <v>0</v>
      </c>
      <c r="R99">
        <f>SUMIF(RawDataDead!$B:$B,$A99,RawDataDead!U:U)</f>
        <v>0</v>
      </c>
      <c r="S99">
        <f>SUMIF(RawDataDead!$B:$B,$A99,RawDataDead!V:V)</f>
        <v>0</v>
      </c>
      <c r="T99">
        <f>SUMIF(RawDataDead!$B:$B,$A99,RawDataDead!W:W)</f>
        <v>0</v>
      </c>
      <c r="U99">
        <f>SUMIF(RawDataDead!$B:$B,$A99,RawDataDead!X:X)</f>
        <v>0</v>
      </c>
      <c r="V99">
        <f>SUMIF(RawDataDead!$B:$B,$A99,RawDataDead!Y:Y)</f>
        <v>0</v>
      </c>
      <c r="W99">
        <f>SUMIF(RawDataDead!$B:$B,$A99,RawDataDead!Z:Z)</f>
        <v>0</v>
      </c>
      <c r="X99">
        <f>SUMIF(RawDataDead!$B:$B,$A99,RawDataDead!AA:AA)</f>
        <v>0</v>
      </c>
      <c r="Y99">
        <f>SUMIF(RawDataDead!$B:$B,$A99,RawDataDead!AB:AB)</f>
        <v>0</v>
      </c>
      <c r="Z99">
        <f>SUMIF(RawDataDead!$B:$B,$A99,RawDataDead!AC:AC)</f>
        <v>0</v>
      </c>
      <c r="AA99">
        <f>SUMIF(RawDataDead!$B:$B,$A99,RawDataDead!AD:AD)</f>
        <v>0</v>
      </c>
      <c r="AB99">
        <f>SUMIF(RawDataDead!$B:$B,$A99,RawDataDead!AE:AE)</f>
        <v>0</v>
      </c>
      <c r="AC99">
        <f>SUMIF(RawDataDead!$B:$B,$A99,RawDataDead!AF:AF)</f>
        <v>0</v>
      </c>
      <c r="AD99">
        <f>SUMIF(RawDataDead!$B:$B,$A99,RawDataDead!AG:AG)</f>
        <v>0</v>
      </c>
      <c r="AE99">
        <f>SUMIF(RawDataDead!$B:$B,$A99,RawDataDead!AH:AH)</f>
        <v>0</v>
      </c>
      <c r="AF99">
        <f>SUMIF(RawDataDead!$B:$B,$A99,RawDataDead!AI:AI)</f>
        <v>0</v>
      </c>
      <c r="AG99">
        <f>SUMIF(RawDataDead!$B:$B,$A99,RawDataDead!AJ:AJ)</f>
        <v>0</v>
      </c>
      <c r="AH99">
        <f>SUMIF(RawDataDead!$B:$B,$A99,RawDataDead!AK:AK)</f>
        <v>0</v>
      </c>
      <c r="AI99">
        <f>SUMIF(RawDataDead!$B:$B,$A99,RawDataDead!AL:AL)</f>
        <v>0</v>
      </c>
      <c r="AJ99">
        <f>SUMIF(RawDataDead!$B:$B,$A99,RawDataDead!AM:AM)</f>
        <v>0</v>
      </c>
      <c r="AK99">
        <f>SUMIF(RawDataDead!$B:$B,$A99,RawDataDead!AN:AN)</f>
        <v>0</v>
      </c>
      <c r="AL99">
        <f>SUMIF(RawDataDead!$B:$B,$A99,RawDataDead!AO:AO)</f>
        <v>0</v>
      </c>
      <c r="AM99">
        <f>SUMIF(RawDataDead!$B:$B,$A99,RawDataDead!AP:AP)</f>
        <v>0</v>
      </c>
      <c r="AN99">
        <f>SUMIF(RawDataDead!$B:$B,$A99,RawDataDead!AQ:AQ)</f>
        <v>0</v>
      </c>
      <c r="AO99">
        <f>SUMIF(RawDataDead!$B:$B,$A99,RawDataDead!AR:AR)</f>
        <v>0</v>
      </c>
      <c r="AP99">
        <f>SUMIF(RawDataDead!$B:$B,$A99,RawDataDead!AS:AS)</f>
        <v>0</v>
      </c>
      <c r="AQ99">
        <f>SUMIF(RawDataDead!$B:$B,$A99,RawDataDead!AT:AT)</f>
        <v>0</v>
      </c>
      <c r="AR99">
        <f>SUMIF(RawDataDead!$B:$B,$A99,RawDataDead!AU:AU)</f>
        <v>0</v>
      </c>
      <c r="AS99">
        <f>SUMIF(RawDataDead!$B:$B,$A99,RawDataDead!AV:AV)</f>
        <v>0</v>
      </c>
      <c r="AT99">
        <f>SUMIF(RawDataDead!$B:$B,$A99,RawDataDead!AW:AW)</f>
        <v>0</v>
      </c>
      <c r="AU99">
        <f>SUMIF(RawDataDead!$B:$B,$A99,RawDataDead!AX:AX)</f>
        <v>0</v>
      </c>
      <c r="AV99">
        <f>SUMIF(RawDataDead!$B:$B,$A99,RawDataDead!AY:AY)</f>
        <v>0</v>
      </c>
      <c r="AW99">
        <f>SUMIF(RawDataDead!$B:$B,$A99,RawDataDead!AZ:AZ)</f>
        <v>0</v>
      </c>
      <c r="AX99">
        <f>SUMIF(RawDataDead!$B:$B,$A99,RawDataDead!BA:BA)</f>
        <v>0</v>
      </c>
      <c r="AY99">
        <f>SUMIF(RawDataDead!$B:$B,$A99,RawDataDead!BB:BB)</f>
        <v>0</v>
      </c>
      <c r="AZ99">
        <f>SUMIF(RawDataDead!$B:$B,$A99,RawDataDead!BC:BC)</f>
        <v>0</v>
      </c>
      <c r="BA99">
        <f>SUMIF(RawDataDead!$B:$B,$A99,RawDataDead!BD:BD)</f>
        <v>0</v>
      </c>
      <c r="BB99">
        <f>SUMIF(RawDataDead!$B:$B,$A99,RawDataDead!BE:BE)</f>
        <v>0</v>
      </c>
      <c r="BC99">
        <f>SUMIF(RawDataDead!$B:$B,$A99,RawDataDead!BF:BF)</f>
        <v>0</v>
      </c>
      <c r="BD99">
        <f>SUMIF(RawDataDead!$B:$B,$A99,RawDataDead!BG:BG)</f>
        <v>0</v>
      </c>
      <c r="BE99">
        <f>SUMIF(RawDataDead!$B:$B,$A99,RawDataDead!BH:BH)</f>
        <v>0</v>
      </c>
      <c r="BF99">
        <f>SUMIF(RawDataDead!$B:$B,$A99,RawDataDead!BI:BI)</f>
        <v>0</v>
      </c>
      <c r="BG99">
        <f>SUMIF(RawDataDead!$B:$B,$A99,RawDataDead!BJ:BJ)</f>
        <v>0</v>
      </c>
      <c r="BH99">
        <f>SUMIF(RawDataDead!$B:$B,$A99,RawDataDead!BK:BK)</f>
        <v>0</v>
      </c>
      <c r="BI99">
        <f>SUMIF(RawDataDead!$B:$B,$A99,RawDataDead!BL:BL)</f>
        <v>0</v>
      </c>
      <c r="BJ99">
        <f>SUMIF(RawDataDead!$B:$B,$A99,RawDataDead!BM:BM)</f>
        <v>0</v>
      </c>
      <c r="BK99">
        <f>SUMIF(RawDataDead!$B:$B,$A99,RawDataDead!BN:BN)</f>
        <v>0</v>
      </c>
      <c r="BL99">
        <f>SUMIF(RawDataDead!$B:$B,$A99,RawDataDead!BO:BO)</f>
        <v>0</v>
      </c>
      <c r="BM99">
        <f>SUMIF(RawDataDead!$B:$B,$A99,RawDataDead!BP:BP)</f>
        <v>0</v>
      </c>
      <c r="BN99">
        <f>SUMIF(RawDataDead!$B:$B,$A99,RawDataDead!BQ:BQ)</f>
        <v>0</v>
      </c>
      <c r="BO99">
        <f>SUMIF(RawDataDead!$B:$B,$A99,RawDataDead!BR:BR)</f>
        <v>0</v>
      </c>
      <c r="BP99">
        <f>SUMIF(RawDataDead!$B:$B,$A99,RawDataDead!BS:BS)</f>
        <v>0</v>
      </c>
      <c r="BQ99">
        <f>SUMIF(RawDataDead!$B:$B,$A99,RawDataDead!BT:BT)</f>
        <v>0</v>
      </c>
      <c r="BR99">
        <f>SUMIF(RawDataDead!$B:$B,$A99,RawDataDead!BU:BU)</f>
        <v>0</v>
      </c>
      <c r="BS99">
        <f>SUMIF(RawDataDead!$B:$B,$A99,RawDataDead!BV:BV)</f>
        <v>0</v>
      </c>
      <c r="BT99">
        <f>SUMIF(RawDataDead!$B:$B,$A99,RawDataDead!BW:BW)</f>
        <v>0</v>
      </c>
    </row>
    <row r="100" spans="1:72" ht="15" thickBot="1" x14ac:dyDescent="0.35">
      <c r="A100" s="3" t="s">
        <v>374</v>
      </c>
      <c r="B100">
        <f>SUMIF(RawDataDead!$B:$B,$A100,RawDataDead!E:E)</f>
        <v>0</v>
      </c>
      <c r="C100">
        <f>SUMIF(RawDataDead!$B:$B,$A100,RawDataDead!F:F)</f>
        <v>0</v>
      </c>
      <c r="D100">
        <f>SUMIF(RawDataDead!$B:$B,$A100,RawDataDead!G:G)</f>
        <v>0</v>
      </c>
      <c r="E100">
        <f>SUMIF(RawDataDead!$B:$B,$A100,RawDataDead!H:H)</f>
        <v>0</v>
      </c>
      <c r="F100">
        <f>SUMIF(RawDataDead!$B:$B,$A100,RawDataDead!I:I)</f>
        <v>0</v>
      </c>
      <c r="G100">
        <f>SUMIF(RawDataDead!$B:$B,$A100,RawDataDead!J:J)</f>
        <v>0</v>
      </c>
      <c r="H100">
        <f>SUMIF(RawDataDead!$B:$B,$A100,RawDataDead!K:K)</f>
        <v>0</v>
      </c>
      <c r="I100">
        <f>SUMIF(RawDataDead!$B:$B,$A100,RawDataDead!L:L)</f>
        <v>0</v>
      </c>
      <c r="J100">
        <f>SUMIF(RawDataDead!$B:$B,$A100,RawDataDead!M:M)</f>
        <v>0</v>
      </c>
      <c r="K100">
        <f>SUMIF(RawDataDead!$B:$B,$A100,RawDataDead!N:N)</f>
        <v>0</v>
      </c>
      <c r="L100">
        <f>SUMIF(RawDataDead!$B:$B,$A100,RawDataDead!O:O)</f>
        <v>0</v>
      </c>
      <c r="M100">
        <f>SUMIF(RawDataDead!$B:$B,$A100,RawDataDead!P:P)</f>
        <v>0</v>
      </c>
      <c r="N100">
        <f>SUMIF(RawDataDead!$B:$B,$A100,RawDataDead!Q:Q)</f>
        <v>0</v>
      </c>
      <c r="O100">
        <f>SUMIF(RawDataDead!$B:$B,$A100,RawDataDead!R:R)</f>
        <v>0</v>
      </c>
      <c r="P100">
        <f>SUMIF(RawDataDead!$B:$B,$A100,RawDataDead!S:S)</f>
        <v>0</v>
      </c>
      <c r="Q100">
        <f>SUMIF(RawDataDead!$B:$B,$A100,RawDataDead!T:T)</f>
        <v>0</v>
      </c>
      <c r="R100">
        <f>SUMIF(RawDataDead!$B:$B,$A100,RawDataDead!U:U)</f>
        <v>0</v>
      </c>
      <c r="S100">
        <f>SUMIF(RawDataDead!$B:$B,$A100,RawDataDead!V:V)</f>
        <v>0</v>
      </c>
      <c r="T100">
        <f>SUMIF(RawDataDead!$B:$B,$A100,RawDataDead!W:W)</f>
        <v>0</v>
      </c>
      <c r="U100">
        <f>SUMIF(RawDataDead!$B:$B,$A100,RawDataDead!X:X)</f>
        <v>0</v>
      </c>
      <c r="V100">
        <f>SUMIF(RawDataDead!$B:$B,$A100,RawDataDead!Y:Y)</f>
        <v>0</v>
      </c>
      <c r="W100">
        <f>SUMIF(RawDataDead!$B:$B,$A100,RawDataDead!Z:Z)</f>
        <v>0</v>
      </c>
      <c r="X100">
        <f>SUMIF(RawDataDead!$B:$B,$A100,RawDataDead!AA:AA)</f>
        <v>0</v>
      </c>
      <c r="Y100">
        <f>SUMIF(RawDataDead!$B:$B,$A100,RawDataDead!AB:AB)</f>
        <v>0</v>
      </c>
      <c r="Z100">
        <f>SUMIF(RawDataDead!$B:$B,$A100,RawDataDead!AC:AC)</f>
        <v>0</v>
      </c>
      <c r="AA100">
        <f>SUMIF(RawDataDead!$B:$B,$A100,RawDataDead!AD:AD)</f>
        <v>0</v>
      </c>
      <c r="AB100">
        <f>SUMIF(RawDataDead!$B:$B,$A100,RawDataDead!AE:AE)</f>
        <v>0</v>
      </c>
      <c r="AC100">
        <f>SUMIF(RawDataDead!$B:$B,$A100,RawDataDead!AF:AF)</f>
        <v>0</v>
      </c>
      <c r="AD100">
        <f>SUMIF(RawDataDead!$B:$B,$A100,RawDataDead!AG:AG)</f>
        <v>0</v>
      </c>
      <c r="AE100">
        <f>SUMIF(RawDataDead!$B:$B,$A100,RawDataDead!AH:AH)</f>
        <v>0</v>
      </c>
      <c r="AF100">
        <f>SUMIF(RawDataDead!$B:$B,$A100,RawDataDead!AI:AI)</f>
        <v>0</v>
      </c>
      <c r="AG100">
        <f>SUMIF(RawDataDead!$B:$B,$A100,RawDataDead!AJ:AJ)</f>
        <v>0</v>
      </c>
      <c r="AH100">
        <f>SUMIF(RawDataDead!$B:$B,$A100,RawDataDead!AK:AK)</f>
        <v>0</v>
      </c>
      <c r="AI100">
        <f>SUMIF(RawDataDead!$B:$B,$A100,RawDataDead!AL:AL)</f>
        <v>0</v>
      </c>
      <c r="AJ100">
        <f>SUMIF(RawDataDead!$B:$B,$A100,RawDataDead!AM:AM)</f>
        <v>0</v>
      </c>
      <c r="AK100">
        <f>SUMIF(RawDataDead!$B:$B,$A100,RawDataDead!AN:AN)</f>
        <v>0</v>
      </c>
      <c r="AL100">
        <f>SUMIF(RawDataDead!$B:$B,$A100,RawDataDead!AO:AO)</f>
        <v>0</v>
      </c>
      <c r="AM100">
        <f>SUMIF(RawDataDead!$B:$B,$A100,RawDataDead!AP:AP)</f>
        <v>0</v>
      </c>
      <c r="AN100">
        <f>SUMIF(RawDataDead!$B:$B,$A100,RawDataDead!AQ:AQ)</f>
        <v>0</v>
      </c>
      <c r="AO100">
        <f>SUMIF(RawDataDead!$B:$B,$A100,RawDataDead!AR:AR)</f>
        <v>0</v>
      </c>
      <c r="AP100">
        <f>SUMIF(RawDataDead!$B:$B,$A100,RawDataDead!AS:AS)</f>
        <v>0</v>
      </c>
      <c r="AQ100">
        <f>SUMIF(RawDataDead!$B:$B,$A100,RawDataDead!AT:AT)</f>
        <v>0</v>
      </c>
      <c r="AR100">
        <f>SUMIF(RawDataDead!$B:$B,$A100,RawDataDead!AU:AU)</f>
        <v>0</v>
      </c>
      <c r="AS100">
        <f>SUMIF(RawDataDead!$B:$B,$A100,RawDataDead!AV:AV)</f>
        <v>0</v>
      </c>
      <c r="AT100">
        <f>SUMIF(RawDataDead!$B:$B,$A100,RawDataDead!AW:AW)</f>
        <v>0</v>
      </c>
      <c r="AU100">
        <f>SUMIF(RawDataDead!$B:$B,$A100,RawDataDead!AX:AX)</f>
        <v>0</v>
      </c>
      <c r="AV100">
        <f>SUMIF(RawDataDead!$B:$B,$A100,RawDataDead!AY:AY)</f>
        <v>0</v>
      </c>
      <c r="AW100">
        <f>SUMIF(RawDataDead!$B:$B,$A100,RawDataDead!AZ:AZ)</f>
        <v>0</v>
      </c>
      <c r="AX100">
        <f>SUMIF(RawDataDead!$B:$B,$A100,RawDataDead!BA:BA)</f>
        <v>0</v>
      </c>
      <c r="AY100">
        <f>SUMIF(RawDataDead!$B:$B,$A100,RawDataDead!BB:BB)</f>
        <v>0</v>
      </c>
      <c r="AZ100">
        <f>SUMIF(RawDataDead!$B:$B,$A100,RawDataDead!BC:BC)</f>
        <v>0</v>
      </c>
      <c r="BA100">
        <f>SUMIF(RawDataDead!$B:$B,$A100,RawDataDead!BD:BD)</f>
        <v>0</v>
      </c>
      <c r="BB100">
        <f>SUMIF(RawDataDead!$B:$B,$A100,RawDataDead!BE:BE)</f>
        <v>0</v>
      </c>
      <c r="BC100">
        <f>SUMIF(RawDataDead!$B:$B,$A100,RawDataDead!BF:BF)</f>
        <v>0</v>
      </c>
      <c r="BD100">
        <f>SUMIF(RawDataDead!$B:$B,$A100,RawDataDead!BG:BG)</f>
        <v>0</v>
      </c>
      <c r="BE100">
        <f>SUMIF(RawDataDead!$B:$B,$A100,RawDataDead!BH:BH)</f>
        <v>0</v>
      </c>
      <c r="BF100">
        <f>SUMIF(RawDataDead!$B:$B,$A100,RawDataDead!BI:BI)</f>
        <v>0</v>
      </c>
      <c r="BG100">
        <f>SUMIF(RawDataDead!$B:$B,$A100,RawDataDead!BJ:BJ)</f>
        <v>0</v>
      </c>
      <c r="BH100">
        <f>SUMIF(RawDataDead!$B:$B,$A100,RawDataDead!BK:BK)</f>
        <v>0</v>
      </c>
      <c r="BI100">
        <f>SUMIF(RawDataDead!$B:$B,$A100,RawDataDead!BL:BL)</f>
        <v>0</v>
      </c>
      <c r="BJ100">
        <f>SUMIF(RawDataDead!$B:$B,$A100,RawDataDead!BM:BM)</f>
        <v>0</v>
      </c>
      <c r="BK100">
        <f>SUMIF(RawDataDead!$B:$B,$A100,RawDataDead!BN:BN)</f>
        <v>0</v>
      </c>
      <c r="BL100">
        <f>SUMIF(RawDataDead!$B:$B,$A100,RawDataDead!BO:BO)</f>
        <v>0</v>
      </c>
      <c r="BM100">
        <f>SUMIF(RawDataDead!$B:$B,$A100,RawDataDead!BP:BP)</f>
        <v>0</v>
      </c>
      <c r="BN100">
        <f>SUMIF(RawDataDead!$B:$B,$A100,RawDataDead!BQ:BQ)</f>
        <v>0</v>
      </c>
      <c r="BO100">
        <f>SUMIF(RawDataDead!$B:$B,$A100,RawDataDead!BR:BR)</f>
        <v>0</v>
      </c>
      <c r="BP100">
        <f>SUMIF(RawDataDead!$B:$B,$A100,RawDataDead!BS:BS)</f>
        <v>0</v>
      </c>
      <c r="BQ100">
        <f>SUMIF(RawDataDead!$B:$B,$A100,RawDataDead!BT:BT)</f>
        <v>0</v>
      </c>
      <c r="BR100">
        <f>SUMIF(RawDataDead!$B:$B,$A100,RawDataDead!BU:BU)</f>
        <v>0</v>
      </c>
      <c r="BS100">
        <f>SUMIF(RawDataDead!$B:$B,$A100,RawDataDead!BV:BV)</f>
        <v>0</v>
      </c>
      <c r="BT100">
        <f>SUMIF(RawDataDead!$B:$B,$A100,RawDataDead!BW:BW)</f>
        <v>0</v>
      </c>
    </row>
    <row r="101" spans="1:72" ht="15" thickBot="1" x14ac:dyDescent="0.35">
      <c r="A101" s="4" t="s">
        <v>207</v>
      </c>
      <c r="B101">
        <f>SUMIF(RawDataDead!$B:$B,$A101,RawDataDead!E:E)</f>
        <v>0</v>
      </c>
      <c r="C101">
        <f>SUMIF(RawDataDead!$B:$B,$A101,RawDataDead!F:F)</f>
        <v>0</v>
      </c>
      <c r="D101">
        <f>SUMIF(RawDataDead!$B:$B,$A101,RawDataDead!G:G)</f>
        <v>0</v>
      </c>
      <c r="E101">
        <f>SUMIF(RawDataDead!$B:$B,$A101,RawDataDead!H:H)</f>
        <v>0</v>
      </c>
      <c r="F101">
        <f>SUMIF(RawDataDead!$B:$B,$A101,RawDataDead!I:I)</f>
        <v>0</v>
      </c>
      <c r="G101">
        <f>SUMIF(RawDataDead!$B:$B,$A101,RawDataDead!J:J)</f>
        <v>0</v>
      </c>
      <c r="H101">
        <f>SUMIF(RawDataDead!$B:$B,$A101,RawDataDead!K:K)</f>
        <v>0</v>
      </c>
      <c r="I101">
        <f>SUMIF(RawDataDead!$B:$B,$A101,RawDataDead!L:L)</f>
        <v>0</v>
      </c>
      <c r="J101">
        <f>SUMIF(RawDataDead!$B:$B,$A101,RawDataDead!M:M)</f>
        <v>0</v>
      </c>
      <c r="K101">
        <f>SUMIF(RawDataDead!$B:$B,$A101,RawDataDead!N:N)</f>
        <v>0</v>
      </c>
      <c r="L101">
        <f>SUMIF(RawDataDead!$B:$B,$A101,RawDataDead!O:O)</f>
        <v>0</v>
      </c>
      <c r="M101">
        <f>SUMIF(RawDataDead!$B:$B,$A101,RawDataDead!P:P)</f>
        <v>0</v>
      </c>
      <c r="N101">
        <f>SUMIF(RawDataDead!$B:$B,$A101,RawDataDead!Q:Q)</f>
        <v>0</v>
      </c>
      <c r="O101">
        <f>SUMIF(RawDataDead!$B:$B,$A101,RawDataDead!R:R)</f>
        <v>0</v>
      </c>
      <c r="P101">
        <f>SUMIF(RawDataDead!$B:$B,$A101,RawDataDead!S:S)</f>
        <v>0</v>
      </c>
      <c r="Q101">
        <f>SUMIF(RawDataDead!$B:$B,$A101,RawDataDead!T:T)</f>
        <v>0</v>
      </c>
      <c r="R101">
        <f>SUMIF(RawDataDead!$B:$B,$A101,RawDataDead!U:U)</f>
        <v>0</v>
      </c>
      <c r="S101">
        <f>SUMIF(RawDataDead!$B:$B,$A101,RawDataDead!V:V)</f>
        <v>0</v>
      </c>
      <c r="T101">
        <f>SUMIF(RawDataDead!$B:$B,$A101,RawDataDead!W:W)</f>
        <v>0</v>
      </c>
      <c r="U101">
        <f>SUMIF(RawDataDead!$B:$B,$A101,RawDataDead!X:X)</f>
        <v>0</v>
      </c>
      <c r="V101">
        <f>SUMIF(RawDataDead!$B:$B,$A101,RawDataDead!Y:Y)</f>
        <v>0</v>
      </c>
      <c r="W101">
        <f>SUMIF(RawDataDead!$B:$B,$A101,RawDataDead!Z:Z)</f>
        <v>0</v>
      </c>
      <c r="X101">
        <f>SUMIF(RawDataDead!$B:$B,$A101,RawDataDead!AA:AA)</f>
        <v>0</v>
      </c>
      <c r="Y101">
        <f>SUMIF(RawDataDead!$B:$B,$A101,RawDataDead!AB:AB)</f>
        <v>0</v>
      </c>
      <c r="Z101">
        <f>SUMIF(RawDataDead!$B:$B,$A101,RawDataDead!AC:AC)</f>
        <v>0</v>
      </c>
      <c r="AA101">
        <f>SUMIF(RawDataDead!$B:$B,$A101,RawDataDead!AD:AD)</f>
        <v>0</v>
      </c>
      <c r="AB101">
        <f>SUMIF(RawDataDead!$B:$B,$A101,RawDataDead!AE:AE)</f>
        <v>0</v>
      </c>
      <c r="AC101">
        <f>SUMIF(RawDataDead!$B:$B,$A101,RawDataDead!AF:AF)</f>
        <v>0</v>
      </c>
      <c r="AD101">
        <f>SUMIF(RawDataDead!$B:$B,$A101,RawDataDead!AG:AG)</f>
        <v>0</v>
      </c>
      <c r="AE101">
        <f>SUMIF(RawDataDead!$B:$B,$A101,RawDataDead!AH:AH)</f>
        <v>0</v>
      </c>
      <c r="AF101">
        <f>SUMIF(RawDataDead!$B:$B,$A101,RawDataDead!AI:AI)</f>
        <v>0</v>
      </c>
      <c r="AG101">
        <f>SUMIF(RawDataDead!$B:$B,$A101,RawDataDead!AJ:AJ)</f>
        <v>0</v>
      </c>
      <c r="AH101">
        <f>SUMIF(RawDataDead!$B:$B,$A101,RawDataDead!AK:AK)</f>
        <v>0</v>
      </c>
      <c r="AI101">
        <f>SUMIF(RawDataDead!$B:$B,$A101,RawDataDead!AL:AL)</f>
        <v>0</v>
      </c>
      <c r="AJ101">
        <f>SUMIF(RawDataDead!$B:$B,$A101,RawDataDead!AM:AM)</f>
        <v>0</v>
      </c>
      <c r="AK101">
        <f>SUMIF(RawDataDead!$B:$B,$A101,RawDataDead!AN:AN)</f>
        <v>0</v>
      </c>
      <c r="AL101">
        <f>SUMIF(RawDataDead!$B:$B,$A101,RawDataDead!AO:AO)</f>
        <v>0</v>
      </c>
      <c r="AM101">
        <f>SUMIF(RawDataDead!$B:$B,$A101,RawDataDead!AP:AP)</f>
        <v>0</v>
      </c>
      <c r="AN101">
        <f>SUMIF(RawDataDead!$B:$B,$A101,RawDataDead!AQ:AQ)</f>
        <v>0</v>
      </c>
      <c r="AO101">
        <f>SUMIF(RawDataDead!$B:$B,$A101,RawDataDead!AR:AR)</f>
        <v>0</v>
      </c>
      <c r="AP101">
        <f>SUMIF(RawDataDead!$B:$B,$A101,RawDataDead!AS:AS)</f>
        <v>0</v>
      </c>
      <c r="AQ101">
        <f>SUMIF(RawDataDead!$B:$B,$A101,RawDataDead!AT:AT)</f>
        <v>0</v>
      </c>
      <c r="AR101">
        <f>SUMIF(RawDataDead!$B:$B,$A101,RawDataDead!AU:AU)</f>
        <v>0</v>
      </c>
      <c r="AS101">
        <f>SUMIF(RawDataDead!$B:$B,$A101,RawDataDead!AV:AV)</f>
        <v>0</v>
      </c>
      <c r="AT101">
        <f>SUMIF(RawDataDead!$B:$B,$A101,RawDataDead!AW:AW)</f>
        <v>0</v>
      </c>
      <c r="AU101">
        <f>SUMIF(RawDataDead!$B:$B,$A101,RawDataDead!AX:AX)</f>
        <v>0</v>
      </c>
      <c r="AV101">
        <f>SUMIF(RawDataDead!$B:$B,$A101,RawDataDead!AY:AY)</f>
        <v>0</v>
      </c>
      <c r="AW101">
        <f>SUMIF(RawDataDead!$B:$B,$A101,RawDataDead!AZ:AZ)</f>
        <v>0</v>
      </c>
      <c r="AX101">
        <f>SUMIF(RawDataDead!$B:$B,$A101,RawDataDead!BA:BA)</f>
        <v>0</v>
      </c>
      <c r="AY101">
        <f>SUMIF(RawDataDead!$B:$B,$A101,RawDataDead!BB:BB)</f>
        <v>0</v>
      </c>
      <c r="AZ101">
        <f>SUMIF(RawDataDead!$B:$B,$A101,RawDataDead!BC:BC)</f>
        <v>0</v>
      </c>
      <c r="BA101">
        <f>SUMIF(RawDataDead!$B:$B,$A101,RawDataDead!BD:BD)</f>
        <v>0</v>
      </c>
      <c r="BB101">
        <f>SUMIF(RawDataDead!$B:$B,$A101,RawDataDead!BE:BE)</f>
        <v>0</v>
      </c>
      <c r="BC101">
        <f>SUMIF(RawDataDead!$B:$B,$A101,RawDataDead!BF:BF)</f>
        <v>0</v>
      </c>
      <c r="BD101">
        <f>SUMIF(RawDataDead!$B:$B,$A101,RawDataDead!BG:BG)</f>
        <v>1</v>
      </c>
      <c r="BE101">
        <f>SUMIF(RawDataDead!$B:$B,$A101,RawDataDead!BH:BH)</f>
        <v>1</v>
      </c>
      <c r="BF101">
        <f>SUMIF(RawDataDead!$B:$B,$A101,RawDataDead!BI:BI)</f>
        <v>0</v>
      </c>
      <c r="BG101">
        <f>SUMIF(RawDataDead!$B:$B,$A101,RawDataDead!BJ:BJ)</f>
        <v>0</v>
      </c>
      <c r="BH101">
        <f>SUMIF(RawDataDead!$B:$B,$A101,RawDataDead!BK:BK)</f>
        <v>0</v>
      </c>
      <c r="BI101">
        <f>SUMIF(RawDataDead!$B:$B,$A101,RawDataDead!BL:BL)</f>
        <v>0</v>
      </c>
      <c r="BJ101">
        <f>SUMIF(RawDataDead!$B:$B,$A101,RawDataDead!BM:BM)</f>
        <v>0</v>
      </c>
      <c r="BK101">
        <f>SUMIF(RawDataDead!$B:$B,$A101,RawDataDead!BN:BN)</f>
        <v>0</v>
      </c>
      <c r="BL101">
        <f>SUMIF(RawDataDead!$B:$B,$A101,RawDataDead!BO:BO)</f>
        <v>0</v>
      </c>
      <c r="BM101">
        <f>SUMIF(RawDataDead!$B:$B,$A101,RawDataDead!BP:BP)</f>
        <v>0</v>
      </c>
      <c r="BN101">
        <f>SUMIF(RawDataDead!$B:$B,$A101,RawDataDead!BQ:BQ)</f>
        <v>0</v>
      </c>
      <c r="BO101">
        <f>SUMIF(RawDataDead!$B:$B,$A101,RawDataDead!BR:BR)</f>
        <v>0</v>
      </c>
      <c r="BP101">
        <f>SUMIF(RawDataDead!$B:$B,$A101,RawDataDead!BS:BS)</f>
        <v>0</v>
      </c>
      <c r="BQ101">
        <f>SUMIF(RawDataDead!$B:$B,$A101,RawDataDead!BT:BT)</f>
        <v>0</v>
      </c>
      <c r="BR101">
        <f>SUMIF(RawDataDead!$B:$B,$A101,RawDataDead!BU:BU)</f>
        <v>0</v>
      </c>
      <c r="BS101">
        <f>SUMIF(RawDataDead!$B:$B,$A101,RawDataDead!BV:BV)</f>
        <v>0</v>
      </c>
      <c r="BT101">
        <f>SUMIF(RawDataDead!$B:$B,$A101,RawDataDead!BW:BW)</f>
        <v>0</v>
      </c>
    </row>
    <row r="102" spans="1:72" ht="15" thickBot="1" x14ac:dyDescent="0.35">
      <c r="A102" s="3" t="s">
        <v>156</v>
      </c>
      <c r="B102">
        <f>SUMIF(RawDataDead!$B:$B,$A102,RawDataDead!E:E)</f>
        <v>0</v>
      </c>
      <c r="C102">
        <f>SUMIF(RawDataDead!$B:$B,$A102,RawDataDead!F:F)</f>
        <v>0</v>
      </c>
      <c r="D102">
        <f>SUMIF(RawDataDead!$B:$B,$A102,RawDataDead!G:G)</f>
        <v>0</v>
      </c>
      <c r="E102">
        <f>SUMIF(RawDataDead!$B:$B,$A102,RawDataDead!H:H)</f>
        <v>0</v>
      </c>
      <c r="F102">
        <f>SUMIF(RawDataDead!$B:$B,$A102,RawDataDead!I:I)</f>
        <v>0</v>
      </c>
      <c r="G102">
        <f>SUMIF(RawDataDead!$B:$B,$A102,RawDataDead!J:J)</f>
        <v>0</v>
      </c>
      <c r="H102">
        <f>SUMIF(RawDataDead!$B:$B,$A102,RawDataDead!K:K)</f>
        <v>0</v>
      </c>
      <c r="I102">
        <f>SUMIF(RawDataDead!$B:$B,$A102,RawDataDead!L:L)</f>
        <v>0</v>
      </c>
      <c r="J102">
        <f>SUMIF(RawDataDead!$B:$B,$A102,RawDataDead!M:M)</f>
        <v>0</v>
      </c>
      <c r="K102">
        <f>SUMIF(RawDataDead!$B:$B,$A102,RawDataDead!N:N)</f>
        <v>0</v>
      </c>
      <c r="L102">
        <f>SUMIF(RawDataDead!$B:$B,$A102,RawDataDead!O:O)</f>
        <v>0</v>
      </c>
      <c r="M102">
        <f>SUMIF(RawDataDead!$B:$B,$A102,RawDataDead!P:P)</f>
        <v>0</v>
      </c>
      <c r="N102">
        <f>SUMIF(RawDataDead!$B:$B,$A102,RawDataDead!Q:Q)</f>
        <v>0</v>
      </c>
      <c r="O102">
        <f>SUMIF(RawDataDead!$B:$B,$A102,RawDataDead!R:R)</f>
        <v>0</v>
      </c>
      <c r="P102">
        <f>SUMIF(RawDataDead!$B:$B,$A102,RawDataDead!S:S)</f>
        <v>0</v>
      </c>
      <c r="Q102">
        <f>SUMIF(RawDataDead!$B:$B,$A102,RawDataDead!T:T)</f>
        <v>0</v>
      </c>
      <c r="R102">
        <f>SUMIF(RawDataDead!$B:$B,$A102,RawDataDead!U:U)</f>
        <v>0</v>
      </c>
      <c r="S102">
        <f>SUMIF(RawDataDead!$B:$B,$A102,RawDataDead!V:V)</f>
        <v>0</v>
      </c>
      <c r="T102">
        <f>SUMIF(RawDataDead!$B:$B,$A102,RawDataDead!W:W)</f>
        <v>0</v>
      </c>
      <c r="U102">
        <f>SUMIF(RawDataDead!$B:$B,$A102,RawDataDead!X:X)</f>
        <v>0</v>
      </c>
      <c r="V102">
        <f>SUMIF(RawDataDead!$B:$B,$A102,RawDataDead!Y:Y)</f>
        <v>0</v>
      </c>
      <c r="W102">
        <f>SUMIF(RawDataDead!$B:$B,$A102,RawDataDead!Z:Z)</f>
        <v>0</v>
      </c>
      <c r="X102">
        <f>SUMIF(RawDataDead!$B:$B,$A102,RawDataDead!AA:AA)</f>
        <v>0</v>
      </c>
      <c r="Y102">
        <f>SUMIF(RawDataDead!$B:$B,$A102,RawDataDead!AB:AB)</f>
        <v>0</v>
      </c>
      <c r="Z102">
        <f>SUMIF(RawDataDead!$B:$B,$A102,RawDataDead!AC:AC)</f>
        <v>0</v>
      </c>
      <c r="AA102">
        <f>SUMIF(RawDataDead!$B:$B,$A102,RawDataDead!AD:AD)</f>
        <v>0</v>
      </c>
      <c r="AB102">
        <f>SUMIF(RawDataDead!$B:$B,$A102,RawDataDead!AE:AE)</f>
        <v>0</v>
      </c>
      <c r="AC102">
        <f>SUMIF(RawDataDead!$B:$B,$A102,RawDataDead!AF:AF)</f>
        <v>0</v>
      </c>
      <c r="AD102">
        <f>SUMIF(RawDataDead!$B:$B,$A102,RawDataDead!AG:AG)</f>
        <v>0</v>
      </c>
      <c r="AE102">
        <f>SUMIF(RawDataDead!$B:$B,$A102,RawDataDead!AH:AH)</f>
        <v>0</v>
      </c>
      <c r="AF102">
        <f>SUMIF(RawDataDead!$B:$B,$A102,RawDataDead!AI:AI)</f>
        <v>0</v>
      </c>
      <c r="AG102">
        <f>SUMIF(RawDataDead!$B:$B,$A102,RawDataDead!AJ:AJ)</f>
        <v>0</v>
      </c>
      <c r="AH102">
        <f>SUMIF(RawDataDead!$B:$B,$A102,RawDataDead!AK:AK)</f>
        <v>0</v>
      </c>
      <c r="AI102">
        <f>SUMIF(RawDataDead!$B:$B,$A102,RawDataDead!AL:AL)</f>
        <v>0</v>
      </c>
      <c r="AJ102">
        <f>SUMIF(RawDataDead!$B:$B,$A102,RawDataDead!AM:AM)</f>
        <v>0</v>
      </c>
      <c r="AK102">
        <f>SUMIF(RawDataDead!$B:$B,$A102,RawDataDead!AN:AN)</f>
        <v>0</v>
      </c>
      <c r="AL102">
        <f>SUMIF(RawDataDead!$B:$B,$A102,RawDataDead!AO:AO)</f>
        <v>0</v>
      </c>
      <c r="AM102">
        <f>SUMIF(RawDataDead!$B:$B,$A102,RawDataDead!AP:AP)</f>
        <v>0</v>
      </c>
      <c r="AN102">
        <f>SUMIF(RawDataDead!$B:$B,$A102,RawDataDead!AQ:AQ)</f>
        <v>0</v>
      </c>
      <c r="AO102">
        <f>SUMIF(RawDataDead!$B:$B,$A102,RawDataDead!AR:AR)</f>
        <v>0</v>
      </c>
      <c r="AP102">
        <f>SUMIF(RawDataDead!$B:$B,$A102,RawDataDead!AS:AS)</f>
        <v>0</v>
      </c>
      <c r="AQ102">
        <f>SUMIF(RawDataDead!$B:$B,$A102,RawDataDead!AT:AT)</f>
        <v>0</v>
      </c>
      <c r="AR102">
        <f>SUMIF(RawDataDead!$B:$B,$A102,RawDataDead!AU:AU)</f>
        <v>0</v>
      </c>
      <c r="AS102">
        <f>SUMIF(RawDataDead!$B:$B,$A102,RawDataDead!AV:AV)</f>
        <v>0</v>
      </c>
      <c r="AT102">
        <f>SUMIF(RawDataDead!$B:$B,$A102,RawDataDead!AW:AW)</f>
        <v>0</v>
      </c>
      <c r="AU102">
        <f>SUMIF(RawDataDead!$B:$B,$A102,RawDataDead!AX:AX)</f>
        <v>0</v>
      </c>
      <c r="AV102">
        <f>SUMIF(RawDataDead!$B:$B,$A102,RawDataDead!AY:AY)</f>
        <v>0</v>
      </c>
      <c r="AW102">
        <f>SUMIF(RawDataDead!$B:$B,$A102,RawDataDead!AZ:AZ)</f>
        <v>0</v>
      </c>
      <c r="AX102">
        <f>SUMIF(RawDataDead!$B:$B,$A102,RawDataDead!BA:BA)</f>
        <v>0</v>
      </c>
      <c r="AY102">
        <f>SUMIF(RawDataDead!$B:$B,$A102,RawDataDead!BB:BB)</f>
        <v>0</v>
      </c>
      <c r="AZ102">
        <f>SUMIF(RawDataDead!$B:$B,$A102,RawDataDead!BC:BC)</f>
        <v>0</v>
      </c>
      <c r="BA102">
        <f>SUMIF(RawDataDead!$B:$B,$A102,RawDataDead!BD:BD)</f>
        <v>1</v>
      </c>
      <c r="BB102">
        <f>SUMIF(RawDataDead!$B:$B,$A102,RawDataDead!BE:BE)</f>
        <v>1</v>
      </c>
      <c r="BC102">
        <f>SUMIF(RawDataDead!$B:$B,$A102,RawDataDead!BF:BF)</f>
        <v>1</v>
      </c>
      <c r="BD102">
        <f>SUMIF(RawDataDead!$B:$B,$A102,RawDataDead!BG:BG)</f>
        <v>1</v>
      </c>
      <c r="BE102">
        <f>SUMIF(RawDataDead!$B:$B,$A102,RawDataDead!BH:BH)</f>
        <v>2</v>
      </c>
      <c r="BF102">
        <f>SUMIF(RawDataDead!$B:$B,$A102,RawDataDead!BI:BI)</f>
        <v>0</v>
      </c>
      <c r="BG102">
        <f>SUMIF(RawDataDead!$B:$B,$A102,RawDataDead!BJ:BJ)</f>
        <v>0</v>
      </c>
      <c r="BH102">
        <f>SUMIF(RawDataDead!$B:$B,$A102,RawDataDead!BK:BK)</f>
        <v>0</v>
      </c>
      <c r="BI102">
        <f>SUMIF(RawDataDead!$B:$B,$A102,RawDataDead!BL:BL)</f>
        <v>0</v>
      </c>
      <c r="BJ102">
        <f>SUMIF(RawDataDead!$B:$B,$A102,RawDataDead!BM:BM)</f>
        <v>0</v>
      </c>
      <c r="BK102">
        <f>SUMIF(RawDataDead!$B:$B,$A102,RawDataDead!BN:BN)</f>
        <v>0</v>
      </c>
      <c r="BL102">
        <f>SUMIF(RawDataDead!$B:$B,$A102,RawDataDead!BO:BO)</f>
        <v>0</v>
      </c>
      <c r="BM102">
        <f>SUMIF(RawDataDead!$B:$B,$A102,RawDataDead!BP:BP)</f>
        <v>0</v>
      </c>
      <c r="BN102">
        <f>SUMIF(RawDataDead!$B:$B,$A102,RawDataDead!BQ:BQ)</f>
        <v>0</v>
      </c>
      <c r="BO102">
        <f>SUMIF(RawDataDead!$B:$B,$A102,RawDataDead!BR:BR)</f>
        <v>0</v>
      </c>
      <c r="BP102">
        <f>SUMIF(RawDataDead!$B:$B,$A102,RawDataDead!BS:BS)</f>
        <v>0</v>
      </c>
      <c r="BQ102">
        <f>SUMIF(RawDataDead!$B:$B,$A102,RawDataDead!BT:BT)</f>
        <v>0</v>
      </c>
      <c r="BR102">
        <f>SUMIF(RawDataDead!$B:$B,$A102,RawDataDead!BU:BU)</f>
        <v>0</v>
      </c>
      <c r="BS102">
        <f>SUMIF(RawDataDead!$B:$B,$A102,RawDataDead!BV:BV)</f>
        <v>0</v>
      </c>
      <c r="BT102">
        <f>SUMIF(RawDataDead!$B:$B,$A102,RawDataDead!BW:BW)</f>
        <v>0</v>
      </c>
    </row>
    <row r="103" spans="1:72" ht="15" thickBot="1" x14ac:dyDescent="0.35">
      <c r="A103" s="3" t="s">
        <v>450</v>
      </c>
      <c r="B103">
        <f>SUMIF(RawDataDead!$B:$B,$A103,RawDataDead!E:E)</f>
        <v>0</v>
      </c>
      <c r="C103">
        <f>SUMIF(RawDataDead!$B:$B,$A103,RawDataDead!F:F)</f>
        <v>0</v>
      </c>
      <c r="D103">
        <f>SUMIF(RawDataDead!$B:$B,$A103,RawDataDead!G:G)</f>
        <v>0</v>
      </c>
      <c r="E103">
        <f>SUMIF(RawDataDead!$B:$B,$A103,RawDataDead!H:H)</f>
        <v>0</v>
      </c>
      <c r="F103">
        <f>SUMIF(RawDataDead!$B:$B,$A103,RawDataDead!I:I)</f>
        <v>0</v>
      </c>
      <c r="G103">
        <f>SUMIF(RawDataDead!$B:$B,$A103,RawDataDead!J:J)</f>
        <v>0</v>
      </c>
      <c r="H103">
        <f>SUMIF(RawDataDead!$B:$B,$A103,RawDataDead!K:K)</f>
        <v>0</v>
      </c>
      <c r="I103">
        <f>SUMIF(RawDataDead!$B:$B,$A103,RawDataDead!L:L)</f>
        <v>0</v>
      </c>
      <c r="J103">
        <f>SUMIF(RawDataDead!$B:$B,$A103,RawDataDead!M:M)</f>
        <v>0</v>
      </c>
      <c r="K103">
        <f>SUMIF(RawDataDead!$B:$B,$A103,RawDataDead!N:N)</f>
        <v>0</v>
      </c>
      <c r="L103">
        <f>SUMIF(RawDataDead!$B:$B,$A103,RawDataDead!O:O)</f>
        <v>0</v>
      </c>
      <c r="M103">
        <f>SUMIF(RawDataDead!$B:$B,$A103,RawDataDead!P:P)</f>
        <v>0</v>
      </c>
      <c r="N103">
        <f>SUMIF(RawDataDead!$B:$B,$A103,RawDataDead!Q:Q)</f>
        <v>0</v>
      </c>
      <c r="O103">
        <f>SUMIF(RawDataDead!$B:$B,$A103,RawDataDead!R:R)</f>
        <v>0</v>
      </c>
      <c r="P103">
        <f>SUMIF(RawDataDead!$B:$B,$A103,RawDataDead!S:S)</f>
        <v>0</v>
      </c>
      <c r="Q103">
        <f>SUMIF(RawDataDead!$B:$B,$A103,RawDataDead!T:T)</f>
        <v>0</v>
      </c>
      <c r="R103">
        <f>SUMIF(RawDataDead!$B:$B,$A103,RawDataDead!U:U)</f>
        <v>0</v>
      </c>
      <c r="S103">
        <f>SUMIF(RawDataDead!$B:$B,$A103,RawDataDead!V:V)</f>
        <v>0</v>
      </c>
      <c r="T103">
        <f>SUMIF(RawDataDead!$B:$B,$A103,RawDataDead!W:W)</f>
        <v>0</v>
      </c>
      <c r="U103">
        <f>SUMIF(RawDataDead!$B:$B,$A103,RawDataDead!X:X)</f>
        <v>0</v>
      </c>
      <c r="V103">
        <f>SUMIF(RawDataDead!$B:$B,$A103,RawDataDead!Y:Y)</f>
        <v>0</v>
      </c>
      <c r="W103">
        <f>SUMIF(RawDataDead!$B:$B,$A103,RawDataDead!Z:Z)</f>
        <v>0</v>
      </c>
      <c r="X103">
        <f>SUMIF(RawDataDead!$B:$B,$A103,RawDataDead!AA:AA)</f>
        <v>0</v>
      </c>
      <c r="Y103">
        <f>SUMIF(RawDataDead!$B:$B,$A103,RawDataDead!AB:AB)</f>
        <v>0</v>
      </c>
      <c r="Z103">
        <f>SUMIF(RawDataDead!$B:$B,$A103,RawDataDead!AC:AC)</f>
        <v>0</v>
      </c>
      <c r="AA103">
        <f>SUMIF(RawDataDead!$B:$B,$A103,RawDataDead!AD:AD)</f>
        <v>0</v>
      </c>
      <c r="AB103">
        <f>SUMIF(RawDataDead!$B:$B,$A103,RawDataDead!AE:AE)</f>
        <v>0</v>
      </c>
      <c r="AC103">
        <f>SUMIF(RawDataDead!$B:$B,$A103,RawDataDead!AF:AF)</f>
        <v>0</v>
      </c>
      <c r="AD103">
        <f>SUMIF(RawDataDead!$B:$B,$A103,RawDataDead!AG:AG)</f>
        <v>0</v>
      </c>
      <c r="AE103">
        <f>SUMIF(RawDataDead!$B:$B,$A103,RawDataDead!AH:AH)</f>
        <v>0</v>
      </c>
      <c r="AF103">
        <f>SUMIF(RawDataDead!$B:$B,$A103,RawDataDead!AI:AI)</f>
        <v>0</v>
      </c>
      <c r="AG103">
        <f>SUMIF(RawDataDead!$B:$B,$A103,RawDataDead!AJ:AJ)</f>
        <v>0</v>
      </c>
      <c r="AH103">
        <f>SUMIF(RawDataDead!$B:$B,$A103,RawDataDead!AK:AK)</f>
        <v>0</v>
      </c>
      <c r="AI103">
        <f>SUMIF(RawDataDead!$B:$B,$A103,RawDataDead!AL:AL)</f>
        <v>0</v>
      </c>
      <c r="AJ103">
        <f>SUMIF(RawDataDead!$B:$B,$A103,RawDataDead!AM:AM)</f>
        <v>0</v>
      </c>
      <c r="AK103">
        <f>SUMIF(RawDataDead!$B:$B,$A103,RawDataDead!AN:AN)</f>
        <v>0</v>
      </c>
      <c r="AL103">
        <f>SUMIF(RawDataDead!$B:$B,$A103,RawDataDead!AO:AO)</f>
        <v>0</v>
      </c>
      <c r="AM103">
        <f>SUMIF(RawDataDead!$B:$B,$A103,RawDataDead!AP:AP)</f>
        <v>0</v>
      </c>
      <c r="AN103">
        <f>SUMIF(RawDataDead!$B:$B,$A103,RawDataDead!AQ:AQ)</f>
        <v>0</v>
      </c>
      <c r="AO103">
        <f>SUMIF(RawDataDead!$B:$B,$A103,RawDataDead!AR:AR)</f>
        <v>0</v>
      </c>
      <c r="AP103">
        <f>SUMIF(RawDataDead!$B:$B,$A103,RawDataDead!AS:AS)</f>
        <v>0</v>
      </c>
      <c r="AQ103">
        <f>SUMIF(RawDataDead!$B:$B,$A103,RawDataDead!AT:AT)</f>
        <v>0</v>
      </c>
      <c r="AR103">
        <f>SUMIF(RawDataDead!$B:$B,$A103,RawDataDead!AU:AU)</f>
        <v>0</v>
      </c>
      <c r="AS103">
        <f>SUMIF(RawDataDead!$B:$B,$A103,RawDataDead!AV:AV)</f>
        <v>0</v>
      </c>
      <c r="AT103">
        <f>SUMIF(RawDataDead!$B:$B,$A103,RawDataDead!AW:AW)</f>
        <v>0</v>
      </c>
      <c r="AU103">
        <f>SUMIF(RawDataDead!$B:$B,$A103,RawDataDead!AX:AX)</f>
        <v>0</v>
      </c>
      <c r="AV103">
        <f>SUMIF(RawDataDead!$B:$B,$A103,RawDataDead!AY:AY)</f>
        <v>0</v>
      </c>
      <c r="AW103">
        <f>SUMIF(RawDataDead!$B:$B,$A103,RawDataDead!AZ:AZ)</f>
        <v>0</v>
      </c>
      <c r="AX103">
        <f>SUMIF(RawDataDead!$B:$B,$A103,RawDataDead!BA:BA)</f>
        <v>0</v>
      </c>
      <c r="AY103">
        <f>SUMIF(RawDataDead!$B:$B,$A103,RawDataDead!BB:BB)</f>
        <v>0</v>
      </c>
      <c r="AZ103">
        <f>SUMIF(RawDataDead!$B:$B,$A103,RawDataDead!BC:BC)</f>
        <v>0</v>
      </c>
      <c r="BA103">
        <f>SUMIF(RawDataDead!$B:$B,$A103,RawDataDead!BD:BD)</f>
        <v>0</v>
      </c>
      <c r="BB103">
        <f>SUMIF(RawDataDead!$B:$B,$A103,RawDataDead!BE:BE)</f>
        <v>0</v>
      </c>
      <c r="BC103">
        <f>SUMIF(RawDataDead!$B:$B,$A103,RawDataDead!BF:BF)</f>
        <v>0</v>
      </c>
      <c r="BD103">
        <f>SUMIF(RawDataDead!$B:$B,$A103,RawDataDead!BG:BG)</f>
        <v>0</v>
      </c>
      <c r="BE103">
        <f>SUMIF(RawDataDead!$B:$B,$A103,RawDataDead!BH:BH)</f>
        <v>0</v>
      </c>
      <c r="BF103">
        <f>SUMIF(RawDataDead!$B:$B,$A103,RawDataDead!BI:BI)</f>
        <v>0</v>
      </c>
      <c r="BG103">
        <f>SUMIF(RawDataDead!$B:$B,$A103,RawDataDead!BJ:BJ)</f>
        <v>0</v>
      </c>
      <c r="BH103">
        <f>SUMIF(RawDataDead!$B:$B,$A103,RawDataDead!BK:BK)</f>
        <v>0</v>
      </c>
      <c r="BI103">
        <f>SUMIF(RawDataDead!$B:$B,$A103,RawDataDead!BL:BL)</f>
        <v>0</v>
      </c>
      <c r="BJ103">
        <f>SUMIF(RawDataDead!$B:$B,$A103,RawDataDead!BM:BM)</f>
        <v>0</v>
      </c>
      <c r="BK103">
        <f>SUMIF(RawDataDead!$B:$B,$A103,RawDataDead!BN:BN)</f>
        <v>0</v>
      </c>
      <c r="BL103">
        <f>SUMIF(RawDataDead!$B:$B,$A103,RawDataDead!BO:BO)</f>
        <v>0</v>
      </c>
      <c r="BM103">
        <f>SUMIF(RawDataDead!$B:$B,$A103,RawDataDead!BP:BP)</f>
        <v>0</v>
      </c>
      <c r="BN103">
        <f>SUMIF(RawDataDead!$B:$B,$A103,RawDataDead!BQ:BQ)</f>
        <v>0</v>
      </c>
      <c r="BO103">
        <f>SUMIF(RawDataDead!$B:$B,$A103,RawDataDead!BR:BR)</f>
        <v>0</v>
      </c>
      <c r="BP103">
        <f>SUMIF(RawDataDead!$B:$B,$A103,RawDataDead!BS:BS)</f>
        <v>0</v>
      </c>
      <c r="BQ103">
        <f>SUMIF(RawDataDead!$B:$B,$A103,RawDataDead!BT:BT)</f>
        <v>0</v>
      </c>
      <c r="BR103">
        <f>SUMIF(RawDataDead!$B:$B,$A103,RawDataDead!BU:BU)</f>
        <v>0</v>
      </c>
      <c r="BS103">
        <f>SUMIF(RawDataDead!$B:$B,$A103,RawDataDead!BV:BV)</f>
        <v>0</v>
      </c>
      <c r="BT103">
        <f>SUMIF(RawDataDead!$B:$B,$A103,RawDataDead!BW:BW)</f>
        <v>0</v>
      </c>
    </row>
    <row r="104" spans="1:72" ht="15" thickBot="1" x14ac:dyDescent="0.35">
      <c r="A104" s="4" t="s">
        <v>306</v>
      </c>
      <c r="B104">
        <f>SUMIF(RawDataDead!$B:$B,$A104,RawDataDead!E:E)</f>
        <v>0</v>
      </c>
      <c r="C104">
        <f>SUMIF(RawDataDead!$B:$B,$A104,RawDataDead!F:F)</f>
        <v>0</v>
      </c>
      <c r="D104">
        <f>SUMIF(RawDataDead!$B:$B,$A104,RawDataDead!G:G)</f>
        <v>0</v>
      </c>
      <c r="E104">
        <f>SUMIF(RawDataDead!$B:$B,$A104,RawDataDead!H:H)</f>
        <v>0</v>
      </c>
      <c r="F104">
        <f>SUMIF(RawDataDead!$B:$B,$A104,RawDataDead!I:I)</f>
        <v>0</v>
      </c>
      <c r="G104">
        <f>SUMIF(RawDataDead!$B:$B,$A104,RawDataDead!J:J)</f>
        <v>0</v>
      </c>
      <c r="H104">
        <f>SUMIF(RawDataDead!$B:$B,$A104,RawDataDead!K:K)</f>
        <v>0</v>
      </c>
      <c r="I104">
        <f>SUMIF(RawDataDead!$B:$B,$A104,RawDataDead!L:L)</f>
        <v>0</v>
      </c>
      <c r="J104">
        <f>SUMIF(RawDataDead!$B:$B,$A104,RawDataDead!M:M)</f>
        <v>0</v>
      </c>
      <c r="K104">
        <f>SUMIF(RawDataDead!$B:$B,$A104,RawDataDead!N:N)</f>
        <v>0</v>
      </c>
      <c r="L104">
        <f>SUMIF(RawDataDead!$B:$B,$A104,RawDataDead!O:O)</f>
        <v>0</v>
      </c>
      <c r="M104">
        <f>SUMIF(RawDataDead!$B:$B,$A104,RawDataDead!P:P)</f>
        <v>0</v>
      </c>
      <c r="N104">
        <f>SUMIF(RawDataDead!$B:$B,$A104,RawDataDead!Q:Q)</f>
        <v>0</v>
      </c>
      <c r="O104">
        <f>SUMIF(RawDataDead!$B:$B,$A104,RawDataDead!R:R)</f>
        <v>0</v>
      </c>
      <c r="P104">
        <f>SUMIF(RawDataDead!$B:$B,$A104,RawDataDead!S:S)</f>
        <v>0</v>
      </c>
      <c r="Q104">
        <f>SUMIF(RawDataDead!$B:$B,$A104,RawDataDead!T:T)</f>
        <v>0</v>
      </c>
      <c r="R104">
        <f>SUMIF(RawDataDead!$B:$B,$A104,RawDataDead!U:U)</f>
        <v>0</v>
      </c>
      <c r="S104">
        <f>SUMIF(RawDataDead!$B:$B,$A104,RawDataDead!V:V)</f>
        <v>0</v>
      </c>
      <c r="T104">
        <f>SUMIF(RawDataDead!$B:$B,$A104,RawDataDead!W:W)</f>
        <v>0</v>
      </c>
      <c r="U104">
        <f>SUMIF(RawDataDead!$B:$B,$A104,RawDataDead!X:X)</f>
        <v>0</v>
      </c>
      <c r="V104">
        <f>SUMIF(RawDataDead!$B:$B,$A104,RawDataDead!Y:Y)</f>
        <v>0</v>
      </c>
      <c r="W104">
        <f>SUMIF(RawDataDead!$B:$B,$A104,RawDataDead!Z:Z)</f>
        <v>0</v>
      </c>
      <c r="X104">
        <f>SUMIF(RawDataDead!$B:$B,$A104,RawDataDead!AA:AA)</f>
        <v>0</v>
      </c>
      <c r="Y104">
        <f>SUMIF(RawDataDead!$B:$B,$A104,RawDataDead!AB:AB)</f>
        <v>0</v>
      </c>
      <c r="Z104">
        <f>SUMIF(RawDataDead!$B:$B,$A104,RawDataDead!AC:AC)</f>
        <v>0</v>
      </c>
      <c r="AA104">
        <f>SUMIF(RawDataDead!$B:$B,$A104,RawDataDead!AD:AD)</f>
        <v>0</v>
      </c>
      <c r="AB104">
        <f>SUMIF(RawDataDead!$B:$B,$A104,RawDataDead!AE:AE)</f>
        <v>0</v>
      </c>
      <c r="AC104">
        <f>SUMIF(RawDataDead!$B:$B,$A104,RawDataDead!AF:AF)</f>
        <v>0</v>
      </c>
      <c r="AD104">
        <f>SUMIF(RawDataDead!$B:$B,$A104,RawDataDead!AG:AG)</f>
        <v>0</v>
      </c>
      <c r="AE104">
        <f>SUMIF(RawDataDead!$B:$B,$A104,RawDataDead!AH:AH)</f>
        <v>0</v>
      </c>
      <c r="AF104">
        <f>SUMIF(RawDataDead!$B:$B,$A104,RawDataDead!AI:AI)</f>
        <v>0</v>
      </c>
      <c r="AG104">
        <f>SUMIF(RawDataDead!$B:$B,$A104,RawDataDead!AJ:AJ)</f>
        <v>0</v>
      </c>
      <c r="AH104">
        <f>SUMIF(RawDataDead!$B:$B,$A104,RawDataDead!AK:AK)</f>
        <v>0</v>
      </c>
      <c r="AI104">
        <f>SUMIF(RawDataDead!$B:$B,$A104,RawDataDead!AL:AL)</f>
        <v>0</v>
      </c>
      <c r="AJ104">
        <f>SUMIF(RawDataDead!$B:$B,$A104,RawDataDead!AM:AM)</f>
        <v>0</v>
      </c>
      <c r="AK104">
        <f>SUMIF(RawDataDead!$B:$B,$A104,RawDataDead!AN:AN)</f>
        <v>0</v>
      </c>
      <c r="AL104">
        <f>SUMIF(RawDataDead!$B:$B,$A104,RawDataDead!AO:AO)</f>
        <v>0</v>
      </c>
      <c r="AM104">
        <f>SUMIF(RawDataDead!$B:$B,$A104,RawDataDead!AP:AP)</f>
        <v>0</v>
      </c>
      <c r="AN104">
        <f>SUMIF(RawDataDead!$B:$B,$A104,RawDataDead!AQ:AQ)</f>
        <v>0</v>
      </c>
      <c r="AO104">
        <f>SUMIF(RawDataDead!$B:$B,$A104,RawDataDead!AR:AR)</f>
        <v>0</v>
      </c>
      <c r="AP104">
        <f>SUMIF(RawDataDead!$B:$B,$A104,RawDataDead!AS:AS)</f>
        <v>0</v>
      </c>
      <c r="AQ104">
        <f>SUMIF(RawDataDead!$B:$B,$A104,RawDataDead!AT:AT)</f>
        <v>0</v>
      </c>
      <c r="AR104">
        <f>SUMIF(RawDataDead!$B:$B,$A104,RawDataDead!AU:AU)</f>
        <v>0</v>
      </c>
      <c r="AS104">
        <f>SUMIF(RawDataDead!$B:$B,$A104,RawDataDead!AV:AV)</f>
        <v>0</v>
      </c>
      <c r="AT104">
        <f>SUMIF(RawDataDead!$B:$B,$A104,RawDataDead!AW:AW)</f>
        <v>0</v>
      </c>
      <c r="AU104">
        <f>SUMIF(RawDataDead!$B:$B,$A104,RawDataDead!AX:AX)</f>
        <v>0</v>
      </c>
      <c r="AV104">
        <f>SUMIF(RawDataDead!$B:$B,$A104,RawDataDead!AY:AY)</f>
        <v>0</v>
      </c>
      <c r="AW104">
        <f>SUMIF(RawDataDead!$B:$B,$A104,RawDataDead!AZ:AZ)</f>
        <v>0</v>
      </c>
      <c r="AX104">
        <f>SUMIF(RawDataDead!$B:$B,$A104,RawDataDead!BA:BA)</f>
        <v>0</v>
      </c>
      <c r="AY104">
        <f>SUMIF(RawDataDead!$B:$B,$A104,RawDataDead!BB:BB)</f>
        <v>0</v>
      </c>
      <c r="AZ104">
        <f>SUMIF(RawDataDead!$B:$B,$A104,RawDataDead!BC:BC)</f>
        <v>0</v>
      </c>
      <c r="BA104">
        <f>SUMIF(RawDataDead!$B:$B,$A104,RawDataDead!BD:BD)</f>
        <v>0</v>
      </c>
      <c r="BB104">
        <f>SUMIF(RawDataDead!$B:$B,$A104,RawDataDead!BE:BE)</f>
        <v>0</v>
      </c>
      <c r="BC104">
        <f>SUMIF(RawDataDead!$B:$B,$A104,RawDataDead!BF:BF)</f>
        <v>0</v>
      </c>
      <c r="BD104">
        <f>SUMIF(RawDataDead!$B:$B,$A104,RawDataDead!BG:BG)</f>
        <v>0</v>
      </c>
      <c r="BE104">
        <f>SUMIF(RawDataDead!$B:$B,$A104,RawDataDead!BH:BH)</f>
        <v>0</v>
      </c>
      <c r="BF104">
        <f>SUMIF(RawDataDead!$B:$B,$A104,RawDataDead!BI:BI)</f>
        <v>0</v>
      </c>
      <c r="BG104">
        <f>SUMIF(RawDataDead!$B:$B,$A104,RawDataDead!BJ:BJ)</f>
        <v>0</v>
      </c>
      <c r="BH104">
        <f>SUMIF(RawDataDead!$B:$B,$A104,RawDataDead!BK:BK)</f>
        <v>0</v>
      </c>
      <c r="BI104">
        <f>SUMIF(RawDataDead!$B:$B,$A104,RawDataDead!BL:BL)</f>
        <v>0</v>
      </c>
      <c r="BJ104">
        <f>SUMIF(RawDataDead!$B:$B,$A104,RawDataDead!BM:BM)</f>
        <v>0</v>
      </c>
      <c r="BK104">
        <f>SUMIF(RawDataDead!$B:$B,$A104,RawDataDead!BN:BN)</f>
        <v>0</v>
      </c>
      <c r="BL104">
        <f>SUMIF(RawDataDead!$B:$B,$A104,RawDataDead!BO:BO)</f>
        <v>0</v>
      </c>
      <c r="BM104">
        <f>SUMIF(RawDataDead!$B:$B,$A104,RawDataDead!BP:BP)</f>
        <v>0</v>
      </c>
      <c r="BN104">
        <f>SUMIF(RawDataDead!$B:$B,$A104,RawDataDead!BQ:BQ)</f>
        <v>0</v>
      </c>
      <c r="BO104">
        <f>SUMIF(RawDataDead!$B:$B,$A104,RawDataDead!BR:BR)</f>
        <v>0</v>
      </c>
      <c r="BP104">
        <f>SUMIF(RawDataDead!$B:$B,$A104,RawDataDead!BS:BS)</f>
        <v>0</v>
      </c>
      <c r="BQ104">
        <f>SUMIF(RawDataDead!$B:$B,$A104,RawDataDead!BT:BT)</f>
        <v>0</v>
      </c>
      <c r="BR104">
        <f>SUMIF(RawDataDead!$B:$B,$A104,RawDataDead!BU:BU)</f>
        <v>0</v>
      </c>
      <c r="BS104">
        <f>SUMIF(RawDataDead!$B:$B,$A104,RawDataDead!BV:BV)</f>
        <v>0</v>
      </c>
      <c r="BT104">
        <f>SUMIF(RawDataDead!$B:$B,$A104,RawDataDead!BW:BW)</f>
        <v>0</v>
      </c>
    </row>
    <row r="105" spans="1:72" ht="15" thickBot="1" x14ac:dyDescent="0.35">
      <c r="A105" s="3" t="s">
        <v>184</v>
      </c>
      <c r="B105">
        <f>SUMIF(RawDataDead!$B:$B,$A105,RawDataDead!E:E)</f>
        <v>0</v>
      </c>
      <c r="C105">
        <f>SUMIF(RawDataDead!$B:$B,$A105,RawDataDead!F:F)</f>
        <v>0</v>
      </c>
      <c r="D105">
        <f>SUMIF(RawDataDead!$B:$B,$A105,RawDataDead!G:G)</f>
        <v>0</v>
      </c>
      <c r="E105">
        <f>SUMIF(RawDataDead!$B:$B,$A105,RawDataDead!H:H)</f>
        <v>0</v>
      </c>
      <c r="F105">
        <f>SUMIF(RawDataDead!$B:$B,$A105,RawDataDead!I:I)</f>
        <v>0</v>
      </c>
      <c r="G105">
        <f>SUMIF(RawDataDead!$B:$B,$A105,RawDataDead!J:J)</f>
        <v>0</v>
      </c>
      <c r="H105">
        <f>SUMIF(RawDataDead!$B:$B,$A105,RawDataDead!K:K)</f>
        <v>0</v>
      </c>
      <c r="I105">
        <f>SUMIF(RawDataDead!$B:$B,$A105,RawDataDead!L:L)</f>
        <v>0</v>
      </c>
      <c r="J105">
        <f>SUMIF(RawDataDead!$B:$B,$A105,RawDataDead!M:M)</f>
        <v>0</v>
      </c>
      <c r="K105">
        <f>SUMIF(RawDataDead!$B:$B,$A105,RawDataDead!N:N)</f>
        <v>0</v>
      </c>
      <c r="L105">
        <f>SUMIF(RawDataDead!$B:$B,$A105,RawDataDead!O:O)</f>
        <v>0</v>
      </c>
      <c r="M105">
        <f>SUMIF(RawDataDead!$B:$B,$A105,RawDataDead!P:P)</f>
        <v>0</v>
      </c>
      <c r="N105">
        <f>SUMIF(RawDataDead!$B:$B,$A105,RawDataDead!Q:Q)</f>
        <v>0</v>
      </c>
      <c r="O105">
        <f>SUMIF(RawDataDead!$B:$B,$A105,RawDataDead!R:R)</f>
        <v>0</v>
      </c>
      <c r="P105">
        <f>SUMIF(RawDataDead!$B:$B,$A105,RawDataDead!S:S)</f>
        <v>0</v>
      </c>
      <c r="Q105">
        <f>SUMIF(RawDataDead!$B:$B,$A105,RawDataDead!T:T)</f>
        <v>0</v>
      </c>
      <c r="R105">
        <f>SUMIF(RawDataDead!$B:$B,$A105,RawDataDead!U:U)</f>
        <v>0</v>
      </c>
      <c r="S105">
        <f>SUMIF(RawDataDead!$B:$B,$A105,RawDataDead!V:V)</f>
        <v>0</v>
      </c>
      <c r="T105">
        <f>SUMIF(RawDataDead!$B:$B,$A105,RawDataDead!W:W)</f>
        <v>0</v>
      </c>
      <c r="U105">
        <f>SUMIF(RawDataDead!$B:$B,$A105,RawDataDead!X:X)</f>
        <v>0</v>
      </c>
      <c r="V105">
        <f>SUMIF(RawDataDead!$B:$B,$A105,RawDataDead!Y:Y)</f>
        <v>0</v>
      </c>
      <c r="W105">
        <f>SUMIF(RawDataDead!$B:$B,$A105,RawDataDead!Z:Z)</f>
        <v>0</v>
      </c>
      <c r="X105">
        <f>SUMIF(RawDataDead!$B:$B,$A105,RawDataDead!AA:AA)</f>
        <v>0</v>
      </c>
      <c r="Y105">
        <f>SUMIF(RawDataDead!$B:$B,$A105,RawDataDead!AB:AB)</f>
        <v>0</v>
      </c>
      <c r="Z105">
        <f>SUMIF(RawDataDead!$B:$B,$A105,RawDataDead!AC:AC)</f>
        <v>0</v>
      </c>
      <c r="AA105">
        <f>SUMIF(RawDataDead!$B:$B,$A105,RawDataDead!AD:AD)</f>
        <v>0</v>
      </c>
      <c r="AB105">
        <f>SUMIF(RawDataDead!$B:$B,$A105,RawDataDead!AE:AE)</f>
        <v>0</v>
      </c>
      <c r="AC105">
        <f>SUMIF(RawDataDead!$B:$B,$A105,RawDataDead!AF:AF)</f>
        <v>0</v>
      </c>
      <c r="AD105">
        <f>SUMIF(RawDataDead!$B:$B,$A105,RawDataDead!AG:AG)</f>
        <v>0</v>
      </c>
      <c r="AE105">
        <f>SUMIF(RawDataDead!$B:$B,$A105,RawDataDead!AH:AH)</f>
        <v>0</v>
      </c>
      <c r="AF105">
        <f>SUMIF(RawDataDead!$B:$B,$A105,RawDataDead!AI:AI)</f>
        <v>0</v>
      </c>
      <c r="AG105">
        <f>SUMIF(RawDataDead!$B:$B,$A105,RawDataDead!AJ:AJ)</f>
        <v>0</v>
      </c>
      <c r="AH105">
        <f>SUMIF(RawDataDead!$B:$B,$A105,RawDataDead!AK:AK)</f>
        <v>0</v>
      </c>
      <c r="AI105">
        <f>SUMIF(RawDataDead!$B:$B,$A105,RawDataDead!AL:AL)</f>
        <v>0</v>
      </c>
      <c r="AJ105">
        <f>SUMIF(RawDataDead!$B:$B,$A105,RawDataDead!AM:AM)</f>
        <v>0</v>
      </c>
      <c r="AK105">
        <f>SUMIF(RawDataDead!$B:$B,$A105,RawDataDead!AN:AN)</f>
        <v>0</v>
      </c>
      <c r="AL105">
        <f>SUMIF(RawDataDead!$B:$B,$A105,RawDataDead!AO:AO)</f>
        <v>0</v>
      </c>
      <c r="AM105">
        <f>SUMIF(RawDataDead!$B:$B,$A105,RawDataDead!AP:AP)</f>
        <v>0</v>
      </c>
      <c r="AN105">
        <f>SUMIF(RawDataDead!$B:$B,$A105,RawDataDead!AQ:AQ)</f>
        <v>0</v>
      </c>
      <c r="AO105">
        <f>SUMIF(RawDataDead!$B:$B,$A105,RawDataDead!AR:AR)</f>
        <v>0</v>
      </c>
      <c r="AP105">
        <f>SUMIF(RawDataDead!$B:$B,$A105,RawDataDead!AS:AS)</f>
        <v>0</v>
      </c>
      <c r="AQ105">
        <f>SUMIF(RawDataDead!$B:$B,$A105,RawDataDead!AT:AT)</f>
        <v>0</v>
      </c>
      <c r="AR105">
        <f>SUMIF(RawDataDead!$B:$B,$A105,RawDataDead!AU:AU)</f>
        <v>0</v>
      </c>
      <c r="AS105">
        <f>SUMIF(RawDataDead!$B:$B,$A105,RawDataDead!AV:AV)</f>
        <v>0</v>
      </c>
      <c r="AT105">
        <f>SUMIF(RawDataDead!$B:$B,$A105,RawDataDead!AW:AW)</f>
        <v>0</v>
      </c>
      <c r="AU105">
        <f>SUMIF(RawDataDead!$B:$B,$A105,RawDataDead!AX:AX)</f>
        <v>0</v>
      </c>
      <c r="AV105">
        <f>SUMIF(RawDataDead!$B:$B,$A105,RawDataDead!AY:AY)</f>
        <v>0</v>
      </c>
      <c r="AW105">
        <f>SUMIF(RawDataDead!$B:$B,$A105,RawDataDead!AZ:AZ)</f>
        <v>0</v>
      </c>
      <c r="AX105">
        <f>SUMIF(RawDataDead!$B:$B,$A105,RawDataDead!BA:BA)</f>
        <v>0</v>
      </c>
      <c r="AY105">
        <f>SUMIF(RawDataDead!$B:$B,$A105,RawDataDead!BB:BB)</f>
        <v>0</v>
      </c>
      <c r="AZ105">
        <f>SUMIF(RawDataDead!$B:$B,$A105,RawDataDead!BC:BC)</f>
        <v>0</v>
      </c>
      <c r="BA105">
        <f>SUMIF(RawDataDead!$B:$B,$A105,RawDataDead!BD:BD)</f>
        <v>0</v>
      </c>
      <c r="BB105">
        <f>SUMIF(RawDataDead!$B:$B,$A105,RawDataDead!BE:BE)</f>
        <v>0</v>
      </c>
      <c r="BC105">
        <f>SUMIF(RawDataDead!$B:$B,$A105,RawDataDead!BF:BF)</f>
        <v>0</v>
      </c>
      <c r="BD105">
        <f>SUMIF(RawDataDead!$B:$B,$A105,RawDataDead!BG:BG)</f>
        <v>0</v>
      </c>
      <c r="BE105">
        <f>SUMIF(RawDataDead!$B:$B,$A105,RawDataDead!BH:BH)</f>
        <v>0</v>
      </c>
      <c r="BF105">
        <f>SUMIF(RawDataDead!$B:$B,$A105,RawDataDead!BI:BI)</f>
        <v>0</v>
      </c>
      <c r="BG105">
        <f>SUMIF(RawDataDead!$B:$B,$A105,RawDataDead!BJ:BJ)</f>
        <v>0</v>
      </c>
      <c r="BH105">
        <f>SUMIF(RawDataDead!$B:$B,$A105,RawDataDead!BK:BK)</f>
        <v>0</v>
      </c>
      <c r="BI105">
        <f>SUMIF(RawDataDead!$B:$B,$A105,RawDataDead!BL:BL)</f>
        <v>0</v>
      </c>
      <c r="BJ105">
        <f>SUMIF(RawDataDead!$B:$B,$A105,RawDataDead!BM:BM)</f>
        <v>0</v>
      </c>
      <c r="BK105">
        <f>SUMIF(RawDataDead!$B:$B,$A105,RawDataDead!BN:BN)</f>
        <v>0</v>
      </c>
      <c r="BL105">
        <f>SUMIF(RawDataDead!$B:$B,$A105,RawDataDead!BO:BO)</f>
        <v>0</v>
      </c>
      <c r="BM105">
        <f>SUMIF(RawDataDead!$B:$B,$A105,RawDataDead!BP:BP)</f>
        <v>0</v>
      </c>
      <c r="BN105">
        <f>SUMIF(RawDataDead!$B:$B,$A105,RawDataDead!BQ:BQ)</f>
        <v>0</v>
      </c>
      <c r="BO105">
        <f>SUMIF(RawDataDead!$B:$B,$A105,RawDataDead!BR:BR)</f>
        <v>0</v>
      </c>
      <c r="BP105">
        <f>SUMIF(RawDataDead!$B:$B,$A105,RawDataDead!BS:BS)</f>
        <v>0</v>
      </c>
      <c r="BQ105">
        <f>SUMIF(RawDataDead!$B:$B,$A105,RawDataDead!BT:BT)</f>
        <v>0</v>
      </c>
      <c r="BR105">
        <f>SUMIF(RawDataDead!$B:$B,$A105,RawDataDead!BU:BU)</f>
        <v>0</v>
      </c>
      <c r="BS105">
        <f>SUMIF(RawDataDead!$B:$B,$A105,RawDataDead!BV:BV)</f>
        <v>0</v>
      </c>
      <c r="BT105">
        <f>SUMIF(RawDataDead!$B:$B,$A105,RawDataDead!BW:BW)</f>
        <v>0</v>
      </c>
    </row>
    <row r="106" spans="1:72" ht="15" thickBot="1" x14ac:dyDescent="0.35">
      <c r="A106" s="4" t="s">
        <v>379</v>
      </c>
      <c r="B106">
        <f>SUMIF(RawDataDead!$B:$B,$A106,RawDataDead!E:E)</f>
        <v>0</v>
      </c>
      <c r="C106">
        <f>SUMIF(RawDataDead!$B:$B,$A106,RawDataDead!F:F)</f>
        <v>0</v>
      </c>
      <c r="D106">
        <f>SUMIF(RawDataDead!$B:$B,$A106,RawDataDead!G:G)</f>
        <v>0</v>
      </c>
      <c r="E106">
        <f>SUMIF(RawDataDead!$B:$B,$A106,RawDataDead!H:H)</f>
        <v>0</v>
      </c>
      <c r="F106">
        <f>SUMIF(RawDataDead!$B:$B,$A106,RawDataDead!I:I)</f>
        <v>0</v>
      </c>
      <c r="G106">
        <f>SUMIF(RawDataDead!$B:$B,$A106,RawDataDead!J:J)</f>
        <v>0</v>
      </c>
      <c r="H106">
        <f>SUMIF(RawDataDead!$B:$B,$A106,RawDataDead!K:K)</f>
        <v>0</v>
      </c>
      <c r="I106">
        <f>SUMIF(RawDataDead!$B:$B,$A106,RawDataDead!L:L)</f>
        <v>0</v>
      </c>
      <c r="J106">
        <f>SUMIF(RawDataDead!$B:$B,$A106,RawDataDead!M:M)</f>
        <v>0</v>
      </c>
      <c r="K106">
        <f>SUMIF(RawDataDead!$B:$B,$A106,RawDataDead!N:N)</f>
        <v>0</v>
      </c>
      <c r="L106">
        <f>SUMIF(RawDataDead!$B:$B,$A106,RawDataDead!O:O)</f>
        <v>0</v>
      </c>
      <c r="M106">
        <f>SUMIF(RawDataDead!$B:$B,$A106,RawDataDead!P:P)</f>
        <v>0</v>
      </c>
      <c r="N106">
        <f>SUMIF(RawDataDead!$B:$B,$A106,RawDataDead!Q:Q)</f>
        <v>0</v>
      </c>
      <c r="O106">
        <f>SUMIF(RawDataDead!$B:$B,$A106,RawDataDead!R:R)</f>
        <v>0</v>
      </c>
      <c r="P106">
        <f>SUMIF(RawDataDead!$B:$B,$A106,RawDataDead!S:S)</f>
        <v>0</v>
      </c>
      <c r="Q106">
        <f>SUMIF(RawDataDead!$B:$B,$A106,RawDataDead!T:T)</f>
        <v>0</v>
      </c>
      <c r="R106">
        <f>SUMIF(RawDataDead!$B:$B,$A106,RawDataDead!U:U)</f>
        <v>0</v>
      </c>
      <c r="S106">
        <f>SUMIF(RawDataDead!$B:$B,$A106,RawDataDead!V:V)</f>
        <v>0</v>
      </c>
      <c r="T106">
        <f>SUMIF(RawDataDead!$B:$B,$A106,RawDataDead!W:W)</f>
        <v>0</v>
      </c>
      <c r="U106">
        <f>SUMIF(RawDataDead!$B:$B,$A106,RawDataDead!X:X)</f>
        <v>0</v>
      </c>
      <c r="V106">
        <f>SUMIF(RawDataDead!$B:$B,$A106,RawDataDead!Y:Y)</f>
        <v>0</v>
      </c>
      <c r="W106">
        <f>SUMIF(RawDataDead!$B:$B,$A106,RawDataDead!Z:Z)</f>
        <v>0</v>
      </c>
      <c r="X106">
        <f>SUMIF(RawDataDead!$B:$B,$A106,RawDataDead!AA:AA)</f>
        <v>0</v>
      </c>
      <c r="Y106">
        <f>SUMIF(RawDataDead!$B:$B,$A106,RawDataDead!AB:AB)</f>
        <v>0</v>
      </c>
      <c r="Z106">
        <f>SUMIF(RawDataDead!$B:$B,$A106,RawDataDead!AC:AC)</f>
        <v>0</v>
      </c>
      <c r="AA106">
        <f>SUMIF(RawDataDead!$B:$B,$A106,RawDataDead!AD:AD)</f>
        <v>0</v>
      </c>
      <c r="AB106">
        <f>SUMIF(RawDataDead!$B:$B,$A106,RawDataDead!AE:AE)</f>
        <v>0</v>
      </c>
      <c r="AC106">
        <f>SUMIF(RawDataDead!$B:$B,$A106,RawDataDead!AF:AF)</f>
        <v>0</v>
      </c>
      <c r="AD106">
        <f>SUMIF(RawDataDead!$B:$B,$A106,RawDataDead!AG:AG)</f>
        <v>0</v>
      </c>
      <c r="AE106">
        <f>SUMIF(RawDataDead!$B:$B,$A106,RawDataDead!AH:AH)</f>
        <v>0</v>
      </c>
      <c r="AF106">
        <f>SUMIF(RawDataDead!$B:$B,$A106,RawDataDead!AI:AI)</f>
        <v>0</v>
      </c>
      <c r="AG106">
        <f>SUMIF(RawDataDead!$B:$B,$A106,RawDataDead!AJ:AJ)</f>
        <v>0</v>
      </c>
      <c r="AH106">
        <f>SUMIF(RawDataDead!$B:$B,$A106,RawDataDead!AK:AK)</f>
        <v>0</v>
      </c>
      <c r="AI106">
        <f>SUMIF(RawDataDead!$B:$B,$A106,RawDataDead!AL:AL)</f>
        <v>0</v>
      </c>
      <c r="AJ106">
        <f>SUMIF(RawDataDead!$B:$B,$A106,RawDataDead!AM:AM)</f>
        <v>0</v>
      </c>
      <c r="AK106">
        <f>SUMIF(RawDataDead!$B:$B,$A106,RawDataDead!AN:AN)</f>
        <v>0</v>
      </c>
      <c r="AL106">
        <f>SUMIF(RawDataDead!$B:$B,$A106,RawDataDead!AO:AO)</f>
        <v>0</v>
      </c>
      <c r="AM106">
        <f>SUMIF(RawDataDead!$B:$B,$A106,RawDataDead!AP:AP)</f>
        <v>0</v>
      </c>
      <c r="AN106">
        <f>SUMIF(RawDataDead!$B:$B,$A106,RawDataDead!AQ:AQ)</f>
        <v>0</v>
      </c>
      <c r="AO106">
        <f>SUMIF(RawDataDead!$B:$B,$A106,RawDataDead!AR:AR)</f>
        <v>0</v>
      </c>
      <c r="AP106">
        <f>SUMIF(RawDataDead!$B:$B,$A106,RawDataDead!AS:AS)</f>
        <v>0</v>
      </c>
      <c r="AQ106">
        <f>SUMIF(RawDataDead!$B:$B,$A106,RawDataDead!AT:AT)</f>
        <v>0</v>
      </c>
      <c r="AR106">
        <f>SUMIF(RawDataDead!$B:$B,$A106,RawDataDead!AU:AU)</f>
        <v>0</v>
      </c>
      <c r="AS106">
        <f>SUMIF(RawDataDead!$B:$B,$A106,RawDataDead!AV:AV)</f>
        <v>0</v>
      </c>
      <c r="AT106">
        <f>SUMIF(RawDataDead!$B:$B,$A106,RawDataDead!AW:AW)</f>
        <v>0</v>
      </c>
      <c r="AU106">
        <f>SUMIF(RawDataDead!$B:$B,$A106,RawDataDead!AX:AX)</f>
        <v>0</v>
      </c>
      <c r="AV106">
        <f>SUMIF(RawDataDead!$B:$B,$A106,RawDataDead!AY:AY)</f>
        <v>0</v>
      </c>
      <c r="AW106">
        <f>SUMIF(RawDataDead!$B:$B,$A106,RawDataDead!AZ:AZ)</f>
        <v>0</v>
      </c>
      <c r="AX106">
        <f>SUMIF(RawDataDead!$B:$B,$A106,RawDataDead!BA:BA)</f>
        <v>0</v>
      </c>
      <c r="AY106">
        <f>SUMIF(RawDataDead!$B:$B,$A106,RawDataDead!BB:BB)</f>
        <v>0</v>
      </c>
      <c r="AZ106">
        <f>SUMIF(RawDataDead!$B:$B,$A106,RawDataDead!BC:BC)</f>
        <v>0</v>
      </c>
      <c r="BA106">
        <f>SUMIF(RawDataDead!$B:$B,$A106,RawDataDead!BD:BD)</f>
        <v>0</v>
      </c>
      <c r="BB106">
        <f>SUMIF(RawDataDead!$B:$B,$A106,RawDataDead!BE:BE)</f>
        <v>0</v>
      </c>
      <c r="BC106">
        <f>SUMIF(RawDataDead!$B:$B,$A106,RawDataDead!BF:BF)</f>
        <v>0</v>
      </c>
      <c r="BD106">
        <f>SUMIF(RawDataDead!$B:$B,$A106,RawDataDead!BG:BG)</f>
        <v>0</v>
      </c>
      <c r="BE106">
        <f>SUMIF(RawDataDead!$B:$B,$A106,RawDataDead!BH:BH)</f>
        <v>0</v>
      </c>
      <c r="BF106">
        <f>SUMIF(RawDataDead!$B:$B,$A106,RawDataDead!BI:BI)</f>
        <v>0</v>
      </c>
      <c r="BG106">
        <f>SUMIF(RawDataDead!$B:$B,$A106,RawDataDead!BJ:BJ)</f>
        <v>0</v>
      </c>
      <c r="BH106">
        <f>SUMIF(RawDataDead!$B:$B,$A106,RawDataDead!BK:BK)</f>
        <v>0</v>
      </c>
      <c r="BI106">
        <f>SUMIF(RawDataDead!$B:$B,$A106,RawDataDead!BL:BL)</f>
        <v>0</v>
      </c>
      <c r="BJ106">
        <f>SUMIF(RawDataDead!$B:$B,$A106,RawDataDead!BM:BM)</f>
        <v>0</v>
      </c>
      <c r="BK106">
        <f>SUMIF(RawDataDead!$B:$B,$A106,RawDataDead!BN:BN)</f>
        <v>0</v>
      </c>
      <c r="BL106">
        <f>SUMIF(RawDataDead!$B:$B,$A106,RawDataDead!BO:BO)</f>
        <v>0</v>
      </c>
      <c r="BM106">
        <f>SUMIF(RawDataDead!$B:$B,$A106,RawDataDead!BP:BP)</f>
        <v>0</v>
      </c>
      <c r="BN106">
        <f>SUMIF(RawDataDead!$B:$B,$A106,RawDataDead!BQ:BQ)</f>
        <v>0</v>
      </c>
      <c r="BO106">
        <f>SUMIF(RawDataDead!$B:$B,$A106,RawDataDead!BR:BR)</f>
        <v>0</v>
      </c>
      <c r="BP106">
        <f>SUMIF(RawDataDead!$B:$B,$A106,RawDataDead!BS:BS)</f>
        <v>0</v>
      </c>
      <c r="BQ106">
        <f>SUMIF(RawDataDead!$B:$B,$A106,RawDataDead!BT:BT)</f>
        <v>0</v>
      </c>
      <c r="BR106">
        <f>SUMIF(RawDataDead!$B:$B,$A106,RawDataDead!BU:BU)</f>
        <v>0</v>
      </c>
      <c r="BS106">
        <f>SUMIF(RawDataDead!$B:$B,$A106,RawDataDead!BV:BV)</f>
        <v>0</v>
      </c>
      <c r="BT106">
        <f>SUMIF(RawDataDead!$B:$B,$A106,RawDataDead!BW:BW)</f>
        <v>0</v>
      </c>
    </row>
    <row r="107" spans="1:72" ht="15" thickBot="1" x14ac:dyDescent="0.35">
      <c r="A107" s="4" t="s">
        <v>376</v>
      </c>
      <c r="B107">
        <f>SUMIF(RawDataDead!$B:$B,$A107,RawDataDead!E:E)</f>
        <v>0</v>
      </c>
      <c r="C107">
        <f>SUMIF(RawDataDead!$B:$B,$A107,RawDataDead!F:F)</f>
        <v>0</v>
      </c>
      <c r="D107">
        <f>SUMIF(RawDataDead!$B:$B,$A107,RawDataDead!G:G)</f>
        <v>0</v>
      </c>
      <c r="E107">
        <f>SUMIF(RawDataDead!$B:$B,$A107,RawDataDead!H:H)</f>
        <v>0</v>
      </c>
      <c r="F107">
        <f>SUMIF(RawDataDead!$B:$B,$A107,RawDataDead!I:I)</f>
        <v>0</v>
      </c>
      <c r="G107">
        <f>SUMIF(RawDataDead!$B:$B,$A107,RawDataDead!J:J)</f>
        <v>0</v>
      </c>
      <c r="H107">
        <f>SUMIF(RawDataDead!$B:$B,$A107,RawDataDead!K:K)</f>
        <v>0</v>
      </c>
      <c r="I107">
        <f>SUMIF(RawDataDead!$B:$B,$A107,RawDataDead!L:L)</f>
        <v>0</v>
      </c>
      <c r="J107">
        <f>SUMIF(RawDataDead!$B:$B,$A107,RawDataDead!M:M)</f>
        <v>0</v>
      </c>
      <c r="K107">
        <f>SUMIF(RawDataDead!$B:$B,$A107,RawDataDead!N:N)</f>
        <v>0</v>
      </c>
      <c r="L107">
        <f>SUMIF(RawDataDead!$B:$B,$A107,RawDataDead!O:O)</f>
        <v>0</v>
      </c>
      <c r="M107">
        <f>SUMIF(RawDataDead!$B:$B,$A107,RawDataDead!P:P)</f>
        <v>0</v>
      </c>
      <c r="N107">
        <f>SUMIF(RawDataDead!$B:$B,$A107,RawDataDead!Q:Q)</f>
        <v>0</v>
      </c>
      <c r="O107">
        <f>SUMIF(RawDataDead!$B:$B,$A107,RawDataDead!R:R)</f>
        <v>0</v>
      </c>
      <c r="P107">
        <f>SUMIF(RawDataDead!$B:$B,$A107,RawDataDead!S:S)</f>
        <v>0</v>
      </c>
      <c r="Q107">
        <f>SUMIF(RawDataDead!$B:$B,$A107,RawDataDead!T:T)</f>
        <v>0</v>
      </c>
      <c r="R107">
        <f>SUMIF(RawDataDead!$B:$B,$A107,RawDataDead!U:U)</f>
        <v>0</v>
      </c>
      <c r="S107">
        <f>SUMIF(RawDataDead!$B:$B,$A107,RawDataDead!V:V)</f>
        <v>0</v>
      </c>
      <c r="T107">
        <f>SUMIF(RawDataDead!$B:$B,$A107,RawDataDead!W:W)</f>
        <v>0</v>
      </c>
      <c r="U107">
        <f>SUMIF(RawDataDead!$B:$B,$A107,RawDataDead!X:X)</f>
        <v>0</v>
      </c>
      <c r="V107">
        <f>SUMIF(RawDataDead!$B:$B,$A107,RawDataDead!Y:Y)</f>
        <v>0</v>
      </c>
      <c r="W107">
        <f>SUMIF(RawDataDead!$B:$B,$A107,RawDataDead!Z:Z)</f>
        <v>0</v>
      </c>
      <c r="X107">
        <f>SUMIF(RawDataDead!$B:$B,$A107,RawDataDead!AA:AA)</f>
        <v>0</v>
      </c>
      <c r="Y107">
        <f>SUMIF(RawDataDead!$B:$B,$A107,RawDataDead!AB:AB)</f>
        <v>0</v>
      </c>
      <c r="Z107">
        <f>SUMIF(RawDataDead!$B:$B,$A107,RawDataDead!AC:AC)</f>
        <v>0</v>
      </c>
      <c r="AA107">
        <f>SUMIF(RawDataDead!$B:$B,$A107,RawDataDead!AD:AD)</f>
        <v>0</v>
      </c>
      <c r="AB107">
        <f>SUMIF(RawDataDead!$B:$B,$A107,RawDataDead!AE:AE)</f>
        <v>0</v>
      </c>
      <c r="AC107">
        <f>SUMIF(RawDataDead!$B:$B,$A107,RawDataDead!AF:AF)</f>
        <v>0</v>
      </c>
      <c r="AD107">
        <f>SUMIF(RawDataDead!$B:$B,$A107,RawDataDead!AG:AG)</f>
        <v>0</v>
      </c>
      <c r="AE107">
        <f>SUMIF(RawDataDead!$B:$B,$A107,RawDataDead!AH:AH)</f>
        <v>0</v>
      </c>
      <c r="AF107">
        <f>SUMIF(RawDataDead!$B:$B,$A107,RawDataDead!AI:AI)</f>
        <v>0</v>
      </c>
      <c r="AG107">
        <f>SUMIF(RawDataDead!$B:$B,$A107,RawDataDead!AJ:AJ)</f>
        <v>0</v>
      </c>
      <c r="AH107">
        <f>SUMIF(RawDataDead!$B:$B,$A107,RawDataDead!AK:AK)</f>
        <v>0</v>
      </c>
      <c r="AI107">
        <f>SUMIF(RawDataDead!$B:$B,$A107,RawDataDead!AL:AL)</f>
        <v>0</v>
      </c>
      <c r="AJ107">
        <f>SUMIF(RawDataDead!$B:$B,$A107,RawDataDead!AM:AM)</f>
        <v>0</v>
      </c>
      <c r="AK107">
        <f>SUMIF(RawDataDead!$B:$B,$A107,RawDataDead!AN:AN)</f>
        <v>0</v>
      </c>
      <c r="AL107">
        <f>SUMIF(RawDataDead!$B:$B,$A107,RawDataDead!AO:AO)</f>
        <v>0</v>
      </c>
      <c r="AM107">
        <f>SUMIF(RawDataDead!$B:$B,$A107,RawDataDead!AP:AP)</f>
        <v>0</v>
      </c>
      <c r="AN107">
        <f>SUMIF(RawDataDead!$B:$B,$A107,RawDataDead!AQ:AQ)</f>
        <v>0</v>
      </c>
      <c r="AO107">
        <f>SUMIF(RawDataDead!$B:$B,$A107,RawDataDead!AR:AR)</f>
        <v>0</v>
      </c>
      <c r="AP107">
        <f>SUMIF(RawDataDead!$B:$B,$A107,RawDataDead!AS:AS)</f>
        <v>0</v>
      </c>
      <c r="AQ107">
        <f>SUMIF(RawDataDead!$B:$B,$A107,RawDataDead!AT:AT)</f>
        <v>0</v>
      </c>
      <c r="AR107">
        <f>SUMIF(RawDataDead!$B:$B,$A107,RawDataDead!AU:AU)</f>
        <v>0</v>
      </c>
      <c r="AS107">
        <f>SUMIF(RawDataDead!$B:$B,$A107,RawDataDead!AV:AV)</f>
        <v>0</v>
      </c>
      <c r="AT107">
        <f>SUMIF(RawDataDead!$B:$B,$A107,RawDataDead!AW:AW)</f>
        <v>0</v>
      </c>
      <c r="AU107">
        <f>SUMIF(RawDataDead!$B:$B,$A107,RawDataDead!AX:AX)</f>
        <v>0</v>
      </c>
      <c r="AV107">
        <f>SUMIF(RawDataDead!$B:$B,$A107,RawDataDead!AY:AY)</f>
        <v>0</v>
      </c>
      <c r="AW107">
        <f>SUMIF(RawDataDead!$B:$B,$A107,RawDataDead!AZ:AZ)</f>
        <v>0</v>
      </c>
      <c r="AX107">
        <f>SUMIF(RawDataDead!$B:$B,$A107,RawDataDead!BA:BA)</f>
        <v>0</v>
      </c>
      <c r="AY107">
        <f>SUMIF(RawDataDead!$B:$B,$A107,RawDataDead!BB:BB)</f>
        <v>0</v>
      </c>
      <c r="AZ107">
        <f>SUMIF(RawDataDead!$B:$B,$A107,RawDataDead!BC:BC)</f>
        <v>0</v>
      </c>
      <c r="BA107">
        <f>SUMIF(RawDataDead!$B:$B,$A107,RawDataDead!BD:BD)</f>
        <v>0</v>
      </c>
      <c r="BB107">
        <f>SUMIF(RawDataDead!$B:$B,$A107,RawDataDead!BE:BE)</f>
        <v>0</v>
      </c>
      <c r="BC107">
        <f>SUMIF(RawDataDead!$B:$B,$A107,RawDataDead!BF:BF)</f>
        <v>0</v>
      </c>
      <c r="BD107">
        <f>SUMIF(RawDataDead!$B:$B,$A107,RawDataDead!BG:BG)</f>
        <v>0</v>
      </c>
      <c r="BE107">
        <f>SUMIF(RawDataDead!$B:$B,$A107,RawDataDead!BH:BH)</f>
        <v>0</v>
      </c>
      <c r="BF107">
        <f>SUMIF(RawDataDead!$B:$B,$A107,RawDataDead!BI:BI)</f>
        <v>0</v>
      </c>
      <c r="BG107">
        <f>SUMIF(RawDataDead!$B:$B,$A107,RawDataDead!BJ:BJ)</f>
        <v>0</v>
      </c>
      <c r="BH107">
        <f>SUMIF(RawDataDead!$B:$B,$A107,RawDataDead!BK:BK)</f>
        <v>0</v>
      </c>
      <c r="BI107">
        <f>SUMIF(RawDataDead!$B:$B,$A107,RawDataDead!BL:BL)</f>
        <v>0</v>
      </c>
      <c r="BJ107">
        <f>SUMIF(RawDataDead!$B:$B,$A107,RawDataDead!BM:BM)</f>
        <v>0</v>
      </c>
      <c r="BK107">
        <f>SUMIF(RawDataDead!$B:$B,$A107,RawDataDead!BN:BN)</f>
        <v>0</v>
      </c>
      <c r="BL107">
        <f>SUMIF(RawDataDead!$B:$B,$A107,RawDataDead!BO:BO)</f>
        <v>0</v>
      </c>
      <c r="BM107">
        <f>SUMIF(RawDataDead!$B:$B,$A107,RawDataDead!BP:BP)</f>
        <v>0</v>
      </c>
      <c r="BN107">
        <f>SUMIF(RawDataDead!$B:$B,$A107,RawDataDead!BQ:BQ)</f>
        <v>0</v>
      </c>
      <c r="BO107">
        <f>SUMIF(RawDataDead!$B:$B,$A107,RawDataDead!BR:BR)</f>
        <v>0</v>
      </c>
      <c r="BP107">
        <f>SUMIF(RawDataDead!$B:$B,$A107,RawDataDead!BS:BS)</f>
        <v>0</v>
      </c>
      <c r="BQ107">
        <f>SUMIF(RawDataDead!$B:$B,$A107,RawDataDead!BT:BT)</f>
        <v>0</v>
      </c>
      <c r="BR107">
        <f>SUMIF(RawDataDead!$B:$B,$A107,RawDataDead!BU:BU)</f>
        <v>0</v>
      </c>
      <c r="BS107">
        <f>SUMIF(RawDataDead!$B:$B,$A107,RawDataDead!BV:BV)</f>
        <v>0</v>
      </c>
      <c r="BT107">
        <f>SUMIF(RawDataDead!$B:$B,$A107,RawDataDead!BW:BW)</f>
        <v>0</v>
      </c>
    </row>
    <row r="108" spans="1:72" ht="15" thickBot="1" x14ac:dyDescent="0.35">
      <c r="A108" s="4" t="s">
        <v>127</v>
      </c>
      <c r="B108">
        <f>SUMIF(RawDataDead!$B:$B,$A108,RawDataDead!E:E)</f>
        <v>0</v>
      </c>
      <c r="C108">
        <f>SUMIF(RawDataDead!$B:$B,$A108,RawDataDead!F:F)</f>
        <v>0</v>
      </c>
      <c r="D108">
        <f>SUMIF(RawDataDead!$B:$B,$A108,RawDataDead!G:G)</f>
        <v>0</v>
      </c>
      <c r="E108">
        <f>SUMIF(RawDataDead!$B:$B,$A108,RawDataDead!H:H)</f>
        <v>0</v>
      </c>
      <c r="F108">
        <f>SUMIF(RawDataDead!$B:$B,$A108,RawDataDead!I:I)</f>
        <v>0</v>
      </c>
      <c r="G108">
        <f>SUMIF(RawDataDead!$B:$B,$A108,RawDataDead!J:J)</f>
        <v>0</v>
      </c>
      <c r="H108">
        <f>SUMIF(RawDataDead!$B:$B,$A108,RawDataDead!K:K)</f>
        <v>0</v>
      </c>
      <c r="I108">
        <f>SUMIF(RawDataDead!$B:$B,$A108,RawDataDead!L:L)</f>
        <v>0</v>
      </c>
      <c r="J108">
        <f>SUMIF(RawDataDead!$B:$B,$A108,RawDataDead!M:M)</f>
        <v>0</v>
      </c>
      <c r="K108">
        <f>SUMIF(RawDataDead!$B:$B,$A108,RawDataDead!N:N)</f>
        <v>0</v>
      </c>
      <c r="L108">
        <f>SUMIF(RawDataDead!$B:$B,$A108,RawDataDead!O:O)</f>
        <v>0</v>
      </c>
      <c r="M108">
        <f>SUMIF(RawDataDead!$B:$B,$A108,RawDataDead!P:P)</f>
        <v>0</v>
      </c>
      <c r="N108">
        <f>SUMIF(RawDataDead!$B:$B,$A108,RawDataDead!Q:Q)</f>
        <v>0</v>
      </c>
      <c r="O108">
        <f>SUMIF(RawDataDead!$B:$B,$A108,RawDataDead!R:R)</f>
        <v>0</v>
      </c>
      <c r="P108">
        <f>SUMIF(RawDataDead!$B:$B,$A108,RawDataDead!S:S)</f>
        <v>0</v>
      </c>
      <c r="Q108">
        <f>SUMIF(RawDataDead!$B:$B,$A108,RawDataDead!T:T)</f>
        <v>0</v>
      </c>
      <c r="R108">
        <f>SUMIF(RawDataDead!$B:$B,$A108,RawDataDead!U:U)</f>
        <v>0</v>
      </c>
      <c r="S108">
        <f>SUMIF(RawDataDead!$B:$B,$A108,RawDataDead!V:V)</f>
        <v>0</v>
      </c>
      <c r="T108">
        <f>SUMIF(RawDataDead!$B:$B,$A108,RawDataDead!W:W)</f>
        <v>0</v>
      </c>
      <c r="U108">
        <f>SUMIF(RawDataDead!$B:$B,$A108,RawDataDead!X:X)</f>
        <v>0</v>
      </c>
      <c r="V108">
        <f>SUMIF(RawDataDead!$B:$B,$A108,RawDataDead!Y:Y)</f>
        <v>0</v>
      </c>
      <c r="W108">
        <f>SUMIF(RawDataDead!$B:$B,$A108,RawDataDead!Z:Z)</f>
        <v>0</v>
      </c>
      <c r="X108">
        <f>SUMIF(RawDataDead!$B:$B,$A108,RawDataDead!AA:AA)</f>
        <v>0</v>
      </c>
      <c r="Y108">
        <f>SUMIF(RawDataDead!$B:$B,$A108,RawDataDead!AB:AB)</f>
        <v>0</v>
      </c>
      <c r="Z108">
        <f>SUMIF(RawDataDead!$B:$B,$A108,RawDataDead!AC:AC)</f>
        <v>0</v>
      </c>
      <c r="AA108">
        <f>SUMIF(RawDataDead!$B:$B,$A108,RawDataDead!AD:AD)</f>
        <v>0</v>
      </c>
      <c r="AB108">
        <f>SUMIF(RawDataDead!$B:$B,$A108,RawDataDead!AE:AE)</f>
        <v>0</v>
      </c>
      <c r="AC108">
        <f>SUMIF(RawDataDead!$B:$B,$A108,RawDataDead!AF:AF)</f>
        <v>0</v>
      </c>
      <c r="AD108">
        <f>SUMIF(RawDataDead!$B:$B,$A108,RawDataDead!AG:AG)</f>
        <v>0</v>
      </c>
      <c r="AE108">
        <f>SUMIF(RawDataDead!$B:$B,$A108,RawDataDead!AH:AH)</f>
        <v>0</v>
      </c>
      <c r="AF108">
        <f>SUMIF(RawDataDead!$B:$B,$A108,RawDataDead!AI:AI)</f>
        <v>0</v>
      </c>
      <c r="AG108">
        <f>SUMIF(RawDataDead!$B:$B,$A108,RawDataDead!AJ:AJ)</f>
        <v>0</v>
      </c>
      <c r="AH108">
        <f>SUMIF(RawDataDead!$B:$B,$A108,RawDataDead!AK:AK)</f>
        <v>0</v>
      </c>
      <c r="AI108">
        <f>SUMIF(RawDataDead!$B:$B,$A108,RawDataDead!AL:AL)</f>
        <v>0</v>
      </c>
      <c r="AJ108">
        <f>SUMIF(RawDataDead!$B:$B,$A108,RawDataDead!AM:AM)</f>
        <v>0</v>
      </c>
      <c r="AK108">
        <f>SUMIF(RawDataDead!$B:$B,$A108,RawDataDead!AN:AN)</f>
        <v>0</v>
      </c>
      <c r="AL108">
        <f>SUMIF(RawDataDead!$B:$B,$A108,RawDataDead!AO:AO)</f>
        <v>0</v>
      </c>
      <c r="AM108">
        <f>SUMIF(RawDataDead!$B:$B,$A108,RawDataDead!AP:AP)</f>
        <v>0</v>
      </c>
      <c r="AN108">
        <f>SUMIF(RawDataDead!$B:$B,$A108,RawDataDead!AQ:AQ)</f>
        <v>0</v>
      </c>
      <c r="AO108">
        <f>SUMIF(RawDataDead!$B:$B,$A108,RawDataDead!AR:AR)</f>
        <v>0</v>
      </c>
      <c r="AP108">
        <f>SUMIF(RawDataDead!$B:$B,$A108,RawDataDead!AS:AS)</f>
        <v>0</v>
      </c>
      <c r="AQ108">
        <f>SUMIF(RawDataDead!$B:$B,$A108,RawDataDead!AT:AT)</f>
        <v>0</v>
      </c>
      <c r="AR108">
        <f>SUMIF(RawDataDead!$B:$B,$A108,RawDataDead!AU:AU)</f>
        <v>0</v>
      </c>
      <c r="AS108">
        <f>SUMIF(RawDataDead!$B:$B,$A108,RawDataDead!AV:AV)</f>
        <v>0</v>
      </c>
      <c r="AT108">
        <f>SUMIF(RawDataDead!$B:$B,$A108,RawDataDead!AW:AW)</f>
        <v>0</v>
      </c>
      <c r="AU108">
        <f>SUMIF(RawDataDead!$B:$B,$A108,RawDataDead!AX:AX)</f>
        <v>0</v>
      </c>
      <c r="AV108">
        <f>SUMIF(RawDataDead!$B:$B,$A108,RawDataDead!AY:AY)</f>
        <v>0</v>
      </c>
      <c r="AW108">
        <f>SUMIF(RawDataDead!$B:$B,$A108,RawDataDead!AZ:AZ)</f>
        <v>0</v>
      </c>
      <c r="AX108">
        <f>SUMIF(RawDataDead!$B:$B,$A108,RawDataDead!BA:BA)</f>
        <v>0</v>
      </c>
      <c r="AY108">
        <f>SUMIF(RawDataDead!$B:$B,$A108,RawDataDead!BB:BB)</f>
        <v>0</v>
      </c>
      <c r="AZ108">
        <f>SUMIF(RawDataDead!$B:$B,$A108,RawDataDead!BC:BC)</f>
        <v>0</v>
      </c>
      <c r="BA108">
        <f>SUMIF(RawDataDead!$B:$B,$A108,RawDataDead!BD:BD)</f>
        <v>0</v>
      </c>
      <c r="BB108">
        <f>SUMIF(RawDataDead!$B:$B,$A108,RawDataDead!BE:BE)</f>
        <v>0</v>
      </c>
      <c r="BC108">
        <f>SUMIF(RawDataDead!$B:$B,$A108,RawDataDead!BF:BF)</f>
        <v>0</v>
      </c>
      <c r="BD108">
        <f>SUMIF(RawDataDead!$B:$B,$A108,RawDataDead!BG:BG)</f>
        <v>0</v>
      </c>
      <c r="BE108">
        <f>SUMIF(RawDataDead!$B:$B,$A108,RawDataDead!BH:BH)</f>
        <v>0</v>
      </c>
      <c r="BF108">
        <f>SUMIF(RawDataDead!$B:$B,$A108,RawDataDead!BI:BI)</f>
        <v>0</v>
      </c>
      <c r="BG108">
        <f>SUMIF(RawDataDead!$B:$B,$A108,RawDataDead!BJ:BJ)</f>
        <v>0</v>
      </c>
      <c r="BH108">
        <f>SUMIF(RawDataDead!$B:$B,$A108,RawDataDead!BK:BK)</f>
        <v>0</v>
      </c>
      <c r="BI108">
        <f>SUMIF(RawDataDead!$B:$B,$A108,RawDataDead!BL:BL)</f>
        <v>0</v>
      </c>
      <c r="BJ108">
        <f>SUMIF(RawDataDead!$B:$B,$A108,RawDataDead!BM:BM)</f>
        <v>0</v>
      </c>
      <c r="BK108">
        <f>SUMIF(RawDataDead!$B:$B,$A108,RawDataDead!BN:BN)</f>
        <v>0</v>
      </c>
      <c r="BL108">
        <f>SUMIF(RawDataDead!$B:$B,$A108,RawDataDead!BO:BO)</f>
        <v>0</v>
      </c>
      <c r="BM108">
        <f>SUMIF(RawDataDead!$B:$B,$A108,RawDataDead!BP:BP)</f>
        <v>0</v>
      </c>
      <c r="BN108">
        <f>SUMIF(RawDataDead!$B:$B,$A108,RawDataDead!BQ:BQ)</f>
        <v>0</v>
      </c>
      <c r="BO108">
        <f>SUMIF(RawDataDead!$B:$B,$A108,RawDataDead!BR:BR)</f>
        <v>0</v>
      </c>
      <c r="BP108">
        <f>SUMIF(RawDataDead!$B:$B,$A108,RawDataDead!BS:BS)</f>
        <v>0</v>
      </c>
      <c r="BQ108">
        <f>SUMIF(RawDataDead!$B:$B,$A108,RawDataDead!BT:BT)</f>
        <v>0</v>
      </c>
      <c r="BR108">
        <f>SUMIF(RawDataDead!$B:$B,$A108,RawDataDead!BU:BU)</f>
        <v>0</v>
      </c>
      <c r="BS108">
        <f>SUMIF(RawDataDead!$B:$B,$A108,RawDataDead!BV:BV)</f>
        <v>0</v>
      </c>
      <c r="BT108">
        <f>SUMIF(RawDataDead!$B:$B,$A108,RawDataDead!BW:BW)</f>
        <v>0</v>
      </c>
    </row>
    <row r="109" spans="1:72" ht="15" thickBot="1" x14ac:dyDescent="0.35">
      <c r="A109" s="4" t="s">
        <v>123</v>
      </c>
      <c r="B109">
        <f>SUMIF(RawDataDead!$B:$B,$A109,RawDataDead!E:E)</f>
        <v>0</v>
      </c>
      <c r="C109">
        <f>SUMIF(RawDataDead!$B:$B,$A109,RawDataDead!F:F)</f>
        <v>0</v>
      </c>
      <c r="D109">
        <f>SUMIF(RawDataDead!$B:$B,$A109,RawDataDead!G:G)</f>
        <v>0</v>
      </c>
      <c r="E109">
        <f>SUMIF(RawDataDead!$B:$B,$A109,RawDataDead!H:H)</f>
        <v>0</v>
      </c>
      <c r="F109">
        <f>SUMIF(RawDataDead!$B:$B,$A109,RawDataDead!I:I)</f>
        <v>0</v>
      </c>
      <c r="G109">
        <f>SUMIF(RawDataDead!$B:$B,$A109,RawDataDead!J:J)</f>
        <v>0</v>
      </c>
      <c r="H109">
        <f>SUMIF(RawDataDead!$B:$B,$A109,RawDataDead!K:K)</f>
        <v>0</v>
      </c>
      <c r="I109">
        <f>SUMIF(RawDataDead!$B:$B,$A109,RawDataDead!L:L)</f>
        <v>0</v>
      </c>
      <c r="J109">
        <f>SUMIF(RawDataDead!$B:$B,$A109,RawDataDead!M:M)</f>
        <v>0</v>
      </c>
      <c r="K109">
        <f>SUMIF(RawDataDead!$B:$B,$A109,RawDataDead!N:N)</f>
        <v>0</v>
      </c>
      <c r="L109">
        <f>SUMIF(RawDataDead!$B:$B,$A109,RawDataDead!O:O)</f>
        <v>0</v>
      </c>
      <c r="M109">
        <f>SUMIF(RawDataDead!$B:$B,$A109,RawDataDead!P:P)</f>
        <v>0</v>
      </c>
      <c r="N109">
        <f>SUMIF(RawDataDead!$B:$B,$A109,RawDataDead!Q:Q)</f>
        <v>0</v>
      </c>
      <c r="O109">
        <f>SUMIF(RawDataDead!$B:$B,$A109,RawDataDead!R:R)</f>
        <v>0</v>
      </c>
      <c r="P109">
        <f>SUMIF(RawDataDead!$B:$B,$A109,RawDataDead!S:S)</f>
        <v>0</v>
      </c>
      <c r="Q109">
        <f>SUMIF(RawDataDead!$B:$B,$A109,RawDataDead!T:T)</f>
        <v>0</v>
      </c>
      <c r="R109">
        <f>SUMIF(RawDataDead!$B:$B,$A109,RawDataDead!U:U)</f>
        <v>0</v>
      </c>
      <c r="S109">
        <f>SUMIF(RawDataDead!$B:$B,$A109,RawDataDead!V:V)</f>
        <v>0</v>
      </c>
      <c r="T109">
        <f>SUMIF(RawDataDead!$B:$B,$A109,RawDataDead!W:W)</f>
        <v>0</v>
      </c>
      <c r="U109">
        <f>SUMIF(RawDataDead!$B:$B,$A109,RawDataDead!X:X)</f>
        <v>0</v>
      </c>
      <c r="V109">
        <f>SUMIF(RawDataDead!$B:$B,$A109,RawDataDead!Y:Y)</f>
        <v>0</v>
      </c>
      <c r="W109">
        <f>SUMIF(RawDataDead!$B:$B,$A109,RawDataDead!Z:Z)</f>
        <v>0</v>
      </c>
      <c r="X109">
        <f>SUMIF(RawDataDead!$B:$B,$A109,RawDataDead!AA:AA)</f>
        <v>0</v>
      </c>
      <c r="Y109">
        <f>SUMIF(RawDataDead!$B:$B,$A109,RawDataDead!AB:AB)</f>
        <v>0</v>
      </c>
      <c r="Z109">
        <f>SUMIF(RawDataDead!$B:$B,$A109,RawDataDead!AC:AC)</f>
        <v>0</v>
      </c>
      <c r="AA109">
        <f>SUMIF(RawDataDead!$B:$B,$A109,RawDataDead!AD:AD)</f>
        <v>0</v>
      </c>
      <c r="AB109">
        <f>SUMIF(RawDataDead!$B:$B,$A109,RawDataDead!AE:AE)</f>
        <v>0</v>
      </c>
      <c r="AC109">
        <f>SUMIF(RawDataDead!$B:$B,$A109,RawDataDead!AF:AF)</f>
        <v>0</v>
      </c>
      <c r="AD109">
        <f>SUMIF(RawDataDead!$B:$B,$A109,RawDataDead!AG:AG)</f>
        <v>0</v>
      </c>
      <c r="AE109">
        <f>SUMIF(RawDataDead!$B:$B,$A109,RawDataDead!AH:AH)</f>
        <v>0</v>
      </c>
      <c r="AF109">
        <f>SUMIF(RawDataDead!$B:$B,$A109,RawDataDead!AI:AI)</f>
        <v>0</v>
      </c>
      <c r="AG109">
        <f>SUMIF(RawDataDead!$B:$B,$A109,RawDataDead!AJ:AJ)</f>
        <v>0</v>
      </c>
      <c r="AH109">
        <f>SUMIF(RawDataDead!$B:$B,$A109,RawDataDead!AK:AK)</f>
        <v>0</v>
      </c>
      <c r="AI109">
        <f>SUMIF(RawDataDead!$B:$B,$A109,RawDataDead!AL:AL)</f>
        <v>0</v>
      </c>
      <c r="AJ109">
        <f>SUMIF(RawDataDead!$B:$B,$A109,RawDataDead!AM:AM)</f>
        <v>0</v>
      </c>
      <c r="AK109">
        <f>SUMIF(RawDataDead!$B:$B,$A109,RawDataDead!AN:AN)</f>
        <v>0</v>
      </c>
      <c r="AL109">
        <f>SUMIF(RawDataDead!$B:$B,$A109,RawDataDead!AO:AO)</f>
        <v>0</v>
      </c>
      <c r="AM109">
        <f>SUMIF(RawDataDead!$B:$B,$A109,RawDataDead!AP:AP)</f>
        <v>0</v>
      </c>
      <c r="AN109">
        <f>SUMIF(RawDataDead!$B:$B,$A109,RawDataDead!AQ:AQ)</f>
        <v>0</v>
      </c>
      <c r="AO109">
        <f>SUMIF(RawDataDead!$B:$B,$A109,RawDataDead!AR:AR)</f>
        <v>0</v>
      </c>
      <c r="AP109">
        <f>SUMIF(RawDataDead!$B:$B,$A109,RawDataDead!AS:AS)</f>
        <v>0</v>
      </c>
      <c r="AQ109">
        <f>SUMIF(RawDataDead!$B:$B,$A109,RawDataDead!AT:AT)</f>
        <v>0</v>
      </c>
      <c r="AR109">
        <f>SUMIF(RawDataDead!$B:$B,$A109,RawDataDead!AU:AU)</f>
        <v>0</v>
      </c>
      <c r="AS109">
        <f>SUMIF(RawDataDead!$B:$B,$A109,RawDataDead!AV:AV)</f>
        <v>0</v>
      </c>
      <c r="AT109">
        <f>SUMIF(RawDataDead!$B:$B,$A109,RawDataDead!AW:AW)</f>
        <v>0</v>
      </c>
      <c r="AU109">
        <f>SUMIF(RawDataDead!$B:$B,$A109,RawDataDead!AX:AX)</f>
        <v>0</v>
      </c>
      <c r="AV109">
        <f>SUMIF(RawDataDead!$B:$B,$A109,RawDataDead!AY:AY)</f>
        <v>0</v>
      </c>
      <c r="AW109">
        <f>SUMIF(RawDataDead!$B:$B,$A109,RawDataDead!AZ:AZ)</f>
        <v>0</v>
      </c>
      <c r="AX109">
        <f>SUMIF(RawDataDead!$B:$B,$A109,RawDataDead!BA:BA)</f>
        <v>0</v>
      </c>
      <c r="AY109">
        <f>SUMIF(RawDataDead!$B:$B,$A109,RawDataDead!BB:BB)</f>
        <v>0</v>
      </c>
      <c r="AZ109">
        <f>SUMIF(RawDataDead!$B:$B,$A109,RawDataDead!BC:BC)</f>
        <v>0</v>
      </c>
      <c r="BA109">
        <f>SUMIF(RawDataDead!$B:$B,$A109,RawDataDead!BD:BD)</f>
        <v>0</v>
      </c>
      <c r="BB109">
        <f>SUMIF(RawDataDead!$B:$B,$A109,RawDataDead!BE:BE)</f>
        <v>0</v>
      </c>
      <c r="BC109">
        <f>SUMIF(RawDataDead!$B:$B,$A109,RawDataDead!BF:BF)</f>
        <v>0</v>
      </c>
      <c r="BD109">
        <f>SUMIF(RawDataDead!$B:$B,$A109,RawDataDead!BG:BG)</f>
        <v>0</v>
      </c>
      <c r="BE109">
        <f>SUMIF(RawDataDead!$B:$B,$A109,RawDataDead!BH:BH)</f>
        <v>0</v>
      </c>
      <c r="BF109">
        <f>SUMIF(RawDataDead!$B:$B,$A109,RawDataDead!BI:BI)</f>
        <v>0</v>
      </c>
      <c r="BG109">
        <f>SUMIF(RawDataDead!$B:$B,$A109,RawDataDead!BJ:BJ)</f>
        <v>0</v>
      </c>
      <c r="BH109">
        <f>SUMIF(RawDataDead!$B:$B,$A109,RawDataDead!BK:BK)</f>
        <v>0</v>
      </c>
      <c r="BI109">
        <f>SUMIF(RawDataDead!$B:$B,$A109,RawDataDead!BL:BL)</f>
        <v>0</v>
      </c>
      <c r="BJ109">
        <f>SUMIF(RawDataDead!$B:$B,$A109,RawDataDead!BM:BM)</f>
        <v>0</v>
      </c>
      <c r="BK109">
        <f>SUMIF(RawDataDead!$B:$B,$A109,RawDataDead!BN:BN)</f>
        <v>0</v>
      </c>
      <c r="BL109">
        <f>SUMIF(RawDataDead!$B:$B,$A109,RawDataDead!BO:BO)</f>
        <v>0</v>
      </c>
      <c r="BM109">
        <f>SUMIF(RawDataDead!$B:$B,$A109,RawDataDead!BP:BP)</f>
        <v>0</v>
      </c>
      <c r="BN109">
        <f>SUMIF(RawDataDead!$B:$B,$A109,RawDataDead!BQ:BQ)</f>
        <v>0</v>
      </c>
      <c r="BO109">
        <f>SUMIF(RawDataDead!$B:$B,$A109,RawDataDead!BR:BR)</f>
        <v>0</v>
      </c>
      <c r="BP109">
        <f>SUMIF(RawDataDead!$B:$B,$A109,RawDataDead!BS:BS)</f>
        <v>0</v>
      </c>
      <c r="BQ109">
        <f>SUMIF(RawDataDead!$B:$B,$A109,RawDataDead!BT:BT)</f>
        <v>0</v>
      </c>
      <c r="BR109">
        <f>SUMIF(RawDataDead!$B:$B,$A109,RawDataDead!BU:BU)</f>
        <v>0</v>
      </c>
      <c r="BS109">
        <f>SUMIF(RawDataDead!$B:$B,$A109,RawDataDead!BV:BV)</f>
        <v>0</v>
      </c>
      <c r="BT109">
        <f>SUMIF(RawDataDead!$B:$B,$A109,RawDataDead!BW:BW)</f>
        <v>0</v>
      </c>
    </row>
    <row r="110" spans="1:72" ht="15" thickBot="1" x14ac:dyDescent="0.35">
      <c r="A110" s="4" t="s">
        <v>136</v>
      </c>
      <c r="B110">
        <f>SUMIF(RawDataDead!$B:$B,$A110,RawDataDead!E:E)</f>
        <v>0</v>
      </c>
      <c r="C110">
        <f>SUMIF(RawDataDead!$B:$B,$A110,RawDataDead!F:F)</f>
        <v>0</v>
      </c>
      <c r="D110">
        <f>SUMIF(RawDataDead!$B:$B,$A110,RawDataDead!G:G)</f>
        <v>0</v>
      </c>
      <c r="E110">
        <f>SUMIF(RawDataDead!$B:$B,$A110,RawDataDead!H:H)</f>
        <v>0</v>
      </c>
      <c r="F110">
        <f>SUMIF(RawDataDead!$B:$B,$A110,RawDataDead!I:I)</f>
        <v>0</v>
      </c>
      <c r="G110">
        <f>SUMIF(RawDataDead!$B:$B,$A110,RawDataDead!J:J)</f>
        <v>0</v>
      </c>
      <c r="H110">
        <f>SUMIF(RawDataDead!$B:$B,$A110,RawDataDead!K:K)</f>
        <v>0</v>
      </c>
      <c r="I110">
        <f>SUMIF(RawDataDead!$B:$B,$A110,RawDataDead!L:L)</f>
        <v>0</v>
      </c>
      <c r="J110">
        <f>SUMIF(RawDataDead!$B:$B,$A110,RawDataDead!M:M)</f>
        <v>0</v>
      </c>
      <c r="K110">
        <f>SUMIF(RawDataDead!$B:$B,$A110,RawDataDead!N:N)</f>
        <v>0</v>
      </c>
      <c r="L110">
        <f>SUMIF(RawDataDead!$B:$B,$A110,RawDataDead!O:O)</f>
        <v>0</v>
      </c>
      <c r="M110">
        <f>SUMIF(RawDataDead!$B:$B,$A110,RawDataDead!P:P)</f>
        <v>0</v>
      </c>
      <c r="N110">
        <f>SUMIF(RawDataDead!$B:$B,$A110,RawDataDead!Q:Q)</f>
        <v>0</v>
      </c>
      <c r="O110">
        <f>SUMIF(RawDataDead!$B:$B,$A110,RawDataDead!R:R)</f>
        <v>0</v>
      </c>
      <c r="P110">
        <f>SUMIF(RawDataDead!$B:$B,$A110,RawDataDead!S:S)</f>
        <v>0</v>
      </c>
      <c r="Q110">
        <f>SUMIF(RawDataDead!$B:$B,$A110,RawDataDead!T:T)</f>
        <v>0</v>
      </c>
      <c r="R110">
        <f>SUMIF(RawDataDead!$B:$B,$A110,RawDataDead!U:U)</f>
        <v>0</v>
      </c>
      <c r="S110">
        <f>SUMIF(RawDataDead!$B:$B,$A110,RawDataDead!V:V)</f>
        <v>0</v>
      </c>
      <c r="T110">
        <f>SUMIF(RawDataDead!$B:$B,$A110,RawDataDead!W:W)</f>
        <v>0</v>
      </c>
      <c r="U110">
        <f>SUMIF(RawDataDead!$B:$B,$A110,RawDataDead!X:X)</f>
        <v>0</v>
      </c>
      <c r="V110">
        <f>SUMIF(RawDataDead!$B:$B,$A110,RawDataDead!Y:Y)</f>
        <v>0</v>
      </c>
      <c r="W110">
        <f>SUMIF(RawDataDead!$B:$B,$A110,RawDataDead!Z:Z)</f>
        <v>0</v>
      </c>
      <c r="X110">
        <f>SUMIF(RawDataDead!$B:$B,$A110,RawDataDead!AA:AA)</f>
        <v>0</v>
      </c>
      <c r="Y110">
        <f>SUMIF(RawDataDead!$B:$B,$A110,RawDataDead!AB:AB)</f>
        <v>0</v>
      </c>
      <c r="Z110">
        <f>SUMIF(RawDataDead!$B:$B,$A110,RawDataDead!AC:AC)</f>
        <v>0</v>
      </c>
      <c r="AA110">
        <f>SUMIF(RawDataDead!$B:$B,$A110,RawDataDead!AD:AD)</f>
        <v>0</v>
      </c>
      <c r="AB110">
        <f>SUMIF(RawDataDead!$B:$B,$A110,RawDataDead!AE:AE)</f>
        <v>0</v>
      </c>
      <c r="AC110">
        <f>SUMIF(RawDataDead!$B:$B,$A110,RawDataDead!AF:AF)</f>
        <v>0</v>
      </c>
      <c r="AD110">
        <f>SUMIF(RawDataDead!$B:$B,$A110,RawDataDead!AG:AG)</f>
        <v>0</v>
      </c>
      <c r="AE110">
        <f>SUMIF(RawDataDead!$B:$B,$A110,RawDataDead!AH:AH)</f>
        <v>0</v>
      </c>
      <c r="AF110">
        <f>SUMIF(RawDataDead!$B:$B,$A110,RawDataDead!AI:AI)</f>
        <v>0</v>
      </c>
      <c r="AG110">
        <f>SUMIF(RawDataDead!$B:$B,$A110,RawDataDead!AJ:AJ)</f>
        <v>0</v>
      </c>
      <c r="AH110">
        <f>SUMIF(RawDataDead!$B:$B,$A110,RawDataDead!AK:AK)</f>
        <v>0</v>
      </c>
      <c r="AI110">
        <f>SUMIF(RawDataDead!$B:$B,$A110,RawDataDead!AL:AL)</f>
        <v>0</v>
      </c>
      <c r="AJ110">
        <f>SUMIF(RawDataDead!$B:$B,$A110,RawDataDead!AM:AM)</f>
        <v>0</v>
      </c>
      <c r="AK110">
        <f>SUMIF(RawDataDead!$B:$B,$A110,RawDataDead!AN:AN)</f>
        <v>0</v>
      </c>
      <c r="AL110">
        <f>SUMIF(RawDataDead!$B:$B,$A110,RawDataDead!AO:AO)</f>
        <v>0</v>
      </c>
      <c r="AM110">
        <f>SUMIF(RawDataDead!$B:$B,$A110,RawDataDead!AP:AP)</f>
        <v>0</v>
      </c>
      <c r="AN110">
        <f>SUMIF(RawDataDead!$B:$B,$A110,RawDataDead!AQ:AQ)</f>
        <v>0</v>
      </c>
      <c r="AO110">
        <f>SUMIF(RawDataDead!$B:$B,$A110,RawDataDead!AR:AR)</f>
        <v>0</v>
      </c>
      <c r="AP110">
        <f>SUMIF(RawDataDead!$B:$B,$A110,RawDataDead!AS:AS)</f>
        <v>0</v>
      </c>
      <c r="AQ110">
        <f>SUMIF(RawDataDead!$B:$B,$A110,RawDataDead!AT:AT)</f>
        <v>0</v>
      </c>
      <c r="AR110">
        <f>SUMIF(RawDataDead!$B:$B,$A110,RawDataDead!AU:AU)</f>
        <v>0</v>
      </c>
      <c r="AS110">
        <f>SUMIF(RawDataDead!$B:$B,$A110,RawDataDead!AV:AV)</f>
        <v>0</v>
      </c>
      <c r="AT110">
        <f>SUMIF(RawDataDead!$B:$B,$A110,RawDataDead!AW:AW)</f>
        <v>0</v>
      </c>
      <c r="AU110">
        <f>SUMIF(RawDataDead!$B:$B,$A110,RawDataDead!AX:AX)</f>
        <v>0</v>
      </c>
      <c r="AV110">
        <f>SUMIF(RawDataDead!$B:$B,$A110,RawDataDead!AY:AY)</f>
        <v>0</v>
      </c>
      <c r="AW110">
        <f>SUMIF(RawDataDead!$B:$B,$A110,RawDataDead!AZ:AZ)</f>
        <v>0</v>
      </c>
      <c r="AX110">
        <f>SUMIF(RawDataDead!$B:$B,$A110,RawDataDead!BA:BA)</f>
        <v>0</v>
      </c>
      <c r="AY110">
        <f>SUMIF(RawDataDead!$B:$B,$A110,RawDataDead!BB:BB)</f>
        <v>0</v>
      </c>
      <c r="AZ110">
        <f>SUMIF(RawDataDead!$B:$B,$A110,RawDataDead!BC:BC)</f>
        <v>0</v>
      </c>
      <c r="BA110">
        <f>SUMIF(RawDataDead!$B:$B,$A110,RawDataDead!BD:BD)</f>
        <v>0</v>
      </c>
      <c r="BB110">
        <f>SUMIF(RawDataDead!$B:$B,$A110,RawDataDead!BE:BE)</f>
        <v>0</v>
      </c>
      <c r="BC110">
        <f>SUMIF(RawDataDead!$B:$B,$A110,RawDataDead!BF:BF)</f>
        <v>0</v>
      </c>
      <c r="BD110">
        <f>SUMIF(RawDataDead!$B:$B,$A110,RawDataDead!BG:BG)</f>
        <v>0</v>
      </c>
      <c r="BE110">
        <f>SUMIF(RawDataDead!$B:$B,$A110,RawDataDead!BH:BH)</f>
        <v>0</v>
      </c>
      <c r="BF110">
        <f>SUMIF(RawDataDead!$B:$B,$A110,RawDataDead!BI:BI)</f>
        <v>0</v>
      </c>
      <c r="BG110">
        <f>SUMIF(RawDataDead!$B:$B,$A110,RawDataDead!BJ:BJ)</f>
        <v>0</v>
      </c>
      <c r="BH110">
        <f>SUMIF(RawDataDead!$B:$B,$A110,RawDataDead!BK:BK)</f>
        <v>0</v>
      </c>
      <c r="BI110">
        <f>SUMIF(RawDataDead!$B:$B,$A110,RawDataDead!BL:BL)</f>
        <v>0</v>
      </c>
      <c r="BJ110">
        <f>SUMIF(RawDataDead!$B:$B,$A110,RawDataDead!BM:BM)</f>
        <v>0</v>
      </c>
      <c r="BK110">
        <f>SUMIF(RawDataDead!$B:$B,$A110,RawDataDead!BN:BN)</f>
        <v>0</v>
      </c>
      <c r="BL110">
        <f>SUMIF(RawDataDead!$B:$B,$A110,RawDataDead!BO:BO)</f>
        <v>0</v>
      </c>
      <c r="BM110">
        <f>SUMIF(RawDataDead!$B:$B,$A110,RawDataDead!BP:BP)</f>
        <v>0</v>
      </c>
      <c r="BN110">
        <f>SUMIF(RawDataDead!$B:$B,$A110,RawDataDead!BQ:BQ)</f>
        <v>0</v>
      </c>
      <c r="BO110">
        <f>SUMIF(RawDataDead!$B:$B,$A110,RawDataDead!BR:BR)</f>
        <v>0</v>
      </c>
      <c r="BP110">
        <f>SUMIF(RawDataDead!$B:$B,$A110,RawDataDead!BS:BS)</f>
        <v>0</v>
      </c>
      <c r="BQ110">
        <f>SUMIF(RawDataDead!$B:$B,$A110,RawDataDead!BT:BT)</f>
        <v>0</v>
      </c>
      <c r="BR110">
        <f>SUMIF(RawDataDead!$B:$B,$A110,RawDataDead!BU:BU)</f>
        <v>0</v>
      </c>
      <c r="BS110">
        <f>SUMIF(RawDataDead!$B:$B,$A110,RawDataDead!BV:BV)</f>
        <v>0</v>
      </c>
      <c r="BT110">
        <f>SUMIF(RawDataDead!$B:$B,$A110,RawDataDead!BW:BW)</f>
        <v>0</v>
      </c>
    </row>
    <row r="111" spans="1:72" ht="15" thickBot="1" x14ac:dyDescent="0.35">
      <c r="A111" s="4" t="s">
        <v>452</v>
      </c>
      <c r="B111">
        <f>SUMIF(RawDataDead!$B:$B,$A111,RawDataDead!E:E)</f>
        <v>0</v>
      </c>
      <c r="C111">
        <f>SUMIF(RawDataDead!$B:$B,$A111,RawDataDead!F:F)</f>
        <v>0</v>
      </c>
      <c r="D111">
        <f>SUMIF(RawDataDead!$B:$B,$A111,RawDataDead!G:G)</f>
        <v>0</v>
      </c>
      <c r="E111">
        <f>SUMIF(RawDataDead!$B:$B,$A111,RawDataDead!H:H)</f>
        <v>0</v>
      </c>
      <c r="F111">
        <f>SUMIF(RawDataDead!$B:$B,$A111,RawDataDead!I:I)</f>
        <v>0</v>
      </c>
      <c r="G111">
        <f>SUMIF(RawDataDead!$B:$B,$A111,RawDataDead!J:J)</f>
        <v>0</v>
      </c>
      <c r="H111">
        <f>SUMIF(RawDataDead!$B:$B,$A111,RawDataDead!K:K)</f>
        <v>0</v>
      </c>
      <c r="I111">
        <f>SUMIF(RawDataDead!$B:$B,$A111,RawDataDead!L:L)</f>
        <v>0</v>
      </c>
      <c r="J111">
        <f>SUMIF(RawDataDead!$B:$B,$A111,RawDataDead!M:M)</f>
        <v>0</v>
      </c>
      <c r="K111">
        <f>SUMIF(RawDataDead!$B:$B,$A111,RawDataDead!N:N)</f>
        <v>0</v>
      </c>
      <c r="L111">
        <f>SUMIF(RawDataDead!$B:$B,$A111,RawDataDead!O:O)</f>
        <v>0</v>
      </c>
      <c r="M111">
        <f>SUMIF(RawDataDead!$B:$B,$A111,RawDataDead!P:P)</f>
        <v>0</v>
      </c>
      <c r="N111">
        <f>SUMIF(RawDataDead!$B:$B,$A111,RawDataDead!Q:Q)</f>
        <v>0</v>
      </c>
      <c r="O111">
        <f>SUMIF(RawDataDead!$B:$B,$A111,RawDataDead!R:R)</f>
        <v>0</v>
      </c>
      <c r="P111">
        <f>SUMIF(RawDataDead!$B:$B,$A111,RawDataDead!S:S)</f>
        <v>0</v>
      </c>
      <c r="Q111">
        <f>SUMIF(RawDataDead!$B:$B,$A111,RawDataDead!T:T)</f>
        <v>0</v>
      </c>
      <c r="R111">
        <f>SUMIF(RawDataDead!$B:$B,$A111,RawDataDead!U:U)</f>
        <v>0</v>
      </c>
      <c r="S111">
        <f>SUMIF(RawDataDead!$B:$B,$A111,RawDataDead!V:V)</f>
        <v>0</v>
      </c>
      <c r="T111">
        <f>SUMIF(RawDataDead!$B:$B,$A111,RawDataDead!W:W)</f>
        <v>0</v>
      </c>
      <c r="U111">
        <f>SUMIF(RawDataDead!$B:$B,$A111,RawDataDead!X:X)</f>
        <v>0</v>
      </c>
      <c r="V111">
        <f>SUMIF(RawDataDead!$B:$B,$A111,RawDataDead!Y:Y)</f>
        <v>0</v>
      </c>
      <c r="W111">
        <f>SUMIF(RawDataDead!$B:$B,$A111,RawDataDead!Z:Z)</f>
        <v>0</v>
      </c>
      <c r="X111">
        <f>SUMIF(RawDataDead!$B:$B,$A111,RawDataDead!AA:AA)</f>
        <v>0</v>
      </c>
      <c r="Y111">
        <f>SUMIF(RawDataDead!$B:$B,$A111,RawDataDead!AB:AB)</f>
        <v>0</v>
      </c>
      <c r="Z111">
        <f>SUMIF(RawDataDead!$B:$B,$A111,RawDataDead!AC:AC)</f>
        <v>0</v>
      </c>
      <c r="AA111">
        <f>SUMIF(RawDataDead!$B:$B,$A111,RawDataDead!AD:AD)</f>
        <v>0</v>
      </c>
      <c r="AB111">
        <f>SUMIF(RawDataDead!$B:$B,$A111,RawDataDead!AE:AE)</f>
        <v>0</v>
      </c>
      <c r="AC111">
        <f>SUMIF(RawDataDead!$B:$B,$A111,RawDataDead!AF:AF)</f>
        <v>0</v>
      </c>
      <c r="AD111">
        <f>SUMIF(RawDataDead!$B:$B,$A111,RawDataDead!AG:AG)</f>
        <v>0</v>
      </c>
      <c r="AE111">
        <f>SUMIF(RawDataDead!$B:$B,$A111,RawDataDead!AH:AH)</f>
        <v>0</v>
      </c>
      <c r="AF111">
        <f>SUMIF(RawDataDead!$B:$B,$A111,RawDataDead!AI:AI)</f>
        <v>0</v>
      </c>
      <c r="AG111">
        <f>SUMIF(RawDataDead!$B:$B,$A111,RawDataDead!AJ:AJ)</f>
        <v>0</v>
      </c>
      <c r="AH111">
        <f>SUMIF(RawDataDead!$B:$B,$A111,RawDataDead!AK:AK)</f>
        <v>0</v>
      </c>
      <c r="AI111">
        <f>SUMIF(RawDataDead!$B:$B,$A111,RawDataDead!AL:AL)</f>
        <v>0</v>
      </c>
      <c r="AJ111">
        <f>SUMIF(RawDataDead!$B:$B,$A111,RawDataDead!AM:AM)</f>
        <v>0</v>
      </c>
      <c r="AK111">
        <f>SUMIF(RawDataDead!$B:$B,$A111,RawDataDead!AN:AN)</f>
        <v>0</v>
      </c>
      <c r="AL111">
        <f>SUMIF(RawDataDead!$B:$B,$A111,RawDataDead!AO:AO)</f>
        <v>0</v>
      </c>
      <c r="AM111">
        <f>SUMIF(RawDataDead!$B:$B,$A111,RawDataDead!AP:AP)</f>
        <v>0</v>
      </c>
      <c r="AN111">
        <f>SUMIF(RawDataDead!$B:$B,$A111,RawDataDead!AQ:AQ)</f>
        <v>0</v>
      </c>
      <c r="AO111">
        <f>SUMIF(RawDataDead!$B:$B,$A111,RawDataDead!AR:AR)</f>
        <v>0</v>
      </c>
      <c r="AP111">
        <f>SUMIF(RawDataDead!$B:$B,$A111,RawDataDead!AS:AS)</f>
        <v>0</v>
      </c>
      <c r="AQ111">
        <f>SUMIF(RawDataDead!$B:$B,$A111,RawDataDead!AT:AT)</f>
        <v>0</v>
      </c>
      <c r="AR111">
        <f>SUMIF(RawDataDead!$B:$B,$A111,RawDataDead!AU:AU)</f>
        <v>0</v>
      </c>
      <c r="AS111">
        <f>SUMIF(RawDataDead!$B:$B,$A111,RawDataDead!AV:AV)</f>
        <v>0</v>
      </c>
      <c r="AT111">
        <f>SUMIF(RawDataDead!$B:$B,$A111,RawDataDead!AW:AW)</f>
        <v>0</v>
      </c>
      <c r="AU111">
        <f>SUMIF(RawDataDead!$B:$B,$A111,RawDataDead!AX:AX)</f>
        <v>0</v>
      </c>
      <c r="AV111">
        <f>SUMIF(RawDataDead!$B:$B,$A111,RawDataDead!AY:AY)</f>
        <v>0</v>
      </c>
      <c r="AW111">
        <f>SUMIF(RawDataDead!$B:$B,$A111,RawDataDead!AZ:AZ)</f>
        <v>0</v>
      </c>
      <c r="AX111">
        <f>SUMIF(RawDataDead!$B:$B,$A111,RawDataDead!BA:BA)</f>
        <v>0</v>
      </c>
      <c r="AY111">
        <f>SUMIF(RawDataDead!$B:$B,$A111,RawDataDead!BB:BB)</f>
        <v>0</v>
      </c>
      <c r="AZ111">
        <f>SUMIF(RawDataDead!$B:$B,$A111,RawDataDead!BC:BC)</f>
        <v>0</v>
      </c>
      <c r="BA111">
        <f>SUMIF(RawDataDead!$B:$B,$A111,RawDataDead!BD:BD)</f>
        <v>0</v>
      </c>
      <c r="BB111">
        <f>SUMIF(RawDataDead!$B:$B,$A111,RawDataDead!BE:BE)</f>
        <v>0</v>
      </c>
      <c r="BC111">
        <f>SUMIF(RawDataDead!$B:$B,$A111,RawDataDead!BF:BF)</f>
        <v>0</v>
      </c>
      <c r="BD111">
        <f>SUMIF(RawDataDead!$B:$B,$A111,RawDataDead!BG:BG)</f>
        <v>0</v>
      </c>
      <c r="BE111">
        <f>SUMIF(RawDataDead!$B:$B,$A111,RawDataDead!BH:BH)</f>
        <v>0</v>
      </c>
      <c r="BF111">
        <f>SUMIF(RawDataDead!$B:$B,$A111,RawDataDead!BI:BI)</f>
        <v>0</v>
      </c>
      <c r="BG111">
        <f>SUMIF(RawDataDead!$B:$B,$A111,RawDataDead!BJ:BJ)</f>
        <v>0</v>
      </c>
      <c r="BH111">
        <f>SUMIF(RawDataDead!$B:$B,$A111,RawDataDead!BK:BK)</f>
        <v>0</v>
      </c>
      <c r="BI111">
        <f>SUMIF(RawDataDead!$B:$B,$A111,RawDataDead!BL:BL)</f>
        <v>0</v>
      </c>
      <c r="BJ111">
        <f>SUMIF(RawDataDead!$B:$B,$A111,RawDataDead!BM:BM)</f>
        <v>0</v>
      </c>
      <c r="BK111">
        <f>SUMIF(RawDataDead!$B:$B,$A111,RawDataDead!BN:BN)</f>
        <v>0</v>
      </c>
      <c r="BL111">
        <f>SUMIF(RawDataDead!$B:$B,$A111,RawDataDead!BO:BO)</f>
        <v>0</v>
      </c>
      <c r="BM111">
        <f>SUMIF(RawDataDead!$B:$B,$A111,RawDataDead!BP:BP)</f>
        <v>0</v>
      </c>
      <c r="BN111">
        <f>SUMIF(RawDataDead!$B:$B,$A111,RawDataDead!BQ:BQ)</f>
        <v>0</v>
      </c>
      <c r="BO111">
        <f>SUMIF(RawDataDead!$B:$B,$A111,RawDataDead!BR:BR)</f>
        <v>0</v>
      </c>
      <c r="BP111">
        <f>SUMIF(RawDataDead!$B:$B,$A111,RawDataDead!BS:BS)</f>
        <v>0</v>
      </c>
      <c r="BQ111">
        <f>SUMIF(RawDataDead!$B:$B,$A111,RawDataDead!BT:BT)</f>
        <v>0</v>
      </c>
      <c r="BR111">
        <f>SUMIF(RawDataDead!$B:$B,$A111,RawDataDead!BU:BU)</f>
        <v>0</v>
      </c>
      <c r="BS111">
        <f>SUMIF(RawDataDead!$B:$B,$A111,RawDataDead!BV:BV)</f>
        <v>0</v>
      </c>
      <c r="BT111">
        <f>SUMIF(RawDataDead!$B:$B,$A111,RawDataDead!BW:BW)</f>
        <v>0</v>
      </c>
    </row>
    <row r="112" spans="1:72" ht="15" thickBot="1" x14ac:dyDescent="0.35">
      <c r="A112" s="4" t="s">
        <v>183</v>
      </c>
      <c r="B112">
        <f>SUMIF(RawDataDead!$B:$B,$A112,RawDataDead!E:E)</f>
        <v>0</v>
      </c>
      <c r="C112">
        <f>SUMIF(RawDataDead!$B:$B,$A112,RawDataDead!F:F)</f>
        <v>0</v>
      </c>
      <c r="D112">
        <f>SUMIF(RawDataDead!$B:$B,$A112,RawDataDead!G:G)</f>
        <v>0</v>
      </c>
      <c r="E112">
        <f>SUMIF(RawDataDead!$B:$B,$A112,RawDataDead!H:H)</f>
        <v>0</v>
      </c>
      <c r="F112">
        <f>SUMIF(RawDataDead!$B:$B,$A112,RawDataDead!I:I)</f>
        <v>0</v>
      </c>
      <c r="G112">
        <f>SUMIF(RawDataDead!$B:$B,$A112,RawDataDead!J:J)</f>
        <v>0</v>
      </c>
      <c r="H112">
        <f>SUMIF(RawDataDead!$B:$B,$A112,RawDataDead!K:K)</f>
        <v>0</v>
      </c>
      <c r="I112">
        <f>SUMIF(RawDataDead!$B:$B,$A112,RawDataDead!L:L)</f>
        <v>0</v>
      </c>
      <c r="J112">
        <f>SUMIF(RawDataDead!$B:$B,$A112,RawDataDead!M:M)</f>
        <v>0</v>
      </c>
      <c r="K112">
        <f>SUMIF(RawDataDead!$B:$B,$A112,RawDataDead!N:N)</f>
        <v>0</v>
      </c>
      <c r="L112">
        <f>SUMIF(RawDataDead!$B:$B,$A112,RawDataDead!O:O)</f>
        <v>0</v>
      </c>
      <c r="M112">
        <f>SUMIF(RawDataDead!$B:$B,$A112,RawDataDead!P:P)</f>
        <v>0</v>
      </c>
      <c r="N112">
        <f>SUMIF(RawDataDead!$B:$B,$A112,RawDataDead!Q:Q)</f>
        <v>0</v>
      </c>
      <c r="O112">
        <f>SUMIF(RawDataDead!$B:$B,$A112,RawDataDead!R:R)</f>
        <v>0</v>
      </c>
      <c r="P112">
        <f>SUMIF(RawDataDead!$B:$B,$A112,RawDataDead!S:S)</f>
        <v>0</v>
      </c>
      <c r="Q112">
        <f>SUMIF(RawDataDead!$B:$B,$A112,RawDataDead!T:T)</f>
        <v>0</v>
      </c>
      <c r="R112">
        <f>SUMIF(RawDataDead!$B:$B,$A112,RawDataDead!U:U)</f>
        <v>0</v>
      </c>
      <c r="S112">
        <f>SUMIF(RawDataDead!$B:$B,$A112,RawDataDead!V:V)</f>
        <v>0</v>
      </c>
      <c r="T112">
        <f>SUMIF(RawDataDead!$B:$B,$A112,RawDataDead!W:W)</f>
        <v>0</v>
      </c>
      <c r="U112">
        <f>SUMIF(RawDataDead!$B:$B,$A112,RawDataDead!X:X)</f>
        <v>0</v>
      </c>
      <c r="V112">
        <f>SUMIF(RawDataDead!$B:$B,$A112,RawDataDead!Y:Y)</f>
        <v>0</v>
      </c>
      <c r="W112">
        <f>SUMIF(RawDataDead!$B:$B,$A112,RawDataDead!Z:Z)</f>
        <v>0</v>
      </c>
      <c r="X112">
        <f>SUMIF(RawDataDead!$B:$B,$A112,RawDataDead!AA:AA)</f>
        <v>0</v>
      </c>
      <c r="Y112">
        <f>SUMIF(RawDataDead!$B:$B,$A112,RawDataDead!AB:AB)</f>
        <v>0</v>
      </c>
      <c r="Z112">
        <f>SUMIF(RawDataDead!$B:$B,$A112,RawDataDead!AC:AC)</f>
        <v>0</v>
      </c>
      <c r="AA112">
        <f>SUMIF(RawDataDead!$B:$B,$A112,RawDataDead!AD:AD)</f>
        <v>0</v>
      </c>
      <c r="AB112">
        <f>SUMIF(RawDataDead!$B:$B,$A112,RawDataDead!AE:AE)</f>
        <v>0</v>
      </c>
      <c r="AC112">
        <f>SUMIF(RawDataDead!$B:$B,$A112,RawDataDead!AF:AF)</f>
        <v>0</v>
      </c>
      <c r="AD112">
        <f>SUMIF(RawDataDead!$B:$B,$A112,RawDataDead!AG:AG)</f>
        <v>0</v>
      </c>
      <c r="AE112">
        <f>SUMIF(RawDataDead!$B:$B,$A112,RawDataDead!AH:AH)</f>
        <v>0</v>
      </c>
      <c r="AF112">
        <f>SUMIF(RawDataDead!$B:$B,$A112,RawDataDead!AI:AI)</f>
        <v>0</v>
      </c>
      <c r="AG112">
        <f>SUMIF(RawDataDead!$B:$B,$A112,RawDataDead!AJ:AJ)</f>
        <v>0</v>
      </c>
      <c r="AH112">
        <f>SUMIF(RawDataDead!$B:$B,$A112,RawDataDead!AK:AK)</f>
        <v>0</v>
      </c>
      <c r="AI112">
        <f>SUMIF(RawDataDead!$B:$B,$A112,RawDataDead!AL:AL)</f>
        <v>0</v>
      </c>
      <c r="AJ112">
        <f>SUMIF(RawDataDead!$B:$B,$A112,RawDataDead!AM:AM)</f>
        <v>0</v>
      </c>
      <c r="AK112">
        <f>SUMIF(RawDataDead!$B:$B,$A112,RawDataDead!AN:AN)</f>
        <v>0</v>
      </c>
      <c r="AL112">
        <f>SUMIF(RawDataDead!$B:$B,$A112,RawDataDead!AO:AO)</f>
        <v>0</v>
      </c>
      <c r="AM112">
        <f>SUMIF(RawDataDead!$B:$B,$A112,RawDataDead!AP:AP)</f>
        <v>0</v>
      </c>
      <c r="AN112">
        <f>SUMIF(RawDataDead!$B:$B,$A112,RawDataDead!AQ:AQ)</f>
        <v>0</v>
      </c>
      <c r="AO112">
        <f>SUMIF(RawDataDead!$B:$B,$A112,RawDataDead!AR:AR)</f>
        <v>0</v>
      </c>
      <c r="AP112">
        <f>SUMIF(RawDataDead!$B:$B,$A112,RawDataDead!AS:AS)</f>
        <v>0</v>
      </c>
      <c r="AQ112">
        <f>SUMIF(RawDataDead!$B:$B,$A112,RawDataDead!AT:AT)</f>
        <v>0</v>
      </c>
      <c r="AR112">
        <f>SUMIF(RawDataDead!$B:$B,$A112,RawDataDead!AU:AU)</f>
        <v>0</v>
      </c>
      <c r="AS112">
        <f>SUMIF(RawDataDead!$B:$B,$A112,RawDataDead!AV:AV)</f>
        <v>0</v>
      </c>
      <c r="AT112">
        <f>SUMIF(RawDataDead!$B:$B,$A112,RawDataDead!AW:AW)</f>
        <v>0</v>
      </c>
      <c r="AU112">
        <f>SUMIF(RawDataDead!$B:$B,$A112,RawDataDead!AX:AX)</f>
        <v>0</v>
      </c>
      <c r="AV112">
        <f>SUMIF(RawDataDead!$B:$B,$A112,RawDataDead!AY:AY)</f>
        <v>0</v>
      </c>
      <c r="AW112">
        <f>SUMIF(RawDataDead!$B:$B,$A112,RawDataDead!AZ:AZ)</f>
        <v>0</v>
      </c>
      <c r="AX112">
        <f>SUMIF(RawDataDead!$B:$B,$A112,RawDataDead!BA:BA)</f>
        <v>0</v>
      </c>
      <c r="AY112">
        <f>SUMIF(RawDataDead!$B:$B,$A112,RawDataDead!BB:BB)</f>
        <v>0</v>
      </c>
      <c r="AZ112">
        <f>SUMIF(RawDataDead!$B:$B,$A112,RawDataDead!BC:BC)</f>
        <v>0</v>
      </c>
      <c r="BA112">
        <f>SUMIF(RawDataDead!$B:$B,$A112,RawDataDead!BD:BD)</f>
        <v>0</v>
      </c>
      <c r="BB112">
        <f>SUMIF(RawDataDead!$B:$B,$A112,RawDataDead!BE:BE)</f>
        <v>0</v>
      </c>
      <c r="BC112">
        <f>SUMIF(RawDataDead!$B:$B,$A112,RawDataDead!BF:BF)</f>
        <v>0</v>
      </c>
      <c r="BD112">
        <f>SUMIF(RawDataDead!$B:$B,$A112,RawDataDead!BG:BG)</f>
        <v>0</v>
      </c>
      <c r="BE112">
        <f>SUMIF(RawDataDead!$B:$B,$A112,RawDataDead!BH:BH)</f>
        <v>0</v>
      </c>
      <c r="BF112">
        <f>SUMIF(RawDataDead!$B:$B,$A112,RawDataDead!BI:BI)</f>
        <v>0</v>
      </c>
      <c r="BG112">
        <f>SUMIF(RawDataDead!$B:$B,$A112,RawDataDead!BJ:BJ)</f>
        <v>0</v>
      </c>
      <c r="BH112">
        <f>SUMIF(RawDataDead!$B:$B,$A112,RawDataDead!BK:BK)</f>
        <v>0</v>
      </c>
      <c r="BI112">
        <f>SUMIF(RawDataDead!$B:$B,$A112,RawDataDead!BL:BL)</f>
        <v>0</v>
      </c>
      <c r="BJ112">
        <f>SUMIF(RawDataDead!$B:$B,$A112,RawDataDead!BM:BM)</f>
        <v>0</v>
      </c>
      <c r="BK112">
        <f>SUMIF(RawDataDead!$B:$B,$A112,RawDataDead!BN:BN)</f>
        <v>0</v>
      </c>
      <c r="BL112">
        <f>SUMIF(RawDataDead!$B:$B,$A112,RawDataDead!BO:BO)</f>
        <v>0</v>
      </c>
      <c r="BM112">
        <f>SUMIF(RawDataDead!$B:$B,$A112,RawDataDead!BP:BP)</f>
        <v>0</v>
      </c>
      <c r="BN112">
        <f>SUMIF(RawDataDead!$B:$B,$A112,RawDataDead!BQ:BQ)</f>
        <v>0</v>
      </c>
      <c r="BO112">
        <f>SUMIF(RawDataDead!$B:$B,$A112,RawDataDead!BR:BR)</f>
        <v>0</v>
      </c>
      <c r="BP112">
        <f>SUMIF(RawDataDead!$B:$B,$A112,RawDataDead!BS:BS)</f>
        <v>0</v>
      </c>
      <c r="BQ112">
        <f>SUMIF(RawDataDead!$B:$B,$A112,RawDataDead!BT:BT)</f>
        <v>0</v>
      </c>
      <c r="BR112">
        <f>SUMIF(RawDataDead!$B:$B,$A112,RawDataDead!BU:BU)</f>
        <v>0</v>
      </c>
      <c r="BS112">
        <f>SUMIF(RawDataDead!$B:$B,$A112,RawDataDead!BV:BV)</f>
        <v>0</v>
      </c>
      <c r="BT112">
        <f>SUMIF(RawDataDead!$B:$B,$A112,RawDataDead!BW:BW)</f>
        <v>0</v>
      </c>
    </row>
    <row r="113" spans="1:72" ht="15" thickBot="1" x14ac:dyDescent="0.35">
      <c r="A113" s="4" t="s">
        <v>443</v>
      </c>
      <c r="B113">
        <f>SUMIF(RawDataDead!$B:$B,$A113,RawDataDead!E:E)</f>
        <v>0</v>
      </c>
      <c r="C113">
        <f>SUMIF(RawDataDead!$B:$B,$A113,RawDataDead!F:F)</f>
        <v>0</v>
      </c>
      <c r="D113">
        <f>SUMIF(RawDataDead!$B:$B,$A113,RawDataDead!G:G)</f>
        <v>0</v>
      </c>
      <c r="E113">
        <f>SUMIF(RawDataDead!$B:$B,$A113,RawDataDead!H:H)</f>
        <v>0</v>
      </c>
      <c r="F113">
        <f>SUMIF(RawDataDead!$B:$B,$A113,RawDataDead!I:I)</f>
        <v>0</v>
      </c>
      <c r="G113">
        <f>SUMIF(RawDataDead!$B:$B,$A113,RawDataDead!J:J)</f>
        <v>0</v>
      </c>
      <c r="H113">
        <f>SUMIF(RawDataDead!$B:$B,$A113,RawDataDead!K:K)</f>
        <v>0</v>
      </c>
      <c r="I113">
        <f>SUMIF(RawDataDead!$B:$B,$A113,RawDataDead!L:L)</f>
        <v>0</v>
      </c>
      <c r="J113">
        <f>SUMIF(RawDataDead!$B:$B,$A113,RawDataDead!M:M)</f>
        <v>0</v>
      </c>
      <c r="K113">
        <f>SUMIF(RawDataDead!$B:$B,$A113,RawDataDead!N:N)</f>
        <v>0</v>
      </c>
      <c r="L113">
        <f>SUMIF(RawDataDead!$B:$B,$A113,RawDataDead!O:O)</f>
        <v>0</v>
      </c>
      <c r="M113">
        <f>SUMIF(RawDataDead!$B:$B,$A113,RawDataDead!P:P)</f>
        <v>0</v>
      </c>
      <c r="N113">
        <f>SUMIF(RawDataDead!$B:$B,$A113,RawDataDead!Q:Q)</f>
        <v>0</v>
      </c>
      <c r="O113">
        <f>SUMIF(RawDataDead!$B:$B,$A113,RawDataDead!R:R)</f>
        <v>0</v>
      </c>
      <c r="P113">
        <f>SUMIF(RawDataDead!$B:$B,$A113,RawDataDead!S:S)</f>
        <v>0</v>
      </c>
      <c r="Q113">
        <f>SUMIF(RawDataDead!$B:$B,$A113,RawDataDead!T:T)</f>
        <v>0</v>
      </c>
      <c r="R113">
        <f>SUMIF(RawDataDead!$B:$B,$A113,RawDataDead!U:U)</f>
        <v>0</v>
      </c>
      <c r="S113">
        <f>SUMIF(RawDataDead!$B:$B,$A113,RawDataDead!V:V)</f>
        <v>0</v>
      </c>
      <c r="T113">
        <f>SUMIF(RawDataDead!$B:$B,$A113,RawDataDead!W:W)</f>
        <v>0</v>
      </c>
      <c r="U113">
        <f>SUMIF(RawDataDead!$B:$B,$A113,RawDataDead!X:X)</f>
        <v>0</v>
      </c>
      <c r="V113">
        <f>SUMIF(RawDataDead!$B:$B,$A113,RawDataDead!Y:Y)</f>
        <v>0</v>
      </c>
      <c r="W113">
        <f>SUMIF(RawDataDead!$B:$B,$A113,RawDataDead!Z:Z)</f>
        <v>0</v>
      </c>
      <c r="X113">
        <f>SUMIF(RawDataDead!$B:$B,$A113,RawDataDead!AA:AA)</f>
        <v>0</v>
      </c>
      <c r="Y113">
        <f>SUMIF(RawDataDead!$B:$B,$A113,RawDataDead!AB:AB)</f>
        <v>0</v>
      </c>
      <c r="Z113">
        <f>SUMIF(RawDataDead!$B:$B,$A113,RawDataDead!AC:AC)</f>
        <v>0</v>
      </c>
      <c r="AA113">
        <f>SUMIF(RawDataDead!$B:$B,$A113,RawDataDead!AD:AD)</f>
        <v>0</v>
      </c>
      <c r="AB113">
        <f>SUMIF(RawDataDead!$B:$B,$A113,RawDataDead!AE:AE)</f>
        <v>0</v>
      </c>
      <c r="AC113">
        <f>SUMIF(RawDataDead!$B:$B,$A113,RawDataDead!AF:AF)</f>
        <v>0</v>
      </c>
      <c r="AD113">
        <f>SUMIF(RawDataDead!$B:$B,$A113,RawDataDead!AG:AG)</f>
        <v>0</v>
      </c>
      <c r="AE113">
        <f>SUMIF(RawDataDead!$B:$B,$A113,RawDataDead!AH:AH)</f>
        <v>0</v>
      </c>
      <c r="AF113">
        <f>SUMIF(RawDataDead!$B:$B,$A113,RawDataDead!AI:AI)</f>
        <v>0</v>
      </c>
      <c r="AG113">
        <f>SUMIF(RawDataDead!$B:$B,$A113,RawDataDead!AJ:AJ)</f>
        <v>0</v>
      </c>
      <c r="AH113">
        <f>SUMIF(RawDataDead!$B:$B,$A113,RawDataDead!AK:AK)</f>
        <v>0</v>
      </c>
      <c r="AI113">
        <f>SUMIF(RawDataDead!$B:$B,$A113,RawDataDead!AL:AL)</f>
        <v>0</v>
      </c>
      <c r="AJ113">
        <f>SUMIF(RawDataDead!$B:$B,$A113,RawDataDead!AM:AM)</f>
        <v>0</v>
      </c>
      <c r="AK113">
        <f>SUMIF(RawDataDead!$B:$B,$A113,RawDataDead!AN:AN)</f>
        <v>0</v>
      </c>
      <c r="AL113">
        <f>SUMIF(RawDataDead!$B:$B,$A113,RawDataDead!AO:AO)</f>
        <v>0</v>
      </c>
      <c r="AM113">
        <f>SUMIF(RawDataDead!$B:$B,$A113,RawDataDead!AP:AP)</f>
        <v>0</v>
      </c>
      <c r="AN113">
        <f>SUMIF(RawDataDead!$B:$B,$A113,RawDataDead!AQ:AQ)</f>
        <v>0</v>
      </c>
      <c r="AO113">
        <f>SUMIF(RawDataDead!$B:$B,$A113,RawDataDead!AR:AR)</f>
        <v>0</v>
      </c>
      <c r="AP113">
        <f>SUMIF(RawDataDead!$B:$B,$A113,RawDataDead!AS:AS)</f>
        <v>0</v>
      </c>
      <c r="AQ113">
        <f>SUMIF(RawDataDead!$B:$B,$A113,RawDataDead!AT:AT)</f>
        <v>0</v>
      </c>
      <c r="AR113">
        <f>SUMIF(RawDataDead!$B:$B,$A113,RawDataDead!AU:AU)</f>
        <v>0</v>
      </c>
      <c r="AS113">
        <f>SUMIF(RawDataDead!$B:$B,$A113,RawDataDead!AV:AV)</f>
        <v>0</v>
      </c>
      <c r="AT113">
        <f>SUMIF(RawDataDead!$B:$B,$A113,RawDataDead!AW:AW)</f>
        <v>0</v>
      </c>
      <c r="AU113">
        <f>SUMIF(RawDataDead!$B:$B,$A113,RawDataDead!AX:AX)</f>
        <v>0</v>
      </c>
      <c r="AV113">
        <f>SUMIF(RawDataDead!$B:$B,$A113,RawDataDead!AY:AY)</f>
        <v>0</v>
      </c>
      <c r="AW113">
        <f>SUMIF(RawDataDead!$B:$B,$A113,RawDataDead!AZ:AZ)</f>
        <v>0</v>
      </c>
      <c r="AX113">
        <f>SUMIF(RawDataDead!$B:$B,$A113,RawDataDead!BA:BA)</f>
        <v>0</v>
      </c>
      <c r="AY113">
        <f>SUMIF(RawDataDead!$B:$B,$A113,RawDataDead!BB:BB)</f>
        <v>0</v>
      </c>
      <c r="AZ113">
        <f>SUMIF(RawDataDead!$B:$B,$A113,RawDataDead!BC:BC)</f>
        <v>0</v>
      </c>
      <c r="BA113">
        <f>SUMIF(RawDataDead!$B:$B,$A113,RawDataDead!BD:BD)</f>
        <v>0</v>
      </c>
      <c r="BB113">
        <f>SUMIF(RawDataDead!$B:$B,$A113,RawDataDead!BE:BE)</f>
        <v>0</v>
      </c>
      <c r="BC113">
        <f>SUMIF(RawDataDead!$B:$B,$A113,RawDataDead!BF:BF)</f>
        <v>0</v>
      </c>
      <c r="BD113">
        <f>SUMIF(RawDataDead!$B:$B,$A113,RawDataDead!BG:BG)</f>
        <v>0</v>
      </c>
      <c r="BE113">
        <f>SUMIF(RawDataDead!$B:$B,$A113,RawDataDead!BH:BH)</f>
        <v>0</v>
      </c>
      <c r="BF113">
        <f>SUMIF(RawDataDead!$B:$B,$A113,RawDataDead!BI:BI)</f>
        <v>0</v>
      </c>
      <c r="BG113">
        <f>SUMIF(RawDataDead!$B:$B,$A113,RawDataDead!BJ:BJ)</f>
        <v>0</v>
      </c>
      <c r="BH113">
        <f>SUMIF(RawDataDead!$B:$B,$A113,RawDataDead!BK:BK)</f>
        <v>0</v>
      </c>
      <c r="BI113">
        <f>SUMIF(RawDataDead!$B:$B,$A113,RawDataDead!BL:BL)</f>
        <v>0</v>
      </c>
      <c r="BJ113">
        <f>SUMIF(RawDataDead!$B:$B,$A113,RawDataDead!BM:BM)</f>
        <v>0</v>
      </c>
      <c r="BK113">
        <f>SUMIF(RawDataDead!$B:$B,$A113,RawDataDead!BN:BN)</f>
        <v>0</v>
      </c>
      <c r="BL113">
        <f>SUMIF(RawDataDead!$B:$B,$A113,RawDataDead!BO:BO)</f>
        <v>0</v>
      </c>
      <c r="BM113">
        <f>SUMIF(RawDataDead!$B:$B,$A113,RawDataDead!BP:BP)</f>
        <v>0</v>
      </c>
      <c r="BN113">
        <f>SUMIF(RawDataDead!$B:$B,$A113,RawDataDead!BQ:BQ)</f>
        <v>0</v>
      </c>
      <c r="BO113">
        <f>SUMIF(RawDataDead!$B:$B,$A113,RawDataDead!BR:BR)</f>
        <v>0</v>
      </c>
      <c r="BP113">
        <f>SUMIF(RawDataDead!$B:$B,$A113,RawDataDead!BS:BS)</f>
        <v>0</v>
      </c>
      <c r="BQ113">
        <f>SUMIF(RawDataDead!$B:$B,$A113,RawDataDead!BT:BT)</f>
        <v>0</v>
      </c>
      <c r="BR113">
        <f>SUMIF(RawDataDead!$B:$B,$A113,RawDataDead!BU:BU)</f>
        <v>0</v>
      </c>
      <c r="BS113">
        <f>SUMIF(RawDataDead!$B:$B,$A113,RawDataDead!BV:BV)</f>
        <v>0</v>
      </c>
      <c r="BT113">
        <f>SUMIF(RawDataDead!$B:$B,$A113,RawDataDead!BW:BW)</f>
        <v>0</v>
      </c>
    </row>
    <row r="114" spans="1:72" ht="15" thickBot="1" x14ac:dyDescent="0.35">
      <c r="A114" s="3" t="s">
        <v>380</v>
      </c>
      <c r="B114">
        <f>SUMIF(RawDataDead!$B:$B,$A114,RawDataDead!E:E)</f>
        <v>0</v>
      </c>
      <c r="C114">
        <f>SUMIF(RawDataDead!$B:$B,$A114,RawDataDead!F:F)</f>
        <v>0</v>
      </c>
      <c r="D114">
        <f>SUMIF(RawDataDead!$B:$B,$A114,RawDataDead!G:G)</f>
        <v>0</v>
      </c>
      <c r="E114">
        <f>SUMIF(RawDataDead!$B:$B,$A114,RawDataDead!H:H)</f>
        <v>0</v>
      </c>
      <c r="F114">
        <f>SUMIF(RawDataDead!$B:$B,$A114,RawDataDead!I:I)</f>
        <v>0</v>
      </c>
      <c r="G114">
        <f>SUMIF(RawDataDead!$B:$B,$A114,RawDataDead!J:J)</f>
        <v>0</v>
      </c>
      <c r="H114">
        <f>SUMIF(RawDataDead!$B:$B,$A114,RawDataDead!K:K)</f>
        <v>0</v>
      </c>
      <c r="I114">
        <f>SUMIF(RawDataDead!$B:$B,$A114,RawDataDead!L:L)</f>
        <v>0</v>
      </c>
      <c r="J114">
        <f>SUMIF(RawDataDead!$B:$B,$A114,RawDataDead!M:M)</f>
        <v>0</v>
      </c>
      <c r="K114">
        <f>SUMIF(RawDataDead!$B:$B,$A114,RawDataDead!N:N)</f>
        <v>0</v>
      </c>
      <c r="L114">
        <f>SUMIF(RawDataDead!$B:$B,$A114,RawDataDead!O:O)</f>
        <v>0</v>
      </c>
      <c r="M114">
        <f>SUMIF(RawDataDead!$B:$B,$A114,RawDataDead!P:P)</f>
        <v>0</v>
      </c>
      <c r="N114">
        <f>SUMIF(RawDataDead!$B:$B,$A114,RawDataDead!Q:Q)</f>
        <v>0</v>
      </c>
      <c r="O114">
        <f>SUMIF(RawDataDead!$B:$B,$A114,RawDataDead!R:R)</f>
        <v>0</v>
      </c>
      <c r="P114">
        <f>SUMIF(RawDataDead!$B:$B,$A114,RawDataDead!S:S)</f>
        <v>0</v>
      </c>
      <c r="Q114">
        <f>SUMIF(RawDataDead!$B:$B,$A114,RawDataDead!T:T)</f>
        <v>0</v>
      </c>
      <c r="R114">
        <f>SUMIF(RawDataDead!$B:$B,$A114,RawDataDead!U:U)</f>
        <v>0</v>
      </c>
      <c r="S114">
        <f>SUMIF(RawDataDead!$B:$B,$A114,RawDataDead!V:V)</f>
        <v>0</v>
      </c>
      <c r="T114">
        <f>SUMIF(RawDataDead!$B:$B,$A114,RawDataDead!W:W)</f>
        <v>0</v>
      </c>
      <c r="U114">
        <f>SUMIF(RawDataDead!$B:$B,$A114,RawDataDead!X:X)</f>
        <v>0</v>
      </c>
      <c r="V114">
        <f>SUMIF(RawDataDead!$B:$B,$A114,RawDataDead!Y:Y)</f>
        <v>0</v>
      </c>
      <c r="W114">
        <f>SUMIF(RawDataDead!$B:$B,$A114,RawDataDead!Z:Z)</f>
        <v>0</v>
      </c>
      <c r="X114">
        <f>SUMIF(RawDataDead!$B:$B,$A114,RawDataDead!AA:AA)</f>
        <v>0</v>
      </c>
      <c r="Y114">
        <f>SUMIF(RawDataDead!$B:$B,$A114,RawDataDead!AB:AB)</f>
        <v>0</v>
      </c>
      <c r="Z114">
        <f>SUMIF(RawDataDead!$B:$B,$A114,RawDataDead!AC:AC)</f>
        <v>0</v>
      </c>
      <c r="AA114">
        <f>SUMIF(RawDataDead!$B:$B,$A114,RawDataDead!AD:AD)</f>
        <v>0</v>
      </c>
      <c r="AB114">
        <f>SUMIF(RawDataDead!$B:$B,$A114,RawDataDead!AE:AE)</f>
        <v>0</v>
      </c>
      <c r="AC114">
        <f>SUMIF(RawDataDead!$B:$B,$A114,RawDataDead!AF:AF)</f>
        <v>0</v>
      </c>
      <c r="AD114">
        <f>SUMIF(RawDataDead!$B:$B,$A114,RawDataDead!AG:AG)</f>
        <v>0</v>
      </c>
      <c r="AE114">
        <f>SUMIF(RawDataDead!$B:$B,$A114,RawDataDead!AH:AH)</f>
        <v>0</v>
      </c>
      <c r="AF114">
        <f>SUMIF(RawDataDead!$B:$B,$A114,RawDataDead!AI:AI)</f>
        <v>0</v>
      </c>
      <c r="AG114">
        <f>SUMIF(RawDataDead!$B:$B,$A114,RawDataDead!AJ:AJ)</f>
        <v>0</v>
      </c>
      <c r="AH114">
        <f>SUMIF(RawDataDead!$B:$B,$A114,RawDataDead!AK:AK)</f>
        <v>0</v>
      </c>
      <c r="AI114">
        <f>SUMIF(RawDataDead!$B:$B,$A114,RawDataDead!AL:AL)</f>
        <v>0</v>
      </c>
      <c r="AJ114">
        <f>SUMIF(RawDataDead!$B:$B,$A114,RawDataDead!AM:AM)</f>
        <v>0</v>
      </c>
      <c r="AK114">
        <f>SUMIF(RawDataDead!$B:$B,$A114,RawDataDead!AN:AN)</f>
        <v>0</v>
      </c>
      <c r="AL114">
        <f>SUMIF(RawDataDead!$B:$B,$A114,RawDataDead!AO:AO)</f>
        <v>0</v>
      </c>
      <c r="AM114">
        <f>SUMIF(RawDataDead!$B:$B,$A114,RawDataDead!AP:AP)</f>
        <v>0</v>
      </c>
      <c r="AN114">
        <f>SUMIF(RawDataDead!$B:$B,$A114,RawDataDead!AQ:AQ)</f>
        <v>0</v>
      </c>
      <c r="AO114">
        <f>SUMIF(RawDataDead!$B:$B,$A114,RawDataDead!AR:AR)</f>
        <v>0</v>
      </c>
      <c r="AP114">
        <f>SUMIF(RawDataDead!$B:$B,$A114,RawDataDead!AS:AS)</f>
        <v>0</v>
      </c>
      <c r="AQ114">
        <f>SUMIF(RawDataDead!$B:$B,$A114,RawDataDead!AT:AT)</f>
        <v>0</v>
      </c>
      <c r="AR114">
        <f>SUMIF(RawDataDead!$B:$B,$A114,RawDataDead!AU:AU)</f>
        <v>0</v>
      </c>
      <c r="AS114">
        <f>SUMIF(RawDataDead!$B:$B,$A114,RawDataDead!AV:AV)</f>
        <v>0</v>
      </c>
      <c r="AT114">
        <f>SUMIF(RawDataDead!$B:$B,$A114,RawDataDead!AW:AW)</f>
        <v>0</v>
      </c>
      <c r="AU114">
        <f>SUMIF(RawDataDead!$B:$B,$A114,RawDataDead!AX:AX)</f>
        <v>0</v>
      </c>
      <c r="AV114">
        <f>SUMIF(RawDataDead!$B:$B,$A114,RawDataDead!AY:AY)</f>
        <v>0</v>
      </c>
      <c r="AW114">
        <f>SUMIF(RawDataDead!$B:$B,$A114,RawDataDead!AZ:AZ)</f>
        <v>0</v>
      </c>
      <c r="AX114">
        <f>SUMIF(RawDataDead!$B:$B,$A114,RawDataDead!BA:BA)</f>
        <v>0</v>
      </c>
      <c r="AY114">
        <f>SUMIF(RawDataDead!$B:$B,$A114,RawDataDead!BB:BB)</f>
        <v>0</v>
      </c>
      <c r="AZ114">
        <f>SUMIF(RawDataDead!$B:$B,$A114,RawDataDead!BC:BC)</f>
        <v>0</v>
      </c>
      <c r="BA114">
        <f>SUMIF(RawDataDead!$B:$B,$A114,RawDataDead!BD:BD)</f>
        <v>0</v>
      </c>
      <c r="BB114">
        <f>SUMIF(RawDataDead!$B:$B,$A114,RawDataDead!BE:BE)</f>
        <v>0</v>
      </c>
      <c r="BC114">
        <f>SUMIF(RawDataDead!$B:$B,$A114,RawDataDead!BF:BF)</f>
        <v>0</v>
      </c>
      <c r="BD114">
        <f>SUMIF(RawDataDead!$B:$B,$A114,RawDataDead!BG:BG)</f>
        <v>0</v>
      </c>
      <c r="BE114">
        <f>SUMIF(RawDataDead!$B:$B,$A114,RawDataDead!BH:BH)</f>
        <v>0</v>
      </c>
      <c r="BF114">
        <f>SUMIF(RawDataDead!$B:$B,$A114,RawDataDead!BI:BI)</f>
        <v>0</v>
      </c>
      <c r="BG114">
        <f>SUMIF(RawDataDead!$B:$B,$A114,RawDataDead!BJ:BJ)</f>
        <v>0</v>
      </c>
      <c r="BH114">
        <f>SUMIF(RawDataDead!$B:$B,$A114,RawDataDead!BK:BK)</f>
        <v>0</v>
      </c>
      <c r="BI114">
        <f>SUMIF(RawDataDead!$B:$B,$A114,RawDataDead!BL:BL)</f>
        <v>0</v>
      </c>
      <c r="BJ114">
        <f>SUMIF(RawDataDead!$B:$B,$A114,RawDataDead!BM:BM)</f>
        <v>0</v>
      </c>
      <c r="BK114">
        <f>SUMIF(RawDataDead!$B:$B,$A114,RawDataDead!BN:BN)</f>
        <v>0</v>
      </c>
      <c r="BL114">
        <f>SUMIF(RawDataDead!$B:$B,$A114,RawDataDead!BO:BO)</f>
        <v>0</v>
      </c>
      <c r="BM114">
        <f>SUMIF(RawDataDead!$B:$B,$A114,RawDataDead!BP:BP)</f>
        <v>0</v>
      </c>
      <c r="BN114">
        <f>SUMIF(RawDataDead!$B:$B,$A114,RawDataDead!BQ:BQ)</f>
        <v>0</v>
      </c>
      <c r="BO114">
        <f>SUMIF(RawDataDead!$B:$B,$A114,RawDataDead!BR:BR)</f>
        <v>0</v>
      </c>
      <c r="BP114">
        <f>SUMIF(RawDataDead!$B:$B,$A114,RawDataDead!BS:BS)</f>
        <v>0</v>
      </c>
      <c r="BQ114">
        <f>SUMIF(RawDataDead!$B:$B,$A114,RawDataDead!BT:BT)</f>
        <v>0</v>
      </c>
      <c r="BR114">
        <f>SUMIF(RawDataDead!$B:$B,$A114,RawDataDead!BU:BU)</f>
        <v>0</v>
      </c>
      <c r="BS114">
        <f>SUMIF(RawDataDead!$B:$B,$A114,RawDataDead!BV:BV)</f>
        <v>0</v>
      </c>
      <c r="BT114">
        <f>SUMIF(RawDataDead!$B:$B,$A114,RawDataDead!BW:BW)</f>
        <v>0</v>
      </c>
    </row>
    <row r="115" spans="1:72" ht="15" thickBot="1" x14ac:dyDescent="0.35">
      <c r="A115" s="4" t="s">
        <v>447</v>
      </c>
      <c r="B115">
        <f>SUMIF(RawDataDead!$B:$B,$A115,RawDataDead!E:E)</f>
        <v>0</v>
      </c>
      <c r="C115">
        <f>SUMIF(RawDataDead!$B:$B,$A115,RawDataDead!F:F)</f>
        <v>0</v>
      </c>
      <c r="D115">
        <f>SUMIF(RawDataDead!$B:$B,$A115,RawDataDead!G:G)</f>
        <v>0</v>
      </c>
      <c r="E115">
        <f>SUMIF(RawDataDead!$B:$B,$A115,RawDataDead!H:H)</f>
        <v>0</v>
      </c>
      <c r="F115">
        <f>SUMIF(RawDataDead!$B:$B,$A115,RawDataDead!I:I)</f>
        <v>0</v>
      </c>
      <c r="G115">
        <f>SUMIF(RawDataDead!$B:$B,$A115,RawDataDead!J:J)</f>
        <v>0</v>
      </c>
      <c r="H115">
        <f>SUMIF(RawDataDead!$B:$B,$A115,RawDataDead!K:K)</f>
        <v>0</v>
      </c>
      <c r="I115">
        <f>SUMIF(RawDataDead!$B:$B,$A115,RawDataDead!L:L)</f>
        <v>0</v>
      </c>
      <c r="J115">
        <f>SUMIF(RawDataDead!$B:$B,$A115,RawDataDead!M:M)</f>
        <v>0</v>
      </c>
      <c r="K115">
        <f>SUMIF(RawDataDead!$B:$B,$A115,RawDataDead!N:N)</f>
        <v>0</v>
      </c>
      <c r="L115">
        <f>SUMIF(RawDataDead!$B:$B,$A115,RawDataDead!O:O)</f>
        <v>0</v>
      </c>
      <c r="M115">
        <f>SUMIF(RawDataDead!$B:$B,$A115,RawDataDead!P:P)</f>
        <v>0</v>
      </c>
      <c r="N115">
        <f>SUMIF(RawDataDead!$B:$B,$A115,RawDataDead!Q:Q)</f>
        <v>0</v>
      </c>
      <c r="O115">
        <f>SUMIF(RawDataDead!$B:$B,$A115,RawDataDead!R:R)</f>
        <v>0</v>
      </c>
      <c r="P115">
        <f>SUMIF(RawDataDead!$B:$B,$A115,RawDataDead!S:S)</f>
        <v>0</v>
      </c>
      <c r="Q115">
        <f>SUMIF(RawDataDead!$B:$B,$A115,RawDataDead!T:T)</f>
        <v>0</v>
      </c>
      <c r="R115">
        <f>SUMIF(RawDataDead!$B:$B,$A115,RawDataDead!U:U)</f>
        <v>0</v>
      </c>
      <c r="S115">
        <f>SUMIF(RawDataDead!$B:$B,$A115,RawDataDead!V:V)</f>
        <v>0</v>
      </c>
      <c r="T115">
        <f>SUMIF(RawDataDead!$B:$B,$A115,RawDataDead!W:W)</f>
        <v>0</v>
      </c>
      <c r="U115">
        <f>SUMIF(RawDataDead!$B:$B,$A115,RawDataDead!X:X)</f>
        <v>0</v>
      </c>
      <c r="V115">
        <f>SUMIF(RawDataDead!$B:$B,$A115,RawDataDead!Y:Y)</f>
        <v>0</v>
      </c>
      <c r="W115">
        <f>SUMIF(RawDataDead!$B:$B,$A115,RawDataDead!Z:Z)</f>
        <v>0</v>
      </c>
      <c r="X115">
        <f>SUMIF(RawDataDead!$B:$B,$A115,RawDataDead!AA:AA)</f>
        <v>0</v>
      </c>
      <c r="Y115">
        <f>SUMIF(RawDataDead!$B:$B,$A115,RawDataDead!AB:AB)</f>
        <v>0</v>
      </c>
      <c r="Z115">
        <f>SUMIF(RawDataDead!$B:$B,$A115,RawDataDead!AC:AC)</f>
        <v>0</v>
      </c>
      <c r="AA115">
        <f>SUMIF(RawDataDead!$B:$B,$A115,RawDataDead!AD:AD)</f>
        <v>0</v>
      </c>
      <c r="AB115">
        <f>SUMIF(RawDataDead!$B:$B,$A115,RawDataDead!AE:AE)</f>
        <v>0</v>
      </c>
      <c r="AC115">
        <f>SUMIF(RawDataDead!$B:$B,$A115,RawDataDead!AF:AF)</f>
        <v>0</v>
      </c>
      <c r="AD115">
        <f>SUMIF(RawDataDead!$B:$B,$A115,RawDataDead!AG:AG)</f>
        <v>0</v>
      </c>
      <c r="AE115">
        <f>SUMIF(RawDataDead!$B:$B,$A115,RawDataDead!AH:AH)</f>
        <v>0</v>
      </c>
      <c r="AF115">
        <f>SUMIF(RawDataDead!$B:$B,$A115,RawDataDead!AI:AI)</f>
        <v>0</v>
      </c>
      <c r="AG115">
        <f>SUMIF(RawDataDead!$B:$B,$A115,RawDataDead!AJ:AJ)</f>
        <v>0</v>
      </c>
      <c r="AH115">
        <f>SUMIF(RawDataDead!$B:$B,$A115,RawDataDead!AK:AK)</f>
        <v>0</v>
      </c>
      <c r="AI115">
        <f>SUMIF(RawDataDead!$B:$B,$A115,RawDataDead!AL:AL)</f>
        <v>0</v>
      </c>
      <c r="AJ115">
        <f>SUMIF(RawDataDead!$B:$B,$A115,RawDataDead!AM:AM)</f>
        <v>0</v>
      </c>
      <c r="AK115">
        <f>SUMIF(RawDataDead!$B:$B,$A115,RawDataDead!AN:AN)</f>
        <v>0</v>
      </c>
      <c r="AL115">
        <f>SUMIF(RawDataDead!$B:$B,$A115,RawDataDead!AO:AO)</f>
        <v>0</v>
      </c>
      <c r="AM115">
        <f>SUMIF(RawDataDead!$B:$B,$A115,RawDataDead!AP:AP)</f>
        <v>0</v>
      </c>
      <c r="AN115">
        <f>SUMIF(RawDataDead!$B:$B,$A115,RawDataDead!AQ:AQ)</f>
        <v>0</v>
      </c>
      <c r="AO115">
        <f>SUMIF(RawDataDead!$B:$B,$A115,RawDataDead!AR:AR)</f>
        <v>0</v>
      </c>
      <c r="AP115">
        <f>SUMIF(RawDataDead!$B:$B,$A115,RawDataDead!AS:AS)</f>
        <v>0</v>
      </c>
      <c r="AQ115">
        <f>SUMIF(RawDataDead!$B:$B,$A115,RawDataDead!AT:AT)</f>
        <v>0</v>
      </c>
      <c r="AR115">
        <f>SUMIF(RawDataDead!$B:$B,$A115,RawDataDead!AU:AU)</f>
        <v>0</v>
      </c>
      <c r="AS115">
        <f>SUMIF(RawDataDead!$B:$B,$A115,RawDataDead!AV:AV)</f>
        <v>0</v>
      </c>
      <c r="AT115">
        <f>SUMIF(RawDataDead!$B:$B,$A115,RawDataDead!AW:AW)</f>
        <v>0</v>
      </c>
      <c r="AU115">
        <f>SUMIF(RawDataDead!$B:$B,$A115,RawDataDead!AX:AX)</f>
        <v>0</v>
      </c>
      <c r="AV115">
        <f>SUMIF(RawDataDead!$B:$B,$A115,RawDataDead!AY:AY)</f>
        <v>0</v>
      </c>
      <c r="AW115">
        <f>SUMIF(RawDataDead!$B:$B,$A115,RawDataDead!AZ:AZ)</f>
        <v>0</v>
      </c>
      <c r="AX115">
        <f>SUMIF(RawDataDead!$B:$B,$A115,RawDataDead!BA:BA)</f>
        <v>0</v>
      </c>
      <c r="AY115">
        <f>SUMIF(RawDataDead!$B:$B,$A115,RawDataDead!BB:BB)</f>
        <v>0</v>
      </c>
      <c r="AZ115">
        <f>SUMIF(RawDataDead!$B:$B,$A115,RawDataDead!BC:BC)</f>
        <v>0</v>
      </c>
      <c r="BA115">
        <f>SUMIF(RawDataDead!$B:$B,$A115,RawDataDead!BD:BD)</f>
        <v>0</v>
      </c>
      <c r="BB115">
        <f>SUMIF(RawDataDead!$B:$B,$A115,RawDataDead!BE:BE)</f>
        <v>0</v>
      </c>
      <c r="BC115">
        <f>SUMIF(RawDataDead!$B:$B,$A115,RawDataDead!BF:BF)</f>
        <v>0</v>
      </c>
      <c r="BD115">
        <f>SUMIF(RawDataDead!$B:$B,$A115,RawDataDead!BG:BG)</f>
        <v>0</v>
      </c>
      <c r="BE115">
        <f>SUMIF(RawDataDead!$B:$B,$A115,RawDataDead!BH:BH)</f>
        <v>0</v>
      </c>
      <c r="BF115">
        <f>SUMIF(RawDataDead!$B:$B,$A115,RawDataDead!BI:BI)</f>
        <v>0</v>
      </c>
      <c r="BG115">
        <f>SUMIF(RawDataDead!$B:$B,$A115,RawDataDead!BJ:BJ)</f>
        <v>0</v>
      </c>
      <c r="BH115">
        <f>SUMIF(RawDataDead!$B:$B,$A115,RawDataDead!BK:BK)</f>
        <v>0</v>
      </c>
      <c r="BI115">
        <f>SUMIF(RawDataDead!$B:$B,$A115,RawDataDead!BL:BL)</f>
        <v>0</v>
      </c>
      <c r="BJ115">
        <f>SUMIF(RawDataDead!$B:$B,$A115,RawDataDead!BM:BM)</f>
        <v>0</v>
      </c>
      <c r="BK115">
        <f>SUMIF(RawDataDead!$B:$B,$A115,RawDataDead!BN:BN)</f>
        <v>0</v>
      </c>
      <c r="BL115">
        <f>SUMIF(RawDataDead!$B:$B,$A115,RawDataDead!BO:BO)</f>
        <v>0</v>
      </c>
      <c r="BM115">
        <f>SUMIF(RawDataDead!$B:$B,$A115,RawDataDead!BP:BP)</f>
        <v>0</v>
      </c>
      <c r="BN115">
        <f>SUMIF(RawDataDead!$B:$B,$A115,RawDataDead!BQ:BQ)</f>
        <v>0</v>
      </c>
      <c r="BO115">
        <f>SUMIF(RawDataDead!$B:$B,$A115,RawDataDead!BR:BR)</f>
        <v>0</v>
      </c>
      <c r="BP115">
        <f>SUMIF(RawDataDead!$B:$B,$A115,RawDataDead!BS:BS)</f>
        <v>0</v>
      </c>
      <c r="BQ115">
        <f>SUMIF(RawDataDead!$B:$B,$A115,RawDataDead!BT:BT)</f>
        <v>0</v>
      </c>
      <c r="BR115">
        <f>SUMIF(RawDataDead!$B:$B,$A115,RawDataDead!BU:BU)</f>
        <v>0</v>
      </c>
      <c r="BS115">
        <f>SUMIF(RawDataDead!$B:$B,$A115,RawDataDead!BV:BV)</f>
        <v>0</v>
      </c>
      <c r="BT115">
        <f>SUMIF(RawDataDead!$B:$B,$A115,RawDataDead!BW:BW)</f>
        <v>0</v>
      </c>
    </row>
    <row r="116" spans="1:72" ht="15" thickBot="1" x14ac:dyDescent="0.35">
      <c r="A116" s="3" t="s">
        <v>444</v>
      </c>
      <c r="B116">
        <f>SUMIF(RawDataDead!$B:$B,$A116,RawDataDead!E:E)</f>
        <v>0</v>
      </c>
      <c r="C116">
        <f>SUMIF(RawDataDead!$B:$B,$A116,RawDataDead!F:F)</f>
        <v>0</v>
      </c>
      <c r="D116">
        <f>SUMIF(RawDataDead!$B:$B,$A116,RawDataDead!G:G)</f>
        <v>0</v>
      </c>
      <c r="E116">
        <f>SUMIF(RawDataDead!$B:$B,$A116,RawDataDead!H:H)</f>
        <v>0</v>
      </c>
      <c r="F116">
        <f>SUMIF(RawDataDead!$B:$B,$A116,RawDataDead!I:I)</f>
        <v>0</v>
      </c>
      <c r="G116">
        <f>SUMIF(RawDataDead!$B:$B,$A116,RawDataDead!J:J)</f>
        <v>0</v>
      </c>
      <c r="H116">
        <f>SUMIF(RawDataDead!$B:$B,$A116,RawDataDead!K:K)</f>
        <v>0</v>
      </c>
      <c r="I116">
        <f>SUMIF(RawDataDead!$B:$B,$A116,RawDataDead!L:L)</f>
        <v>0</v>
      </c>
      <c r="J116">
        <f>SUMIF(RawDataDead!$B:$B,$A116,RawDataDead!M:M)</f>
        <v>0</v>
      </c>
      <c r="K116">
        <f>SUMIF(RawDataDead!$B:$B,$A116,RawDataDead!N:N)</f>
        <v>0</v>
      </c>
      <c r="L116">
        <f>SUMIF(RawDataDead!$B:$B,$A116,RawDataDead!O:O)</f>
        <v>0</v>
      </c>
      <c r="M116">
        <f>SUMIF(RawDataDead!$B:$B,$A116,RawDataDead!P:P)</f>
        <v>0</v>
      </c>
      <c r="N116">
        <f>SUMIF(RawDataDead!$B:$B,$A116,RawDataDead!Q:Q)</f>
        <v>0</v>
      </c>
      <c r="O116">
        <f>SUMIF(RawDataDead!$B:$B,$A116,RawDataDead!R:R)</f>
        <v>0</v>
      </c>
      <c r="P116">
        <f>SUMIF(RawDataDead!$B:$B,$A116,RawDataDead!S:S)</f>
        <v>0</v>
      </c>
      <c r="Q116">
        <f>SUMIF(RawDataDead!$B:$B,$A116,RawDataDead!T:T)</f>
        <v>0</v>
      </c>
      <c r="R116">
        <f>SUMIF(RawDataDead!$B:$B,$A116,RawDataDead!U:U)</f>
        <v>0</v>
      </c>
      <c r="S116">
        <f>SUMIF(RawDataDead!$B:$B,$A116,RawDataDead!V:V)</f>
        <v>0</v>
      </c>
      <c r="T116">
        <f>SUMIF(RawDataDead!$B:$B,$A116,RawDataDead!W:W)</f>
        <v>0</v>
      </c>
      <c r="U116">
        <f>SUMIF(RawDataDead!$B:$B,$A116,RawDataDead!X:X)</f>
        <v>0</v>
      </c>
      <c r="V116">
        <f>SUMIF(RawDataDead!$B:$B,$A116,RawDataDead!Y:Y)</f>
        <v>0</v>
      </c>
      <c r="W116">
        <f>SUMIF(RawDataDead!$B:$B,$A116,RawDataDead!Z:Z)</f>
        <v>0</v>
      </c>
      <c r="X116">
        <f>SUMIF(RawDataDead!$B:$B,$A116,RawDataDead!AA:AA)</f>
        <v>0</v>
      </c>
      <c r="Y116">
        <f>SUMIF(RawDataDead!$B:$B,$A116,RawDataDead!AB:AB)</f>
        <v>0</v>
      </c>
      <c r="Z116">
        <f>SUMIF(RawDataDead!$B:$B,$A116,RawDataDead!AC:AC)</f>
        <v>0</v>
      </c>
      <c r="AA116">
        <f>SUMIF(RawDataDead!$B:$B,$A116,RawDataDead!AD:AD)</f>
        <v>0</v>
      </c>
      <c r="AB116">
        <f>SUMIF(RawDataDead!$B:$B,$A116,RawDataDead!AE:AE)</f>
        <v>0</v>
      </c>
      <c r="AC116">
        <f>SUMIF(RawDataDead!$B:$B,$A116,RawDataDead!AF:AF)</f>
        <v>0</v>
      </c>
      <c r="AD116">
        <f>SUMIF(RawDataDead!$B:$B,$A116,RawDataDead!AG:AG)</f>
        <v>0</v>
      </c>
      <c r="AE116">
        <f>SUMIF(RawDataDead!$B:$B,$A116,RawDataDead!AH:AH)</f>
        <v>0</v>
      </c>
      <c r="AF116">
        <f>SUMIF(RawDataDead!$B:$B,$A116,RawDataDead!AI:AI)</f>
        <v>0</v>
      </c>
      <c r="AG116">
        <f>SUMIF(RawDataDead!$B:$B,$A116,RawDataDead!AJ:AJ)</f>
        <v>0</v>
      </c>
      <c r="AH116">
        <f>SUMIF(RawDataDead!$B:$B,$A116,RawDataDead!AK:AK)</f>
        <v>0</v>
      </c>
      <c r="AI116">
        <f>SUMIF(RawDataDead!$B:$B,$A116,RawDataDead!AL:AL)</f>
        <v>0</v>
      </c>
      <c r="AJ116">
        <f>SUMIF(RawDataDead!$B:$B,$A116,RawDataDead!AM:AM)</f>
        <v>0</v>
      </c>
      <c r="AK116">
        <f>SUMIF(RawDataDead!$B:$B,$A116,RawDataDead!AN:AN)</f>
        <v>0</v>
      </c>
      <c r="AL116">
        <f>SUMIF(RawDataDead!$B:$B,$A116,RawDataDead!AO:AO)</f>
        <v>0</v>
      </c>
      <c r="AM116">
        <f>SUMIF(RawDataDead!$B:$B,$A116,RawDataDead!AP:AP)</f>
        <v>0</v>
      </c>
      <c r="AN116">
        <f>SUMIF(RawDataDead!$B:$B,$A116,RawDataDead!AQ:AQ)</f>
        <v>0</v>
      </c>
      <c r="AO116">
        <f>SUMIF(RawDataDead!$B:$B,$A116,RawDataDead!AR:AR)</f>
        <v>0</v>
      </c>
      <c r="AP116">
        <f>SUMIF(RawDataDead!$B:$B,$A116,RawDataDead!AS:AS)</f>
        <v>0</v>
      </c>
      <c r="AQ116">
        <f>SUMIF(RawDataDead!$B:$B,$A116,RawDataDead!AT:AT)</f>
        <v>0</v>
      </c>
      <c r="AR116">
        <f>SUMIF(RawDataDead!$B:$B,$A116,RawDataDead!AU:AU)</f>
        <v>0</v>
      </c>
      <c r="AS116">
        <f>SUMIF(RawDataDead!$B:$B,$A116,RawDataDead!AV:AV)</f>
        <v>0</v>
      </c>
      <c r="AT116">
        <f>SUMIF(RawDataDead!$B:$B,$A116,RawDataDead!AW:AW)</f>
        <v>0</v>
      </c>
      <c r="AU116">
        <f>SUMIF(RawDataDead!$B:$B,$A116,RawDataDead!AX:AX)</f>
        <v>0</v>
      </c>
      <c r="AV116">
        <f>SUMIF(RawDataDead!$B:$B,$A116,RawDataDead!AY:AY)</f>
        <v>0</v>
      </c>
      <c r="AW116">
        <f>SUMIF(RawDataDead!$B:$B,$A116,RawDataDead!AZ:AZ)</f>
        <v>0</v>
      </c>
      <c r="AX116">
        <f>SUMIF(RawDataDead!$B:$B,$A116,RawDataDead!BA:BA)</f>
        <v>0</v>
      </c>
      <c r="AY116">
        <f>SUMIF(RawDataDead!$B:$B,$A116,RawDataDead!BB:BB)</f>
        <v>0</v>
      </c>
      <c r="AZ116">
        <f>SUMIF(RawDataDead!$B:$B,$A116,RawDataDead!BC:BC)</f>
        <v>0</v>
      </c>
      <c r="BA116">
        <f>SUMIF(RawDataDead!$B:$B,$A116,RawDataDead!BD:BD)</f>
        <v>0</v>
      </c>
      <c r="BB116">
        <f>SUMIF(RawDataDead!$B:$B,$A116,RawDataDead!BE:BE)</f>
        <v>0</v>
      </c>
      <c r="BC116">
        <f>SUMIF(RawDataDead!$B:$B,$A116,RawDataDead!BF:BF)</f>
        <v>0</v>
      </c>
      <c r="BD116">
        <f>SUMIF(RawDataDead!$B:$B,$A116,RawDataDead!BG:BG)</f>
        <v>0</v>
      </c>
      <c r="BE116">
        <f>SUMIF(RawDataDead!$B:$B,$A116,RawDataDead!BH:BH)</f>
        <v>0</v>
      </c>
      <c r="BF116">
        <f>SUMIF(RawDataDead!$B:$B,$A116,RawDataDead!BI:BI)</f>
        <v>0</v>
      </c>
      <c r="BG116">
        <f>SUMIF(RawDataDead!$B:$B,$A116,RawDataDead!BJ:BJ)</f>
        <v>0</v>
      </c>
      <c r="BH116">
        <f>SUMIF(RawDataDead!$B:$B,$A116,RawDataDead!BK:BK)</f>
        <v>0</v>
      </c>
      <c r="BI116">
        <f>SUMIF(RawDataDead!$B:$B,$A116,RawDataDead!BL:BL)</f>
        <v>0</v>
      </c>
      <c r="BJ116">
        <f>SUMIF(RawDataDead!$B:$B,$A116,RawDataDead!BM:BM)</f>
        <v>0</v>
      </c>
      <c r="BK116">
        <f>SUMIF(RawDataDead!$B:$B,$A116,RawDataDead!BN:BN)</f>
        <v>0</v>
      </c>
      <c r="BL116">
        <f>SUMIF(RawDataDead!$B:$B,$A116,RawDataDead!BO:BO)</f>
        <v>0</v>
      </c>
      <c r="BM116">
        <f>SUMIF(RawDataDead!$B:$B,$A116,RawDataDead!BP:BP)</f>
        <v>0</v>
      </c>
      <c r="BN116">
        <f>SUMIF(RawDataDead!$B:$B,$A116,RawDataDead!BQ:BQ)</f>
        <v>0</v>
      </c>
      <c r="BO116">
        <f>SUMIF(RawDataDead!$B:$B,$A116,RawDataDead!BR:BR)</f>
        <v>0</v>
      </c>
      <c r="BP116">
        <f>SUMIF(RawDataDead!$B:$B,$A116,RawDataDead!BS:BS)</f>
        <v>0</v>
      </c>
      <c r="BQ116">
        <f>SUMIF(RawDataDead!$B:$B,$A116,RawDataDead!BT:BT)</f>
        <v>0</v>
      </c>
      <c r="BR116">
        <f>SUMIF(RawDataDead!$B:$B,$A116,RawDataDead!BU:BU)</f>
        <v>0</v>
      </c>
      <c r="BS116">
        <f>SUMIF(RawDataDead!$B:$B,$A116,RawDataDead!BV:BV)</f>
        <v>0</v>
      </c>
      <c r="BT116">
        <f>SUMIF(RawDataDead!$B:$B,$A116,RawDataDead!BW:BW)</f>
        <v>0</v>
      </c>
    </row>
    <row r="117" spans="1:72" ht="15" thickBot="1" x14ac:dyDescent="0.35">
      <c r="A117" s="4" t="s">
        <v>449</v>
      </c>
      <c r="B117">
        <f>SUMIF(RawDataDead!$B:$B,$A117,RawDataDead!E:E)</f>
        <v>0</v>
      </c>
      <c r="C117">
        <f>SUMIF(RawDataDead!$B:$B,$A117,RawDataDead!F:F)</f>
        <v>0</v>
      </c>
      <c r="D117">
        <f>SUMIF(RawDataDead!$B:$B,$A117,RawDataDead!G:G)</f>
        <v>0</v>
      </c>
      <c r="E117">
        <f>SUMIF(RawDataDead!$B:$B,$A117,RawDataDead!H:H)</f>
        <v>0</v>
      </c>
      <c r="F117">
        <f>SUMIF(RawDataDead!$B:$B,$A117,RawDataDead!I:I)</f>
        <v>0</v>
      </c>
      <c r="G117">
        <f>SUMIF(RawDataDead!$B:$B,$A117,RawDataDead!J:J)</f>
        <v>0</v>
      </c>
      <c r="H117">
        <f>SUMIF(RawDataDead!$B:$B,$A117,RawDataDead!K:K)</f>
        <v>0</v>
      </c>
      <c r="I117">
        <f>SUMIF(RawDataDead!$B:$B,$A117,RawDataDead!L:L)</f>
        <v>0</v>
      </c>
      <c r="J117">
        <f>SUMIF(RawDataDead!$B:$B,$A117,RawDataDead!M:M)</f>
        <v>0</v>
      </c>
      <c r="K117">
        <f>SUMIF(RawDataDead!$B:$B,$A117,RawDataDead!N:N)</f>
        <v>0</v>
      </c>
      <c r="L117">
        <f>SUMIF(RawDataDead!$B:$B,$A117,RawDataDead!O:O)</f>
        <v>0</v>
      </c>
      <c r="M117">
        <f>SUMIF(RawDataDead!$B:$B,$A117,RawDataDead!P:P)</f>
        <v>0</v>
      </c>
      <c r="N117">
        <f>SUMIF(RawDataDead!$B:$B,$A117,RawDataDead!Q:Q)</f>
        <v>0</v>
      </c>
      <c r="O117">
        <f>SUMIF(RawDataDead!$B:$B,$A117,RawDataDead!R:R)</f>
        <v>0</v>
      </c>
      <c r="P117">
        <f>SUMIF(RawDataDead!$B:$B,$A117,RawDataDead!S:S)</f>
        <v>0</v>
      </c>
      <c r="Q117">
        <f>SUMIF(RawDataDead!$B:$B,$A117,RawDataDead!T:T)</f>
        <v>0</v>
      </c>
      <c r="R117">
        <f>SUMIF(RawDataDead!$B:$B,$A117,RawDataDead!U:U)</f>
        <v>0</v>
      </c>
      <c r="S117">
        <f>SUMIF(RawDataDead!$B:$B,$A117,RawDataDead!V:V)</f>
        <v>0</v>
      </c>
      <c r="T117">
        <f>SUMIF(RawDataDead!$B:$B,$A117,RawDataDead!W:W)</f>
        <v>0</v>
      </c>
      <c r="U117">
        <f>SUMIF(RawDataDead!$B:$B,$A117,RawDataDead!X:X)</f>
        <v>0</v>
      </c>
      <c r="V117">
        <f>SUMIF(RawDataDead!$B:$B,$A117,RawDataDead!Y:Y)</f>
        <v>0</v>
      </c>
      <c r="W117">
        <f>SUMIF(RawDataDead!$B:$B,$A117,RawDataDead!Z:Z)</f>
        <v>0</v>
      </c>
      <c r="X117">
        <f>SUMIF(RawDataDead!$B:$B,$A117,RawDataDead!AA:AA)</f>
        <v>0</v>
      </c>
      <c r="Y117">
        <f>SUMIF(RawDataDead!$B:$B,$A117,RawDataDead!AB:AB)</f>
        <v>0</v>
      </c>
      <c r="Z117">
        <f>SUMIF(RawDataDead!$B:$B,$A117,RawDataDead!AC:AC)</f>
        <v>0</v>
      </c>
      <c r="AA117">
        <f>SUMIF(RawDataDead!$B:$B,$A117,RawDataDead!AD:AD)</f>
        <v>0</v>
      </c>
      <c r="AB117">
        <f>SUMIF(RawDataDead!$B:$B,$A117,RawDataDead!AE:AE)</f>
        <v>0</v>
      </c>
      <c r="AC117">
        <f>SUMIF(RawDataDead!$B:$B,$A117,RawDataDead!AF:AF)</f>
        <v>0</v>
      </c>
      <c r="AD117">
        <f>SUMIF(RawDataDead!$B:$B,$A117,RawDataDead!AG:AG)</f>
        <v>0</v>
      </c>
      <c r="AE117">
        <f>SUMIF(RawDataDead!$B:$B,$A117,RawDataDead!AH:AH)</f>
        <v>0</v>
      </c>
      <c r="AF117">
        <f>SUMIF(RawDataDead!$B:$B,$A117,RawDataDead!AI:AI)</f>
        <v>0</v>
      </c>
      <c r="AG117">
        <f>SUMIF(RawDataDead!$B:$B,$A117,RawDataDead!AJ:AJ)</f>
        <v>0</v>
      </c>
      <c r="AH117">
        <f>SUMIF(RawDataDead!$B:$B,$A117,RawDataDead!AK:AK)</f>
        <v>0</v>
      </c>
      <c r="AI117">
        <f>SUMIF(RawDataDead!$B:$B,$A117,RawDataDead!AL:AL)</f>
        <v>0</v>
      </c>
      <c r="AJ117">
        <f>SUMIF(RawDataDead!$B:$B,$A117,RawDataDead!AM:AM)</f>
        <v>0</v>
      </c>
      <c r="AK117">
        <f>SUMIF(RawDataDead!$B:$B,$A117,RawDataDead!AN:AN)</f>
        <v>0</v>
      </c>
      <c r="AL117">
        <f>SUMIF(RawDataDead!$B:$B,$A117,RawDataDead!AO:AO)</f>
        <v>0</v>
      </c>
      <c r="AM117">
        <f>SUMIF(RawDataDead!$B:$B,$A117,RawDataDead!AP:AP)</f>
        <v>0</v>
      </c>
      <c r="AN117">
        <f>SUMIF(RawDataDead!$B:$B,$A117,RawDataDead!AQ:AQ)</f>
        <v>0</v>
      </c>
      <c r="AO117">
        <f>SUMIF(RawDataDead!$B:$B,$A117,RawDataDead!AR:AR)</f>
        <v>0</v>
      </c>
      <c r="AP117">
        <f>SUMIF(RawDataDead!$B:$B,$A117,RawDataDead!AS:AS)</f>
        <v>0</v>
      </c>
      <c r="AQ117">
        <f>SUMIF(RawDataDead!$B:$B,$A117,RawDataDead!AT:AT)</f>
        <v>0</v>
      </c>
      <c r="AR117">
        <f>SUMIF(RawDataDead!$B:$B,$A117,RawDataDead!AU:AU)</f>
        <v>0</v>
      </c>
      <c r="AS117">
        <f>SUMIF(RawDataDead!$B:$B,$A117,RawDataDead!AV:AV)</f>
        <v>0</v>
      </c>
      <c r="AT117">
        <f>SUMIF(RawDataDead!$B:$B,$A117,RawDataDead!AW:AW)</f>
        <v>0</v>
      </c>
      <c r="AU117">
        <f>SUMIF(RawDataDead!$B:$B,$A117,RawDataDead!AX:AX)</f>
        <v>0</v>
      </c>
      <c r="AV117">
        <f>SUMIF(RawDataDead!$B:$B,$A117,RawDataDead!AY:AY)</f>
        <v>0</v>
      </c>
      <c r="AW117">
        <f>SUMIF(RawDataDead!$B:$B,$A117,RawDataDead!AZ:AZ)</f>
        <v>0</v>
      </c>
      <c r="AX117">
        <f>SUMIF(RawDataDead!$B:$B,$A117,RawDataDead!BA:BA)</f>
        <v>0</v>
      </c>
      <c r="AY117">
        <f>SUMIF(RawDataDead!$B:$B,$A117,RawDataDead!BB:BB)</f>
        <v>0</v>
      </c>
      <c r="AZ117">
        <f>SUMIF(RawDataDead!$B:$B,$A117,RawDataDead!BC:BC)</f>
        <v>0</v>
      </c>
      <c r="BA117">
        <f>SUMIF(RawDataDead!$B:$B,$A117,RawDataDead!BD:BD)</f>
        <v>0</v>
      </c>
      <c r="BB117">
        <f>SUMIF(RawDataDead!$B:$B,$A117,RawDataDead!BE:BE)</f>
        <v>0</v>
      </c>
      <c r="BC117">
        <f>SUMIF(RawDataDead!$B:$B,$A117,RawDataDead!BF:BF)</f>
        <v>0</v>
      </c>
      <c r="BD117">
        <f>SUMIF(RawDataDead!$B:$B,$A117,RawDataDead!BG:BG)</f>
        <v>0</v>
      </c>
      <c r="BE117">
        <f>SUMIF(RawDataDead!$B:$B,$A117,RawDataDead!BH:BH)</f>
        <v>0</v>
      </c>
      <c r="BF117">
        <f>SUMIF(RawDataDead!$B:$B,$A117,RawDataDead!BI:BI)</f>
        <v>0</v>
      </c>
      <c r="BG117">
        <f>SUMIF(RawDataDead!$B:$B,$A117,RawDataDead!BJ:BJ)</f>
        <v>0</v>
      </c>
      <c r="BH117">
        <f>SUMIF(RawDataDead!$B:$B,$A117,RawDataDead!BK:BK)</f>
        <v>0</v>
      </c>
      <c r="BI117">
        <f>SUMIF(RawDataDead!$B:$B,$A117,RawDataDead!BL:BL)</f>
        <v>0</v>
      </c>
      <c r="BJ117">
        <f>SUMIF(RawDataDead!$B:$B,$A117,RawDataDead!BM:BM)</f>
        <v>0</v>
      </c>
      <c r="BK117">
        <f>SUMIF(RawDataDead!$B:$B,$A117,RawDataDead!BN:BN)</f>
        <v>0</v>
      </c>
      <c r="BL117">
        <f>SUMIF(RawDataDead!$B:$B,$A117,RawDataDead!BO:BO)</f>
        <v>0</v>
      </c>
      <c r="BM117">
        <f>SUMIF(RawDataDead!$B:$B,$A117,RawDataDead!BP:BP)</f>
        <v>0</v>
      </c>
      <c r="BN117">
        <f>SUMIF(RawDataDead!$B:$B,$A117,RawDataDead!BQ:BQ)</f>
        <v>0</v>
      </c>
      <c r="BO117">
        <f>SUMIF(RawDataDead!$B:$B,$A117,RawDataDead!BR:BR)</f>
        <v>0</v>
      </c>
      <c r="BP117">
        <f>SUMIF(RawDataDead!$B:$B,$A117,RawDataDead!BS:BS)</f>
        <v>0</v>
      </c>
      <c r="BQ117">
        <f>SUMIF(RawDataDead!$B:$B,$A117,RawDataDead!BT:BT)</f>
        <v>0</v>
      </c>
      <c r="BR117">
        <f>SUMIF(RawDataDead!$B:$B,$A117,RawDataDead!BU:BU)</f>
        <v>0</v>
      </c>
      <c r="BS117">
        <f>SUMIF(RawDataDead!$B:$B,$A117,RawDataDead!BV:BV)</f>
        <v>0</v>
      </c>
      <c r="BT117">
        <f>SUMIF(RawDataDead!$B:$B,$A117,RawDataDead!BW:BW)</f>
        <v>0</v>
      </c>
    </row>
    <row r="118" spans="1:72" ht="15" thickBot="1" x14ac:dyDescent="0.35">
      <c r="A118" s="3" t="s">
        <v>439</v>
      </c>
      <c r="B118">
        <f>SUMIF(RawDataDead!$B:$B,$A118,RawDataDead!E:E)</f>
        <v>0</v>
      </c>
      <c r="C118">
        <f>SUMIF(RawDataDead!$B:$B,$A118,RawDataDead!F:F)</f>
        <v>0</v>
      </c>
      <c r="D118">
        <f>SUMIF(RawDataDead!$B:$B,$A118,RawDataDead!G:G)</f>
        <v>0</v>
      </c>
      <c r="E118">
        <f>SUMIF(RawDataDead!$B:$B,$A118,RawDataDead!H:H)</f>
        <v>0</v>
      </c>
      <c r="F118">
        <f>SUMIF(RawDataDead!$B:$B,$A118,RawDataDead!I:I)</f>
        <v>0</v>
      </c>
      <c r="G118">
        <f>SUMIF(RawDataDead!$B:$B,$A118,RawDataDead!J:J)</f>
        <v>0</v>
      </c>
      <c r="H118">
        <f>SUMIF(RawDataDead!$B:$B,$A118,RawDataDead!K:K)</f>
        <v>0</v>
      </c>
      <c r="I118">
        <f>SUMIF(RawDataDead!$B:$B,$A118,RawDataDead!L:L)</f>
        <v>0</v>
      </c>
      <c r="J118">
        <f>SUMIF(RawDataDead!$B:$B,$A118,RawDataDead!M:M)</f>
        <v>0</v>
      </c>
      <c r="K118">
        <f>SUMIF(RawDataDead!$B:$B,$A118,RawDataDead!N:N)</f>
        <v>0</v>
      </c>
      <c r="L118">
        <f>SUMIF(RawDataDead!$B:$B,$A118,RawDataDead!O:O)</f>
        <v>0</v>
      </c>
      <c r="M118">
        <f>SUMIF(RawDataDead!$B:$B,$A118,RawDataDead!P:P)</f>
        <v>0</v>
      </c>
      <c r="N118">
        <f>SUMIF(RawDataDead!$B:$B,$A118,RawDataDead!Q:Q)</f>
        <v>0</v>
      </c>
      <c r="O118">
        <f>SUMIF(RawDataDead!$B:$B,$A118,RawDataDead!R:R)</f>
        <v>0</v>
      </c>
      <c r="P118">
        <f>SUMIF(RawDataDead!$B:$B,$A118,RawDataDead!S:S)</f>
        <v>0</v>
      </c>
      <c r="Q118">
        <f>SUMIF(RawDataDead!$B:$B,$A118,RawDataDead!T:T)</f>
        <v>0</v>
      </c>
      <c r="R118">
        <f>SUMIF(RawDataDead!$B:$B,$A118,RawDataDead!U:U)</f>
        <v>0</v>
      </c>
      <c r="S118">
        <f>SUMIF(RawDataDead!$B:$B,$A118,RawDataDead!V:V)</f>
        <v>0</v>
      </c>
      <c r="T118">
        <f>SUMIF(RawDataDead!$B:$B,$A118,RawDataDead!W:W)</f>
        <v>0</v>
      </c>
      <c r="U118">
        <f>SUMIF(RawDataDead!$B:$B,$A118,RawDataDead!X:X)</f>
        <v>0</v>
      </c>
      <c r="V118">
        <f>SUMIF(RawDataDead!$B:$B,$A118,RawDataDead!Y:Y)</f>
        <v>0</v>
      </c>
      <c r="W118">
        <f>SUMIF(RawDataDead!$B:$B,$A118,RawDataDead!Z:Z)</f>
        <v>0</v>
      </c>
      <c r="X118">
        <f>SUMIF(RawDataDead!$B:$B,$A118,RawDataDead!AA:AA)</f>
        <v>0</v>
      </c>
      <c r="Y118">
        <f>SUMIF(RawDataDead!$B:$B,$A118,RawDataDead!AB:AB)</f>
        <v>0</v>
      </c>
      <c r="Z118">
        <f>SUMIF(RawDataDead!$B:$B,$A118,RawDataDead!AC:AC)</f>
        <v>0</v>
      </c>
      <c r="AA118">
        <f>SUMIF(RawDataDead!$B:$B,$A118,RawDataDead!AD:AD)</f>
        <v>0</v>
      </c>
      <c r="AB118">
        <f>SUMIF(RawDataDead!$B:$B,$A118,RawDataDead!AE:AE)</f>
        <v>0</v>
      </c>
      <c r="AC118">
        <f>SUMIF(RawDataDead!$B:$B,$A118,RawDataDead!AF:AF)</f>
        <v>0</v>
      </c>
      <c r="AD118">
        <f>SUMIF(RawDataDead!$B:$B,$A118,RawDataDead!AG:AG)</f>
        <v>0</v>
      </c>
      <c r="AE118">
        <f>SUMIF(RawDataDead!$B:$B,$A118,RawDataDead!AH:AH)</f>
        <v>0</v>
      </c>
      <c r="AF118">
        <f>SUMIF(RawDataDead!$B:$B,$A118,RawDataDead!AI:AI)</f>
        <v>0</v>
      </c>
      <c r="AG118">
        <f>SUMIF(RawDataDead!$B:$B,$A118,RawDataDead!AJ:AJ)</f>
        <v>0</v>
      </c>
      <c r="AH118">
        <f>SUMIF(RawDataDead!$B:$B,$A118,RawDataDead!AK:AK)</f>
        <v>0</v>
      </c>
      <c r="AI118">
        <f>SUMIF(RawDataDead!$B:$B,$A118,RawDataDead!AL:AL)</f>
        <v>0</v>
      </c>
      <c r="AJ118">
        <f>SUMIF(RawDataDead!$B:$B,$A118,RawDataDead!AM:AM)</f>
        <v>0</v>
      </c>
      <c r="AK118">
        <f>SUMIF(RawDataDead!$B:$B,$A118,RawDataDead!AN:AN)</f>
        <v>0</v>
      </c>
      <c r="AL118">
        <f>SUMIF(RawDataDead!$B:$B,$A118,RawDataDead!AO:AO)</f>
        <v>0</v>
      </c>
      <c r="AM118">
        <f>SUMIF(RawDataDead!$B:$B,$A118,RawDataDead!AP:AP)</f>
        <v>0</v>
      </c>
      <c r="AN118">
        <f>SUMIF(RawDataDead!$B:$B,$A118,RawDataDead!AQ:AQ)</f>
        <v>0</v>
      </c>
      <c r="AO118">
        <f>SUMIF(RawDataDead!$B:$B,$A118,RawDataDead!AR:AR)</f>
        <v>0</v>
      </c>
      <c r="AP118">
        <f>SUMIF(RawDataDead!$B:$B,$A118,RawDataDead!AS:AS)</f>
        <v>0</v>
      </c>
      <c r="AQ118">
        <f>SUMIF(RawDataDead!$B:$B,$A118,RawDataDead!AT:AT)</f>
        <v>0</v>
      </c>
      <c r="AR118">
        <f>SUMIF(RawDataDead!$B:$B,$A118,RawDataDead!AU:AU)</f>
        <v>0</v>
      </c>
      <c r="AS118">
        <f>SUMIF(RawDataDead!$B:$B,$A118,RawDataDead!AV:AV)</f>
        <v>0</v>
      </c>
      <c r="AT118">
        <f>SUMIF(RawDataDead!$B:$B,$A118,RawDataDead!AW:AW)</f>
        <v>0</v>
      </c>
      <c r="AU118">
        <f>SUMIF(RawDataDead!$B:$B,$A118,RawDataDead!AX:AX)</f>
        <v>0</v>
      </c>
      <c r="AV118">
        <f>SUMIF(RawDataDead!$B:$B,$A118,RawDataDead!AY:AY)</f>
        <v>0</v>
      </c>
      <c r="AW118">
        <f>SUMIF(RawDataDead!$B:$B,$A118,RawDataDead!AZ:AZ)</f>
        <v>0</v>
      </c>
      <c r="AX118">
        <f>SUMIF(RawDataDead!$B:$B,$A118,RawDataDead!BA:BA)</f>
        <v>0</v>
      </c>
      <c r="AY118">
        <f>SUMIF(RawDataDead!$B:$B,$A118,RawDataDead!BB:BB)</f>
        <v>0</v>
      </c>
      <c r="AZ118">
        <f>SUMIF(RawDataDead!$B:$B,$A118,RawDataDead!BC:BC)</f>
        <v>1</v>
      </c>
      <c r="BA118">
        <f>SUMIF(RawDataDead!$B:$B,$A118,RawDataDead!BD:BD)</f>
        <v>1</v>
      </c>
      <c r="BB118">
        <f>SUMIF(RawDataDead!$B:$B,$A118,RawDataDead!BE:BE)</f>
        <v>1</v>
      </c>
      <c r="BC118">
        <f>SUMIF(RawDataDead!$B:$B,$A118,RawDataDead!BF:BF)</f>
        <v>1</v>
      </c>
      <c r="BD118">
        <f>SUMIF(RawDataDead!$B:$B,$A118,RawDataDead!BG:BG)</f>
        <v>1</v>
      </c>
      <c r="BE118">
        <f>SUMIF(RawDataDead!$B:$B,$A118,RawDataDead!BH:BH)</f>
        <v>1</v>
      </c>
      <c r="BF118">
        <f>SUMIF(RawDataDead!$B:$B,$A118,RawDataDead!BI:BI)</f>
        <v>0</v>
      </c>
      <c r="BG118">
        <f>SUMIF(RawDataDead!$B:$B,$A118,RawDataDead!BJ:BJ)</f>
        <v>0</v>
      </c>
      <c r="BH118">
        <f>SUMIF(RawDataDead!$B:$B,$A118,RawDataDead!BK:BK)</f>
        <v>0</v>
      </c>
      <c r="BI118">
        <f>SUMIF(RawDataDead!$B:$B,$A118,RawDataDead!BL:BL)</f>
        <v>0</v>
      </c>
      <c r="BJ118">
        <f>SUMIF(RawDataDead!$B:$B,$A118,RawDataDead!BM:BM)</f>
        <v>0</v>
      </c>
      <c r="BK118">
        <f>SUMIF(RawDataDead!$B:$B,$A118,RawDataDead!BN:BN)</f>
        <v>0</v>
      </c>
      <c r="BL118">
        <f>SUMIF(RawDataDead!$B:$B,$A118,RawDataDead!BO:BO)</f>
        <v>0</v>
      </c>
      <c r="BM118">
        <f>SUMIF(RawDataDead!$B:$B,$A118,RawDataDead!BP:BP)</f>
        <v>0</v>
      </c>
      <c r="BN118">
        <f>SUMIF(RawDataDead!$B:$B,$A118,RawDataDead!BQ:BQ)</f>
        <v>0</v>
      </c>
      <c r="BO118">
        <f>SUMIF(RawDataDead!$B:$B,$A118,RawDataDead!BR:BR)</f>
        <v>0</v>
      </c>
      <c r="BP118">
        <f>SUMIF(RawDataDead!$B:$B,$A118,RawDataDead!BS:BS)</f>
        <v>0</v>
      </c>
      <c r="BQ118">
        <f>SUMIF(RawDataDead!$B:$B,$A118,RawDataDead!BT:BT)</f>
        <v>0</v>
      </c>
      <c r="BR118">
        <f>SUMIF(RawDataDead!$B:$B,$A118,RawDataDead!BU:BU)</f>
        <v>0</v>
      </c>
      <c r="BS118">
        <f>SUMIF(RawDataDead!$B:$B,$A118,RawDataDead!BV:BV)</f>
        <v>0</v>
      </c>
      <c r="BT118">
        <f>SUMIF(RawDataDead!$B:$B,$A118,RawDataDead!BW:BW)</f>
        <v>0</v>
      </c>
    </row>
    <row r="119" spans="1:72" ht="15" thickBot="1" x14ac:dyDescent="0.35">
      <c r="A119" s="3" t="s">
        <v>308</v>
      </c>
      <c r="B119">
        <f>SUMIF(RawDataDead!$B:$B,$A119,RawDataDead!E:E)</f>
        <v>0</v>
      </c>
      <c r="C119">
        <f>SUMIF(RawDataDead!$B:$B,$A119,RawDataDead!F:F)</f>
        <v>0</v>
      </c>
      <c r="D119">
        <f>SUMIF(RawDataDead!$B:$B,$A119,RawDataDead!G:G)</f>
        <v>0</v>
      </c>
      <c r="E119">
        <f>SUMIF(RawDataDead!$B:$B,$A119,RawDataDead!H:H)</f>
        <v>0</v>
      </c>
      <c r="F119">
        <f>SUMIF(RawDataDead!$B:$B,$A119,RawDataDead!I:I)</f>
        <v>0</v>
      </c>
      <c r="G119">
        <f>SUMIF(RawDataDead!$B:$B,$A119,RawDataDead!J:J)</f>
        <v>0</v>
      </c>
      <c r="H119">
        <f>SUMIF(RawDataDead!$B:$B,$A119,RawDataDead!K:K)</f>
        <v>0</v>
      </c>
      <c r="I119">
        <f>SUMIF(RawDataDead!$B:$B,$A119,RawDataDead!L:L)</f>
        <v>0</v>
      </c>
      <c r="J119">
        <f>SUMIF(RawDataDead!$B:$B,$A119,RawDataDead!M:M)</f>
        <v>0</v>
      </c>
      <c r="K119">
        <f>SUMIF(RawDataDead!$B:$B,$A119,RawDataDead!N:N)</f>
        <v>0</v>
      </c>
      <c r="L119">
        <f>SUMIF(RawDataDead!$B:$B,$A119,RawDataDead!O:O)</f>
        <v>0</v>
      </c>
      <c r="M119">
        <f>SUMIF(RawDataDead!$B:$B,$A119,RawDataDead!P:P)</f>
        <v>0</v>
      </c>
      <c r="N119">
        <f>SUMIF(RawDataDead!$B:$B,$A119,RawDataDead!Q:Q)</f>
        <v>0</v>
      </c>
      <c r="O119">
        <f>SUMIF(RawDataDead!$B:$B,$A119,RawDataDead!R:R)</f>
        <v>0</v>
      </c>
      <c r="P119">
        <f>SUMIF(RawDataDead!$B:$B,$A119,RawDataDead!S:S)</f>
        <v>0</v>
      </c>
      <c r="Q119">
        <f>SUMIF(RawDataDead!$B:$B,$A119,RawDataDead!T:T)</f>
        <v>0</v>
      </c>
      <c r="R119">
        <f>SUMIF(RawDataDead!$B:$B,$A119,RawDataDead!U:U)</f>
        <v>0</v>
      </c>
      <c r="S119">
        <f>SUMIF(RawDataDead!$B:$B,$A119,RawDataDead!V:V)</f>
        <v>0</v>
      </c>
      <c r="T119">
        <f>SUMIF(RawDataDead!$B:$B,$A119,RawDataDead!W:W)</f>
        <v>0</v>
      </c>
      <c r="U119">
        <f>SUMIF(RawDataDead!$B:$B,$A119,RawDataDead!X:X)</f>
        <v>0</v>
      </c>
      <c r="V119">
        <f>SUMIF(RawDataDead!$B:$B,$A119,RawDataDead!Y:Y)</f>
        <v>0</v>
      </c>
      <c r="W119">
        <f>SUMIF(RawDataDead!$B:$B,$A119,RawDataDead!Z:Z)</f>
        <v>0</v>
      </c>
      <c r="X119">
        <f>SUMIF(RawDataDead!$B:$B,$A119,RawDataDead!AA:AA)</f>
        <v>0</v>
      </c>
      <c r="Y119">
        <f>SUMIF(RawDataDead!$B:$B,$A119,RawDataDead!AB:AB)</f>
        <v>0</v>
      </c>
      <c r="Z119">
        <f>SUMIF(RawDataDead!$B:$B,$A119,RawDataDead!AC:AC)</f>
        <v>0</v>
      </c>
      <c r="AA119">
        <f>SUMIF(RawDataDead!$B:$B,$A119,RawDataDead!AD:AD)</f>
        <v>0</v>
      </c>
      <c r="AB119">
        <f>SUMIF(RawDataDead!$B:$B,$A119,RawDataDead!AE:AE)</f>
        <v>0</v>
      </c>
      <c r="AC119">
        <f>SUMIF(RawDataDead!$B:$B,$A119,RawDataDead!AF:AF)</f>
        <v>0</v>
      </c>
      <c r="AD119">
        <f>SUMIF(RawDataDead!$B:$B,$A119,RawDataDead!AG:AG)</f>
        <v>0</v>
      </c>
      <c r="AE119">
        <f>SUMIF(RawDataDead!$B:$B,$A119,RawDataDead!AH:AH)</f>
        <v>0</v>
      </c>
      <c r="AF119">
        <f>SUMIF(RawDataDead!$B:$B,$A119,RawDataDead!AI:AI)</f>
        <v>0</v>
      </c>
      <c r="AG119">
        <f>SUMIF(RawDataDead!$B:$B,$A119,RawDataDead!AJ:AJ)</f>
        <v>0</v>
      </c>
      <c r="AH119">
        <f>SUMIF(RawDataDead!$B:$B,$A119,RawDataDead!AK:AK)</f>
        <v>0</v>
      </c>
      <c r="AI119">
        <f>SUMIF(RawDataDead!$B:$B,$A119,RawDataDead!AL:AL)</f>
        <v>0</v>
      </c>
      <c r="AJ119">
        <f>SUMIF(RawDataDead!$B:$B,$A119,RawDataDead!AM:AM)</f>
        <v>0</v>
      </c>
      <c r="AK119">
        <f>SUMIF(RawDataDead!$B:$B,$A119,RawDataDead!AN:AN)</f>
        <v>0</v>
      </c>
      <c r="AL119">
        <f>SUMIF(RawDataDead!$B:$B,$A119,RawDataDead!AO:AO)</f>
        <v>0</v>
      </c>
      <c r="AM119">
        <f>SUMIF(RawDataDead!$B:$B,$A119,RawDataDead!AP:AP)</f>
        <v>0</v>
      </c>
      <c r="AN119">
        <f>SUMIF(RawDataDead!$B:$B,$A119,RawDataDead!AQ:AQ)</f>
        <v>0</v>
      </c>
      <c r="AO119">
        <f>SUMIF(RawDataDead!$B:$B,$A119,RawDataDead!AR:AR)</f>
        <v>0</v>
      </c>
      <c r="AP119">
        <f>SUMIF(RawDataDead!$B:$B,$A119,RawDataDead!AS:AS)</f>
        <v>0</v>
      </c>
      <c r="AQ119">
        <f>SUMIF(RawDataDead!$B:$B,$A119,RawDataDead!AT:AT)</f>
        <v>0</v>
      </c>
      <c r="AR119">
        <f>SUMIF(RawDataDead!$B:$B,$A119,RawDataDead!AU:AU)</f>
        <v>0</v>
      </c>
      <c r="AS119">
        <f>SUMIF(RawDataDead!$B:$B,$A119,RawDataDead!AV:AV)</f>
        <v>0</v>
      </c>
      <c r="AT119">
        <f>SUMIF(RawDataDead!$B:$B,$A119,RawDataDead!AW:AW)</f>
        <v>0</v>
      </c>
      <c r="AU119">
        <f>SUMIF(RawDataDead!$B:$B,$A119,RawDataDead!AX:AX)</f>
        <v>0</v>
      </c>
      <c r="AV119">
        <f>SUMIF(RawDataDead!$B:$B,$A119,RawDataDead!AY:AY)</f>
        <v>0</v>
      </c>
      <c r="AW119">
        <f>SUMIF(RawDataDead!$B:$B,$A119,RawDataDead!AZ:AZ)</f>
        <v>0</v>
      </c>
      <c r="AX119">
        <f>SUMIF(RawDataDead!$B:$B,$A119,RawDataDead!BA:BA)</f>
        <v>0</v>
      </c>
      <c r="AY119">
        <f>SUMIF(RawDataDead!$B:$B,$A119,RawDataDead!BB:BB)</f>
        <v>0</v>
      </c>
      <c r="AZ119">
        <f>SUMIF(RawDataDead!$B:$B,$A119,RawDataDead!BC:BC)</f>
        <v>0</v>
      </c>
      <c r="BA119">
        <f>SUMIF(RawDataDead!$B:$B,$A119,RawDataDead!BD:BD)</f>
        <v>0</v>
      </c>
      <c r="BB119">
        <f>SUMIF(RawDataDead!$B:$B,$A119,RawDataDead!BE:BE)</f>
        <v>0</v>
      </c>
      <c r="BC119">
        <f>SUMIF(RawDataDead!$B:$B,$A119,RawDataDead!BF:BF)</f>
        <v>0</v>
      </c>
      <c r="BD119">
        <f>SUMIF(RawDataDead!$B:$B,$A119,RawDataDead!BG:BG)</f>
        <v>0</v>
      </c>
      <c r="BE119">
        <f>SUMIF(RawDataDead!$B:$B,$A119,RawDataDead!BH:BH)</f>
        <v>0</v>
      </c>
      <c r="BF119">
        <f>SUMIF(RawDataDead!$B:$B,$A119,RawDataDead!BI:BI)</f>
        <v>0</v>
      </c>
      <c r="BG119">
        <f>SUMIF(RawDataDead!$B:$B,$A119,RawDataDead!BJ:BJ)</f>
        <v>0</v>
      </c>
      <c r="BH119">
        <f>SUMIF(RawDataDead!$B:$B,$A119,RawDataDead!BK:BK)</f>
        <v>0</v>
      </c>
      <c r="BI119">
        <f>SUMIF(RawDataDead!$B:$B,$A119,RawDataDead!BL:BL)</f>
        <v>0</v>
      </c>
      <c r="BJ119">
        <f>SUMIF(RawDataDead!$B:$B,$A119,RawDataDead!BM:BM)</f>
        <v>0</v>
      </c>
      <c r="BK119">
        <f>SUMIF(RawDataDead!$B:$B,$A119,RawDataDead!BN:BN)</f>
        <v>0</v>
      </c>
      <c r="BL119">
        <f>SUMIF(RawDataDead!$B:$B,$A119,RawDataDead!BO:BO)</f>
        <v>0</v>
      </c>
      <c r="BM119">
        <f>SUMIF(RawDataDead!$B:$B,$A119,RawDataDead!BP:BP)</f>
        <v>0</v>
      </c>
      <c r="BN119">
        <f>SUMIF(RawDataDead!$B:$B,$A119,RawDataDead!BQ:BQ)</f>
        <v>0</v>
      </c>
      <c r="BO119">
        <f>SUMIF(RawDataDead!$B:$B,$A119,RawDataDead!BR:BR)</f>
        <v>0</v>
      </c>
      <c r="BP119">
        <f>SUMIF(RawDataDead!$B:$B,$A119,RawDataDead!BS:BS)</f>
        <v>0</v>
      </c>
      <c r="BQ119">
        <f>SUMIF(RawDataDead!$B:$B,$A119,RawDataDead!BT:BT)</f>
        <v>0</v>
      </c>
      <c r="BR119">
        <f>SUMIF(RawDataDead!$B:$B,$A119,RawDataDead!BU:BU)</f>
        <v>0</v>
      </c>
      <c r="BS119">
        <f>SUMIF(RawDataDead!$B:$B,$A119,RawDataDead!BV:BV)</f>
        <v>0</v>
      </c>
      <c r="BT119">
        <f>SUMIF(RawDataDead!$B:$B,$A119,RawDataDead!BW:BW)</f>
        <v>0</v>
      </c>
    </row>
    <row r="120" spans="1:72" ht="15" thickBot="1" x14ac:dyDescent="0.35">
      <c r="A120" s="4" t="s">
        <v>152</v>
      </c>
      <c r="B120">
        <f>SUMIF(RawDataDead!$B:$B,$A120,RawDataDead!E:E)</f>
        <v>0</v>
      </c>
      <c r="C120">
        <f>SUMIF(RawDataDead!$B:$B,$A120,RawDataDead!F:F)</f>
        <v>0</v>
      </c>
      <c r="D120">
        <f>SUMIF(RawDataDead!$B:$B,$A120,RawDataDead!G:G)</f>
        <v>0</v>
      </c>
      <c r="E120">
        <f>SUMIF(RawDataDead!$B:$B,$A120,RawDataDead!H:H)</f>
        <v>0</v>
      </c>
      <c r="F120">
        <f>SUMIF(RawDataDead!$B:$B,$A120,RawDataDead!I:I)</f>
        <v>0</v>
      </c>
      <c r="G120">
        <f>SUMIF(RawDataDead!$B:$B,$A120,RawDataDead!J:J)</f>
        <v>0</v>
      </c>
      <c r="H120">
        <f>SUMIF(RawDataDead!$B:$B,$A120,RawDataDead!K:K)</f>
        <v>0</v>
      </c>
      <c r="I120">
        <f>SUMIF(RawDataDead!$B:$B,$A120,RawDataDead!L:L)</f>
        <v>0</v>
      </c>
      <c r="J120">
        <f>SUMIF(RawDataDead!$B:$B,$A120,RawDataDead!M:M)</f>
        <v>0</v>
      </c>
      <c r="K120">
        <f>SUMIF(RawDataDead!$B:$B,$A120,RawDataDead!N:N)</f>
        <v>0</v>
      </c>
      <c r="L120">
        <f>SUMIF(RawDataDead!$B:$B,$A120,RawDataDead!O:O)</f>
        <v>0</v>
      </c>
      <c r="M120">
        <f>SUMIF(RawDataDead!$B:$B,$A120,RawDataDead!P:P)</f>
        <v>0</v>
      </c>
      <c r="N120">
        <f>SUMIF(RawDataDead!$B:$B,$A120,RawDataDead!Q:Q)</f>
        <v>0</v>
      </c>
      <c r="O120">
        <f>SUMIF(RawDataDead!$B:$B,$A120,RawDataDead!R:R)</f>
        <v>0</v>
      </c>
      <c r="P120">
        <f>SUMIF(RawDataDead!$B:$B,$A120,RawDataDead!S:S)</f>
        <v>0</v>
      </c>
      <c r="Q120">
        <f>SUMIF(RawDataDead!$B:$B,$A120,RawDataDead!T:T)</f>
        <v>0</v>
      </c>
      <c r="R120">
        <f>SUMIF(RawDataDead!$B:$B,$A120,RawDataDead!U:U)</f>
        <v>0</v>
      </c>
      <c r="S120">
        <f>SUMIF(RawDataDead!$B:$B,$A120,RawDataDead!V:V)</f>
        <v>0</v>
      </c>
      <c r="T120">
        <f>SUMIF(RawDataDead!$B:$B,$A120,RawDataDead!W:W)</f>
        <v>0</v>
      </c>
      <c r="U120">
        <f>SUMIF(RawDataDead!$B:$B,$A120,RawDataDead!X:X)</f>
        <v>0</v>
      </c>
      <c r="V120">
        <f>SUMIF(RawDataDead!$B:$B,$A120,RawDataDead!Y:Y)</f>
        <v>0</v>
      </c>
      <c r="W120">
        <f>SUMIF(RawDataDead!$B:$B,$A120,RawDataDead!Z:Z)</f>
        <v>0</v>
      </c>
      <c r="X120">
        <f>SUMIF(RawDataDead!$B:$B,$A120,RawDataDead!AA:AA)</f>
        <v>0</v>
      </c>
      <c r="Y120">
        <f>SUMIF(RawDataDead!$B:$B,$A120,RawDataDead!AB:AB)</f>
        <v>0</v>
      </c>
      <c r="Z120">
        <f>SUMIF(RawDataDead!$B:$B,$A120,RawDataDead!AC:AC)</f>
        <v>0</v>
      </c>
      <c r="AA120">
        <f>SUMIF(RawDataDead!$B:$B,$A120,RawDataDead!AD:AD)</f>
        <v>0</v>
      </c>
      <c r="AB120">
        <f>SUMIF(RawDataDead!$B:$B,$A120,RawDataDead!AE:AE)</f>
        <v>0</v>
      </c>
      <c r="AC120">
        <f>SUMIF(RawDataDead!$B:$B,$A120,RawDataDead!AF:AF)</f>
        <v>0</v>
      </c>
      <c r="AD120">
        <f>SUMIF(RawDataDead!$B:$B,$A120,RawDataDead!AG:AG)</f>
        <v>0</v>
      </c>
      <c r="AE120">
        <f>SUMIF(RawDataDead!$B:$B,$A120,RawDataDead!AH:AH)</f>
        <v>0</v>
      </c>
      <c r="AF120">
        <f>SUMIF(RawDataDead!$B:$B,$A120,RawDataDead!AI:AI)</f>
        <v>0</v>
      </c>
      <c r="AG120">
        <f>SUMIF(RawDataDead!$B:$B,$A120,RawDataDead!AJ:AJ)</f>
        <v>0</v>
      </c>
      <c r="AH120">
        <f>SUMIF(RawDataDead!$B:$B,$A120,RawDataDead!AK:AK)</f>
        <v>0</v>
      </c>
      <c r="AI120">
        <f>SUMIF(RawDataDead!$B:$B,$A120,RawDataDead!AL:AL)</f>
        <v>0</v>
      </c>
      <c r="AJ120">
        <f>SUMIF(RawDataDead!$B:$B,$A120,RawDataDead!AM:AM)</f>
        <v>0</v>
      </c>
      <c r="AK120">
        <f>SUMIF(RawDataDead!$B:$B,$A120,RawDataDead!AN:AN)</f>
        <v>0</v>
      </c>
      <c r="AL120">
        <f>SUMIF(RawDataDead!$B:$B,$A120,RawDataDead!AO:AO)</f>
        <v>0</v>
      </c>
      <c r="AM120">
        <f>SUMIF(RawDataDead!$B:$B,$A120,RawDataDead!AP:AP)</f>
        <v>0</v>
      </c>
      <c r="AN120">
        <f>SUMIF(RawDataDead!$B:$B,$A120,RawDataDead!AQ:AQ)</f>
        <v>0</v>
      </c>
      <c r="AO120">
        <f>SUMIF(RawDataDead!$B:$B,$A120,RawDataDead!AR:AR)</f>
        <v>0</v>
      </c>
      <c r="AP120">
        <f>SUMIF(RawDataDead!$B:$B,$A120,RawDataDead!AS:AS)</f>
        <v>0</v>
      </c>
      <c r="AQ120">
        <f>SUMIF(RawDataDead!$B:$B,$A120,RawDataDead!AT:AT)</f>
        <v>0</v>
      </c>
      <c r="AR120">
        <f>SUMIF(RawDataDead!$B:$B,$A120,RawDataDead!AU:AU)</f>
        <v>0</v>
      </c>
      <c r="AS120">
        <f>SUMIF(RawDataDead!$B:$B,$A120,RawDataDead!AV:AV)</f>
        <v>0</v>
      </c>
      <c r="AT120">
        <f>SUMIF(RawDataDead!$B:$B,$A120,RawDataDead!AW:AW)</f>
        <v>0</v>
      </c>
      <c r="AU120">
        <f>SUMIF(RawDataDead!$B:$B,$A120,RawDataDead!AX:AX)</f>
        <v>0</v>
      </c>
      <c r="AV120">
        <f>SUMIF(RawDataDead!$B:$B,$A120,RawDataDead!AY:AY)</f>
        <v>0</v>
      </c>
      <c r="AW120">
        <f>SUMIF(RawDataDead!$B:$B,$A120,RawDataDead!AZ:AZ)</f>
        <v>0</v>
      </c>
      <c r="AX120">
        <f>SUMIF(RawDataDead!$B:$B,$A120,RawDataDead!BA:BA)</f>
        <v>0</v>
      </c>
      <c r="AY120">
        <f>SUMIF(RawDataDead!$B:$B,$A120,RawDataDead!BB:BB)</f>
        <v>0</v>
      </c>
      <c r="AZ120">
        <f>SUMIF(RawDataDead!$B:$B,$A120,RawDataDead!BC:BC)</f>
        <v>0</v>
      </c>
      <c r="BA120">
        <f>SUMIF(RawDataDead!$B:$B,$A120,RawDataDead!BD:BD)</f>
        <v>0</v>
      </c>
      <c r="BB120">
        <f>SUMIF(RawDataDead!$B:$B,$A120,RawDataDead!BE:BE)</f>
        <v>0</v>
      </c>
      <c r="BC120">
        <f>SUMIF(RawDataDead!$B:$B,$A120,RawDataDead!BF:BF)</f>
        <v>0</v>
      </c>
      <c r="BD120">
        <f>SUMIF(RawDataDead!$B:$B,$A120,RawDataDead!BG:BG)</f>
        <v>0</v>
      </c>
      <c r="BE120">
        <f>SUMIF(RawDataDead!$B:$B,$A120,RawDataDead!BH:BH)</f>
        <v>0</v>
      </c>
      <c r="BF120">
        <f>SUMIF(RawDataDead!$B:$B,$A120,RawDataDead!BI:BI)</f>
        <v>0</v>
      </c>
      <c r="BG120">
        <f>SUMIF(RawDataDead!$B:$B,$A120,RawDataDead!BJ:BJ)</f>
        <v>0</v>
      </c>
      <c r="BH120">
        <f>SUMIF(RawDataDead!$B:$B,$A120,RawDataDead!BK:BK)</f>
        <v>0</v>
      </c>
      <c r="BI120">
        <f>SUMIF(RawDataDead!$B:$B,$A120,RawDataDead!BL:BL)</f>
        <v>0</v>
      </c>
      <c r="BJ120">
        <f>SUMIF(RawDataDead!$B:$B,$A120,RawDataDead!BM:BM)</f>
        <v>0</v>
      </c>
      <c r="BK120">
        <f>SUMIF(RawDataDead!$B:$B,$A120,RawDataDead!BN:BN)</f>
        <v>0</v>
      </c>
      <c r="BL120">
        <f>SUMIF(RawDataDead!$B:$B,$A120,RawDataDead!BO:BO)</f>
        <v>0</v>
      </c>
      <c r="BM120">
        <f>SUMIF(RawDataDead!$B:$B,$A120,RawDataDead!BP:BP)</f>
        <v>0</v>
      </c>
      <c r="BN120">
        <f>SUMIF(RawDataDead!$B:$B,$A120,RawDataDead!BQ:BQ)</f>
        <v>0</v>
      </c>
      <c r="BO120">
        <f>SUMIF(RawDataDead!$B:$B,$A120,RawDataDead!BR:BR)</f>
        <v>0</v>
      </c>
      <c r="BP120">
        <f>SUMIF(RawDataDead!$B:$B,$A120,RawDataDead!BS:BS)</f>
        <v>0</v>
      </c>
      <c r="BQ120">
        <f>SUMIF(RawDataDead!$B:$B,$A120,RawDataDead!BT:BT)</f>
        <v>0</v>
      </c>
      <c r="BR120">
        <f>SUMIF(RawDataDead!$B:$B,$A120,RawDataDead!BU:BU)</f>
        <v>0</v>
      </c>
      <c r="BS120">
        <f>SUMIF(RawDataDead!$B:$B,$A120,RawDataDead!BV:BV)</f>
        <v>0</v>
      </c>
      <c r="BT120">
        <f>SUMIF(RawDataDead!$B:$B,$A120,RawDataDead!BW:BW)</f>
        <v>0</v>
      </c>
    </row>
    <row r="121" spans="1:72" ht="15" thickBot="1" x14ac:dyDescent="0.35">
      <c r="A121" s="3" t="s">
        <v>451</v>
      </c>
      <c r="B121">
        <f>SUMIF(RawDataDead!$B:$B,$A121,RawDataDead!E:E)</f>
        <v>0</v>
      </c>
      <c r="C121">
        <f>SUMIF(RawDataDead!$B:$B,$A121,RawDataDead!F:F)</f>
        <v>0</v>
      </c>
      <c r="D121">
        <f>SUMIF(RawDataDead!$B:$B,$A121,RawDataDead!G:G)</f>
        <v>0</v>
      </c>
      <c r="E121">
        <f>SUMIF(RawDataDead!$B:$B,$A121,RawDataDead!H:H)</f>
        <v>0</v>
      </c>
      <c r="F121">
        <f>SUMIF(RawDataDead!$B:$B,$A121,RawDataDead!I:I)</f>
        <v>0</v>
      </c>
      <c r="G121">
        <f>SUMIF(RawDataDead!$B:$B,$A121,RawDataDead!J:J)</f>
        <v>0</v>
      </c>
      <c r="H121">
        <f>SUMIF(RawDataDead!$B:$B,$A121,RawDataDead!K:K)</f>
        <v>0</v>
      </c>
      <c r="I121">
        <f>SUMIF(RawDataDead!$B:$B,$A121,RawDataDead!L:L)</f>
        <v>0</v>
      </c>
      <c r="J121">
        <f>SUMIF(RawDataDead!$B:$B,$A121,RawDataDead!M:M)</f>
        <v>0</v>
      </c>
      <c r="K121">
        <f>SUMIF(RawDataDead!$B:$B,$A121,RawDataDead!N:N)</f>
        <v>0</v>
      </c>
      <c r="L121">
        <f>SUMIF(RawDataDead!$B:$B,$A121,RawDataDead!O:O)</f>
        <v>0</v>
      </c>
      <c r="M121">
        <f>SUMIF(RawDataDead!$B:$B,$A121,RawDataDead!P:P)</f>
        <v>0</v>
      </c>
      <c r="N121">
        <f>SUMIF(RawDataDead!$B:$B,$A121,RawDataDead!Q:Q)</f>
        <v>0</v>
      </c>
      <c r="O121">
        <f>SUMIF(RawDataDead!$B:$B,$A121,RawDataDead!R:R)</f>
        <v>0</v>
      </c>
      <c r="P121">
        <f>SUMIF(RawDataDead!$B:$B,$A121,RawDataDead!S:S)</f>
        <v>0</v>
      </c>
      <c r="Q121">
        <f>SUMIF(RawDataDead!$B:$B,$A121,RawDataDead!T:T)</f>
        <v>0</v>
      </c>
      <c r="R121">
        <f>SUMIF(RawDataDead!$B:$B,$A121,RawDataDead!U:U)</f>
        <v>0</v>
      </c>
      <c r="S121">
        <f>SUMIF(RawDataDead!$B:$B,$A121,RawDataDead!V:V)</f>
        <v>0</v>
      </c>
      <c r="T121">
        <f>SUMIF(RawDataDead!$B:$B,$A121,RawDataDead!W:W)</f>
        <v>0</v>
      </c>
      <c r="U121">
        <f>SUMIF(RawDataDead!$B:$B,$A121,RawDataDead!X:X)</f>
        <v>0</v>
      </c>
      <c r="V121">
        <f>SUMIF(RawDataDead!$B:$B,$A121,RawDataDead!Y:Y)</f>
        <v>0</v>
      </c>
      <c r="W121">
        <f>SUMIF(RawDataDead!$B:$B,$A121,RawDataDead!Z:Z)</f>
        <v>0</v>
      </c>
      <c r="X121">
        <f>SUMIF(RawDataDead!$B:$B,$A121,RawDataDead!AA:AA)</f>
        <v>0</v>
      </c>
      <c r="Y121">
        <f>SUMIF(RawDataDead!$B:$B,$A121,RawDataDead!AB:AB)</f>
        <v>0</v>
      </c>
      <c r="Z121">
        <f>SUMIF(RawDataDead!$B:$B,$A121,RawDataDead!AC:AC)</f>
        <v>0</v>
      </c>
      <c r="AA121">
        <f>SUMIF(RawDataDead!$B:$B,$A121,RawDataDead!AD:AD)</f>
        <v>0</v>
      </c>
      <c r="AB121">
        <f>SUMIF(RawDataDead!$B:$B,$A121,RawDataDead!AE:AE)</f>
        <v>0</v>
      </c>
      <c r="AC121">
        <f>SUMIF(RawDataDead!$B:$B,$A121,RawDataDead!AF:AF)</f>
        <v>0</v>
      </c>
      <c r="AD121">
        <f>SUMIF(RawDataDead!$B:$B,$A121,RawDataDead!AG:AG)</f>
        <v>0</v>
      </c>
      <c r="AE121">
        <f>SUMIF(RawDataDead!$B:$B,$A121,RawDataDead!AH:AH)</f>
        <v>0</v>
      </c>
      <c r="AF121">
        <f>SUMIF(RawDataDead!$B:$B,$A121,RawDataDead!AI:AI)</f>
        <v>0</v>
      </c>
      <c r="AG121">
        <f>SUMIF(RawDataDead!$B:$B,$A121,RawDataDead!AJ:AJ)</f>
        <v>0</v>
      </c>
      <c r="AH121">
        <f>SUMIF(RawDataDead!$B:$B,$A121,RawDataDead!AK:AK)</f>
        <v>0</v>
      </c>
      <c r="AI121">
        <f>SUMIF(RawDataDead!$B:$B,$A121,RawDataDead!AL:AL)</f>
        <v>0</v>
      </c>
      <c r="AJ121">
        <f>SUMIF(RawDataDead!$B:$B,$A121,RawDataDead!AM:AM)</f>
        <v>0</v>
      </c>
      <c r="AK121">
        <f>SUMIF(RawDataDead!$B:$B,$A121,RawDataDead!AN:AN)</f>
        <v>0</v>
      </c>
      <c r="AL121">
        <f>SUMIF(RawDataDead!$B:$B,$A121,RawDataDead!AO:AO)</f>
        <v>0</v>
      </c>
      <c r="AM121">
        <f>SUMIF(RawDataDead!$B:$B,$A121,RawDataDead!AP:AP)</f>
        <v>0</v>
      </c>
      <c r="AN121">
        <f>SUMIF(RawDataDead!$B:$B,$A121,RawDataDead!AQ:AQ)</f>
        <v>0</v>
      </c>
      <c r="AO121">
        <f>SUMIF(RawDataDead!$B:$B,$A121,RawDataDead!AR:AR)</f>
        <v>0</v>
      </c>
      <c r="AP121">
        <f>SUMIF(RawDataDead!$B:$B,$A121,RawDataDead!AS:AS)</f>
        <v>0</v>
      </c>
      <c r="AQ121">
        <f>SUMIF(RawDataDead!$B:$B,$A121,RawDataDead!AT:AT)</f>
        <v>0</v>
      </c>
      <c r="AR121">
        <f>SUMIF(RawDataDead!$B:$B,$A121,RawDataDead!AU:AU)</f>
        <v>0</v>
      </c>
      <c r="AS121">
        <f>SUMIF(RawDataDead!$B:$B,$A121,RawDataDead!AV:AV)</f>
        <v>0</v>
      </c>
      <c r="AT121">
        <f>SUMIF(RawDataDead!$B:$B,$A121,RawDataDead!AW:AW)</f>
        <v>0</v>
      </c>
      <c r="AU121">
        <f>SUMIF(RawDataDead!$B:$B,$A121,RawDataDead!AX:AX)</f>
        <v>0</v>
      </c>
      <c r="AV121">
        <f>SUMIF(RawDataDead!$B:$B,$A121,RawDataDead!AY:AY)</f>
        <v>0</v>
      </c>
      <c r="AW121">
        <f>SUMIF(RawDataDead!$B:$B,$A121,RawDataDead!AZ:AZ)</f>
        <v>0</v>
      </c>
      <c r="AX121">
        <f>SUMIF(RawDataDead!$B:$B,$A121,RawDataDead!BA:BA)</f>
        <v>0</v>
      </c>
      <c r="AY121">
        <f>SUMIF(RawDataDead!$B:$B,$A121,RawDataDead!BB:BB)</f>
        <v>0</v>
      </c>
      <c r="AZ121">
        <f>SUMIF(RawDataDead!$B:$B,$A121,RawDataDead!BC:BC)</f>
        <v>0</v>
      </c>
      <c r="BA121">
        <f>SUMIF(RawDataDead!$B:$B,$A121,RawDataDead!BD:BD)</f>
        <v>0</v>
      </c>
      <c r="BB121">
        <f>SUMIF(RawDataDead!$B:$B,$A121,RawDataDead!BE:BE)</f>
        <v>0</v>
      </c>
      <c r="BC121">
        <f>SUMIF(RawDataDead!$B:$B,$A121,RawDataDead!BF:BF)</f>
        <v>0</v>
      </c>
      <c r="BD121">
        <f>SUMIF(RawDataDead!$B:$B,$A121,RawDataDead!BG:BG)</f>
        <v>0</v>
      </c>
      <c r="BE121">
        <f>SUMIF(RawDataDead!$B:$B,$A121,RawDataDead!BH:BH)</f>
        <v>0</v>
      </c>
      <c r="BF121">
        <f>SUMIF(RawDataDead!$B:$B,$A121,RawDataDead!BI:BI)</f>
        <v>0</v>
      </c>
      <c r="BG121">
        <f>SUMIF(RawDataDead!$B:$B,$A121,RawDataDead!BJ:BJ)</f>
        <v>0</v>
      </c>
      <c r="BH121">
        <f>SUMIF(RawDataDead!$B:$B,$A121,RawDataDead!BK:BK)</f>
        <v>0</v>
      </c>
      <c r="BI121">
        <f>SUMIF(RawDataDead!$B:$B,$A121,RawDataDead!BL:BL)</f>
        <v>0</v>
      </c>
      <c r="BJ121">
        <f>SUMIF(RawDataDead!$B:$B,$A121,RawDataDead!BM:BM)</f>
        <v>0</v>
      </c>
      <c r="BK121">
        <f>SUMIF(RawDataDead!$B:$B,$A121,RawDataDead!BN:BN)</f>
        <v>0</v>
      </c>
      <c r="BL121">
        <f>SUMIF(RawDataDead!$B:$B,$A121,RawDataDead!BO:BO)</f>
        <v>0</v>
      </c>
      <c r="BM121">
        <f>SUMIF(RawDataDead!$B:$B,$A121,RawDataDead!BP:BP)</f>
        <v>0</v>
      </c>
      <c r="BN121">
        <f>SUMIF(RawDataDead!$B:$B,$A121,RawDataDead!BQ:BQ)</f>
        <v>0</v>
      </c>
      <c r="BO121">
        <f>SUMIF(RawDataDead!$B:$B,$A121,RawDataDead!BR:BR)</f>
        <v>0</v>
      </c>
      <c r="BP121">
        <f>SUMIF(RawDataDead!$B:$B,$A121,RawDataDead!BS:BS)</f>
        <v>0</v>
      </c>
      <c r="BQ121">
        <f>SUMIF(RawDataDead!$B:$B,$A121,RawDataDead!BT:BT)</f>
        <v>0</v>
      </c>
      <c r="BR121">
        <f>SUMIF(RawDataDead!$B:$B,$A121,RawDataDead!BU:BU)</f>
        <v>0</v>
      </c>
      <c r="BS121">
        <f>SUMIF(RawDataDead!$B:$B,$A121,RawDataDead!BV:BV)</f>
        <v>0</v>
      </c>
      <c r="BT121">
        <f>SUMIF(RawDataDead!$B:$B,$A121,RawDataDead!BW:BW)</f>
        <v>0</v>
      </c>
    </row>
    <row r="122" spans="1:72" ht="15" thickBot="1" x14ac:dyDescent="0.35">
      <c r="A122" s="4" t="s">
        <v>163</v>
      </c>
      <c r="B122">
        <f>SUMIF(RawDataDead!$B:$B,$A122,RawDataDead!E:E)</f>
        <v>0</v>
      </c>
      <c r="C122">
        <f>SUMIF(RawDataDead!$B:$B,$A122,RawDataDead!F:F)</f>
        <v>0</v>
      </c>
      <c r="D122">
        <f>SUMIF(RawDataDead!$B:$B,$A122,RawDataDead!G:G)</f>
        <v>0</v>
      </c>
      <c r="E122">
        <f>SUMIF(RawDataDead!$B:$B,$A122,RawDataDead!H:H)</f>
        <v>0</v>
      </c>
      <c r="F122">
        <f>SUMIF(RawDataDead!$B:$B,$A122,RawDataDead!I:I)</f>
        <v>0</v>
      </c>
      <c r="G122">
        <f>SUMIF(RawDataDead!$B:$B,$A122,RawDataDead!J:J)</f>
        <v>0</v>
      </c>
      <c r="H122">
        <f>SUMIF(RawDataDead!$B:$B,$A122,RawDataDead!K:K)</f>
        <v>0</v>
      </c>
      <c r="I122">
        <f>SUMIF(RawDataDead!$B:$B,$A122,RawDataDead!L:L)</f>
        <v>0</v>
      </c>
      <c r="J122">
        <f>SUMIF(RawDataDead!$B:$B,$A122,RawDataDead!M:M)</f>
        <v>0</v>
      </c>
      <c r="K122">
        <f>SUMIF(RawDataDead!$B:$B,$A122,RawDataDead!N:N)</f>
        <v>0</v>
      </c>
      <c r="L122">
        <f>SUMIF(RawDataDead!$B:$B,$A122,RawDataDead!O:O)</f>
        <v>0</v>
      </c>
      <c r="M122">
        <f>SUMIF(RawDataDead!$B:$B,$A122,RawDataDead!P:P)</f>
        <v>0</v>
      </c>
      <c r="N122">
        <f>SUMIF(RawDataDead!$B:$B,$A122,RawDataDead!Q:Q)</f>
        <v>0</v>
      </c>
      <c r="O122">
        <f>SUMIF(RawDataDead!$B:$B,$A122,RawDataDead!R:R)</f>
        <v>0</v>
      </c>
      <c r="P122">
        <f>SUMIF(RawDataDead!$B:$B,$A122,RawDataDead!S:S)</f>
        <v>0</v>
      </c>
      <c r="Q122">
        <f>SUMIF(RawDataDead!$B:$B,$A122,RawDataDead!T:T)</f>
        <v>0</v>
      </c>
      <c r="R122">
        <f>SUMIF(RawDataDead!$B:$B,$A122,RawDataDead!U:U)</f>
        <v>0</v>
      </c>
      <c r="S122">
        <f>SUMIF(RawDataDead!$B:$B,$A122,RawDataDead!V:V)</f>
        <v>0</v>
      </c>
      <c r="T122">
        <f>SUMIF(RawDataDead!$B:$B,$A122,RawDataDead!W:W)</f>
        <v>0</v>
      </c>
      <c r="U122">
        <f>SUMIF(RawDataDead!$B:$B,$A122,RawDataDead!X:X)</f>
        <v>0</v>
      </c>
      <c r="V122">
        <f>SUMIF(RawDataDead!$B:$B,$A122,RawDataDead!Y:Y)</f>
        <v>0</v>
      </c>
      <c r="W122">
        <f>SUMIF(RawDataDead!$B:$B,$A122,RawDataDead!Z:Z)</f>
        <v>0</v>
      </c>
      <c r="X122">
        <f>SUMIF(RawDataDead!$B:$B,$A122,RawDataDead!AA:AA)</f>
        <v>0</v>
      </c>
      <c r="Y122">
        <f>SUMIF(RawDataDead!$B:$B,$A122,RawDataDead!AB:AB)</f>
        <v>0</v>
      </c>
      <c r="Z122">
        <f>SUMIF(RawDataDead!$B:$B,$A122,RawDataDead!AC:AC)</f>
        <v>0</v>
      </c>
      <c r="AA122">
        <f>SUMIF(RawDataDead!$B:$B,$A122,RawDataDead!AD:AD)</f>
        <v>0</v>
      </c>
      <c r="AB122">
        <f>SUMIF(RawDataDead!$B:$B,$A122,RawDataDead!AE:AE)</f>
        <v>0</v>
      </c>
      <c r="AC122">
        <f>SUMIF(RawDataDead!$B:$B,$A122,RawDataDead!AF:AF)</f>
        <v>0</v>
      </c>
      <c r="AD122">
        <f>SUMIF(RawDataDead!$B:$B,$A122,RawDataDead!AG:AG)</f>
        <v>0</v>
      </c>
      <c r="AE122">
        <f>SUMIF(RawDataDead!$B:$B,$A122,RawDataDead!AH:AH)</f>
        <v>0</v>
      </c>
      <c r="AF122">
        <f>SUMIF(RawDataDead!$B:$B,$A122,RawDataDead!AI:AI)</f>
        <v>0</v>
      </c>
      <c r="AG122">
        <f>SUMIF(RawDataDead!$B:$B,$A122,RawDataDead!AJ:AJ)</f>
        <v>0</v>
      </c>
      <c r="AH122">
        <f>SUMIF(RawDataDead!$B:$B,$A122,RawDataDead!AK:AK)</f>
        <v>0</v>
      </c>
      <c r="AI122">
        <f>SUMIF(RawDataDead!$B:$B,$A122,RawDataDead!AL:AL)</f>
        <v>0</v>
      </c>
      <c r="AJ122">
        <f>SUMIF(RawDataDead!$B:$B,$A122,RawDataDead!AM:AM)</f>
        <v>0</v>
      </c>
      <c r="AK122">
        <f>SUMIF(RawDataDead!$B:$B,$A122,RawDataDead!AN:AN)</f>
        <v>0</v>
      </c>
      <c r="AL122">
        <f>SUMIF(RawDataDead!$B:$B,$A122,RawDataDead!AO:AO)</f>
        <v>0</v>
      </c>
      <c r="AM122">
        <f>SUMIF(RawDataDead!$B:$B,$A122,RawDataDead!AP:AP)</f>
        <v>0</v>
      </c>
      <c r="AN122">
        <f>SUMIF(RawDataDead!$B:$B,$A122,RawDataDead!AQ:AQ)</f>
        <v>0</v>
      </c>
      <c r="AO122">
        <f>SUMIF(RawDataDead!$B:$B,$A122,RawDataDead!AR:AR)</f>
        <v>0</v>
      </c>
      <c r="AP122">
        <f>SUMIF(RawDataDead!$B:$B,$A122,RawDataDead!AS:AS)</f>
        <v>0</v>
      </c>
      <c r="AQ122">
        <f>SUMIF(RawDataDead!$B:$B,$A122,RawDataDead!AT:AT)</f>
        <v>0</v>
      </c>
      <c r="AR122">
        <f>SUMIF(RawDataDead!$B:$B,$A122,RawDataDead!AU:AU)</f>
        <v>0</v>
      </c>
      <c r="AS122">
        <f>SUMIF(RawDataDead!$B:$B,$A122,RawDataDead!AV:AV)</f>
        <v>0</v>
      </c>
      <c r="AT122">
        <f>SUMIF(RawDataDead!$B:$B,$A122,RawDataDead!AW:AW)</f>
        <v>0</v>
      </c>
      <c r="AU122">
        <f>SUMIF(RawDataDead!$B:$B,$A122,RawDataDead!AX:AX)</f>
        <v>0</v>
      </c>
      <c r="AV122">
        <f>SUMIF(RawDataDead!$B:$B,$A122,RawDataDead!AY:AY)</f>
        <v>0</v>
      </c>
      <c r="AW122">
        <f>SUMIF(RawDataDead!$B:$B,$A122,RawDataDead!AZ:AZ)</f>
        <v>0</v>
      </c>
      <c r="AX122">
        <f>SUMIF(RawDataDead!$B:$B,$A122,RawDataDead!BA:BA)</f>
        <v>0</v>
      </c>
      <c r="AY122">
        <f>SUMIF(RawDataDead!$B:$B,$A122,RawDataDead!BB:BB)</f>
        <v>0</v>
      </c>
      <c r="AZ122">
        <f>SUMIF(RawDataDead!$B:$B,$A122,RawDataDead!BC:BC)</f>
        <v>0</v>
      </c>
      <c r="BA122">
        <f>SUMIF(RawDataDead!$B:$B,$A122,RawDataDead!BD:BD)</f>
        <v>0</v>
      </c>
      <c r="BB122">
        <f>SUMIF(RawDataDead!$B:$B,$A122,RawDataDead!BE:BE)</f>
        <v>0</v>
      </c>
      <c r="BC122">
        <f>SUMIF(RawDataDead!$B:$B,$A122,RawDataDead!BF:BF)</f>
        <v>0</v>
      </c>
      <c r="BD122">
        <f>SUMIF(RawDataDead!$B:$B,$A122,RawDataDead!BG:BG)</f>
        <v>0</v>
      </c>
      <c r="BE122">
        <f>SUMIF(RawDataDead!$B:$B,$A122,RawDataDead!BH:BH)</f>
        <v>0</v>
      </c>
      <c r="BF122">
        <f>SUMIF(RawDataDead!$B:$B,$A122,RawDataDead!BI:BI)</f>
        <v>0</v>
      </c>
      <c r="BG122">
        <f>SUMIF(RawDataDead!$B:$B,$A122,RawDataDead!BJ:BJ)</f>
        <v>0</v>
      </c>
      <c r="BH122">
        <f>SUMIF(RawDataDead!$B:$B,$A122,RawDataDead!BK:BK)</f>
        <v>0</v>
      </c>
      <c r="BI122">
        <f>SUMIF(RawDataDead!$B:$B,$A122,RawDataDead!BL:BL)</f>
        <v>0</v>
      </c>
      <c r="BJ122">
        <f>SUMIF(RawDataDead!$B:$B,$A122,RawDataDead!BM:BM)</f>
        <v>0</v>
      </c>
      <c r="BK122">
        <f>SUMIF(RawDataDead!$B:$B,$A122,RawDataDead!BN:BN)</f>
        <v>0</v>
      </c>
      <c r="BL122">
        <f>SUMIF(RawDataDead!$B:$B,$A122,RawDataDead!BO:BO)</f>
        <v>0</v>
      </c>
      <c r="BM122">
        <f>SUMIF(RawDataDead!$B:$B,$A122,RawDataDead!BP:BP)</f>
        <v>0</v>
      </c>
      <c r="BN122">
        <f>SUMIF(RawDataDead!$B:$B,$A122,RawDataDead!BQ:BQ)</f>
        <v>0</v>
      </c>
      <c r="BO122">
        <f>SUMIF(RawDataDead!$B:$B,$A122,RawDataDead!BR:BR)</f>
        <v>0</v>
      </c>
      <c r="BP122">
        <f>SUMIF(RawDataDead!$B:$B,$A122,RawDataDead!BS:BS)</f>
        <v>0</v>
      </c>
      <c r="BQ122">
        <f>SUMIF(RawDataDead!$B:$B,$A122,RawDataDead!BT:BT)</f>
        <v>0</v>
      </c>
      <c r="BR122">
        <f>SUMIF(RawDataDead!$B:$B,$A122,RawDataDead!BU:BU)</f>
        <v>0</v>
      </c>
      <c r="BS122">
        <f>SUMIF(RawDataDead!$B:$B,$A122,RawDataDead!BV:BV)</f>
        <v>0</v>
      </c>
      <c r="BT122">
        <f>SUMIF(RawDataDead!$B:$B,$A122,RawDataDead!BW:BW)</f>
        <v>0</v>
      </c>
    </row>
    <row r="123" spans="1:72" ht="15" thickBot="1" x14ac:dyDescent="0.35">
      <c r="A123" s="4" t="s">
        <v>309</v>
      </c>
      <c r="B123">
        <f>SUMIF(RawDataDead!$B:$B,$A123,RawDataDead!E:E)</f>
        <v>0</v>
      </c>
      <c r="C123">
        <f>SUMIF(RawDataDead!$B:$B,$A123,RawDataDead!F:F)</f>
        <v>0</v>
      </c>
      <c r="D123">
        <f>SUMIF(RawDataDead!$B:$B,$A123,RawDataDead!G:G)</f>
        <v>0</v>
      </c>
      <c r="E123">
        <f>SUMIF(RawDataDead!$B:$B,$A123,RawDataDead!H:H)</f>
        <v>0</v>
      </c>
      <c r="F123">
        <f>SUMIF(RawDataDead!$B:$B,$A123,RawDataDead!I:I)</f>
        <v>0</v>
      </c>
      <c r="G123">
        <f>SUMIF(RawDataDead!$B:$B,$A123,RawDataDead!J:J)</f>
        <v>0</v>
      </c>
      <c r="H123">
        <f>SUMIF(RawDataDead!$B:$B,$A123,RawDataDead!K:K)</f>
        <v>0</v>
      </c>
      <c r="I123">
        <f>SUMIF(RawDataDead!$B:$B,$A123,RawDataDead!L:L)</f>
        <v>0</v>
      </c>
      <c r="J123">
        <f>SUMIF(RawDataDead!$B:$B,$A123,RawDataDead!M:M)</f>
        <v>0</v>
      </c>
      <c r="K123">
        <f>SUMIF(RawDataDead!$B:$B,$A123,RawDataDead!N:N)</f>
        <v>0</v>
      </c>
      <c r="L123">
        <f>SUMIF(RawDataDead!$B:$B,$A123,RawDataDead!O:O)</f>
        <v>0</v>
      </c>
      <c r="M123">
        <f>SUMIF(RawDataDead!$B:$B,$A123,RawDataDead!P:P)</f>
        <v>0</v>
      </c>
      <c r="N123">
        <f>SUMIF(RawDataDead!$B:$B,$A123,RawDataDead!Q:Q)</f>
        <v>0</v>
      </c>
      <c r="O123">
        <f>SUMIF(RawDataDead!$B:$B,$A123,RawDataDead!R:R)</f>
        <v>0</v>
      </c>
      <c r="P123">
        <f>SUMIF(RawDataDead!$B:$B,$A123,RawDataDead!S:S)</f>
        <v>0</v>
      </c>
      <c r="Q123">
        <f>SUMIF(RawDataDead!$B:$B,$A123,RawDataDead!T:T)</f>
        <v>0</v>
      </c>
      <c r="R123">
        <f>SUMIF(RawDataDead!$B:$B,$A123,RawDataDead!U:U)</f>
        <v>0</v>
      </c>
      <c r="S123">
        <f>SUMIF(RawDataDead!$B:$B,$A123,RawDataDead!V:V)</f>
        <v>0</v>
      </c>
      <c r="T123">
        <f>SUMIF(RawDataDead!$B:$B,$A123,RawDataDead!W:W)</f>
        <v>0</v>
      </c>
      <c r="U123">
        <f>SUMIF(RawDataDead!$B:$B,$A123,RawDataDead!X:X)</f>
        <v>0</v>
      </c>
      <c r="V123">
        <f>SUMIF(RawDataDead!$B:$B,$A123,RawDataDead!Y:Y)</f>
        <v>0</v>
      </c>
      <c r="W123">
        <f>SUMIF(RawDataDead!$B:$B,$A123,RawDataDead!Z:Z)</f>
        <v>0</v>
      </c>
      <c r="X123">
        <f>SUMIF(RawDataDead!$B:$B,$A123,RawDataDead!AA:AA)</f>
        <v>0</v>
      </c>
      <c r="Y123">
        <f>SUMIF(RawDataDead!$B:$B,$A123,RawDataDead!AB:AB)</f>
        <v>0</v>
      </c>
      <c r="Z123">
        <f>SUMIF(RawDataDead!$B:$B,$A123,RawDataDead!AC:AC)</f>
        <v>0</v>
      </c>
      <c r="AA123">
        <f>SUMIF(RawDataDead!$B:$B,$A123,RawDataDead!AD:AD)</f>
        <v>0</v>
      </c>
      <c r="AB123">
        <f>SUMIF(RawDataDead!$B:$B,$A123,RawDataDead!AE:AE)</f>
        <v>0</v>
      </c>
      <c r="AC123">
        <f>SUMIF(RawDataDead!$B:$B,$A123,RawDataDead!AF:AF)</f>
        <v>0</v>
      </c>
      <c r="AD123">
        <f>SUMIF(RawDataDead!$B:$B,$A123,RawDataDead!AG:AG)</f>
        <v>0</v>
      </c>
      <c r="AE123">
        <f>SUMIF(RawDataDead!$B:$B,$A123,RawDataDead!AH:AH)</f>
        <v>0</v>
      </c>
      <c r="AF123">
        <f>SUMIF(RawDataDead!$B:$B,$A123,RawDataDead!AI:AI)</f>
        <v>0</v>
      </c>
      <c r="AG123">
        <f>SUMIF(RawDataDead!$B:$B,$A123,RawDataDead!AJ:AJ)</f>
        <v>0</v>
      </c>
      <c r="AH123">
        <f>SUMIF(RawDataDead!$B:$B,$A123,RawDataDead!AK:AK)</f>
        <v>0</v>
      </c>
      <c r="AI123">
        <f>SUMIF(RawDataDead!$B:$B,$A123,RawDataDead!AL:AL)</f>
        <v>0</v>
      </c>
      <c r="AJ123">
        <f>SUMIF(RawDataDead!$B:$B,$A123,RawDataDead!AM:AM)</f>
        <v>0</v>
      </c>
      <c r="AK123">
        <f>SUMIF(RawDataDead!$B:$B,$A123,RawDataDead!AN:AN)</f>
        <v>0</v>
      </c>
      <c r="AL123">
        <f>SUMIF(RawDataDead!$B:$B,$A123,RawDataDead!AO:AO)</f>
        <v>0</v>
      </c>
      <c r="AM123">
        <f>SUMIF(RawDataDead!$B:$B,$A123,RawDataDead!AP:AP)</f>
        <v>0</v>
      </c>
      <c r="AN123">
        <f>SUMIF(RawDataDead!$B:$B,$A123,RawDataDead!AQ:AQ)</f>
        <v>0</v>
      </c>
      <c r="AO123">
        <f>SUMIF(RawDataDead!$B:$B,$A123,RawDataDead!AR:AR)</f>
        <v>0</v>
      </c>
      <c r="AP123">
        <f>SUMIF(RawDataDead!$B:$B,$A123,RawDataDead!AS:AS)</f>
        <v>0</v>
      </c>
      <c r="AQ123">
        <f>SUMIF(RawDataDead!$B:$B,$A123,RawDataDead!AT:AT)</f>
        <v>0</v>
      </c>
      <c r="AR123">
        <f>SUMIF(RawDataDead!$B:$B,$A123,RawDataDead!AU:AU)</f>
        <v>0</v>
      </c>
      <c r="AS123">
        <f>SUMIF(RawDataDead!$B:$B,$A123,RawDataDead!AV:AV)</f>
        <v>0</v>
      </c>
      <c r="AT123">
        <f>SUMIF(RawDataDead!$B:$B,$A123,RawDataDead!AW:AW)</f>
        <v>0</v>
      </c>
      <c r="AU123">
        <f>SUMIF(RawDataDead!$B:$B,$A123,RawDataDead!AX:AX)</f>
        <v>0</v>
      </c>
      <c r="AV123">
        <f>SUMIF(RawDataDead!$B:$B,$A123,RawDataDead!AY:AY)</f>
        <v>0</v>
      </c>
      <c r="AW123">
        <f>SUMIF(RawDataDead!$B:$B,$A123,RawDataDead!AZ:AZ)</f>
        <v>0</v>
      </c>
      <c r="AX123">
        <f>SUMIF(RawDataDead!$B:$B,$A123,RawDataDead!BA:BA)</f>
        <v>0</v>
      </c>
      <c r="AY123">
        <f>SUMIF(RawDataDead!$B:$B,$A123,RawDataDead!BB:BB)</f>
        <v>0</v>
      </c>
      <c r="AZ123">
        <f>SUMIF(RawDataDead!$B:$B,$A123,RawDataDead!BC:BC)</f>
        <v>0</v>
      </c>
      <c r="BA123">
        <f>SUMIF(RawDataDead!$B:$B,$A123,RawDataDead!BD:BD)</f>
        <v>0</v>
      </c>
      <c r="BB123">
        <f>SUMIF(RawDataDead!$B:$B,$A123,RawDataDead!BE:BE)</f>
        <v>0</v>
      </c>
      <c r="BC123">
        <f>SUMIF(RawDataDead!$B:$B,$A123,RawDataDead!BF:BF)</f>
        <v>0</v>
      </c>
      <c r="BD123">
        <f>SUMIF(RawDataDead!$B:$B,$A123,RawDataDead!BG:BG)</f>
        <v>0</v>
      </c>
      <c r="BE123">
        <f>SUMIF(RawDataDead!$B:$B,$A123,RawDataDead!BH:BH)</f>
        <v>0</v>
      </c>
      <c r="BF123">
        <f>SUMIF(RawDataDead!$B:$B,$A123,RawDataDead!BI:BI)</f>
        <v>0</v>
      </c>
      <c r="BG123">
        <f>SUMIF(RawDataDead!$B:$B,$A123,RawDataDead!BJ:BJ)</f>
        <v>0</v>
      </c>
      <c r="BH123">
        <f>SUMIF(RawDataDead!$B:$B,$A123,RawDataDead!BK:BK)</f>
        <v>0</v>
      </c>
      <c r="BI123">
        <f>SUMIF(RawDataDead!$B:$B,$A123,RawDataDead!BL:BL)</f>
        <v>0</v>
      </c>
      <c r="BJ123">
        <f>SUMIF(RawDataDead!$B:$B,$A123,RawDataDead!BM:BM)</f>
        <v>0</v>
      </c>
      <c r="BK123">
        <f>SUMIF(RawDataDead!$B:$B,$A123,RawDataDead!BN:BN)</f>
        <v>0</v>
      </c>
      <c r="BL123">
        <f>SUMIF(RawDataDead!$B:$B,$A123,RawDataDead!BO:BO)</f>
        <v>0</v>
      </c>
      <c r="BM123">
        <f>SUMIF(RawDataDead!$B:$B,$A123,RawDataDead!BP:BP)</f>
        <v>0</v>
      </c>
      <c r="BN123">
        <f>SUMIF(RawDataDead!$B:$B,$A123,RawDataDead!BQ:BQ)</f>
        <v>0</v>
      </c>
      <c r="BO123">
        <f>SUMIF(RawDataDead!$B:$B,$A123,RawDataDead!BR:BR)</f>
        <v>0</v>
      </c>
      <c r="BP123">
        <f>SUMIF(RawDataDead!$B:$B,$A123,RawDataDead!BS:BS)</f>
        <v>0</v>
      </c>
      <c r="BQ123">
        <f>SUMIF(RawDataDead!$B:$B,$A123,RawDataDead!BT:BT)</f>
        <v>0</v>
      </c>
      <c r="BR123">
        <f>SUMIF(RawDataDead!$B:$B,$A123,RawDataDead!BU:BU)</f>
        <v>0</v>
      </c>
      <c r="BS123">
        <f>SUMIF(RawDataDead!$B:$B,$A123,RawDataDead!BV:BV)</f>
        <v>0</v>
      </c>
      <c r="BT123">
        <f>SUMIF(RawDataDead!$B:$B,$A123,RawDataDead!BW:BW)</f>
        <v>0</v>
      </c>
    </row>
    <row r="124" spans="1:72" ht="15" thickBot="1" x14ac:dyDescent="0.35">
      <c r="A124" s="4" t="s">
        <v>69</v>
      </c>
      <c r="B124">
        <f>SUMIF(RawDataDead!$B:$B,$A124,RawDataDead!E:E)</f>
        <v>0</v>
      </c>
      <c r="C124">
        <f>SUMIF(RawDataDead!$B:$B,$A124,RawDataDead!F:F)</f>
        <v>0</v>
      </c>
      <c r="D124">
        <f>SUMIF(RawDataDead!$B:$B,$A124,RawDataDead!G:G)</f>
        <v>0</v>
      </c>
      <c r="E124">
        <f>SUMIF(RawDataDead!$B:$B,$A124,RawDataDead!H:H)</f>
        <v>0</v>
      </c>
      <c r="F124">
        <f>SUMIF(RawDataDead!$B:$B,$A124,RawDataDead!I:I)</f>
        <v>0</v>
      </c>
      <c r="G124">
        <f>SUMIF(RawDataDead!$B:$B,$A124,RawDataDead!J:J)</f>
        <v>0</v>
      </c>
      <c r="H124">
        <f>SUMIF(RawDataDead!$B:$B,$A124,RawDataDead!K:K)</f>
        <v>0</v>
      </c>
      <c r="I124">
        <f>SUMIF(RawDataDead!$B:$B,$A124,RawDataDead!L:L)</f>
        <v>0</v>
      </c>
      <c r="J124">
        <f>SUMIF(RawDataDead!$B:$B,$A124,RawDataDead!M:M)</f>
        <v>0</v>
      </c>
      <c r="K124">
        <f>SUMIF(RawDataDead!$B:$B,$A124,RawDataDead!N:N)</f>
        <v>0</v>
      </c>
      <c r="L124">
        <f>SUMIF(RawDataDead!$B:$B,$A124,RawDataDead!O:O)</f>
        <v>0</v>
      </c>
      <c r="M124">
        <f>SUMIF(RawDataDead!$B:$B,$A124,RawDataDead!P:P)</f>
        <v>0</v>
      </c>
      <c r="N124">
        <f>SUMIF(RawDataDead!$B:$B,$A124,RawDataDead!Q:Q)</f>
        <v>0</v>
      </c>
      <c r="O124">
        <f>SUMIF(RawDataDead!$B:$B,$A124,RawDataDead!R:R)</f>
        <v>0</v>
      </c>
      <c r="P124">
        <f>SUMIF(RawDataDead!$B:$B,$A124,RawDataDead!S:S)</f>
        <v>0</v>
      </c>
      <c r="Q124">
        <f>SUMIF(RawDataDead!$B:$B,$A124,RawDataDead!T:T)</f>
        <v>0</v>
      </c>
      <c r="R124">
        <f>SUMIF(RawDataDead!$B:$B,$A124,RawDataDead!U:U)</f>
        <v>0</v>
      </c>
      <c r="S124">
        <f>SUMIF(RawDataDead!$B:$B,$A124,RawDataDead!V:V)</f>
        <v>0</v>
      </c>
      <c r="T124">
        <f>SUMIF(RawDataDead!$B:$B,$A124,RawDataDead!W:W)</f>
        <v>0</v>
      </c>
      <c r="U124">
        <f>SUMIF(RawDataDead!$B:$B,$A124,RawDataDead!X:X)</f>
        <v>0</v>
      </c>
      <c r="V124">
        <f>SUMIF(RawDataDead!$B:$B,$A124,RawDataDead!Y:Y)</f>
        <v>0</v>
      </c>
      <c r="W124">
        <f>SUMIF(RawDataDead!$B:$B,$A124,RawDataDead!Z:Z)</f>
        <v>0</v>
      </c>
      <c r="X124">
        <f>SUMIF(RawDataDead!$B:$B,$A124,RawDataDead!AA:AA)</f>
        <v>0</v>
      </c>
      <c r="Y124">
        <f>SUMIF(RawDataDead!$B:$B,$A124,RawDataDead!AB:AB)</f>
        <v>0</v>
      </c>
      <c r="Z124">
        <f>SUMIF(RawDataDead!$B:$B,$A124,RawDataDead!AC:AC)</f>
        <v>0</v>
      </c>
      <c r="AA124">
        <f>SUMIF(RawDataDead!$B:$B,$A124,RawDataDead!AD:AD)</f>
        <v>0</v>
      </c>
      <c r="AB124">
        <f>SUMIF(RawDataDead!$B:$B,$A124,RawDataDead!AE:AE)</f>
        <v>0</v>
      </c>
      <c r="AC124">
        <f>SUMIF(RawDataDead!$B:$B,$A124,RawDataDead!AF:AF)</f>
        <v>0</v>
      </c>
      <c r="AD124">
        <f>SUMIF(RawDataDead!$B:$B,$A124,RawDataDead!AG:AG)</f>
        <v>0</v>
      </c>
      <c r="AE124">
        <f>SUMIF(RawDataDead!$B:$B,$A124,RawDataDead!AH:AH)</f>
        <v>0</v>
      </c>
      <c r="AF124">
        <f>SUMIF(RawDataDead!$B:$B,$A124,RawDataDead!AI:AI)</f>
        <v>0</v>
      </c>
      <c r="AG124">
        <f>SUMIF(RawDataDead!$B:$B,$A124,RawDataDead!AJ:AJ)</f>
        <v>0</v>
      </c>
      <c r="AH124">
        <f>SUMIF(RawDataDead!$B:$B,$A124,RawDataDead!AK:AK)</f>
        <v>0</v>
      </c>
      <c r="AI124">
        <f>SUMIF(RawDataDead!$B:$B,$A124,RawDataDead!AL:AL)</f>
        <v>0</v>
      </c>
      <c r="AJ124">
        <f>SUMIF(RawDataDead!$B:$B,$A124,RawDataDead!AM:AM)</f>
        <v>0</v>
      </c>
      <c r="AK124">
        <f>SUMIF(RawDataDead!$B:$B,$A124,RawDataDead!AN:AN)</f>
        <v>0</v>
      </c>
      <c r="AL124">
        <f>SUMIF(RawDataDead!$B:$B,$A124,RawDataDead!AO:AO)</f>
        <v>0</v>
      </c>
      <c r="AM124">
        <f>SUMIF(RawDataDead!$B:$B,$A124,RawDataDead!AP:AP)</f>
        <v>0</v>
      </c>
      <c r="AN124">
        <f>SUMIF(RawDataDead!$B:$B,$A124,RawDataDead!AQ:AQ)</f>
        <v>0</v>
      </c>
      <c r="AO124">
        <f>SUMIF(RawDataDead!$B:$B,$A124,RawDataDead!AR:AR)</f>
        <v>0</v>
      </c>
      <c r="AP124">
        <f>SUMIF(RawDataDead!$B:$B,$A124,RawDataDead!AS:AS)</f>
        <v>0</v>
      </c>
      <c r="AQ124">
        <f>SUMIF(RawDataDead!$B:$B,$A124,RawDataDead!AT:AT)</f>
        <v>0</v>
      </c>
      <c r="AR124">
        <f>SUMIF(RawDataDead!$B:$B,$A124,RawDataDead!AU:AU)</f>
        <v>0</v>
      </c>
      <c r="AS124">
        <f>SUMIF(RawDataDead!$B:$B,$A124,RawDataDead!AV:AV)</f>
        <v>0</v>
      </c>
      <c r="AT124">
        <f>SUMIF(RawDataDead!$B:$B,$A124,RawDataDead!AW:AW)</f>
        <v>0</v>
      </c>
      <c r="AU124">
        <f>SUMIF(RawDataDead!$B:$B,$A124,RawDataDead!AX:AX)</f>
        <v>0</v>
      </c>
      <c r="AV124">
        <f>SUMIF(RawDataDead!$B:$B,$A124,RawDataDead!AY:AY)</f>
        <v>0</v>
      </c>
      <c r="AW124">
        <f>SUMIF(RawDataDead!$B:$B,$A124,RawDataDead!AZ:AZ)</f>
        <v>0</v>
      </c>
      <c r="AX124">
        <f>SUMIF(RawDataDead!$B:$B,$A124,RawDataDead!BA:BA)</f>
        <v>0</v>
      </c>
      <c r="AY124">
        <f>SUMIF(RawDataDead!$B:$B,$A124,RawDataDead!BB:BB)</f>
        <v>0</v>
      </c>
      <c r="AZ124">
        <f>SUMIF(RawDataDead!$B:$B,$A124,RawDataDead!BC:BC)</f>
        <v>0</v>
      </c>
      <c r="BA124">
        <f>SUMIF(RawDataDead!$B:$B,$A124,RawDataDead!BD:BD)</f>
        <v>0</v>
      </c>
      <c r="BB124">
        <f>SUMIF(RawDataDead!$B:$B,$A124,RawDataDead!BE:BE)</f>
        <v>0</v>
      </c>
      <c r="BC124">
        <f>SUMIF(RawDataDead!$B:$B,$A124,RawDataDead!BF:BF)</f>
        <v>0</v>
      </c>
      <c r="BD124">
        <f>SUMIF(RawDataDead!$B:$B,$A124,RawDataDead!BG:BG)</f>
        <v>0</v>
      </c>
      <c r="BE124">
        <f>SUMIF(RawDataDead!$B:$B,$A124,RawDataDead!BH:BH)</f>
        <v>0</v>
      </c>
      <c r="BF124">
        <f>SUMIF(RawDataDead!$B:$B,$A124,RawDataDead!BI:BI)</f>
        <v>0</v>
      </c>
      <c r="BG124">
        <f>SUMIF(RawDataDead!$B:$B,$A124,RawDataDead!BJ:BJ)</f>
        <v>0</v>
      </c>
      <c r="BH124">
        <f>SUMIF(RawDataDead!$B:$B,$A124,RawDataDead!BK:BK)</f>
        <v>0</v>
      </c>
      <c r="BI124">
        <f>SUMIF(RawDataDead!$B:$B,$A124,RawDataDead!BL:BL)</f>
        <v>0</v>
      </c>
      <c r="BJ124">
        <f>SUMIF(RawDataDead!$B:$B,$A124,RawDataDead!BM:BM)</f>
        <v>0</v>
      </c>
      <c r="BK124">
        <f>SUMIF(RawDataDead!$B:$B,$A124,RawDataDead!BN:BN)</f>
        <v>0</v>
      </c>
      <c r="BL124">
        <f>SUMIF(RawDataDead!$B:$B,$A124,RawDataDead!BO:BO)</f>
        <v>0</v>
      </c>
      <c r="BM124">
        <f>SUMIF(RawDataDead!$B:$B,$A124,RawDataDead!BP:BP)</f>
        <v>0</v>
      </c>
      <c r="BN124">
        <f>SUMIF(RawDataDead!$B:$B,$A124,RawDataDead!BQ:BQ)</f>
        <v>0</v>
      </c>
      <c r="BO124">
        <f>SUMIF(RawDataDead!$B:$B,$A124,RawDataDead!BR:BR)</f>
        <v>0</v>
      </c>
      <c r="BP124">
        <f>SUMIF(RawDataDead!$B:$B,$A124,RawDataDead!BS:BS)</f>
        <v>0</v>
      </c>
      <c r="BQ124">
        <f>SUMIF(RawDataDead!$B:$B,$A124,RawDataDead!BT:BT)</f>
        <v>0</v>
      </c>
      <c r="BR124">
        <f>SUMIF(RawDataDead!$B:$B,$A124,RawDataDead!BU:BU)</f>
        <v>0</v>
      </c>
      <c r="BS124">
        <f>SUMIF(RawDataDead!$B:$B,$A124,RawDataDead!BV:BV)</f>
        <v>0</v>
      </c>
      <c r="BT124">
        <f>SUMIF(RawDataDead!$B:$B,$A124,RawDataDead!BW:BW)</f>
        <v>0</v>
      </c>
    </row>
    <row r="125" spans="1:72" ht="15" thickBot="1" x14ac:dyDescent="0.35">
      <c r="A125" s="3" t="s">
        <v>448</v>
      </c>
      <c r="B125">
        <f>SUMIF(RawDataDead!$B:$B,$A125,RawDataDead!E:E)</f>
        <v>0</v>
      </c>
      <c r="C125">
        <f>SUMIF(RawDataDead!$B:$B,$A125,RawDataDead!F:F)</f>
        <v>0</v>
      </c>
      <c r="D125">
        <f>SUMIF(RawDataDead!$B:$B,$A125,RawDataDead!G:G)</f>
        <v>0</v>
      </c>
      <c r="E125">
        <f>SUMIF(RawDataDead!$B:$B,$A125,RawDataDead!H:H)</f>
        <v>0</v>
      </c>
      <c r="F125">
        <f>SUMIF(RawDataDead!$B:$B,$A125,RawDataDead!I:I)</f>
        <v>0</v>
      </c>
      <c r="G125">
        <f>SUMIF(RawDataDead!$B:$B,$A125,RawDataDead!J:J)</f>
        <v>0</v>
      </c>
      <c r="H125">
        <f>SUMIF(RawDataDead!$B:$B,$A125,RawDataDead!K:K)</f>
        <v>0</v>
      </c>
      <c r="I125">
        <f>SUMIF(RawDataDead!$B:$B,$A125,RawDataDead!L:L)</f>
        <v>0</v>
      </c>
      <c r="J125">
        <f>SUMIF(RawDataDead!$B:$B,$A125,RawDataDead!M:M)</f>
        <v>0</v>
      </c>
      <c r="K125">
        <f>SUMIF(RawDataDead!$B:$B,$A125,RawDataDead!N:N)</f>
        <v>0</v>
      </c>
      <c r="L125">
        <f>SUMIF(RawDataDead!$B:$B,$A125,RawDataDead!O:O)</f>
        <v>0</v>
      </c>
      <c r="M125">
        <f>SUMIF(RawDataDead!$B:$B,$A125,RawDataDead!P:P)</f>
        <v>0</v>
      </c>
      <c r="N125">
        <f>SUMIF(RawDataDead!$B:$B,$A125,RawDataDead!Q:Q)</f>
        <v>0</v>
      </c>
      <c r="O125">
        <f>SUMIF(RawDataDead!$B:$B,$A125,RawDataDead!R:R)</f>
        <v>0</v>
      </c>
      <c r="P125">
        <f>SUMIF(RawDataDead!$B:$B,$A125,RawDataDead!S:S)</f>
        <v>0</v>
      </c>
      <c r="Q125">
        <f>SUMIF(RawDataDead!$B:$B,$A125,RawDataDead!T:T)</f>
        <v>0</v>
      </c>
      <c r="R125">
        <f>SUMIF(RawDataDead!$B:$B,$A125,RawDataDead!U:U)</f>
        <v>0</v>
      </c>
      <c r="S125">
        <f>SUMIF(RawDataDead!$B:$B,$A125,RawDataDead!V:V)</f>
        <v>0</v>
      </c>
      <c r="T125">
        <f>SUMIF(RawDataDead!$B:$B,$A125,RawDataDead!W:W)</f>
        <v>0</v>
      </c>
      <c r="U125">
        <f>SUMIF(RawDataDead!$B:$B,$A125,RawDataDead!X:X)</f>
        <v>0</v>
      </c>
      <c r="V125">
        <f>SUMIF(RawDataDead!$B:$B,$A125,RawDataDead!Y:Y)</f>
        <v>0</v>
      </c>
      <c r="W125">
        <f>SUMIF(RawDataDead!$B:$B,$A125,RawDataDead!Z:Z)</f>
        <v>0</v>
      </c>
      <c r="X125">
        <f>SUMIF(RawDataDead!$B:$B,$A125,RawDataDead!AA:AA)</f>
        <v>0</v>
      </c>
      <c r="Y125">
        <f>SUMIF(RawDataDead!$B:$B,$A125,RawDataDead!AB:AB)</f>
        <v>0</v>
      </c>
      <c r="Z125">
        <f>SUMIF(RawDataDead!$B:$B,$A125,RawDataDead!AC:AC)</f>
        <v>0</v>
      </c>
      <c r="AA125">
        <f>SUMIF(RawDataDead!$B:$B,$A125,RawDataDead!AD:AD)</f>
        <v>0</v>
      </c>
      <c r="AB125">
        <f>SUMIF(RawDataDead!$B:$B,$A125,RawDataDead!AE:AE)</f>
        <v>0</v>
      </c>
      <c r="AC125">
        <f>SUMIF(RawDataDead!$B:$B,$A125,RawDataDead!AF:AF)</f>
        <v>0</v>
      </c>
      <c r="AD125">
        <f>SUMIF(RawDataDead!$B:$B,$A125,RawDataDead!AG:AG)</f>
        <v>0</v>
      </c>
      <c r="AE125">
        <f>SUMIF(RawDataDead!$B:$B,$A125,RawDataDead!AH:AH)</f>
        <v>0</v>
      </c>
      <c r="AF125">
        <f>SUMIF(RawDataDead!$B:$B,$A125,RawDataDead!AI:AI)</f>
        <v>0</v>
      </c>
      <c r="AG125">
        <f>SUMIF(RawDataDead!$B:$B,$A125,RawDataDead!AJ:AJ)</f>
        <v>0</v>
      </c>
      <c r="AH125">
        <f>SUMIF(RawDataDead!$B:$B,$A125,RawDataDead!AK:AK)</f>
        <v>0</v>
      </c>
      <c r="AI125">
        <f>SUMIF(RawDataDead!$B:$B,$A125,RawDataDead!AL:AL)</f>
        <v>0</v>
      </c>
      <c r="AJ125">
        <f>SUMIF(RawDataDead!$B:$B,$A125,RawDataDead!AM:AM)</f>
        <v>0</v>
      </c>
      <c r="AK125">
        <f>SUMIF(RawDataDead!$B:$B,$A125,RawDataDead!AN:AN)</f>
        <v>0</v>
      </c>
      <c r="AL125">
        <f>SUMIF(RawDataDead!$B:$B,$A125,RawDataDead!AO:AO)</f>
        <v>0</v>
      </c>
      <c r="AM125">
        <f>SUMIF(RawDataDead!$B:$B,$A125,RawDataDead!AP:AP)</f>
        <v>0</v>
      </c>
      <c r="AN125">
        <f>SUMIF(RawDataDead!$B:$B,$A125,RawDataDead!AQ:AQ)</f>
        <v>0</v>
      </c>
      <c r="AO125">
        <f>SUMIF(RawDataDead!$B:$B,$A125,RawDataDead!AR:AR)</f>
        <v>0</v>
      </c>
      <c r="AP125">
        <f>SUMIF(RawDataDead!$B:$B,$A125,RawDataDead!AS:AS)</f>
        <v>0</v>
      </c>
      <c r="AQ125">
        <f>SUMIF(RawDataDead!$B:$B,$A125,RawDataDead!AT:AT)</f>
        <v>0</v>
      </c>
      <c r="AR125">
        <f>SUMIF(RawDataDead!$B:$B,$A125,RawDataDead!AU:AU)</f>
        <v>0</v>
      </c>
      <c r="AS125">
        <f>SUMIF(RawDataDead!$B:$B,$A125,RawDataDead!AV:AV)</f>
        <v>0</v>
      </c>
      <c r="AT125">
        <f>SUMIF(RawDataDead!$B:$B,$A125,RawDataDead!AW:AW)</f>
        <v>0</v>
      </c>
      <c r="AU125">
        <f>SUMIF(RawDataDead!$B:$B,$A125,RawDataDead!AX:AX)</f>
        <v>0</v>
      </c>
      <c r="AV125">
        <f>SUMIF(RawDataDead!$B:$B,$A125,RawDataDead!AY:AY)</f>
        <v>0</v>
      </c>
      <c r="AW125">
        <f>SUMIF(RawDataDead!$B:$B,$A125,RawDataDead!AZ:AZ)</f>
        <v>0</v>
      </c>
      <c r="AX125">
        <f>SUMIF(RawDataDead!$B:$B,$A125,RawDataDead!BA:BA)</f>
        <v>0</v>
      </c>
      <c r="AY125">
        <f>SUMIF(RawDataDead!$B:$B,$A125,RawDataDead!BB:BB)</f>
        <v>0</v>
      </c>
      <c r="AZ125">
        <f>SUMIF(RawDataDead!$B:$B,$A125,RawDataDead!BC:BC)</f>
        <v>0</v>
      </c>
      <c r="BA125">
        <f>SUMIF(RawDataDead!$B:$B,$A125,RawDataDead!BD:BD)</f>
        <v>1</v>
      </c>
      <c r="BB125">
        <f>SUMIF(RawDataDead!$B:$B,$A125,RawDataDead!BE:BE)</f>
        <v>1</v>
      </c>
      <c r="BC125">
        <f>SUMIF(RawDataDead!$B:$B,$A125,RawDataDead!BF:BF)</f>
        <v>1</v>
      </c>
      <c r="BD125">
        <f>SUMIF(RawDataDead!$B:$B,$A125,RawDataDead!BG:BG)</f>
        <v>1</v>
      </c>
      <c r="BE125">
        <f>SUMIF(RawDataDead!$B:$B,$A125,RawDataDead!BH:BH)</f>
        <v>1</v>
      </c>
      <c r="BF125">
        <f>SUMIF(RawDataDead!$B:$B,$A125,RawDataDead!BI:BI)</f>
        <v>0</v>
      </c>
      <c r="BG125">
        <f>SUMIF(RawDataDead!$B:$B,$A125,RawDataDead!BJ:BJ)</f>
        <v>0</v>
      </c>
      <c r="BH125">
        <f>SUMIF(RawDataDead!$B:$B,$A125,RawDataDead!BK:BK)</f>
        <v>0</v>
      </c>
      <c r="BI125">
        <f>SUMIF(RawDataDead!$B:$B,$A125,RawDataDead!BL:BL)</f>
        <v>0</v>
      </c>
      <c r="BJ125">
        <f>SUMIF(RawDataDead!$B:$B,$A125,RawDataDead!BM:BM)</f>
        <v>0</v>
      </c>
      <c r="BK125">
        <f>SUMIF(RawDataDead!$B:$B,$A125,RawDataDead!BN:BN)</f>
        <v>0</v>
      </c>
      <c r="BL125">
        <f>SUMIF(RawDataDead!$B:$B,$A125,RawDataDead!BO:BO)</f>
        <v>0</v>
      </c>
      <c r="BM125">
        <f>SUMIF(RawDataDead!$B:$B,$A125,RawDataDead!BP:BP)</f>
        <v>0</v>
      </c>
      <c r="BN125">
        <f>SUMIF(RawDataDead!$B:$B,$A125,RawDataDead!BQ:BQ)</f>
        <v>0</v>
      </c>
      <c r="BO125">
        <f>SUMIF(RawDataDead!$B:$B,$A125,RawDataDead!BR:BR)</f>
        <v>0</v>
      </c>
      <c r="BP125">
        <f>SUMIF(RawDataDead!$B:$B,$A125,RawDataDead!BS:BS)</f>
        <v>0</v>
      </c>
      <c r="BQ125">
        <f>SUMIF(RawDataDead!$B:$B,$A125,RawDataDead!BT:BT)</f>
        <v>0</v>
      </c>
      <c r="BR125">
        <f>SUMIF(RawDataDead!$B:$B,$A125,RawDataDead!BU:BU)</f>
        <v>0</v>
      </c>
      <c r="BS125">
        <f>SUMIF(RawDataDead!$B:$B,$A125,RawDataDead!BV:BV)</f>
        <v>0</v>
      </c>
      <c r="BT125">
        <f>SUMIF(RawDataDead!$B:$B,$A125,RawDataDead!BW:BW)</f>
        <v>0</v>
      </c>
    </row>
    <row r="126" spans="1:72" ht="15" thickBot="1" x14ac:dyDescent="0.35">
      <c r="A126" s="3" t="s">
        <v>190</v>
      </c>
      <c r="B126">
        <f>SUMIF(RawDataDead!$B:$B,$A126,RawDataDead!E:E)</f>
        <v>0</v>
      </c>
      <c r="C126">
        <f>SUMIF(RawDataDead!$B:$B,$A126,RawDataDead!F:F)</f>
        <v>0</v>
      </c>
      <c r="D126">
        <f>SUMIF(RawDataDead!$B:$B,$A126,RawDataDead!G:G)</f>
        <v>0</v>
      </c>
      <c r="E126">
        <f>SUMIF(RawDataDead!$B:$B,$A126,RawDataDead!H:H)</f>
        <v>0</v>
      </c>
      <c r="F126">
        <f>SUMIF(RawDataDead!$B:$B,$A126,RawDataDead!I:I)</f>
        <v>0</v>
      </c>
      <c r="G126">
        <f>SUMIF(RawDataDead!$B:$B,$A126,RawDataDead!J:J)</f>
        <v>0</v>
      </c>
      <c r="H126">
        <f>SUMIF(RawDataDead!$B:$B,$A126,RawDataDead!K:K)</f>
        <v>0</v>
      </c>
      <c r="I126">
        <f>SUMIF(RawDataDead!$B:$B,$A126,RawDataDead!L:L)</f>
        <v>0</v>
      </c>
      <c r="J126">
        <f>SUMIF(RawDataDead!$B:$B,$A126,RawDataDead!M:M)</f>
        <v>0</v>
      </c>
      <c r="K126">
        <f>SUMIF(RawDataDead!$B:$B,$A126,RawDataDead!N:N)</f>
        <v>0</v>
      </c>
      <c r="L126">
        <f>SUMIF(RawDataDead!$B:$B,$A126,RawDataDead!O:O)</f>
        <v>0</v>
      </c>
      <c r="M126">
        <f>SUMIF(RawDataDead!$B:$B,$A126,RawDataDead!P:P)</f>
        <v>0</v>
      </c>
      <c r="N126">
        <f>SUMIF(RawDataDead!$B:$B,$A126,RawDataDead!Q:Q)</f>
        <v>0</v>
      </c>
      <c r="O126">
        <f>SUMIF(RawDataDead!$B:$B,$A126,RawDataDead!R:R)</f>
        <v>0</v>
      </c>
      <c r="P126">
        <f>SUMIF(RawDataDead!$B:$B,$A126,RawDataDead!S:S)</f>
        <v>0</v>
      </c>
      <c r="Q126">
        <f>SUMIF(RawDataDead!$B:$B,$A126,RawDataDead!T:T)</f>
        <v>0</v>
      </c>
      <c r="R126">
        <f>SUMIF(RawDataDead!$B:$B,$A126,RawDataDead!U:U)</f>
        <v>0</v>
      </c>
      <c r="S126">
        <f>SUMIF(RawDataDead!$B:$B,$A126,RawDataDead!V:V)</f>
        <v>0</v>
      </c>
      <c r="T126">
        <f>SUMIF(RawDataDead!$B:$B,$A126,RawDataDead!W:W)</f>
        <v>0</v>
      </c>
      <c r="U126">
        <f>SUMIF(RawDataDead!$B:$B,$A126,RawDataDead!X:X)</f>
        <v>0</v>
      </c>
      <c r="V126">
        <f>SUMIF(RawDataDead!$B:$B,$A126,RawDataDead!Y:Y)</f>
        <v>0</v>
      </c>
      <c r="W126">
        <f>SUMIF(RawDataDead!$B:$B,$A126,RawDataDead!Z:Z)</f>
        <v>0</v>
      </c>
      <c r="X126">
        <f>SUMIF(RawDataDead!$B:$B,$A126,RawDataDead!AA:AA)</f>
        <v>0</v>
      </c>
      <c r="Y126">
        <f>SUMIF(RawDataDead!$B:$B,$A126,RawDataDead!AB:AB)</f>
        <v>0</v>
      </c>
      <c r="Z126">
        <f>SUMIF(RawDataDead!$B:$B,$A126,RawDataDead!AC:AC)</f>
        <v>0</v>
      </c>
      <c r="AA126">
        <f>SUMIF(RawDataDead!$B:$B,$A126,RawDataDead!AD:AD)</f>
        <v>0</v>
      </c>
      <c r="AB126">
        <f>SUMIF(RawDataDead!$B:$B,$A126,RawDataDead!AE:AE)</f>
        <v>0</v>
      </c>
      <c r="AC126">
        <f>SUMIF(RawDataDead!$B:$B,$A126,RawDataDead!AF:AF)</f>
        <v>0</v>
      </c>
      <c r="AD126">
        <f>SUMIF(RawDataDead!$B:$B,$A126,RawDataDead!AG:AG)</f>
        <v>0</v>
      </c>
      <c r="AE126">
        <f>SUMIF(RawDataDead!$B:$B,$A126,RawDataDead!AH:AH)</f>
        <v>0</v>
      </c>
      <c r="AF126">
        <f>SUMIF(RawDataDead!$B:$B,$A126,RawDataDead!AI:AI)</f>
        <v>0</v>
      </c>
      <c r="AG126">
        <f>SUMIF(RawDataDead!$B:$B,$A126,RawDataDead!AJ:AJ)</f>
        <v>0</v>
      </c>
      <c r="AH126">
        <f>SUMIF(RawDataDead!$B:$B,$A126,RawDataDead!AK:AK)</f>
        <v>0</v>
      </c>
      <c r="AI126">
        <f>SUMIF(RawDataDead!$B:$B,$A126,RawDataDead!AL:AL)</f>
        <v>0</v>
      </c>
      <c r="AJ126">
        <f>SUMIF(RawDataDead!$B:$B,$A126,RawDataDead!AM:AM)</f>
        <v>0</v>
      </c>
      <c r="AK126">
        <f>SUMIF(RawDataDead!$B:$B,$A126,RawDataDead!AN:AN)</f>
        <v>0</v>
      </c>
      <c r="AL126">
        <f>SUMIF(RawDataDead!$B:$B,$A126,RawDataDead!AO:AO)</f>
        <v>0</v>
      </c>
      <c r="AM126">
        <f>SUMIF(RawDataDead!$B:$B,$A126,RawDataDead!AP:AP)</f>
        <v>0</v>
      </c>
      <c r="AN126">
        <f>SUMIF(RawDataDead!$B:$B,$A126,RawDataDead!AQ:AQ)</f>
        <v>0</v>
      </c>
      <c r="AO126">
        <f>SUMIF(RawDataDead!$B:$B,$A126,RawDataDead!AR:AR)</f>
        <v>0</v>
      </c>
      <c r="AP126">
        <f>SUMIF(RawDataDead!$B:$B,$A126,RawDataDead!AS:AS)</f>
        <v>0</v>
      </c>
      <c r="AQ126">
        <f>SUMIF(RawDataDead!$B:$B,$A126,RawDataDead!AT:AT)</f>
        <v>0</v>
      </c>
      <c r="AR126">
        <f>SUMIF(RawDataDead!$B:$B,$A126,RawDataDead!AU:AU)</f>
        <v>0</v>
      </c>
      <c r="AS126">
        <f>SUMIF(RawDataDead!$B:$B,$A126,RawDataDead!AV:AV)</f>
        <v>0</v>
      </c>
      <c r="AT126">
        <f>SUMIF(RawDataDead!$B:$B,$A126,RawDataDead!AW:AW)</f>
        <v>0</v>
      </c>
      <c r="AU126">
        <f>SUMIF(RawDataDead!$B:$B,$A126,RawDataDead!AX:AX)</f>
        <v>0</v>
      </c>
      <c r="AV126">
        <f>SUMIF(RawDataDead!$B:$B,$A126,RawDataDead!AY:AY)</f>
        <v>0</v>
      </c>
      <c r="AW126">
        <f>SUMIF(RawDataDead!$B:$B,$A126,RawDataDead!AZ:AZ)</f>
        <v>0</v>
      </c>
      <c r="AX126">
        <f>SUMIF(RawDataDead!$B:$B,$A126,RawDataDead!BA:BA)</f>
        <v>0</v>
      </c>
      <c r="AY126">
        <f>SUMIF(RawDataDead!$B:$B,$A126,RawDataDead!BB:BB)</f>
        <v>0</v>
      </c>
      <c r="AZ126">
        <f>SUMIF(RawDataDead!$B:$B,$A126,RawDataDead!BC:BC)</f>
        <v>0</v>
      </c>
      <c r="BA126">
        <f>SUMIF(RawDataDead!$B:$B,$A126,RawDataDead!BD:BD)</f>
        <v>0</v>
      </c>
      <c r="BB126">
        <f>SUMIF(RawDataDead!$B:$B,$A126,RawDataDead!BE:BE)</f>
        <v>0</v>
      </c>
      <c r="BC126">
        <f>SUMIF(RawDataDead!$B:$B,$A126,RawDataDead!BF:BF)</f>
        <v>0</v>
      </c>
      <c r="BD126">
        <f>SUMIF(RawDataDead!$B:$B,$A126,RawDataDead!BG:BG)</f>
        <v>0</v>
      </c>
      <c r="BE126">
        <f>SUMIF(RawDataDead!$B:$B,$A126,RawDataDead!BH:BH)</f>
        <v>0</v>
      </c>
      <c r="BF126">
        <f>SUMIF(RawDataDead!$B:$B,$A126,RawDataDead!BI:BI)</f>
        <v>0</v>
      </c>
      <c r="BG126">
        <f>SUMIF(RawDataDead!$B:$B,$A126,RawDataDead!BJ:BJ)</f>
        <v>0</v>
      </c>
      <c r="BH126">
        <f>SUMIF(RawDataDead!$B:$B,$A126,RawDataDead!BK:BK)</f>
        <v>0</v>
      </c>
      <c r="BI126">
        <f>SUMIF(RawDataDead!$B:$B,$A126,RawDataDead!BL:BL)</f>
        <v>0</v>
      </c>
      <c r="BJ126">
        <f>SUMIF(RawDataDead!$B:$B,$A126,RawDataDead!BM:BM)</f>
        <v>0</v>
      </c>
      <c r="BK126">
        <f>SUMIF(RawDataDead!$B:$B,$A126,RawDataDead!BN:BN)</f>
        <v>0</v>
      </c>
      <c r="BL126">
        <f>SUMIF(RawDataDead!$B:$B,$A126,RawDataDead!BO:BO)</f>
        <v>0</v>
      </c>
      <c r="BM126">
        <f>SUMIF(RawDataDead!$B:$B,$A126,RawDataDead!BP:BP)</f>
        <v>0</v>
      </c>
      <c r="BN126">
        <f>SUMIF(RawDataDead!$B:$B,$A126,RawDataDead!BQ:BQ)</f>
        <v>0</v>
      </c>
      <c r="BO126">
        <f>SUMIF(RawDataDead!$B:$B,$A126,RawDataDead!BR:BR)</f>
        <v>0</v>
      </c>
      <c r="BP126">
        <f>SUMIF(RawDataDead!$B:$B,$A126,RawDataDead!BS:BS)</f>
        <v>0</v>
      </c>
      <c r="BQ126">
        <f>SUMIF(RawDataDead!$B:$B,$A126,RawDataDead!BT:BT)</f>
        <v>0</v>
      </c>
      <c r="BR126">
        <f>SUMIF(RawDataDead!$B:$B,$A126,RawDataDead!BU:BU)</f>
        <v>0</v>
      </c>
      <c r="BS126">
        <f>SUMIF(RawDataDead!$B:$B,$A126,RawDataDead!BV:BV)</f>
        <v>0</v>
      </c>
      <c r="BT126">
        <f>SUMIF(RawDataDead!$B:$B,$A126,RawDataDead!BW:BW)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I464"/>
  <sheetViews>
    <sheetView topLeftCell="AM403" workbookViewId="0">
      <selection activeCell="BI405" sqref="BI405"/>
    </sheetView>
  </sheetViews>
  <sheetFormatPr defaultRowHeight="14.4" x14ac:dyDescent="0.3"/>
  <sheetData>
    <row r="1" spans="1:6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16">
        <v>43832</v>
      </c>
      <c r="P1" s="16">
        <v>43863</v>
      </c>
      <c r="Q1" s="16">
        <v>43892</v>
      </c>
      <c r="R1" s="16">
        <v>43923</v>
      </c>
      <c r="S1" s="16">
        <v>43953</v>
      </c>
      <c r="T1" s="16">
        <v>43984</v>
      </c>
      <c r="U1" s="16">
        <v>44014</v>
      </c>
      <c r="V1" s="16">
        <v>44045</v>
      </c>
      <c r="W1" s="16">
        <v>44076</v>
      </c>
      <c r="X1" s="16">
        <v>44106</v>
      </c>
      <c r="Y1" s="16">
        <v>44137</v>
      </c>
      <c r="Z1" s="16">
        <v>44167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s="16">
        <v>43833</v>
      </c>
      <c r="AS1" s="16">
        <v>43864</v>
      </c>
      <c r="AT1" s="16">
        <v>43893</v>
      </c>
      <c r="AU1" s="16">
        <v>43924</v>
      </c>
      <c r="AV1" s="16">
        <v>43954</v>
      </c>
      <c r="AW1" s="16">
        <v>43985</v>
      </c>
      <c r="AX1" s="16">
        <v>44015</v>
      </c>
      <c r="AY1" s="16">
        <v>44046</v>
      </c>
      <c r="AZ1" s="16">
        <v>44077</v>
      </c>
      <c r="BA1" s="16">
        <v>44107</v>
      </c>
      <c r="BB1" s="16">
        <v>44138</v>
      </c>
      <c r="BC1" s="16">
        <v>44168</v>
      </c>
      <c r="BD1" t="s">
        <v>364</v>
      </c>
      <c r="BE1" t="s">
        <v>461</v>
      </c>
      <c r="BF1" t="s">
        <v>490</v>
      </c>
      <c r="BG1" t="s">
        <v>502</v>
      </c>
      <c r="BH1" t="s">
        <v>624</v>
      </c>
    </row>
    <row r="2" spans="1:60" x14ac:dyDescent="0.3">
      <c r="B2" t="s">
        <v>62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</row>
    <row r="3" spans="1:60" x14ac:dyDescent="0.3">
      <c r="B3" t="s">
        <v>63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</row>
    <row r="4" spans="1:60" x14ac:dyDescent="0.3">
      <c r="B4" t="s">
        <v>67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</row>
    <row r="5" spans="1:60" x14ac:dyDescent="0.3">
      <c r="B5" t="s">
        <v>69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</row>
    <row r="6" spans="1:60" x14ac:dyDescent="0.3">
      <c r="B6" t="s">
        <v>70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</row>
    <row r="7" spans="1:60" x14ac:dyDescent="0.3">
      <c r="A7" t="s">
        <v>71</v>
      </c>
      <c r="B7" t="s">
        <v>72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</row>
    <row r="8" spans="1:60" x14ac:dyDescent="0.3">
      <c r="A8" t="s">
        <v>74</v>
      </c>
      <c r="B8" t="s">
        <v>75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</row>
    <row r="9" spans="1:60" x14ac:dyDescent="0.3">
      <c r="A9" t="s">
        <v>76</v>
      </c>
      <c r="B9" t="s">
        <v>75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</row>
    <row r="10" spans="1:60" x14ac:dyDescent="0.3">
      <c r="A10" t="s">
        <v>77</v>
      </c>
      <c r="B10" t="s">
        <v>75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</row>
    <row r="11" spans="1:60" x14ac:dyDescent="0.3">
      <c r="B11" t="s">
        <v>78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</row>
    <row r="12" spans="1:60" x14ac:dyDescent="0.3">
      <c r="B12" t="s">
        <v>79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</row>
    <row r="13" spans="1:60" x14ac:dyDescent="0.3">
      <c r="B13" t="s">
        <v>80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</row>
    <row r="14" spans="1:60" x14ac:dyDescent="0.3">
      <c r="B14" t="s">
        <v>81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</row>
    <row r="15" spans="1:60" x14ac:dyDescent="0.3">
      <c r="B15" t="s">
        <v>82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</row>
    <row r="16" spans="1:60" x14ac:dyDescent="0.3">
      <c r="B16" t="s">
        <v>83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</row>
    <row r="17" spans="1:60" x14ac:dyDescent="0.3">
      <c r="B17" t="s">
        <v>84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</row>
    <row r="18" spans="1:60" x14ac:dyDescent="0.3">
      <c r="B18" t="s">
        <v>85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</row>
    <row r="19" spans="1:60" x14ac:dyDescent="0.3">
      <c r="B19" t="s">
        <v>86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</row>
    <row r="20" spans="1:60" x14ac:dyDescent="0.3">
      <c r="B20" t="s">
        <v>87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</row>
    <row r="21" spans="1:60" x14ac:dyDescent="0.3">
      <c r="A21" t="s">
        <v>88</v>
      </c>
      <c r="B21" t="s">
        <v>75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</row>
    <row r="22" spans="1:60" x14ac:dyDescent="0.3">
      <c r="B22" t="s">
        <v>90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</row>
    <row r="23" spans="1:60" x14ac:dyDescent="0.3">
      <c r="B23" t="s">
        <v>92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</row>
    <row r="24" spans="1:60" x14ac:dyDescent="0.3">
      <c r="A24" t="s">
        <v>93</v>
      </c>
      <c r="B24" t="s">
        <v>75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3">
      <c r="B25" t="s">
        <v>94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</row>
    <row r="26" spans="1:60" x14ac:dyDescent="0.3">
      <c r="B26" t="s">
        <v>97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</row>
    <row r="27" spans="1:60" x14ac:dyDescent="0.3">
      <c r="B27" t="s">
        <v>98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</row>
    <row r="28" spans="1:60" x14ac:dyDescent="0.3">
      <c r="B28" t="s">
        <v>99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</row>
    <row r="29" spans="1:60" x14ac:dyDescent="0.3">
      <c r="B29" t="s">
        <v>100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</row>
    <row r="30" spans="1:60" x14ac:dyDescent="0.3">
      <c r="B30" t="s">
        <v>101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</row>
    <row r="31" spans="1:60" x14ac:dyDescent="0.3">
      <c r="B31" t="s">
        <v>102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</row>
    <row r="32" spans="1:60" x14ac:dyDescent="0.3">
      <c r="B32" t="s">
        <v>103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</row>
    <row r="33" spans="2:60" x14ac:dyDescent="0.3">
      <c r="B33" t="s">
        <v>104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</row>
    <row r="34" spans="2:60" x14ac:dyDescent="0.3">
      <c r="B34" t="s">
        <v>105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</row>
    <row r="35" spans="2:60" x14ac:dyDescent="0.3">
      <c r="B35" t="s">
        <v>106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</row>
    <row r="36" spans="2:60" x14ac:dyDescent="0.3">
      <c r="B36" t="s">
        <v>107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</row>
    <row r="37" spans="2:60" x14ac:dyDescent="0.3">
      <c r="B37" t="s">
        <v>108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</row>
    <row r="38" spans="2:60" x14ac:dyDescent="0.3">
      <c r="B38" t="s">
        <v>109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</row>
    <row r="39" spans="2:60" x14ac:dyDescent="0.3">
      <c r="B39" t="s">
        <v>110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</row>
    <row r="40" spans="2:60" x14ac:dyDescent="0.3">
      <c r="B40" t="s">
        <v>111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</row>
    <row r="41" spans="2:60" x14ac:dyDescent="0.3">
      <c r="B41" t="s">
        <v>112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</row>
    <row r="42" spans="2:60" x14ac:dyDescent="0.3">
      <c r="B42" t="s">
        <v>113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</row>
    <row r="43" spans="2:60" x14ac:dyDescent="0.3">
      <c r="B43" t="s">
        <v>115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</row>
    <row r="44" spans="2:60" x14ac:dyDescent="0.3">
      <c r="B44" t="s">
        <v>117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</row>
    <row r="45" spans="2:60" x14ac:dyDescent="0.3">
      <c r="B45" t="s">
        <v>118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</row>
    <row r="46" spans="2:60" x14ac:dyDescent="0.3">
      <c r="B46" t="s">
        <v>119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</row>
    <row r="47" spans="2:60" x14ac:dyDescent="0.3">
      <c r="B47" t="s">
        <v>120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</row>
    <row r="48" spans="2:60" x14ac:dyDescent="0.3">
      <c r="B48" t="s">
        <v>121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</row>
    <row r="49" spans="1:60" x14ac:dyDescent="0.3">
      <c r="B49" t="s">
        <v>122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</row>
    <row r="50" spans="1:60" x14ac:dyDescent="0.3">
      <c r="B50" t="s">
        <v>123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</row>
    <row r="51" spans="1:60" x14ac:dyDescent="0.3">
      <c r="A51" t="s">
        <v>124</v>
      </c>
      <c r="B51" t="s">
        <v>75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</row>
    <row r="52" spans="1:60" x14ac:dyDescent="0.3">
      <c r="B52" t="s">
        <v>125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</row>
    <row r="53" spans="1:60" x14ac:dyDescent="0.3">
      <c r="B53" t="s">
        <v>126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</row>
    <row r="54" spans="1:60" x14ac:dyDescent="0.3">
      <c r="B54" t="s">
        <v>127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</row>
    <row r="55" spans="1:60" x14ac:dyDescent="0.3">
      <c r="B55" t="s">
        <v>128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</row>
    <row r="56" spans="1:60" x14ac:dyDescent="0.3">
      <c r="B56" t="s">
        <v>130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</row>
    <row r="57" spans="1:60" x14ac:dyDescent="0.3">
      <c r="B57" t="s">
        <v>131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</row>
    <row r="58" spans="1:60" x14ac:dyDescent="0.3">
      <c r="B58" t="s">
        <v>132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</row>
    <row r="59" spans="1:60" x14ac:dyDescent="0.3">
      <c r="B59" t="s">
        <v>133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</row>
    <row r="60" spans="1:60" x14ac:dyDescent="0.3">
      <c r="B60" t="s">
        <v>134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</row>
    <row r="61" spans="1:60" x14ac:dyDescent="0.3">
      <c r="B61" t="s">
        <v>135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</row>
    <row r="62" spans="1:60" x14ac:dyDescent="0.3">
      <c r="B62" t="s">
        <v>136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</row>
    <row r="63" spans="1:60" x14ac:dyDescent="0.3">
      <c r="A63" t="s">
        <v>137</v>
      </c>
      <c r="B63" t="s">
        <v>75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</row>
    <row r="64" spans="1:60" x14ac:dyDescent="0.3">
      <c r="B64" t="s">
        <v>138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</row>
    <row r="65" spans="1:60" x14ac:dyDescent="0.3">
      <c r="B65" t="s">
        <v>139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</row>
    <row r="66" spans="1:60" x14ac:dyDescent="0.3">
      <c r="B66" t="s">
        <v>140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</row>
    <row r="67" spans="1:60" x14ac:dyDescent="0.3">
      <c r="B67" t="s">
        <v>141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</row>
    <row r="68" spans="1:60" x14ac:dyDescent="0.3">
      <c r="B68" t="s">
        <v>150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</row>
    <row r="69" spans="1:60" x14ac:dyDescent="0.3">
      <c r="B69" t="s">
        <v>151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</row>
    <row r="70" spans="1:60" x14ac:dyDescent="0.3">
      <c r="B70" t="s">
        <v>152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</row>
    <row r="71" spans="1:60" x14ac:dyDescent="0.3">
      <c r="B71" t="s">
        <v>156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</row>
    <row r="72" spans="1:60" x14ac:dyDescent="0.3">
      <c r="B72" t="s">
        <v>159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</row>
    <row r="73" spans="1:60" x14ac:dyDescent="0.3">
      <c r="A73" t="s">
        <v>160</v>
      </c>
      <c r="B73" t="s">
        <v>75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</row>
    <row r="74" spans="1:60" x14ac:dyDescent="0.3">
      <c r="B74" t="s">
        <v>163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</row>
    <row r="75" spans="1:60" x14ac:dyDescent="0.3">
      <c r="B75" t="s">
        <v>164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</row>
    <row r="76" spans="1:60" x14ac:dyDescent="0.3">
      <c r="B76" t="s">
        <v>165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</row>
    <row r="77" spans="1:60" x14ac:dyDescent="0.3">
      <c r="B77" t="s">
        <v>167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</row>
    <row r="78" spans="1:60" x14ac:dyDescent="0.3">
      <c r="B78" t="s">
        <v>168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</row>
    <row r="79" spans="1:60" x14ac:dyDescent="0.3">
      <c r="B79" t="s">
        <v>172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</row>
    <row r="80" spans="1:60" x14ac:dyDescent="0.3">
      <c r="B80" t="s">
        <v>183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</row>
    <row r="81" spans="1:60" x14ac:dyDescent="0.3">
      <c r="B81" t="s">
        <v>184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</row>
    <row r="82" spans="1:60" x14ac:dyDescent="0.3">
      <c r="B82" t="s">
        <v>185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</row>
    <row r="83" spans="1:60" x14ac:dyDescent="0.3">
      <c r="B83" t="s">
        <v>186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</row>
    <row r="84" spans="1:60" x14ac:dyDescent="0.3">
      <c r="B84" t="s">
        <v>187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</row>
    <row r="85" spans="1:60" x14ac:dyDescent="0.3">
      <c r="B85" t="s">
        <v>188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</row>
    <row r="86" spans="1:60" x14ac:dyDescent="0.3">
      <c r="B86" t="s">
        <v>189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</row>
    <row r="87" spans="1:60" x14ac:dyDescent="0.3">
      <c r="B87" t="s">
        <v>190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</row>
    <row r="88" spans="1:60" x14ac:dyDescent="0.3">
      <c r="B88" t="s">
        <v>204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</row>
    <row r="89" spans="1:60" x14ac:dyDescent="0.3">
      <c r="B89" t="s">
        <v>207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</row>
    <row r="90" spans="1:60" x14ac:dyDescent="0.3">
      <c r="B90" t="s">
        <v>226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</row>
    <row r="91" spans="1:60" x14ac:dyDescent="0.3">
      <c r="B91" t="s">
        <v>227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</row>
    <row r="92" spans="1:60" x14ac:dyDescent="0.3">
      <c r="B92" t="s">
        <v>229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</row>
    <row r="93" spans="1:60" x14ac:dyDescent="0.3">
      <c r="B93" t="s">
        <v>233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</row>
    <row r="94" spans="1:60" x14ac:dyDescent="0.3">
      <c r="A94" t="s">
        <v>253</v>
      </c>
      <c r="B94" t="s">
        <v>72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</row>
    <row r="95" spans="1:60" x14ac:dyDescent="0.3">
      <c r="A95" t="s">
        <v>254</v>
      </c>
      <c r="B95" t="s">
        <v>72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</row>
    <row r="96" spans="1:60" x14ac:dyDescent="0.3">
      <c r="A96" t="s">
        <v>255</v>
      </c>
      <c r="B96" t="s">
        <v>72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</row>
    <row r="97" spans="1:60" x14ac:dyDescent="0.3">
      <c r="B97" t="s">
        <v>257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</row>
    <row r="98" spans="1:60" x14ac:dyDescent="0.3">
      <c r="B98" t="s">
        <v>258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</row>
    <row r="99" spans="1:60" x14ac:dyDescent="0.3">
      <c r="B99" t="s">
        <v>260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</row>
    <row r="100" spans="1:60" x14ac:dyDescent="0.3">
      <c r="A100" t="s">
        <v>270</v>
      </c>
      <c r="B100" t="s">
        <v>65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</row>
    <row r="101" spans="1:60" x14ac:dyDescent="0.3">
      <c r="A101" t="s">
        <v>271</v>
      </c>
      <c r="B101" t="s">
        <v>65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</row>
    <row r="102" spans="1:60" x14ac:dyDescent="0.3">
      <c r="A102" t="s">
        <v>272</v>
      </c>
      <c r="B102" t="s">
        <v>65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</row>
    <row r="103" spans="1:60" x14ac:dyDescent="0.3">
      <c r="A103" t="s">
        <v>274</v>
      </c>
      <c r="B103" t="s">
        <v>65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</row>
    <row r="104" spans="1:60" x14ac:dyDescent="0.3">
      <c r="A104" t="s">
        <v>275</v>
      </c>
      <c r="B104" t="s">
        <v>65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</row>
    <row r="105" spans="1:60" x14ac:dyDescent="0.3">
      <c r="A105" t="s">
        <v>276</v>
      </c>
      <c r="B105" t="s">
        <v>65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</row>
    <row r="106" spans="1:60" x14ac:dyDescent="0.3">
      <c r="A106" t="s">
        <v>109</v>
      </c>
      <c r="B106" t="s">
        <v>65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</row>
    <row r="107" spans="1:60" x14ac:dyDescent="0.3">
      <c r="A107" t="s">
        <v>277</v>
      </c>
      <c r="B107" t="s">
        <v>65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</row>
    <row r="108" spans="1:60" x14ac:dyDescent="0.3">
      <c r="A108" t="s">
        <v>278</v>
      </c>
      <c r="B108" t="s">
        <v>65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</row>
    <row r="109" spans="1:60" x14ac:dyDescent="0.3">
      <c r="A109" t="s">
        <v>279</v>
      </c>
      <c r="B109" t="s">
        <v>65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</row>
    <row r="110" spans="1:60" x14ac:dyDescent="0.3">
      <c r="A110" t="s">
        <v>280</v>
      </c>
      <c r="B110" t="s">
        <v>65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</row>
    <row r="111" spans="1:60" x14ac:dyDescent="0.3">
      <c r="A111" t="s">
        <v>281</v>
      </c>
      <c r="B111" t="s">
        <v>65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</row>
    <row r="112" spans="1:60" x14ac:dyDescent="0.3">
      <c r="A112" t="s">
        <v>282</v>
      </c>
      <c r="B112" t="s">
        <v>65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</row>
    <row r="113" spans="1:60" x14ac:dyDescent="0.3">
      <c r="A113" t="s">
        <v>283</v>
      </c>
      <c r="B113" t="s">
        <v>65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</row>
    <row r="114" spans="1:60" x14ac:dyDescent="0.3">
      <c r="A114" t="s">
        <v>285</v>
      </c>
      <c r="B114" t="s">
        <v>65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</row>
    <row r="115" spans="1:60" x14ac:dyDescent="0.3">
      <c r="A115" t="s">
        <v>286</v>
      </c>
      <c r="B115" t="s">
        <v>65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</row>
    <row r="116" spans="1:60" x14ac:dyDescent="0.3">
      <c r="A116" t="s">
        <v>287</v>
      </c>
      <c r="B116" t="s">
        <v>65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</row>
    <row r="117" spans="1:60" x14ac:dyDescent="0.3">
      <c r="A117" t="s">
        <v>288</v>
      </c>
      <c r="B117" t="s">
        <v>65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</row>
    <row r="118" spans="1:60" x14ac:dyDescent="0.3">
      <c r="A118" t="s">
        <v>289</v>
      </c>
      <c r="B118" t="s">
        <v>65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</row>
    <row r="119" spans="1:60" x14ac:dyDescent="0.3">
      <c r="A119" t="s">
        <v>290</v>
      </c>
      <c r="B119" t="s">
        <v>65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</row>
    <row r="120" spans="1:60" x14ac:dyDescent="0.3">
      <c r="A120" t="s">
        <v>291</v>
      </c>
      <c r="B120" t="s">
        <v>65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</row>
    <row r="121" spans="1:60" x14ac:dyDescent="0.3">
      <c r="A121" t="s">
        <v>292</v>
      </c>
      <c r="B121" t="s">
        <v>65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</row>
    <row r="122" spans="1:60" x14ac:dyDescent="0.3">
      <c r="A122" t="s">
        <v>293</v>
      </c>
      <c r="B122" t="s">
        <v>65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</row>
    <row r="123" spans="1:60" x14ac:dyDescent="0.3">
      <c r="A123" t="s">
        <v>294</v>
      </c>
      <c r="B123" t="s">
        <v>65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</row>
    <row r="124" spans="1:60" x14ac:dyDescent="0.3">
      <c r="A124" t="s">
        <v>295</v>
      </c>
      <c r="B124" t="s">
        <v>65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</row>
    <row r="125" spans="1:60" x14ac:dyDescent="0.3">
      <c r="A125" t="s">
        <v>296</v>
      </c>
      <c r="B125" t="s">
        <v>65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</row>
    <row r="126" spans="1:60" x14ac:dyDescent="0.3">
      <c r="A126" t="s">
        <v>297</v>
      </c>
      <c r="B126" t="s">
        <v>65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</row>
    <row r="127" spans="1:60" x14ac:dyDescent="0.3">
      <c r="A127" t="s">
        <v>298</v>
      </c>
      <c r="B127" t="s">
        <v>65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</row>
    <row r="128" spans="1:60" x14ac:dyDescent="0.3">
      <c r="A128" t="s">
        <v>299</v>
      </c>
      <c r="B128" t="s">
        <v>65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</row>
    <row r="129" spans="1:60" x14ac:dyDescent="0.3">
      <c r="A129" t="s">
        <v>300</v>
      </c>
      <c r="B129" t="s">
        <v>65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</row>
    <row r="130" spans="1:60" x14ac:dyDescent="0.3">
      <c r="A130" t="s">
        <v>301</v>
      </c>
      <c r="B130" t="s">
        <v>65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</row>
    <row r="131" spans="1:60" x14ac:dyDescent="0.3">
      <c r="A131" t="s">
        <v>302</v>
      </c>
      <c r="B131" t="s">
        <v>65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</row>
    <row r="132" spans="1:60" x14ac:dyDescent="0.3">
      <c r="A132" t="s">
        <v>303</v>
      </c>
      <c r="B132" t="s">
        <v>65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</row>
    <row r="133" spans="1:60" x14ac:dyDescent="0.3">
      <c r="A133" t="s">
        <v>304</v>
      </c>
      <c r="B133" t="s">
        <v>65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</row>
    <row r="134" spans="1:60" x14ac:dyDescent="0.3">
      <c r="A134" t="s">
        <v>305</v>
      </c>
      <c r="B134" t="s">
        <v>65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</row>
    <row r="135" spans="1:60" x14ac:dyDescent="0.3">
      <c r="B135" t="s">
        <v>306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</row>
    <row r="136" spans="1:60" x14ac:dyDescent="0.3">
      <c r="B136" t="s">
        <v>308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</row>
    <row r="137" spans="1:60" x14ac:dyDescent="0.3">
      <c r="B137" t="s">
        <v>309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</row>
    <row r="138" spans="1:60" x14ac:dyDescent="0.3">
      <c r="B138" t="s">
        <v>310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</row>
    <row r="139" spans="1:60" x14ac:dyDescent="0.3">
      <c r="A139" t="s">
        <v>311</v>
      </c>
      <c r="B139" t="s">
        <v>65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</row>
    <row r="140" spans="1:60" x14ac:dyDescent="0.3">
      <c r="A140" t="s">
        <v>312</v>
      </c>
      <c r="B140" t="s">
        <v>65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</row>
    <row r="141" spans="1:60" x14ac:dyDescent="0.3">
      <c r="A141" t="s">
        <v>313</v>
      </c>
      <c r="B141" t="s">
        <v>65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</row>
    <row r="142" spans="1:60" x14ac:dyDescent="0.3">
      <c r="A142" t="s">
        <v>314</v>
      </c>
      <c r="B142" t="s">
        <v>65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</row>
    <row r="143" spans="1:60" x14ac:dyDescent="0.3">
      <c r="A143" t="s">
        <v>315</v>
      </c>
      <c r="B143" t="s">
        <v>65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</row>
    <row r="144" spans="1:60" x14ac:dyDescent="0.3">
      <c r="A144" t="s">
        <v>316</v>
      </c>
      <c r="B144" t="s">
        <v>65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</row>
    <row r="145" spans="1:60" x14ac:dyDescent="0.3">
      <c r="A145" t="s">
        <v>317</v>
      </c>
      <c r="B145" t="s">
        <v>65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</row>
    <row r="146" spans="1:60" x14ac:dyDescent="0.3">
      <c r="A146" t="s">
        <v>318</v>
      </c>
      <c r="B146" t="s">
        <v>65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</row>
    <row r="147" spans="1:60" x14ac:dyDescent="0.3">
      <c r="A147" t="s">
        <v>319</v>
      </c>
      <c r="B147" t="s">
        <v>65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</row>
    <row r="148" spans="1:60" x14ac:dyDescent="0.3">
      <c r="A148" t="s">
        <v>320</v>
      </c>
      <c r="B148" t="s">
        <v>65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</row>
    <row r="149" spans="1:60" x14ac:dyDescent="0.3">
      <c r="A149" t="s">
        <v>321</v>
      </c>
      <c r="B149" t="s">
        <v>65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</row>
    <row r="150" spans="1:60" x14ac:dyDescent="0.3">
      <c r="A150" t="s">
        <v>322</v>
      </c>
      <c r="B150" t="s">
        <v>65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</row>
    <row r="151" spans="1:60" x14ac:dyDescent="0.3">
      <c r="A151" t="s">
        <v>323</v>
      </c>
      <c r="B151" t="s">
        <v>65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</row>
    <row r="152" spans="1:60" x14ac:dyDescent="0.3">
      <c r="A152" t="s">
        <v>324</v>
      </c>
      <c r="B152" t="s">
        <v>65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</row>
    <row r="153" spans="1:60" x14ac:dyDescent="0.3">
      <c r="A153" t="s">
        <v>325</v>
      </c>
      <c r="B153" t="s">
        <v>65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</row>
    <row r="154" spans="1:60" x14ac:dyDescent="0.3">
      <c r="A154" t="s">
        <v>326</v>
      </c>
      <c r="B154" t="s">
        <v>65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</row>
    <row r="155" spans="1:60" x14ac:dyDescent="0.3">
      <c r="A155" t="s">
        <v>327</v>
      </c>
      <c r="B155" t="s">
        <v>65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</row>
    <row r="156" spans="1:60" x14ac:dyDescent="0.3">
      <c r="A156" t="s">
        <v>43</v>
      </c>
      <c r="B156" t="s">
        <v>365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</row>
    <row r="157" spans="1:60" x14ac:dyDescent="0.3">
      <c r="B157" t="s">
        <v>366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</row>
    <row r="158" spans="1:60" x14ac:dyDescent="0.3">
      <c r="B158" t="s">
        <v>367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</row>
    <row r="159" spans="1:60" x14ac:dyDescent="0.3">
      <c r="A159" t="s">
        <v>68</v>
      </c>
      <c r="B159" t="s">
        <v>68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</row>
    <row r="160" spans="1:60" x14ac:dyDescent="0.3">
      <c r="A160" t="s">
        <v>36</v>
      </c>
      <c r="B160" t="s">
        <v>365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</row>
    <row r="161" spans="1:60" x14ac:dyDescent="0.3">
      <c r="A161" t="s">
        <v>42</v>
      </c>
      <c r="B161" t="s">
        <v>365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</row>
    <row r="162" spans="1:60" x14ac:dyDescent="0.3">
      <c r="A162" t="s">
        <v>61</v>
      </c>
      <c r="B162" t="s">
        <v>365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</row>
    <row r="163" spans="1:60" x14ac:dyDescent="0.3">
      <c r="A163" t="s">
        <v>44</v>
      </c>
      <c r="B163" t="s">
        <v>365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</row>
    <row r="164" spans="1:60" x14ac:dyDescent="0.3">
      <c r="A164" t="s">
        <v>31</v>
      </c>
      <c r="B164" t="s">
        <v>365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</row>
    <row r="165" spans="1:60" x14ac:dyDescent="0.3">
      <c r="A165" t="s">
        <v>47</v>
      </c>
      <c r="B165" t="s">
        <v>365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</row>
    <row r="166" spans="1:60" x14ac:dyDescent="0.3">
      <c r="A166" t="s">
        <v>53</v>
      </c>
      <c r="B166" t="s">
        <v>365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</row>
    <row r="167" spans="1:60" x14ac:dyDescent="0.3">
      <c r="A167" t="s">
        <v>275</v>
      </c>
      <c r="B167" t="s">
        <v>368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</row>
    <row r="168" spans="1:60" x14ac:dyDescent="0.3">
      <c r="A168" t="s">
        <v>46</v>
      </c>
      <c r="B168" t="s">
        <v>365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</row>
    <row r="169" spans="1:60" x14ac:dyDescent="0.3">
      <c r="A169" t="s">
        <v>33</v>
      </c>
      <c r="B169" t="s">
        <v>365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</row>
    <row r="170" spans="1:60" x14ac:dyDescent="0.3">
      <c r="A170" t="s">
        <v>56</v>
      </c>
      <c r="B170" t="s">
        <v>365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</row>
    <row r="171" spans="1:60" x14ac:dyDescent="0.3">
      <c r="A171" t="s">
        <v>41</v>
      </c>
      <c r="B171" t="s">
        <v>365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</row>
    <row r="172" spans="1:60" x14ac:dyDescent="0.3">
      <c r="A172" t="s">
        <v>114</v>
      </c>
      <c r="B172" t="s">
        <v>114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</row>
    <row r="173" spans="1:60" x14ac:dyDescent="0.3">
      <c r="A173" t="s">
        <v>32</v>
      </c>
      <c r="B173" t="s">
        <v>365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</row>
    <row r="174" spans="1:60" x14ac:dyDescent="0.3">
      <c r="A174" t="s">
        <v>54</v>
      </c>
      <c r="B174" t="s">
        <v>365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</row>
    <row r="175" spans="1:60" x14ac:dyDescent="0.3">
      <c r="A175" t="s">
        <v>40</v>
      </c>
      <c r="B175" t="s">
        <v>365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</row>
    <row r="176" spans="1:60" x14ac:dyDescent="0.3">
      <c r="A176" t="s">
        <v>34</v>
      </c>
      <c r="B176" t="s">
        <v>365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</row>
    <row r="177" spans="1:60" x14ac:dyDescent="0.3">
      <c r="A177" t="s">
        <v>37</v>
      </c>
      <c r="B177" t="s">
        <v>365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</row>
    <row r="178" spans="1:60" x14ac:dyDescent="0.3">
      <c r="A178" t="s">
        <v>52</v>
      </c>
      <c r="B178" t="s">
        <v>365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</row>
    <row r="179" spans="1:60" x14ac:dyDescent="0.3">
      <c r="A179" t="s">
        <v>60</v>
      </c>
      <c r="B179" t="s">
        <v>365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</row>
    <row r="180" spans="1:60" x14ac:dyDescent="0.3">
      <c r="A180" t="s">
        <v>39</v>
      </c>
      <c r="B180" t="s">
        <v>365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</row>
    <row r="181" spans="1:60" x14ac:dyDescent="0.3">
      <c r="A181" t="s">
        <v>38</v>
      </c>
      <c r="B181" t="s">
        <v>365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</row>
    <row r="182" spans="1:60" x14ac:dyDescent="0.3">
      <c r="A182" t="s">
        <v>57</v>
      </c>
      <c r="B182" t="s">
        <v>365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</row>
    <row r="183" spans="1:60" x14ac:dyDescent="0.3">
      <c r="A183" t="s">
        <v>55</v>
      </c>
      <c r="B183" t="s">
        <v>365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</row>
    <row r="184" spans="1:60" x14ac:dyDescent="0.3">
      <c r="A184" t="s">
        <v>35</v>
      </c>
      <c r="B184" t="s">
        <v>365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</row>
    <row r="185" spans="1:60" x14ac:dyDescent="0.3">
      <c r="A185" t="s">
        <v>273</v>
      </c>
      <c r="B185" t="s">
        <v>365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</row>
    <row r="186" spans="1:60" x14ac:dyDescent="0.3">
      <c r="A186" t="s">
        <v>49</v>
      </c>
      <c r="B186" t="s">
        <v>365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</row>
    <row r="187" spans="1:60" x14ac:dyDescent="0.3">
      <c r="A187" t="s">
        <v>48</v>
      </c>
      <c r="B187" t="s">
        <v>365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</row>
    <row r="188" spans="1:60" x14ac:dyDescent="0.3">
      <c r="B188" t="s">
        <v>369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</row>
    <row r="189" spans="1:60" x14ac:dyDescent="0.3">
      <c r="A189" t="s">
        <v>59</v>
      </c>
      <c r="B189" t="s">
        <v>365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</row>
    <row r="190" spans="1:60" x14ac:dyDescent="0.3">
      <c r="A190" t="s">
        <v>45</v>
      </c>
      <c r="B190" t="s">
        <v>365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</row>
    <row r="191" spans="1:60" x14ac:dyDescent="0.3">
      <c r="A191" t="s">
        <v>50</v>
      </c>
      <c r="B191" t="s">
        <v>365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</row>
    <row r="192" spans="1:60" x14ac:dyDescent="0.3">
      <c r="B192" t="s">
        <v>370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</row>
    <row r="193" spans="1:60" x14ac:dyDescent="0.3">
      <c r="B193" t="s">
        <v>371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</row>
    <row r="194" spans="1:60" x14ac:dyDescent="0.3">
      <c r="B194" t="s">
        <v>372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</row>
    <row r="195" spans="1:60" x14ac:dyDescent="0.3">
      <c r="A195" t="s">
        <v>51</v>
      </c>
      <c r="B195" t="s">
        <v>365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</row>
    <row r="196" spans="1:60" x14ac:dyDescent="0.3">
      <c r="A196" t="s">
        <v>284</v>
      </c>
      <c r="B196" t="s">
        <v>365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</row>
    <row r="197" spans="1:60" x14ac:dyDescent="0.3">
      <c r="B197" t="s">
        <v>373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</row>
    <row r="198" spans="1:60" x14ac:dyDescent="0.3">
      <c r="B198" t="s">
        <v>374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</row>
    <row r="199" spans="1:60" x14ac:dyDescent="0.3">
      <c r="A199" t="s">
        <v>161</v>
      </c>
      <c r="B199" t="s">
        <v>114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</row>
    <row r="200" spans="1:60" x14ac:dyDescent="0.3">
      <c r="A200" t="s">
        <v>375</v>
      </c>
      <c r="B200" t="s">
        <v>68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</row>
    <row r="201" spans="1:60" x14ac:dyDescent="0.3">
      <c r="B201" t="s">
        <v>376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</row>
    <row r="202" spans="1:60" x14ac:dyDescent="0.3">
      <c r="A202" t="s">
        <v>307</v>
      </c>
      <c r="B202" t="s">
        <v>377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</row>
    <row r="203" spans="1:60" x14ac:dyDescent="0.3">
      <c r="A203" t="s">
        <v>378</v>
      </c>
      <c r="B203" t="s">
        <v>72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</row>
    <row r="204" spans="1:60" x14ac:dyDescent="0.3">
      <c r="A204" t="s">
        <v>58</v>
      </c>
      <c r="B204" t="s">
        <v>365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</row>
    <row r="205" spans="1:60" x14ac:dyDescent="0.3">
      <c r="B205" t="s">
        <v>379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</row>
    <row r="206" spans="1:60" x14ac:dyDescent="0.3">
      <c r="B206" t="s">
        <v>380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</row>
    <row r="207" spans="1:60" x14ac:dyDescent="0.3">
      <c r="A207" t="s">
        <v>157</v>
      </c>
      <c r="B207" t="s">
        <v>68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</row>
    <row r="208" spans="1:60" x14ac:dyDescent="0.3">
      <c r="B208" t="s">
        <v>381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</row>
    <row r="209" spans="1:60" x14ac:dyDescent="0.3">
      <c r="B209" t="s">
        <v>383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</row>
    <row r="210" spans="1:60" x14ac:dyDescent="0.3">
      <c r="A210" t="s">
        <v>162</v>
      </c>
      <c r="B210" t="s">
        <v>377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</row>
    <row r="211" spans="1:60" x14ac:dyDescent="0.3">
      <c r="A211" t="s">
        <v>328</v>
      </c>
      <c r="B211" t="s">
        <v>65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</row>
    <row r="212" spans="1:60" x14ac:dyDescent="0.3">
      <c r="A212" t="s">
        <v>329</v>
      </c>
      <c r="B212" t="s">
        <v>65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3">
      <c r="A213" t="s">
        <v>330</v>
      </c>
      <c r="B213" t="s">
        <v>65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3">
      <c r="A214" t="s">
        <v>331</v>
      </c>
      <c r="B214" t="s">
        <v>65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3">
      <c r="A215" t="s">
        <v>332</v>
      </c>
      <c r="B215" t="s">
        <v>65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3">
      <c r="A216" t="s">
        <v>333</v>
      </c>
      <c r="B216" t="s">
        <v>65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</row>
    <row r="217" spans="1:60" x14ac:dyDescent="0.3">
      <c r="A217" t="s">
        <v>334</v>
      </c>
      <c r="B217" t="s">
        <v>65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3">
      <c r="A218" t="s">
        <v>335</v>
      </c>
      <c r="B218" t="s">
        <v>65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3">
      <c r="A219" t="s">
        <v>336</v>
      </c>
      <c r="B219" t="s">
        <v>65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3">
      <c r="A220" t="s">
        <v>337</v>
      </c>
      <c r="B220" t="s">
        <v>65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3">
      <c r="A221" t="s">
        <v>338</v>
      </c>
      <c r="B221" t="s">
        <v>65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3">
      <c r="A222" t="s">
        <v>339</v>
      </c>
      <c r="B222" t="s">
        <v>65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3">
      <c r="A223" t="s">
        <v>340</v>
      </c>
      <c r="B223" t="s">
        <v>65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3">
      <c r="A224" t="s">
        <v>341</v>
      </c>
      <c r="B224" t="s">
        <v>65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3">
      <c r="A225" t="s">
        <v>342</v>
      </c>
      <c r="B225" t="s">
        <v>65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3">
      <c r="A226" t="s">
        <v>343</v>
      </c>
      <c r="B226" t="s">
        <v>65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3">
      <c r="A227" t="s">
        <v>344</v>
      </c>
      <c r="B227" t="s">
        <v>65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3">
      <c r="A228" t="s">
        <v>345</v>
      </c>
      <c r="B228" t="s">
        <v>65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3">
      <c r="A229" t="s">
        <v>346</v>
      </c>
      <c r="B229" t="s">
        <v>65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3">
      <c r="A230" t="s">
        <v>347</v>
      </c>
      <c r="B230" t="s">
        <v>65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3">
      <c r="A231" t="s">
        <v>348</v>
      </c>
      <c r="B231" t="s">
        <v>65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3">
      <c r="A232" t="s">
        <v>349</v>
      </c>
      <c r="B232" t="s">
        <v>65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3">
      <c r="A233" t="s">
        <v>350</v>
      </c>
      <c r="B233" t="s">
        <v>65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3">
      <c r="A234" t="s">
        <v>351</v>
      </c>
      <c r="B234" t="s">
        <v>65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3">
      <c r="A235" t="s">
        <v>352</v>
      </c>
      <c r="B235" t="s">
        <v>65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3">
      <c r="A236" t="s">
        <v>353</v>
      </c>
      <c r="B236" t="s">
        <v>65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3">
      <c r="A237" t="s">
        <v>354</v>
      </c>
      <c r="B237" t="s">
        <v>65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3">
      <c r="A238" t="s">
        <v>384</v>
      </c>
      <c r="B238" t="s">
        <v>65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3">
      <c r="A239" t="s">
        <v>355</v>
      </c>
      <c r="B239" t="s">
        <v>65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3">
      <c r="A240" t="s">
        <v>385</v>
      </c>
      <c r="B240" t="s">
        <v>65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</row>
    <row r="241" spans="1:60" x14ac:dyDescent="0.3">
      <c r="A241" t="s">
        <v>356</v>
      </c>
      <c r="B241" t="s">
        <v>65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</row>
    <row r="242" spans="1:60" x14ac:dyDescent="0.3">
      <c r="A242" t="s">
        <v>357</v>
      </c>
      <c r="B242" t="s">
        <v>65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3">
      <c r="A243" t="s">
        <v>358</v>
      </c>
      <c r="B243" t="s">
        <v>65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3">
      <c r="A244" t="s">
        <v>359</v>
      </c>
      <c r="B244" t="s">
        <v>65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3">
      <c r="A245" t="s">
        <v>360</v>
      </c>
      <c r="B245" t="s">
        <v>65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3">
      <c r="A246" t="s">
        <v>361</v>
      </c>
      <c r="B246" t="s">
        <v>65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3">
      <c r="A247" t="s">
        <v>362</v>
      </c>
      <c r="B247" t="s">
        <v>65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3">
      <c r="A248" t="s">
        <v>363</v>
      </c>
      <c r="B248" t="s">
        <v>65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3">
      <c r="A249" t="s">
        <v>261</v>
      </c>
      <c r="B249" t="s">
        <v>65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3">
      <c r="A250" t="s">
        <v>262</v>
      </c>
      <c r="B250" t="s">
        <v>65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3">
      <c r="A251" t="s">
        <v>263</v>
      </c>
      <c r="B251" t="s">
        <v>65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3">
      <c r="A252" t="s">
        <v>264</v>
      </c>
      <c r="B252" t="s">
        <v>65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3">
      <c r="A253" t="s">
        <v>265</v>
      </c>
      <c r="B253" t="s">
        <v>65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3">
      <c r="A254" t="s">
        <v>266</v>
      </c>
      <c r="B254" t="s">
        <v>65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3">
      <c r="A255" t="s">
        <v>267</v>
      </c>
      <c r="B255" t="s">
        <v>65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3">
      <c r="A256" t="s">
        <v>268</v>
      </c>
      <c r="B256" t="s">
        <v>65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3">
      <c r="A257" t="s">
        <v>269</v>
      </c>
      <c r="B257" t="s">
        <v>65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3">
      <c r="A258" t="s">
        <v>259</v>
      </c>
      <c r="B258" t="s">
        <v>65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3">
      <c r="A259" t="s">
        <v>256</v>
      </c>
      <c r="B259" t="s">
        <v>65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3">
      <c r="A260" t="s">
        <v>234</v>
      </c>
      <c r="B260" t="s">
        <v>65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3">
      <c r="A261" t="s">
        <v>235</v>
      </c>
      <c r="B261" t="s">
        <v>65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3">
      <c r="A262" t="s">
        <v>236</v>
      </c>
      <c r="B262" t="s">
        <v>65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3">
      <c r="A263" t="s">
        <v>237</v>
      </c>
      <c r="B263" t="s">
        <v>65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3">
      <c r="A264" t="s">
        <v>238</v>
      </c>
      <c r="B264" t="s">
        <v>65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3">
      <c r="A265" t="s">
        <v>239</v>
      </c>
      <c r="B265" t="s">
        <v>65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3">
      <c r="A266" t="s">
        <v>240</v>
      </c>
      <c r="B266" t="s">
        <v>65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3">
      <c r="A267" t="s">
        <v>241</v>
      </c>
      <c r="B267" t="s">
        <v>65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3">
      <c r="A268" t="s">
        <v>242</v>
      </c>
      <c r="B268" t="s">
        <v>65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</row>
    <row r="269" spans="1:60" x14ac:dyDescent="0.3">
      <c r="A269" t="s">
        <v>243</v>
      </c>
      <c r="B269" t="s">
        <v>65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</row>
    <row r="270" spans="1:60" x14ac:dyDescent="0.3">
      <c r="A270" t="s">
        <v>244</v>
      </c>
      <c r="B270" t="s">
        <v>65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3">
      <c r="A271" t="s">
        <v>245</v>
      </c>
      <c r="B271" t="s">
        <v>65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3">
      <c r="A272" t="s">
        <v>246</v>
      </c>
      <c r="B272" t="s">
        <v>65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3">
      <c r="A273" t="s">
        <v>247</v>
      </c>
      <c r="B273" t="s">
        <v>65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3">
      <c r="A274" t="s">
        <v>248</v>
      </c>
      <c r="B274" t="s">
        <v>65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3">
      <c r="A275" t="s">
        <v>249</v>
      </c>
      <c r="B275" t="s">
        <v>65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3">
      <c r="A276" t="s">
        <v>250</v>
      </c>
      <c r="B276" t="s">
        <v>65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3">
      <c r="A277" t="s">
        <v>251</v>
      </c>
      <c r="B277" t="s">
        <v>65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3">
      <c r="A278" t="s">
        <v>252</v>
      </c>
      <c r="B278" t="s">
        <v>65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3">
      <c r="A279" t="s">
        <v>230</v>
      </c>
      <c r="B279" t="s">
        <v>65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3">
      <c r="A280" t="s">
        <v>231</v>
      </c>
      <c r="B280" t="s">
        <v>65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3">
      <c r="A281" t="s">
        <v>232</v>
      </c>
      <c r="B281" t="s">
        <v>65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3">
      <c r="A282" t="s">
        <v>228</v>
      </c>
      <c r="B282" t="s">
        <v>65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3">
      <c r="A283" t="s">
        <v>208</v>
      </c>
      <c r="B283" t="s">
        <v>65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3">
      <c r="A284" t="s">
        <v>209</v>
      </c>
      <c r="B284" t="s">
        <v>65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3">
      <c r="A285" t="s">
        <v>210</v>
      </c>
      <c r="B285" t="s">
        <v>65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3">
      <c r="A286" t="s">
        <v>211</v>
      </c>
      <c r="B286" t="s">
        <v>65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3">
      <c r="A287" t="s">
        <v>212</v>
      </c>
      <c r="B287" t="s">
        <v>65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3">
      <c r="A288" t="s">
        <v>213</v>
      </c>
      <c r="B288" t="s">
        <v>65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3">
      <c r="A289" t="s">
        <v>214</v>
      </c>
      <c r="B289" t="s">
        <v>65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3">
      <c r="A290" t="s">
        <v>215</v>
      </c>
      <c r="B290" t="s">
        <v>65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3">
      <c r="A291" t="s">
        <v>216</v>
      </c>
      <c r="B291" t="s">
        <v>65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3">
      <c r="A292" t="s">
        <v>217</v>
      </c>
      <c r="B292" t="s">
        <v>65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3">
      <c r="A293" t="s">
        <v>218</v>
      </c>
      <c r="B293" t="s">
        <v>65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3">
      <c r="A294" t="s">
        <v>219</v>
      </c>
      <c r="B294" t="s">
        <v>65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3">
      <c r="A295" t="s">
        <v>462</v>
      </c>
      <c r="B295" t="s">
        <v>65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3">
      <c r="A296" t="s">
        <v>220</v>
      </c>
      <c r="B296" t="s">
        <v>65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</row>
    <row r="297" spans="1:60" x14ac:dyDescent="0.3">
      <c r="A297" t="s">
        <v>221</v>
      </c>
      <c r="B297" t="s">
        <v>65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3">
      <c r="A298" t="s">
        <v>222</v>
      </c>
      <c r="B298" t="s">
        <v>65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3">
      <c r="A299" t="s">
        <v>223</v>
      </c>
      <c r="B299" t="s">
        <v>65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3">
      <c r="A300" t="s">
        <v>224</v>
      </c>
      <c r="B300" t="s">
        <v>65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3">
      <c r="A301" t="s">
        <v>225</v>
      </c>
      <c r="B301" t="s">
        <v>65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3">
      <c r="A302" t="s">
        <v>205</v>
      </c>
      <c r="B302" t="s">
        <v>65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3">
      <c r="A303" t="s">
        <v>206</v>
      </c>
      <c r="B303" t="s">
        <v>65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3">
      <c r="A304" t="s">
        <v>191</v>
      </c>
      <c r="B304" t="s">
        <v>65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3">
      <c r="A305" t="s">
        <v>192</v>
      </c>
      <c r="B305" t="s">
        <v>65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3">
      <c r="A306" t="s">
        <v>193</v>
      </c>
      <c r="B306" t="s">
        <v>65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3">
      <c r="A307" t="s">
        <v>194</v>
      </c>
      <c r="B307" t="s">
        <v>65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3">
      <c r="A308" t="s">
        <v>195</v>
      </c>
      <c r="B308" t="s">
        <v>65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3">
      <c r="A309" t="s">
        <v>196</v>
      </c>
      <c r="B309" t="s">
        <v>65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3">
      <c r="A310" t="s">
        <v>197</v>
      </c>
      <c r="B310" t="s">
        <v>65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3">
      <c r="A311" t="s">
        <v>198</v>
      </c>
      <c r="B311" t="s">
        <v>65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3">
      <c r="A312" t="s">
        <v>199</v>
      </c>
      <c r="B312" t="s">
        <v>65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3">
      <c r="A313" t="s">
        <v>200</v>
      </c>
      <c r="B313" t="s">
        <v>65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3">
      <c r="A314" t="s">
        <v>201</v>
      </c>
      <c r="B314" t="s">
        <v>65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3">
      <c r="A315" t="s">
        <v>202</v>
      </c>
      <c r="B315" t="s">
        <v>65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3">
      <c r="A316" t="s">
        <v>173</v>
      </c>
      <c r="B316" t="s">
        <v>65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3">
      <c r="A317" t="s">
        <v>174</v>
      </c>
      <c r="B317" t="s">
        <v>65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3">
      <c r="A318" t="s">
        <v>175</v>
      </c>
      <c r="B318" t="s">
        <v>65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3">
      <c r="A319" t="s">
        <v>176</v>
      </c>
      <c r="B319" t="s">
        <v>65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3">
      <c r="A320" t="s">
        <v>177</v>
      </c>
      <c r="B320" t="s">
        <v>65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3">
      <c r="A321" t="s">
        <v>178</v>
      </c>
      <c r="B321" t="s">
        <v>65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3">
      <c r="A322" t="s">
        <v>179</v>
      </c>
      <c r="B322" t="s">
        <v>65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3">
      <c r="A323" t="s">
        <v>180</v>
      </c>
      <c r="B323" t="s">
        <v>65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3">
      <c r="A324" t="s">
        <v>181</v>
      </c>
      <c r="B324" t="s">
        <v>65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3">
      <c r="A325" t="s">
        <v>182</v>
      </c>
      <c r="B325" t="s">
        <v>65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3">
      <c r="A326" t="s">
        <v>169</v>
      </c>
      <c r="B326" t="s">
        <v>65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3">
      <c r="A327" t="s">
        <v>170</v>
      </c>
      <c r="B327" t="s">
        <v>65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3">
      <c r="A328" t="s">
        <v>171</v>
      </c>
      <c r="B328" t="s">
        <v>65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3">
      <c r="A329" t="s">
        <v>166</v>
      </c>
      <c r="B329" t="s">
        <v>65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3">
      <c r="A330" t="s">
        <v>158</v>
      </c>
      <c r="B330" t="s">
        <v>65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3">
      <c r="A331" t="s">
        <v>153</v>
      </c>
      <c r="B331" t="s">
        <v>65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3">
      <c r="A332" t="s">
        <v>154</v>
      </c>
      <c r="B332" t="s">
        <v>65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3">
      <c r="A333" t="s">
        <v>155</v>
      </c>
      <c r="B333" t="s">
        <v>65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3">
      <c r="A334" t="s">
        <v>386</v>
      </c>
      <c r="B334" t="s">
        <v>65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3">
      <c r="A335" t="s">
        <v>142</v>
      </c>
      <c r="B335" t="s">
        <v>65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3">
      <c r="A336" t="s">
        <v>143</v>
      </c>
      <c r="B336" t="s">
        <v>65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3">
      <c r="A337" t="s">
        <v>144</v>
      </c>
      <c r="B337" t="s">
        <v>65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3">
      <c r="A338" t="s">
        <v>145</v>
      </c>
      <c r="B338" t="s">
        <v>65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3">
      <c r="A339" t="s">
        <v>146</v>
      </c>
      <c r="B339" t="s">
        <v>65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3">
      <c r="A340" t="s">
        <v>147</v>
      </c>
      <c r="B340" t="s">
        <v>65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3">
      <c r="A341" t="s">
        <v>148</v>
      </c>
      <c r="B341" t="s">
        <v>65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3">
      <c r="A342" t="s">
        <v>149</v>
      </c>
      <c r="B342" t="s">
        <v>65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3">
      <c r="A343" t="s">
        <v>129</v>
      </c>
      <c r="B343" t="s">
        <v>65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3">
      <c r="A344" t="s">
        <v>95</v>
      </c>
      <c r="B344" t="s">
        <v>65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3">
      <c r="A345" t="s">
        <v>96</v>
      </c>
      <c r="B345" t="s">
        <v>65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3">
      <c r="A346" t="s">
        <v>91</v>
      </c>
      <c r="B346" t="s">
        <v>65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3">
      <c r="A347" t="s">
        <v>89</v>
      </c>
      <c r="B347" t="s">
        <v>65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3">
      <c r="A348" t="s">
        <v>73</v>
      </c>
      <c r="B348" t="s">
        <v>65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3">
      <c r="A349" t="s">
        <v>64</v>
      </c>
      <c r="B349" t="s">
        <v>65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3">
      <c r="A350" t="s">
        <v>66</v>
      </c>
      <c r="B350" t="s">
        <v>65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3">
      <c r="A351" t="s">
        <v>387</v>
      </c>
      <c r="B351" t="s">
        <v>65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</row>
    <row r="352" spans="1:60" x14ac:dyDescent="0.3">
      <c r="A352" t="s">
        <v>388</v>
      </c>
      <c r="B352" t="s">
        <v>65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3">
      <c r="A353" t="s">
        <v>389</v>
      </c>
      <c r="B353" t="s">
        <v>65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3">
      <c r="A354" t="s">
        <v>390</v>
      </c>
      <c r="B354" t="s">
        <v>65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3">
      <c r="A355" t="s">
        <v>391</v>
      </c>
      <c r="B355" t="s">
        <v>65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3">
      <c r="A356" t="s">
        <v>392</v>
      </c>
      <c r="B356" t="s">
        <v>65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3">
      <c r="A357" t="s">
        <v>393</v>
      </c>
      <c r="B357" t="s">
        <v>65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3">
      <c r="A358" t="s">
        <v>394</v>
      </c>
      <c r="B358" t="s">
        <v>65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3">
      <c r="A359" t="s">
        <v>395</v>
      </c>
      <c r="B359" t="s">
        <v>65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3">
      <c r="A360" t="s">
        <v>396</v>
      </c>
      <c r="B360" t="s">
        <v>65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3">
      <c r="A361" t="s">
        <v>397</v>
      </c>
      <c r="B361" t="s">
        <v>65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3">
      <c r="A362" t="s">
        <v>398</v>
      </c>
      <c r="B362" t="s">
        <v>65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3">
      <c r="A363" t="s">
        <v>399</v>
      </c>
      <c r="B363" t="s">
        <v>65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3">
      <c r="A364" t="s">
        <v>400</v>
      </c>
      <c r="B364" t="s">
        <v>65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3">
      <c r="A365" t="s">
        <v>401</v>
      </c>
      <c r="B365" t="s">
        <v>65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3">
      <c r="A366" t="s">
        <v>402</v>
      </c>
      <c r="B366" t="s">
        <v>65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3">
      <c r="A367" t="s">
        <v>403</v>
      </c>
      <c r="B367" t="s">
        <v>65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3">
      <c r="A368" t="s">
        <v>404</v>
      </c>
      <c r="B368" t="s">
        <v>65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3">
      <c r="A369" t="s">
        <v>405</v>
      </c>
      <c r="B369" t="s">
        <v>65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3">
      <c r="A370" t="s">
        <v>406</v>
      </c>
      <c r="B370" t="s">
        <v>65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3">
      <c r="A371" t="s">
        <v>407</v>
      </c>
      <c r="B371" t="s">
        <v>65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3">
      <c r="A372" t="s">
        <v>408</v>
      </c>
      <c r="B372" t="s">
        <v>65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3">
      <c r="A373" t="s">
        <v>409</v>
      </c>
      <c r="B373" t="s">
        <v>65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3">
      <c r="A374" t="s">
        <v>410</v>
      </c>
      <c r="B374" t="s">
        <v>65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3">
      <c r="A375" t="s">
        <v>411</v>
      </c>
      <c r="B375" t="s">
        <v>65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3">
      <c r="A376" t="s">
        <v>412</v>
      </c>
      <c r="B376" t="s">
        <v>65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3">
      <c r="A377" t="s">
        <v>413</v>
      </c>
      <c r="B377" t="s">
        <v>65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3">
      <c r="A378" t="s">
        <v>414</v>
      </c>
      <c r="B378" t="s">
        <v>65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3">
      <c r="A379" t="s">
        <v>415</v>
      </c>
      <c r="B379" t="s">
        <v>65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</row>
    <row r="380" spans="1:60" x14ac:dyDescent="0.3">
      <c r="A380" t="s">
        <v>416</v>
      </c>
      <c r="B380" t="s">
        <v>65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3">
      <c r="A381" t="s">
        <v>417</v>
      </c>
      <c r="B381" t="s">
        <v>65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3">
      <c r="A382" t="s">
        <v>418</v>
      </c>
      <c r="B382" t="s">
        <v>65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3">
      <c r="A383" t="s">
        <v>419</v>
      </c>
      <c r="B383" t="s">
        <v>65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3">
      <c r="A384" t="s">
        <v>420</v>
      </c>
      <c r="B384" t="s">
        <v>65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3">
      <c r="A385" t="s">
        <v>421</v>
      </c>
      <c r="B385" t="s">
        <v>65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3">
      <c r="A386" t="s">
        <v>422</v>
      </c>
      <c r="B386" t="s">
        <v>65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3">
      <c r="A387" t="s">
        <v>423</v>
      </c>
      <c r="B387" t="s">
        <v>65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3">
      <c r="A388" t="s">
        <v>424</v>
      </c>
      <c r="B388" t="s">
        <v>65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3">
      <c r="A389" t="s">
        <v>425</v>
      </c>
      <c r="B389" t="s">
        <v>65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3">
      <c r="A390" t="s">
        <v>426</v>
      </c>
      <c r="B390" t="s">
        <v>65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3">
      <c r="A391" t="s">
        <v>427</v>
      </c>
      <c r="B391" t="s">
        <v>65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3">
      <c r="A392" t="s">
        <v>428</v>
      </c>
      <c r="B392" t="s">
        <v>65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3">
      <c r="A393" t="s">
        <v>429</v>
      </c>
      <c r="B393" t="s">
        <v>65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3">
      <c r="A394" t="s">
        <v>430</v>
      </c>
      <c r="B394" t="s">
        <v>65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3">
      <c r="A395" t="s">
        <v>431</v>
      </c>
      <c r="B395" t="s">
        <v>65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3">
      <c r="A396" t="s">
        <v>432</v>
      </c>
      <c r="B396" t="s">
        <v>65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3">
      <c r="A397" t="s">
        <v>433</v>
      </c>
      <c r="B397" t="s">
        <v>65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3">
      <c r="A398" t="s">
        <v>434</v>
      </c>
      <c r="B398" t="s">
        <v>65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3">
      <c r="A399" t="s">
        <v>435</v>
      </c>
      <c r="B399" t="s">
        <v>65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3">
      <c r="A400" t="s">
        <v>436</v>
      </c>
      <c r="B400" t="s">
        <v>65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1" x14ac:dyDescent="0.3">
      <c r="A401" t="s">
        <v>437</v>
      </c>
      <c r="B401" t="s">
        <v>65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1" x14ac:dyDescent="0.3">
      <c r="B402" t="s">
        <v>438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</row>
    <row r="403" spans="1:61" x14ac:dyDescent="0.3">
      <c r="B403" t="s">
        <v>439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</row>
    <row r="404" spans="1:61" x14ac:dyDescent="0.3">
      <c r="A404" t="s">
        <v>440</v>
      </c>
      <c r="B404" t="s">
        <v>75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</row>
    <row r="405" spans="1:61" x14ac:dyDescent="0.3">
      <c r="A405" t="s">
        <v>377</v>
      </c>
      <c r="B405" t="s">
        <v>377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</row>
    <row r="406" spans="1:61" x14ac:dyDescent="0.3">
      <c r="B406" t="s">
        <v>441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</row>
    <row r="407" spans="1:61" x14ac:dyDescent="0.3">
      <c r="A407" t="s">
        <v>442</v>
      </c>
      <c r="B407" t="s">
        <v>68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</row>
    <row r="408" spans="1:61" x14ac:dyDescent="0.3">
      <c r="A408" t="s">
        <v>445</v>
      </c>
      <c r="B408" t="s">
        <v>72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</row>
    <row r="409" spans="1:61" x14ac:dyDescent="0.3">
      <c r="A409" t="s">
        <v>446</v>
      </c>
      <c r="B409" t="s">
        <v>72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</row>
    <row r="410" spans="1:61" x14ac:dyDescent="0.3">
      <c r="B410" t="s">
        <v>447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</row>
    <row r="411" spans="1:61" x14ac:dyDescent="0.3">
      <c r="B411" t="s">
        <v>448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</row>
    <row r="412" spans="1:61" x14ac:dyDescent="0.3">
      <c r="B412" t="s">
        <v>449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</row>
    <row r="413" spans="1:61" x14ac:dyDescent="0.3">
      <c r="B413" t="s">
        <v>450</v>
      </c>
      <c r="C413">
        <v>12.521100000000001</v>
      </c>
      <c r="D413">
        <v>-69.968299999999999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3</v>
      </c>
    </row>
    <row r="414" spans="1:61" x14ac:dyDescent="0.3">
      <c r="A414" t="s">
        <v>276</v>
      </c>
      <c r="B414" t="s">
        <v>72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2</v>
      </c>
      <c r="BE414">
        <v>2</v>
      </c>
      <c r="BF414">
        <v>2</v>
      </c>
      <c r="BG414">
        <v>2</v>
      </c>
      <c r="BH414">
        <v>8</v>
      </c>
    </row>
    <row r="415" spans="1:61" x14ac:dyDescent="0.3">
      <c r="B415" t="s">
        <v>451</v>
      </c>
      <c r="C415">
        <v>-2.3599999999999999E-2</v>
      </c>
      <c r="D415">
        <v>37.906199999999998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3</v>
      </c>
      <c r="BG415">
        <v>3</v>
      </c>
      <c r="BH415">
        <v>3</v>
      </c>
    </row>
    <row r="416" spans="1:61" x14ac:dyDescent="0.3">
      <c r="B416" t="s">
        <v>452</v>
      </c>
      <c r="C416">
        <v>17.0608</v>
      </c>
      <c r="D416">
        <v>-61.796399999999998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1</v>
      </c>
      <c r="BE416">
        <v>1</v>
      </c>
      <c r="BF416">
        <v>1</v>
      </c>
      <c r="BG416">
        <v>1</v>
      </c>
      <c r="BH416">
        <v>1</v>
      </c>
    </row>
    <row r="417" spans="1:60" x14ac:dyDescent="0.3">
      <c r="A417" t="s">
        <v>453</v>
      </c>
      <c r="B417" t="s">
        <v>65</v>
      </c>
      <c r="C417">
        <v>32.318199999999997</v>
      </c>
      <c r="D417">
        <v>-86.902299999999997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5</v>
      </c>
      <c r="BE417">
        <v>6</v>
      </c>
      <c r="BF417">
        <v>12</v>
      </c>
      <c r="BG417">
        <v>29</v>
      </c>
      <c r="BH417">
        <v>39</v>
      </c>
    </row>
    <row r="418" spans="1:60" x14ac:dyDescent="0.3">
      <c r="B418" t="s">
        <v>463</v>
      </c>
      <c r="C418">
        <v>-32.522799999999997</v>
      </c>
      <c r="D418">
        <v>-55.765799999999999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4</v>
      </c>
      <c r="BF418">
        <v>4</v>
      </c>
      <c r="BG418">
        <v>8</v>
      </c>
      <c r="BH418">
        <v>29</v>
      </c>
    </row>
    <row r="419" spans="1:60" x14ac:dyDescent="0.3">
      <c r="B419" t="s">
        <v>464</v>
      </c>
      <c r="C419">
        <v>7.9465000000000003</v>
      </c>
      <c r="D419">
        <v>-1.0232000000000001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6</v>
      </c>
      <c r="BG419">
        <v>6</v>
      </c>
      <c r="BH419">
        <v>7</v>
      </c>
    </row>
    <row r="420" spans="1:60" x14ac:dyDescent="0.3">
      <c r="A420" t="s">
        <v>465</v>
      </c>
      <c r="B420" t="s">
        <v>65</v>
      </c>
      <c r="C420">
        <v>18.220800000000001</v>
      </c>
      <c r="D420">
        <v>-66.590100000000007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3</v>
      </c>
      <c r="BF420">
        <v>5</v>
      </c>
      <c r="BG420">
        <v>5</v>
      </c>
      <c r="BH420">
        <v>5</v>
      </c>
    </row>
    <row r="421" spans="1:60" x14ac:dyDescent="0.3">
      <c r="B421" t="s">
        <v>466</v>
      </c>
      <c r="C421">
        <v>49.19</v>
      </c>
      <c r="D421">
        <v>-2.11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2</v>
      </c>
      <c r="BH421">
        <v>2</v>
      </c>
    </row>
    <row r="422" spans="1:60" x14ac:dyDescent="0.3">
      <c r="B422" t="s">
        <v>467</v>
      </c>
      <c r="C422">
        <v>-22.957599999999999</v>
      </c>
      <c r="D422">
        <v>18.490400000000001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2</v>
      </c>
      <c r="BH422">
        <v>2</v>
      </c>
    </row>
    <row r="423" spans="1:60" x14ac:dyDescent="0.3">
      <c r="B423" t="s">
        <v>468</v>
      </c>
      <c r="C423">
        <v>-4.6795999999999998</v>
      </c>
      <c r="D423">
        <v>55.491999999999997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2</v>
      </c>
      <c r="BG423">
        <v>3</v>
      </c>
      <c r="BH423">
        <v>4</v>
      </c>
    </row>
    <row r="424" spans="1:60" x14ac:dyDescent="0.3">
      <c r="B424" t="s">
        <v>469</v>
      </c>
      <c r="C424">
        <v>10.691800000000001</v>
      </c>
      <c r="D424">
        <v>-61.222499999999997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2</v>
      </c>
      <c r="BF424">
        <v>2</v>
      </c>
      <c r="BG424">
        <v>4</v>
      </c>
      <c r="BH424">
        <v>5</v>
      </c>
    </row>
    <row r="425" spans="1:60" x14ac:dyDescent="0.3">
      <c r="B425" t="s">
        <v>470</v>
      </c>
      <c r="C425">
        <v>6.4238</v>
      </c>
      <c r="D425">
        <v>-66.589699999999993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2</v>
      </c>
      <c r="BF425">
        <v>10</v>
      </c>
      <c r="BG425">
        <v>17</v>
      </c>
      <c r="BH425">
        <v>33</v>
      </c>
    </row>
    <row r="426" spans="1:60" x14ac:dyDescent="0.3">
      <c r="B426" t="s">
        <v>472</v>
      </c>
      <c r="C426">
        <v>-26.522500000000001</v>
      </c>
      <c r="D426">
        <v>31.465900000000001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1</v>
      </c>
      <c r="BH426">
        <v>1</v>
      </c>
    </row>
    <row r="427" spans="1:60" x14ac:dyDescent="0.3">
      <c r="B427" t="s">
        <v>473</v>
      </c>
      <c r="C427">
        <v>-0.80369999999999997</v>
      </c>
      <c r="D427">
        <v>11.609400000000001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</row>
    <row r="428" spans="1:60" x14ac:dyDescent="0.3">
      <c r="B428" t="s">
        <v>474</v>
      </c>
      <c r="C428">
        <v>15.7835</v>
      </c>
      <c r="D428">
        <v>-90.230800000000002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2</v>
      </c>
      <c r="BH428">
        <v>6</v>
      </c>
    </row>
    <row r="429" spans="1:60" x14ac:dyDescent="0.3">
      <c r="B429" t="s">
        <v>475</v>
      </c>
      <c r="C429">
        <v>49.45</v>
      </c>
      <c r="D429">
        <v>-2.58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1</v>
      </c>
      <c r="BG429">
        <v>1</v>
      </c>
      <c r="BH429">
        <v>1</v>
      </c>
    </row>
    <row r="430" spans="1:60" x14ac:dyDescent="0.3">
      <c r="B430" t="s">
        <v>476</v>
      </c>
      <c r="C430">
        <v>21.007899999999999</v>
      </c>
      <c r="D430">
        <v>10.940799999999999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</row>
    <row r="431" spans="1:60" x14ac:dyDescent="0.3">
      <c r="B431" t="s">
        <v>477</v>
      </c>
      <c r="C431">
        <v>-1.9402999999999999</v>
      </c>
      <c r="D431">
        <v>29.873899999999999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5</v>
      </c>
      <c r="BH431">
        <v>7</v>
      </c>
    </row>
    <row r="432" spans="1:60" x14ac:dyDescent="0.3">
      <c r="B432" t="s">
        <v>478</v>
      </c>
      <c r="C432">
        <v>13.9094</v>
      </c>
      <c r="D432">
        <v>-60.978900000000003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1</v>
      </c>
      <c r="BF432">
        <v>2</v>
      </c>
      <c r="BG432">
        <v>2</v>
      </c>
      <c r="BH432">
        <v>2</v>
      </c>
    </row>
    <row r="433" spans="1:60" x14ac:dyDescent="0.3">
      <c r="B433" t="s">
        <v>479</v>
      </c>
      <c r="C433">
        <v>12.984299999999999</v>
      </c>
      <c r="D433">
        <v>-61.287199999999999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1</v>
      </c>
      <c r="BF433">
        <v>1</v>
      </c>
      <c r="BG433">
        <v>1</v>
      </c>
      <c r="BH433">
        <v>1</v>
      </c>
    </row>
    <row r="434" spans="1:60" x14ac:dyDescent="0.3">
      <c r="B434" t="s">
        <v>480</v>
      </c>
      <c r="C434">
        <v>3.9192999999999998</v>
      </c>
      <c r="D434">
        <v>-56.027799999999999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1</v>
      </c>
      <c r="BF434">
        <v>1</v>
      </c>
      <c r="BG434">
        <v>1</v>
      </c>
      <c r="BH434">
        <v>1</v>
      </c>
    </row>
    <row r="435" spans="1:60" x14ac:dyDescent="0.3">
      <c r="A435" t="s">
        <v>203</v>
      </c>
      <c r="B435" t="s">
        <v>68</v>
      </c>
      <c r="C435">
        <v>3.9339</v>
      </c>
      <c r="D435">
        <v>-53.125799999999998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5</v>
      </c>
      <c r="AY435">
        <v>5</v>
      </c>
      <c r="AZ435">
        <v>5</v>
      </c>
      <c r="BA435">
        <v>5</v>
      </c>
      <c r="BB435">
        <v>5</v>
      </c>
      <c r="BC435">
        <v>5</v>
      </c>
      <c r="BD435">
        <v>5</v>
      </c>
      <c r="BE435">
        <v>5</v>
      </c>
      <c r="BF435">
        <v>7</v>
      </c>
      <c r="BG435">
        <v>11</v>
      </c>
      <c r="BH435">
        <v>11</v>
      </c>
    </row>
    <row r="436" spans="1:60" x14ac:dyDescent="0.3">
      <c r="A436" t="s">
        <v>491</v>
      </c>
      <c r="B436" t="s">
        <v>65</v>
      </c>
      <c r="C436">
        <v>13.4443</v>
      </c>
      <c r="D436">
        <v>144.7937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3</v>
      </c>
      <c r="BG436">
        <v>3</v>
      </c>
      <c r="BH436">
        <v>3</v>
      </c>
    </row>
    <row r="437" spans="1:60" x14ac:dyDescent="0.3">
      <c r="B437" t="s">
        <v>492</v>
      </c>
      <c r="C437">
        <v>42.602600000000002</v>
      </c>
      <c r="D437">
        <v>20.902999999999999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2</v>
      </c>
      <c r="BG437">
        <v>2</v>
      </c>
      <c r="BH437">
        <v>2</v>
      </c>
    </row>
    <row r="438" spans="1:60" x14ac:dyDescent="0.3">
      <c r="A438" t="s">
        <v>493</v>
      </c>
      <c r="B438" t="s">
        <v>72</v>
      </c>
      <c r="C438">
        <v>53.1355</v>
      </c>
      <c r="D438">
        <v>-57.660400000000003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3</v>
      </c>
    </row>
    <row r="439" spans="1:60" x14ac:dyDescent="0.3">
      <c r="A439" t="s">
        <v>494</v>
      </c>
      <c r="B439" t="s">
        <v>72</v>
      </c>
      <c r="C439">
        <v>46.5107</v>
      </c>
      <c r="D439">
        <v>-63.416800000000002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</row>
    <row r="440" spans="1:60" x14ac:dyDescent="0.3">
      <c r="B440" t="s">
        <v>495</v>
      </c>
      <c r="C440">
        <v>6.6111000000000004</v>
      </c>
      <c r="D440">
        <v>20.939399999999999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</row>
    <row r="441" spans="1:60" x14ac:dyDescent="0.3">
      <c r="B441" t="s">
        <v>496</v>
      </c>
      <c r="C441">
        <v>-4.0382999999999996</v>
      </c>
      <c r="D441">
        <v>21.758700000000001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1</v>
      </c>
      <c r="BH441">
        <v>1</v>
      </c>
    </row>
    <row r="442" spans="1:60" x14ac:dyDescent="0.3">
      <c r="B442" t="s">
        <v>497</v>
      </c>
      <c r="C442">
        <v>1.5</v>
      </c>
      <c r="D442">
        <v>10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1</v>
      </c>
      <c r="BG442">
        <v>1</v>
      </c>
      <c r="BH442">
        <v>1</v>
      </c>
    </row>
    <row r="443" spans="1:60" x14ac:dyDescent="0.3">
      <c r="A443" t="s">
        <v>498</v>
      </c>
      <c r="B443" t="s">
        <v>68</v>
      </c>
      <c r="C443">
        <v>-12.827500000000001</v>
      </c>
      <c r="D443">
        <v>45.166200000000003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1</v>
      </c>
      <c r="BG443">
        <v>1</v>
      </c>
      <c r="BH443">
        <v>1</v>
      </c>
    </row>
    <row r="444" spans="1:60" x14ac:dyDescent="0.3">
      <c r="B444" t="s">
        <v>499</v>
      </c>
      <c r="C444">
        <v>41.377499999999998</v>
      </c>
      <c r="D444">
        <v>64.585300000000004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1</v>
      </c>
      <c r="BG444">
        <v>6</v>
      </c>
      <c r="BH444">
        <v>10</v>
      </c>
    </row>
    <row r="445" spans="1:60" x14ac:dyDescent="0.3">
      <c r="A445" t="s">
        <v>116</v>
      </c>
      <c r="B445" t="s">
        <v>116</v>
      </c>
      <c r="C445">
        <v>52.132599999999996</v>
      </c>
      <c r="D445">
        <v>5.2912999999999997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1</v>
      </c>
      <c r="AP445">
        <v>1</v>
      </c>
      <c r="AQ445">
        <v>6</v>
      </c>
      <c r="AR445">
        <v>10</v>
      </c>
      <c r="AS445">
        <v>18</v>
      </c>
      <c r="AT445">
        <v>24</v>
      </c>
      <c r="AU445">
        <v>38</v>
      </c>
      <c r="AV445">
        <v>82</v>
      </c>
      <c r="AW445">
        <v>128</v>
      </c>
      <c r="AX445">
        <v>188</v>
      </c>
      <c r="AY445">
        <v>265</v>
      </c>
      <c r="AZ445">
        <v>321</v>
      </c>
      <c r="BA445">
        <v>382</v>
      </c>
      <c r="BB445">
        <v>503</v>
      </c>
      <c r="BC445">
        <v>503</v>
      </c>
      <c r="BD445">
        <v>804</v>
      </c>
      <c r="BE445">
        <v>959</v>
      </c>
      <c r="BF445">
        <v>1135</v>
      </c>
      <c r="BG445">
        <v>1413</v>
      </c>
      <c r="BH445">
        <v>1705</v>
      </c>
    </row>
    <row r="446" spans="1:60" x14ac:dyDescent="0.3">
      <c r="A446" t="s">
        <v>503</v>
      </c>
      <c r="B446" t="s">
        <v>72</v>
      </c>
      <c r="C446">
        <v>44.682000000000002</v>
      </c>
      <c r="D446">
        <v>-63.744300000000003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5</v>
      </c>
      <c r="BH446">
        <v>7</v>
      </c>
    </row>
    <row r="447" spans="1:60" x14ac:dyDescent="0.3">
      <c r="A447" t="s">
        <v>444</v>
      </c>
      <c r="B447" t="s">
        <v>68</v>
      </c>
      <c r="C447">
        <v>16.25</v>
      </c>
      <c r="D447">
        <v>-61.583300000000001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1</v>
      </c>
      <c r="BE447">
        <v>1</v>
      </c>
      <c r="BF447">
        <v>3</v>
      </c>
      <c r="BG447">
        <v>6</v>
      </c>
      <c r="BH447">
        <v>18</v>
      </c>
    </row>
    <row r="448" spans="1:60" x14ac:dyDescent="0.3">
      <c r="B448" t="s">
        <v>504</v>
      </c>
      <c r="C448">
        <v>9.3077000000000005</v>
      </c>
      <c r="D448">
        <v>2.3157999999999999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</row>
    <row r="449" spans="1:60" x14ac:dyDescent="0.3">
      <c r="B449" t="s">
        <v>505</v>
      </c>
      <c r="C449">
        <v>71.706900000000005</v>
      </c>
      <c r="D449">
        <v>-42.604300000000002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</row>
    <row r="450" spans="1:60" x14ac:dyDescent="0.3">
      <c r="B450" t="s">
        <v>506</v>
      </c>
      <c r="C450">
        <v>6.4280999999999997</v>
      </c>
      <c r="D450">
        <v>-9.4295000000000009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1</v>
      </c>
      <c r="BH450">
        <v>1</v>
      </c>
    </row>
    <row r="451" spans="1:60" x14ac:dyDescent="0.3">
      <c r="A451" t="s">
        <v>471</v>
      </c>
      <c r="B451" t="s">
        <v>116</v>
      </c>
      <c r="C451">
        <v>12.169600000000001</v>
      </c>
      <c r="D451">
        <v>-68.989999999999995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1</v>
      </c>
      <c r="BF451">
        <v>1</v>
      </c>
      <c r="BG451">
        <v>1</v>
      </c>
      <c r="BH451">
        <v>3</v>
      </c>
    </row>
    <row r="452" spans="1:60" x14ac:dyDescent="0.3">
      <c r="B452" t="s">
        <v>507</v>
      </c>
      <c r="C452">
        <v>-1.44</v>
      </c>
      <c r="D452">
        <v>15.555999999999999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1</v>
      </c>
      <c r="BH452">
        <v>1</v>
      </c>
    </row>
    <row r="453" spans="1:60" x14ac:dyDescent="0.3">
      <c r="B453" t="s">
        <v>508</v>
      </c>
      <c r="C453">
        <v>5.1520999999999999</v>
      </c>
      <c r="D453">
        <v>46.199599999999997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1</v>
      </c>
      <c r="BH453">
        <v>1</v>
      </c>
    </row>
    <row r="454" spans="1:60" x14ac:dyDescent="0.3">
      <c r="B454" t="s">
        <v>509</v>
      </c>
      <c r="C454">
        <v>-6.3689999999999998</v>
      </c>
      <c r="D454">
        <v>34.888800000000003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1</v>
      </c>
      <c r="BH454">
        <v>1</v>
      </c>
    </row>
    <row r="455" spans="1:60" x14ac:dyDescent="0.3">
      <c r="B455" t="s">
        <v>510</v>
      </c>
      <c r="C455">
        <v>24.25</v>
      </c>
      <c r="D455">
        <v>-76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1</v>
      </c>
      <c r="BH455">
        <v>1</v>
      </c>
    </row>
    <row r="456" spans="1:60" x14ac:dyDescent="0.3">
      <c r="A456" t="s">
        <v>511</v>
      </c>
      <c r="B456" t="s">
        <v>65</v>
      </c>
      <c r="C456">
        <v>18.335799999999999</v>
      </c>
      <c r="D456">
        <v>-64.896299999999997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1</v>
      </c>
      <c r="BF456">
        <v>1</v>
      </c>
      <c r="BG456">
        <v>1</v>
      </c>
      <c r="BH456">
        <v>2</v>
      </c>
    </row>
    <row r="457" spans="1:60" x14ac:dyDescent="0.3">
      <c r="A457" t="s">
        <v>443</v>
      </c>
      <c r="B457" t="s">
        <v>377</v>
      </c>
      <c r="C457">
        <v>19.313300000000002</v>
      </c>
      <c r="D457">
        <v>-81.254599999999996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1</v>
      </c>
      <c r="BE457">
        <v>1</v>
      </c>
      <c r="BF457">
        <v>1</v>
      </c>
      <c r="BG457">
        <v>1</v>
      </c>
      <c r="BH457">
        <v>1</v>
      </c>
    </row>
    <row r="458" spans="1:60" x14ac:dyDescent="0.3">
      <c r="A458" t="s">
        <v>382</v>
      </c>
      <c r="B458" t="s">
        <v>68</v>
      </c>
      <c r="C458">
        <v>-21.135100000000001</v>
      </c>
      <c r="D458">
        <v>55.247100000000003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1</v>
      </c>
      <c r="BC458">
        <v>1</v>
      </c>
      <c r="BD458">
        <v>5</v>
      </c>
      <c r="BE458">
        <v>6</v>
      </c>
      <c r="BF458">
        <v>7</v>
      </c>
      <c r="BG458">
        <v>9</v>
      </c>
      <c r="BH458">
        <v>9</v>
      </c>
    </row>
    <row r="459" spans="1:60" x14ac:dyDescent="0.3">
      <c r="B459" t="s">
        <v>570</v>
      </c>
      <c r="C459">
        <v>13.193899999999999</v>
      </c>
      <c r="D459">
        <v>-59.543199999999999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2</v>
      </c>
    </row>
    <row r="460" spans="1:60" x14ac:dyDescent="0.3">
      <c r="B460" t="s">
        <v>564</v>
      </c>
      <c r="C460">
        <v>42.5</v>
      </c>
      <c r="D460">
        <v>19.3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2</v>
      </c>
    </row>
    <row r="461" spans="1:60" x14ac:dyDescent="0.3">
      <c r="B461" t="s">
        <v>625</v>
      </c>
      <c r="C461">
        <v>13.466699999999999</v>
      </c>
      <c r="D461">
        <v>-16.600000000000001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1</v>
      </c>
    </row>
    <row r="462" spans="1:60" x14ac:dyDescent="0.3">
      <c r="B462" t="s">
        <v>510</v>
      </c>
      <c r="C462">
        <v>24.25</v>
      </c>
      <c r="D462">
        <v>-76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</row>
    <row r="463" spans="1:60" x14ac:dyDescent="0.3">
      <c r="A463" t="s">
        <v>511</v>
      </c>
      <c r="B463" t="s">
        <v>65</v>
      </c>
      <c r="C463">
        <v>18.335799999999999</v>
      </c>
      <c r="D463">
        <v>-64.896299999999997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1</v>
      </c>
      <c r="BF463">
        <v>1</v>
      </c>
      <c r="BG463">
        <v>1</v>
      </c>
    </row>
    <row r="464" spans="1:60" x14ac:dyDescent="0.3">
      <c r="A464" t="s">
        <v>443</v>
      </c>
      <c r="B464" t="s">
        <v>377</v>
      </c>
      <c r="C464">
        <v>19.313300000000002</v>
      </c>
      <c r="D464">
        <v>-81.254599999999996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1</v>
      </c>
      <c r="BE464">
        <v>1</v>
      </c>
      <c r="BF464">
        <v>1</v>
      </c>
      <c r="BG464">
        <v>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dimension ref="A1:BI461"/>
  <sheetViews>
    <sheetView topLeftCell="AM388" workbookViewId="0">
      <selection activeCell="BI406" sqref="BI406"/>
    </sheetView>
  </sheetViews>
  <sheetFormatPr defaultRowHeight="14.4" x14ac:dyDescent="0.3"/>
  <sheetData>
    <row r="1" spans="1:6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16">
        <v>43832</v>
      </c>
      <c r="P1" s="16">
        <v>43863</v>
      </c>
      <c r="Q1" s="16">
        <v>43892</v>
      </c>
      <c r="R1" s="16">
        <v>43923</v>
      </c>
      <c r="S1" s="16">
        <v>43953</v>
      </c>
      <c r="T1" s="16">
        <v>43984</v>
      </c>
      <c r="U1" s="16">
        <v>44014</v>
      </c>
      <c r="V1" s="16">
        <v>44045</v>
      </c>
      <c r="W1" s="16">
        <v>44076</v>
      </c>
      <c r="X1" s="16">
        <v>44106</v>
      </c>
      <c r="Y1" s="16">
        <v>44137</v>
      </c>
      <c r="Z1" s="16">
        <v>44167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s="16">
        <v>43833</v>
      </c>
      <c r="AS1" s="16">
        <v>43864</v>
      </c>
      <c r="AT1" s="16">
        <v>43893</v>
      </c>
      <c r="AU1" s="16">
        <v>43924</v>
      </c>
      <c r="AV1" s="16">
        <v>43954</v>
      </c>
      <c r="AW1" s="16">
        <v>43985</v>
      </c>
      <c r="AX1" s="16">
        <v>44015</v>
      </c>
      <c r="AY1" s="16">
        <v>44046</v>
      </c>
      <c r="AZ1" s="16">
        <v>44077</v>
      </c>
      <c r="BA1" s="16">
        <v>44107</v>
      </c>
      <c r="BB1" s="16">
        <v>44138</v>
      </c>
      <c r="BC1" s="16">
        <v>44168</v>
      </c>
      <c r="BD1" t="s">
        <v>364</v>
      </c>
      <c r="BE1" t="s">
        <v>461</v>
      </c>
      <c r="BF1" t="s">
        <v>490</v>
      </c>
      <c r="BG1" t="s">
        <v>502</v>
      </c>
      <c r="BH1" t="s">
        <v>624</v>
      </c>
    </row>
    <row r="2" spans="1:60" x14ac:dyDescent="0.3">
      <c r="B2" t="s">
        <v>62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</row>
    <row r="3" spans="1:60" x14ac:dyDescent="0.3">
      <c r="B3" t="s">
        <v>63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</row>
    <row r="4" spans="1:60" x14ac:dyDescent="0.3">
      <c r="B4" t="s">
        <v>67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</row>
    <row r="5" spans="1:60" x14ac:dyDescent="0.3">
      <c r="B5" t="s">
        <v>69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</row>
    <row r="6" spans="1:60" x14ac:dyDescent="0.3">
      <c r="B6" t="s">
        <v>70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</row>
    <row r="7" spans="1:60" x14ac:dyDescent="0.3">
      <c r="A7" t="s">
        <v>71</v>
      </c>
      <c r="B7" t="s">
        <v>72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</row>
    <row r="8" spans="1:60" x14ac:dyDescent="0.3">
      <c r="A8" t="s">
        <v>74</v>
      </c>
      <c r="B8" t="s">
        <v>75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</row>
    <row r="9" spans="1:60" x14ac:dyDescent="0.3">
      <c r="A9" t="s">
        <v>76</v>
      </c>
      <c r="B9" t="s">
        <v>75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</row>
    <row r="10" spans="1:60" x14ac:dyDescent="0.3">
      <c r="A10" t="s">
        <v>77</v>
      </c>
      <c r="B10" t="s">
        <v>75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</row>
    <row r="11" spans="1:60" x14ac:dyDescent="0.3">
      <c r="B11" t="s">
        <v>78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</row>
    <row r="12" spans="1:60" x14ac:dyDescent="0.3">
      <c r="B12" t="s">
        <v>79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</row>
    <row r="13" spans="1:60" x14ac:dyDescent="0.3">
      <c r="B13" t="s">
        <v>80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</row>
    <row r="14" spans="1:60" x14ac:dyDescent="0.3">
      <c r="B14" t="s">
        <v>81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</row>
    <row r="15" spans="1:60" x14ac:dyDescent="0.3">
      <c r="B15" t="s">
        <v>82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</row>
    <row r="16" spans="1:60" x14ac:dyDescent="0.3">
      <c r="B16" t="s">
        <v>83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</row>
    <row r="17" spans="1:60" x14ac:dyDescent="0.3">
      <c r="B17" t="s">
        <v>84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</row>
    <row r="18" spans="1:60" x14ac:dyDescent="0.3">
      <c r="B18" t="s">
        <v>85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</row>
    <row r="19" spans="1:60" x14ac:dyDescent="0.3">
      <c r="B19" t="s">
        <v>86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</row>
    <row r="20" spans="1:60" x14ac:dyDescent="0.3">
      <c r="B20" t="s">
        <v>87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</row>
    <row r="21" spans="1:60" x14ac:dyDescent="0.3">
      <c r="A21" t="s">
        <v>88</v>
      </c>
      <c r="B21" t="s">
        <v>75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</row>
    <row r="22" spans="1:60" x14ac:dyDescent="0.3">
      <c r="B22" t="s">
        <v>90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</row>
    <row r="23" spans="1:60" x14ac:dyDescent="0.3">
      <c r="B23" t="s">
        <v>92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</row>
    <row r="24" spans="1:60" x14ac:dyDescent="0.3">
      <c r="A24" t="s">
        <v>93</v>
      </c>
      <c r="B24" t="s">
        <v>75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3">
      <c r="B25" t="s">
        <v>94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</row>
    <row r="26" spans="1:60" x14ac:dyDescent="0.3">
      <c r="B26" t="s">
        <v>97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</row>
    <row r="27" spans="1:60" x14ac:dyDescent="0.3">
      <c r="B27" t="s">
        <v>98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</row>
    <row r="28" spans="1:60" x14ac:dyDescent="0.3">
      <c r="B28" t="s">
        <v>99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</row>
    <row r="29" spans="1:60" x14ac:dyDescent="0.3">
      <c r="B29" t="s">
        <v>100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</row>
    <row r="30" spans="1:60" x14ac:dyDescent="0.3">
      <c r="B30" t="s">
        <v>101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</row>
    <row r="31" spans="1:60" x14ac:dyDescent="0.3">
      <c r="B31" t="s">
        <v>102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</row>
    <row r="32" spans="1:60" x14ac:dyDescent="0.3">
      <c r="B32" t="s">
        <v>103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</row>
    <row r="33" spans="2:60" x14ac:dyDescent="0.3">
      <c r="B33" t="s">
        <v>104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</row>
    <row r="34" spans="2:60" x14ac:dyDescent="0.3">
      <c r="B34" t="s">
        <v>105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</row>
    <row r="35" spans="2:60" x14ac:dyDescent="0.3">
      <c r="B35" t="s">
        <v>106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</row>
    <row r="36" spans="2:60" x14ac:dyDescent="0.3">
      <c r="B36" t="s">
        <v>107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</row>
    <row r="37" spans="2:60" x14ac:dyDescent="0.3">
      <c r="B37" t="s">
        <v>108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</row>
    <row r="38" spans="2:60" x14ac:dyDescent="0.3">
      <c r="B38" t="s">
        <v>109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</row>
    <row r="39" spans="2:60" x14ac:dyDescent="0.3">
      <c r="B39" t="s">
        <v>110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</row>
    <row r="40" spans="2:60" x14ac:dyDescent="0.3">
      <c r="B40" t="s">
        <v>111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</row>
    <row r="41" spans="2:60" x14ac:dyDescent="0.3">
      <c r="B41" t="s">
        <v>112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</row>
    <row r="42" spans="2:60" x14ac:dyDescent="0.3">
      <c r="B42" t="s">
        <v>113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</row>
    <row r="43" spans="2:60" x14ac:dyDescent="0.3">
      <c r="B43" t="s">
        <v>115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</row>
    <row r="44" spans="2:60" x14ac:dyDescent="0.3">
      <c r="B44" t="s">
        <v>117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</row>
    <row r="45" spans="2:60" x14ac:dyDescent="0.3">
      <c r="B45" t="s">
        <v>118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</row>
    <row r="46" spans="2:60" x14ac:dyDescent="0.3">
      <c r="B46" t="s">
        <v>119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</row>
    <row r="47" spans="2:60" x14ac:dyDescent="0.3">
      <c r="B47" t="s">
        <v>120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</row>
    <row r="48" spans="2:60" x14ac:dyDescent="0.3">
      <c r="B48" t="s">
        <v>121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</row>
    <row r="49" spans="1:60" x14ac:dyDescent="0.3">
      <c r="B49" t="s">
        <v>122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</row>
    <row r="50" spans="1:60" x14ac:dyDescent="0.3">
      <c r="B50" t="s">
        <v>123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</row>
    <row r="51" spans="1:60" x14ac:dyDescent="0.3">
      <c r="A51" t="s">
        <v>124</v>
      </c>
      <c r="B51" t="s">
        <v>75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</row>
    <row r="52" spans="1:60" x14ac:dyDescent="0.3">
      <c r="B52" t="s">
        <v>125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</row>
    <row r="53" spans="1:60" x14ac:dyDescent="0.3">
      <c r="B53" t="s">
        <v>126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</row>
    <row r="54" spans="1:60" x14ac:dyDescent="0.3">
      <c r="B54" t="s">
        <v>127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</row>
    <row r="55" spans="1:60" x14ac:dyDescent="0.3">
      <c r="B55" t="s">
        <v>128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</row>
    <row r="56" spans="1:60" x14ac:dyDescent="0.3">
      <c r="B56" t="s">
        <v>130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</row>
    <row r="57" spans="1:60" x14ac:dyDescent="0.3">
      <c r="B57" t="s">
        <v>131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</row>
    <row r="58" spans="1:60" x14ac:dyDescent="0.3">
      <c r="B58" t="s">
        <v>132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</row>
    <row r="59" spans="1:60" x14ac:dyDescent="0.3">
      <c r="B59" t="s">
        <v>133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</row>
    <row r="60" spans="1:60" x14ac:dyDescent="0.3">
      <c r="B60" t="s">
        <v>134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</row>
    <row r="61" spans="1:60" x14ac:dyDescent="0.3">
      <c r="B61" t="s">
        <v>135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</row>
    <row r="62" spans="1:60" x14ac:dyDescent="0.3">
      <c r="B62" t="s">
        <v>136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</row>
    <row r="63" spans="1:60" x14ac:dyDescent="0.3">
      <c r="A63" t="s">
        <v>137</v>
      </c>
      <c r="B63" t="s">
        <v>75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</row>
    <row r="64" spans="1:60" x14ac:dyDescent="0.3">
      <c r="B64" t="s">
        <v>138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</row>
    <row r="65" spans="1:60" x14ac:dyDescent="0.3">
      <c r="B65" t="s">
        <v>139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</row>
    <row r="66" spans="1:60" x14ac:dyDescent="0.3">
      <c r="B66" t="s">
        <v>140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</row>
    <row r="67" spans="1:60" x14ac:dyDescent="0.3">
      <c r="B67" t="s">
        <v>141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</row>
    <row r="68" spans="1:60" x14ac:dyDescent="0.3">
      <c r="B68" t="s">
        <v>150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</row>
    <row r="69" spans="1:60" x14ac:dyDescent="0.3">
      <c r="B69" t="s">
        <v>151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</row>
    <row r="70" spans="1:60" x14ac:dyDescent="0.3">
      <c r="B70" t="s">
        <v>152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</row>
    <row r="71" spans="1:60" x14ac:dyDescent="0.3">
      <c r="B71" t="s">
        <v>156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</row>
    <row r="72" spans="1:60" x14ac:dyDescent="0.3">
      <c r="B72" t="s">
        <v>159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</row>
    <row r="73" spans="1:60" x14ac:dyDescent="0.3">
      <c r="A73" t="s">
        <v>160</v>
      </c>
      <c r="B73" t="s">
        <v>75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</row>
    <row r="74" spans="1:60" x14ac:dyDescent="0.3">
      <c r="B74" t="s">
        <v>163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</row>
    <row r="75" spans="1:60" x14ac:dyDescent="0.3">
      <c r="B75" t="s">
        <v>164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</row>
    <row r="76" spans="1:60" x14ac:dyDescent="0.3">
      <c r="B76" t="s">
        <v>165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</row>
    <row r="77" spans="1:60" x14ac:dyDescent="0.3">
      <c r="B77" t="s">
        <v>167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</row>
    <row r="78" spans="1:60" x14ac:dyDescent="0.3">
      <c r="B78" t="s">
        <v>168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</row>
    <row r="79" spans="1:60" x14ac:dyDescent="0.3">
      <c r="B79" t="s">
        <v>172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</row>
    <row r="80" spans="1:60" x14ac:dyDescent="0.3">
      <c r="B80" t="s">
        <v>183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</row>
    <row r="81" spans="1:60" x14ac:dyDescent="0.3">
      <c r="B81" t="s">
        <v>184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</row>
    <row r="82" spans="1:60" x14ac:dyDescent="0.3">
      <c r="B82" t="s">
        <v>185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</row>
    <row r="83" spans="1:60" x14ac:dyDescent="0.3">
      <c r="B83" t="s">
        <v>186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</row>
    <row r="84" spans="1:60" x14ac:dyDescent="0.3">
      <c r="B84" t="s">
        <v>187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</row>
    <row r="85" spans="1:60" x14ac:dyDescent="0.3">
      <c r="B85" t="s">
        <v>188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</row>
    <row r="86" spans="1:60" x14ac:dyDescent="0.3">
      <c r="B86" t="s">
        <v>189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</row>
    <row r="87" spans="1:60" x14ac:dyDescent="0.3">
      <c r="B87" t="s">
        <v>190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</row>
    <row r="88" spans="1:60" x14ac:dyDescent="0.3">
      <c r="B88" t="s">
        <v>204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</row>
    <row r="89" spans="1:60" x14ac:dyDescent="0.3">
      <c r="B89" t="s">
        <v>207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</row>
    <row r="90" spans="1:60" x14ac:dyDescent="0.3">
      <c r="B90" t="s">
        <v>226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</row>
    <row r="91" spans="1:60" x14ac:dyDescent="0.3">
      <c r="B91" t="s">
        <v>227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</row>
    <row r="92" spans="1:60" x14ac:dyDescent="0.3">
      <c r="B92" t="s">
        <v>229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</row>
    <row r="93" spans="1:60" x14ac:dyDescent="0.3">
      <c r="B93" t="s">
        <v>233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</row>
    <row r="94" spans="1:60" x14ac:dyDescent="0.3">
      <c r="A94" t="s">
        <v>253</v>
      </c>
      <c r="B94" t="s">
        <v>72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</row>
    <row r="95" spans="1:60" x14ac:dyDescent="0.3">
      <c r="A95" t="s">
        <v>254</v>
      </c>
      <c r="B95" t="s">
        <v>72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</row>
    <row r="96" spans="1:60" x14ac:dyDescent="0.3">
      <c r="A96" t="s">
        <v>255</v>
      </c>
      <c r="B96" t="s">
        <v>72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</row>
    <row r="97" spans="1:60" x14ac:dyDescent="0.3">
      <c r="B97" t="s">
        <v>257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</row>
    <row r="98" spans="1:60" x14ac:dyDescent="0.3">
      <c r="B98" t="s">
        <v>258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</row>
    <row r="99" spans="1:60" x14ac:dyDescent="0.3">
      <c r="B99" t="s">
        <v>260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</row>
    <row r="100" spans="1:60" x14ac:dyDescent="0.3">
      <c r="A100" t="s">
        <v>270</v>
      </c>
      <c r="B100" t="s">
        <v>65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</row>
    <row r="101" spans="1:60" x14ac:dyDescent="0.3">
      <c r="A101" t="s">
        <v>271</v>
      </c>
      <c r="B101" t="s">
        <v>65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</row>
    <row r="102" spans="1:60" x14ac:dyDescent="0.3">
      <c r="A102" t="s">
        <v>272</v>
      </c>
      <c r="B102" t="s">
        <v>65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</row>
    <row r="103" spans="1:60" x14ac:dyDescent="0.3">
      <c r="A103" t="s">
        <v>274</v>
      </c>
      <c r="B103" t="s">
        <v>65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</row>
    <row r="104" spans="1:60" x14ac:dyDescent="0.3">
      <c r="A104" t="s">
        <v>275</v>
      </c>
      <c r="B104" t="s">
        <v>65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</row>
    <row r="105" spans="1:60" x14ac:dyDescent="0.3">
      <c r="A105" t="s">
        <v>276</v>
      </c>
      <c r="B105" t="s">
        <v>65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</row>
    <row r="106" spans="1:60" x14ac:dyDescent="0.3">
      <c r="A106" t="s">
        <v>109</v>
      </c>
      <c r="B106" t="s">
        <v>65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</row>
    <row r="107" spans="1:60" x14ac:dyDescent="0.3">
      <c r="A107" t="s">
        <v>277</v>
      </c>
      <c r="B107" t="s">
        <v>65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</row>
    <row r="108" spans="1:60" x14ac:dyDescent="0.3">
      <c r="A108" t="s">
        <v>278</v>
      </c>
      <c r="B108" t="s">
        <v>65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</row>
    <row r="109" spans="1:60" x14ac:dyDescent="0.3">
      <c r="A109" t="s">
        <v>279</v>
      </c>
      <c r="B109" t="s">
        <v>65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</row>
    <row r="110" spans="1:60" x14ac:dyDescent="0.3">
      <c r="A110" t="s">
        <v>280</v>
      </c>
      <c r="B110" t="s">
        <v>65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</row>
    <row r="111" spans="1:60" x14ac:dyDescent="0.3">
      <c r="A111" t="s">
        <v>281</v>
      </c>
      <c r="B111" t="s">
        <v>65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</row>
    <row r="112" spans="1:60" x14ac:dyDescent="0.3">
      <c r="A112" t="s">
        <v>282</v>
      </c>
      <c r="B112" t="s">
        <v>65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</row>
    <row r="113" spans="1:60" x14ac:dyDescent="0.3">
      <c r="A113" t="s">
        <v>283</v>
      </c>
      <c r="B113" t="s">
        <v>65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</row>
    <row r="114" spans="1:60" x14ac:dyDescent="0.3">
      <c r="A114" t="s">
        <v>285</v>
      </c>
      <c r="B114" t="s">
        <v>65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</row>
    <row r="115" spans="1:60" x14ac:dyDescent="0.3">
      <c r="A115" t="s">
        <v>286</v>
      </c>
      <c r="B115" t="s">
        <v>65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</row>
    <row r="116" spans="1:60" x14ac:dyDescent="0.3">
      <c r="A116" t="s">
        <v>287</v>
      </c>
      <c r="B116" t="s">
        <v>65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</row>
    <row r="117" spans="1:60" x14ac:dyDescent="0.3">
      <c r="A117" t="s">
        <v>288</v>
      </c>
      <c r="B117" t="s">
        <v>65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</row>
    <row r="118" spans="1:60" x14ac:dyDescent="0.3">
      <c r="A118" t="s">
        <v>289</v>
      </c>
      <c r="B118" t="s">
        <v>65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</row>
    <row r="119" spans="1:60" x14ac:dyDescent="0.3">
      <c r="A119" t="s">
        <v>290</v>
      </c>
      <c r="B119" t="s">
        <v>65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</row>
    <row r="120" spans="1:60" x14ac:dyDescent="0.3">
      <c r="A120" t="s">
        <v>291</v>
      </c>
      <c r="B120" t="s">
        <v>65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</row>
    <row r="121" spans="1:60" x14ac:dyDescent="0.3">
      <c r="A121" t="s">
        <v>292</v>
      </c>
      <c r="B121" t="s">
        <v>65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</row>
    <row r="122" spans="1:60" x14ac:dyDescent="0.3">
      <c r="A122" t="s">
        <v>293</v>
      </c>
      <c r="B122" t="s">
        <v>65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</row>
    <row r="123" spans="1:60" x14ac:dyDescent="0.3">
      <c r="A123" t="s">
        <v>294</v>
      </c>
      <c r="B123" t="s">
        <v>65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</row>
    <row r="124" spans="1:60" x14ac:dyDescent="0.3">
      <c r="A124" t="s">
        <v>295</v>
      </c>
      <c r="B124" t="s">
        <v>65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</row>
    <row r="125" spans="1:60" x14ac:dyDescent="0.3">
      <c r="A125" t="s">
        <v>296</v>
      </c>
      <c r="B125" t="s">
        <v>65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</row>
    <row r="126" spans="1:60" x14ac:dyDescent="0.3">
      <c r="A126" t="s">
        <v>297</v>
      </c>
      <c r="B126" t="s">
        <v>65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</row>
    <row r="127" spans="1:60" x14ac:dyDescent="0.3">
      <c r="A127" t="s">
        <v>298</v>
      </c>
      <c r="B127" t="s">
        <v>65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</row>
    <row r="128" spans="1:60" x14ac:dyDescent="0.3">
      <c r="A128" t="s">
        <v>299</v>
      </c>
      <c r="B128" t="s">
        <v>65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</row>
    <row r="129" spans="1:60" x14ac:dyDescent="0.3">
      <c r="A129" t="s">
        <v>300</v>
      </c>
      <c r="B129" t="s">
        <v>65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</row>
    <row r="130" spans="1:60" x14ac:dyDescent="0.3">
      <c r="A130" t="s">
        <v>301</v>
      </c>
      <c r="B130" t="s">
        <v>65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</row>
    <row r="131" spans="1:60" x14ac:dyDescent="0.3">
      <c r="A131" t="s">
        <v>302</v>
      </c>
      <c r="B131" t="s">
        <v>65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</row>
    <row r="132" spans="1:60" x14ac:dyDescent="0.3">
      <c r="A132" t="s">
        <v>303</v>
      </c>
      <c r="B132" t="s">
        <v>65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</row>
    <row r="133" spans="1:60" x14ac:dyDescent="0.3">
      <c r="A133" t="s">
        <v>304</v>
      </c>
      <c r="B133" t="s">
        <v>65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</row>
    <row r="134" spans="1:60" x14ac:dyDescent="0.3">
      <c r="A134" t="s">
        <v>305</v>
      </c>
      <c r="B134" t="s">
        <v>65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</row>
    <row r="135" spans="1:60" x14ac:dyDescent="0.3">
      <c r="B135" t="s">
        <v>306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</row>
    <row r="136" spans="1:60" x14ac:dyDescent="0.3">
      <c r="B136" t="s">
        <v>308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</row>
    <row r="137" spans="1:60" x14ac:dyDescent="0.3">
      <c r="B137" t="s">
        <v>309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</row>
    <row r="138" spans="1:60" x14ac:dyDescent="0.3">
      <c r="B138" t="s">
        <v>310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</row>
    <row r="139" spans="1:60" x14ac:dyDescent="0.3">
      <c r="A139" t="s">
        <v>311</v>
      </c>
      <c r="B139" t="s">
        <v>65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</row>
    <row r="140" spans="1:60" x14ac:dyDescent="0.3">
      <c r="A140" t="s">
        <v>312</v>
      </c>
      <c r="B140" t="s">
        <v>65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</row>
    <row r="141" spans="1:60" x14ac:dyDescent="0.3">
      <c r="A141" t="s">
        <v>313</v>
      </c>
      <c r="B141" t="s">
        <v>65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</row>
    <row r="142" spans="1:60" x14ac:dyDescent="0.3">
      <c r="A142" t="s">
        <v>314</v>
      </c>
      <c r="B142" t="s">
        <v>65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</row>
    <row r="143" spans="1:60" x14ac:dyDescent="0.3">
      <c r="A143" t="s">
        <v>315</v>
      </c>
      <c r="B143" t="s">
        <v>65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</row>
    <row r="144" spans="1:60" x14ac:dyDescent="0.3">
      <c r="A144" t="s">
        <v>316</v>
      </c>
      <c r="B144" t="s">
        <v>65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</row>
    <row r="145" spans="1:60" x14ac:dyDescent="0.3">
      <c r="A145" t="s">
        <v>317</v>
      </c>
      <c r="B145" t="s">
        <v>65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</row>
    <row r="146" spans="1:60" x14ac:dyDescent="0.3">
      <c r="A146" t="s">
        <v>318</v>
      </c>
      <c r="B146" t="s">
        <v>65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</row>
    <row r="147" spans="1:60" x14ac:dyDescent="0.3">
      <c r="A147" t="s">
        <v>319</v>
      </c>
      <c r="B147" t="s">
        <v>65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</row>
    <row r="148" spans="1:60" x14ac:dyDescent="0.3">
      <c r="A148" t="s">
        <v>320</v>
      </c>
      <c r="B148" t="s">
        <v>65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</row>
    <row r="149" spans="1:60" x14ac:dyDescent="0.3">
      <c r="A149" t="s">
        <v>321</v>
      </c>
      <c r="B149" t="s">
        <v>65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</row>
    <row r="150" spans="1:60" x14ac:dyDescent="0.3">
      <c r="A150" t="s">
        <v>322</v>
      </c>
      <c r="B150" t="s">
        <v>65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</row>
    <row r="151" spans="1:60" x14ac:dyDescent="0.3">
      <c r="A151" t="s">
        <v>323</v>
      </c>
      <c r="B151" t="s">
        <v>65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</row>
    <row r="152" spans="1:60" x14ac:dyDescent="0.3">
      <c r="A152" t="s">
        <v>324</v>
      </c>
      <c r="B152" t="s">
        <v>65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</row>
    <row r="153" spans="1:60" x14ac:dyDescent="0.3">
      <c r="A153" t="s">
        <v>325</v>
      </c>
      <c r="B153" t="s">
        <v>65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</row>
    <row r="154" spans="1:60" x14ac:dyDescent="0.3">
      <c r="A154" t="s">
        <v>326</v>
      </c>
      <c r="B154" t="s">
        <v>65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3">
      <c r="A155" t="s">
        <v>327</v>
      </c>
      <c r="B155" t="s">
        <v>65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</row>
    <row r="156" spans="1:60" x14ac:dyDescent="0.3">
      <c r="A156" t="s">
        <v>43</v>
      </c>
      <c r="B156" t="s">
        <v>365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</row>
    <row r="157" spans="1:60" x14ac:dyDescent="0.3">
      <c r="B157" t="s">
        <v>366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</row>
    <row r="158" spans="1:60" x14ac:dyDescent="0.3">
      <c r="B158" t="s">
        <v>367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</row>
    <row r="159" spans="1:60" x14ac:dyDescent="0.3">
      <c r="A159" t="s">
        <v>68</v>
      </c>
      <c r="B159" t="s">
        <v>68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</row>
    <row r="160" spans="1:60" x14ac:dyDescent="0.3">
      <c r="A160" t="s">
        <v>36</v>
      </c>
      <c r="B160" t="s">
        <v>365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</row>
    <row r="161" spans="1:60" x14ac:dyDescent="0.3">
      <c r="A161" t="s">
        <v>42</v>
      </c>
      <c r="B161" t="s">
        <v>365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</row>
    <row r="162" spans="1:60" x14ac:dyDescent="0.3">
      <c r="A162" t="s">
        <v>61</v>
      </c>
      <c r="B162" t="s">
        <v>365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</row>
    <row r="163" spans="1:60" x14ac:dyDescent="0.3">
      <c r="A163" t="s">
        <v>44</v>
      </c>
      <c r="B163" t="s">
        <v>365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</row>
    <row r="164" spans="1:60" x14ac:dyDescent="0.3">
      <c r="A164" t="s">
        <v>31</v>
      </c>
      <c r="B164" t="s">
        <v>365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</row>
    <row r="165" spans="1:60" x14ac:dyDescent="0.3">
      <c r="A165" t="s">
        <v>47</v>
      </c>
      <c r="B165" t="s">
        <v>365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</row>
    <row r="166" spans="1:60" x14ac:dyDescent="0.3">
      <c r="A166" t="s">
        <v>53</v>
      </c>
      <c r="B166" t="s">
        <v>365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</row>
    <row r="167" spans="1:60" x14ac:dyDescent="0.3">
      <c r="A167" t="s">
        <v>275</v>
      </c>
      <c r="B167" t="s">
        <v>368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</row>
    <row r="168" spans="1:60" x14ac:dyDescent="0.3">
      <c r="A168" t="s">
        <v>46</v>
      </c>
      <c r="B168" t="s">
        <v>365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</row>
    <row r="169" spans="1:60" x14ac:dyDescent="0.3">
      <c r="A169" t="s">
        <v>33</v>
      </c>
      <c r="B169" t="s">
        <v>365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</row>
    <row r="170" spans="1:60" x14ac:dyDescent="0.3">
      <c r="A170" t="s">
        <v>56</v>
      </c>
      <c r="B170" t="s">
        <v>365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</row>
    <row r="171" spans="1:60" x14ac:dyDescent="0.3">
      <c r="A171" t="s">
        <v>41</v>
      </c>
      <c r="B171" t="s">
        <v>365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</row>
    <row r="172" spans="1:60" x14ac:dyDescent="0.3">
      <c r="A172" t="s">
        <v>114</v>
      </c>
      <c r="B172" t="s">
        <v>114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</row>
    <row r="173" spans="1:60" x14ac:dyDescent="0.3">
      <c r="A173" t="s">
        <v>32</v>
      </c>
      <c r="B173" t="s">
        <v>365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</row>
    <row r="174" spans="1:60" x14ac:dyDescent="0.3">
      <c r="A174" t="s">
        <v>54</v>
      </c>
      <c r="B174" t="s">
        <v>365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</row>
    <row r="175" spans="1:60" x14ac:dyDescent="0.3">
      <c r="A175" t="s">
        <v>40</v>
      </c>
      <c r="B175" t="s">
        <v>365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</row>
    <row r="176" spans="1:60" x14ac:dyDescent="0.3">
      <c r="A176" t="s">
        <v>34</v>
      </c>
      <c r="B176" t="s">
        <v>365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</row>
    <row r="177" spans="1:60" x14ac:dyDescent="0.3">
      <c r="A177" t="s">
        <v>37</v>
      </c>
      <c r="B177" t="s">
        <v>365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</row>
    <row r="178" spans="1:60" x14ac:dyDescent="0.3">
      <c r="A178" t="s">
        <v>52</v>
      </c>
      <c r="B178" t="s">
        <v>365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</row>
    <row r="179" spans="1:60" x14ac:dyDescent="0.3">
      <c r="A179" t="s">
        <v>60</v>
      </c>
      <c r="B179" t="s">
        <v>365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</row>
    <row r="180" spans="1:60" x14ac:dyDescent="0.3">
      <c r="A180" t="s">
        <v>39</v>
      </c>
      <c r="B180" t="s">
        <v>365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</row>
    <row r="181" spans="1:60" x14ac:dyDescent="0.3">
      <c r="A181" t="s">
        <v>38</v>
      </c>
      <c r="B181" t="s">
        <v>365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</row>
    <row r="182" spans="1:60" x14ac:dyDescent="0.3">
      <c r="A182" t="s">
        <v>57</v>
      </c>
      <c r="B182" t="s">
        <v>365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</row>
    <row r="183" spans="1:60" x14ac:dyDescent="0.3">
      <c r="A183" t="s">
        <v>55</v>
      </c>
      <c r="B183" t="s">
        <v>365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</row>
    <row r="184" spans="1:60" x14ac:dyDescent="0.3">
      <c r="A184" t="s">
        <v>35</v>
      </c>
      <c r="B184" t="s">
        <v>365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</row>
    <row r="185" spans="1:60" x14ac:dyDescent="0.3">
      <c r="A185" t="s">
        <v>273</v>
      </c>
      <c r="B185" t="s">
        <v>365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</row>
    <row r="186" spans="1:60" x14ac:dyDescent="0.3">
      <c r="A186" t="s">
        <v>49</v>
      </c>
      <c r="B186" t="s">
        <v>365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</row>
    <row r="187" spans="1:60" x14ac:dyDescent="0.3">
      <c r="A187" t="s">
        <v>48</v>
      </c>
      <c r="B187" t="s">
        <v>365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</row>
    <row r="188" spans="1:60" x14ac:dyDescent="0.3">
      <c r="B188" t="s">
        <v>369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</row>
    <row r="189" spans="1:60" x14ac:dyDescent="0.3">
      <c r="A189" t="s">
        <v>59</v>
      </c>
      <c r="B189" t="s">
        <v>365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</row>
    <row r="190" spans="1:60" x14ac:dyDescent="0.3">
      <c r="A190" t="s">
        <v>45</v>
      </c>
      <c r="B190" t="s">
        <v>365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</row>
    <row r="191" spans="1:60" x14ac:dyDescent="0.3">
      <c r="A191" t="s">
        <v>50</v>
      </c>
      <c r="B191" t="s">
        <v>365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</row>
    <row r="192" spans="1:60" x14ac:dyDescent="0.3">
      <c r="B192" t="s">
        <v>370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</row>
    <row r="193" spans="1:60" x14ac:dyDescent="0.3">
      <c r="B193" t="s">
        <v>371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</row>
    <row r="194" spans="1:60" x14ac:dyDescent="0.3">
      <c r="B194" t="s">
        <v>372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</row>
    <row r="195" spans="1:60" x14ac:dyDescent="0.3">
      <c r="A195" t="s">
        <v>51</v>
      </c>
      <c r="B195" t="s">
        <v>365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</row>
    <row r="196" spans="1:60" x14ac:dyDescent="0.3">
      <c r="A196" t="s">
        <v>284</v>
      </c>
      <c r="B196" t="s">
        <v>365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</row>
    <row r="197" spans="1:60" x14ac:dyDescent="0.3">
      <c r="B197" t="s">
        <v>373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</row>
    <row r="198" spans="1:60" x14ac:dyDescent="0.3">
      <c r="B198" t="s">
        <v>374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</row>
    <row r="199" spans="1:60" x14ac:dyDescent="0.3">
      <c r="A199" t="s">
        <v>161</v>
      </c>
      <c r="B199" t="s">
        <v>114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</row>
    <row r="200" spans="1:60" x14ac:dyDescent="0.3">
      <c r="A200" t="s">
        <v>375</v>
      </c>
      <c r="B200" t="s">
        <v>68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</row>
    <row r="201" spans="1:60" x14ac:dyDescent="0.3">
      <c r="B201" t="s">
        <v>376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</row>
    <row r="202" spans="1:60" x14ac:dyDescent="0.3">
      <c r="A202" t="s">
        <v>307</v>
      </c>
      <c r="B202" t="s">
        <v>377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</row>
    <row r="203" spans="1:60" x14ac:dyDescent="0.3">
      <c r="A203" t="s">
        <v>378</v>
      </c>
      <c r="B203" t="s">
        <v>72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</row>
    <row r="204" spans="1:60" x14ac:dyDescent="0.3">
      <c r="A204" t="s">
        <v>58</v>
      </c>
      <c r="B204" t="s">
        <v>365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</row>
    <row r="205" spans="1:60" x14ac:dyDescent="0.3">
      <c r="B205" t="s">
        <v>379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</row>
    <row r="206" spans="1:60" x14ac:dyDescent="0.3">
      <c r="B206" t="s">
        <v>380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</row>
    <row r="207" spans="1:60" x14ac:dyDescent="0.3">
      <c r="A207" t="s">
        <v>157</v>
      </c>
      <c r="B207" t="s">
        <v>68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</row>
    <row r="208" spans="1:60" x14ac:dyDescent="0.3">
      <c r="B208" t="s">
        <v>381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</row>
    <row r="209" spans="1:60" x14ac:dyDescent="0.3">
      <c r="B209" t="s">
        <v>383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</row>
    <row r="210" spans="1:60" x14ac:dyDescent="0.3">
      <c r="A210" t="s">
        <v>162</v>
      </c>
      <c r="B210" t="s">
        <v>377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</row>
    <row r="211" spans="1:60" x14ac:dyDescent="0.3">
      <c r="A211" t="s">
        <v>328</v>
      </c>
      <c r="B211" t="s">
        <v>65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</row>
    <row r="212" spans="1:60" x14ac:dyDescent="0.3">
      <c r="A212" t="s">
        <v>329</v>
      </c>
      <c r="B212" t="s">
        <v>65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3">
      <c r="A213" t="s">
        <v>330</v>
      </c>
      <c r="B213" t="s">
        <v>65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3">
      <c r="A214" t="s">
        <v>331</v>
      </c>
      <c r="B214" t="s">
        <v>65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3">
      <c r="A215" t="s">
        <v>332</v>
      </c>
      <c r="B215" t="s">
        <v>65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3">
      <c r="A216" t="s">
        <v>333</v>
      </c>
      <c r="B216" t="s">
        <v>65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</row>
    <row r="217" spans="1:60" x14ac:dyDescent="0.3">
      <c r="A217" t="s">
        <v>334</v>
      </c>
      <c r="B217" t="s">
        <v>65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3">
      <c r="A218" t="s">
        <v>335</v>
      </c>
      <c r="B218" t="s">
        <v>65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3">
      <c r="A219" t="s">
        <v>336</v>
      </c>
      <c r="B219" t="s">
        <v>65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3">
      <c r="A220" t="s">
        <v>337</v>
      </c>
      <c r="B220" t="s">
        <v>65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3">
      <c r="A221" t="s">
        <v>338</v>
      </c>
      <c r="B221" t="s">
        <v>65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3">
      <c r="A222" t="s">
        <v>339</v>
      </c>
      <c r="B222" t="s">
        <v>65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3">
      <c r="A223" t="s">
        <v>340</v>
      </c>
      <c r="B223" t="s">
        <v>65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3">
      <c r="A224" t="s">
        <v>341</v>
      </c>
      <c r="B224" t="s">
        <v>65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3">
      <c r="A225" t="s">
        <v>342</v>
      </c>
      <c r="B225" t="s">
        <v>65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3">
      <c r="A226" t="s">
        <v>343</v>
      </c>
      <c r="B226" t="s">
        <v>65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3">
      <c r="A227" t="s">
        <v>344</v>
      </c>
      <c r="B227" t="s">
        <v>65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3">
      <c r="A228" t="s">
        <v>345</v>
      </c>
      <c r="B228" t="s">
        <v>65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3">
      <c r="A229" t="s">
        <v>346</v>
      </c>
      <c r="B229" t="s">
        <v>65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3">
      <c r="A230" t="s">
        <v>347</v>
      </c>
      <c r="B230" t="s">
        <v>65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3">
      <c r="A231" t="s">
        <v>348</v>
      </c>
      <c r="B231" t="s">
        <v>65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3">
      <c r="A232" t="s">
        <v>349</v>
      </c>
      <c r="B232" t="s">
        <v>65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3">
      <c r="A233" t="s">
        <v>350</v>
      </c>
      <c r="B233" t="s">
        <v>65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3">
      <c r="A234" t="s">
        <v>351</v>
      </c>
      <c r="B234" t="s">
        <v>65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3">
      <c r="A235" t="s">
        <v>352</v>
      </c>
      <c r="B235" t="s">
        <v>65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3">
      <c r="A236" t="s">
        <v>353</v>
      </c>
      <c r="B236" t="s">
        <v>65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3">
      <c r="A237" t="s">
        <v>354</v>
      </c>
      <c r="B237" t="s">
        <v>65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3">
      <c r="A238" t="s">
        <v>384</v>
      </c>
      <c r="B238" t="s">
        <v>65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3">
      <c r="A239" t="s">
        <v>355</v>
      </c>
      <c r="B239" t="s">
        <v>65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3">
      <c r="A240" t="s">
        <v>385</v>
      </c>
      <c r="B240" t="s">
        <v>65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</row>
    <row r="241" spans="1:60" x14ac:dyDescent="0.3">
      <c r="A241" t="s">
        <v>356</v>
      </c>
      <c r="B241" t="s">
        <v>65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</row>
    <row r="242" spans="1:60" x14ac:dyDescent="0.3">
      <c r="A242" t="s">
        <v>357</v>
      </c>
      <c r="B242" t="s">
        <v>65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3">
      <c r="A243" t="s">
        <v>358</v>
      </c>
      <c r="B243" t="s">
        <v>65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3">
      <c r="A244" t="s">
        <v>359</v>
      </c>
      <c r="B244" t="s">
        <v>65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3">
      <c r="A245" t="s">
        <v>360</v>
      </c>
      <c r="B245" t="s">
        <v>65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3">
      <c r="A246" t="s">
        <v>361</v>
      </c>
      <c r="B246" t="s">
        <v>65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3">
      <c r="A247" t="s">
        <v>362</v>
      </c>
      <c r="B247" t="s">
        <v>65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3">
      <c r="A248" t="s">
        <v>363</v>
      </c>
      <c r="B248" t="s">
        <v>65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3">
      <c r="A249" t="s">
        <v>261</v>
      </c>
      <c r="B249" t="s">
        <v>65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3">
      <c r="A250" t="s">
        <v>262</v>
      </c>
      <c r="B250" t="s">
        <v>65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3">
      <c r="A251" t="s">
        <v>263</v>
      </c>
      <c r="B251" t="s">
        <v>65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3">
      <c r="A252" t="s">
        <v>264</v>
      </c>
      <c r="B252" t="s">
        <v>65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3">
      <c r="A253" t="s">
        <v>265</v>
      </c>
      <c r="B253" t="s">
        <v>65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3">
      <c r="A254" t="s">
        <v>266</v>
      </c>
      <c r="B254" t="s">
        <v>65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3">
      <c r="A255" t="s">
        <v>267</v>
      </c>
      <c r="B255" t="s">
        <v>65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3">
      <c r="A256" t="s">
        <v>268</v>
      </c>
      <c r="B256" t="s">
        <v>65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3">
      <c r="A257" t="s">
        <v>269</v>
      </c>
      <c r="B257" t="s">
        <v>65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3">
      <c r="A258" t="s">
        <v>259</v>
      </c>
      <c r="B258" t="s">
        <v>65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3">
      <c r="A259" t="s">
        <v>256</v>
      </c>
      <c r="B259" t="s">
        <v>65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3">
      <c r="A260" t="s">
        <v>234</v>
      </c>
      <c r="B260" t="s">
        <v>65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3">
      <c r="A261" t="s">
        <v>235</v>
      </c>
      <c r="B261" t="s">
        <v>65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3">
      <c r="A262" t="s">
        <v>236</v>
      </c>
      <c r="B262" t="s">
        <v>65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3">
      <c r="A263" t="s">
        <v>237</v>
      </c>
      <c r="B263" t="s">
        <v>65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3">
      <c r="A264" t="s">
        <v>238</v>
      </c>
      <c r="B264" t="s">
        <v>65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3">
      <c r="A265" t="s">
        <v>239</v>
      </c>
      <c r="B265" t="s">
        <v>65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3">
      <c r="A266" t="s">
        <v>240</v>
      </c>
      <c r="B266" t="s">
        <v>65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3">
      <c r="A267" t="s">
        <v>241</v>
      </c>
      <c r="B267" t="s">
        <v>65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3">
      <c r="A268" t="s">
        <v>242</v>
      </c>
      <c r="B268" t="s">
        <v>65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</row>
    <row r="269" spans="1:60" x14ac:dyDescent="0.3">
      <c r="A269" t="s">
        <v>243</v>
      </c>
      <c r="B269" t="s">
        <v>65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</row>
    <row r="270" spans="1:60" x14ac:dyDescent="0.3">
      <c r="A270" t="s">
        <v>244</v>
      </c>
      <c r="B270" t="s">
        <v>65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3">
      <c r="A271" t="s">
        <v>245</v>
      </c>
      <c r="B271" t="s">
        <v>65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3">
      <c r="A272" t="s">
        <v>246</v>
      </c>
      <c r="B272" t="s">
        <v>65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3">
      <c r="A273" t="s">
        <v>247</v>
      </c>
      <c r="B273" t="s">
        <v>65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3">
      <c r="A274" t="s">
        <v>248</v>
      </c>
      <c r="B274" t="s">
        <v>65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3">
      <c r="A275" t="s">
        <v>249</v>
      </c>
      <c r="B275" t="s">
        <v>65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3">
      <c r="A276" t="s">
        <v>250</v>
      </c>
      <c r="B276" t="s">
        <v>65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3">
      <c r="A277" t="s">
        <v>251</v>
      </c>
      <c r="B277" t="s">
        <v>65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3">
      <c r="A278" t="s">
        <v>252</v>
      </c>
      <c r="B278" t="s">
        <v>65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3">
      <c r="A279" t="s">
        <v>230</v>
      </c>
      <c r="B279" t="s">
        <v>65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3">
      <c r="A280" t="s">
        <v>231</v>
      </c>
      <c r="B280" t="s">
        <v>65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3">
      <c r="A281" t="s">
        <v>232</v>
      </c>
      <c r="B281" t="s">
        <v>65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3">
      <c r="A282" t="s">
        <v>228</v>
      </c>
      <c r="B282" t="s">
        <v>65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3">
      <c r="A283" t="s">
        <v>208</v>
      </c>
      <c r="B283" t="s">
        <v>65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3">
      <c r="A284" t="s">
        <v>209</v>
      </c>
      <c r="B284" t="s">
        <v>65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3">
      <c r="A285" t="s">
        <v>210</v>
      </c>
      <c r="B285" t="s">
        <v>65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3">
      <c r="A286" t="s">
        <v>211</v>
      </c>
      <c r="B286" t="s">
        <v>65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3">
      <c r="A287" t="s">
        <v>212</v>
      </c>
      <c r="B287" t="s">
        <v>65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3">
      <c r="A288" t="s">
        <v>213</v>
      </c>
      <c r="B288" t="s">
        <v>65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3">
      <c r="A289" t="s">
        <v>214</v>
      </c>
      <c r="B289" t="s">
        <v>65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3">
      <c r="A290" t="s">
        <v>215</v>
      </c>
      <c r="B290" t="s">
        <v>65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3">
      <c r="A291" t="s">
        <v>216</v>
      </c>
      <c r="B291" t="s">
        <v>65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3">
      <c r="A292" t="s">
        <v>217</v>
      </c>
      <c r="B292" t="s">
        <v>65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3">
      <c r="A293" t="s">
        <v>218</v>
      </c>
      <c r="B293" t="s">
        <v>65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3">
      <c r="A294" t="s">
        <v>219</v>
      </c>
      <c r="B294" t="s">
        <v>65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3">
      <c r="A295" t="s">
        <v>462</v>
      </c>
      <c r="B295" t="s">
        <v>65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3">
      <c r="A296" t="s">
        <v>220</v>
      </c>
      <c r="B296" t="s">
        <v>65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</row>
    <row r="297" spans="1:60" x14ac:dyDescent="0.3">
      <c r="A297" t="s">
        <v>221</v>
      </c>
      <c r="B297" t="s">
        <v>65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3">
      <c r="A298" t="s">
        <v>222</v>
      </c>
      <c r="B298" t="s">
        <v>65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3">
      <c r="A299" t="s">
        <v>223</v>
      </c>
      <c r="B299" t="s">
        <v>65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3">
      <c r="A300" t="s">
        <v>224</v>
      </c>
      <c r="B300" t="s">
        <v>65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3">
      <c r="A301" t="s">
        <v>225</v>
      </c>
      <c r="B301" t="s">
        <v>65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3">
      <c r="A302" t="s">
        <v>205</v>
      </c>
      <c r="B302" t="s">
        <v>65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3">
      <c r="A303" t="s">
        <v>206</v>
      </c>
      <c r="B303" t="s">
        <v>65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3">
      <c r="A304" t="s">
        <v>191</v>
      </c>
      <c r="B304" t="s">
        <v>65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3">
      <c r="A305" t="s">
        <v>192</v>
      </c>
      <c r="B305" t="s">
        <v>65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3">
      <c r="A306" t="s">
        <v>193</v>
      </c>
      <c r="B306" t="s">
        <v>65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3">
      <c r="A307" t="s">
        <v>194</v>
      </c>
      <c r="B307" t="s">
        <v>65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3">
      <c r="A308" t="s">
        <v>195</v>
      </c>
      <c r="B308" t="s">
        <v>65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3">
      <c r="A309" t="s">
        <v>196</v>
      </c>
      <c r="B309" t="s">
        <v>65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3">
      <c r="A310" t="s">
        <v>197</v>
      </c>
      <c r="B310" t="s">
        <v>65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3">
      <c r="A311" t="s">
        <v>198</v>
      </c>
      <c r="B311" t="s">
        <v>65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3">
      <c r="A312" t="s">
        <v>199</v>
      </c>
      <c r="B312" t="s">
        <v>65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3">
      <c r="A313" t="s">
        <v>200</v>
      </c>
      <c r="B313" t="s">
        <v>65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3">
      <c r="A314" t="s">
        <v>201</v>
      </c>
      <c r="B314" t="s">
        <v>65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3">
      <c r="A315" t="s">
        <v>202</v>
      </c>
      <c r="B315" t="s">
        <v>65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3">
      <c r="A316" t="s">
        <v>173</v>
      </c>
      <c r="B316" t="s">
        <v>65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3">
      <c r="A317" t="s">
        <v>174</v>
      </c>
      <c r="B317" t="s">
        <v>65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3">
      <c r="A318" t="s">
        <v>175</v>
      </c>
      <c r="B318" t="s">
        <v>65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3">
      <c r="A319" t="s">
        <v>176</v>
      </c>
      <c r="B319" t="s">
        <v>65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3">
      <c r="A320" t="s">
        <v>177</v>
      </c>
      <c r="B320" t="s">
        <v>65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3">
      <c r="A321" t="s">
        <v>178</v>
      </c>
      <c r="B321" t="s">
        <v>65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3">
      <c r="A322" t="s">
        <v>179</v>
      </c>
      <c r="B322" t="s">
        <v>65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3">
      <c r="A323" t="s">
        <v>180</v>
      </c>
      <c r="B323" t="s">
        <v>65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3">
      <c r="A324" t="s">
        <v>181</v>
      </c>
      <c r="B324" t="s">
        <v>65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3">
      <c r="A325" t="s">
        <v>182</v>
      </c>
      <c r="B325" t="s">
        <v>65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3">
      <c r="A326" t="s">
        <v>169</v>
      </c>
      <c r="B326" t="s">
        <v>65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3">
      <c r="A327" t="s">
        <v>170</v>
      </c>
      <c r="B327" t="s">
        <v>65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3">
      <c r="A328" t="s">
        <v>171</v>
      </c>
      <c r="B328" t="s">
        <v>65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3">
      <c r="A329" t="s">
        <v>166</v>
      </c>
      <c r="B329" t="s">
        <v>65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3">
      <c r="A330" t="s">
        <v>158</v>
      </c>
      <c r="B330" t="s">
        <v>65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3">
      <c r="A331" t="s">
        <v>153</v>
      </c>
      <c r="B331" t="s">
        <v>65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3">
      <c r="A332" t="s">
        <v>154</v>
      </c>
      <c r="B332" t="s">
        <v>65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3">
      <c r="A333" t="s">
        <v>155</v>
      </c>
      <c r="B333" t="s">
        <v>65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3">
      <c r="A334" t="s">
        <v>386</v>
      </c>
      <c r="B334" t="s">
        <v>65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3">
      <c r="A335" t="s">
        <v>142</v>
      </c>
      <c r="B335" t="s">
        <v>65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3">
      <c r="A336" t="s">
        <v>143</v>
      </c>
      <c r="B336" t="s">
        <v>65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3">
      <c r="A337" t="s">
        <v>144</v>
      </c>
      <c r="B337" t="s">
        <v>65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3">
      <c r="A338" t="s">
        <v>145</v>
      </c>
      <c r="B338" t="s">
        <v>65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3">
      <c r="A339" t="s">
        <v>146</v>
      </c>
      <c r="B339" t="s">
        <v>65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3">
      <c r="A340" t="s">
        <v>147</v>
      </c>
      <c r="B340" t="s">
        <v>65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3">
      <c r="A341" t="s">
        <v>148</v>
      </c>
      <c r="B341" t="s">
        <v>65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3">
      <c r="A342" t="s">
        <v>149</v>
      </c>
      <c r="B342" t="s">
        <v>65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3">
      <c r="A343" t="s">
        <v>129</v>
      </c>
      <c r="B343" t="s">
        <v>65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3">
      <c r="A344" t="s">
        <v>95</v>
      </c>
      <c r="B344" t="s">
        <v>65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3">
      <c r="A345" t="s">
        <v>96</v>
      </c>
      <c r="B345" t="s">
        <v>65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3">
      <c r="A346" t="s">
        <v>91</v>
      </c>
      <c r="B346" t="s">
        <v>65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3">
      <c r="A347" t="s">
        <v>89</v>
      </c>
      <c r="B347" t="s">
        <v>65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3">
      <c r="A348" t="s">
        <v>73</v>
      </c>
      <c r="B348" t="s">
        <v>65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3">
      <c r="A349" t="s">
        <v>64</v>
      </c>
      <c r="B349" t="s">
        <v>65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3">
      <c r="A350" t="s">
        <v>66</v>
      </c>
      <c r="B350" t="s">
        <v>65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3">
      <c r="A351" t="s">
        <v>387</v>
      </c>
      <c r="B351" t="s">
        <v>65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</row>
    <row r="352" spans="1:60" x14ac:dyDescent="0.3">
      <c r="A352" t="s">
        <v>388</v>
      </c>
      <c r="B352" t="s">
        <v>65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3">
      <c r="A353" t="s">
        <v>389</v>
      </c>
      <c r="B353" t="s">
        <v>65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3">
      <c r="A354" t="s">
        <v>390</v>
      </c>
      <c r="B354" t="s">
        <v>65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3">
      <c r="A355" t="s">
        <v>391</v>
      </c>
      <c r="B355" t="s">
        <v>65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3">
      <c r="A356" t="s">
        <v>392</v>
      </c>
      <c r="B356" t="s">
        <v>65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3">
      <c r="A357" t="s">
        <v>393</v>
      </c>
      <c r="B357" t="s">
        <v>65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3">
      <c r="A358" t="s">
        <v>394</v>
      </c>
      <c r="B358" t="s">
        <v>65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3">
      <c r="A359" t="s">
        <v>395</v>
      </c>
      <c r="B359" t="s">
        <v>65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3">
      <c r="A360" t="s">
        <v>396</v>
      </c>
      <c r="B360" t="s">
        <v>65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3">
      <c r="A361" t="s">
        <v>397</v>
      </c>
      <c r="B361" t="s">
        <v>65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3">
      <c r="A362" t="s">
        <v>398</v>
      </c>
      <c r="B362" t="s">
        <v>65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3">
      <c r="A363" t="s">
        <v>399</v>
      </c>
      <c r="B363" t="s">
        <v>65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3">
      <c r="A364" t="s">
        <v>400</v>
      </c>
      <c r="B364" t="s">
        <v>65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3">
      <c r="A365" t="s">
        <v>401</v>
      </c>
      <c r="B365" t="s">
        <v>65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3">
      <c r="A366" t="s">
        <v>402</v>
      </c>
      <c r="B366" t="s">
        <v>65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3">
      <c r="A367" t="s">
        <v>403</v>
      </c>
      <c r="B367" t="s">
        <v>65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3">
      <c r="A368" t="s">
        <v>404</v>
      </c>
      <c r="B368" t="s">
        <v>65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3">
      <c r="A369" t="s">
        <v>405</v>
      </c>
      <c r="B369" t="s">
        <v>65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3">
      <c r="A370" t="s">
        <v>406</v>
      </c>
      <c r="B370" t="s">
        <v>65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3">
      <c r="A371" t="s">
        <v>407</v>
      </c>
      <c r="B371" t="s">
        <v>65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3">
      <c r="A372" t="s">
        <v>408</v>
      </c>
      <c r="B372" t="s">
        <v>65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3">
      <c r="A373" t="s">
        <v>409</v>
      </c>
      <c r="B373" t="s">
        <v>65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3">
      <c r="A374" t="s">
        <v>410</v>
      </c>
      <c r="B374" t="s">
        <v>65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3">
      <c r="A375" t="s">
        <v>411</v>
      </c>
      <c r="B375" t="s">
        <v>65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3">
      <c r="A376" t="s">
        <v>412</v>
      </c>
      <c r="B376" t="s">
        <v>65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3">
      <c r="A377" t="s">
        <v>413</v>
      </c>
      <c r="B377" t="s">
        <v>65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3">
      <c r="A378" t="s">
        <v>414</v>
      </c>
      <c r="B378" t="s">
        <v>65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3">
      <c r="A379" t="s">
        <v>415</v>
      </c>
      <c r="B379" t="s">
        <v>65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</row>
    <row r="380" spans="1:60" x14ac:dyDescent="0.3">
      <c r="A380" t="s">
        <v>416</v>
      </c>
      <c r="B380" t="s">
        <v>65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3">
      <c r="A381" t="s">
        <v>417</v>
      </c>
      <c r="B381" t="s">
        <v>65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3">
      <c r="A382" t="s">
        <v>418</v>
      </c>
      <c r="B382" t="s">
        <v>65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3">
      <c r="A383" t="s">
        <v>419</v>
      </c>
      <c r="B383" t="s">
        <v>65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3">
      <c r="A384" t="s">
        <v>420</v>
      </c>
      <c r="B384" t="s">
        <v>65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3">
      <c r="A385" t="s">
        <v>421</v>
      </c>
      <c r="B385" t="s">
        <v>65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3">
      <c r="A386" t="s">
        <v>422</v>
      </c>
      <c r="B386" t="s">
        <v>65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3">
      <c r="A387" t="s">
        <v>423</v>
      </c>
      <c r="B387" t="s">
        <v>65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3">
      <c r="A388" t="s">
        <v>424</v>
      </c>
      <c r="B388" t="s">
        <v>65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3">
      <c r="A389" t="s">
        <v>425</v>
      </c>
      <c r="B389" t="s">
        <v>65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3">
      <c r="A390" t="s">
        <v>426</v>
      </c>
      <c r="B390" t="s">
        <v>65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3">
      <c r="A391" t="s">
        <v>427</v>
      </c>
      <c r="B391" t="s">
        <v>65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3">
      <c r="A392" t="s">
        <v>428</v>
      </c>
      <c r="B392" t="s">
        <v>65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3">
      <c r="A393" t="s">
        <v>429</v>
      </c>
      <c r="B393" t="s">
        <v>65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3">
      <c r="A394" t="s">
        <v>430</v>
      </c>
      <c r="B394" t="s">
        <v>65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3">
      <c r="A395" t="s">
        <v>431</v>
      </c>
      <c r="B395" t="s">
        <v>65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3">
      <c r="A396" t="s">
        <v>432</v>
      </c>
      <c r="B396" t="s">
        <v>65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3">
      <c r="A397" t="s">
        <v>433</v>
      </c>
      <c r="B397" t="s">
        <v>65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3">
      <c r="A398" t="s">
        <v>434</v>
      </c>
      <c r="B398" t="s">
        <v>65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3">
      <c r="A399" t="s">
        <v>435</v>
      </c>
      <c r="B399" t="s">
        <v>65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3">
      <c r="A400" t="s">
        <v>436</v>
      </c>
      <c r="B400" t="s">
        <v>65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1" x14ac:dyDescent="0.3">
      <c r="A401" t="s">
        <v>437</v>
      </c>
      <c r="B401" t="s">
        <v>65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1" x14ac:dyDescent="0.3">
      <c r="B402" t="s">
        <v>438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1:61" x14ac:dyDescent="0.3">
      <c r="B403" t="s">
        <v>439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</row>
    <row r="404" spans="1:61" x14ac:dyDescent="0.3">
      <c r="A404" t="s">
        <v>440</v>
      </c>
      <c r="B404" t="s">
        <v>75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</row>
    <row r="405" spans="1:61" x14ac:dyDescent="0.3">
      <c r="A405" t="s">
        <v>377</v>
      </c>
      <c r="B405" t="s">
        <v>377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</row>
    <row r="406" spans="1:61" x14ac:dyDescent="0.3">
      <c r="B406" t="s">
        <v>441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</row>
    <row r="407" spans="1:61" x14ac:dyDescent="0.3">
      <c r="A407" t="s">
        <v>442</v>
      </c>
      <c r="B407" t="s">
        <v>68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</row>
    <row r="408" spans="1:61" x14ac:dyDescent="0.3">
      <c r="A408" t="s">
        <v>445</v>
      </c>
      <c r="B408" t="s">
        <v>72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</row>
    <row r="409" spans="1:61" x14ac:dyDescent="0.3">
      <c r="A409" t="s">
        <v>446</v>
      </c>
      <c r="B409" t="s">
        <v>72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</row>
    <row r="410" spans="1:61" x14ac:dyDescent="0.3">
      <c r="B410" t="s">
        <v>447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</row>
    <row r="411" spans="1:61" x14ac:dyDescent="0.3">
      <c r="B411" t="s">
        <v>448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</row>
    <row r="412" spans="1:61" x14ac:dyDescent="0.3">
      <c r="B412" t="s">
        <v>451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</row>
    <row r="413" spans="1:61" x14ac:dyDescent="0.3">
      <c r="B413" t="s">
        <v>449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</row>
    <row r="414" spans="1:61" x14ac:dyDescent="0.3">
      <c r="B414" t="s">
        <v>450</v>
      </c>
      <c r="C414">
        <v>12.521100000000001</v>
      </c>
      <c r="D414">
        <v>-69.968299999999999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</row>
    <row r="415" spans="1:61" x14ac:dyDescent="0.3">
      <c r="A415" t="s">
        <v>276</v>
      </c>
      <c r="B415" t="s">
        <v>72</v>
      </c>
      <c r="C415">
        <v>37.648899999999998</v>
      </c>
      <c r="D415">
        <v>-122.66549999999999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</row>
    <row r="416" spans="1:61" x14ac:dyDescent="0.3">
      <c r="B416" t="s">
        <v>452</v>
      </c>
      <c r="C416">
        <v>17.0608</v>
      </c>
      <c r="D416">
        <v>-61.796399999999998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</row>
    <row r="417" spans="1:60" x14ac:dyDescent="0.3">
      <c r="A417" t="s">
        <v>453</v>
      </c>
      <c r="B417" t="s">
        <v>65</v>
      </c>
      <c r="C417">
        <v>32.318199999999997</v>
      </c>
      <c r="D417">
        <v>-86.902299999999997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</row>
    <row r="418" spans="1:60" x14ac:dyDescent="0.3">
      <c r="B418" t="s">
        <v>463</v>
      </c>
      <c r="C418">
        <v>-32.522799999999997</v>
      </c>
      <c r="D418">
        <v>-55.765799999999999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</row>
    <row r="419" spans="1:60" x14ac:dyDescent="0.3">
      <c r="B419" t="s">
        <v>464</v>
      </c>
      <c r="C419">
        <v>7.9465000000000003</v>
      </c>
      <c r="D419">
        <v>-1.0232000000000001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</row>
    <row r="420" spans="1:60" x14ac:dyDescent="0.3">
      <c r="A420" t="s">
        <v>465</v>
      </c>
      <c r="B420" t="s">
        <v>65</v>
      </c>
      <c r="C420">
        <v>18.220800000000001</v>
      </c>
      <c r="D420">
        <v>-66.590100000000007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</row>
    <row r="421" spans="1:60" x14ac:dyDescent="0.3">
      <c r="B421" t="s">
        <v>466</v>
      </c>
      <c r="C421">
        <v>49.19</v>
      </c>
      <c r="D421">
        <v>-2.11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</row>
    <row r="422" spans="1:60" x14ac:dyDescent="0.3">
      <c r="B422" t="s">
        <v>467</v>
      </c>
      <c r="C422">
        <v>-22.957599999999999</v>
      </c>
      <c r="D422">
        <v>18.490400000000001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</row>
    <row r="423" spans="1:60" x14ac:dyDescent="0.3">
      <c r="B423" t="s">
        <v>468</v>
      </c>
      <c r="C423">
        <v>-4.6795999999999998</v>
      </c>
      <c r="D423">
        <v>55.491999999999997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</row>
    <row r="424" spans="1:60" x14ac:dyDescent="0.3">
      <c r="B424" t="s">
        <v>469</v>
      </c>
      <c r="C424">
        <v>10.691800000000001</v>
      </c>
      <c r="D424">
        <v>-61.222499999999997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</row>
    <row r="425" spans="1:60" x14ac:dyDescent="0.3">
      <c r="B425" t="s">
        <v>470</v>
      </c>
      <c r="C425">
        <v>6.4238</v>
      </c>
      <c r="D425">
        <v>-66.589699999999993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</row>
    <row r="426" spans="1:60" x14ac:dyDescent="0.3">
      <c r="B426" t="s">
        <v>472</v>
      </c>
      <c r="C426">
        <v>-26.522500000000001</v>
      </c>
      <c r="D426">
        <v>31.465900000000001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</row>
    <row r="427" spans="1:60" x14ac:dyDescent="0.3">
      <c r="B427" t="s">
        <v>473</v>
      </c>
      <c r="C427">
        <v>-0.80369999999999997</v>
      </c>
      <c r="D427">
        <v>11.609400000000001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</row>
    <row r="428" spans="1:60" x14ac:dyDescent="0.3">
      <c r="B428" t="s">
        <v>474</v>
      </c>
      <c r="C428">
        <v>15.7835</v>
      </c>
      <c r="D428">
        <v>-90.230800000000002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</row>
    <row r="429" spans="1:60" x14ac:dyDescent="0.3">
      <c r="B429" t="s">
        <v>475</v>
      </c>
      <c r="C429">
        <v>49.45</v>
      </c>
      <c r="D429">
        <v>-2.58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</row>
    <row r="430" spans="1:60" x14ac:dyDescent="0.3">
      <c r="B430" t="s">
        <v>476</v>
      </c>
      <c r="C430">
        <v>21.007899999999999</v>
      </c>
      <c r="D430">
        <v>10.940799999999999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</row>
    <row r="431" spans="1:60" x14ac:dyDescent="0.3">
      <c r="B431" t="s">
        <v>477</v>
      </c>
      <c r="C431">
        <v>-1.9402999999999999</v>
      </c>
      <c r="D431">
        <v>29.873899999999999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</row>
    <row r="432" spans="1:60" x14ac:dyDescent="0.3">
      <c r="B432" t="s">
        <v>478</v>
      </c>
      <c r="C432">
        <v>13.9094</v>
      </c>
      <c r="D432">
        <v>-60.978900000000003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</row>
    <row r="433" spans="1:60" x14ac:dyDescent="0.3">
      <c r="B433" t="s">
        <v>479</v>
      </c>
      <c r="C433">
        <v>12.984299999999999</v>
      </c>
      <c r="D433">
        <v>-61.287199999999999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</row>
    <row r="434" spans="1:60" x14ac:dyDescent="0.3">
      <c r="B434" t="s">
        <v>480</v>
      </c>
      <c r="C434">
        <v>3.9192999999999998</v>
      </c>
      <c r="D434">
        <v>-56.027799999999999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</row>
    <row r="435" spans="1:60" x14ac:dyDescent="0.3">
      <c r="A435" t="s">
        <v>203</v>
      </c>
      <c r="B435" t="s">
        <v>68</v>
      </c>
      <c r="C435">
        <v>3.9339</v>
      </c>
      <c r="D435">
        <v>-53.125799999999998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</row>
    <row r="436" spans="1:60" x14ac:dyDescent="0.3">
      <c r="A436" t="s">
        <v>491</v>
      </c>
      <c r="B436" t="s">
        <v>65</v>
      </c>
      <c r="C436">
        <v>13.4443</v>
      </c>
      <c r="D436">
        <v>144.7937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</row>
    <row r="437" spans="1:60" x14ac:dyDescent="0.3">
      <c r="B437" t="s">
        <v>492</v>
      </c>
      <c r="C437">
        <v>42.602600000000002</v>
      </c>
      <c r="D437">
        <v>20.902999999999999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1:60" x14ac:dyDescent="0.3">
      <c r="A438" t="s">
        <v>493</v>
      </c>
      <c r="B438" t="s">
        <v>72</v>
      </c>
      <c r="C438">
        <v>53.1355</v>
      </c>
      <c r="D438">
        <v>-57.660400000000003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</row>
    <row r="439" spans="1:60" x14ac:dyDescent="0.3">
      <c r="A439" t="s">
        <v>494</v>
      </c>
      <c r="B439" t="s">
        <v>72</v>
      </c>
      <c r="C439">
        <v>46.5107</v>
      </c>
      <c r="D439">
        <v>-63.416800000000002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</row>
    <row r="440" spans="1:60" x14ac:dyDescent="0.3">
      <c r="B440" t="s">
        <v>495</v>
      </c>
      <c r="C440">
        <v>6.6111000000000004</v>
      </c>
      <c r="D440">
        <v>20.939399999999999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</row>
    <row r="441" spans="1:60" x14ac:dyDescent="0.3">
      <c r="B441" t="s">
        <v>496</v>
      </c>
      <c r="C441">
        <v>-4.0382999999999996</v>
      </c>
      <c r="D441">
        <v>21.758700000000001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</row>
    <row r="442" spans="1:60" x14ac:dyDescent="0.3">
      <c r="B442" t="s">
        <v>497</v>
      </c>
      <c r="C442">
        <v>1.5</v>
      </c>
      <c r="D442">
        <v>10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</row>
    <row r="443" spans="1:60" x14ac:dyDescent="0.3">
      <c r="A443" t="s">
        <v>498</v>
      </c>
      <c r="B443" t="s">
        <v>68</v>
      </c>
      <c r="C443">
        <v>-12.827500000000001</v>
      </c>
      <c r="D443">
        <v>45.166200000000003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</row>
    <row r="444" spans="1:60" x14ac:dyDescent="0.3">
      <c r="B444" t="s">
        <v>499</v>
      </c>
      <c r="C444">
        <v>41.377499999999998</v>
      </c>
      <c r="D444">
        <v>64.585300000000004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</row>
    <row r="445" spans="1:60" x14ac:dyDescent="0.3">
      <c r="A445" t="s">
        <v>116</v>
      </c>
      <c r="B445" t="s">
        <v>116</v>
      </c>
      <c r="C445">
        <v>52.132599999999996</v>
      </c>
      <c r="D445">
        <v>5.2912999999999997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2</v>
      </c>
      <c r="BF445">
        <v>2</v>
      </c>
      <c r="BG445">
        <v>2</v>
      </c>
      <c r="BH445">
        <v>2</v>
      </c>
    </row>
    <row r="446" spans="1:60" x14ac:dyDescent="0.3">
      <c r="A446" t="s">
        <v>503</v>
      </c>
      <c r="B446" t="s">
        <v>72</v>
      </c>
      <c r="C446">
        <v>44.682000000000002</v>
      </c>
      <c r="D446">
        <v>-63.744300000000003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</row>
    <row r="447" spans="1:60" x14ac:dyDescent="0.3">
      <c r="A447" t="s">
        <v>444</v>
      </c>
      <c r="B447" t="s">
        <v>68</v>
      </c>
      <c r="C447">
        <v>16.25</v>
      </c>
      <c r="D447">
        <v>-61.583300000000001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</row>
    <row r="448" spans="1:60" x14ac:dyDescent="0.3">
      <c r="B448" t="s">
        <v>504</v>
      </c>
      <c r="C448">
        <v>9.3077000000000005</v>
      </c>
      <c r="D448">
        <v>2.3157999999999999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</row>
    <row r="449" spans="1:60" x14ac:dyDescent="0.3">
      <c r="B449" t="s">
        <v>505</v>
      </c>
      <c r="C449">
        <v>71.706900000000005</v>
      </c>
      <c r="D449">
        <v>-42.604300000000002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</row>
    <row r="450" spans="1:60" x14ac:dyDescent="0.3">
      <c r="B450" t="s">
        <v>506</v>
      </c>
      <c r="C450">
        <v>6.4280999999999997</v>
      </c>
      <c r="D450">
        <v>-9.4295000000000009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</row>
    <row r="451" spans="1:60" x14ac:dyDescent="0.3">
      <c r="A451" t="s">
        <v>471</v>
      </c>
      <c r="B451" t="s">
        <v>116</v>
      </c>
      <c r="C451">
        <v>12.169600000000001</v>
      </c>
      <c r="D451">
        <v>-68.989999999999995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</row>
    <row r="452" spans="1:60" x14ac:dyDescent="0.3">
      <c r="B452" t="s">
        <v>507</v>
      </c>
      <c r="C452">
        <v>-1.44</v>
      </c>
      <c r="D452">
        <v>15.555999999999999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</row>
    <row r="453" spans="1:60" x14ac:dyDescent="0.3">
      <c r="B453" t="s">
        <v>508</v>
      </c>
      <c r="C453">
        <v>5.1520999999999999</v>
      </c>
      <c r="D453">
        <v>46.199599999999997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</row>
    <row r="454" spans="1:60" x14ac:dyDescent="0.3">
      <c r="B454" t="s">
        <v>509</v>
      </c>
      <c r="C454">
        <v>-6.3689999999999998</v>
      </c>
      <c r="D454">
        <v>34.888800000000003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</row>
    <row r="455" spans="1:60" x14ac:dyDescent="0.3">
      <c r="B455" t="s">
        <v>510</v>
      </c>
      <c r="C455">
        <v>24.25</v>
      </c>
      <c r="D455">
        <v>-76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</row>
    <row r="456" spans="1:60" x14ac:dyDescent="0.3">
      <c r="A456" t="s">
        <v>511</v>
      </c>
      <c r="B456" t="s">
        <v>65</v>
      </c>
      <c r="C456">
        <v>18.335799999999999</v>
      </c>
      <c r="D456">
        <v>-64.896299999999997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</row>
    <row r="457" spans="1:60" x14ac:dyDescent="0.3">
      <c r="A457" t="s">
        <v>443</v>
      </c>
      <c r="B457" t="s">
        <v>377</v>
      </c>
      <c r="C457">
        <v>19.313300000000002</v>
      </c>
      <c r="D457">
        <v>-81.254599999999996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</row>
    <row r="458" spans="1:60" x14ac:dyDescent="0.3">
      <c r="A458" t="s">
        <v>382</v>
      </c>
      <c r="B458" t="s">
        <v>68</v>
      </c>
      <c r="C458">
        <v>-21.135100000000001</v>
      </c>
      <c r="D458">
        <v>55.247100000000003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</row>
    <row r="459" spans="1:60" x14ac:dyDescent="0.3">
      <c r="B459" t="s">
        <v>570</v>
      </c>
      <c r="C459">
        <v>13.193899999999999</v>
      </c>
      <c r="D459">
        <v>-59.543199999999999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</row>
    <row r="460" spans="1:60" x14ac:dyDescent="0.3">
      <c r="B460" t="s">
        <v>564</v>
      </c>
      <c r="C460">
        <v>42.5</v>
      </c>
      <c r="D460">
        <v>19.3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</row>
    <row r="461" spans="1:60" x14ac:dyDescent="0.3">
      <c r="B461" t="s">
        <v>625</v>
      </c>
      <c r="C461">
        <v>13.466699999999999</v>
      </c>
      <c r="D461">
        <v>-16.600000000000001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dimension ref="A1:BI461"/>
  <sheetViews>
    <sheetView topLeftCell="AM400" workbookViewId="0">
      <selection activeCell="BI406" sqref="BI406"/>
    </sheetView>
  </sheetViews>
  <sheetFormatPr defaultRowHeight="14.4" x14ac:dyDescent="0.3"/>
  <sheetData>
    <row r="1" spans="1:6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16">
        <v>43832</v>
      </c>
      <c r="P1" s="16">
        <v>43863</v>
      </c>
      <c r="Q1" s="16">
        <v>43892</v>
      </c>
      <c r="R1" s="16">
        <v>43923</v>
      </c>
      <c r="S1" s="16">
        <v>43953</v>
      </c>
      <c r="T1" s="16">
        <v>43984</v>
      </c>
      <c r="U1" s="16">
        <v>44014</v>
      </c>
      <c r="V1" s="16">
        <v>44045</v>
      </c>
      <c r="W1" s="16">
        <v>44076</v>
      </c>
      <c r="X1" s="16">
        <v>44106</v>
      </c>
      <c r="Y1" s="16">
        <v>44137</v>
      </c>
      <c r="Z1" s="16">
        <v>44167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s="16">
        <v>43833</v>
      </c>
      <c r="AS1" s="16">
        <v>43864</v>
      </c>
      <c r="AT1" s="16">
        <v>43893</v>
      </c>
      <c r="AU1" s="16">
        <v>43924</v>
      </c>
      <c r="AV1" s="16">
        <v>43954</v>
      </c>
      <c r="AW1" s="16">
        <v>43985</v>
      </c>
      <c r="AX1" s="16">
        <v>44015</v>
      </c>
      <c r="AY1" s="16">
        <v>44046</v>
      </c>
      <c r="AZ1" s="16">
        <v>44077</v>
      </c>
      <c r="BA1" s="16">
        <v>44107</v>
      </c>
      <c r="BB1" s="16">
        <v>44138</v>
      </c>
      <c r="BC1" s="16">
        <v>44168</v>
      </c>
      <c r="BD1" t="s">
        <v>364</v>
      </c>
      <c r="BE1" t="s">
        <v>461</v>
      </c>
      <c r="BF1" t="s">
        <v>490</v>
      </c>
      <c r="BG1" t="s">
        <v>502</v>
      </c>
      <c r="BH1" t="s">
        <v>624</v>
      </c>
    </row>
    <row r="2" spans="1:60" x14ac:dyDescent="0.3">
      <c r="B2" t="s">
        <v>62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</row>
    <row r="3" spans="1:60" x14ac:dyDescent="0.3">
      <c r="B3" t="s">
        <v>63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</row>
    <row r="4" spans="1:60" x14ac:dyDescent="0.3">
      <c r="B4" t="s">
        <v>67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</row>
    <row r="5" spans="1:60" x14ac:dyDescent="0.3">
      <c r="B5" t="s">
        <v>69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</row>
    <row r="6" spans="1:60" x14ac:dyDescent="0.3">
      <c r="B6" t="s">
        <v>70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</row>
    <row r="7" spans="1:60" x14ac:dyDescent="0.3">
      <c r="A7" t="s">
        <v>71</v>
      </c>
      <c r="B7" t="s">
        <v>72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</row>
    <row r="8" spans="1:60" x14ac:dyDescent="0.3">
      <c r="A8" t="s">
        <v>74</v>
      </c>
      <c r="B8" t="s">
        <v>75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</row>
    <row r="9" spans="1:60" x14ac:dyDescent="0.3">
      <c r="A9" t="s">
        <v>76</v>
      </c>
      <c r="B9" t="s">
        <v>75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</row>
    <row r="10" spans="1:60" x14ac:dyDescent="0.3">
      <c r="A10" t="s">
        <v>77</v>
      </c>
      <c r="B10" t="s">
        <v>75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</row>
    <row r="11" spans="1:60" x14ac:dyDescent="0.3">
      <c r="B11" t="s">
        <v>78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60" x14ac:dyDescent="0.3">
      <c r="B12" t="s">
        <v>79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</row>
    <row r="13" spans="1:60" x14ac:dyDescent="0.3">
      <c r="B13" t="s">
        <v>80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</row>
    <row r="14" spans="1:60" x14ac:dyDescent="0.3">
      <c r="B14" t="s">
        <v>81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</row>
    <row r="15" spans="1:60" x14ac:dyDescent="0.3">
      <c r="B15" t="s">
        <v>82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</row>
    <row r="16" spans="1:60" x14ac:dyDescent="0.3">
      <c r="B16" t="s">
        <v>83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</row>
    <row r="17" spans="1:60" x14ac:dyDescent="0.3">
      <c r="B17" t="s">
        <v>84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</row>
    <row r="18" spans="1:60" x14ac:dyDescent="0.3">
      <c r="B18" t="s">
        <v>85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</row>
    <row r="19" spans="1:60" x14ac:dyDescent="0.3">
      <c r="B19" t="s">
        <v>86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</row>
    <row r="20" spans="1:60" x14ac:dyDescent="0.3">
      <c r="B20" t="s">
        <v>87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</row>
    <row r="21" spans="1:60" x14ac:dyDescent="0.3">
      <c r="A21" t="s">
        <v>88</v>
      </c>
      <c r="B21" t="s">
        <v>75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</row>
    <row r="22" spans="1:60" x14ac:dyDescent="0.3">
      <c r="B22" t="s">
        <v>90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</row>
    <row r="23" spans="1:60" x14ac:dyDescent="0.3">
      <c r="B23" t="s">
        <v>92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</row>
    <row r="24" spans="1:60" x14ac:dyDescent="0.3">
      <c r="A24" t="s">
        <v>93</v>
      </c>
      <c r="B24" t="s">
        <v>75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3">
      <c r="B25" t="s">
        <v>94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</row>
    <row r="26" spans="1:60" x14ac:dyDescent="0.3">
      <c r="B26" t="s">
        <v>97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</row>
    <row r="27" spans="1:60" x14ac:dyDescent="0.3">
      <c r="B27" t="s">
        <v>98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</row>
    <row r="28" spans="1:60" x14ac:dyDescent="0.3">
      <c r="B28" t="s">
        <v>99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</row>
    <row r="29" spans="1:60" x14ac:dyDescent="0.3">
      <c r="B29" t="s">
        <v>100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</row>
    <row r="30" spans="1:60" x14ac:dyDescent="0.3">
      <c r="B30" t="s">
        <v>101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</row>
    <row r="31" spans="1:60" x14ac:dyDescent="0.3">
      <c r="B31" t="s">
        <v>102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</row>
    <row r="32" spans="1:60" x14ac:dyDescent="0.3">
      <c r="B32" t="s">
        <v>103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</row>
    <row r="33" spans="2:60" x14ac:dyDescent="0.3">
      <c r="B33" t="s">
        <v>104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</row>
    <row r="34" spans="2:60" x14ac:dyDescent="0.3">
      <c r="B34" t="s">
        <v>105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</row>
    <row r="35" spans="2:60" x14ac:dyDescent="0.3">
      <c r="B35" t="s">
        <v>106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</row>
    <row r="36" spans="2:60" x14ac:dyDescent="0.3">
      <c r="B36" t="s">
        <v>107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</row>
    <row r="37" spans="2:60" x14ac:dyDescent="0.3">
      <c r="B37" t="s">
        <v>108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</row>
    <row r="38" spans="2:60" x14ac:dyDescent="0.3">
      <c r="B38" t="s">
        <v>109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</row>
    <row r="39" spans="2:60" x14ac:dyDescent="0.3">
      <c r="B39" t="s">
        <v>110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</row>
    <row r="40" spans="2:60" x14ac:dyDescent="0.3">
      <c r="B40" t="s">
        <v>111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</row>
    <row r="41" spans="2:60" x14ac:dyDescent="0.3">
      <c r="B41" t="s">
        <v>112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</row>
    <row r="42" spans="2:60" x14ac:dyDescent="0.3">
      <c r="B42" t="s">
        <v>113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</row>
    <row r="43" spans="2:60" x14ac:dyDescent="0.3">
      <c r="B43" t="s">
        <v>115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</row>
    <row r="44" spans="2:60" x14ac:dyDescent="0.3">
      <c r="B44" t="s">
        <v>117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</row>
    <row r="45" spans="2:60" x14ac:dyDescent="0.3">
      <c r="B45" t="s">
        <v>118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</row>
    <row r="46" spans="2:60" x14ac:dyDescent="0.3">
      <c r="B46" t="s">
        <v>119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</row>
    <row r="47" spans="2:60" x14ac:dyDescent="0.3">
      <c r="B47" t="s">
        <v>120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</row>
    <row r="48" spans="2:60" x14ac:dyDescent="0.3">
      <c r="B48" t="s">
        <v>121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</row>
    <row r="49" spans="1:60" x14ac:dyDescent="0.3">
      <c r="B49" t="s">
        <v>122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</row>
    <row r="50" spans="1:60" x14ac:dyDescent="0.3">
      <c r="B50" t="s">
        <v>123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</row>
    <row r="51" spans="1:60" x14ac:dyDescent="0.3">
      <c r="A51" t="s">
        <v>124</v>
      </c>
      <c r="B51" t="s">
        <v>75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</row>
    <row r="52" spans="1:60" x14ac:dyDescent="0.3">
      <c r="B52" t="s">
        <v>125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</row>
    <row r="53" spans="1:60" x14ac:dyDescent="0.3">
      <c r="B53" t="s">
        <v>126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</row>
    <row r="54" spans="1:60" x14ac:dyDescent="0.3">
      <c r="B54" t="s">
        <v>127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</row>
    <row r="55" spans="1:60" x14ac:dyDescent="0.3">
      <c r="B55" t="s">
        <v>128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</row>
    <row r="56" spans="1:60" x14ac:dyDescent="0.3">
      <c r="B56" t="s">
        <v>130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</row>
    <row r="57" spans="1:60" x14ac:dyDescent="0.3">
      <c r="B57" t="s">
        <v>131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</row>
    <row r="58" spans="1:60" x14ac:dyDescent="0.3">
      <c r="B58" t="s">
        <v>132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</row>
    <row r="59" spans="1:60" x14ac:dyDescent="0.3">
      <c r="B59" t="s">
        <v>133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</row>
    <row r="60" spans="1:60" x14ac:dyDescent="0.3">
      <c r="B60" t="s">
        <v>134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</row>
    <row r="61" spans="1:60" x14ac:dyDescent="0.3">
      <c r="B61" t="s">
        <v>135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</row>
    <row r="62" spans="1:60" x14ac:dyDescent="0.3">
      <c r="B62" t="s">
        <v>136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</row>
    <row r="63" spans="1:60" x14ac:dyDescent="0.3">
      <c r="A63" t="s">
        <v>137</v>
      </c>
      <c r="B63" t="s">
        <v>75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</row>
    <row r="64" spans="1:60" x14ac:dyDescent="0.3">
      <c r="B64" t="s">
        <v>138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</row>
    <row r="65" spans="1:60" x14ac:dyDescent="0.3">
      <c r="B65" t="s">
        <v>139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</row>
    <row r="66" spans="1:60" x14ac:dyDescent="0.3">
      <c r="B66" t="s">
        <v>140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</row>
    <row r="67" spans="1:60" x14ac:dyDescent="0.3">
      <c r="B67" t="s">
        <v>141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</row>
    <row r="68" spans="1:60" x14ac:dyDescent="0.3">
      <c r="B68" t="s">
        <v>150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</row>
    <row r="69" spans="1:60" x14ac:dyDescent="0.3">
      <c r="B69" t="s">
        <v>151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</row>
    <row r="70" spans="1:60" x14ac:dyDescent="0.3">
      <c r="B70" t="s">
        <v>152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</row>
    <row r="71" spans="1:60" x14ac:dyDescent="0.3">
      <c r="B71" t="s">
        <v>156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</row>
    <row r="72" spans="1:60" x14ac:dyDescent="0.3">
      <c r="B72" t="s">
        <v>159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</row>
    <row r="73" spans="1:60" x14ac:dyDescent="0.3">
      <c r="A73" t="s">
        <v>160</v>
      </c>
      <c r="B73" t="s">
        <v>75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</row>
    <row r="74" spans="1:60" x14ac:dyDescent="0.3">
      <c r="B74" t="s">
        <v>163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</row>
    <row r="75" spans="1:60" x14ac:dyDescent="0.3">
      <c r="B75" t="s">
        <v>164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</row>
    <row r="76" spans="1:60" x14ac:dyDescent="0.3">
      <c r="B76" t="s">
        <v>165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</row>
    <row r="77" spans="1:60" x14ac:dyDescent="0.3">
      <c r="B77" t="s">
        <v>167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</row>
    <row r="78" spans="1:60" x14ac:dyDescent="0.3">
      <c r="B78" t="s">
        <v>168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</row>
    <row r="79" spans="1:60" x14ac:dyDescent="0.3">
      <c r="B79" t="s">
        <v>172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</row>
    <row r="80" spans="1:60" x14ac:dyDescent="0.3">
      <c r="B80" t="s">
        <v>183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</row>
    <row r="81" spans="1:60" x14ac:dyDescent="0.3">
      <c r="B81" t="s">
        <v>184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</row>
    <row r="82" spans="1:60" x14ac:dyDescent="0.3">
      <c r="B82" t="s">
        <v>185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</row>
    <row r="83" spans="1:60" x14ac:dyDescent="0.3">
      <c r="B83" t="s">
        <v>186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</row>
    <row r="84" spans="1:60" x14ac:dyDescent="0.3">
      <c r="B84" t="s">
        <v>187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</row>
    <row r="85" spans="1:60" x14ac:dyDescent="0.3">
      <c r="B85" t="s">
        <v>188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</row>
    <row r="86" spans="1:60" x14ac:dyDescent="0.3">
      <c r="B86" t="s">
        <v>189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</row>
    <row r="87" spans="1:60" x14ac:dyDescent="0.3">
      <c r="B87" t="s">
        <v>190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</row>
    <row r="88" spans="1:60" x14ac:dyDescent="0.3">
      <c r="B88" t="s">
        <v>204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</row>
    <row r="89" spans="1:60" x14ac:dyDescent="0.3">
      <c r="B89" t="s">
        <v>207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</row>
    <row r="90" spans="1:60" x14ac:dyDescent="0.3">
      <c r="B90" t="s">
        <v>226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</row>
    <row r="91" spans="1:60" x14ac:dyDescent="0.3">
      <c r="B91" t="s">
        <v>227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</row>
    <row r="92" spans="1:60" x14ac:dyDescent="0.3">
      <c r="B92" t="s">
        <v>229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</row>
    <row r="93" spans="1:60" x14ac:dyDescent="0.3">
      <c r="B93" t="s">
        <v>233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</row>
    <row r="94" spans="1:60" x14ac:dyDescent="0.3">
      <c r="A94" t="s">
        <v>253</v>
      </c>
      <c r="B94" t="s">
        <v>72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</row>
    <row r="95" spans="1:60" x14ac:dyDescent="0.3">
      <c r="A95" t="s">
        <v>254</v>
      </c>
      <c r="B95" t="s">
        <v>72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</row>
    <row r="96" spans="1:60" x14ac:dyDescent="0.3">
      <c r="A96" t="s">
        <v>255</v>
      </c>
      <c r="B96" t="s">
        <v>72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</row>
    <row r="97" spans="1:60" x14ac:dyDescent="0.3">
      <c r="B97" t="s">
        <v>257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</row>
    <row r="98" spans="1:60" x14ac:dyDescent="0.3">
      <c r="B98" t="s">
        <v>258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</row>
    <row r="99" spans="1:60" x14ac:dyDescent="0.3">
      <c r="B99" t="s">
        <v>260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</row>
    <row r="100" spans="1:60" x14ac:dyDescent="0.3">
      <c r="A100" t="s">
        <v>270</v>
      </c>
      <c r="B100" t="s">
        <v>65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</row>
    <row r="101" spans="1:60" x14ac:dyDescent="0.3">
      <c r="A101" t="s">
        <v>271</v>
      </c>
      <c r="B101" t="s">
        <v>65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</row>
    <row r="102" spans="1:60" x14ac:dyDescent="0.3">
      <c r="A102" t="s">
        <v>272</v>
      </c>
      <c r="B102" t="s">
        <v>65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</row>
    <row r="103" spans="1:60" x14ac:dyDescent="0.3">
      <c r="A103" t="s">
        <v>274</v>
      </c>
      <c r="B103" t="s">
        <v>65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</row>
    <row r="104" spans="1:60" x14ac:dyDescent="0.3">
      <c r="A104" t="s">
        <v>275</v>
      </c>
      <c r="B104" t="s">
        <v>65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</row>
    <row r="105" spans="1:60" x14ac:dyDescent="0.3">
      <c r="A105" t="s">
        <v>276</v>
      </c>
      <c r="B105" t="s">
        <v>65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</row>
    <row r="106" spans="1:60" x14ac:dyDescent="0.3">
      <c r="A106" t="s">
        <v>109</v>
      </c>
      <c r="B106" t="s">
        <v>65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</row>
    <row r="107" spans="1:60" x14ac:dyDescent="0.3">
      <c r="A107" t="s">
        <v>277</v>
      </c>
      <c r="B107" t="s">
        <v>65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</row>
    <row r="108" spans="1:60" x14ac:dyDescent="0.3">
      <c r="A108" t="s">
        <v>278</v>
      </c>
      <c r="B108" t="s">
        <v>65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</row>
    <row r="109" spans="1:60" x14ac:dyDescent="0.3">
      <c r="A109" t="s">
        <v>279</v>
      </c>
      <c r="B109" t="s">
        <v>65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</row>
    <row r="110" spans="1:60" x14ac:dyDescent="0.3">
      <c r="A110" t="s">
        <v>280</v>
      </c>
      <c r="B110" t="s">
        <v>65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</row>
    <row r="111" spans="1:60" x14ac:dyDescent="0.3">
      <c r="A111" t="s">
        <v>281</v>
      </c>
      <c r="B111" t="s">
        <v>65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</row>
    <row r="112" spans="1:60" x14ac:dyDescent="0.3">
      <c r="A112" t="s">
        <v>282</v>
      </c>
      <c r="B112" t="s">
        <v>65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</row>
    <row r="113" spans="1:60" x14ac:dyDescent="0.3">
      <c r="A113" t="s">
        <v>283</v>
      </c>
      <c r="B113" t="s">
        <v>65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</row>
    <row r="114" spans="1:60" x14ac:dyDescent="0.3">
      <c r="A114" t="s">
        <v>285</v>
      </c>
      <c r="B114" t="s">
        <v>65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</row>
    <row r="115" spans="1:60" x14ac:dyDescent="0.3">
      <c r="A115" t="s">
        <v>286</v>
      </c>
      <c r="B115" t="s">
        <v>65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</row>
    <row r="116" spans="1:60" x14ac:dyDescent="0.3">
      <c r="A116" t="s">
        <v>287</v>
      </c>
      <c r="B116" t="s">
        <v>65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</row>
    <row r="117" spans="1:60" x14ac:dyDescent="0.3">
      <c r="A117" t="s">
        <v>288</v>
      </c>
      <c r="B117" t="s">
        <v>65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</row>
    <row r="118" spans="1:60" x14ac:dyDescent="0.3">
      <c r="A118" t="s">
        <v>289</v>
      </c>
      <c r="B118" t="s">
        <v>65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</row>
    <row r="119" spans="1:60" x14ac:dyDescent="0.3">
      <c r="A119" t="s">
        <v>290</v>
      </c>
      <c r="B119" t="s">
        <v>65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</row>
    <row r="120" spans="1:60" x14ac:dyDescent="0.3">
      <c r="A120" t="s">
        <v>291</v>
      </c>
      <c r="B120" t="s">
        <v>65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</row>
    <row r="121" spans="1:60" x14ac:dyDescent="0.3">
      <c r="A121" t="s">
        <v>292</v>
      </c>
      <c r="B121" t="s">
        <v>65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</row>
    <row r="122" spans="1:60" x14ac:dyDescent="0.3">
      <c r="A122" t="s">
        <v>293</v>
      </c>
      <c r="B122" t="s">
        <v>65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</row>
    <row r="123" spans="1:60" x14ac:dyDescent="0.3">
      <c r="A123" t="s">
        <v>294</v>
      </c>
      <c r="B123" t="s">
        <v>65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</row>
    <row r="124" spans="1:60" x14ac:dyDescent="0.3">
      <c r="A124" t="s">
        <v>295</v>
      </c>
      <c r="B124" t="s">
        <v>65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</row>
    <row r="125" spans="1:60" x14ac:dyDescent="0.3">
      <c r="A125" t="s">
        <v>296</v>
      </c>
      <c r="B125" t="s">
        <v>65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</row>
    <row r="126" spans="1:60" x14ac:dyDescent="0.3">
      <c r="A126" t="s">
        <v>297</v>
      </c>
      <c r="B126" t="s">
        <v>65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</row>
    <row r="127" spans="1:60" x14ac:dyDescent="0.3">
      <c r="A127" t="s">
        <v>298</v>
      </c>
      <c r="B127" t="s">
        <v>65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</row>
    <row r="128" spans="1:60" x14ac:dyDescent="0.3">
      <c r="A128" t="s">
        <v>299</v>
      </c>
      <c r="B128" t="s">
        <v>65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</row>
    <row r="129" spans="1:60" x14ac:dyDescent="0.3">
      <c r="A129" t="s">
        <v>300</v>
      </c>
      <c r="B129" t="s">
        <v>65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</row>
    <row r="130" spans="1:60" x14ac:dyDescent="0.3">
      <c r="A130" t="s">
        <v>301</v>
      </c>
      <c r="B130" t="s">
        <v>65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</row>
    <row r="131" spans="1:60" x14ac:dyDescent="0.3">
      <c r="A131" t="s">
        <v>302</v>
      </c>
      <c r="B131" t="s">
        <v>65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</row>
    <row r="132" spans="1:60" x14ac:dyDescent="0.3">
      <c r="A132" t="s">
        <v>303</v>
      </c>
      <c r="B132" t="s">
        <v>65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</row>
    <row r="133" spans="1:60" x14ac:dyDescent="0.3">
      <c r="A133" t="s">
        <v>304</v>
      </c>
      <c r="B133" t="s">
        <v>65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</row>
    <row r="134" spans="1:60" x14ac:dyDescent="0.3">
      <c r="A134" t="s">
        <v>305</v>
      </c>
      <c r="B134" t="s">
        <v>65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</row>
    <row r="135" spans="1:60" x14ac:dyDescent="0.3">
      <c r="B135" t="s">
        <v>306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</row>
    <row r="136" spans="1:60" x14ac:dyDescent="0.3">
      <c r="B136" t="s">
        <v>308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</row>
    <row r="137" spans="1:60" x14ac:dyDescent="0.3">
      <c r="B137" t="s">
        <v>309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</row>
    <row r="138" spans="1:60" x14ac:dyDescent="0.3">
      <c r="B138" t="s">
        <v>310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</row>
    <row r="139" spans="1:60" x14ac:dyDescent="0.3">
      <c r="A139" t="s">
        <v>311</v>
      </c>
      <c r="B139" t="s">
        <v>65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</row>
    <row r="140" spans="1:60" x14ac:dyDescent="0.3">
      <c r="A140" t="s">
        <v>312</v>
      </c>
      <c r="B140" t="s">
        <v>65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</row>
    <row r="141" spans="1:60" x14ac:dyDescent="0.3">
      <c r="A141" t="s">
        <v>313</v>
      </c>
      <c r="B141" t="s">
        <v>65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</row>
    <row r="142" spans="1:60" x14ac:dyDescent="0.3">
      <c r="A142" t="s">
        <v>314</v>
      </c>
      <c r="B142" t="s">
        <v>65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</row>
    <row r="143" spans="1:60" x14ac:dyDescent="0.3">
      <c r="A143" t="s">
        <v>315</v>
      </c>
      <c r="B143" t="s">
        <v>65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</row>
    <row r="144" spans="1:60" x14ac:dyDescent="0.3">
      <c r="A144" t="s">
        <v>316</v>
      </c>
      <c r="B144" t="s">
        <v>65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</row>
    <row r="145" spans="1:60" x14ac:dyDescent="0.3">
      <c r="A145" t="s">
        <v>317</v>
      </c>
      <c r="B145" t="s">
        <v>65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</row>
    <row r="146" spans="1:60" x14ac:dyDescent="0.3">
      <c r="A146" t="s">
        <v>318</v>
      </c>
      <c r="B146" t="s">
        <v>65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</row>
    <row r="147" spans="1:60" x14ac:dyDescent="0.3">
      <c r="A147" t="s">
        <v>319</v>
      </c>
      <c r="B147" t="s">
        <v>65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</row>
    <row r="148" spans="1:60" x14ac:dyDescent="0.3">
      <c r="A148" t="s">
        <v>320</v>
      </c>
      <c r="B148" t="s">
        <v>65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</row>
    <row r="149" spans="1:60" x14ac:dyDescent="0.3">
      <c r="A149" t="s">
        <v>321</v>
      </c>
      <c r="B149" t="s">
        <v>65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</row>
    <row r="150" spans="1:60" x14ac:dyDescent="0.3">
      <c r="A150" t="s">
        <v>322</v>
      </c>
      <c r="B150" t="s">
        <v>65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</row>
    <row r="151" spans="1:60" x14ac:dyDescent="0.3">
      <c r="A151" t="s">
        <v>323</v>
      </c>
      <c r="B151" t="s">
        <v>65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</row>
    <row r="152" spans="1:60" x14ac:dyDescent="0.3">
      <c r="A152" t="s">
        <v>324</v>
      </c>
      <c r="B152" t="s">
        <v>65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</row>
    <row r="153" spans="1:60" x14ac:dyDescent="0.3">
      <c r="A153" t="s">
        <v>325</v>
      </c>
      <c r="B153" t="s">
        <v>65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</row>
    <row r="154" spans="1:60" x14ac:dyDescent="0.3">
      <c r="A154" t="s">
        <v>326</v>
      </c>
      <c r="B154" t="s">
        <v>65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3">
      <c r="A155" t="s">
        <v>327</v>
      </c>
      <c r="B155" t="s">
        <v>65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</row>
    <row r="156" spans="1:60" x14ac:dyDescent="0.3">
      <c r="A156" t="s">
        <v>43</v>
      </c>
      <c r="B156" t="s">
        <v>365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</row>
    <row r="157" spans="1:60" x14ac:dyDescent="0.3">
      <c r="B157" t="s">
        <v>366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</row>
    <row r="158" spans="1:60" x14ac:dyDescent="0.3">
      <c r="B158" t="s">
        <v>367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</row>
    <row r="159" spans="1:60" x14ac:dyDescent="0.3">
      <c r="A159" t="s">
        <v>68</v>
      </c>
      <c r="B159" t="s">
        <v>68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</row>
    <row r="160" spans="1:60" x14ac:dyDescent="0.3">
      <c r="A160" t="s">
        <v>36</v>
      </c>
      <c r="B160" t="s">
        <v>365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</row>
    <row r="161" spans="1:60" x14ac:dyDescent="0.3">
      <c r="A161" t="s">
        <v>42</v>
      </c>
      <c r="B161" t="s">
        <v>365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</row>
    <row r="162" spans="1:60" x14ac:dyDescent="0.3">
      <c r="A162" t="s">
        <v>61</v>
      </c>
      <c r="B162" t="s">
        <v>365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</row>
    <row r="163" spans="1:60" x14ac:dyDescent="0.3">
      <c r="A163" t="s">
        <v>44</v>
      </c>
      <c r="B163" t="s">
        <v>365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</row>
    <row r="164" spans="1:60" x14ac:dyDescent="0.3">
      <c r="A164" t="s">
        <v>31</v>
      </c>
      <c r="B164" t="s">
        <v>365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</row>
    <row r="165" spans="1:60" x14ac:dyDescent="0.3">
      <c r="A165" t="s">
        <v>47</v>
      </c>
      <c r="B165" t="s">
        <v>365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</row>
    <row r="166" spans="1:60" x14ac:dyDescent="0.3">
      <c r="A166" t="s">
        <v>53</v>
      </c>
      <c r="B166" t="s">
        <v>365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</row>
    <row r="167" spans="1:60" x14ac:dyDescent="0.3">
      <c r="A167" t="s">
        <v>275</v>
      </c>
      <c r="B167" t="s">
        <v>368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</row>
    <row r="168" spans="1:60" x14ac:dyDescent="0.3">
      <c r="A168" t="s">
        <v>46</v>
      </c>
      <c r="B168" t="s">
        <v>365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</row>
    <row r="169" spans="1:60" x14ac:dyDescent="0.3">
      <c r="A169" t="s">
        <v>33</v>
      </c>
      <c r="B169" t="s">
        <v>365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</row>
    <row r="170" spans="1:60" x14ac:dyDescent="0.3">
      <c r="A170" t="s">
        <v>56</v>
      </c>
      <c r="B170" t="s">
        <v>365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</row>
    <row r="171" spans="1:60" x14ac:dyDescent="0.3">
      <c r="A171" t="s">
        <v>41</v>
      </c>
      <c r="B171" t="s">
        <v>365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</row>
    <row r="172" spans="1:60" x14ac:dyDescent="0.3">
      <c r="A172" t="s">
        <v>114</v>
      </c>
      <c r="B172" t="s">
        <v>114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</row>
    <row r="173" spans="1:60" x14ac:dyDescent="0.3">
      <c r="A173" t="s">
        <v>32</v>
      </c>
      <c r="B173" t="s">
        <v>365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</row>
    <row r="174" spans="1:60" x14ac:dyDescent="0.3">
      <c r="A174" t="s">
        <v>54</v>
      </c>
      <c r="B174" t="s">
        <v>365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</row>
    <row r="175" spans="1:60" x14ac:dyDescent="0.3">
      <c r="A175" t="s">
        <v>40</v>
      </c>
      <c r="B175" t="s">
        <v>365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</row>
    <row r="176" spans="1:60" x14ac:dyDescent="0.3">
      <c r="A176" t="s">
        <v>34</v>
      </c>
      <c r="B176" t="s">
        <v>365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</row>
    <row r="177" spans="1:60" x14ac:dyDescent="0.3">
      <c r="A177" t="s">
        <v>37</v>
      </c>
      <c r="B177" t="s">
        <v>365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</row>
    <row r="178" spans="1:60" x14ac:dyDescent="0.3">
      <c r="A178" t="s">
        <v>52</v>
      </c>
      <c r="B178" t="s">
        <v>365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</row>
    <row r="179" spans="1:60" x14ac:dyDescent="0.3">
      <c r="A179" t="s">
        <v>60</v>
      </c>
      <c r="B179" t="s">
        <v>365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</row>
    <row r="180" spans="1:60" x14ac:dyDescent="0.3">
      <c r="A180" t="s">
        <v>39</v>
      </c>
      <c r="B180" t="s">
        <v>365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</row>
    <row r="181" spans="1:60" x14ac:dyDescent="0.3">
      <c r="A181" t="s">
        <v>38</v>
      </c>
      <c r="B181" t="s">
        <v>365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</row>
    <row r="182" spans="1:60" x14ac:dyDescent="0.3">
      <c r="A182" t="s">
        <v>57</v>
      </c>
      <c r="B182" t="s">
        <v>365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</row>
    <row r="183" spans="1:60" x14ac:dyDescent="0.3">
      <c r="A183" t="s">
        <v>55</v>
      </c>
      <c r="B183" t="s">
        <v>365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</row>
    <row r="184" spans="1:60" x14ac:dyDescent="0.3">
      <c r="A184" t="s">
        <v>35</v>
      </c>
      <c r="B184" t="s">
        <v>365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</row>
    <row r="185" spans="1:60" x14ac:dyDescent="0.3">
      <c r="A185" t="s">
        <v>273</v>
      </c>
      <c r="B185" t="s">
        <v>365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</row>
    <row r="186" spans="1:60" x14ac:dyDescent="0.3">
      <c r="A186" t="s">
        <v>49</v>
      </c>
      <c r="B186" t="s">
        <v>365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</row>
    <row r="187" spans="1:60" x14ac:dyDescent="0.3">
      <c r="A187" t="s">
        <v>48</v>
      </c>
      <c r="B187" t="s">
        <v>365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</row>
    <row r="188" spans="1:60" x14ac:dyDescent="0.3">
      <c r="B188" t="s">
        <v>369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</row>
    <row r="189" spans="1:60" x14ac:dyDescent="0.3">
      <c r="A189" t="s">
        <v>59</v>
      </c>
      <c r="B189" t="s">
        <v>365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</row>
    <row r="190" spans="1:60" x14ac:dyDescent="0.3">
      <c r="A190" t="s">
        <v>45</v>
      </c>
      <c r="B190" t="s">
        <v>365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</row>
    <row r="191" spans="1:60" x14ac:dyDescent="0.3">
      <c r="A191" t="s">
        <v>50</v>
      </c>
      <c r="B191" t="s">
        <v>365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</row>
    <row r="192" spans="1:60" x14ac:dyDescent="0.3">
      <c r="B192" t="s">
        <v>370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</row>
    <row r="193" spans="1:60" x14ac:dyDescent="0.3">
      <c r="B193" t="s">
        <v>371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</row>
    <row r="194" spans="1:60" x14ac:dyDescent="0.3">
      <c r="B194" t="s">
        <v>372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</row>
    <row r="195" spans="1:60" x14ac:dyDescent="0.3">
      <c r="A195" t="s">
        <v>51</v>
      </c>
      <c r="B195" t="s">
        <v>365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</row>
    <row r="196" spans="1:60" x14ac:dyDescent="0.3">
      <c r="A196" t="s">
        <v>284</v>
      </c>
      <c r="B196" t="s">
        <v>365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</row>
    <row r="197" spans="1:60" x14ac:dyDescent="0.3">
      <c r="B197" t="s">
        <v>373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</row>
    <row r="198" spans="1:60" x14ac:dyDescent="0.3">
      <c r="B198" t="s">
        <v>374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</row>
    <row r="199" spans="1:60" x14ac:dyDescent="0.3">
      <c r="A199" t="s">
        <v>161</v>
      </c>
      <c r="B199" t="s">
        <v>114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</row>
    <row r="200" spans="1:60" x14ac:dyDescent="0.3">
      <c r="A200" t="s">
        <v>375</v>
      </c>
      <c r="B200" t="s">
        <v>68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</row>
    <row r="201" spans="1:60" x14ac:dyDescent="0.3">
      <c r="B201" t="s">
        <v>376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</row>
    <row r="202" spans="1:60" x14ac:dyDescent="0.3">
      <c r="A202" t="s">
        <v>307</v>
      </c>
      <c r="B202" t="s">
        <v>377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</row>
    <row r="203" spans="1:60" x14ac:dyDescent="0.3">
      <c r="A203" t="s">
        <v>378</v>
      </c>
      <c r="B203" t="s">
        <v>72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</row>
    <row r="204" spans="1:60" x14ac:dyDescent="0.3">
      <c r="A204" t="s">
        <v>58</v>
      </c>
      <c r="B204" t="s">
        <v>365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</row>
    <row r="205" spans="1:60" x14ac:dyDescent="0.3">
      <c r="B205" t="s">
        <v>379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</row>
    <row r="206" spans="1:60" x14ac:dyDescent="0.3">
      <c r="B206" t="s">
        <v>380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</row>
    <row r="207" spans="1:60" x14ac:dyDescent="0.3">
      <c r="A207" t="s">
        <v>157</v>
      </c>
      <c r="B207" t="s">
        <v>68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</row>
    <row r="208" spans="1:60" x14ac:dyDescent="0.3">
      <c r="B208" t="s">
        <v>381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</row>
    <row r="209" spans="1:60" x14ac:dyDescent="0.3">
      <c r="B209" t="s">
        <v>383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</row>
    <row r="210" spans="1:60" x14ac:dyDescent="0.3">
      <c r="A210" t="s">
        <v>162</v>
      </c>
      <c r="B210" t="s">
        <v>377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</row>
    <row r="211" spans="1:60" x14ac:dyDescent="0.3">
      <c r="A211" t="s">
        <v>328</v>
      </c>
      <c r="B211" t="s">
        <v>65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</row>
    <row r="212" spans="1:60" x14ac:dyDescent="0.3">
      <c r="A212" t="s">
        <v>329</v>
      </c>
      <c r="B212" t="s">
        <v>65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3">
      <c r="A213" t="s">
        <v>330</v>
      </c>
      <c r="B213" t="s">
        <v>65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3">
      <c r="A214" t="s">
        <v>331</v>
      </c>
      <c r="B214" t="s">
        <v>65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3">
      <c r="A215" t="s">
        <v>332</v>
      </c>
      <c r="B215" t="s">
        <v>65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3">
      <c r="A216" t="s">
        <v>333</v>
      </c>
      <c r="B216" t="s">
        <v>65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</row>
    <row r="217" spans="1:60" x14ac:dyDescent="0.3">
      <c r="A217" t="s">
        <v>334</v>
      </c>
      <c r="B217" t="s">
        <v>65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3">
      <c r="A218" t="s">
        <v>335</v>
      </c>
      <c r="B218" t="s">
        <v>65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3">
      <c r="A219" t="s">
        <v>336</v>
      </c>
      <c r="B219" t="s">
        <v>65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3">
      <c r="A220" t="s">
        <v>337</v>
      </c>
      <c r="B220" t="s">
        <v>65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3">
      <c r="A221" t="s">
        <v>338</v>
      </c>
      <c r="B221" t="s">
        <v>65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3">
      <c r="A222" t="s">
        <v>339</v>
      </c>
      <c r="B222" t="s">
        <v>65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3">
      <c r="A223" t="s">
        <v>340</v>
      </c>
      <c r="B223" t="s">
        <v>65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3">
      <c r="A224" t="s">
        <v>341</v>
      </c>
      <c r="B224" t="s">
        <v>65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3">
      <c r="A225" t="s">
        <v>342</v>
      </c>
      <c r="B225" t="s">
        <v>65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3">
      <c r="A226" t="s">
        <v>343</v>
      </c>
      <c r="B226" t="s">
        <v>65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3">
      <c r="A227" t="s">
        <v>344</v>
      </c>
      <c r="B227" t="s">
        <v>65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3">
      <c r="A228" t="s">
        <v>345</v>
      </c>
      <c r="B228" t="s">
        <v>65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3">
      <c r="A229" t="s">
        <v>346</v>
      </c>
      <c r="B229" t="s">
        <v>65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3">
      <c r="A230" t="s">
        <v>347</v>
      </c>
      <c r="B230" t="s">
        <v>65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3">
      <c r="A231" t="s">
        <v>348</v>
      </c>
      <c r="B231" t="s">
        <v>65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3">
      <c r="A232" t="s">
        <v>349</v>
      </c>
      <c r="B232" t="s">
        <v>65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3">
      <c r="A233" t="s">
        <v>350</v>
      </c>
      <c r="B233" t="s">
        <v>65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3">
      <c r="A234" t="s">
        <v>351</v>
      </c>
      <c r="B234" t="s">
        <v>65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3">
      <c r="A235" t="s">
        <v>352</v>
      </c>
      <c r="B235" t="s">
        <v>65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3">
      <c r="A236" t="s">
        <v>353</v>
      </c>
      <c r="B236" t="s">
        <v>65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3">
      <c r="A237" t="s">
        <v>354</v>
      </c>
      <c r="B237" t="s">
        <v>65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3">
      <c r="A238" t="s">
        <v>384</v>
      </c>
      <c r="B238" t="s">
        <v>65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3">
      <c r="A239" t="s">
        <v>355</v>
      </c>
      <c r="B239" t="s">
        <v>65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3">
      <c r="A240" t="s">
        <v>385</v>
      </c>
      <c r="B240" t="s">
        <v>65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</row>
    <row r="241" spans="1:60" x14ac:dyDescent="0.3">
      <c r="A241" t="s">
        <v>356</v>
      </c>
      <c r="B241" t="s">
        <v>65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</row>
    <row r="242" spans="1:60" x14ac:dyDescent="0.3">
      <c r="A242" t="s">
        <v>357</v>
      </c>
      <c r="B242" t="s">
        <v>65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3">
      <c r="A243" t="s">
        <v>358</v>
      </c>
      <c r="B243" t="s">
        <v>65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3">
      <c r="A244" t="s">
        <v>359</v>
      </c>
      <c r="B244" t="s">
        <v>65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3">
      <c r="A245" t="s">
        <v>360</v>
      </c>
      <c r="B245" t="s">
        <v>65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3">
      <c r="A246" t="s">
        <v>361</v>
      </c>
      <c r="B246" t="s">
        <v>65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3">
      <c r="A247" t="s">
        <v>362</v>
      </c>
      <c r="B247" t="s">
        <v>65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3">
      <c r="A248" t="s">
        <v>363</v>
      </c>
      <c r="B248" t="s">
        <v>65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3">
      <c r="A249" t="s">
        <v>261</v>
      </c>
      <c r="B249" t="s">
        <v>65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3">
      <c r="A250" t="s">
        <v>262</v>
      </c>
      <c r="B250" t="s">
        <v>65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3">
      <c r="A251" t="s">
        <v>263</v>
      </c>
      <c r="B251" t="s">
        <v>65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3">
      <c r="A252" t="s">
        <v>264</v>
      </c>
      <c r="B252" t="s">
        <v>65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3">
      <c r="A253" t="s">
        <v>265</v>
      </c>
      <c r="B253" t="s">
        <v>65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3">
      <c r="A254" t="s">
        <v>266</v>
      </c>
      <c r="B254" t="s">
        <v>65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3">
      <c r="A255" t="s">
        <v>267</v>
      </c>
      <c r="B255" t="s">
        <v>65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3">
      <c r="A256" t="s">
        <v>268</v>
      </c>
      <c r="B256" t="s">
        <v>65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3">
      <c r="A257" t="s">
        <v>269</v>
      </c>
      <c r="B257" t="s">
        <v>65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3">
      <c r="A258" t="s">
        <v>259</v>
      </c>
      <c r="B258" t="s">
        <v>65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3">
      <c r="A259" t="s">
        <v>256</v>
      </c>
      <c r="B259" t="s">
        <v>65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3">
      <c r="A260" t="s">
        <v>234</v>
      </c>
      <c r="B260" t="s">
        <v>65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3">
      <c r="A261" t="s">
        <v>235</v>
      </c>
      <c r="B261" t="s">
        <v>65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3">
      <c r="A262" t="s">
        <v>236</v>
      </c>
      <c r="B262" t="s">
        <v>65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3">
      <c r="A263" t="s">
        <v>237</v>
      </c>
      <c r="B263" t="s">
        <v>65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3">
      <c r="A264" t="s">
        <v>238</v>
      </c>
      <c r="B264" t="s">
        <v>65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3">
      <c r="A265" t="s">
        <v>239</v>
      </c>
      <c r="B265" t="s">
        <v>65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3">
      <c r="A266" t="s">
        <v>240</v>
      </c>
      <c r="B266" t="s">
        <v>65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3">
      <c r="A267" t="s">
        <v>241</v>
      </c>
      <c r="B267" t="s">
        <v>65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3">
      <c r="A268" t="s">
        <v>242</v>
      </c>
      <c r="B268" t="s">
        <v>65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</row>
    <row r="269" spans="1:60" x14ac:dyDescent="0.3">
      <c r="A269" t="s">
        <v>243</v>
      </c>
      <c r="B269" t="s">
        <v>65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</row>
    <row r="270" spans="1:60" x14ac:dyDescent="0.3">
      <c r="A270" t="s">
        <v>244</v>
      </c>
      <c r="B270" t="s">
        <v>65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3">
      <c r="A271" t="s">
        <v>245</v>
      </c>
      <c r="B271" t="s">
        <v>65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3">
      <c r="A272" t="s">
        <v>246</v>
      </c>
      <c r="B272" t="s">
        <v>65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3">
      <c r="A273" t="s">
        <v>247</v>
      </c>
      <c r="B273" t="s">
        <v>65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3">
      <c r="A274" t="s">
        <v>248</v>
      </c>
      <c r="B274" t="s">
        <v>65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3">
      <c r="A275" t="s">
        <v>249</v>
      </c>
      <c r="B275" t="s">
        <v>65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3">
      <c r="A276" t="s">
        <v>250</v>
      </c>
      <c r="B276" t="s">
        <v>65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3">
      <c r="A277" t="s">
        <v>251</v>
      </c>
      <c r="B277" t="s">
        <v>65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3">
      <c r="A278" t="s">
        <v>252</v>
      </c>
      <c r="B278" t="s">
        <v>65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3">
      <c r="A279" t="s">
        <v>230</v>
      </c>
      <c r="B279" t="s">
        <v>65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3">
      <c r="A280" t="s">
        <v>231</v>
      </c>
      <c r="B280" t="s">
        <v>65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3">
      <c r="A281" t="s">
        <v>232</v>
      </c>
      <c r="B281" t="s">
        <v>65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3">
      <c r="A282" t="s">
        <v>228</v>
      </c>
      <c r="B282" t="s">
        <v>65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3">
      <c r="A283" t="s">
        <v>208</v>
      </c>
      <c r="B283" t="s">
        <v>65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3">
      <c r="A284" t="s">
        <v>209</v>
      </c>
      <c r="B284" t="s">
        <v>65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3">
      <c r="A285" t="s">
        <v>210</v>
      </c>
      <c r="B285" t="s">
        <v>65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3">
      <c r="A286" t="s">
        <v>211</v>
      </c>
      <c r="B286" t="s">
        <v>65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3">
      <c r="A287" t="s">
        <v>212</v>
      </c>
      <c r="B287" t="s">
        <v>65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3">
      <c r="A288" t="s">
        <v>213</v>
      </c>
      <c r="B288" t="s">
        <v>65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3">
      <c r="A289" t="s">
        <v>214</v>
      </c>
      <c r="B289" t="s">
        <v>65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3">
      <c r="A290" t="s">
        <v>215</v>
      </c>
      <c r="B290" t="s">
        <v>65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3">
      <c r="A291" t="s">
        <v>216</v>
      </c>
      <c r="B291" t="s">
        <v>65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3">
      <c r="A292" t="s">
        <v>217</v>
      </c>
      <c r="B292" t="s">
        <v>65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3">
      <c r="A293" t="s">
        <v>218</v>
      </c>
      <c r="B293" t="s">
        <v>65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3">
      <c r="A294" t="s">
        <v>219</v>
      </c>
      <c r="B294" t="s">
        <v>65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3">
      <c r="A295" t="s">
        <v>462</v>
      </c>
      <c r="B295" t="s">
        <v>65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3">
      <c r="A296" t="s">
        <v>220</v>
      </c>
      <c r="B296" t="s">
        <v>65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</row>
    <row r="297" spans="1:60" x14ac:dyDescent="0.3">
      <c r="A297" t="s">
        <v>221</v>
      </c>
      <c r="B297" t="s">
        <v>65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3">
      <c r="A298" t="s">
        <v>222</v>
      </c>
      <c r="B298" t="s">
        <v>65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3">
      <c r="A299" t="s">
        <v>223</v>
      </c>
      <c r="B299" t="s">
        <v>65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3">
      <c r="A300" t="s">
        <v>224</v>
      </c>
      <c r="B300" t="s">
        <v>65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3">
      <c r="A301" t="s">
        <v>225</v>
      </c>
      <c r="B301" t="s">
        <v>65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3">
      <c r="A302" t="s">
        <v>205</v>
      </c>
      <c r="B302" t="s">
        <v>65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3">
      <c r="A303" t="s">
        <v>206</v>
      </c>
      <c r="B303" t="s">
        <v>65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3">
      <c r="A304" t="s">
        <v>191</v>
      </c>
      <c r="B304" t="s">
        <v>65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3">
      <c r="A305" t="s">
        <v>192</v>
      </c>
      <c r="B305" t="s">
        <v>65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3">
      <c r="A306" t="s">
        <v>193</v>
      </c>
      <c r="B306" t="s">
        <v>65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3">
      <c r="A307" t="s">
        <v>194</v>
      </c>
      <c r="B307" t="s">
        <v>65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3">
      <c r="A308" t="s">
        <v>195</v>
      </c>
      <c r="B308" t="s">
        <v>65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3">
      <c r="A309" t="s">
        <v>196</v>
      </c>
      <c r="B309" t="s">
        <v>65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3">
      <c r="A310" t="s">
        <v>197</v>
      </c>
      <c r="B310" t="s">
        <v>65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3">
      <c r="A311" t="s">
        <v>198</v>
      </c>
      <c r="B311" t="s">
        <v>65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3">
      <c r="A312" t="s">
        <v>199</v>
      </c>
      <c r="B312" t="s">
        <v>65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3">
      <c r="A313" t="s">
        <v>200</v>
      </c>
      <c r="B313" t="s">
        <v>65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3">
      <c r="A314" t="s">
        <v>201</v>
      </c>
      <c r="B314" t="s">
        <v>65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3">
      <c r="A315" t="s">
        <v>202</v>
      </c>
      <c r="B315" t="s">
        <v>65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3">
      <c r="A316" t="s">
        <v>173</v>
      </c>
      <c r="B316" t="s">
        <v>65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3">
      <c r="A317" t="s">
        <v>174</v>
      </c>
      <c r="B317" t="s">
        <v>65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3">
      <c r="A318" t="s">
        <v>175</v>
      </c>
      <c r="B318" t="s">
        <v>65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3">
      <c r="A319" t="s">
        <v>176</v>
      </c>
      <c r="B319" t="s">
        <v>65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3">
      <c r="A320" t="s">
        <v>177</v>
      </c>
      <c r="B320" t="s">
        <v>65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3">
      <c r="A321" t="s">
        <v>178</v>
      </c>
      <c r="B321" t="s">
        <v>65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3">
      <c r="A322" t="s">
        <v>179</v>
      </c>
      <c r="B322" t="s">
        <v>65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3">
      <c r="A323" t="s">
        <v>180</v>
      </c>
      <c r="B323" t="s">
        <v>65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3">
      <c r="A324" t="s">
        <v>181</v>
      </c>
      <c r="B324" t="s">
        <v>65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3">
      <c r="A325" t="s">
        <v>182</v>
      </c>
      <c r="B325" t="s">
        <v>65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3">
      <c r="A326" t="s">
        <v>169</v>
      </c>
      <c r="B326" t="s">
        <v>65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3">
      <c r="A327" t="s">
        <v>170</v>
      </c>
      <c r="B327" t="s">
        <v>65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3">
      <c r="A328" t="s">
        <v>171</v>
      </c>
      <c r="B328" t="s">
        <v>65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3">
      <c r="A329" t="s">
        <v>166</v>
      </c>
      <c r="B329" t="s">
        <v>65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3">
      <c r="A330" t="s">
        <v>158</v>
      </c>
      <c r="B330" t="s">
        <v>65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3">
      <c r="A331" t="s">
        <v>153</v>
      </c>
      <c r="B331" t="s">
        <v>65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3">
      <c r="A332" t="s">
        <v>154</v>
      </c>
      <c r="B332" t="s">
        <v>65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3">
      <c r="A333" t="s">
        <v>155</v>
      </c>
      <c r="B333" t="s">
        <v>65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3">
      <c r="A334" t="s">
        <v>386</v>
      </c>
      <c r="B334" t="s">
        <v>65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3">
      <c r="A335" t="s">
        <v>142</v>
      </c>
      <c r="B335" t="s">
        <v>65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3">
      <c r="A336" t="s">
        <v>143</v>
      </c>
      <c r="B336" t="s">
        <v>65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3">
      <c r="A337" t="s">
        <v>144</v>
      </c>
      <c r="B337" t="s">
        <v>65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3">
      <c r="A338" t="s">
        <v>145</v>
      </c>
      <c r="B338" t="s">
        <v>65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3">
      <c r="A339" t="s">
        <v>146</v>
      </c>
      <c r="B339" t="s">
        <v>65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3">
      <c r="A340" t="s">
        <v>147</v>
      </c>
      <c r="B340" t="s">
        <v>65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3">
      <c r="A341" t="s">
        <v>148</v>
      </c>
      <c r="B341" t="s">
        <v>65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3">
      <c r="A342" t="s">
        <v>149</v>
      </c>
      <c r="B342" t="s">
        <v>65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3">
      <c r="A343" t="s">
        <v>129</v>
      </c>
      <c r="B343" t="s">
        <v>65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3">
      <c r="A344" t="s">
        <v>95</v>
      </c>
      <c r="B344" t="s">
        <v>65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3">
      <c r="A345" t="s">
        <v>96</v>
      </c>
      <c r="B345" t="s">
        <v>65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3">
      <c r="A346" t="s">
        <v>91</v>
      </c>
      <c r="B346" t="s">
        <v>65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3">
      <c r="A347" t="s">
        <v>89</v>
      </c>
      <c r="B347" t="s">
        <v>65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3">
      <c r="A348" t="s">
        <v>73</v>
      </c>
      <c r="B348" t="s">
        <v>65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3">
      <c r="A349" t="s">
        <v>64</v>
      </c>
      <c r="B349" t="s">
        <v>65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3">
      <c r="A350" t="s">
        <v>66</v>
      </c>
      <c r="B350" t="s">
        <v>65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3">
      <c r="A351" t="s">
        <v>387</v>
      </c>
      <c r="B351" t="s">
        <v>65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</row>
    <row r="352" spans="1:60" x14ac:dyDescent="0.3">
      <c r="A352" t="s">
        <v>388</v>
      </c>
      <c r="B352" t="s">
        <v>65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3">
      <c r="A353" t="s">
        <v>389</v>
      </c>
      <c r="B353" t="s">
        <v>65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3">
      <c r="A354" t="s">
        <v>390</v>
      </c>
      <c r="B354" t="s">
        <v>65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3">
      <c r="A355" t="s">
        <v>391</v>
      </c>
      <c r="B355" t="s">
        <v>65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3">
      <c r="A356" t="s">
        <v>392</v>
      </c>
      <c r="B356" t="s">
        <v>65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3">
      <c r="A357" t="s">
        <v>393</v>
      </c>
      <c r="B357" t="s">
        <v>65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3">
      <c r="A358" t="s">
        <v>394</v>
      </c>
      <c r="B358" t="s">
        <v>65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3">
      <c r="A359" t="s">
        <v>395</v>
      </c>
      <c r="B359" t="s">
        <v>65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3">
      <c r="A360" t="s">
        <v>396</v>
      </c>
      <c r="B360" t="s">
        <v>65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3">
      <c r="A361" t="s">
        <v>397</v>
      </c>
      <c r="B361" t="s">
        <v>65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3">
      <c r="A362" t="s">
        <v>398</v>
      </c>
      <c r="B362" t="s">
        <v>65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3">
      <c r="A363" t="s">
        <v>399</v>
      </c>
      <c r="B363" t="s">
        <v>65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3">
      <c r="A364" t="s">
        <v>400</v>
      </c>
      <c r="B364" t="s">
        <v>65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3">
      <c r="A365" t="s">
        <v>401</v>
      </c>
      <c r="B365" t="s">
        <v>65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3">
      <c r="A366" t="s">
        <v>402</v>
      </c>
      <c r="B366" t="s">
        <v>65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3">
      <c r="A367" t="s">
        <v>403</v>
      </c>
      <c r="B367" t="s">
        <v>65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3">
      <c r="A368" t="s">
        <v>404</v>
      </c>
      <c r="B368" t="s">
        <v>65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3">
      <c r="A369" t="s">
        <v>405</v>
      </c>
      <c r="B369" t="s">
        <v>65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3">
      <c r="A370" t="s">
        <v>406</v>
      </c>
      <c r="B370" t="s">
        <v>65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3">
      <c r="A371" t="s">
        <v>407</v>
      </c>
      <c r="B371" t="s">
        <v>65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3">
      <c r="A372" t="s">
        <v>408</v>
      </c>
      <c r="B372" t="s">
        <v>65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3">
      <c r="A373" t="s">
        <v>409</v>
      </c>
      <c r="B373" t="s">
        <v>65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3">
      <c r="A374" t="s">
        <v>410</v>
      </c>
      <c r="B374" t="s">
        <v>65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3">
      <c r="A375" t="s">
        <v>411</v>
      </c>
      <c r="B375" t="s">
        <v>65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3">
      <c r="A376" t="s">
        <v>412</v>
      </c>
      <c r="B376" t="s">
        <v>65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3">
      <c r="A377" t="s">
        <v>413</v>
      </c>
      <c r="B377" t="s">
        <v>65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3">
      <c r="A378" t="s">
        <v>414</v>
      </c>
      <c r="B378" t="s">
        <v>65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3">
      <c r="A379" t="s">
        <v>415</v>
      </c>
      <c r="B379" t="s">
        <v>65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</row>
    <row r="380" spans="1:60" x14ac:dyDescent="0.3">
      <c r="A380" t="s">
        <v>416</v>
      </c>
      <c r="B380" t="s">
        <v>65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3">
      <c r="A381" t="s">
        <v>417</v>
      </c>
      <c r="B381" t="s">
        <v>65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3">
      <c r="A382" t="s">
        <v>418</v>
      </c>
      <c r="B382" t="s">
        <v>65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3">
      <c r="A383" t="s">
        <v>419</v>
      </c>
      <c r="B383" t="s">
        <v>65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3">
      <c r="A384" t="s">
        <v>420</v>
      </c>
      <c r="B384" t="s">
        <v>65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3">
      <c r="A385" t="s">
        <v>421</v>
      </c>
      <c r="B385" t="s">
        <v>65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3">
      <c r="A386" t="s">
        <v>422</v>
      </c>
      <c r="B386" t="s">
        <v>65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3">
      <c r="A387" t="s">
        <v>423</v>
      </c>
      <c r="B387" t="s">
        <v>65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3">
      <c r="A388" t="s">
        <v>424</v>
      </c>
      <c r="B388" t="s">
        <v>65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3">
      <c r="A389" t="s">
        <v>425</v>
      </c>
      <c r="B389" t="s">
        <v>65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3">
      <c r="A390" t="s">
        <v>426</v>
      </c>
      <c r="B390" t="s">
        <v>65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3">
      <c r="A391" t="s">
        <v>427</v>
      </c>
      <c r="B391" t="s">
        <v>65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3">
      <c r="A392" t="s">
        <v>428</v>
      </c>
      <c r="B392" t="s">
        <v>65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3">
      <c r="A393" t="s">
        <v>429</v>
      </c>
      <c r="B393" t="s">
        <v>65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3">
      <c r="A394" t="s">
        <v>430</v>
      </c>
      <c r="B394" t="s">
        <v>65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3">
      <c r="A395" t="s">
        <v>431</v>
      </c>
      <c r="B395" t="s">
        <v>65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3">
      <c r="A396" t="s">
        <v>432</v>
      </c>
      <c r="B396" t="s">
        <v>65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3">
      <c r="A397" t="s">
        <v>433</v>
      </c>
      <c r="B397" t="s">
        <v>65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3">
      <c r="A398" t="s">
        <v>434</v>
      </c>
      <c r="B398" t="s">
        <v>65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3">
      <c r="A399" t="s">
        <v>435</v>
      </c>
      <c r="B399" t="s">
        <v>65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3">
      <c r="A400" t="s">
        <v>436</v>
      </c>
      <c r="B400" t="s">
        <v>65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1" x14ac:dyDescent="0.3">
      <c r="A401" t="s">
        <v>437</v>
      </c>
      <c r="B401" t="s">
        <v>65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1" x14ac:dyDescent="0.3">
      <c r="B402" t="s">
        <v>438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1:61" x14ac:dyDescent="0.3">
      <c r="B403" t="s">
        <v>439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</row>
    <row r="404" spans="1:61" x14ac:dyDescent="0.3">
      <c r="A404" t="s">
        <v>440</v>
      </c>
      <c r="B404" t="s">
        <v>75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</row>
    <row r="405" spans="1:61" x14ac:dyDescent="0.3">
      <c r="A405" t="s">
        <v>377</v>
      </c>
      <c r="B405" t="s">
        <v>377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104</v>
      </c>
    </row>
    <row r="406" spans="1:61" x14ac:dyDescent="0.3">
      <c r="B406" t="s">
        <v>441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</row>
    <row r="407" spans="1:61" x14ac:dyDescent="0.3">
      <c r="A407" t="s">
        <v>442</v>
      </c>
      <c r="B407" t="s">
        <v>68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</row>
    <row r="408" spans="1:61" x14ac:dyDescent="0.3">
      <c r="A408" t="s">
        <v>445</v>
      </c>
      <c r="B408" t="s">
        <v>72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</row>
    <row r="409" spans="1:61" x14ac:dyDescent="0.3">
      <c r="A409" t="s">
        <v>446</v>
      </c>
      <c r="B409" t="s">
        <v>72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</row>
    <row r="410" spans="1:61" x14ac:dyDescent="0.3">
      <c r="B410" t="s">
        <v>447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</row>
    <row r="411" spans="1:61" x14ac:dyDescent="0.3">
      <c r="B411" t="s">
        <v>448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</row>
    <row r="412" spans="1:61" x14ac:dyDescent="0.3">
      <c r="B412" t="s">
        <v>449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</row>
    <row r="413" spans="1:61" x14ac:dyDescent="0.3">
      <c r="B413" t="s">
        <v>450</v>
      </c>
      <c r="C413">
        <v>12.521100000000001</v>
      </c>
      <c r="D413">
        <v>-69.968299999999999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</row>
    <row r="414" spans="1:61" x14ac:dyDescent="0.3">
      <c r="A414" t="s">
        <v>276</v>
      </c>
      <c r="B414" t="s">
        <v>72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</row>
    <row r="415" spans="1:61" x14ac:dyDescent="0.3">
      <c r="B415" t="s">
        <v>451</v>
      </c>
      <c r="C415">
        <v>-2.3599999999999999E-2</v>
      </c>
      <c r="D415">
        <v>37.906199999999998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</row>
    <row r="416" spans="1:61" x14ac:dyDescent="0.3">
      <c r="B416" t="s">
        <v>452</v>
      </c>
      <c r="C416">
        <v>17.0608</v>
      </c>
      <c r="D416">
        <v>-61.796399999999998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</row>
    <row r="417" spans="1:60" x14ac:dyDescent="0.3">
      <c r="A417" t="s">
        <v>453</v>
      </c>
      <c r="B417" t="s">
        <v>65</v>
      </c>
      <c r="C417">
        <v>32.318199999999997</v>
      </c>
      <c r="D417">
        <v>-86.902299999999997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</row>
    <row r="418" spans="1:60" x14ac:dyDescent="0.3">
      <c r="B418" t="s">
        <v>463</v>
      </c>
      <c r="C418">
        <v>-32.522799999999997</v>
      </c>
      <c r="D418">
        <v>-55.765799999999999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</row>
    <row r="419" spans="1:60" x14ac:dyDescent="0.3">
      <c r="B419" t="s">
        <v>464</v>
      </c>
      <c r="C419">
        <v>7.9465000000000003</v>
      </c>
      <c r="D419">
        <v>-1.0232000000000001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</row>
    <row r="420" spans="1:60" x14ac:dyDescent="0.3">
      <c r="A420" t="s">
        <v>465</v>
      </c>
      <c r="B420" t="s">
        <v>65</v>
      </c>
      <c r="C420">
        <v>18.220800000000001</v>
      </c>
      <c r="D420">
        <v>-66.590100000000007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</row>
    <row r="421" spans="1:60" x14ac:dyDescent="0.3">
      <c r="B421" t="s">
        <v>466</v>
      </c>
      <c r="C421">
        <v>49.19</v>
      </c>
      <c r="D421">
        <v>-2.11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</row>
    <row r="422" spans="1:60" x14ac:dyDescent="0.3">
      <c r="B422" t="s">
        <v>467</v>
      </c>
      <c r="C422">
        <v>-22.957599999999999</v>
      </c>
      <c r="D422">
        <v>18.490400000000001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</row>
    <row r="423" spans="1:60" x14ac:dyDescent="0.3">
      <c r="B423" t="s">
        <v>468</v>
      </c>
      <c r="C423">
        <v>-4.6795999999999998</v>
      </c>
      <c r="D423">
        <v>55.491999999999997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</row>
    <row r="424" spans="1:60" x14ac:dyDescent="0.3">
      <c r="B424" t="s">
        <v>469</v>
      </c>
      <c r="C424">
        <v>10.691800000000001</v>
      </c>
      <c r="D424">
        <v>-61.222499999999997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</row>
    <row r="425" spans="1:60" x14ac:dyDescent="0.3">
      <c r="B425" t="s">
        <v>470</v>
      </c>
      <c r="C425">
        <v>6.4238</v>
      </c>
      <c r="D425">
        <v>-66.589699999999993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</row>
    <row r="426" spans="1:60" x14ac:dyDescent="0.3">
      <c r="B426" t="s">
        <v>472</v>
      </c>
      <c r="C426">
        <v>-26.522500000000001</v>
      </c>
      <c r="D426">
        <v>31.465900000000001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</row>
    <row r="427" spans="1:60" x14ac:dyDescent="0.3">
      <c r="B427" t="s">
        <v>473</v>
      </c>
      <c r="C427">
        <v>-0.80369999999999997</v>
      </c>
      <c r="D427">
        <v>11.609400000000001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</row>
    <row r="428" spans="1:60" x14ac:dyDescent="0.3">
      <c r="B428" t="s">
        <v>474</v>
      </c>
      <c r="C428">
        <v>15.7835</v>
      </c>
      <c r="D428">
        <v>-90.230800000000002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1</v>
      </c>
      <c r="BH428">
        <v>1</v>
      </c>
    </row>
    <row r="429" spans="1:60" x14ac:dyDescent="0.3">
      <c r="B429" t="s">
        <v>475</v>
      </c>
      <c r="C429">
        <v>49.45</v>
      </c>
      <c r="D429">
        <v>-2.58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</row>
    <row r="430" spans="1:60" x14ac:dyDescent="0.3">
      <c r="B430" t="s">
        <v>476</v>
      </c>
      <c r="C430">
        <v>21.007899999999999</v>
      </c>
      <c r="D430">
        <v>10.940799999999999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</row>
    <row r="431" spans="1:60" x14ac:dyDescent="0.3">
      <c r="B431" t="s">
        <v>477</v>
      </c>
      <c r="C431">
        <v>-1.9402999999999999</v>
      </c>
      <c r="D431">
        <v>29.873899999999999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</row>
    <row r="432" spans="1:60" x14ac:dyDescent="0.3">
      <c r="B432" t="s">
        <v>478</v>
      </c>
      <c r="C432">
        <v>13.9094</v>
      </c>
      <c r="D432">
        <v>-60.978900000000003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</row>
    <row r="433" spans="1:60" x14ac:dyDescent="0.3">
      <c r="B433" t="s">
        <v>479</v>
      </c>
      <c r="C433">
        <v>12.984299999999999</v>
      </c>
      <c r="D433">
        <v>-61.287199999999999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</row>
    <row r="434" spans="1:60" x14ac:dyDescent="0.3">
      <c r="B434" t="s">
        <v>480</v>
      </c>
      <c r="C434">
        <v>3.9192999999999998</v>
      </c>
      <c r="D434">
        <v>-56.027799999999999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</row>
    <row r="435" spans="1:60" x14ac:dyDescent="0.3">
      <c r="A435" t="s">
        <v>203</v>
      </c>
      <c r="B435" t="s">
        <v>68</v>
      </c>
      <c r="C435">
        <v>3.9339</v>
      </c>
      <c r="D435">
        <v>-53.125799999999998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</row>
    <row r="436" spans="1:60" x14ac:dyDescent="0.3">
      <c r="A436" t="s">
        <v>491</v>
      </c>
      <c r="B436" t="s">
        <v>65</v>
      </c>
      <c r="C436">
        <v>13.4443</v>
      </c>
      <c r="D436">
        <v>144.7937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</row>
    <row r="437" spans="1:60" x14ac:dyDescent="0.3">
      <c r="B437" t="s">
        <v>492</v>
      </c>
      <c r="C437">
        <v>42.602600000000002</v>
      </c>
      <c r="D437">
        <v>20.902999999999999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1:60" x14ac:dyDescent="0.3">
      <c r="A438" t="s">
        <v>493</v>
      </c>
      <c r="B438" t="s">
        <v>72</v>
      </c>
      <c r="C438">
        <v>53.1355</v>
      </c>
      <c r="D438">
        <v>-57.660400000000003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</row>
    <row r="439" spans="1:60" x14ac:dyDescent="0.3">
      <c r="A439" t="s">
        <v>494</v>
      </c>
      <c r="B439" t="s">
        <v>72</v>
      </c>
      <c r="C439">
        <v>46.5107</v>
      </c>
      <c r="D439">
        <v>-63.416800000000002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</row>
    <row r="440" spans="1:60" x14ac:dyDescent="0.3">
      <c r="B440" t="s">
        <v>495</v>
      </c>
      <c r="C440">
        <v>6.6111000000000004</v>
      </c>
      <c r="D440">
        <v>20.939399999999999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</row>
    <row r="441" spans="1:60" x14ac:dyDescent="0.3">
      <c r="B441" t="s">
        <v>496</v>
      </c>
      <c r="C441">
        <v>-4.0382999999999996</v>
      </c>
      <c r="D441">
        <v>21.758700000000001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</row>
    <row r="442" spans="1:60" x14ac:dyDescent="0.3">
      <c r="B442" t="s">
        <v>497</v>
      </c>
      <c r="C442">
        <v>1.5</v>
      </c>
      <c r="D442">
        <v>10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</row>
    <row r="443" spans="1:60" x14ac:dyDescent="0.3">
      <c r="A443" t="s">
        <v>498</v>
      </c>
      <c r="B443" t="s">
        <v>68</v>
      </c>
      <c r="C443">
        <v>-12.827500000000001</v>
      </c>
      <c r="D443">
        <v>45.166200000000003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</row>
    <row r="444" spans="1:60" x14ac:dyDescent="0.3">
      <c r="B444" t="s">
        <v>499</v>
      </c>
      <c r="C444">
        <v>41.377499999999998</v>
      </c>
      <c r="D444">
        <v>64.585300000000004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</row>
    <row r="445" spans="1:60" x14ac:dyDescent="0.3">
      <c r="A445" t="s">
        <v>116</v>
      </c>
      <c r="B445" t="s">
        <v>116</v>
      </c>
      <c r="C445">
        <v>52.132599999999996</v>
      </c>
      <c r="D445">
        <v>5.2912999999999997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1</v>
      </c>
      <c r="AX445">
        <v>1</v>
      </c>
      <c r="AY445">
        <v>3</v>
      </c>
      <c r="AZ445">
        <v>3</v>
      </c>
      <c r="BA445">
        <v>4</v>
      </c>
      <c r="BB445">
        <v>5</v>
      </c>
      <c r="BC445">
        <v>5</v>
      </c>
      <c r="BD445">
        <v>10</v>
      </c>
      <c r="BE445">
        <v>12</v>
      </c>
      <c r="BF445">
        <v>20</v>
      </c>
      <c r="BG445">
        <v>24</v>
      </c>
      <c r="BH445">
        <v>43</v>
      </c>
    </row>
    <row r="446" spans="1:60" x14ac:dyDescent="0.3">
      <c r="A446" t="s">
        <v>503</v>
      </c>
      <c r="B446" t="s">
        <v>72</v>
      </c>
      <c r="C446">
        <v>44.682000000000002</v>
      </c>
      <c r="D446">
        <v>-63.744300000000003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</row>
    <row r="447" spans="1:60" x14ac:dyDescent="0.3">
      <c r="A447" t="s">
        <v>444</v>
      </c>
      <c r="B447" t="s">
        <v>68</v>
      </c>
      <c r="C447">
        <v>16.25</v>
      </c>
      <c r="D447">
        <v>-61.583300000000001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</row>
    <row r="448" spans="1:60" x14ac:dyDescent="0.3">
      <c r="B448" t="s">
        <v>504</v>
      </c>
      <c r="C448">
        <v>9.3077000000000005</v>
      </c>
      <c r="D448">
        <v>2.3157999999999999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</row>
    <row r="449" spans="1:60" x14ac:dyDescent="0.3">
      <c r="B449" t="s">
        <v>505</v>
      </c>
      <c r="C449">
        <v>71.706900000000005</v>
      </c>
      <c r="D449">
        <v>-42.604300000000002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</row>
    <row r="450" spans="1:60" x14ac:dyDescent="0.3">
      <c r="B450" t="s">
        <v>506</v>
      </c>
      <c r="C450">
        <v>6.4280999999999997</v>
      </c>
      <c r="D450">
        <v>-9.4295000000000009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</row>
    <row r="451" spans="1:60" x14ac:dyDescent="0.3">
      <c r="A451" t="s">
        <v>471</v>
      </c>
      <c r="B451" t="s">
        <v>116</v>
      </c>
      <c r="C451">
        <v>12.169600000000001</v>
      </c>
      <c r="D451">
        <v>-68.989999999999995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</row>
    <row r="452" spans="1:60" x14ac:dyDescent="0.3">
      <c r="B452" t="s">
        <v>507</v>
      </c>
      <c r="C452">
        <v>-1.44</v>
      </c>
      <c r="D452">
        <v>15.555999999999999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</row>
    <row r="453" spans="1:60" x14ac:dyDescent="0.3">
      <c r="B453" t="s">
        <v>508</v>
      </c>
      <c r="C453">
        <v>5.1520999999999999</v>
      </c>
      <c r="D453">
        <v>46.199599999999997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</row>
    <row r="454" spans="1:60" x14ac:dyDescent="0.3">
      <c r="B454" t="s">
        <v>509</v>
      </c>
      <c r="C454">
        <v>-6.3689999999999998</v>
      </c>
      <c r="D454">
        <v>34.888800000000003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</row>
    <row r="455" spans="1:60" x14ac:dyDescent="0.3">
      <c r="B455" t="s">
        <v>510</v>
      </c>
      <c r="C455">
        <v>24.25</v>
      </c>
      <c r="D455">
        <v>-76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</row>
    <row r="456" spans="1:60" x14ac:dyDescent="0.3">
      <c r="A456" t="s">
        <v>511</v>
      </c>
      <c r="B456" t="s">
        <v>65</v>
      </c>
      <c r="C456">
        <v>18.335799999999999</v>
      </c>
      <c r="D456">
        <v>-64.896299999999997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</row>
    <row r="457" spans="1:60" x14ac:dyDescent="0.3">
      <c r="A457" t="s">
        <v>443</v>
      </c>
      <c r="B457" t="s">
        <v>377</v>
      </c>
      <c r="C457">
        <v>19.313300000000002</v>
      </c>
      <c r="D457">
        <v>-81.254599999999996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1</v>
      </c>
      <c r="BH457">
        <v>1</v>
      </c>
    </row>
    <row r="458" spans="1:60" x14ac:dyDescent="0.3">
      <c r="A458" t="s">
        <v>382</v>
      </c>
      <c r="B458" t="s">
        <v>68</v>
      </c>
      <c r="C458">
        <v>-21.135100000000001</v>
      </c>
      <c r="D458">
        <v>55.247100000000003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</row>
    <row r="459" spans="1:60" x14ac:dyDescent="0.3">
      <c r="B459" t="s">
        <v>570</v>
      </c>
      <c r="C459">
        <v>13.193899999999999</v>
      </c>
      <c r="D459">
        <v>-59.543199999999999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</row>
    <row r="460" spans="1:60" x14ac:dyDescent="0.3">
      <c r="B460" t="s">
        <v>564</v>
      </c>
      <c r="C460">
        <v>42.5</v>
      </c>
      <c r="D460">
        <v>19.3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</row>
    <row r="461" spans="1:60" x14ac:dyDescent="0.3">
      <c r="B461" t="s">
        <v>625</v>
      </c>
      <c r="C461">
        <v>13.466699999999999</v>
      </c>
      <c r="D461">
        <v>-16.600000000000001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Projections</vt:lpstr>
      <vt:lpstr>Projections Data</vt:lpstr>
      <vt:lpstr>Current</vt:lpstr>
      <vt:lpstr>DaysSince100</vt:lpstr>
      <vt:lpstr>Country Summary</vt:lpstr>
      <vt:lpstr>CumulativeTotal</vt:lpstr>
      <vt:lpstr>CumulativeRecovered</vt:lpstr>
      <vt:lpstr>CumulativeDead</vt:lpstr>
      <vt:lpstr>RawDataTotal</vt:lpstr>
      <vt:lpstr>RawDataRecovered</vt:lpstr>
      <vt:lpstr>RawDataDead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2020-03-18T22:16:49Z</dcterms:modified>
</cp:coreProperties>
</file>